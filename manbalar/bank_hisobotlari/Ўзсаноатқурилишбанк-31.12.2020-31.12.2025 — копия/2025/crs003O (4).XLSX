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Bozorov Ruslan-07.01.2026\Докторлик диссертация-20.04.2025\Докторлик дис-19.04.2025\Банклар маълумоти\Ўзсаноатқурилишбанк-31.12.2020-31.12.2025\2025\"/>
    </mc:Choice>
  </mc:AlternateContent>
  <xr:revisionPtr revIDLastSave="0" documentId="13_ncr:1_{3E01ED89-DB49-483B-87F1-117278E970C7}" xr6:coauthVersionLast="47" xr6:coauthVersionMax="47" xr10:uidLastSave="{00000000-0000-0000-0000-000000000000}"/>
  <bookViews>
    <workbookView xWindow="375" yWindow="990" windowWidth="18945" windowHeight="13575" tabRatio="923" firstSheet="6" activeTab="15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IRRBB_fixed%" sheetId="49" r:id="rId15"/>
    <sheet name="IRRBB_floating%" sheetId="52" r:id="rId16"/>
    <sheet name="Economic Normatives" sheetId="20" r:id="rId17"/>
    <sheet name="Miscellaneous" sheetId="21" r:id="rId18"/>
    <sheet name="ПФУ" sheetId="42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add21" localSheetId="14" hidden="1">[1]tab17!#REF!</definedName>
    <definedName name="____add21" localSheetId="15" hidden="1">[1]tab17!#REF!</definedName>
    <definedName name="____add21" localSheetId="18" hidden="1">[1]tab17!#REF!</definedName>
    <definedName name="____add21" hidden="1">[1]tab17!#REF!</definedName>
    <definedName name="___add21" localSheetId="14" hidden="1">[1]tab17!#REF!</definedName>
    <definedName name="___add21" localSheetId="15" hidden="1">[1]tab17!#REF!</definedName>
    <definedName name="___add21" localSheetId="18" hidden="1">[1]tab17!#REF!</definedName>
    <definedName name="___add21" hidden="1">[1]tab17!#REF!</definedName>
    <definedName name="__123Graph_A" localSheetId="14" hidden="1">'[2]tab 19'!#REF!</definedName>
    <definedName name="__123Graph_A" localSheetId="15" hidden="1">'[2]tab 19'!#REF!</definedName>
    <definedName name="__123Graph_A" localSheetId="18" hidden="1">'[2]tab 19'!#REF!</definedName>
    <definedName name="__123Graph_A" hidden="1">'[2]tab 19'!#REF!</definedName>
    <definedName name="__123Graph_B" localSheetId="14" hidden="1">[3]tab17!#REF!</definedName>
    <definedName name="__123Graph_B" localSheetId="15" hidden="1">[3]tab17!#REF!</definedName>
    <definedName name="__123Graph_B" localSheetId="18" hidden="1">[3]tab17!#REF!</definedName>
    <definedName name="__123Graph_B" hidden="1">[3]tab17!#REF!</definedName>
    <definedName name="__123Graph_X" localSheetId="14" hidden="1">[3]tab17!#REF!</definedName>
    <definedName name="__123Graph_X" localSheetId="15" hidden="1">[3]tab17!#REF!</definedName>
    <definedName name="__123Graph_X" localSheetId="18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localSheetId="14" hidden="1">[1]tab17!#REF!</definedName>
    <definedName name="__add21" localSheetId="15" hidden="1">[1]tab17!#REF!</definedName>
    <definedName name="__add21" localSheetId="18" hidden="1">[1]tab17!#REF!</definedName>
    <definedName name="__add21" hidden="1">[1]tab17!#REF!</definedName>
    <definedName name="_10__123Graph_AREALEX_WAGE" localSheetId="14" hidden="1">'[2]tab 19'!#REF!</definedName>
    <definedName name="_10__123Graph_AREALEX_WAGE" localSheetId="15" hidden="1">'[2]tab 19'!#REF!</definedName>
    <definedName name="_10__123Graph_AREALEX_WAGE" localSheetId="18" hidden="1">'[2]tab 19'!#REF!</definedName>
    <definedName name="_10__123Graph_AREALEX_WAGE" hidden="1">'[2]tab 19'!#REF!</definedName>
    <definedName name="_10__123Graph_BCHART_2" hidden="1">[4]A!$C$36:$AJ$36</definedName>
    <definedName name="_10__123Graph_BREALEX_WAGE" localSheetId="14" hidden="1">#REF!</definedName>
    <definedName name="_10__123Graph_BREALEX_WAGE" localSheetId="15" hidden="1">#REF!</definedName>
    <definedName name="_10__123Graph_BREALEX_WAGE" localSheetId="18" hidden="1">#REF!</definedName>
    <definedName name="_10__123Graph_BREALEX_WAGE" hidden="1">#REF!</definedName>
    <definedName name="_11__123Graph_BCHART_1" hidden="1">[4]A!$C$28:$AJ$28</definedName>
    <definedName name="_12__123Graph_BREALEX_WAGE" localSheetId="14" hidden="1">#REF!</definedName>
    <definedName name="_12__123Graph_BREALEX_WAGE" localSheetId="15" hidden="1">#REF!</definedName>
    <definedName name="_12__123Graph_BREALEX_WAGE" localSheetId="18" hidden="1">#REF!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4" hidden="1">#REF!</definedName>
    <definedName name="_16__123Graph_BREALEX_WAGE" localSheetId="15" hidden="1">#REF!</definedName>
    <definedName name="_16__123Graph_BREALEX_WAGE" localSheetId="18" hidden="1">#REF!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4" hidden="1">#REF!</definedName>
    <definedName name="_19__123Graph_XREALEX_WAGE" localSheetId="15" hidden="1">#REF!</definedName>
    <definedName name="_19__123Graph_XREALEX_WAGE" localSheetId="18" hidden="1">#REF!</definedName>
    <definedName name="_19__123Graph_XREALEX_WAGE" hidden="1">#REF!</definedName>
    <definedName name="_2__123Graph_ACHART_1" hidden="1">[4]A!$C$31:$AJ$31</definedName>
    <definedName name="_20__123Graph_BREALEX_WAGE" localSheetId="14" hidden="1">#REF!</definedName>
    <definedName name="_20__123Graph_BREALEX_WAGE" localSheetId="15" hidden="1">#REF!</definedName>
    <definedName name="_20__123Graph_BREALEX_WAGE" localSheetId="18" hidden="1">#REF!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localSheetId="14" hidden="1">#REF!</definedName>
    <definedName name="_22__123Graph_XREALEX_WAGE" localSheetId="15" hidden="1">#REF!</definedName>
    <definedName name="_22__123Graph_XREALEX_WAGE" localSheetId="18" hidden="1">#REF!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4" hidden="1">#REF!</definedName>
    <definedName name="_30__123Graph_XREALEX_WAGE" localSheetId="15" hidden="1">#REF!</definedName>
    <definedName name="_30__123Graph_XREALEX_WAGE" localSheetId="18" hidden="1">#REF!</definedName>
    <definedName name="_30__123Graph_XREALEX_WAGE" hidden="1">#REF!</definedName>
    <definedName name="_32__123Graph_XCHART_2" hidden="1">[4]A!$C$39:$AJ$39</definedName>
    <definedName name="_36__123Graph_XREALEX_WAGE" localSheetId="14" hidden="1">#REF!</definedName>
    <definedName name="_36__123Graph_XREALEX_WAGE" localSheetId="15" hidden="1">#REF!</definedName>
    <definedName name="_36__123Graph_XREALEX_WAGE" localSheetId="18" hidden="1">#REF!</definedName>
    <definedName name="_36__123Graph_XREALEX_WAGE" hidden="1">#REF!</definedName>
    <definedName name="_4__123Graph_ACHART_2" hidden="1">[4]A!$C$31:$AJ$31</definedName>
    <definedName name="_5__123Graph_AREALEX_WAGE" localSheetId="14" hidden="1">'[2]tab 19'!#REF!</definedName>
    <definedName name="_5__123Graph_AREALEX_WAGE" localSheetId="15" hidden="1">'[2]tab 19'!#REF!</definedName>
    <definedName name="_5__123Graph_AREALEX_WAGE" localSheetId="18" hidden="1">'[2]tab 19'!#REF!</definedName>
    <definedName name="_5__123Graph_AREALEX_WAGE" hidden="1">'[2]tab 19'!#REF!</definedName>
    <definedName name="_6__123Graph_ACHART_2" hidden="1">[4]A!$C$31:$AJ$31</definedName>
    <definedName name="_6__123Graph_AREALEX_WAGE" localSheetId="14" hidden="1">'[5]tab 19'!#REF!</definedName>
    <definedName name="_6__123Graph_AREALEX_WAGE" localSheetId="15" hidden="1">'[5]tab 19'!#REF!</definedName>
    <definedName name="_6__123Graph_AREALEX_WAGE" localSheetId="18" hidden="1">'[5]tab 19'!#REF!</definedName>
    <definedName name="_6__123Graph_AREALEX_WAGE" hidden="1">'[5]tab 19'!#REF!</definedName>
    <definedName name="_7__123Graph_BCHART_1" hidden="1">[4]A!$C$28:$AJ$28</definedName>
    <definedName name="_8__123Graph_AREALEX_WAGE" localSheetId="14" hidden="1">'[2]tab 19'!#REF!</definedName>
    <definedName name="_8__123Graph_AREALEX_WAGE" localSheetId="15" hidden="1">'[2]tab 19'!#REF!</definedName>
    <definedName name="_8__123Graph_AREALEX_WAGE" localSheetId="18" hidden="1">'[2]tab 19'!#REF!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localSheetId="14" hidden="1">[1]tab17!#REF!</definedName>
    <definedName name="_add21" localSheetId="15" hidden="1">[1]tab17!#REF!</definedName>
    <definedName name="_add21" localSheetId="18" hidden="1">[1]tab17!#REF!</definedName>
    <definedName name="_add21" hidden="1">[1]tab17!#REF!</definedName>
    <definedName name="_Key1" localSheetId="14" hidden="1">#REF!</definedName>
    <definedName name="_Key1" localSheetId="15" hidden="1">#REF!</definedName>
    <definedName name="_Key1" localSheetId="18" hidden="1">#REF!</definedName>
    <definedName name="_Key1" hidden="1">#REF!</definedName>
    <definedName name="_Key2" localSheetId="14" hidden="1">#REF!</definedName>
    <definedName name="_Key2" localSheetId="15" hidden="1">#REF!</definedName>
    <definedName name="_Key2" localSheetId="18" hidden="1">#REF!</definedName>
    <definedName name="_Key2" hidden="1">#REF!</definedName>
    <definedName name="_Order1" hidden="1">255</definedName>
    <definedName name="_Order2" hidden="1">0</definedName>
    <definedName name="_Parse_Out" localSheetId="14" hidden="1">#REF!</definedName>
    <definedName name="_Parse_Out" localSheetId="15" hidden="1">#REF!</definedName>
    <definedName name="_Parse_Out" localSheetId="18" hidden="1">#REF!</definedName>
    <definedName name="_Parse_Out" hidden="1">#REF!</definedName>
    <definedName name="_Sort" localSheetId="14" hidden="1">#REF!</definedName>
    <definedName name="_Sort" localSheetId="15" hidden="1">#REF!</definedName>
    <definedName name="_Sort" localSheetId="18" hidden="1">#REF!</definedName>
    <definedName name="_Sort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8">SUM('[7]Calculation of Risk Weighted As'!$C$41:$G$41)</definedName>
    <definedName name="rs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8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8" hidden="1">{"BOP_TAB",#N/A,FALSE,"N";"MIDTERM_TAB",#N/A,FALSE,"O"}</definedName>
    <definedName name="wrn.Input._.and._.output._.tables." localSheetId="18" hidden="1">{#N/A,#N/A,FALSE,"SimInp1";#N/A,#N/A,FALSE,"SimInp2";#N/A,#N/A,FALSE,"SimOut1";#N/A,#N/A,FALSE,"SimOut2";#N/A,#N/A,FALSE,"SimOut3";#N/A,#N/A,FALSE,"SimOut4";#N/A,#N/A,FALSE,"SimOut5"}</definedName>
    <definedName name="wrn.Input._.Report.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8" hidden="1">{"MONA",#N/A,FALSE,"S"}</definedName>
    <definedName name="wrn.Output._.tables." localSheetId="18" hidden="1">{#N/A,#N/A,FALSE,"I";#N/A,#N/A,FALSE,"J";#N/A,#N/A,FALSE,"K";#N/A,#N/A,FALSE,"L";#N/A,#N/A,FALSE,"M";#N/A,#N/A,FALSE,"N";#N/A,#N/A,FALSE,"O"}</definedName>
    <definedName name="wrn.WEO." localSheetId="18" hidden="1">{"WEO",#N/A,FALSE,"T"}</definedName>
    <definedName name="wrn.WEO." hidden="1">{"WEO",#N/A,FALSE,"T"}</definedName>
    <definedName name="апв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2">#REF!</definedName>
    <definedName name="_xlnm.Print_Area" localSheetId="9">' Largest risk'!$A$1:$Z$94</definedName>
    <definedName name="_xlnm.Print_Area" localSheetId="5">'Aging Analysis'!$A$1:$Y$39</definedName>
    <definedName name="_xlnm.Print_Area" localSheetId="2">'Analysis of Interest'!$A$1:$C$79</definedName>
    <definedName name="_xlnm.Print_Area" localSheetId="6">'Asset Classification'!$A$1:$AB$78</definedName>
    <definedName name="_xlnm.Print_Area" localSheetId="7">'Asset Provisioning'!$A$1:$AU$78</definedName>
    <definedName name="_xlnm.Print_Area" localSheetId="0">'Asset quality'!$A$1:$T$70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10">'Charge-offs and Recoveries'!$A$1:$J$53</definedName>
    <definedName name="_xlnm.Print_Area" localSheetId="16">'Economic Normatives'!$A$1:$K$49</definedName>
    <definedName name="_xlnm.Print_Area" localSheetId="1">'Income '!$A$1:$E$81</definedName>
    <definedName name="_xlnm.Print_Area" localSheetId="14">'IRRBB_fixed%'!$A$1:$BD$44</definedName>
    <definedName name="_xlnm.Print_Area" localSheetId="15">'IRRBB_floating%'!$A$1:$BD$44</definedName>
    <definedName name="_xlnm.Print_Area" localSheetId="4">'Loans Receivable'!$A$1:$Y$89</definedName>
    <definedName name="_xlnm.Print_Area" localSheetId="13">'loans type'!$A$1:$Z$46</definedName>
    <definedName name="_xlnm.Print_Area" localSheetId="11">'loans_av rate'!$A$1:$H$48</definedName>
    <definedName name="_xlnm.Print_Area" localSheetId="17">Miscellaneous!$A$1:$C$29</definedName>
    <definedName name="_xlnm.Print_Area" localSheetId="8">'Transactions of related parties'!$A$1:$Z$94</definedName>
    <definedName name="_xlnm.Print_Area" localSheetId="18">ПФУ!$A$1:$B$43</definedName>
    <definedName name="тмвюқт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8" i="49" l="1"/>
  <c r="L32" i="9"/>
  <c r="L15" i="9"/>
  <c r="T42" i="40" l="1"/>
  <c r="T35" i="40"/>
  <c r="C6" i="21" l="1"/>
  <c r="E31" i="49" l="1"/>
  <c r="AU31" i="49" l="1"/>
  <c r="AW31" i="49"/>
  <c r="AO31" i="49"/>
  <c r="AQ31" i="49"/>
  <c r="AI31" i="49"/>
  <c r="AK31" i="49"/>
  <c r="AC31" i="49"/>
  <c r="AE31" i="49"/>
  <c r="W31" i="49"/>
  <c r="Y31" i="49"/>
  <c r="K31" i="49"/>
  <c r="M31" i="49"/>
  <c r="G31" i="49"/>
  <c r="Q31" i="49"/>
  <c r="S31" i="49"/>
  <c r="BF32" i="49" l="1"/>
  <c r="BC39" i="52" l="1"/>
  <c r="BD39" i="52" s="1"/>
  <c r="BA39" i="52"/>
  <c r="BB39" i="52" s="1"/>
  <c r="AS39" i="52"/>
  <c r="AT39" i="52" s="1"/>
  <c r="AM39" i="52"/>
  <c r="AN39" i="52" s="1"/>
  <c r="AG39" i="52"/>
  <c r="AH39" i="52" s="1"/>
  <c r="AA39" i="52"/>
  <c r="AB39" i="52" s="1"/>
  <c r="U39" i="52"/>
  <c r="V39" i="52" s="1"/>
  <c r="O39" i="52"/>
  <c r="P39" i="52" s="1"/>
  <c r="I39" i="52"/>
  <c r="J39" i="52" s="1"/>
  <c r="C39" i="52"/>
  <c r="BC38" i="52"/>
  <c r="BD38" i="52" s="1"/>
  <c r="BA38" i="52"/>
  <c r="BB38" i="52" s="1"/>
  <c r="AS38" i="52"/>
  <c r="AT38" i="52" s="1"/>
  <c r="AM38" i="52"/>
  <c r="AN38" i="52" s="1"/>
  <c r="AG38" i="52"/>
  <c r="AH38" i="52" s="1"/>
  <c r="AA38" i="52"/>
  <c r="AB38" i="52" s="1"/>
  <c r="U38" i="52"/>
  <c r="V38" i="52" s="1"/>
  <c r="O38" i="52"/>
  <c r="P38" i="52" s="1"/>
  <c r="I38" i="52"/>
  <c r="J38" i="52" s="1"/>
  <c r="C38" i="52"/>
  <c r="D38" i="52" s="1"/>
  <c r="BC37" i="52"/>
  <c r="BD37" i="52" s="1"/>
  <c r="BA37" i="52"/>
  <c r="BB37" i="52" s="1"/>
  <c r="AS37" i="52"/>
  <c r="AT37" i="52" s="1"/>
  <c r="AM37" i="52"/>
  <c r="AN37" i="52" s="1"/>
  <c r="AG37" i="52"/>
  <c r="AH37" i="52" s="1"/>
  <c r="AA37" i="52"/>
  <c r="AB37" i="52" s="1"/>
  <c r="U37" i="52"/>
  <c r="V37" i="52" s="1"/>
  <c r="O37" i="52"/>
  <c r="P37" i="52" s="1"/>
  <c r="I37" i="52"/>
  <c r="J37" i="52" s="1"/>
  <c r="C37" i="52"/>
  <c r="BC36" i="52"/>
  <c r="BD36" i="52" s="1"/>
  <c r="BA36" i="52"/>
  <c r="BB36" i="52" s="1"/>
  <c r="AS36" i="52"/>
  <c r="AT36" i="52" s="1"/>
  <c r="AM36" i="52"/>
  <c r="AN36" i="52" s="1"/>
  <c r="AG36" i="52"/>
  <c r="AH36" i="52" s="1"/>
  <c r="AA36" i="52"/>
  <c r="AB36" i="52" s="1"/>
  <c r="U36" i="52"/>
  <c r="V36" i="52" s="1"/>
  <c r="O36" i="52"/>
  <c r="P36" i="52" s="1"/>
  <c r="I36" i="52"/>
  <c r="J36" i="52" s="1"/>
  <c r="C36" i="52"/>
  <c r="BC35" i="52"/>
  <c r="BD35" i="52" s="1"/>
  <c r="BA35" i="52"/>
  <c r="BB35" i="52" s="1"/>
  <c r="AS35" i="52"/>
  <c r="AT35" i="52" s="1"/>
  <c r="AM35" i="52"/>
  <c r="AN35" i="52" s="1"/>
  <c r="AG35" i="52"/>
  <c r="AH35" i="52" s="1"/>
  <c r="AA35" i="52"/>
  <c r="AB35" i="52" s="1"/>
  <c r="U35" i="52"/>
  <c r="V35" i="52" s="1"/>
  <c r="O35" i="52"/>
  <c r="P35" i="52" s="1"/>
  <c r="I35" i="52"/>
  <c r="J35" i="52" s="1"/>
  <c r="C35" i="52"/>
  <c r="BC34" i="52"/>
  <c r="BD34" i="52" s="1"/>
  <c r="BA34" i="52"/>
  <c r="BB34" i="52" s="1"/>
  <c r="AS34" i="52"/>
  <c r="AT34" i="52" s="1"/>
  <c r="AM34" i="52"/>
  <c r="AN34" i="52" s="1"/>
  <c r="AG34" i="52"/>
  <c r="AH34" i="52" s="1"/>
  <c r="AA34" i="52"/>
  <c r="AB34" i="52" s="1"/>
  <c r="U34" i="52"/>
  <c r="V34" i="52" s="1"/>
  <c r="O34" i="52"/>
  <c r="P34" i="52" s="1"/>
  <c r="I34" i="52"/>
  <c r="J34" i="52" s="1"/>
  <c r="C34" i="52"/>
  <c r="BC32" i="52"/>
  <c r="BD32" i="52" s="1"/>
  <c r="BA32" i="52"/>
  <c r="BB32" i="52" s="1"/>
  <c r="AS32" i="52"/>
  <c r="AT32" i="52" s="1"/>
  <c r="AM32" i="52"/>
  <c r="AN32" i="52" s="1"/>
  <c r="AG32" i="52"/>
  <c r="AH32" i="52" s="1"/>
  <c r="AA32" i="52"/>
  <c r="AB32" i="52" s="1"/>
  <c r="U32" i="52"/>
  <c r="V32" i="52" s="1"/>
  <c r="O32" i="52"/>
  <c r="P32" i="52" s="1"/>
  <c r="I32" i="52"/>
  <c r="J32" i="52" s="1"/>
  <c r="C32" i="52"/>
  <c r="D32" i="52" s="1"/>
  <c r="BC31" i="52"/>
  <c r="BD31" i="52" s="1"/>
  <c r="BA31" i="52"/>
  <c r="BB31" i="52" s="1"/>
  <c r="AS31" i="52"/>
  <c r="AT31" i="52" s="1"/>
  <c r="AM31" i="52"/>
  <c r="AN31" i="52" s="1"/>
  <c r="AG31" i="52"/>
  <c r="AH31" i="52" s="1"/>
  <c r="AA31" i="52"/>
  <c r="AB31" i="52" s="1"/>
  <c r="U31" i="52"/>
  <c r="V31" i="52" s="1"/>
  <c r="O31" i="52"/>
  <c r="P31" i="52" s="1"/>
  <c r="I31" i="52"/>
  <c r="J31" i="52" s="1"/>
  <c r="C31" i="52"/>
  <c r="D31" i="52" s="1"/>
  <c r="AW30" i="52"/>
  <c r="AX30" i="52" s="1"/>
  <c r="AU30" i="52"/>
  <c r="AV30" i="52" s="1"/>
  <c r="AQ30" i="52"/>
  <c r="AR30" i="52" s="1"/>
  <c r="AO30" i="52"/>
  <c r="AP30" i="52" s="1"/>
  <c r="AK30" i="52"/>
  <c r="AI30" i="52"/>
  <c r="AJ30" i="52" s="1"/>
  <c r="AE30" i="52"/>
  <c r="AF30" i="52" s="1"/>
  <c r="AC30" i="52"/>
  <c r="AD30" i="52" s="1"/>
  <c r="Y30" i="52"/>
  <c r="Z30" i="52" s="1"/>
  <c r="W30" i="52"/>
  <c r="X30" i="52" s="1"/>
  <c r="S30" i="52"/>
  <c r="T30" i="52" s="1"/>
  <c r="Q30" i="52"/>
  <c r="R30" i="52" s="1"/>
  <c r="M30" i="52"/>
  <c r="N30" i="52" s="1"/>
  <c r="K30" i="52"/>
  <c r="G30" i="52"/>
  <c r="H30" i="52" s="1"/>
  <c r="E30" i="52"/>
  <c r="BC29" i="52"/>
  <c r="BD29" i="52" s="1"/>
  <c r="BA29" i="52"/>
  <c r="BB29" i="52" s="1"/>
  <c r="AS29" i="52"/>
  <c r="AT29" i="52" s="1"/>
  <c r="AM29" i="52"/>
  <c r="AN29" i="52" s="1"/>
  <c r="AG29" i="52"/>
  <c r="AH29" i="52" s="1"/>
  <c r="AA29" i="52"/>
  <c r="AB29" i="52" s="1"/>
  <c r="U29" i="52"/>
  <c r="V29" i="52" s="1"/>
  <c r="O29" i="52"/>
  <c r="P29" i="52" s="1"/>
  <c r="I29" i="52"/>
  <c r="J29" i="52" s="1"/>
  <c r="C29" i="52"/>
  <c r="D29" i="52" s="1"/>
  <c r="BC28" i="52"/>
  <c r="BD28" i="52" s="1"/>
  <c r="BA28" i="52"/>
  <c r="BB28" i="52" s="1"/>
  <c r="AS28" i="52"/>
  <c r="AT28" i="52" s="1"/>
  <c r="AM28" i="52"/>
  <c r="AN28" i="52" s="1"/>
  <c r="AG28" i="52"/>
  <c r="AH28" i="52" s="1"/>
  <c r="AA28" i="52"/>
  <c r="AB28" i="52" s="1"/>
  <c r="U28" i="52"/>
  <c r="V28" i="52" s="1"/>
  <c r="O28" i="52"/>
  <c r="P28" i="52" s="1"/>
  <c r="I28" i="52"/>
  <c r="J28" i="52" s="1"/>
  <c r="C28" i="52"/>
  <c r="D28" i="52" s="1"/>
  <c r="BC27" i="52"/>
  <c r="BD27" i="52" s="1"/>
  <c r="BA27" i="52"/>
  <c r="BB27" i="52" s="1"/>
  <c r="AS27" i="52"/>
  <c r="AT27" i="52" s="1"/>
  <c r="AM27" i="52"/>
  <c r="AN27" i="52" s="1"/>
  <c r="AG27" i="52"/>
  <c r="AH27" i="52" s="1"/>
  <c r="AA27" i="52"/>
  <c r="AB27" i="52" s="1"/>
  <c r="U27" i="52"/>
  <c r="V27" i="52" s="1"/>
  <c r="O27" i="52"/>
  <c r="P27" i="52" s="1"/>
  <c r="I27" i="52"/>
  <c r="J27" i="52" s="1"/>
  <c r="C27" i="52"/>
  <c r="BC26" i="52"/>
  <c r="BD26" i="52" s="1"/>
  <c r="BA26" i="52"/>
  <c r="BB26" i="52" s="1"/>
  <c r="AS26" i="52"/>
  <c r="AT26" i="52" s="1"/>
  <c r="AM26" i="52"/>
  <c r="AN26" i="52" s="1"/>
  <c r="AG26" i="52"/>
  <c r="AH26" i="52" s="1"/>
  <c r="AA26" i="52"/>
  <c r="AB26" i="52" s="1"/>
  <c r="U26" i="52"/>
  <c r="V26" i="52" s="1"/>
  <c r="O26" i="52"/>
  <c r="P26" i="52" s="1"/>
  <c r="I26" i="52"/>
  <c r="J26" i="52" s="1"/>
  <c r="C26" i="52"/>
  <c r="BC25" i="52"/>
  <c r="BD25" i="52" s="1"/>
  <c r="BA25" i="52"/>
  <c r="BB25" i="52" s="1"/>
  <c r="AS25" i="52"/>
  <c r="AT25" i="52" s="1"/>
  <c r="AM25" i="52"/>
  <c r="AN25" i="52" s="1"/>
  <c r="AG25" i="52"/>
  <c r="AH25" i="52" s="1"/>
  <c r="AA25" i="52"/>
  <c r="AB25" i="52" s="1"/>
  <c r="U25" i="52"/>
  <c r="V25" i="52" s="1"/>
  <c r="O25" i="52"/>
  <c r="P25" i="52" s="1"/>
  <c r="I25" i="52"/>
  <c r="J25" i="52" s="1"/>
  <c r="C25" i="52"/>
  <c r="AW24" i="52"/>
  <c r="AU24" i="52"/>
  <c r="AV24" i="52" s="1"/>
  <c r="AQ24" i="52"/>
  <c r="AO24" i="52"/>
  <c r="AK24" i="52"/>
  <c r="AL24" i="52" s="1"/>
  <c r="AI24" i="52"/>
  <c r="AE24" i="52"/>
  <c r="AF24" i="52" s="1"/>
  <c r="AC24" i="52"/>
  <c r="Y24" i="52"/>
  <c r="W24" i="52"/>
  <c r="X24" i="52" s="1"/>
  <c r="S24" i="52"/>
  <c r="Q24" i="52"/>
  <c r="R24" i="52" s="1"/>
  <c r="M24" i="52"/>
  <c r="N24" i="52" s="1"/>
  <c r="K24" i="52"/>
  <c r="G24" i="52"/>
  <c r="E24" i="52"/>
  <c r="AW21" i="52"/>
  <c r="AX21" i="52" s="1"/>
  <c r="AU21" i="52"/>
  <c r="AV21" i="52" s="1"/>
  <c r="AQ21" i="52"/>
  <c r="AR21" i="52" s="1"/>
  <c r="AO21" i="52"/>
  <c r="AP21" i="52" s="1"/>
  <c r="AK21" i="52"/>
  <c r="AL21" i="52" s="1"/>
  <c r="AI21" i="52"/>
  <c r="AJ21" i="52" s="1"/>
  <c r="AE21" i="52"/>
  <c r="AF21" i="52" s="1"/>
  <c r="AC21" i="52"/>
  <c r="AD21" i="52" s="1"/>
  <c r="Y21" i="52"/>
  <c r="Z21" i="52" s="1"/>
  <c r="W21" i="52"/>
  <c r="X21" i="52" s="1"/>
  <c r="S21" i="52"/>
  <c r="T21" i="52" s="1"/>
  <c r="Q21" i="52"/>
  <c r="R21" i="52" s="1"/>
  <c r="M21" i="52"/>
  <c r="N21" i="52" s="1"/>
  <c r="K21" i="52"/>
  <c r="L21" i="52" s="1"/>
  <c r="G21" i="52"/>
  <c r="H21" i="52" s="1"/>
  <c r="E21" i="52"/>
  <c r="F21" i="52" s="1"/>
  <c r="BC20" i="52"/>
  <c r="BD20" i="52" s="1"/>
  <c r="BA20" i="52"/>
  <c r="BB20" i="52" s="1"/>
  <c r="AS20" i="52"/>
  <c r="AT20" i="52" s="1"/>
  <c r="AM20" i="52"/>
  <c r="AN20" i="52" s="1"/>
  <c r="AG20" i="52"/>
  <c r="AH20" i="52" s="1"/>
  <c r="AA20" i="52"/>
  <c r="AB20" i="52" s="1"/>
  <c r="U20" i="52"/>
  <c r="V20" i="52" s="1"/>
  <c r="O20" i="52"/>
  <c r="P20" i="52" s="1"/>
  <c r="I20" i="52"/>
  <c r="J20" i="52" s="1"/>
  <c r="C20" i="52"/>
  <c r="BC19" i="52"/>
  <c r="BD19" i="52" s="1"/>
  <c r="BA19" i="52"/>
  <c r="BB19" i="52" s="1"/>
  <c r="AS19" i="52"/>
  <c r="AT19" i="52" s="1"/>
  <c r="AM19" i="52"/>
  <c r="AN19" i="52" s="1"/>
  <c r="AG19" i="52"/>
  <c r="AH19" i="52" s="1"/>
  <c r="AA19" i="52"/>
  <c r="AB19" i="52" s="1"/>
  <c r="U19" i="52"/>
  <c r="V19" i="52" s="1"/>
  <c r="O19" i="52"/>
  <c r="P19" i="52" s="1"/>
  <c r="I19" i="52"/>
  <c r="J19" i="52" s="1"/>
  <c r="C19" i="52"/>
  <c r="BC18" i="52"/>
  <c r="BD18" i="52" s="1"/>
  <c r="BA18" i="52"/>
  <c r="BB18" i="52" s="1"/>
  <c r="AS18" i="52"/>
  <c r="AT18" i="52" s="1"/>
  <c r="AM18" i="52"/>
  <c r="AN18" i="52" s="1"/>
  <c r="AG18" i="52"/>
  <c r="AH18" i="52" s="1"/>
  <c r="AA18" i="52"/>
  <c r="AB18" i="52" s="1"/>
  <c r="U18" i="52"/>
  <c r="V18" i="52" s="1"/>
  <c r="O18" i="52"/>
  <c r="P18" i="52" s="1"/>
  <c r="I18" i="52"/>
  <c r="J18" i="52" s="1"/>
  <c r="C18" i="52"/>
  <c r="BC17" i="52"/>
  <c r="BD17" i="52" s="1"/>
  <c r="BA17" i="52"/>
  <c r="BB17" i="52" s="1"/>
  <c r="AS17" i="52"/>
  <c r="AT17" i="52" s="1"/>
  <c r="AM17" i="52"/>
  <c r="AN17" i="52" s="1"/>
  <c r="AG17" i="52"/>
  <c r="AH17" i="52" s="1"/>
  <c r="AA17" i="52"/>
  <c r="AB17" i="52" s="1"/>
  <c r="U17" i="52"/>
  <c r="V17" i="52" s="1"/>
  <c r="O17" i="52"/>
  <c r="I17" i="52"/>
  <c r="J17" i="52" s="1"/>
  <c r="C17" i="52"/>
  <c r="BC16" i="52"/>
  <c r="BD16" i="52" s="1"/>
  <c r="BA16" i="52"/>
  <c r="BB16" i="52" s="1"/>
  <c r="AS16" i="52"/>
  <c r="AT16" i="52" s="1"/>
  <c r="AM16" i="52"/>
  <c r="AN16" i="52" s="1"/>
  <c r="AG16" i="52"/>
  <c r="AH16" i="52" s="1"/>
  <c r="AA16" i="52"/>
  <c r="AB16" i="52" s="1"/>
  <c r="U16" i="52"/>
  <c r="V16" i="52" s="1"/>
  <c r="O16" i="52"/>
  <c r="P16" i="52" s="1"/>
  <c r="I16" i="52"/>
  <c r="J16" i="52" s="1"/>
  <c r="C16" i="52"/>
  <c r="D16" i="52" s="1"/>
  <c r="BC15" i="52"/>
  <c r="BD15" i="52" s="1"/>
  <c r="BA15" i="52"/>
  <c r="BB15" i="52" s="1"/>
  <c r="AS15" i="52"/>
  <c r="AT15" i="52" s="1"/>
  <c r="AM15" i="52"/>
  <c r="AN15" i="52" s="1"/>
  <c r="AH15" i="52"/>
  <c r="AG15" i="52"/>
  <c r="AA15" i="52"/>
  <c r="AB15" i="52" s="1"/>
  <c r="U15" i="52"/>
  <c r="V15" i="52" s="1"/>
  <c r="O15" i="52"/>
  <c r="P15" i="52" s="1"/>
  <c r="I15" i="52"/>
  <c r="J15" i="52" s="1"/>
  <c r="C15" i="52"/>
  <c r="BC14" i="52"/>
  <c r="BD14" i="52" s="1"/>
  <c r="BA14" i="52"/>
  <c r="BB14" i="52" s="1"/>
  <c r="AS14" i="52"/>
  <c r="AT14" i="52" s="1"/>
  <c r="AM14" i="52"/>
  <c r="AN14" i="52" s="1"/>
  <c r="AG14" i="52"/>
  <c r="AH14" i="52" s="1"/>
  <c r="AA14" i="52"/>
  <c r="AB14" i="52" s="1"/>
  <c r="U14" i="52"/>
  <c r="V14" i="52" s="1"/>
  <c r="O14" i="52"/>
  <c r="P14" i="52" s="1"/>
  <c r="I14" i="52"/>
  <c r="J14" i="52" s="1"/>
  <c r="C14" i="52"/>
  <c r="D14" i="52" s="1"/>
  <c r="BC13" i="52"/>
  <c r="BD13" i="52" s="1"/>
  <c r="BA13" i="52"/>
  <c r="BB13" i="52" s="1"/>
  <c r="AS13" i="52"/>
  <c r="AT13" i="52" s="1"/>
  <c r="AM13" i="52"/>
  <c r="AN13" i="52" s="1"/>
  <c r="AG13" i="52"/>
  <c r="AH13" i="52" s="1"/>
  <c r="AA13" i="52"/>
  <c r="AB13" i="52" s="1"/>
  <c r="U13" i="52"/>
  <c r="V13" i="52" s="1"/>
  <c r="O13" i="52"/>
  <c r="P13" i="52" s="1"/>
  <c r="I13" i="52"/>
  <c r="J13" i="52" s="1"/>
  <c r="C13" i="52"/>
  <c r="D13" i="52" s="1"/>
  <c r="BC12" i="52"/>
  <c r="BD12" i="52" s="1"/>
  <c r="BA12" i="52"/>
  <c r="BB12" i="52" s="1"/>
  <c r="AS12" i="52"/>
  <c r="AT12" i="52" s="1"/>
  <c r="AM12" i="52"/>
  <c r="AN12" i="52" s="1"/>
  <c r="AG12" i="52"/>
  <c r="AH12" i="52" s="1"/>
  <c r="AA12" i="52"/>
  <c r="AB12" i="52" s="1"/>
  <c r="U12" i="52"/>
  <c r="V12" i="52" s="1"/>
  <c r="O12" i="52"/>
  <c r="P12" i="52" s="1"/>
  <c r="I12" i="52"/>
  <c r="J12" i="52" s="1"/>
  <c r="C12" i="52"/>
  <c r="BC11" i="52"/>
  <c r="BD11" i="52" s="1"/>
  <c r="BA11" i="52"/>
  <c r="BB11" i="52" s="1"/>
  <c r="AS11" i="52"/>
  <c r="AT11" i="52" s="1"/>
  <c r="AM11" i="52"/>
  <c r="AN11" i="52" s="1"/>
  <c r="AG11" i="52"/>
  <c r="AH11" i="52" s="1"/>
  <c r="AA11" i="52"/>
  <c r="AB11" i="52" s="1"/>
  <c r="U11" i="52"/>
  <c r="V11" i="52" s="1"/>
  <c r="O11" i="52"/>
  <c r="P11" i="52" s="1"/>
  <c r="I11" i="52"/>
  <c r="J11" i="52" s="1"/>
  <c r="C11" i="52"/>
  <c r="BC10" i="52"/>
  <c r="BD10" i="52" s="1"/>
  <c r="BA10" i="52"/>
  <c r="BB10" i="52" s="1"/>
  <c r="AS10" i="52"/>
  <c r="AT10" i="52" s="1"/>
  <c r="AM10" i="52"/>
  <c r="AN10" i="52" s="1"/>
  <c r="AG10" i="52"/>
  <c r="AH10" i="52" s="1"/>
  <c r="AA10" i="52"/>
  <c r="AB10" i="52" s="1"/>
  <c r="U10" i="52"/>
  <c r="V10" i="52" s="1"/>
  <c r="O10" i="52"/>
  <c r="P10" i="52" s="1"/>
  <c r="I10" i="52"/>
  <c r="J10" i="52" s="1"/>
  <c r="C10" i="52"/>
  <c r="D10" i="52" s="1"/>
  <c r="BC9" i="52"/>
  <c r="BD9" i="52" s="1"/>
  <c r="BA9" i="52"/>
  <c r="BB9" i="52" s="1"/>
  <c r="AS9" i="52"/>
  <c r="AT9" i="52" s="1"/>
  <c r="AM9" i="52"/>
  <c r="AN9" i="52" s="1"/>
  <c r="AG9" i="52"/>
  <c r="AH9" i="52" s="1"/>
  <c r="AA9" i="52"/>
  <c r="AB9" i="52" s="1"/>
  <c r="U9" i="52"/>
  <c r="V9" i="52" s="1"/>
  <c r="O9" i="52"/>
  <c r="I9" i="52"/>
  <c r="J9" i="52" s="1"/>
  <c r="C9" i="52"/>
  <c r="BC8" i="52"/>
  <c r="BA8" i="52"/>
  <c r="BB8" i="52" s="1"/>
  <c r="AS8" i="52"/>
  <c r="AT8" i="52" s="1"/>
  <c r="AM8" i="52"/>
  <c r="AG8" i="52"/>
  <c r="AA8" i="52"/>
  <c r="AB8" i="52" s="1"/>
  <c r="U8" i="52"/>
  <c r="V8" i="52" s="1"/>
  <c r="O8" i="52"/>
  <c r="P8" i="52" s="1"/>
  <c r="I8" i="52"/>
  <c r="J8" i="52" s="1"/>
  <c r="C8" i="52"/>
  <c r="D8" i="52" s="1"/>
  <c r="BC39" i="49"/>
  <c r="BD39" i="49" s="1"/>
  <c r="BA39" i="49"/>
  <c r="BB39" i="49" s="1"/>
  <c r="AS39" i="49"/>
  <c r="AT39" i="49" s="1"/>
  <c r="AM39" i="49"/>
  <c r="AN39" i="49" s="1"/>
  <c r="AG39" i="49"/>
  <c r="AH39" i="49" s="1"/>
  <c r="AA39" i="49"/>
  <c r="AB39" i="49" s="1"/>
  <c r="U39" i="49"/>
  <c r="V39" i="49" s="1"/>
  <c r="O39" i="49"/>
  <c r="P39" i="49" s="1"/>
  <c r="I39" i="49"/>
  <c r="J39" i="49" s="1"/>
  <c r="C39" i="49"/>
  <c r="BC38" i="49"/>
  <c r="BD38" i="49" s="1"/>
  <c r="BA38" i="49"/>
  <c r="BB38" i="49" s="1"/>
  <c r="AS38" i="49"/>
  <c r="AT38" i="49" s="1"/>
  <c r="AM38" i="49"/>
  <c r="AN38" i="49" s="1"/>
  <c r="AG38" i="49"/>
  <c r="AH38" i="49" s="1"/>
  <c r="AA38" i="49"/>
  <c r="AB38" i="49" s="1"/>
  <c r="U38" i="49"/>
  <c r="V38" i="49" s="1"/>
  <c r="O38" i="49"/>
  <c r="P38" i="49" s="1"/>
  <c r="I38" i="49"/>
  <c r="J38" i="49" s="1"/>
  <c r="C38" i="49"/>
  <c r="BC37" i="49"/>
  <c r="BD37" i="49" s="1"/>
  <c r="BA37" i="49"/>
  <c r="BB37" i="49" s="1"/>
  <c r="AS37" i="49"/>
  <c r="AT37" i="49" s="1"/>
  <c r="AM37" i="49"/>
  <c r="AN37" i="49" s="1"/>
  <c r="AG37" i="49"/>
  <c r="AH37" i="49" s="1"/>
  <c r="AA37" i="49"/>
  <c r="AB37" i="49" s="1"/>
  <c r="U37" i="49"/>
  <c r="V37" i="49" s="1"/>
  <c r="O37" i="49"/>
  <c r="P37" i="49" s="1"/>
  <c r="I37" i="49"/>
  <c r="J37" i="49" s="1"/>
  <c r="C37" i="49"/>
  <c r="D37" i="49" s="1"/>
  <c r="BC36" i="49"/>
  <c r="BD36" i="49" s="1"/>
  <c r="BA36" i="49"/>
  <c r="BB36" i="49" s="1"/>
  <c r="AS36" i="49"/>
  <c r="AT36" i="49" s="1"/>
  <c r="AM36" i="49"/>
  <c r="AN36" i="49" s="1"/>
  <c r="AG36" i="49"/>
  <c r="AH36" i="49" s="1"/>
  <c r="AA36" i="49"/>
  <c r="AB36" i="49" s="1"/>
  <c r="U36" i="49"/>
  <c r="V36" i="49" s="1"/>
  <c r="O36" i="49"/>
  <c r="P36" i="49" s="1"/>
  <c r="I36" i="49"/>
  <c r="J36" i="49" s="1"/>
  <c r="C36" i="49"/>
  <c r="BC35" i="49"/>
  <c r="BD35" i="49" s="1"/>
  <c r="BA35" i="49"/>
  <c r="BB35" i="49" s="1"/>
  <c r="AS35" i="49"/>
  <c r="AT35" i="49" s="1"/>
  <c r="AM35" i="49"/>
  <c r="AN35" i="49" s="1"/>
  <c r="AG35" i="49"/>
  <c r="AH35" i="49" s="1"/>
  <c r="AA35" i="49"/>
  <c r="AB35" i="49" s="1"/>
  <c r="U35" i="49"/>
  <c r="V35" i="49" s="1"/>
  <c r="O35" i="49"/>
  <c r="P35" i="49" s="1"/>
  <c r="I35" i="49"/>
  <c r="J35" i="49" s="1"/>
  <c r="C35" i="49"/>
  <c r="BC34" i="49"/>
  <c r="BD34" i="49" s="1"/>
  <c r="BA34" i="49"/>
  <c r="BB34" i="49" s="1"/>
  <c r="AS34" i="49"/>
  <c r="AT34" i="49" s="1"/>
  <c r="AM34" i="49"/>
  <c r="AN34" i="49" s="1"/>
  <c r="AG34" i="49"/>
  <c r="AH34" i="49" s="1"/>
  <c r="AA34" i="49"/>
  <c r="AB34" i="49" s="1"/>
  <c r="U34" i="49"/>
  <c r="V34" i="49" s="1"/>
  <c r="O34" i="49"/>
  <c r="P34" i="49" s="1"/>
  <c r="I34" i="49"/>
  <c r="J34" i="49" s="1"/>
  <c r="C34" i="49"/>
  <c r="BC32" i="49"/>
  <c r="BD32" i="49" s="1"/>
  <c r="BA32" i="49"/>
  <c r="BB32" i="49" s="1"/>
  <c r="AS32" i="49"/>
  <c r="AT32" i="49" s="1"/>
  <c r="AM32" i="49"/>
  <c r="AN32" i="49" s="1"/>
  <c r="AG32" i="49"/>
  <c r="AH32" i="49" s="1"/>
  <c r="AA32" i="49"/>
  <c r="AB32" i="49" s="1"/>
  <c r="U32" i="49"/>
  <c r="V32" i="49" s="1"/>
  <c r="O32" i="49"/>
  <c r="P32" i="49" s="1"/>
  <c r="I32" i="49"/>
  <c r="J32" i="49" s="1"/>
  <c r="C32" i="49"/>
  <c r="D32" i="49" s="1"/>
  <c r="BC31" i="49"/>
  <c r="BD31" i="49" s="1"/>
  <c r="BA31" i="49"/>
  <c r="BB31" i="49" s="1"/>
  <c r="AS31" i="49"/>
  <c r="AT31" i="49" s="1"/>
  <c r="AM31" i="49"/>
  <c r="AN31" i="49" s="1"/>
  <c r="AG31" i="49"/>
  <c r="AH31" i="49" s="1"/>
  <c r="AA31" i="49"/>
  <c r="AB31" i="49" s="1"/>
  <c r="U31" i="49"/>
  <c r="V31" i="49" s="1"/>
  <c r="O31" i="49"/>
  <c r="P31" i="49" s="1"/>
  <c r="I31" i="49"/>
  <c r="J31" i="49" s="1"/>
  <c r="C31" i="49"/>
  <c r="AW30" i="49"/>
  <c r="AU30" i="49"/>
  <c r="AV30" i="49" s="1"/>
  <c r="AQ30" i="49"/>
  <c r="AR30" i="49" s="1"/>
  <c r="AO30" i="49"/>
  <c r="AP30" i="49" s="1"/>
  <c r="AK30" i="49"/>
  <c r="AL30" i="49" s="1"/>
  <c r="AI30" i="49"/>
  <c r="AJ30" i="49" s="1"/>
  <c r="AE30" i="49"/>
  <c r="AC30" i="49"/>
  <c r="AD30" i="49" s="1"/>
  <c r="Y30" i="49"/>
  <c r="Z30" i="49" s="1"/>
  <c r="W30" i="49"/>
  <c r="X30" i="49" s="1"/>
  <c r="S30" i="49"/>
  <c r="T30" i="49" s="1"/>
  <c r="Q30" i="49"/>
  <c r="M30" i="49"/>
  <c r="N30" i="49" s="1"/>
  <c r="K30" i="49"/>
  <c r="L30" i="49" s="1"/>
  <c r="G30" i="49"/>
  <c r="E30" i="49"/>
  <c r="BC29" i="49"/>
  <c r="BD29" i="49" s="1"/>
  <c r="BA29" i="49"/>
  <c r="BB29" i="49" s="1"/>
  <c r="AS29" i="49"/>
  <c r="AT29" i="49" s="1"/>
  <c r="AM29" i="49"/>
  <c r="AN29" i="49" s="1"/>
  <c r="AG29" i="49"/>
  <c r="AH29" i="49" s="1"/>
  <c r="AA29" i="49"/>
  <c r="AB29" i="49" s="1"/>
  <c r="U29" i="49"/>
  <c r="V29" i="49" s="1"/>
  <c r="O29" i="49"/>
  <c r="P29" i="49" s="1"/>
  <c r="I29" i="49"/>
  <c r="J29" i="49" s="1"/>
  <c r="C29" i="49"/>
  <c r="D29" i="49" s="1"/>
  <c r="BC28" i="49"/>
  <c r="BD28" i="49" s="1"/>
  <c r="BA28" i="49"/>
  <c r="BB28" i="49" s="1"/>
  <c r="AS28" i="49"/>
  <c r="AT28" i="49" s="1"/>
  <c r="AM28" i="49"/>
  <c r="AN28" i="49" s="1"/>
  <c r="AG28" i="49"/>
  <c r="AH28" i="49" s="1"/>
  <c r="AA28" i="49"/>
  <c r="AB28" i="49" s="1"/>
  <c r="U28" i="49"/>
  <c r="V28" i="49" s="1"/>
  <c r="O28" i="49"/>
  <c r="P28" i="49" s="1"/>
  <c r="I28" i="49"/>
  <c r="J28" i="49" s="1"/>
  <c r="C28" i="49"/>
  <c r="BC27" i="49"/>
  <c r="BD27" i="49" s="1"/>
  <c r="BA27" i="49"/>
  <c r="BB27" i="49" s="1"/>
  <c r="AS27" i="49"/>
  <c r="AT27" i="49" s="1"/>
  <c r="AM27" i="49"/>
  <c r="AN27" i="49" s="1"/>
  <c r="AG27" i="49"/>
  <c r="AH27" i="49" s="1"/>
  <c r="AA27" i="49"/>
  <c r="AB27" i="49" s="1"/>
  <c r="U27" i="49"/>
  <c r="V27" i="49" s="1"/>
  <c r="O27" i="49"/>
  <c r="P27" i="49" s="1"/>
  <c r="I27" i="49"/>
  <c r="J27" i="49" s="1"/>
  <c r="C27" i="49"/>
  <c r="BC26" i="49"/>
  <c r="BD26" i="49" s="1"/>
  <c r="BA26" i="49"/>
  <c r="BB26" i="49" s="1"/>
  <c r="AS26" i="49"/>
  <c r="AT26" i="49" s="1"/>
  <c r="AM26" i="49"/>
  <c r="AN26" i="49" s="1"/>
  <c r="AG26" i="49"/>
  <c r="AH26" i="49" s="1"/>
  <c r="AA26" i="49"/>
  <c r="AB26" i="49" s="1"/>
  <c r="U26" i="49"/>
  <c r="V26" i="49" s="1"/>
  <c r="O26" i="49"/>
  <c r="P26" i="49" s="1"/>
  <c r="I26" i="49"/>
  <c r="J26" i="49" s="1"/>
  <c r="C26" i="49"/>
  <c r="BC25" i="49"/>
  <c r="BD25" i="49" s="1"/>
  <c r="BA25" i="49"/>
  <c r="BB25" i="49" s="1"/>
  <c r="AS25" i="49"/>
  <c r="AT25" i="49" s="1"/>
  <c r="AM25" i="49"/>
  <c r="AN25" i="49" s="1"/>
  <c r="AG25" i="49"/>
  <c r="AH25" i="49" s="1"/>
  <c r="AA25" i="49"/>
  <c r="AB25" i="49" s="1"/>
  <c r="U25" i="49"/>
  <c r="V25" i="49" s="1"/>
  <c r="O25" i="49"/>
  <c r="P25" i="49" s="1"/>
  <c r="I25" i="49"/>
  <c r="J25" i="49" s="1"/>
  <c r="C25" i="49"/>
  <c r="AW24" i="49"/>
  <c r="AX24" i="49" s="1"/>
  <c r="AU24" i="49"/>
  <c r="AQ24" i="49"/>
  <c r="AO24" i="49"/>
  <c r="AK24" i="49"/>
  <c r="AL24" i="49" s="1"/>
  <c r="AI24" i="49"/>
  <c r="AJ24" i="49" s="1"/>
  <c r="AE24" i="49"/>
  <c r="AC24" i="49"/>
  <c r="AD24" i="49" s="1"/>
  <c r="Y24" i="49"/>
  <c r="W24" i="49"/>
  <c r="X24" i="49" s="1"/>
  <c r="S24" i="49"/>
  <c r="Q24" i="49"/>
  <c r="R24" i="49" s="1"/>
  <c r="M24" i="49"/>
  <c r="N24" i="49" s="1"/>
  <c r="K24" i="49"/>
  <c r="G24" i="49"/>
  <c r="E24" i="49"/>
  <c r="AW21" i="49"/>
  <c r="AX21" i="49" s="1"/>
  <c r="AU21" i="49"/>
  <c r="AV21" i="49" s="1"/>
  <c r="AQ21" i="49"/>
  <c r="AR21" i="49" s="1"/>
  <c r="AO21" i="49"/>
  <c r="AP21" i="49" s="1"/>
  <c r="AK21" i="49"/>
  <c r="AL21" i="49" s="1"/>
  <c r="AI21" i="49"/>
  <c r="AJ21" i="49" s="1"/>
  <c r="AE21" i="49"/>
  <c r="AF21" i="49" s="1"/>
  <c r="AC21" i="49"/>
  <c r="AD21" i="49" s="1"/>
  <c r="Y21" i="49"/>
  <c r="Z21" i="49" s="1"/>
  <c r="W21" i="49"/>
  <c r="X21" i="49" s="1"/>
  <c r="S21" i="49"/>
  <c r="T21" i="49" s="1"/>
  <c r="Q21" i="49"/>
  <c r="R21" i="49" s="1"/>
  <c r="M21" i="49"/>
  <c r="N21" i="49" s="1"/>
  <c r="K21" i="49"/>
  <c r="L21" i="49" s="1"/>
  <c r="G21" i="49"/>
  <c r="H21" i="49" s="1"/>
  <c r="E21" i="49"/>
  <c r="F21" i="49" s="1"/>
  <c r="BC20" i="49"/>
  <c r="BD20" i="49" s="1"/>
  <c r="BA20" i="49"/>
  <c r="BB20" i="49" s="1"/>
  <c r="AS20" i="49"/>
  <c r="AT20" i="49" s="1"/>
  <c r="AM20" i="49"/>
  <c r="AN20" i="49" s="1"/>
  <c r="AG20" i="49"/>
  <c r="AH20" i="49" s="1"/>
  <c r="AA20" i="49"/>
  <c r="AB20" i="49" s="1"/>
  <c r="U20" i="49"/>
  <c r="V20" i="49" s="1"/>
  <c r="O20" i="49"/>
  <c r="P20" i="49" s="1"/>
  <c r="I20" i="49"/>
  <c r="J20" i="49" s="1"/>
  <c r="C20" i="49"/>
  <c r="BC19" i="49"/>
  <c r="BD19" i="49" s="1"/>
  <c r="BA19" i="49"/>
  <c r="BB19" i="49" s="1"/>
  <c r="AS19" i="49"/>
  <c r="AT19" i="49" s="1"/>
  <c r="AM19" i="49"/>
  <c r="AN19" i="49" s="1"/>
  <c r="AG19" i="49"/>
  <c r="AH19" i="49" s="1"/>
  <c r="AA19" i="49"/>
  <c r="AB19" i="49" s="1"/>
  <c r="U19" i="49"/>
  <c r="V19" i="49" s="1"/>
  <c r="O19" i="49"/>
  <c r="P19" i="49" s="1"/>
  <c r="I19" i="49"/>
  <c r="J19" i="49" s="1"/>
  <c r="C19" i="49"/>
  <c r="D19" i="49" s="1"/>
  <c r="BC18" i="49"/>
  <c r="BD18" i="49" s="1"/>
  <c r="BA18" i="49"/>
  <c r="BB18" i="49" s="1"/>
  <c r="AS18" i="49"/>
  <c r="AT18" i="49" s="1"/>
  <c r="AM18" i="49"/>
  <c r="AN18" i="49" s="1"/>
  <c r="AG18" i="49"/>
  <c r="AH18" i="49" s="1"/>
  <c r="AA18" i="49"/>
  <c r="AB18" i="49" s="1"/>
  <c r="U18" i="49"/>
  <c r="V18" i="49" s="1"/>
  <c r="O18" i="49"/>
  <c r="P18" i="49" s="1"/>
  <c r="I18" i="49"/>
  <c r="J18" i="49" s="1"/>
  <c r="C18" i="49"/>
  <c r="BC17" i="49"/>
  <c r="BD17" i="49" s="1"/>
  <c r="BA17" i="49"/>
  <c r="BB17" i="49" s="1"/>
  <c r="AS17" i="49"/>
  <c r="AT17" i="49" s="1"/>
  <c r="AM17" i="49"/>
  <c r="AN17" i="49" s="1"/>
  <c r="AG17" i="49"/>
  <c r="AH17" i="49" s="1"/>
  <c r="AA17" i="49"/>
  <c r="AB17" i="49" s="1"/>
  <c r="U17" i="49"/>
  <c r="V17" i="49" s="1"/>
  <c r="O17" i="49"/>
  <c r="P17" i="49" s="1"/>
  <c r="I17" i="49"/>
  <c r="J17" i="49" s="1"/>
  <c r="C17" i="49"/>
  <c r="D17" i="49" s="1"/>
  <c r="BC16" i="49"/>
  <c r="BD16" i="49" s="1"/>
  <c r="BA16" i="49"/>
  <c r="BB16" i="49" s="1"/>
  <c r="AS16" i="49"/>
  <c r="AT16" i="49" s="1"/>
  <c r="AM16" i="49"/>
  <c r="AN16" i="49" s="1"/>
  <c r="AG16" i="49"/>
  <c r="AH16" i="49" s="1"/>
  <c r="AA16" i="49"/>
  <c r="AB16" i="49" s="1"/>
  <c r="U16" i="49"/>
  <c r="V16" i="49" s="1"/>
  <c r="O16" i="49"/>
  <c r="P16" i="49" s="1"/>
  <c r="I16" i="49"/>
  <c r="J16" i="49" s="1"/>
  <c r="C16" i="49"/>
  <c r="BC15" i="49"/>
  <c r="BD15" i="49" s="1"/>
  <c r="BA15" i="49"/>
  <c r="BB15" i="49" s="1"/>
  <c r="AS15" i="49"/>
  <c r="AT15" i="49" s="1"/>
  <c r="AM15" i="49"/>
  <c r="AN15" i="49" s="1"/>
  <c r="AG15" i="49"/>
  <c r="AH15" i="49" s="1"/>
  <c r="AA15" i="49"/>
  <c r="AB15" i="49" s="1"/>
  <c r="U15" i="49"/>
  <c r="V15" i="49" s="1"/>
  <c r="O15" i="49"/>
  <c r="P15" i="49" s="1"/>
  <c r="I15" i="49"/>
  <c r="J15" i="49" s="1"/>
  <c r="C15" i="49"/>
  <c r="BC14" i="49"/>
  <c r="BD14" i="49" s="1"/>
  <c r="BA14" i="49"/>
  <c r="BB14" i="49" s="1"/>
  <c r="AS14" i="49"/>
  <c r="AT14" i="49" s="1"/>
  <c r="AM14" i="49"/>
  <c r="AN14" i="49" s="1"/>
  <c r="AG14" i="49"/>
  <c r="AH14" i="49" s="1"/>
  <c r="AA14" i="49"/>
  <c r="AB14" i="49" s="1"/>
  <c r="U14" i="49"/>
  <c r="V14" i="49" s="1"/>
  <c r="O14" i="49"/>
  <c r="P14" i="49" s="1"/>
  <c r="I14" i="49"/>
  <c r="J14" i="49" s="1"/>
  <c r="C14" i="49"/>
  <c r="D14" i="49" s="1"/>
  <c r="BC13" i="49"/>
  <c r="BD13" i="49" s="1"/>
  <c r="BA13" i="49"/>
  <c r="BB13" i="49" s="1"/>
  <c r="AS13" i="49"/>
  <c r="AT13" i="49" s="1"/>
  <c r="AM13" i="49"/>
  <c r="AN13" i="49" s="1"/>
  <c r="AG13" i="49"/>
  <c r="AH13" i="49" s="1"/>
  <c r="AA13" i="49"/>
  <c r="AB13" i="49" s="1"/>
  <c r="U13" i="49"/>
  <c r="V13" i="49" s="1"/>
  <c r="O13" i="49"/>
  <c r="P13" i="49" s="1"/>
  <c r="I13" i="49"/>
  <c r="J13" i="49" s="1"/>
  <c r="C13" i="49"/>
  <c r="BC12" i="49"/>
  <c r="BD12" i="49" s="1"/>
  <c r="BA12" i="49"/>
  <c r="BB12" i="49" s="1"/>
  <c r="AS12" i="49"/>
  <c r="AT12" i="49" s="1"/>
  <c r="AM12" i="49"/>
  <c r="AN12" i="49" s="1"/>
  <c r="AG12" i="49"/>
  <c r="AH12" i="49" s="1"/>
  <c r="AA12" i="49"/>
  <c r="AB12" i="49" s="1"/>
  <c r="U12" i="49"/>
  <c r="V12" i="49" s="1"/>
  <c r="O12" i="49"/>
  <c r="P12" i="49" s="1"/>
  <c r="I12" i="49"/>
  <c r="J12" i="49" s="1"/>
  <c r="C12" i="49"/>
  <c r="BC11" i="49"/>
  <c r="BD11" i="49" s="1"/>
  <c r="BA11" i="49"/>
  <c r="BB11" i="49" s="1"/>
  <c r="AS11" i="49"/>
  <c r="AT11" i="49" s="1"/>
  <c r="AM11" i="49"/>
  <c r="AN11" i="49" s="1"/>
  <c r="AG11" i="49"/>
  <c r="AH11" i="49" s="1"/>
  <c r="AA11" i="49"/>
  <c r="AB11" i="49" s="1"/>
  <c r="U11" i="49"/>
  <c r="V11" i="49" s="1"/>
  <c r="O11" i="49"/>
  <c r="P11" i="49" s="1"/>
  <c r="I11" i="49"/>
  <c r="J11" i="49" s="1"/>
  <c r="C11" i="49"/>
  <c r="D11" i="49" s="1"/>
  <c r="BC10" i="49"/>
  <c r="BD10" i="49" s="1"/>
  <c r="BA10" i="49"/>
  <c r="BB10" i="49" s="1"/>
  <c r="AS10" i="49"/>
  <c r="AT10" i="49" s="1"/>
  <c r="AM10" i="49"/>
  <c r="AN10" i="49" s="1"/>
  <c r="AG10" i="49"/>
  <c r="AH10" i="49" s="1"/>
  <c r="AA10" i="49"/>
  <c r="AB10" i="49" s="1"/>
  <c r="U10" i="49"/>
  <c r="V10" i="49" s="1"/>
  <c r="O10" i="49"/>
  <c r="P10" i="49" s="1"/>
  <c r="I10" i="49"/>
  <c r="J10" i="49" s="1"/>
  <c r="C10" i="49"/>
  <c r="BC9" i="49"/>
  <c r="BD9" i="49" s="1"/>
  <c r="BA9" i="49"/>
  <c r="BB9" i="49" s="1"/>
  <c r="AS9" i="49"/>
  <c r="AT9" i="49" s="1"/>
  <c r="AM9" i="49"/>
  <c r="AN9" i="49" s="1"/>
  <c r="AG9" i="49"/>
  <c r="AH9" i="49" s="1"/>
  <c r="AA9" i="49"/>
  <c r="AB9" i="49" s="1"/>
  <c r="U9" i="49"/>
  <c r="V9" i="49" s="1"/>
  <c r="O9" i="49"/>
  <c r="P9" i="49" s="1"/>
  <c r="I9" i="49"/>
  <c r="J9" i="49" s="1"/>
  <c r="C9" i="49"/>
  <c r="BC8" i="49"/>
  <c r="BD8" i="49" s="1"/>
  <c r="BA8" i="49"/>
  <c r="BB8" i="49" s="1"/>
  <c r="AS8" i="49"/>
  <c r="AM8" i="49"/>
  <c r="AG8" i="49"/>
  <c r="AA8" i="49"/>
  <c r="AB8" i="49" s="1"/>
  <c r="U8" i="49"/>
  <c r="V8" i="49" s="1"/>
  <c r="O8" i="49"/>
  <c r="I8" i="49"/>
  <c r="J8" i="49" s="1"/>
  <c r="C8" i="49"/>
  <c r="I24" i="52" l="1"/>
  <c r="AQ33" i="52"/>
  <c r="AA24" i="52"/>
  <c r="AW33" i="52"/>
  <c r="AM30" i="52"/>
  <c r="AN30" i="52" s="1"/>
  <c r="S33" i="52"/>
  <c r="S40" i="52" s="1"/>
  <c r="I30" i="52"/>
  <c r="I33" i="52" s="1"/>
  <c r="AU33" i="52"/>
  <c r="AV33" i="52" s="1"/>
  <c r="AI33" i="52"/>
  <c r="AI40" i="52" s="1"/>
  <c r="K33" i="49"/>
  <c r="K40" i="49" s="1"/>
  <c r="AC33" i="52"/>
  <c r="AC40" i="52" s="1"/>
  <c r="U30" i="52"/>
  <c r="V30" i="52" s="1"/>
  <c r="C24" i="49"/>
  <c r="O30" i="49"/>
  <c r="C30" i="49"/>
  <c r="K33" i="52"/>
  <c r="K40" i="52" s="1"/>
  <c r="L30" i="52"/>
  <c r="AY15" i="52"/>
  <c r="AJ24" i="52"/>
  <c r="AY19" i="52"/>
  <c r="AY27" i="49"/>
  <c r="AA30" i="49"/>
  <c r="R30" i="49"/>
  <c r="F24" i="49"/>
  <c r="AY9" i="49"/>
  <c r="AY8" i="49"/>
  <c r="AY34" i="52"/>
  <c r="AY37" i="52"/>
  <c r="AY11" i="49"/>
  <c r="AZ11" i="49" s="1"/>
  <c r="AY17" i="49"/>
  <c r="AZ17" i="49" s="1"/>
  <c r="AY29" i="49"/>
  <c r="AZ29" i="49" s="1"/>
  <c r="AS30" i="49"/>
  <c r="AY13" i="52"/>
  <c r="AZ13" i="52" s="1"/>
  <c r="D19" i="52"/>
  <c r="T24" i="52"/>
  <c r="AY28" i="52"/>
  <c r="AZ28" i="52" s="1"/>
  <c r="BC30" i="52"/>
  <c r="AY32" i="52"/>
  <c r="AZ32" i="52" s="1"/>
  <c r="D37" i="52"/>
  <c r="O24" i="49"/>
  <c r="P24" i="49" s="1"/>
  <c r="AY35" i="49"/>
  <c r="BC21" i="52"/>
  <c r="AY26" i="52"/>
  <c r="AM24" i="49"/>
  <c r="AW33" i="49"/>
  <c r="D35" i="49"/>
  <c r="BD8" i="52"/>
  <c r="AY11" i="52"/>
  <c r="BC24" i="52"/>
  <c r="AR24" i="52"/>
  <c r="AR33" i="52" s="1"/>
  <c r="D26" i="52"/>
  <c r="D9" i="49"/>
  <c r="T24" i="49"/>
  <c r="AY19" i="49"/>
  <c r="AZ19" i="49" s="1"/>
  <c r="U24" i="49"/>
  <c r="AU33" i="49"/>
  <c r="AU40" i="49" s="1"/>
  <c r="AX30" i="49"/>
  <c r="AY37" i="49"/>
  <c r="AZ37" i="49" s="1"/>
  <c r="D11" i="52"/>
  <c r="AY17" i="52"/>
  <c r="H24" i="52"/>
  <c r="U24" i="52"/>
  <c r="AA30" i="52"/>
  <c r="AB30" i="52" s="1"/>
  <c r="AS30" i="52"/>
  <c r="AT30" i="52" s="1"/>
  <c r="AY38" i="52"/>
  <c r="AZ38" i="52" s="1"/>
  <c r="D34" i="52"/>
  <c r="AY20" i="52"/>
  <c r="M33" i="52"/>
  <c r="N33" i="52" s="1"/>
  <c r="AM21" i="49"/>
  <c r="Y33" i="49"/>
  <c r="Y40" i="49" s="1"/>
  <c r="AF30" i="49"/>
  <c r="AY18" i="52"/>
  <c r="D20" i="52"/>
  <c r="D27" i="49"/>
  <c r="AY14" i="49"/>
  <c r="AZ14" i="49" s="1"/>
  <c r="BA24" i="49"/>
  <c r="AA24" i="49"/>
  <c r="AG30" i="49"/>
  <c r="AH30" i="49" s="1"/>
  <c r="AY32" i="49"/>
  <c r="AZ32" i="49" s="1"/>
  <c r="AY9" i="52"/>
  <c r="AY14" i="52"/>
  <c r="AZ14" i="52" s="1"/>
  <c r="AY16" i="52"/>
  <c r="AZ16" i="52" s="1"/>
  <c r="D18" i="52"/>
  <c r="L24" i="52"/>
  <c r="AD24" i="52"/>
  <c r="AD33" i="52" s="1"/>
  <c r="AX24" i="52"/>
  <c r="AY29" i="52"/>
  <c r="AZ29" i="52" s="1"/>
  <c r="BA21" i="52"/>
  <c r="BB21" i="52" s="1"/>
  <c r="AM21" i="52"/>
  <c r="AY12" i="52"/>
  <c r="AE33" i="52"/>
  <c r="AF33" i="52" s="1"/>
  <c r="AY36" i="52"/>
  <c r="P8" i="49"/>
  <c r="BC21" i="49"/>
  <c r="BD21" i="49" s="1"/>
  <c r="I21" i="49"/>
  <c r="J21" i="49" s="1"/>
  <c r="AE33" i="49"/>
  <c r="AE40" i="49" s="1"/>
  <c r="M33" i="49"/>
  <c r="M40" i="49" s="1"/>
  <c r="AN8" i="52"/>
  <c r="AY10" i="52"/>
  <c r="AZ10" i="52" s="1"/>
  <c r="D12" i="52"/>
  <c r="D36" i="52"/>
  <c r="AG24" i="49"/>
  <c r="AH24" i="49" s="1"/>
  <c r="Q33" i="49"/>
  <c r="AM30" i="49"/>
  <c r="AN30" i="49" s="1"/>
  <c r="AC33" i="49"/>
  <c r="AD33" i="49" s="1"/>
  <c r="AY8" i="52"/>
  <c r="AS21" i="52"/>
  <c r="AT21" i="52" s="1"/>
  <c r="Q33" i="52"/>
  <c r="R33" i="52" s="1"/>
  <c r="AG24" i="52"/>
  <c r="AG30" i="52"/>
  <c r="AZ26" i="52"/>
  <c r="AQ40" i="52"/>
  <c r="AW40" i="52"/>
  <c r="AY25" i="52"/>
  <c r="BA30" i="52"/>
  <c r="P9" i="52"/>
  <c r="D15" i="52"/>
  <c r="AZ15" i="52" s="1"/>
  <c r="P17" i="52"/>
  <c r="Z24" i="52"/>
  <c r="AP24" i="52"/>
  <c r="D25" i="52"/>
  <c r="F30" i="52"/>
  <c r="AL30" i="52"/>
  <c r="O21" i="52"/>
  <c r="AH8" i="52"/>
  <c r="AG21" i="52"/>
  <c r="E33" i="52"/>
  <c r="AK33" i="52"/>
  <c r="C21" i="52"/>
  <c r="AS24" i="52"/>
  <c r="AY31" i="52"/>
  <c r="AZ31" i="52" s="1"/>
  <c r="G33" i="52"/>
  <c r="W33" i="52"/>
  <c r="AY39" i="52"/>
  <c r="D39" i="52"/>
  <c r="U21" i="52"/>
  <c r="V21" i="52" s="1"/>
  <c r="O24" i="52"/>
  <c r="Y33" i="52"/>
  <c r="AO33" i="52"/>
  <c r="I21" i="52"/>
  <c r="J21" i="52" s="1"/>
  <c r="C24" i="52"/>
  <c r="O30" i="52"/>
  <c r="P30" i="52" s="1"/>
  <c r="AA21" i="52"/>
  <c r="AB21" i="52" s="1"/>
  <c r="BA24" i="52"/>
  <c r="AY27" i="52"/>
  <c r="AY35" i="52"/>
  <c r="D9" i="52"/>
  <c r="D17" i="52"/>
  <c r="F24" i="52"/>
  <c r="D27" i="52"/>
  <c r="D35" i="52"/>
  <c r="AM24" i="52"/>
  <c r="C30" i="52"/>
  <c r="AY15" i="49"/>
  <c r="O21" i="49"/>
  <c r="I24" i="49"/>
  <c r="AY25" i="49"/>
  <c r="U30" i="49"/>
  <c r="V30" i="49" s="1"/>
  <c r="BA30" i="49"/>
  <c r="S33" i="49"/>
  <c r="AI33" i="49"/>
  <c r="AH8" i="49"/>
  <c r="D15" i="49"/>
  <c r="Z24" i="49"/>
  <c r="AP24" i="49"/>
  <c r="D25" i="49"/>
  <c r="F30" i="49"/>
  <c r="AY10" i="49"/>
  <c r="AY18" i="49"/>
  <c r="AG21" i="49"/>
  <c r="AY28" i="49"/>
  <c r="BC30" i="49"/>
  <c r="E33" i="49"/>
  <c r="AK33" i="49"/>
  <c r="AL33" i="49" s="1"/>
  <c r="AY36" i="49"/>
  <c r="AN8" i="49"/>
  <c r="D10" i="49"/>
  <c r="D18" i="49"/>
  <c r="L24" i="49"/>
  <c r="AR24" i="49"/>
  <c r="D28" i="49"/>
  <c r="H30" i="49"/>
  <c r="D36" i="49"/>
  <c r="AY13" i="49"/>
  <c r="AY31" i="49"/>
  <c r="C21" i="49"/>
  <c r="AS24" i="49"/>
  <c r="I30" i="49"/>
  <c r="G33" i="49"/>
  <c r="W33" i="49"/>
  <c r="AY39" i="49"/>
  <c r="AT8" i="49"/>
  <c r="D13" i="49"/>
  <c r="D31" i="49"/>
  <c r="D39" i="49"/>
  <c r="U21" i="49"/>
  <c r="V21" i="49" s="1"/>
  <c r="AY16" i="49"/>
  <c r="BA21" i="49"/>
  <c r="BB21" i="49" s="1"/>
  <c r="AY26" i="49"/>
  <c r="AO33" i="49"/>
  <c r="AY34" i="49"/>
  <c r="D8" i="49"/>
  <c r="D16" i="49"/>
  <c r="AF24" i="49"/>
  <c r="AV24" i="49"/>
  <c r="D26" i="49"/>
  <c r="D34" i="49"/>
  <c r="AQ33" i="49"/>
  <c r="AA21" i="49"/>
  <c r="AB21" i="49" s="1"/>
  <c r="AY12" i="49"/>
  <c r="AY20" i="49"/>
  <c r="AS21" i="49"/>
  <c r="BC24" i="49"/>
  <c r="AY38" i="49"/>
  <c r="D12" i="49"/>
  <c r="D20" i="49"/>
  <c r="H24" i="49"/>
  <c r="D38" i="49"/>
  <c r="T33" i="52" l="1"/>
  <c r="O33" i="49"/>
  <c r="U33" i="52"/>
  <c r="AX33" i="52"/>
  <c r="AZ27" i="49"/>
  <c r="AZ11" i="52"/>
  <c r="AZ12" i="52"/>
  <c r="AL33" i="52"/>
  <c r="AZ18" i="49"/>
  <c r="AZ19" i="52"/>
  <c r="V24" i="52"/>
  <c r="V33" i="52" s="1"/>
  <c r="AB24" i="52"/>
  <c r="H33" i="52"/>
  <c r="AZ25" i="52"/>
  <c r="AZ34" i="52"/>
  <c r="AZ39" i="52"/>
  <c r="AZ18" i="52"/>
  <c r="AN21" i="49"/>
  <c r="J30" i="52"/>
  <c r="L33" i="49"/>
  <c r="L40" i="49" s="1"/>
  <c r="AU40" i="52"/>
  <c r="AV40" i="52" s="1"/>
  <c r="AZ36" i="52"/>
  <c r="AJ33" i="52"/>
  <c r="AJ40" i="52" s="1"/>
  <c r="AH21" i="49"/>
  <c r="AX40" i="52"/>
  <c r="L33" i="52"/>
  <c r="L40" i="52" s="1"/>
  <c r="AM33" i="49"/>
  <c r="R33" i="49"/>
  <c r="AH30" i="52"/>
  <c r="AG33" i="52"/>
  <c r="AG40" i="52" s="1"/>
  <c r="BD30" i="52"/>
  <c r="AA33" i="52"/>
  <c r="AA40" i="52" s="1"/>
  <c r="P30" i="49"/>
  <c r="C33" i="49"/>
  <c r="C40" i="49" s="1"/>
  <c r="D24" i="49"/>
  <c r="AV33" i="49"/>
  <c r="AV40" i="49" s="1"/>
  <c r="AB30" i="49"/>
  <c r="AZ31" i="49"/>
  <c r="Q40" i="49"/>
  <c r="AP33" i="52"/>
  <c r="AG33" i="49"/>
  <c r="AG40" i="49" s="1"/>
  <c r="J24" i="52"/>
  <c r="T33" i="49"/>
  <c r="AT24" i="52"/>
  <c r="BD21" i="52"/>
  <c r="AZ35" i="52"/>
  <c r="AH24" i="52"/>
  <c r="AZ9" i="49"/>
  <c r="M40" i="52"/>
  <c r="N40" i="52" s="1"/>
  <c r="BB30" i="52"/>
  <c r="AZ37" i="52"/>
  <c r="AN24" i="49"/>
  <c r="V24" i="49"/>
  <c r="AZ36" i="49"/>
  <c r="AE40" i="52"/>
  <c r="AF40" i="52" s="1"/>
  <c r="AY21" i="52"/>
  <c r="P21" i="52"/>
  <c r="AR40" i="52"/>
  <c r="AX33" i="49"/>
  <c r="AZ39" i="49"/>
  <c r="AZ38" i="49"/>
  <c r="AA33" i="49"/>
  <c r="AA40" i="49" s="1"/>
  <c r="AZ34" i="49"/>
  <c r="AZ35" i="49"/>
  <c r="D30" i="49"/>
  <c r="H33" i="49"/>
  <c r="AT21" i="49"/>
  <c r="P21" i="49"/>
  <c r="AZ20" i="49"/>
  <c r="AZ15" i="49"/>
  <c r="AZ12" i="49"/>
  <c r="AZ10" i="49"/>
  <c r="N33" i="49"/>
  <c r="N40" i="49" s="1"/>
  <c r="Q40" i="52"/>
  <c r="R40" i="52" s="1"/>
  <c r="AT30" i="49"/>
  <c r="AZ26" i="49"/>
  <c r="P24" i="52"/>
  <c r="AZ20" i="52"/>
  <c r="T40" i="52"/>
  <c r="AY24" i="49"/>
  <c r="AD40" i="52"/>
  <c r="AZ17" i="52"/>
  <c r="AZ8" i="52"/>
  <c r="AN24" i="52"/>
  <c r="AF33" i="49"/>
  <c r="AF40" i="49" s="1"/>
  <c r="BD30" i="49"/>
  <c r="AZ28" i="49"/>
  <c r="AZ8" i="49"/>
  <c r="AZ9" i="52"/>
  <c r="J24" i="49"/>
  <c r="AY21" i="49"/>
  <c r="AZ16" i="49"/>
  <c r="AY30" i="49"/>
  <c r="AZ25" i="49"/>
  <c r="AC40" i="49"/>
  <c r="AD40" i="49" s="1"/>
  <c r="AZ27" i="52"/>
  <c r="D21" i="49"/>
  <c r="D24" i="52"/>
  <c r="AH21" i="52"/>
  <c r="D30" i="52"/>
  <c r="U33" i="49"/>
  <c r="V33" i="49" s="1"/>
  <c r="AZ13" i="49"/>
  <c r="AB24" i="49"/>
  <c r="AW40" i="49"/>
  <c r="AN21" i="52"/>
  <c r="AM33" i="52"/>
  <c r="Z33" i="52"/>
  <c r="U40" i="52"/>
  <c r="AY30" i="52"/>
  <c r="W40" i="52"/>
  <c r="G40" i="52"/>
  <c r="BC33" i="52"/>
  <c r="BB24" i="52"/>
  <c r="AS33" i="52"/>
  <c r="AO40" i="52"/>
  <c r="Y40" i="52"/>
  <c r="X33" i="52"/>
  <c r="I40" i="52"/>
  <c r="O33" i="52"/>
  <c r="F33" i="52"/>
  <c r="AK40" i="52"/>
  <c r="E40" i="52"/>
  <c r="BA33" i="52"/>
  <c r="BD24" i="52"/>
  <c r="AY24" i="52"/>
  <c r="C33" i="52"/>
  <c r="D21" i="52"/>
  <c r="E40" i="49"/>
  <c r="BA33" i="49"/>
  <c r="AP33" i="49"/>
  <c r="Z33" i="49"/>
  <c r="Z40" i="49" s="1"/>
  <c r="J30" i="49"/>
  <c r="F33" i="49"/>
  <c r="S40" i="49"/>
  <c r="AI40" i="49"/>
  <c r="AT24" i="49"/>
  <c r="BD24" i="49"/>
  <c r="AJ33" i="49"/>
  <c r="BB24" i="49"/>
  <c r="BB30" i="49"/>
  <c r="I33" i="49"/>
  <c r="AR33" i="49"/>
  <c r="AO40" i="49"/>
  <c r="W40" i="49"/>
  <c r="G40" i="49"/>
  <c r="BC33" i="49"/>
  <c r="AK40" i="49"/>
  <c r="AL40" i="49" s="1"/>
  <c r="AS33" i="49"/>
  <c r="O40" i="49"/>
  <c r="AQ40" i="49"/>
  <c r="X33" i="49"/>
  <c r="P33" i="49" l="1"/>
  <c r="AL40" i="52"/>
  <c r="H40" i="52"/>
  <c r="J33" i="52"/>
  <c r="AN33" i="49"/>
  <c r="AM40" i="49"/>
  <c r="AP40" i="52"/>
  <c r="R40" i="49"/>
  <c r="AH33" i="52"/>
  <c r="AH40" i="52" s="1"/>
  <c r="AB33" i="52"/>
  <c r="AZ21" i="52"/>
  <c r="D33" i="49"/>
  <c r="D40" i="49" s="1"/>
  <c r="AB40" i="52"/>
  <c r="V40" i="52"/>
  <c r="AZ30" i="52"/>
  <c r="F40" i="52"/>
  <c r="T40" i="49"/>
  <c r="AH33" i="49"/>
  <c r="AH40" i="49" s="1"/>
  <c r="AB33" i="49"/>
  <c r="AB40" i="49" s="1"/>
  <c r="H40" i="49"/>
  <c r="U40" i="49"/>
  <c r="V40" i="49" s="1"/>
  <c r="J40" i="52"/>
  <c r="AX40" i="49"/>
  <c r="X40" i="52"/>
  <c r="Z40" i="52"/>
  <c r="AR40" i="49"/>
  <c r="X40" i="49"/>
  <c r="AZ30" i="49"/>
  <c r="F40" i="49"/>
  <c r="AZ24" i="49"/>
  <c r="AZ21" i="49"/>
  <c r="BB33" i="52"/>
  <c r="AP40" i="49"/>
  <c r="P33" i="52"/>
  <c r="BD33" i="52"/>
  <c r="P40" i="49"/>
  <c r="AJ40" i="49"/>
  <c r="BB33" i="49"/>
  <c r="AZ24" i="52"/>
  <c r="BC40" i="52"/>
  <c r="C40" i="52"/>
  <c r="AY33" i="52"/>
  <c r="D33" i="52"/>
  <c r="O40" i="52"/>
  <c r="BA40" i="52"/>
  <c r="AS40" i="52"/>
  <c r="AM40" i="52"/>
  <c r="AT33" i="52"/>
  <c r="AN33" i="52"/>
  <c r="AS40" i="49"/>
  <c r="I40" i="49"/>
  <c r="AT33" i="49"/>
  <c r="J33" i="49"/>
  <c r="BC40" i="49"/>
  <c r="BD33" i="49"/>
  <c r="AY33" i="49"/>
  <c r="BA40" i="49"/>
  <c r="AN40" i="49" l="1"/>
  <c r="AN40" i="52"/>
  <c r="BB40" i="52"/>
  <c r="AZ33" i="52"/>
  <c r="BD40" i="52"/>
  <c r="D40" i="52"/>
  <c r="AT40" i="52"/>
  <c r="BD40" i="49"/>
  <c r="J40" i="49"/>
  <c r="BB40" i="49"/>
  <c r="AZ33" i="49"/>
  <c r="AT40" i="49"/>
  <c r="P40" i="52"/>
  <c r="AY40" i="52"/>
  <c r="AY40" i="49"/>
  <c r="AZ40" i="52" l="1"/>
  <c r="AZ40" i="49"/>
  <c r="BF39" i="49"/>
  <c r="BF37" i="49"/>
  <c r="BF31" i="49"/>
  <c r="BF30" i="49"/>
  <c r="BF19" i="49"/>
  <c r="BF18" i="49"/>
  <c r="BF17" i="49"/>
  <c r="BF16" i="49"/>
  <c r="BF15" i="49"/>
  <c r="BF14" i="49"/>
  <c r="BF13" i="49"/>
  <c r="BF12" i="49"/>
  <c r="BF11" i="49"/>
  <c r="W62" i="26" l="1"/>
  <c r="W59" i="26"/>
  <c r="D14" i="6"/>
  <c r="D8" i="6"/>
  <c r="E92" i="24"/>
  <c r="D92" i="24"/>
  <c r="C92" i="24"/>
  <c r="G42" i="9"/>
  <c r="M49" i="13"/>
  <c r="B53" i="42"/>
  <c r="B52" i="42"/>
  <c r="B35" i="42"/>
  <c r="V3" i="40" l="1"/>
  <c r="F3" i="35"/>
  <c r="BA3" i="52"/>
  <c r="BA3" i="49"/>
  <c r="BG38" i="49" l="1"/>
  <c r="BG37" i="49"/>
  <c r="BG19" i="49"/>
  <c r="BG18" i="49"/>
  <c r="BG39" i="49" l="1"/>
  <c r="BG31" i="49"/>
  <c r="BG15" i="49"/>
  <c r="BG16" i="49"/>
  <c r="BG17" i="49"/>
  <c r="BG13" i="49"/>
  <c r="BG12" i="49"/>
  <c r="BG11" i="49"/>
  <c r="BG14" i="49"/>
  <c r="P62" i="26" l="1"/>
  <c r="G72" i="10" s="1"/>
  <c r="W63" i="26"/>
  <c r="AD13" i="40" l="1"/>
  <c r="AD15" i="40"/>
  <c r="AD33" i="40"/>
  <c r="AD34" i="40" s="1"/>
  <c r="AE33" i="40"/>
  <c r="AE34" i="40" s="1"/>
  <c r="AF33" i="40"/>
  <c r="AF34" i="40" s="1"/>
  <c r="AG33" i="40"/>
  <c r="AG34" i="40" s="1"/>
  <c r="AH33" i="40"/>
  <c r="AH34" i="40" s="1"/>
  <c r="O66" i="26" l="1"/>
  <c r="C66" i="26" s="1"/>
  <c r="I66" i="26"/>
  <c r="O65" i="26"/>
  <c r="C65" i="26" s="1"/>
  <c r="I65" i="26"/>
  <c r="D75" i="26" l="1"/>
  <c r="S12" i="40" l="1"/>
  <c r="AB9" i="40" l="1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5" i="40"/>
  <c r="AC25" i="40"/>
  <c r="AB26" i="40"/>
  <c r="AC26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AE15" i="40"/>
  <c r="AF15" i="40"/>
  <c r="AG15" i="40"/>
  <c r="AH15" i="40"/>
  <c r="AE13" i="40"/>
  <c r="AF13" i="40"/>
  <c r="AG13" i="40"/>
  <c r="AH13" i="40"/>
  <c r="T75" i="26"/>
  <c r="S75" i="26"/>
  <c r="R75" i="26"/>
  <c r="Q75" i="26"/>
  <c r="P75" i="26"/>
  <c r="H75" i="26"/>
  <c r="G75" i="26"/>
  <c r="F75" i="26"/>
  <c r="E75" i="26"/>
  <c r="G35" i="9"/>
  <c r="G6" i="2"/>
  <c r="G7" i="2"/>
  <c r="G13" i="2"/>
  <c r="G14" i="2"/>
  <c r="G23" i="2"/>
  <c r="G24" i="2"/>
  <c r="J84" i="24"/>
  <c r="C51" i="10"/>
  <c r="C49" i="10"/>
  <c r="C47" i="10"/>
  <c r="C45" i="10"/>
  <c r="C43" i="10"/>
  <c r="C41" i="10"/>
  <c r="C39" i="10"/>
  <c r="C37" i="10"/>
  <c r="C35" i="10"/>
  <c r="C29" i="10"/>
  <c r="C27" i="10"/>
  <c r="C25" i="10"/>
  <c r="C23" i="10"/>
  <c r="C21" i="10"/>
  <c r="C19" i="10"/>
  <c r="C17" i="10"/>
  <c r="C15" i="10"/>
  <c r="C13" i="10"/>
  <c r="C11" i="10"/>
  <c r="C9" i="10"/>
  <c r="AI33" i="40" s="1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E35" i="9"/>
  <c r="F83" i="48" l="1"/>
  <c r="G83" i="48"/>
  <c r="K83" i="48"/>
  <c r="O83" i="48"/>
  <c r="S83" i="48"/>
  <c r="W83" i="48"/>
  <c r="AA83" i="48"/>
  <c r="AE83" i="48"/>
  <c r="AI83" i="48"/>
  <c r="AM83" i="48"/>
  <c r="AM73" i="48" l="1"/>
  <c r="AJ73" i="48"/>
  <c r="AI73" i="48"/>
  <c r="AN73" i="48" s="1"/>
  <c r="AH73" i="48"/>
  <c r="AK73" i="48" s="1"/>
  <c r="AE73" i="48"/>
  <c r="AB73" i="48"/>
  <c r="AA73" i="48"/>
  <c r="AF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M84" i="48" s="1"/>
  <c r="AI72" i="48"/>
  <c r="AE72" i="48"/>
  <c r="AE84" i="48" s="1"/>
  <c r="AA72" i="48"/>
  <c r="W72" i="48"/>
  <c r="W84" i="48" s="1"/>
  <c r="S72" i="48"/>
  <c r="O72" i="48"/>
  <c r="O84" i="48" s="1"/>
  <c r="K72" i="48"/>
  <c r="G72" i="48"/>
  <c r="G84" i="48" s="1"/>
  <c r="F72" i="48"/>
  <c r="F84" i="48" s="1"/>
  <c r="F54" i="48"/>
  <c r="E54" i="48"/>
  <c r="H54" i="48" s="1"/>
  <c r="AG73" i="48" l="1"/>
  <c r="P72" i="48"/>
  <c r="Q72" i="48" s="1"/>
  <c r="K84" i="48"/>
  <c r="AN72" i="48"/>
  <c r="AO72" i="48" s="1"/>
  <c r="AI84" i="48"/>
  <c r="X72" i="48"/>
  <c r="Y72" i="48" s="1"/>
  <c r="S84" i="48"/>
  <c r="AF72" i="48"/>
  <c r="AG72" i="48" s="1"/>
  <c r="AA84" i="48"/>
  <c r="AT73" i="48"/>
  <c r="AS72" i="48"/>
  <c r="N73" i="48"/>
  <c r="AD73" i="48"/>
  <c r="AP73" i="48"/>
  <c r="AS73" i="48"/>
  <c r="I73" i="48"/>
  <c r="AQ73" i="48"/>
  <c r="AL73" i="48"/>
  <c r="AO73" i="48"/>
  <c r="V73" i="48"/>
  <c r="Q73" i="48"/>
  <c r="Y73" i="48"/>
  <c r="AT72" i="48" l="1"/>
  <c r="AU72" i="48" s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AF70" i="48" s="1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K69" i="48" s="1"/>
  <c r="AE69" i="48"/>
  <c r="AB69" i="48"/>
  <c r="AA69" i="48"/>
  <c r="AF69" i="48" s="1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M69" i="48" s="1"/>
  <c r="G69" i="48"/>
  <c r="F69" i="48"/>
  <c r="E69" i="48"/>
  <c r="H69" i="48" s="1"/>
  <c r="AM68" i="48"/>
  <c r="AJ68" i="48"/>
  <c r="AI68" i="48"/>
  <c r="AN68" i="48" s="1"/>
  <c r="AH68" i="48"/>
  <c r="AK68" i="48" s="1"/>
  <c r="AE68" i="48"/>
  <c r="AB68" i="48"/>
  <c r="AA68" i="48"/>
  <c r="AF68" i="48" s="1"/>
  <c r="Z68" i="48"/>
  <c r="AC68" i="48" s="1"/>
  <c r="W68" i="48"/>
  <c r="T68" i="48"/>
  <c r="S68" i="48"/>
  <c r="X68" i="48" s="1"/>
  <c r="R68" i="48"/>
  <c r="U68" i="48" s="1"/>
  <c r="O68" i="48"/>
  <c r="L68" i="48"/>
  <c r="K68" i="48"/>
  <c r="P68" i="48" s="1"/>
  <c r="J68" i="48"/>
  <c r="M68" i="48" s="1"/>
  <c r="G68" i="48"/>
  <c r="F68" i="48"/>
  <c r="E68" i="48"/>
  <c r="H68" i="48" s="1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P67" i="48" s="1"/>
  <c r="J67" i="48"/>
  <c r="M67" i="48" s="1"/>
  <c r="G67" i="48"/>
  <c r="F67" i="48"/>
  <c r="E67" i="48"/>
  <c r="H67" i="48" s="1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G66" i="48"/>
  <c r="F66" i="48"/>
  <c r="E66" i="48"/>
  <c r="H66" i="48" s="1"/>
  <c r="AM65" i="48"/>
  <c r="AJ65" i="48"/>
  <c r="AI65" i="48"/>
  <c r="AN65" i="48" s="1"/>
  <c r="AH65" i="48"/>
  <c r="AK65" i="48" s="1"/>
  <c r="AE65" i="48"/>
  <c r="AB65" i="48"/>
  <c r="AA65" i="48"/>
  <c r="AF65" i="48" s="1"/>
  <c r="Z65" i="48"/>
  <c r="AC65" i="48" s="1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K64" i="48" s="1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P64" i="48" s="1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N62" i="48" s="1"/>
  <c r="AH62" i="48"/>
  <c r="AK62" i="48" s="1"/>
  <c r="AE62" i="48"/>
  <c r="AB62" i="48"/>
  <c r="AA62" i="48"/>
  <c r="AF62" i="48" s="1"/>
  <c r="Z62" i="48"/>
  <c r="AC62" i="48" s="1"/>
  <c r="W62" i="48"/>
  <c r="T62" i="48"/>
  <c r="S62" i="48"/>
  <c r="X62" i="48" s="1"/>
  <c r="R62" i="48"/>
  <c r="U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U61" i="48" s="1"/>
  <c r="O61" i="48"/>
  <c r="L61" i="48"/>
  <c r="K61" i="48"/>
  <c r="P61" i="48" s="1"/>
  <c r="J61" i="48"/>
  <c r="M61" i="48" s="1"/>
  <c r="G61" i="48"/>
  <c r="F61" i="48"/>
  <c r="E61" i="48"/>
  <c r="H61" i="48" s="1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X60" i="48" s="1"/>
  <c r="R60" i="48"/>
  <c r="U60" i="48" s="1"/>
  <c r="O60" i="48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AF59" i="48" s="1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M59" i="48" s="1"/>
  <c r="G59" i="48"/>
  <c r="F59" i="48"/>
  <c r="E59" i="48"/>
  <c r="H59" i="48" s="1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U58" i="48" s="1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H57" i="48" s="1"/>
  <c r="AM52" i="48"/>
  <c r="AJ52" i="48"/>
  <c r="AI52" i="48"/>
  <c r="AN52" i="48" s="1"/>
  <c r="AH52" i="48"/>
  <c r="AK52" i="48" s="1"/>
  <c r="AE52" i="48"/>
  <c r="AB52" i="48"/>
  <c r="AA52" i="48"/>
  <c r="AF52" i="48" s="1"/>
  <c r="Z52" i="48"/>
  <c r="AC52" i="48" s="1"/>
  <c r="W52" i="48"/>
  <c r="T52" i="48"/>
  <c r="S52" i="48"/>
  <c r="X52" i="48" s="1"/>
  <c r="R52" i="48"/>
  <c r="U52" i="48" s="1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AC51" i="48" s="1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AD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H50" i="48" s="1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P48" i="48" s="1"/>
  <c r="J48" i="48"/>
  <c r="M48" i="48" s="1"/>
  <c r="G48" i="48"/>
  <c r="F48" i="48"/>
  <c r="E48" i="48"/>
  <c r="H48" i="48" s="1"/>
  <c r="AM47" i="48"/>
  <c r="AJ47" i="48"/>
  <c r="AI47" i="48"/>
  <c r="AN47" i="48" s="1"/>
  <c r="AH47" i="48"/>
  <c r="AK47" i="48" s="1"/>
  <c r="AE47" i="48"/>
  <c r="AB47" i="48"/>
  <c r="AA47" i="48"/>
  <c r="AF47" i="48" s="1"/>
  <c r="Z47" i="48"/>
  <c r="AC47" i="48" s="1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O46" i="48"/>
  <c r="L46" i="48"/>
  <c r="K46" i="48"/>
  <c r="P46" i="48" s="1"/>
  <c r="J46" i="48"/>
  <c r="M46" i="48" s="1"/>
  <c r="G46" i="48"/>
  <c r="F46" i="48"/>
  <c r="E46" i="48"/>
  <c r="H46" i="48" s="1"/>
  <c r="AM45" i="48"/>
  <c r="AJ45" i="48"/>
  <c r="AI45" i="48"/>
  <c r="AN45" i="48" s="1"/>
  <c r="AH45" i="48"/>
  <c r="AK45" i="48" s="1"/>
  <c r="AE45" i="48"/>
  <c r="AB45" i="48"/>
  <c r="AA45" i="48"/>
  <c r="AF45" i="48" s="1"/>
  <c r="Z45" i="48"/>
  <c r="AC45" i="48" s="1"/>
  <c r="W45" i="48"/>
  <c r="T45" i="48"/>
  <c r="S45" i="48"/>
  <c r="X45" i="48" s="1"/>
  <c r="R45" i="48"/>
  <c r="U45" i="48" s="1"/>
  <c r="O45" i="48"/>
  <c r="L45" i="48"/>
  <c r="K45" i="48"/>
  <c r="P45" i="48" s="1"/>
  <c r="J45" i="48"/>
  <c r="M45" i="48" s="1"/>
  <c r="G45" i="48"/>
  <c r="F45" i="48"/>
  <c r="E45" i="48"/>
  <c r="H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P44" i="48" s="1"/>
  <c r="J44" i="48"/>
  <c r="M44" i="48" s="1"/>
  <c r="G44" i="48"/>
  <c r="F44" i="48"/>
  <c r="E44" i="48"/>
  <c r="H44" i="48" s="1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X43" i="48" s="1"/>
  <c r="R43" i="48"/>
  <c r="U43" i="48" s="1"/>
  <c r="O43" i="48"/>
  <c r="L43" i="48"/>
  <c r="K43" i="48"/>
  <c r="P43" i="48" s="1"/>
  <c r="J43" i="48"/>
  <c r="M43" i="48" s="1"/>
  <c r="G43" i="48"/>
  <c r="F43" i="48"/>
  <c r="E43" i="48"/>
  <c r="H43" i="48" s="1"/>
  <c r="AM42" i="48"/>
  <c r="AJ42" i="48"/>
  <c r="AI42" i="48"/>
  <c r="AN42" i="48" s="1"/>
  <c r="AH42" i="48"/>
  <c r="AK42" i="48" s="1"/>
  <c r="AE42" i="48"/>
  <c r="AB42" i="48"/>
  <c r="AA42" i="48"/>
  <c r="AF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H41" i="48" s="1"/>
  <c r="AM40" i="48"/>
  <c r="AJ40" i="48"/>
  <c r="AI40" i="48"/>
  <c r="AN40" i="48" s="1"/>
  <c r="AH40" i="48"/>
  <c r="AK40" i="48" s="1"/>
  <c r="AE40" i="48"/>
  <c r="AB40" i="48"/>
  <c r="AA40" i="48"/>
  <c r="AF40" i="48" s="1"/>
  <c r="Z40" i="48"/>
  <c r="AC40" i="48" s="1"/>
  <c r="W40" i="48"/>
  <c r="T40" i="48"/>
  <c r="S40" i="48"/>
  <c r="X40" i="48" s="1"/>
  <c r="R40" i="48"/>
  <c r="U40" i="48" s="1"/>
  <c r="O40" i="48"/>
  <c r="L40" i="48"/>
  <c r="K40" i="48"/>
  <c r="P40" i="48" s="1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U39" i="48" s="1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E38" i="48"/>
  <c r="AB38" i="48"/>
  <c r="AA38" i="48"/>
  <c r="AF38" i="48" s="1"/>
  <c r="Z38" i="48"/>
  <c r="AC38" i="48" s="1"/>
  <c r="W38" i="48"/>
  <c r="T38" i="48"/>
  <c r="S38" i="48"/>
  <c r="X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P37" i="48" s="1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AF36" i="48" s="1"/>
  <c r="Z36" i="48"/>
  <c r="AC36" i="48" s="1"/>
  <c r="W36" i="48"/>
  <c r="T36" i="48"/>
  <c r="S36" i="48"/>
  <c r="X36" i="48" s="1"/>
  <c r="R36" i="48"/>
  <c r="U36" i="48" s="1"/>
  <c r="O36" i="48"/>
  <c r="L36" i="48"/>
  <c r="K36" i="48"/>
  <c r="P36" i="48" s="1"/>
  <c r="J36" i="48"/>
  <c r="M36" i="48" s="1"/>
  <c r="G36" i="48"/>
  <c r="F36" i="48"/>
  <c r="E36" i="48"/>
  <c r="H36" i="48" s="1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K35" i="48"/>
  <c r="P35" i="48" s="1"/>
  <c r="J35" i="48"/>
  <c r="M35" i="48" s="1"/>
  <c r="G35" i="48"/>
  <c r="F35" i="48"/>
  <c r="E35" i="48"/>
  <c r="H35" i="48" s="1"/>
  <c r="AM30" i="48"/>
  <c r="AJ30" i="48"/>
  <c r="AI30" i="48"/>
  <c r="AN30" i="48" s="1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N29" i="48" s="1"/>
  <c r="AH29" i="48"/>
  <c r="AK29" i="48" s="1"/>
  <c r="AE29" i="48"/>
  <c r="AB29" i="48"/>
  <c r="AA29" i="48"/>
  <c r="AF29" i="48" s="1"/>
  <c r="Z29" i="48"/>
  <c r="AC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K27" i="48" s="1"/>
  <c r="AE27" i="48"/>
  <c r="AB27" i="48"/>
  <c r="AA27" i="48"/>
  <c r="AF27" i="48" s="1"/>
  <c r="Z27" i="48"/>
  <c r="AC27" i="48" s="1"/>
  <c r="W27" i="48"/>
  <c r="T27" i="48"/>
  <c r="S27" i="48"/>
  <c r="X27" i="48" s="1"/>
  <c r="R27" i="48"/>
  <c r="U27" i="48" s="1"/>
  <c r="O27" i="48"/>
  <c r="L27" i="48"/>
  <c r="K27" i="48"/>
  <c r="P27" i="48" s="1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U26" i="48" s="1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W25" i="48"/>
  <c r="T25" i="48"/>
  <c r="S25" i="48"/>
  <c r="X25" i="48" s="1"/>
  <c r="R25" i="48"/>
  <c r="U25" i="48" s="1"/>
  <c r="O25" i="48"/>
  <c r="L25" i="48"/>
  <c r="K25" i="48"/>
  <c r="P25" i="48" s="1"/>
  <c r="J25" i="48"/>
  <c r="M25" i="48" s="1"/>
  <c r="G25" i="48"/>
  <c r="F25" i="48"/>
  <c r="E25" i="48"/>
  <c r="H25" i="48" s="1"/>
  <c r="AM24" i="48"/>
  <c r="AJ24" i="48"/>
  <c r="AI24" i="48"/>
  <c r="AN24" i="48" s="1"/>
  <c r="AH24" i="48"/>
  <c r="AK24" i="48" s="1"/>
  <c r="AE24" i="48"/>
  <c r="AB24" i="48"/>
  <c r="AA24" i="48"/>
  <c r="AF24" i="48" s="1"/>
  <c r="Z24" i="48"/>
  <c r="AC24" i="48" s="1"/>
  <c r="W24" i="48"/>
  <c r="T24" i="48"/>
  <c r="S24" i="48"/>
  <c r="R24" i="48"/>
  <c r="U24" i="48" s="1"/>
  <c r="O24" i="48"/>
  <c r="L24" i="48"/>
  <c r="K24" i="48"/>
  <c r="P24" i="48" s="1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AC23" i="48" s="1"/>
  <c r="W23" i="48"/>
  <c r="T23" i="48"/>
  <c r="S23" i="48"/>
  <c r="X23" i="48" s="1"/>
  <c r="R23" i="48"/>
  <c r="U23" i="48" s="1"/>
  <c r="O23" i="48"/>
  <c r="L23" i="48"/>
  <c r="K23" i="48"/>
  <c r="P23" i="48" s="1"/>
  <c r="J23" i="48"/>
  <c r="M23" i="48" s="1"/>
  <c r="G23" i="48"/>
  <c r="F23" i="48"/>
  <c r="E23" i="48"/>
  <c r="H23" i="48" s="1"/>
  <c r="AM22" i="48"/>
  <c r="AJ22" i="48"/>
  <c r="AI22" i="48"/>
  <c r="AN22" i="48" s="1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X21" i="48" s="1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N20" i="48" s="1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U20" i="48" s="1"/>
  <c r="O20" i="48"/>
  <c r="L20" i="48"/>
  <c r="K20" i="48"/>
  <c r="P20" i="48" s="1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AC19" i="48" s="1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H18" i="48" s="1"/>
  <c r="AM17" i="48"/>
  <c r="AJ17" i="48"/>
  <c r="AI17" i="48"/>
  <c r="AN17" i="48" s="1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R17" i="48"/>
  <c r="U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U16" i="48" s="1"/>
  <c r="O16" i="48"/>
  <c r="L16" i="48"/>
  <c r="K16" i="48"/>
  <c r="P16" i="48" s="1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X15" i="48" s="1"/>
  <c r="R15" i="48"/>
  <c r="U15" i="48" s="1"/>
  <c r="O15" i="48"/>
  <c r="L15" i="48"/>
  <c r="K15" i="48"/>
  <c r="P15" i="48" s="1"/>
  <c r="J15" i="48"/>
  <c r="M15" i="48" s="1"/>
  <c r="G15" i="48"/>
  <c r="F15" i="48"/>
  <c r="E15" i="48"/>
  <c r="H15" i="48" s="1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AC14" i="48" s="1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H13" i="48"/>
  <c r="AK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N12" i="48" s="1"/>
  <c r="AH12" i="48"/>
  <c r="AK12" i="48" s="1"/>
  <c r="AE12" i="48"/>
  <c r="AB12" i="48"/>
  <c r="AA12" i="48"/>
  <c r="AF12" i="48" s="1"/>
  <c r="Z12" i="48"/>
  <c r="AC12" i="48" s="1"/>
  <c r="W12" i="48"/>
  <c r="T12" i="48"/>
  <c r="S12" i="48"/>
  <c r="X12" i="48" s="1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U11" i="48" s="1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X10" i="48" s="1"/>
  <c r="R10" i="48"/>
  <c r="U10" i="48" s="1"/>
  <c r="O10" i="48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P9" i="48" s="1"/>
  <c r="J9" i="48"/>
  <c r="M9" i="48" s="1"/>
  <c r="G9" i="48"/>
  <c r="F9" i="48"/>
  <c r="E9" i="48"/>
  <c r="H9" i="48" s="1"/>
  <c r="AM8" i="48"/>
  <c r="AJ8" i="48"/>
  <c r="AI8" i="48"/>
  <c r="AN8" i="48" s="1"/>
  <c r="AH8" i="48"/>
  <c r="AK8" i="48" s="1"/>
  <c r="AE8" i="48"/>
  <c r="AB8" i="48"/>
  <c r="AA8" i="48"/>
  <c r="AF8" i="48" s="1"/>
  <c r="Z8" i="48"/>
  <c r="AC8" i="48" s="1"/>
  <c r="W8" i="48"/>
  <c r="T8" i="48"/>
  <c r="S8" i="48"/>
  <c r="X8" i="48" s="1"/>
  <c r="R8" i="48"/>
  <c r="U8" i="48" s="1"/>
  <c r="O8" i="48"/>
  <c r="L8" i="48"/>
  <c r="K8" i="48"/>
  <c r="P8" i="48" s="1"/>
  <c r="J8" i="48"/>
  <c r="M8" i="48" s="1"/>
  <c r="G8" i="48"/>
  <c r="F8" i="48"/>
  <c r="E8" i="48"/>
  <c r="H8" i="48" s="1"/>
  <c r="AM7" i="48"/>
  <c r="AJ7" i="48"/>
  <c r="AI7" i="48"/>
  <c r="AN7" i="48" s="1"/>
  <c r="AH7" i="48"/>
  <c r="AK7" i="48" s="1"/>
  <c r="AE7" i="48"/>
  <c r="AB7" i="48"/>
  <c r="AA7" i="48"/>
  <c r="AF7" i="48" s="1"/>
  <c r="Z7" i="48"/>
  <c r="AC7" i="48" s="1"/>
  <c r="W7" i="48"/>
  <c r="T7" i="48"/>
  <c r="S7" i="48"/>
  <c r="X7" i="48" s="1"/>
  <c r="R7" i="48"/>
  <c r="U7" i="48" s="1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X24" i="48"/>
  <c r="V46" i="48" l="1"/>
  <c r="AL38" i="48"/>
  <c r="I43" i="48"/>
  <c r="V61" i="48"/>
  <c r="AS60" i="48"/>
  <c r="N69" i="48"/>
  <c r="AP35" i="48"/>
  <c r="AG38" i="48"/>
  <c r="AS40" i="48"/>
  <c r="AP46" i="48"/>
  <c r="V10" i="48"/>
  <c r="N9" i="48"/>
  <c r="AP37" i="48"/>
  <c r="AP45" i="48"/>
  <c r="I22" i="48"/>
  <c r="AD29" i="48"/>
  <c r="V17" i="48"/>
  <c r="AO26" i="48"/>
  <c r="Q64" i="48"/>
  <c r="AL26" i="48"/>
  <c r="N66" i="48"/>
  <c r="V37" i="48"/>
  <c r="Y38" i="48"/>
  <c r="AO42" i="48"/>
  <c r="AD45" i="48"/>
  <c r="AL45" i="48"/>
  <c r="AO14" i="48"/>
  <c r="N35" i="48"/>
  <c r="N63" i="48"/>
  <c r="N67" i="48"/>
  <c r="AS10" i="48"/>
  <c r="AP25" i="48"/>
  <c r="AS36" i="48"/>
  <c r="AG42" i="48"/>
  <c r="V8" i="48"/>
  <c r="Y10" i="48"/>
  <c r="AD25" i="48"/>
  <c r="AP28" i="48"/>
  <c r="Q27" i="48"/>
  <c r="AG69" i="48"/>
  <c r="AG46" i="48"/>
  <c r="I50" i="48"/>
  <c r="AO28" i="48"/>
  <c r="N8" i="48"/>
  <c r="AL12" i="48"/>
  <c r="Q13" i="48"/>
  <c r="Y17" i="48"/>
  <c r="I21" i="48"/>
  <c r="Y25" i="48"/>
  <c r="V28" i="48"/>
  <c r="Y29" i="48"/>
  <c r="AO21" i="48"/>
  <c r="AD51" i="48"/>
  <c r="AG36" i="48"/>
  <c r="AG40" i="48"/>
  <c r="V11" i="48"/>
  <c r="AO12" i="48"/>
  <c r="AO20" i="48"/>
  <c r="AD27" i="48"/>
  <c r="AO17" i="48"/>
  <c r="AL27" i="48"/>
  <c r="N15" i="48"/>
  <c r="AL23" i="48"/>
  <c r="I28" i="48"/>
  <c r="V30" i="48"/>
  <c r="AG51" i="48"/>
  <c r="AS68" i="48"/>
  <c r="AG47" i="48"/>
  <c r="V70" i="48"/>
  <c r="AD38" i="48"/>
  <c r="AO47" i="48"/>
  <c r="AL64" i="48"/>
  <c r="AG57" i="48"/>
  <c r="Q65" i="48"/>
  <c r="V68" i="48"/>
  <c r="Y45" i="48"/>
  <c r="I45" i="48"/>
  <c r="I38" i="48"/>
  <c r="N36" i="48"/>
  <c r="AG41" i="48"/>
  <c r="AO45" i="48"/>
  <c r="AL7" i="48"/>
  <c r="N11" i="48"/>
  <c r="AD11" i="48"/>
  <c r="V19" i="48"/>
  <c r="Y20" i="48"/>
  <c r="V23" i="48"/>
  <c r="AD10" i="48"/>
  <c r="AL70" i="48"/>
  <c r="AD9" i="48"/>
  <c r="N13" i="48"/>
  <c r="I52" i="48"/>
  <c r="V62" i="48"/>
  <c r="I23" i="48"/>
  <c r="I25" i="48"/>
  <c r="AP67" i="48"/>
  <c r="AS49" i="48"/>
  <c r="AO38" i="48"/>
  <c r="AG9" i="48"/>
  <c r="AO13" i="48"/>
  <c r="AP22" i="48"/>
  <c r="Q8" i="48"/>
  <c r="AG24" i="48"/>
  <c r="Y28" i="48"/>
  <c r="AP12" i="48"/>
  <c r="AP20" i="48"/>
  <c r="AO23" i="48"/>
  <c r="Y14" i="48"/>
  <c r="AG14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N45" i="48"/>
  <c r="V13" i="48"/>
  <c r="AT23" i="48"/>
  <c r="Y23" i="48"/>
  <c r="AQ29" i="48"/>
  <c r="AQ12" i="48"/>
  <c r="AQ17" i="48"/>
  <c r="AT26" i="48"/>
  <c r="Y26" i="48"/>
  <c r="AT36" i="48"/>
  <c r="AO36" i="48"/>
  <c r="AO41" i="48"/>
  <c r="AT41" i="48"/>
  <c r="AT70" i="48"/>
  <c r="Q70" i="48"/>
  <c r="AT39" i="48"/>
  <c r="AO39" i="48"/>
  <c r="AT10" i="48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AN74" i="48" s="1"/>
  <c r="V20" i="48"/>
  <c r="AP64" i="48"/>
  <c r="Q19" i="48"/>
  <c r="Q40" i="48"/>
  <c r="V47" i="48"/>
  <c r="AT52" i="48"/>
  <c r="AT69" i="48"/>
  <c r="AQ26" i="48"/>
  <c r="AT40" i="48"/>
  <c r="AT17" i="48"/>
  <c r="AO27" i="48"/>
  <c r="AQ30" i="48"/>
  <c r="AQ13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X74" i="48" s="1"/>
  <c r="AP39" i="48"/>
  <c r="AL39" i="48"/>
  <c r="M71" i="48"/>
  <c r="AQ57" i="48"/>
  <c r="AL15" i="48"/>
  <c r="AQ25" i="48"/>
  <c r="N25" i="48"/>
  <c r="I35" i="48"/>
  <c r="H53" i="48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M53" i="48"/>
  <c r="AO9" i="48"/>
  <c r="I15" i="48"/>
  <c r="P53" i="48"/>
  <c r="P74" i="48" s="1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U10" i="48" l="1"/>
  <c r="AR46" i="48"/>
  <c r="AR30" i="48"/>
  <c r="AU40" i="48"/>
  <c r="AR37" i="48"/>
  <c r="AR35" i="48"/>
  <c r="AU60" i="48"/>
  <c r="AU18" i="48"/>
  <c r="AR45" i="48"/>
  <c r="AR25" i="48"/>
  <c r="AU66" i="48"/>
  <c r="AU58" i="48"/>
  <c r="AU36" i="48"/>
  <c r="AU57" i="48"/>
  <c r="AR28" i="48"/>
  <c r="AR67" i="48"/>
  <c r="AU23" i="48"/>
  <c r="AR40" i="48"/>
  <c r="AU68" i="48"/>
  <c r="AU49" i="48"/>
  <c r="AR20" i="48"/>
  <c r="AR22" i="48"/>
  <c r="AR7" i="48"/>
  <c r="AR12" i="48"/>
  <c r="AR52" i="48"/>
  <c r="AU21" i="48"/>
  <c r="AR50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Y74" i="48" s="1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AS71" i="48"/>
  <c r="AD53" i="48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H75" i="48"/>
  <c r="H76" i="48"/>
  <c r="U77" i="48"/>
  <c r="AF76" i="48"/>
  <c r="AF75" i="48"/>
  <c r="M76" i="48"/>
  <c r="M75" i="48"/>
  <c r="AQ71" i="48"/>
  <c r="AP53" i="48"/>
  <c r="X75" i="48"/>
  <c r="X76" i="48"/>
  <c r="N31" i="48"/>
  <c r="AT53" i="48"/>
  <c r="AT74" i="48" s="1"/>
  <c r="AL53" i="48"/>
  <c r="I31" i="48"/>
  <c r="AR60" i="48"/>
  <c r="AQ31" i="48"/>
  <c r="P77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S74" i="48" s="1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7" i="48"/>
  <c r="AG53" i="48"/>
  <c r="AG74" i="48" s="1"/>
  <c r="H77" i="48"/>
  <c r="AQ53" i="48"/>
  <c r="AR16" i="48"/>
  <c r="U75" i="48"/>
  <c r="U76" i="48"/>
  <c r="I53" i="48"/>
  <c r="AU71" i="48" l="1"/>
  <c r="AS77" i="48"/>
  <c r="AU31" i="48"/>
  <c r="AR31" i="48"/>
  <c r="AU53" i="48"/>
  <c r="AU74" i="48" s="1"/>
  <c r="AR53" i="48"/>
  <c r="AR71" i="48"/>
  <c r="AP75" i="48"/>
  <c r="AP76" i="48"/>
  <c r="AS75" i="48"/>
  <c r="AS76" i="48"/>
  <c r="AQ75" i="48"/>
  <c r="AQ76" i="48"/>
  <c r="AT75" i="48"/>
  <c r="AT76" i="48"/>
  <c r="AQ77" i="48"/>
  <c r="AT77" i="48"/>
  <c r="AP77" i="48"/>
  <c r="AR75" i="48" l="1"/>
  <c r="AU77" i="48"/>
  <c r="AR76" i="48"/>
  <c r="AU76" i="48"/>
  <c r="AR77" i="48"/>
  <c r="AU75" i="48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S24" i="40" l="1"/>
  <c r="S25" i="40"/>
  <c r="S26" i="40"/>
  <c r="S34" i="40"/>
  <c r="F16" i="24" l="1"/>
  <c r="F17" i="24"/>
  <c r="I28" i="40" l="1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C15" i="35" l="1"/>
  <c r="C14" i="35"/>
  <c r="C25" i="35"/>
  <c r="D25" i="35" s="1"/>
  <c r="C24" i="35"/>
  <c r="D24" i="35" s="1"/>
  <c r="D14" i="35" l="1"/>
  <c r="AA24" i="40"/>
  <c r="D15" i="35"/>
  <c r="AA25" i="40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I70" i="24" l="1"/>
  <c r="H70" i="24"/>
  <c r="G70" i="24"/>
  <c r="O71" i="24" l="1"/>
  <c r="F71" i="24"/>
  <c r="H33" i="9"/>
  <c r="F33" i="9"/>
  <c r="C34" i="40" l="1"/>
  <c r="D34" i="40" s="1"/>
  <c r="L8" i="13"/>
  <c r="C33" i="40" l="1"/>
  <c r="C32" i="40"/>
  <c r="D32" i="40" s="1"/>
  <c r="C31" i="40"/>
  <c r="D31" i="40" s="1"/>
  <c r="C29" i="40"/>
  <c r="D29" i="40" s="1"/>
  <c r="D33" i="40" l="1"/>
  <c r="AI34" i="40"/>
  <c r="G75" i="43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AA58" i="43" s="1"/>
  <c r="G57" i="43"/>
  <c r="Z57" i="43" s="1"/>
  <c r="AA57" i="43" s="1"/>
  <c r="G56" i="43"/>
  <c r="Z56" i="43" s="1"/>
  <c r="AA56" i="43" s="1"/>
  <c r="G55" i="43"/>
  <c r="Z55" i="43" s="1"/>
  <c r="AA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G58" i="44" l="1"/>
  <c r="Z58" i="44" s="1"/>
  <c r="G57" i="44"/>
  <c r="Z57" i="44" s="1"/>
  <c r="G56" i="44"/>
  <c r="Z56" i="44" s="1"/>
  <c r="G55" i="44"/>
  <c r="Z55" i="44" s="1"/>
  <c r="G54" i="44"/>
  <c r="Z54" i="44" s="1"/>
  <c r="G53" i="44"/>
  <c r="Z53" i="44" s="1"/>
  <c r="G52" i="44"/>
  <c r="Z52" i="44" s="1"/>
  <c r="G51" i="44"/>
  <c r="Z51" i="44" s="1"/>
  <c r="G50" i="44"/>
  <c r="Z50" i="44" s="1"/>
  <c r="G49" i="44"/>
  <c r="Z49" i="44" s="1"/>
  <c r="G48" i="44"/>
  <c r="Z48" i="44" s="1"/>
  <c r="G47" i="44"/>
  <c r="Z47" i="44" s="1"/>
  <c r="G46" i="44"/>
  <c r="Z46" i="44" s="1"/>
  <c r="G45" i="44"/>
  <c r="Z45" i="44" s="1"/>
  <c r="G44" i="44"/>
  <c r="Z44" i="44" s="1"/>
  <c r="G43" i="44"/>
  <c r="Z43" i="44" s="1"/>
  <c r="G42" i="44"/>
  <c r="Z42" i="44" s="1"/>
  <c r="G41" i="44"/>
  <c r="Z41" i="44" s="1"/>
  <c r="G40" i="44"/>
  <c r="Z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AA54" i="43"/>
  <c r="G53" i="43"/>
  <c r="Z53" i="43" s="1"/>
  <c r="G52" i="43"/>
  <c r="Z52" i="43" s="1"/>
  <c r="AA53" i="43" s="1"/>
  <c r="G51" i="43"/>
  <c r="Z51" i="43" s="1"/>
  <c r="AA51" i="43" s="1"/>
  <c r="G50" i="43"/>
  <c r="Z50" i="43" s="1"/>
  <c r="G49" i="43"/>
  <c r="Z49" i="43" s="1"/>
  <c r="G48" i="43"/>
  <c r="Z48" i="43" s="1"/>
  <c r="AA49" i="43" s="1"/>
  <c r="G47" i="43"/>
  <c r="Z47" i="43" s="1"/>
  <c r="AA42" i="44" l="1"/>
  <c r="AA48" i="44"/>
  <c r="AA51" i="44"/>
  <c r="AA47" i="44"/>
  <c r="AA49" i="44"/>
  <c r="AA46" i="44"/>
  <c r="AA50" i="44"/>
  <c r="AA44" i="44"/>
  <c r="AA45" i="44"/>
  <c r="AA52" i="43"/>
  <c r="AA50" i="43"/>
  <c r="AA40" i="44"/>
  <c r="AA38" i="44"/>
  <c r="AA43" i="44"/>
  <c r="AA41" i="44"/>
  <c r="AA39" i="44"/>
  <c r="C25" i="40"/>
  <c r="D25" i="40" s="1"/>
  <c r="C24" i="40"/>
  <c r="D24" i="40" s="1"/>
  <c r="O59" i="26" l="1"/>
  <c r="C59" i="26" s="1"/>
  <c r="I59" i="26"/>
  <c r="C51" i="48"/>
  <c r="A73" i="24" l="1"/>
  <c r="C71" i="24" l="1"/>
  <c r="C33" i="9" s="1"/>
  <c r="AC51" i="10" l="1"/>
  <c r="AD51" i="10" s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AM54" i="48"/>
  <c r="AJ54" i="48"/>
  <c r="AI54" i="48"/>
  <c r="AN54" i="48" s="1"/>
  <c r="AH54" i="48"/>
  <c r="AK54" i="48" s="1"/>
  <c r="AE54" i="48"/>
  <c r="AB54" i="48"/>
  <c r="AA54" i="48"/>
  <c r="AF54" i="48" s="1"/>
  <c r="Z54" i="48"/>
  <c r="AC54" i="48" s="1"/>
  <c r="W54" i="48"/>
  <c r="T54" i="48"/>
  <c r="S54" i="48"/>
  <c r="X54" i="48" s="1"/>
  <c r="R54" i="48"/>
  <c r="U54" i="48" s="1"/>
  <c r="O54" i="48"/>
  <c r="L54" i="48"/>
  <c r="K54" i="48"/>
  <c r="P54" i="48" s="1"/>
  <c r="J54" i="48"/>
  <c r="M54" i="48" s="1"/>
  <c r="G54" i="48"/>
  <c r="I54" i="48" s="1"/>
  <c r="AB53" i="10"/>
  <c r="AA53" i="10"/>
  <c r="X53" i="10"/>
  <c r="AM53" i="48" s="1"/>
  <c r="AM74" i="48" s="1"/>
  <c r="W53" i="10"/>
  <c r="AH10" i="40" s="1"/>
  <c r="V53" i="10"/>
  <c r="AI53" i="48" s="1"/>
  <c r="AI74" i="48" s="1"/>
  <c r="U53" i="10"/>
  <c r="AH53" i="48" s="1"/>
  <c r="T53" i="10"/>
  <c r="AE53" i="48" s="1"/>
  <c r="AE74" i="48" s="1"/>
  <c r="S53" i="10"/>
  <c r="AG10" i="40" s="1"/>
  <c r="R53" i="10"/>
  <c r="AA53" i="48" s="1"/>
  <c r="AA74" i="48" s="1"/>
  <c r="Q53" i="10"/>
  <c r="Z53" i="48" s="1"/>
  <c r="P53" i="10"/>
  <c r="W53" i="48" s="1"/>
  <c r="W74" i="48" s="1"/>
  <c r="O53" i="10"/>
  <c r="AF10" i="40" s="1"/>
  <c r="N53" i="10"/>
  <c r="S53" i="48" s="1"/>
  <c r="S74" i="48" s="1"/>
  <c r="M53" i="10"/>
  <c r="R53" i="48" s="1"/>
  <c r="L53" i="10"/>
  <c r="O53" i="48" s="1"/>
  <c r="O74" i="48" s="1"/>
  <c r="K53" i="10"/>
  <c r="L53" i="48" s="1"/>
  <c r="J53" i="10"/>
  <c r="K53" i="48" s="1"/>
  <c r="K74" i="48" s="1"/>
  <c r="I53" i="10"/>
  <c r="J53" i="48" s="1"/>
  <c r="H53" i="10"/>
  <c r="G53" i="10"/>
  <c r="G53" i="48" s="1"/>
  <c r="G74" i="48" s="1"/>
  <c r="F53" i="10"/>
  <c r="F53" i="48" s="1"/>
  <c r="F74" i="48" s="1"/>
  <c r="E53" i="10"/>
  <c r="E53" i="48" s="1"/>
  <c r="Z52" i="10"/>
  <c r="Y52" i="10"/>
  <c r="D52" i="10"/>
  <c r="D52" i="48" s="1"/>
  <c r="C52" i="10"/>
  <c r="C52" i="48" s="1"/>
  <c r="Z51" i="10"/>
  <c r="Y51" i="10"/>
  <c r="D51" i="10"/>
  <c r="D51" i="48" s="1"/>
  <c r="B2" i="42"/>
  <c r="Z3" i="40"/>
  <c r="H3" i="35"/>
  <c r="J3" i="13"/>
  <c r="Y3" i="44"/>
  <c r="AB3" i="10"/>
  <c r="X3" i="9"/>
  <c r="X3" i="24"/>
  <c r="C4" i="6"/>
  <c r="Y3" i="43"/>
  <c r="Y54" i="48" l="1"/>
  <c r="AG54" i="48"/>
  <c r="Q54" i="48"/>
  <c r="AO54" i="48"/>
  <c r="AS54" i="48"/>
  <c r="AD54" i="48"/>
  <c r="AB53" i="48"/>
  <c r="AP54" i="48"/>
  <c r="V54" i="48"/>
  <c r="AL54" i="48"/>
  <c r="AQ54" i="48"/>
  <c r="AJ53" i="48"/>
  <c r="AT54" i="48"/>
  <c r="T53" i="48"/>
  <c r="N54" i="48"/>
  <c r="C54" i="10"/>
  <c r="C54" i="48" s="1"/>
  <c r="C4" i="3"/>
  <c r="C9" i="2"/>
  <c r="E28" i="3" s="1"/>
  <c r="E3" i="2"/>
  <c r="K62" i="26"/>
  <c r="L62" i="26"/>
  <c r="AR54" i="48" l="1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AA37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58" i="44" l="1"/>
  <c r="AA56" i="44"/>
  <c r="AA52" i="44"/>
  <c r="AA54" i="44"/>
  <c r="AA57" i="44"/>
  <c r="AA53" i="44"/>
  <c r="AA55" i="44"/>
  <c r="AA44" i="43"/>
  <c r="AA45" i="43"/>
  <c r="AA30" i="44"/>
  <c r="AA48" i="43"/>
  <c r="AA47" i="43"/>
  <c r="AA36" i="44"/>
  <c r="AA34" i="44"/>
  <c r="AA35" i="44"/>
  <c r="AA46" i="43"/>
  <c r="AA32" i="43"/>
  <c r="AA43" i="43"/>
  <c r="AA31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16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28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AA18" i="44"/>
  <c r="AA17" i="44"/>
  <c r="Z9" i="43"/>
  <c r="AA12" i="43" s="1"/>
  <c r="AA22" i="43" l="1"/>
  <c r="AA21" i="43"/>
  <c r="AA15" i="44"/>
  <c r="AA18" i="43"/>
  <c r="AA20" i="43"/>
  <c r="AA19" i="43"/>
  <c r="AA17" i="43"/>
  <c r="AA16" i="43"/>
  <c r="AA15" i="43"/>
  <c r="AA10" i="43"/>
  <c r="AA11" i="43"/>
  <c r="AA14" i="44"/>
  <c r="AA11" i="44"/>
  <c r="AA12" i="44"/>
  <c r="AA13" i="44"/>
  <c r="AA13" i="43"/>
  <c r="AA14" i="43"/>
  <c r="AA9" i="43"/>
  <c r="Z89" i="43"/>
  <c r="AA9" i="44"/>
  <c r="Z89" i="44"/>
  <c r="Z90" i="44" l="1"/>
  <c r="Z90" i="43"/>
  <c r="AA90" i="43" l="1"/>
  <c r="V90" i="43" s="1"/>
  <c r="AA90" i="44"/>
  <c r="X90" i="44" s="1"/>
  <c r="I8" i="13"/>
  <c r="G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E25" i="13"/>
  <c r="D25" i="13"/>
  <c r="I25" i="13"/>
  <c r="D49" i="13"/>
  <c r="E49" i="13"/>
  <c r="F49" i="13"/>
  <c r="G49" i="13"/>
  <c r="H49" i="13"/>
  <c r="I49" i="13"/>
  <c r="C16" i="21" l="1"/>
  <c r="C12" i="21" s="1"/>
  <c r="G3" i="13" l="1"/>
  <c r="C4" i="13" l="1"/>
  <c r="I28" i="13"/>
  <c r="C28" i="13"/>
  <c r="J4" i="13"/>
  <c r="AB31" i="10"/>
  <c r="AA31" i="10"/>
  <c r="AB71" i="10"/>
  <c r="AA71" i="10"/>
  <c r="AB74" i="10"/>
  <c r="AA74" i="10"/>
  <c r="C42" i="2"/>
  <c r="C41" i="2"/>
  <c r="C49" i="13" l="1"/>
  <c r="C25" i="13"/>
  <c r="D73" i="10" l="1"/>
  <c r="D73" i="48" s="1"/>
  <c r="D72" i="10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72" i="48" l="1"/>
  <c r="D83" i="48"/>
  <c r="D53" i="10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AE16" i="40" s="1"/>
  <c r="V11" i="40"/>
  <c r="W11" i="40"/>
  <c r="X11" i="40"/>
  <c r="Y11" i="40"/>
  <c r="Z11" i="40"/>
  <c r="C12" i="40"/>
  <c r="D12" i="40" s="1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M49" i="26" s="1"/>
  <c r="T22" i="9"/>
  <c r="S22" i="9"/>
  <c r="L49" i="26" s="1"/>
  <c r="R22" i="9"/>
  <c r="Q22" i="9"/>
  <c r="P22" i="9"/>
  <c r="O22" i="9"/>
  <c r="N22" i="9"/>
  <c r="M22" i="9"/>
  <c r="J49" i="26" s="1"/>
  <c r="L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N49" i="26" l="1"/>
  <c r="K49" i="26"/>
  <c r="K9" i="26" s="1"/>
  <c r="I35" i="9"/>
  <c r="J35" i="9"/>
  <c r="D74" i="48"/>
  <c r="D84" i="48"/>
  <c r="C28" i="40"/>
  <c r="C27" i="40" s="1"/>
  <c r="D35" i="40"/>
  <c r="S36" i="40"/>
  <c r="S28" i="40"/>
  <c r="S27" i="40" s="1"/>
  <c r="T9" i="40"/>
  <c r="C36" i="40"/>
  <c r="D36" i="40" s="1"/>
  <c r="O9" i="40"/>
  <c r="U8" i="40"/>
  <c r="Q74" i="26" s="1"/>
  <c r="Q76" i="26" s="1"/>
  <c r="I9" i="40"/>
  <c r="I8" i="40" s="1"/>
  <c r="G9" i="40"/>
  <c r="Z9" i="40"/>
  <c r="Z8" i="40" s="1"/>
  <c r="V9" i="40"/>
  <c r="AF16" i="40" s="1"/>
  <c r="Q9" i="40"/>
  <c r="AG14" i="40" s="1"/>
  <c r="M9" i="40"/>
  <c r="M8" i="40" s="1"/>
  <c r="Y9" i="40"/>
  <c r="P9" i="40"/>
  <c r="AF14" i="40" s="1"/>
  <c r="L9" i="40"/>
  <c r="L8" i="40" s="1"/>
  <c r="X9" i="40"/>
  <c r="AH16" i="40" s="1"/>
  <c r="K9" i="40"/>
  <c r="K8" i="40" s="1"/>
  <c r="E9" i="40"/>
  <c r="W9" i="40"/>
  <c r="AG16" i="40" s="1"/>
  <c r="R9" i="40"/>
  <c r="AH14" i="40" s="1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T8" i="40" l="1"/>
  <c r="P74" i="26" s="1"/>
  <c r="P76" i="26" s="1"/>
  <c r="AD16" i="40"/>
  <c r="O8" i="40"/>
  <c r="E74" i="26" s="1"/>
  <c r="E76" i="26" s="1"/>
  <c r="AE14" i="40"/>
  <c r="D27" i="40"/>
  <c r="D28" i="40"/>
  <c r="H9" i="40"/>
  <c r="E8" i="40"/>
  <c r="F9" i="40"/>
  <c r="Y8" i="40"/>
  <c r="L25" i="13" s="1"/>
  <c r="L18" i="13"/>
  <c r="V8" i="40"/>
  <c r="W8" i="40"/>
  <c r="X8" i="40"/>
  <c r="Q8" i="40"/>
  <c r="G74" i="26" s="1"/>
  <c r="G76" i="26" s="1"/>
  <c r="R8" i="40"/>
  <c r="H74" i="26" s="1"/>
  <c r="H76" i="26" s="1"/>
  <c r="P8" i="40"/>
  <c r="F74" i="26" s="1"/>
  <c r="F76" i="26" s="1"/>
  <c r="N8" i="40"/>
  <c r="D74" i="26" s="1"/>
  <c r="D76" i="26" s="1"/>
  <c r="S9" i="40"/>
  <c r="S8" i="40" s="1"/>
  <c r="D11" i="40"/>
  <c r="C9" i="40"/>
  <c r="G8" i="40"/>
  <c r="S74" i="26" l="1"/>
  <c r="S76" i="26" s="1"/>
  <c r="AG11" i="40"/>
  <c r="R74" i="26"/>
  <c r="R76" i="26" s="1"/>
  <c r="AF11" i="40"/>
  <c r="T74" i="26"/>
  <c r="T76" i="26" s="1"/>
  <c r="AH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5" i="26"/>
  <c r="O56" i="26"/>
  <c r="O57" i="26"/>
  <c r="O58" i="26"/>
  <c r="O60" i="26"/>
  <c r="O82" i="24" l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K85" i="24"/>
  <c r="L85" i="24"/>
  <c r="M85" i="24"/>
  <c r="N85" i="24"/>
  <c r="P85" i="24"/>
  <c r="Q85" i="24"/>
  <c r="C82" i="24"/>
  <c r="C18" i="9" s="1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13" i="10" l="1"/>
  <c r="AD13" i="10" s="1"/>
  <c r="AV13" i="48"/>
  <c r="AC23" i="10"/>
  <c r="AD23" i="10" s="1"/>
  <c r="AV23" i="48"/>
  <c r="AC9" i="10"/>
  <c r="AD9" i="10" s="1"/>
  <c r="AV9" i="48"/>
  <c r="AC7" i="10"/>
  <c r="AV7" i="48"/>
  <c r="AC49" i="10"/>
  <c r="AD49" i="10" s="1"/>
  <c r="AV49" i="48"/>
  <c r="AC27" i="10"/>
  <c r="AD27" i="10" s="1"/>
  <c r="AV27" i="48"/>
  <c r="AC47" i="10"/>
  <c r="AD47" i="10" s="1"/>
  <c r="AV47" i="48"/>
  <c r="AC25" i="10"/>
  <c r="AD25" i="10" s="1"/>
  <c r="AV25" i="48"/>
  <c r="AC45" i="10"/>
  <c r="AD45" i="10" s="1"/>
  <c r="AV45" i="48"/>
  <c r="AC43" i="10"/>
  <c r="AD43" i="10" s="1"/>
  <c r="AV43" i="48"/>
  <c r="AC41" i="10"/>
  <c r="AD41" i="10" s="1"/>
  <c r="AV41" i="48"/>
  <c r="AC39" i="10"/>
  <c r="AD39" i="10" s="1"/>
  <c r="AV39" i="48"/>
  <c r="AC37" i="10"/>
  <c r="AD37" i="10" s="1"/>
  <c r="AV37" i="48"/>
  <c r="AC21" i="10"/>
  <c r="AD21" i="10" s="1"/>
  <c r="AV21" i="48"/>
  <c r="AC19" i="10"/>
  <c r="AD19" i="10" s="1"/>
  <c r="AV19" i="48"/>
  <c r="AC11" i="10"/>
  <c r="AD11" i="10" s="1"/>
  <c r="AV11" i="48"/>
  <c r="AC17" i="10"/>
  <c r="AD17" i="10" s="1"/>
  <c r="AV17" i="48"/>
  <c r="AC29" i="10"/>
  <c r="AD29" i="10" s="1"/>
  <c r="AV29" i="48"/>
  <c r="AC35" i="10"/>
  <c r="AD35" i="10" s="1"/>
  <c r="AV35" i="48"/>
  <c r="C35" i="9"/>
  <c r="C74" i="24"/>
  <c r="C13" i="9" s="1"/>
  <c r="AV15" i="48" s="1"/>
  <c r="O85" i="24"/>
  <c r="C85" i="24" s="1"/>
  <c r="AA8" i="40" s="1"/>
  <c r="AC53" i="10" l="1"/>
  <c r="AV53" i="48"/>
  <c r="AV71" i="48"/>
  <c r="AV31" i="48"/>
  <c r="B15" i="42"/>
  <c r="AC71" i="10"/>
  <c r="AC31" i="10"/>
  <c r="C22" i="9"/>
  <c r="D19" i="9" s="1"/>
  <c r="AC15" i="10"/>
  <c r="AD15" i="10" s="1"/>
  <c r="D33" i="9"/>
  <c r="D31" i="9"/>
  <c r="D29" i="9"/>
  <c r="D27" i="9"/>
  <c r="D25" i="9"/>
  <c r="D32" i="9"/>
  <c r="D30" i="9"/>
  <c r="D35" i="9"/>
  <c r="D28" i="9"/>
  <c r="D26" i="9"/>
  <c r="D18" i="9" l="1"/>
  <c r="D9" i="9"/>
  <c r="D13" i="9"/>
  <c r="D10" i="9"/>
  <c r="D15" i="9"/>
  <c r="D11" i="9"/>
  <c r="D12" i="9"/>
  <c r="D16" i="9"/>
  <c r="D14" i="9"/>
  <c r="D20" i="9"/>
  <c r="D17" i="9"/>
  <c r="D22" i="9"/>
  <c r="B3" i="42"/>
  <c r="B2" i="21" l="1"/>
  <c r="A2" i="42" l="1"/>
  <c r="I2" i="20"/>
  <c r="C2" i="21" s="1"/>
  <c r="U3" i="10"/>
  <c r="T3" i="9"/>
  <c r="T3" i="24"/>
  <c r="C3" i="6"/>
  <c r="C3" i="3"/>
  <c r="D3" i="2"/>
  <c r="B2" i="2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K71" i="10"/>
  <c r="L71" i="48" l="1"/>
  <c r="L77" i="48" s="1"/>
  <c r="L80" i="48"/>
  <c r="W71" i="48"/>
  <c r="W77" i="48" s="1"/>
  <c r="W80" i="48"/>
  <c r="P13" i="42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W81" i="48" l="1"/>
  <c r="L81" i="48"/>
  <c r="B18" i="42"/>
  <c r="B21" i="42"/>
  <c r="L9" i="35"/>
  <c r="K9" i="35" l="1"/>
  <c r="J9" i="35" l="1"/>
  <c r="C75" i="2" l="1"/>
  <c r="C74" i="2"/>
  <c r="C51" i="2"/>
  <c r="C50" i="2"/>
  <c r="C49" i="2"/>
  <c r="C48" i="2"/>
  <c r="C47" i="2"/>
  <c r="C43" i="2"/>
  <c r="C40" i="2"/>
  <c r="C39" i="2"/>
  <c r="C38" i="2"/>
  <c r="C37" i="2"/>
  <c r="C33" i="2"/>
  <c r="C32" i="2"/>
  <c r="C31" i="2"/>
  <c r="C30" i="2"/>
  <c r="C25" i="2"/>
  <c r="C24" i="2"/>
  <c r="E68" i="3" s="1"/>
  <c r="C23" i="2"/>
  <c r="E67" i="3" s="1"/>
  <c r="C21" i="2"/>
  <c r="C20" i="2"/>
  <c r="C19" i="2"/>
  <c r="E61" i="3" s="1"/>
  <c r="C18" i="2"/>
  <c r="E52" i="3" s="1"/>
  <c r="C14" i="2"/>
  <c r="E40" i="3" s="1"/>
  <c r="C13" i="2"/>
  <c r="C12" i="2"/>
  <c r="E14" i="3" s="1"/>
  <c r="C11" i="2"/>
  <c r="C10" i="2"/>
  <c r="C8" i="2"/>
  <c r="C7" i="2"/>
  <c r="E18" i="3" s="1"/>
  <c r="C6" i="2"/>
  <c r="E17" i="3" s="1"/>
  <c r="E69" i="3" l="1"/>
  <c r="C52" i="2"/>
  <c r="D68" i="2"/>
  <c r="C52" i="41" l="1"/>
  <c r="C25" i="41"/>
  <c r="C31" i="41" s="1"/>
  <c r="C54" i="41"/>
  <c r="C3" i="41"/>
  <c r="B3" i="41"/>
  <c r="X71" i="10" l="1"/>
  <c r="W71" i="10"/>
  <c r="V71" i="10"/>
  <c r="U71" i="10"/>
  <c r="T71" i="10"/>
  <c r="S71" i="10"/>
  <c r="R71" i="10"/>
  <c r="Q71" i="10"/>
  <c r="O71" i="10"/>
  <c r="N71" i="10"/>
  <c r="M71" i="10"/>
  <c r="L71" i="10"/>
  <c r="J71" i="10"/>
  <c r="I71" i="10"/>
  <c r="H71" i="10"/>
  <c r="G71" i="10"/>
  <c r="F71" i="10"/>
  <c r="E71" i="10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4" i="2"/>
  <c r="D44" i="2"/>
  <c r="E52" i="2"/>
  <c r="D52" i="2"/>
  <c r="C68" i="2"/>
  <c r="B26" i="42" s="1"/>
  <c r="K80" i="10"/>
  <c r="I80" i="10"/>
  <c r="G80" i="10"/>
  <c r="E80" i="10"/>
  <c r="G71" i="48" l="1"/>
  <c r="G77" i="48" s="1"/>
  <c r="G80" i="48"/>
  <c r="O71" i="48"/>
  <c r="O77" i="48" s="1"/>
  <c r="O80" i="48"/>
  <c r="Z71" i="48"/>
  <c r="Z77" i="48" s="1"/>
  <c r="Z80" i="48"/>
  <c r="AH71" i="48"/>
  <c r="AH77" i="48" s="1"/>
  <c r="AH80" i="48"/>
  <c r="R71" i="48"/>
  <c r="R77" i="48" s="1"/>
  <c r="R80" i="48"/>
  <c r="AA71" i="48"/>
  <c r="AA80" i="48"/>
  <c r="AI71" i="48"/>
  <c r="AI77" i="48" s="1"/>
  <c r="AI80" i="48"/>
  <c r="E71" i="48"/>
  <c r="E80" i="48"/>
  <c r="J71" i="48"/>
  <c r="J77" i="48" s="1"/>
  <c r="J80" i="48"/>
  <c r="S71" i="48"/>
  <c r="S77" i="48" s="1"/>
  <c r="S80" i="48"/>
  <c r="AB71" i="48"/>
  <c r="AB77" i="48" s="1"/>
  <c r="AB80" i="48"/>
  <c r="AJ71" i="48"/>
  <c r="AJ80" i="48"/>
  <c r="F71" i="48"/>
  <c r="F77" i="48" s="1"/>
  <c r="F80" i="48"/>
  <c r="K71" i="48"/>
  <c r="K77" i="48" s="1"/>
  <c r="K80" i="48"/>
  <c r="T71" i="48"/>
  <c r="T77" i="48" s="1"/>
  <c r="T80" i="48"/>
  <c r="AE71" i="48"/>
  <c r="AE77" i="48" s="1"/>
  <c r="AE80" i="48"/>
  <c r="AM71" i="48"/>
  <c r="AM77" i="48" s="1"/>
  <c r="AM80" i="48"/>
  <c r="Z71" i="10"/>
  <c r="AS80" i="48" s="1"/>
  <c r="AS81" i="48" s="1"/>
  <c r="D71" i="10"/>
  <c r="Y71" i="10"/>
  <c r="AP80" i="48" s="1"/>
  <c r="AP81" i="48" s="1"/>
  <c r="C71" i="10"/>
  <c r="AD71" i="10" s="1"/>
  <c r="D22" i="2"/>
  <c r="D27" i="2" s="1"/>
  <c r="D29" i="2" s="1"/>
  <c r="D34" i="2" s="1"/>
  <c r="D54" i="2" s="1"/>
  <c r="D70" i="2" s="1"/>
  <c r="E22" i="2"/>
  <c r="E27" i="2" s="1"/>
  <c r="E29" i="2" s="1"/>
  <c r="E34" i="2" s="1"/>
  <c r="E54" i="2" s="1"/>
  <c r="E70" i="2" s="1"/>
  <c r="Y80" i="10"/>
  <c r="J81" i="48" l="1"/>
  <c r="AM81" i="48"/>
  <c r="T81" i="48"/>
  <c r="AI81" i="48"/>
  <c r="R81" i="48"/>
  <c r="Z81" i="48"/>
  <c r="G81" i="48"/>
  <c r="AB81" i="48"/>
  <c r="O81" i="48"/>
  <c r="AE81" i="48"/>
  <c r="S81" i="48"/>
  <c r="AJ81" i="48"/>
  <c r="F81" i="48"/>
  <c r="K81" i="48"/>
  <c r="AH81" i="48"/>
  <c r="E81" i="48"/>
  <c r="AA81" i="48"/>
  <c r="D71" i="48"/>
  <c r="D77" i="48" s="1"/>
  <c r="D80" i="48"/>
  <c r="E77" i="48"/>
  <c r="AJ77" i="48"/>
  <c r="AA77" i="48"/>
  <c r="C71" i="48"/>
  <c r="C80" i="48"/>
  <c r="D81" i="48" l="1"/>
  <c r="C81" i="48"/>
  <c r="I54" i="26"/>
  <c r="O64" i="26" l="1"/>
  <c r="C64" i="26" s="1"/>
  <c r="I64" i="26"/>
  <c r="O63" i="26" l="1"/>
  <c r="E52" i="35" l="1"/>
  <c r="C44" i="35" l="1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C34" i="35"/>
  <c r="C33" i="35"/>
  <c r="C32" i="35"/>
  <c r="C31" i="35"/>
  <c r="C30" i="35"/>
  <c r="C26" i="35"/>
  <c r="D26" i="35" s="1"/>
  <c r="C23" i="35"/>
  <c r="D23" i="35" s="1"/>
  <c r="C22" i="35"/>
  <c r="D22" i="35" s="1"/>
  <c r="C21" i="35"/>
  <c r="D21" i="35" s="1"/>
  <c r="C20" i="35"/>
  <c r="AA16" i="40" s="1"/>
  <c r="C16" i="35"/>
  <c r="C13" i="35"/>
  <c r="D13" i="35" s="1"/>
  <c r="C12" i="35"/>
  <c r="C11" i="35"/>
  <c r="C10" i="35"/>
  <c r="AA11" i="40" s="1"/>
  <c r="AA31" i="40" l="1"/>
  <c r="AA32" i="40"/>
  <c r="D31" i="35"/>
  <c r="AA30" i="40"/>
  <c r="D35" i="35"/>
  <c r="AA35" i="40"/>
  <c r="D30" i="35"/>
  <c r="AA29" i="40"/>
  <c r="D34" i="35"/>
  <c r="AA33" i="40"/>
  <c r="D11" i="35"/>
  <c r="AA23" i="40"/>
  <c r="AA22" i="40"/>
  <c r="D16" i="35"/>
  <c r="AA26" i="40"/>
  <c r="D12" i="35"/>
  <c r="AA21" i="40"/>
  <c r="D20" i="35"/>
  <c r="AA17" i="40" s="1"/>
  <c r="D10" i="35"/>
  <c r="AA12" i="40" s="1"/>
  <c r="D32" i="35"/>
  <c r="D33" i="35"/>
  <c r="H32" i="10"/>
  <c r="Q62" i="26" l="1"/>
  <c r="K72" i="10" s="1"/>
  <c r="L83" i="48" l="1"/>
  <c r="L72" i="48"/>
  <c r="C33" i="26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L84" i="48" l="1"/>
  <c r="L74" i="48"/>
  <c r="Y54" i="10"/>
  <c r="Z54" i="10"/>
  <c r="C60" i="26"/>
  <c r="I60" i="26"/>
  <c r="C58" i="26"/>
  <c r="I58" i="26"/>
  <c r="C57" i="26"/>
  <c r="I57" i="26"/>
  <c r="C56" i="26"/>
  <c r="I56" i="26"/>
  <c r="C55" i="26"/>
  <c r="I55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AC27" i="40" l="1"/>
  <c r="AC36" i="40"/>
  <c r="AC28" i="40"/>
  <c r="D28" i="35"/>
  <c r="AA28" i="40"/>
  <c r="AA27" i="40"/>
  <c r="AA36" i="40"/>
  <c r="AB27" i="40"/>
  <c r="AB28" i="40"/>
  <c r="AB36" i="40"/>
  <c r="F28" i="35"/>
  <c r="L8" i="35"/>
  <c r="L10" i="35" s="1"/>
  <c r="J8" i="35"/>
  <c r="J10" i="35" s="1"/>
  <c r="K8" i="35"/>
  <c r="K10" i="35" s="1"/>
  <c r="G55" i="35"/>
  <c r="C55" i="35"/>
  <c r="G51" i="35"/>
  <c r="H28" i="35"/>
  <c r="G59" i="35"/>
  <c r="E51" i="35"/>
  <c r="C59" i="35"/>
  <c r="C51" i="35"/>
  <c r="H62" i="26"/>
  <c r="U72" i="10" s="1"/>
  <c r="G62" i="26"/>
  <c r="Q72" i="10" s="1"/>
  <c r="F62" i="26"/>
  <c r="M72" i="10" s="1"/>
  <c r="E62" i="26"/>
  <c r="I72" i="10" s="1"/>
  <c r="D62" i="26"/>
  <c r="E72" i="10" s="1"/>
  <c r="J62" i="26"/>
  <c r="M62" i="26"/>
  <c r="N62" i="26"/>
  <c r="C63" i="26"/>
  <c r="C62" i="26" s="1"/>
  <c r="I63" i="26"/>
  <c r="Z83" i="48" l="1"/>
  <c r="Z72" i="48"/>
  <c r="Q74" i="10"/>
  <c r="Z86" i="48" s="1"/>
  <c r="E83" i="48"/>
  <c r="E72" i="48"/>
  <c r="AH83" i="48"/>
  <c r="AH72" i="48"/>
  <c r="U74" i="10"/>
  <c r="AH86" i="48" s="1"/>
  <c r="J83" i="48"/>
  <c r="J72" i="48"/>
  <c r="R83" i="48"/>
  <c r="R72" i="48"/>
  <c r="M74" i="10"/>
  <c r="R86" i="48" s="1"/>
  <c r="I62" i="26"/>
  <c r="Z34" i="9"/>
  <c r="Z24" i="9"/>
  <c r="Z23" i="9"/>
  <c r="J84" i="48" l="1"/>
  <c r="R84" i="48"/>
  <c r="M72" i="48"/>
  <c r="J74" i="48"/>
  <c r="H72" i="48"/>
  <c r="E74" i="48"/>
  <c r="E84" i="48"/>
  <c r="AC72" i="48"/>
  <c r="Z74" i="48"/>
  <c r="Z87" i="48" s="1"/>
  <c r="U72" i="48"/>
  <c r="R74" i="48"/>
  <c r="R87" i="48" s="1"/>
  <c r="AK72" i="48"/>
  <c r="AH74" i="48"/>
  <c r="AH87" i="48" s="1"/>
  <c r="AH84" i="48"/>
  <c r="Z84" i="48"/>
  <c r="C7" i="10"/>
  <c r="U74" i="48" l="1"/>
  <c r="AK74" i="48"/>
  <c r="AC74" i="48"/>
  <c r="I72" i="48"/>
  <c r="I74" i="48" s="1"/>
  <c r="H74" i="48"/>
  <c r="N72" i="48"/>
  <c r="N74" i="48" s="1"/>
  <c r="AQ72" i="48"/>
  <c r="M74" i="48"/>
  <c r="C7" i="48"/>
  <c r="AD7" i="10"/>
  <c r="AQ74" i="48" l="1"/>
  <c r="N9" i="26"/>
  <c r="M9" i="26"/>
  <c r="L9" i="26"/>
  <c r="J9" i="26"/>
  <c r="C26" i="2" l="1"/>
  <c r="T62" i="26" l="1"/>
  <c r="W72" i="10" s="1"/>
  <c r="S62" i="26"/>
  <c r="S72" i="10" s="1"/>
  <c r="R62" i="26"/>
  <c r="O72" i="10" s="1"/>
  <c r="O62" i="26"/>
  <c r="AB83" i="48" l="1"/>
  <c r="AB72" i="48"/>
  <c r="T83" i="48"/>
  <c r="T72" i="48"/>
  <c r="AJ83" i="48"/>
  <c r="AJ72" i="48"/>
  <c r="X32" i="10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T31" i="10"/>
  <c r="AE31" i="48" s="1"/>
  <c r="S31" i="10"/>
  <c r="AB31" i="48" s="1"/>
  <c r="R31" i="10"/>
  <c r="AA31" i="48" s="1"/>
  <c r="Q31" i="10"/>
  <c r="P31" i="10"/>
  <c r="W31" i="48" s="1"/>
  <c r="O31" i="10"/>
  <c r="T31" i="48" s="1"/>
  <c r="N31" i="10"/>
  <c r="S31" i="48" s="1"/>
  <c r="M31" i="10"/>
  <c r="L31" i="10"/>
  <c r="O31" i="48" s="1"/>
  <c r="K31" i="10"/>
  <c r="AE10" i="40" s="1"/>
  <c r="AE11" i="40" s="1"/>
  <c r="J31" i="10"/>
  <c r="K31" i="48" s="1"/>
  <c r="I31" i="10"/>
  <c r="AE8" i="40" s="1"/>
  <c r="AE9" i="40" s="1"/>
  <c r="H31" i="10"/>
  <c r="G31" i="10"/>
  <c r="F31" i="10"/>
  <c r="F31" i="48" s="1"/>
  <c r="E31" i="10"/>
  <c r="X74" i="10"/>
  <c r="V74" i="10"/>
  <c r="T74" i="10"/>
  <c r="R74" i="10"/>
  <c r="AA86" i="48" s="1"/>
  <c r="P74" i="10"/>
  <c r="N74" i="10"/>
  <c r="L74" i="10"/>
  <c r="J74" i="10"/>
  <c r="H74" i="10"/>
  <c r="F74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AS83" i="48" s="1"/>
  <c r="AS84" i="48" s="1"/>
  <c r="Z35" i="10"/>
  <c r="Z53" i="10" s="1"/>
  <c r="G54" i="35"/>
  <c r="G56" i="35" s="1"/>
  <c r="C72" i="10"/>
  <c r="C73" i="10"/>
  <c r="C73" i="48" s="1"/>
  <c r="C30" i="10"/>
  <c r="C30" i="48" s="1"/>
  <c r="C29" i="48"/>
  <c r="C28" i="10"/>
  <c r="C28" i="48" s="1"/>
  <c r="C27" i="48"/>
  <c r="C26" i="10"/>
  <c r="C26" i="48" s="1"/>
  <c r="C25" i="48"/>
  <c r="C24" i="10"/>
  <c r="C24" i="48" s="1"/>
  <c r="C23" i="48"/>
  <c r="C22" i="10"/>
  <c r="C22" i="48" s="1"/>
  <c r="C21" i="48"/>
  <c r="C20" i="10"/>
  <c r="C20" i="48" s="1"/>
  <c r="C19" i="48"/>
  <c r="C18" i="10"/>
  <c r="C18" i="48" s="1"/>
  <c r="C17" i="48"/>
  <c r="C16" i="10"/>
  <c r="C16" i="48" s="1"/>
  <c r="C15" i="48"/>
  <c r="C14" i="10"/>
  <c r="C14" i="48" s="1"/>
  <c r="C13" i="48"/>
  <c r="C12" i="10"/>
  <c r="C12" i="48" s="1"/>
  <c r="C11" i="48"/>
  <c r="C10" i="10"/>
  <c r="C10" i="48" s="1"/>
  <c r="C9" i="48"/>
  <c r="C8" i="10"/>
  <c r="C8" i="48" s="1"/>
  <c r="C50" i="10"/>
  <c r="C50" i="48" s="1"/>
  <c r="C49" i="48"/>
  <c r="C48" i="10"/>
  <c r="C48" i="48" s="1"/>
  <c r="C47" i="48"/>
  <c r="C46" i="10"/>
  <c r="C46" i="48" s="1"/>
  <c r="C45" i="48"/>
  <c r="C44" i="10"/>
  <c r="C44" i="48" s="1"/>
  <c r="C43" i="48"/>
  <c r="C42" i="10"/>
  <c r="C42" i="48" s="1"/>
  <c r="C41" i="48"/>
  <c r="C40" i="10"/>
  <c r="C40" i="48" s="1"/>
  <c r="C39" i="48"/>
  <c r="C38" i="10"/>
  <c r="C38" i="48" s="1"/>
  <c r="C37" i="48"/>
  <c r="C36" i="10"/>
  <c r="C36" i="48" s="1"/>
  <c r="C35" i="48"/>
  <c r="AJ84" i="48" l="1"/>
  <c r="AJ74" i="48"/>
  <c r="AL72" i="48"/>
  <c r="AL74" i="48" s="1"/>
  <c r="T84" i="48"/>
  <c r="T74" i="48"/>
  <c r="AP72" i="48"/>
  <c r="V72" i="48"/>
  <c r="V74" i="48" s="1"/>
  <c r="AB84" i="48"/>
  <c r="AB74" i="48"/>
  <c r="AD72" i="48"/>
  <c r="AD74" i="48" s="1"/>
  <c r="AT32" i="48"/>
  <c r="AD8" i="40"/>
  <c r="AD9" i="40" s="1"/>
  <c r="AD10" i="40"/>
  <c r="AD11" i="40" s="1"/>
  <c r="R31" i="48"/>
  <c r="R76" i="48" s="1"/>
  <c r="AF8" i="40"/>
  <c r="AF9" i="40" s="1"/>
  <c r="Z31" i="48"/>
  <c r="Z76" i="48" s="1"/>
  <c r="AG8" i="40"/>
  <c r="AG9" i="40" s="1"/>
  <c r="AH31" i="48"/>
  <c r="AH76" i="48" s="1"/>
  <c r="AH8" i="40"/>
  <c r="AH9" i="40" s="1"/>
  <c r="C72" i="48"/>
  <c r="C83" i="48"/>
  <c r="W86" i="48"/>
  <c r="W87" i="48" s="1"/>
  <c r="AM86" i="48"/>
  <c r="AM87" i="48" s="1"/>
  <c r="K86" i="48"/>
  <c r="K87" i="48" s="1"/>
  <c r="O86" i="48"/>
  <c r="O87" i="48" s="1"/>
  <c r="AE86" i="48"/>
  <c r="AE87" i="48" s="1"/>
  <c r="F86" i="48"/>
  <c r="F87" i="48" s="1"/>
  <c r="S86" i="48"/>
  <c r="S87" i="48" s="1"/>
  <c r="AI86" i="48"/>
  <c r="AI87" i="48" s="1"/>
  <c r="AQ32" i="48"/>
  <c r="AA87" i="48"/>
  <c r="O76" i="48"/>
  <c r="O75" i="48"/>
  <c r="S76" i="48"/>
  <c r="S75" i="48"/>
  <c r="AP32" i="48"/>
  <c r="N32" i="48"/>
  <c r="T75" i="48"/>
  <c r="T76" i="48"/>
  <c r="Q32" i="48"/>
  <c r="W75" i="48"/>
  <c r="W76" i="48"/>
  <c r="AA75" i="48"/>
  <c r="AA76" i="48"/>
  <c r="V32" i="48"/>
  <c r="AB76" i="48"/>
  <c r="AB75" i="48"/>
  <c r="AS32" i="48"/>
  <c r="Y32" i="48"/>
  <c r="AE75" i="48"/>
  <c r="AE76" i="48"/>
  <c r="E31" i="48"/>
  <c r="F76" i="48"/>
  <c r="F75" i="48"/>
  <c r="AI76" i="48"/>
  <c r="AI75" i="48"/>
  <c r="AD32" i="48"/>
  <c r="G31" i="48"/>
  <c r="AJ75" i="48"/>
  <c r="AJ76" i="48"/>
  <c r="AG32" i="48"/>
  <c r="AM76" i="48"/>
  <c r="AM75" i="48"/>
  <c r="J31" i="48"/>
  <c r="K76" i="48"/>
  <c r="K75" i="48"/>
  <c r="AL32" i="48"/>
  <c r="L31" i="48"/>
  <c r="I32" i="48"/>
  <c r="AO32" i="48"/>
  <c r="H92" i="24"/>
  <c r="H93" i="24" s="1"/>
  <c r="C54" i="35"/>
  <c r="C56" i="35" s="1"/>
  <c r="I92" i="24"/>
  <c r="I93" i="24" s="1"/>
  <c r="G92" i="24"/>
  <c r="G93" i="24" s="1"/>
  <c r="F92" i="24"/>
  <c r="F93" i="24" s="1"/>
  <c r="B14" i="42"/>
  <c r="B13" i="42" s="1"/>
  <c r="B11" i="42"/>
  <c r="C53" i="10"/>
  <c r="AD53" i="10" s="1"/>
  <c r="Y32" i="10"/>
  <c r="I74" i="10"/>
  <c r="I82" i="10"/>
  <c r="M82" i="10"/>
  <c r="Q82" i="10"/>
  <c r="U82" i="10"/>
  <c r="K74" i="10"/>
  <c r="K82" i="10"/>
  <c r="S74" i="10"/>
  <c r="S82" i="10"/>
  <c r="W74" i="10"/>
  <c r="W82" i="10"/>
  <c r="O74" i="10"/>
  <c r="O82" i="10"/>
  <c r="E74" i="10"/>
  <c r="E82" i="10"/>
  <c r="G74" i="10"/>
  <c r="G82" i="10"/>
  <c r="Z31" i="10"/>
  <c r="Y31" i="10"/>
  <c r="L49" i="13" s="1"/>
  <c r="Z32" i="10"/>
  <c r="D31" i="10"/>
  <c r="D32" i="10"/>
  <c r="D32" i="48" s="1"/>
  <c r="D74" i="10"/>
  <c r="C32" i="10"/>
  <c r="C32" i="48" s="1"/>
  <c r="C31" i="10"/>
  <c r="AD31" i="10" s="1"/>
  <c r="Z74" i="10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AA9" i="9" s="1"/>
  <c r="Z12" i="9"/>
  <c r="AU32" i="48" l="1"/>
  <c r="AP74" i="48"/>
  <c r="AR72" i="48"/>
  <c r="AR74" i="48" s="1"/>
  <c r="R75" i="48"/>
  <c r="Z75" i="48"/>
  <c r="AH75" i="48"/>
  <c r="D31" i="48"/>
  <c r="D76" i="48" s="1"/>
  <c r="AC8" i="40"/>
  <c r="AB8" i="40" s="1"/>
  <c r="AR32" i="48"/>
  <c r="C84" i="48"/>
  <c r="G86" i="48"/>
  <c r="G87" i="48" s="1"/>
  <c r="J86" i="48"/>
  <c r="J87" i="48" s="1"/>
  <c r="T86" i="48"/>
  <c r="T87" i="48" s="1"/>
  <c r="AB86" i="48"/>
  <c r="AB87" i="48" s="1"/>
  <c r="D86" i="48"/>
  <c r="D87" i="48" s="1"/>
  <c r="AS86" i="48"/>
  <c r="AS87" i="48" s="1"/>
  <c r="E86" i="48"/>
  <c r="E87" i="48" s="1"/>
  <c r="AJ86" i="48"/>
  <c r="AJ87" i="48" s="1"/>
  <c r="L86" i="48"/>
  <c r="L87" i="48" s="1"/>
  <c r="C74" i="10"/>
  <c r="C53" i="48"/>
  <c r="C58" i="35"/>
  <c r="C60" i="35" s="1"/>
  <c r="C31" i="48"/>
  <c r="J76" i="48"/>
  <c r="J75" i="48"/>
  <c r="E75" i="48"/>
  <c r="E76" i="48"/>
  <c r="G76" i="48"/>
  <c r="G75" i="48"/>
  <c r="L76" i="48"/>
  <c r="L75" i="48"/>
  <c r="G58" i="35"/>
  <c r="G52" i="35" s="1"/>
  <c r="L32" i="13"/>
  <c r="D75" i="48" l="1"/>
  <c r="C77" i="48"/>
  <c r="C74" i="48"/>
  <c r="C86" i="48"/>
  <c r="C52" i="35"/>
  <c r="C76" i="48"/>
  <c r="C75" i="48"/>
  <c r="G60" i="35"/>
  <c r="T9" i="26"/>
  <c r="W81" i="10" s="1"/>
  <c r="W83" i="10" s="1"/>
  <c r="S9" i="26"/>
  <c r="S81" i="10" s="1"/>
  <c r="S83" i="10" s="1"/>
  <c r="R9" i="26"/>
  <c r="O81" i="10" s="1"/>
  <c r="O83" i="10" s="1"/>
  <c r="I12" i="26"/>
  <c r="I9" i="26" s="1"/>
  <c r="C87" i="48" l="1"/>
  <c r="C12" i="26"/>
  <c r="Z22" i="9"/>
  <c r="C70" i="3"/>
  <c r="C61" i="3"/>
  <c r="G19" i="2" s="1"/>
  <c r="C52" i="3"/>
  <c r="G18" i="2" s="1"/>
  <c r="C36" i="3"/>
  <c r="C28" i="3"/>
  <c r="G9" i="2" s="1"/>
  <c r="C19" i="3"/>
  <c r="C14" i="3"/>
  <c r="G12" i="2" s="1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AP83" i="48" s="1"/>
  <c r="AP84" i="48" s="1"/>
  <c r="Y35" i="10"/>
  <c r="Y53" i="10" s="1"/>
  <c r="C44" i="2"/>
  <c r="C7" i="6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E42" i="3" s="1"/>
  <c r="C22" i="2"/>
  <c r="C27" i="2" s="1"/>
  <c r="E72" i="3" s="1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K32" i="9" l="1"/>
  <c r="K35" i="9"/>
  <c r="K31" i="9"/>
  <c r="K29" i="9"/>
  <c r="K28" i="9"/>
  <c r="K30" i="9"/>
  <c r="K27" i="9"/>
  <c r="K26" i="9"/>
  <c r="K25" i="9"/>
  <c r="C29" i="2"/>
  <c r="Y74" i="10"/>
  <c r="AP86" i="48" l="1"/>
  <c r="AP87" i="48" s="1"/>
  <c r="B27" i="42"/>
  <c r="B23" i="42"/>
  <c r="C34" i="2"/>
  <c r="C54" i="2" s="1"/>
  <c r="C70" i="2" s="1"/>
  <c r="B17" i="42" s="1"/>
  <c r="B16" i="42" s="1"/>
  <c r="E46" i="41"/>
  <c r="C45" i="41"/>
  <c r="C44" i="41"/>
  <c r="D52" i="41"/>
  <c r="B24" i="42" l="1"/>
  <c r="B22" i="42" s="1"/>
  <c r="B25" i="42"/>
  <c r="C46" i="41"/>
  <c r="C43" i="41" s="1"/>
  <c r="C35" i="41" s="1"/>
  <c r="C40" i="41" s="1"/>
  <c r="K44" i="20" l="1"/>
  <c r="C51" i="41"/>
  <c r="F14" i="24" l="1"/>
  <c r="O49" i="26" l="1"/>
  <c r="C49" i="26" l="1"/>
  <c r="Q9" i="26"/>
  <c r="K81" i="10" s="1"/>
  <c r="K83" i="10" l="1"/>
  <c r="Y81" i="10"/>
  <c r="Y83" i="10" s="1"/>
  <c r="O53" i="26" l="1"/>
  <c r="C53" i="26" l="1"/>
  <c r="P9" i="26" l="1"/>
  <c r="G81" i="10" s="1"/>
  <c r="G83" i="10" s="1"/>
  <c r="O54" i="26"/>
  <c r="O9" i="26" l="1"/>
  <c r="D9" i="26"/>
  <c r="C54" i="26" l="1"/>
  <c r="C9" i="26" s="1"/>
  <c r="D73" i="2" l="1"/>
  <c r="D77" i="2" s="1"/>
  <c r="E73" i="2"/>
  <c r="E77" i="2" s="1"/>
  <c r="C71" i="2"/>
  <c r="C73" i="2" s="1"/>
  <c r="C77" i="2" s="1"/>
  <c r="C8" i="6" l="1"/>
  <c r="B20" i="42"/>
  <c r="B19" i="42" s="1"/>
  <c r="C14" i="6" l="1"/>
  <c r="F8" i="13" l="1"/>
  <c r="F25" i="13" s="1"/>
  <c r="J8" i="13"/>
  <c r="J25" i="13" s="1"/>
  <c r="H8" i="13"/>
  <c r="H25" i="13" s="1"/>
  <c r="E8" i="6" l="1"/>
  <c r="C93" i="24" l="1"/>
  <c r="E14" i="6" l="1"/>
  <c r="B12" i="42" l="1"/>
  <c r="B10" i="42" s="1"/>
  <c r="B39" i="42"/>
  <c r="BG32" i="49" l="1"/>
  <c r="BH11" i="49" l="1"/>
  <c r="BH12" i="49" l="1"/>
  <c r="BH18" i="49" l="1"/>
  <c r="BH39" i="49" l="1"/>
  <c r="BH37" i="49"/>
  <c r="BH32" i="49"/>
  <c r="BH31" i="49"/>
  <c r="BH17" i="49"/>
  <c r="BH16" i="49"/>
  <c r="BH15" i="49"/>
  <c r="BH14" i="49"/>
  <c r="BH13" i="49"/>
  <c r="BH19" i="49" l="1"/>
  <c r="BG30" i="49" l="1"/>
  <c r="BH30" i="49" s="1"/>
  <c r="BG33" i="49" l="1"/>
  <c r="B49" i="42" l="1"/>
  <c r="B48" i="42" l="1"/>
  <c r="B51" i="42" l="1"/>
  <c r="B47" i="42" l="1"/>
  <c r="B38" i="42" l="1"/>
  <c r="B37" i="42" s="1"/>
  <c r="BF33" i="49" l="1"/>
  <c r="BH33" i="49" s="1"/>
  <c r="B50" i="42" l="1"/>
  <c r="B54" i="42" l="1"/>
  <c r="B32" i="42" s="1"/>
  <c r="B29" i="42" s="1"/>
  <c r="C74" i="26" l="1"/>
  <c r="B36" i="42"/>
  <c r="B30" i="42" l="1"/>
  <c r="B28" i="42" s="1"/>
  <c r="B34" i="42"/>
  <c r="I16" i="20" l="1"/>
  <c r="K16" i="20" s="1"/>
  <c r="B6" i="42" l="1"/>
  <c r="B9" i="42"/>
  <c r="I34" i="20" l="1"/>
  <c r="K34" i="20" s="1"/>
  <c r="I27" i="20"/>
  <c r="K27" i="20" s="1"/>
  <c r="I29" i="20"/>
  <c r="K29" i="20" s="1"/>
  <c r="I31" i="20"/>
  <c r="K31" i="20" s="1"/>
  <c r="I36" i="20"/>
  <c r="K36" i="20" s="1"/>
  <c r="B8" i="42"/>
  <c r="B7" i="42" s="1"/>
  <c r="I25" i="20"/>
  <c r="K25" i="20" s="1"/>
  <c r="I41" i="20"/>
  <c r="K41" i="20" s="1"/>
  <c r="I39" i="20"/>
  <c r="K39" i="20" s="1"/>
  <c r="I11" i="20"/>
  <c r="K11" i="20" s="1"/>
  <c r="I9" i="20"/>
  <c r="K9" i="20" s="1"/>
  <c r="B5" i="42" l="1"/>
  <c r="B4" i="42" s="1"/>
  <c r="I7" i="20" l="1"/>
  <c r="K7" i="20" s="1"/>
  <c r="I13" i="20" l="1"/>
  <c r="K13" i="20" s="1"/>
  <c r="BF38" i="49" l="1"/>
  <c r="BH38" i="49" s="1"/>
  <c r="I23" i="20" l="1"/>
  <c r="K23" i="20" s="1"/>
  <c r="I20" i="20" l="1"/>
  <c r="K20" i="20" s="1"/>
  <c r="B33" i="42" l="1"/>
  <c r="B31" i="42" s="1"/>
  <c r="I21" i="20" l="1"/>
  <c r="K21" i="20" s="1"/>
  <c r="I22" i="20"/>
  <c r="K22" i="20" s="1"/>
  <c r="I19" i="20"/>
  <c r="K19" i="20" s="1"/>
  <c r="I18" i="20" l="1"/>
  <c r="K18" i="20" s="1"/>
</calcChain>
</file>

<file path=xl/sharedStrings.xml><?xml version="1.0" encoding="utf-8"?>
<sst xmlns="http://schemas.openxmlformats.org/spreadsheetml/2006/main" count="2169" uniqueCount="1010">
  <si>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</si>
  <si>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</si>
  <si>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</si>
  <si>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</si>
  <si>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</si>
  <si>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</si>
  <si>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</si>
  <si>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</si>
  <si>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</si>
  <si>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</si>
  <si>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</si>
  <si>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</si>
  <si>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</si>
  <si>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</si>
  <si>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</si>
  <si>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</si>
  <si>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</si>
  <si>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</si>
  <si>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</si>
  <si>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</si>
  <si>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</si>
  <si>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</si>
  <si>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</si>
  <si>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</si>
  <si>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</si>
  <si>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</si>
  <si>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</si>
  <si>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</si>
  <si>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</si>
  <si>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</si>
  <si>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</si>
  <si>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</si>
  <si>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</si>
  <si>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</si>
  <si>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</si>
  <si>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</si>
  <si>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</si>
  <si>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</si>
  <si>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</si>
  <si>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</si>
  <si>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</si>
  <si>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</si>
  <si>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</si>
  <si>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</si>
  <si>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</si>
  <si>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</si>
  <si>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</si>
  <si>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</si>
  <si>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</si>
  <si>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</si>
  <si>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</si>
  <si>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</si>
  <si>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</si>
  <si>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</si>
  <si>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</si>
  <si>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</si>
  <si>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</si>
  <si>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</si>
  <si>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</si>
  <si>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</si>
  <si>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</si>
  <si>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</si>
  <si>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</si>
  <si>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</si>
  <si>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</si>
  <si>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</si>
  <si>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</si>
  <si>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</si>
  <si>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</si>
  <si>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</si>
  <si>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</si>
  <si>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</si>
  <si>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</si>
  <si>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</si>
  <si>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</si>
  <si>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</si>
  <si>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</si>
  <si>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</si>
  <si>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</si>
  <si>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</si>
  <si>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</si>
  <si>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</si>
  <si>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</si>
  <si>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</si>
  <si>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</si>
  <si>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</si>
  <si>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</si>
  <si>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</si>
  <si>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</si>
  <si>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</si>
  <si>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</si>
  <si>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</si>
  <si>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</si>
  <si>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</si>
  <si>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</si>
  <si>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</si>
  <si>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</si>
  <si>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</si>
  <si>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</si>
  <si>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</si>
  <si>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</si>
  <si>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</si>
  <si>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</si>
  <si>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</si>
  <si>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</si>
  <si>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</si>
  <si>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</si>
  <si>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</si>
  <si>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</si>
  <si>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</si>
  <si>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</si>
  <si>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</si>
  <si>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</si>
  <si>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</si>
  <si>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</si>
  <si>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</si>
  <si>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</si>
  <si>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</si>
  <si>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</si>
  <si>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</si>
  <si>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</si>
  <si>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</si>
  <si>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</si>
  <si>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</si>
  <si>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</si>
  <si>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</si>
  <si>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</si>
  <si>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</si>
  <si>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</si>
  <si>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</si>
  <si>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</si>
  <si>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</si>
  <si>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</si>
  <si>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</si>
  <si>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</si>
  <si>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</si>
  <si>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</si>
  <si>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</si>
  <si>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</si>
  <si>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</si>
  <si>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</si>
  <si>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</si>
  <si>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</si>
  <si>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</si>
  <si>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</si>
  <si>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</si>
  <si>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</si>
  <si>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</si>
  <si>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</si>
  <si>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</si>
  <si>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</si>
  <si>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</si>
  <si>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</si>
  <si>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</si>
  <si>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</si>
  <si>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</si>
  <si>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</si>
  <si>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</si>
  <si>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</si>
  <si>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</si>
  <si>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</si>
  <si>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</si>
  <si>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</si>
  <si>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</si>
  <si>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</si>
  <si>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</si>
  <si>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</si>
  <si>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</si>
  <si>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</si>
  <si>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</si>
  <si>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</si>
  <si>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</si>
  <si>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</si>
  <si>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</si>
  <si>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</si>
  <si>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</si>
  <si>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</si>
  <si>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</si>
  <si>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</si>
  <si>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</si>
  <si>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</si>
  <si>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</si>
  <si>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</si>
  <si>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</si>
  <si>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</si>
  <si>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</si>
  <si>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</si>
  <si>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У</t>
  </si>
  <si>
    <t>Физлица</t>
  </si>
  <si>
    <t>Юрзлица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</si>
  <si>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</si>
  <si>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</si>
  <si>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</si>
  <si>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</si>
  <si>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</si>
  <si>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</si>
  <si>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</si>
  <si>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</si>
  <si>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</si>
  <si>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</si>
  <si>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</si>
  <si>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</si>
  <si>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</si>
  <si>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</si>
  <si>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</si>
  <si>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</si>
  <si>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</si>
  <si>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</si>
  <si>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</si>
  <si>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</si>
  <si>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</si>
  <si>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</si>
  <si>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</si>
  <si>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</si>
  <si>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</si>
  <si>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</si>
  <si>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</si>
  <si>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</si>
  <si>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</si>
  <si>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</si>
  <si>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</si>
  <si>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</si>
  <si>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</si>
  <si>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</si>
  <si>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</si>
  <si>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</si>
  <si>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</si>
  <si>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</si>
  <si>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</si>
  <si>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</si>
  <si>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</si>
  <si>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</si>
  <si>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</si>
  <si>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</si>
  <si>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</si>
  <si>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</si>
  <si>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</si>
  <si>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</si>
  <si>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</si>
  <si>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</si>
  <si>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</si>
  <si>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</si>
  <si>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</si>
  <si>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</si>
  <si>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</si>
  <si>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</si>
  <si>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</si>
  <si>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</si>
  <si>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</si>
  <si>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</si>
  <si>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</si>
  <si>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</si>
  <si>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</si>
  <si>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</si>
  <si>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</si>
  <si>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</si>
  <si>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</si>
  <si>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</si>
  <si>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</si>
  <si>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</si>
  <si>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</si>
  <si>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</si>
  <si>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</si>
  <si>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</si>
  <si>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</si>
  <si>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</si>
  <si>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</si>
  <si>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</si>
  <si>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</si>
  <si>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</si>
  <si>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</si>
  <si>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</si>
  <si>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</si>
  <si>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</si>
  <si>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</si>
  <si>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</si>
  <si>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</si>
  <si>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</si>
  <si>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</si>
  <si>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</si>
  <si>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</si>
  <si>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</si>
  <si>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</si>
  <si>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</si>
  <si>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</si>
  <si>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</si>
  <si>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</si>
  <si>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</si>
  <si>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</si>
  <si>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</si>
  <si>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</si>
  <si>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</si>
  <si>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</si>
  <si>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</si>
  <si>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</si>
  <si>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</si>
  <si>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</si>
  <si>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</si>
  <si>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</si>
  <si>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</si>
  <si>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</si>
  <si>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</si>
  <si>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</si>
  <si>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</si>
  <si>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</si>
  <si>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</si>
  <si>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</si>
  <si>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</si>
  <si>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</si>
  <si>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</si>
  <si>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</si>
  <si>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</si>
  <si>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</si>
  <si>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</si>
  <si>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</si>
  <si>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</si>
  <si>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</si>
  <si>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</si>
  <si>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</si>
  <si>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</si>
  <si>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</si>
  <si>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</si>
  <si>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</si>
  <si>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</si>
  <si>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</si>
  <si>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</si>
  <si>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</si>
  <si>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</si>
  <si>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</si>
  <si>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</si>
  <si>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</si>
  <si>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</si>
  <si>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</si>
  <si>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</si>
  <si>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</si>
  <si>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</si>
  <si>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</si>
  <si>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</si>
  <si>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</si>
  <si>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</si>
  <si>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</si>
  <si>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</si>
  <si>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</si>
  <si>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</si>
  <si>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</si>
  <si>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</si>
  <si>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</si>
  <si>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</si>
  <si>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</si>
  <si>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</si>
  <si>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</si>
  <si>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</si>
  <si>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</si>
  <si>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</si>
  <si>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</si>
  <si>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</si>
  <si>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</si>
  <si>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</si>
  <si>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</si>
  <si>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</si>
  <si>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</si>
  <si>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</si>
  <si>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</si>
  <si>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</si>
  <si>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</si>
  <si>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</si>
  <si>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</si>
  <si>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</si>
  <si>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</si>
  <si>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</si>
  <si>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</si>
  <si>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</si>
  <si>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</si>
  <si>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</si>
  <si>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</si>
  <si>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</si>
  <si>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</si>
  <si>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</si>
  <si>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</si>
  <si>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</si>
  <si>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</si>
  <si>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</si>
  <si>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</si>
  <si>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</si>
  <si>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</si>
  <si>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</si>
  <si>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</si>
  <si>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</si>
  <si>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</si>
  <si>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</si>
  <si>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</si>
  <si>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</si>
  <si>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</si>
  <si>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</si>
  <si>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</si>
  <si>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</si>
  <si>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</si>
  <si>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</si>
  <si>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</si>
  <si>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</si>
  <si>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</si>
  <si>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</si>
  <si>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</si>
  <si>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</si>
  <si>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</si>
  <si>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</si>
  <si>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</si>
  <si>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</si>
  <si>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</si>
  <si>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</si>
  <si>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</si>
  <si>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</si>
  <si>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</si>
  <si>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</si>
  <si>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</si>
  <si>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</si>
  <si>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</si>
  <si>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</si>
  <si>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</si>
  <si>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</si>
  <si>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</si>
  <si>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</si>
  <si>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</si>
  <si>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</si>
  <si>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</si>
  <si>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</si>
  <si>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</si>
  <si>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</si>
  <si>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</si>
  <si>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</si>
  <si>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</si>
  <si>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</si>
  <si>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</si>
  <si>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</si>
  <si>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</si>
  <si>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</si>
  <si>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</si>
  <si>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</si>
  <si>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</si>
  <si>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</si>
  <si>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</si>
  <si>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</si>
  <si>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</si>
  <si>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</si>
  <si>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</si>
  <si>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</si>
  <si>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</si>
  <si>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</si>
  <si>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</si>
  <si>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</si>
  <si>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</si>
  <si>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</si>
  <si>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</si>
  <si>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</si>
  <si>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</si>
  <si>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</si>
  <si>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</si>
  <si>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</si>
  <si>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</si>
  <si>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</si>
  <si>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</si>
  <si>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</si>
  <si>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</si>
  <si>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</si>
  <si>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</si>
  <si>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</si>
  <si>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</si>
  <si>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</si>
  <si>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</si>
  <si>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</si>
  <si>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</si>
  <si>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</si>
  <si>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</si>
  <si>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</si>
  <si>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</si>
  <si>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</si>
  <si>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</si>
  <si>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</si>
  <si>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</si>
  <si>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</si>
  <si>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</si>
  <si>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</si>
  <si>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</si>
  <si>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</si>
  <si>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</si>
  <si>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</si>
  <si>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</si>
  <si>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</si>
  <si>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</si>
  <si>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</si>
  <si>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</si>
  <si>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</si>
  <si>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</si>
  <si>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</si>
  <si>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</si>
  <si>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</si>
  <si>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</si>
  <si>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</si>
  <si>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</si>
  <si>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</si>
  <si>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</si>
  <si>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</si>
  <si>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</si>
  <si>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</si>
  <si>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</si>
  <si>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</si>
  <si>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</si>
  <si>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</si>
  <si>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</si>
  <si>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</si>
  <si>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</si>
  <si>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</si>
  <si>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</si>
  <si>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</si>
  <si>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</si>
  <si>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</si>
  <si>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</si>
  <si>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</si>
  <si>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</si>
  <si>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</si>
  <si>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</si>
  <si>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</si>
  <si>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</si>
  <si>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</si>
  <si>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</si>
  <si>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</si>
  <si>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бошқа мақсадли кредитлар</t>
  </si>
  <si>
    <t>21-жадвал</t>
  </si>
  <si>
    <t>Муддатсиз</t>
  </si>
  <si>
    <t>91-180 кун</t>
  </si>
  <si>
    <t>181-365 кун</t>
  </si>
  <si>
    <t>366-730 кун</t>
  </si>
  <si>
    <t>2 йилдан ортиқ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</si>
  <si>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</si>
  <si>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</si>
  <si>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</si>
  <si>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</si>
  <si>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</si>
  <si>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</si>
  <si>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</si>
  <si>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</si>
  <si>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</si>
  <si>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</si>
  <si>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</si>
  <si>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</si>
  <si>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</si>
  <si>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</si>
  <si>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</si>
  <si>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</si>
  <si>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</si>
  <si>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</si>
  <si>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</si>
  <si>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</si>
  <si>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</si>
  <si>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</si>
  <si>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</si>
  <si>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</si>
  <si>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</si>
  <si>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</si>
  <si>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</si>
  <si>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</si>
  <si>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</si>
  <si>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</si>
  <si>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</si>
  <si>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</si>
  <si>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</si>
  <si>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</si>
  <si>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</si>
  <si>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</si>
  <si>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</si>
  <si>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</si>
  <si>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</si>
  <si>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</si>
  <si>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</si>
  <si>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</si>
  <si>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</si>
  <si>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</si>
  <si>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</si>
  <si>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</si>
  <si>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</si>
  <si>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</si>
  <si>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</si>
  <si>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</si>
  <si>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</si>
  <si>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</si>
  <si>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</si>
  <si>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</si>
  <si>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</si>
  <si>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</si>
  <si>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</si>
  <si>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</si>
  <si>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</si>
  <si>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</si>
  <si>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</si>
  <si>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</si>
  <si>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</si>
  <si>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</si>
  <si>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</si>
  <si>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</si>
  <si>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</si>
  <si>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</si>
  <si>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>Захиралар чегирилган ҳолда харакатсиз кредитлар миқдори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</si>
  <si>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</si>
  <si>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</si>
  <si>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</si>
  <si>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</si>
  <si>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</si>
  <si>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</si>
  <si>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</si>
  <si>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</si>
  <si>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</si>
  <si>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</si>
  <si>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</si>
  <si>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</si>
  <si>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</si>
  <si>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</si>
  <si>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</si>
  <si>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</si>
  <si>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</si>
  <si>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</si>
  <si>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</si>
  <si>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</si>
  <si>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</si>
  <si>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</si>
  <si>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</si>
  <si>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</si>
  <si>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</si>
  <si>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</si>
  <si>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</si>
  <si>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</si>
  <si>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</si>
  <si>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</si>
  <si>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</si>
  <si>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</si>
  <si>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</si>
  <si>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</si>
  <si>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</si>
  <si>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</si>
  <si>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</si>
  <si>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</si>
  <si>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</si>
  <si>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</si>
  <si>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</si>
  <si>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</si>
  <si>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</si>
  <si>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</si>
  <si>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</si>
  <si>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</si>
  <si>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</si>
  <si>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</si>
  <si>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</si>
  <si>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</si>
  <si>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</si>
  <si>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</si>
  <si>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</si>
  <si>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</si>
  <si>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</si>
  <si>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</si>
  <si>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</si>
  <si>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</si>
  <si>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</si>
  <si>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</si>
  <si>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</si>
  <si>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</si>
  <si>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</si>
  <si>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</si>
  <si>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</si>
  <si>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</si>
  <si>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</si>
  <si>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</si>
  <si>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</si>
  <si>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</si>
  <si>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</si>
  <si>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</si>
  <si>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</si>
  <si>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</si>
  <si>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</si>
  <si>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</si>
  <si>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</si>
  <si>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</si>
  <si>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</si>
  <si>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</si>
  <si>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</si>
  <si>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</si>
  <si>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</si>
  <si>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</si>
  <si>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</si>
  <si>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</si>
  <si>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</si>
  <si>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</si>
  <si>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</si>
  <si>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</si>
  <si>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</si>
  <si>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</si>
  <si>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</si>
  <si>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</si>
  <si>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</si>
  <si>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</si>
  <si>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</si>
  <si>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</si>
  <si>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</si>
  <si>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</si>
  <si>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</si>
  <si>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</si>
  <si>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</si>
  <si>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</si>
  <si>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</si>
  <si>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</si>
  <si>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</si>
  <si>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</si>
  <si>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</si>
  <si>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</si>
  <si>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</si>
  <si>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</si>
  <si>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</si>
  <si>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</si>
  <si>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</si>
  <si>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</si>
  <si>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</si>
  <si>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</si>
  <si>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</si>
  <si>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</si>
  <si>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</si>
  <si>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</si>
  <si>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</si>
  <si>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</si>
  <si>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</si>
  <si>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</si>
  <si>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</si>
  <si>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</si>
  <si>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</si>
  <si>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</si>
  <si>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</si>
  <si>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</si>
  <si>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</si>
  <si>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</si>
  <si>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</si>
  <si>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</si>
  <si>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</si>
  <si>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</si>
  <si>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</si>
  <si>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</si>
  <si>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</si>
  <si>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</si>
  <si>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</si>
  <si>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</si>
  <si>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</si>
  <si>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</si>
  <si>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</si>
  <si>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</si>
  <si>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</si>
  <si>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</si>
  <si>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</si>
  <si>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</si>
  <si>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</si>
  <si>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</si>
  <si>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</si>
  <si>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</si>
  <si>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</si>
  <si>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</si>
  <si>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</si>
  <si>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</si>
  <si>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</si>
  <si>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</si>
  <si>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</si>
  <si>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</si>
  <si>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</si>
  <si>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</si>
  <si>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</si>
  <si>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</si>
  <si>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</si>
  <si>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</si>
  <si>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</si>
  <si>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</si>
  <si>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</si>
  <si>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</si>
  <si>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</si>
  <si>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</si>
  <si>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</si>
  <si>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</si>
  <si>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</t>
  </si>
  <si>
    <t xml:space="preserve">Кўчмас мулк ва бошқа мол-мулкларнинг жами қиймати </t>
  </si>
  <si>
    <t>Кўчмас мулк ва бошқа мол-мулкларга оид меъёрий кўрсаткич</t>
  </si>
  <si>
    <t>Активлар бўйича эҳтимолий йўқотишларга қарши яратилган захираларнинг қайтарилиши</t>
  </si>
  <si>
    <t>Кредит, лизинг ва факторингларни ҳисобдан чиқариш ва қайтариш</t>
  </si>
  <si>
    <t xml:space="preserve">Кредит, лизинг ва факторинглар бўйича эҳтимолий йўқотишларга қарши захиралар </t>
  </si>
  <si>
    <t>Сотиб олинган дебиторлик қарзлари - Факторинг</t>
  </si>
  <si>
    <t>минг сўмда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</si>
  <si>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</si>
  <si>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</si>
  <si>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</si>
  <si>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</si>
  <si>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</si>
  <si>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</si>
  <si>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Шундан</t>
  </si>
  <si>
    <t>ўртача тортилган фоиз ставкаси</t>
  </si>
  <si>
    <t>Шундан,</t>
  </si>
  <si>
    <t>хорижий валютада 
(сўм экв.)</t>
  </si>
  <si>
    <t>1-қисм</t>
  </si>
  <si>
    <t>БАНК АКТИВЛАРИ ТАҲЛИЛИ</t>
  </si>
  <si>
    <t>Банкнинг Марказий банкдаги маблағлари (фоизли даромадга эга бўлган)</t>
  </si>
  <si>
    <t>Бошқа банклар ва молиявий ташкилотлардан олиниши лозим бўлган маблағлар (фақат фоизли даромадга эга бўлган)</t>
  </si>
  <si>
    <t>Қимматли қоғозлар ва уларга қилинган  инвестициялар, соф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</si>
  <si>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</si>
  <si>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</si>
  <si>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 xml:space="preserve">Мижозларнинг аккредитив ва траст ҳужжатлари билан кафолатланган тратталари бўйича мажбуриятлари, соф </t>
  </si>
  <si>
    <t>Мижозларнинг банк олдидаги тўланмаган акцептлари бўйича мажбуриятлари, соф</t>
  </si>
  <si>
    <t>Марказий банкка берилган кредит ва лизинглар, соф</t>
  </si>
  <si>
    <t>Бошқа банкларга берилган кредит ва лизинглар, соф</t>
  </si>
  <si>
    <t>8</t>
  </si>
  <si>
    <t>Мижозларга берилган кредит ва лизинглар, соф</t>
  </si>
  <si>
    <t>шу жумладан, жисмоний шахсларга берилган кредит ва лизинглар</t>
  </si>
  <si>
    <t>9</t>
  </si>
  <si>
    <t>Суд ёки ижро иши юритиш жараёнидаги кредитлар ва лизинг, соф</t>
  </si>
  <si>
    <t>10</t>
  </si>
  <si>
    <t>Бошқа активлар (фоизли даромадга эга бўлган)</t>
  </si>
  <si>
    <t>11</t>
  </si>
  <si>
    <t>ЖAМИ АКТИВЛАР</t>
  </si>
  <si>
    <t>2-қисм</t>
  </si>
  <si>
    <t>БАНК МАЖБУРИЯТЛАРИ</t>
  </si>
  <si>
    <t>ДЕПОЗИТЛАР</t>
  </si>
  <si>
    <t>Талаб қилиб олингунча депозитлар</t>
  </si>
  <si>
    <t>1.1.1</t>
  </si>
  <si>
    <t>Aҳолининг талаб қилиб олингунча омонатлари</t>
  </si>
  <si>
    <t>1.1.2</t>
  </si>
  <si>
    <t>Талаб қилиб олингунча бошқа депозитлар</t>
  </si>
  <si>
    <t>1.2.1</t>
  </si>
  <si>
    <t>Аҳоли омонатлари</t>
  </si>
  <si>
    <t>Мижозларнинг бошқа депозитлари</t>
  </si>
  <si>
    <t>Жисмоний шахсларнинг банк пластик карталаридаги маблағлари (қолдиқлари бўйича фоиз тўлаш мажбурияти мавжуд бўлса)</t>
  </si>
  <si>
    <t>Бошқа мижозларнинг банк пластик карталаридаги маблағлари (қолдиқлари бўйича фоиз тўлаш мажбурияти мавжуд бўлса)</t>
  </si>
  <si>
    <t>Жами депозитлар</t>
  </si>
  <si>
    <t>Марказий банкка тўланиши лозим бўлган маблағлар</t>
  </si>
  <si>
    <t>Бошқа банкларга  тўланиши лозим бўлган маблағлар</t>
  </si>
  <si>
    <t>Олинган кредит ва лизинглар (молиявий ижара) бўйича мажбуриятлар</t>
  </si>
  <si>
    <t>Банк томонидан чиқарилган қимматли қоғозлар</t>
  </si>
  <si>
    <t>Субординар қарз мажбуриятлари</t>
  </si>
  <si>
    <t>ЖАМИ МАЖБУРИЯТЛАР</t>
  </si>
  <si>
    <t>Молиявий ташкилотларга тўланиши лозим бўлган маблағлар</t>
  </si>
  <si>
    <t>10.1</t>
  </si>
  <si>
    <t>12</t>
  </si>
  <si>
    <t>1.2.2</t>
  </si>
  <si>
    <t>ҳукумат қарорлари асоисида йирик социал лойиҳалар учун ажратилган кредитлар</t>
  </si>
  <si>
    <t>КРЕДИТ ПОРТФЕЛИ ТАРКИБИ ТЎҒРИСИДА ҲИСОБОТ</t>
  </si>
  <si>
    <t>Жами хусусий капитал</t>
  </si>
  <si>
    <t xml:space="preserve">Жами хусусий капитал </t>
  </si>
  <si>
    <t>Захиралар чегирилган ҳолда харакатсиз кредитлар/жами хусусий капитал</t>
  </si>
  <si>
    <t>Жами хусусий капитал ҳажми (мазкур давр учун ўртача)</t>
  </si>
  <si>
    <t>Жами хусусий капитал/жами активлар</t>
  </si>
  <si>
    <t xml:space="preserve">Очиқ валюта позицияси, соф / Жами хусусий капитал </t>
  </si>
  <si>
    <t>ўртача тортилган
 фоиз ставкаси</t>
  </si>
  <si>
    <t>миллий валютада ўртача тортилган
 фоиз ставкаси</t>
  </si>
  <si>
    <t>хорижий валютада ўртача тортилган
 фоиз ставкаси</t>
  </si>
  <si>
    <t>21 A-жадвал</t>
  </si>
  <si>
    <t>“ФОИЗЛИ ГЭП ТАҲЛИЛИ (ўзгармас фоиз ставкаси билан жойлаштитрилган ва жалб қилинган маблағлар бўйича)</t>
  </si>
  <si>
    <t>“ФОИЗЛИ ГЭП ТАҲЛИЛИ (ўзгарувчан фоиз ставкаси билан жойлаштитрилган ва жалб қилинган маблағлар бўйича)</t>
  </si>
  <si>
    <t>1.1.3</t>
  </si>
  <si>
    <t>1.1.4</t>
  </si>
  <si>
    <t>1.1.5</t>
  </si>
  <si>
    <t>000</t>
  </si>
  <si>
    <t>23990</t>
  </si>
  <si>
    <t>АО НАВОИАЗОТ</t>
  </si>
  <si>
    <t>200002933</t>
  </si>
  <si>
    <t>20151</t>
  </si>
  <si>
    <t>000 840 978</t>
  </si>
  <si>
    <t>206887857</t>
  </si>
  <si>
    <t xml:space="preserve"> 840 </t>
  </si>
  <si>
    <t>QONGIROT SODA ZAVODI</t>
  </si>
  <si>
    <t>200949269</t>
  </si>
  <si>
    <t>20130</t>
  </si>
  <si>
    <t>MCHJ shaklidagi SAMARKAND-NPK QUSHMA KORXONASI</t>
  </si>
  <si>
    <t>303295841</t>
  </si>
  <si>
    <t xml:space="preserve">000 840 </t>
  </si>
  <si>
    <t>АО "MAXAM - CHIRCHIQ"</t>
  </si>
  <si>
    <t>200941518</t>
  </si>
  <si>
    <t>200837914</t>
  </si>
  <si>
    <t>06200</t>
  </si>
  <si>
    <t>АЖ "O''ZTRANSGAZ"</t>
  </si>
  <si>
    <t>200626188</t>
  </si>
  <si>
    <t>49500</t>
  </si>
  <si>
    <t>BUXORO NEFTNI QAYTA ISHLASH ZAVODI МЧЖ</t>
  </si>
  <si>
    <t>202080378</t>
  </si>
  <si>
    <t>UZBEKISTON TEMIR YULLARI AJ</t>
  </si>
  <si>
    <t>201051951</t>
  </si>
  <si>
    <t>49200</t>
  </si>
  <si>
    <t>"YANGI ZAMON BINO" Mas'uliyati cheklangan jamiyat</t>
  </si>
  <si>
    <t>304424670</t>
  </si>
  <si>
    <t>SHARGUNKUMIR AJ</t>
  </si>
  <si>
    <t>200494307</t>
  </si>
  <si>
    <t>05100</t>
  </si>
  <si>
    <t>QK MCHJ "SANOAT ENERGETIKA GURUHI"</t>
  </si>
  <si>
    <t>304936120</t>
  </si>
  <si>
    <t>06100</t>
  </si>
  <si>
    <t>BASFIBER TRADE MCHJ QK</t>
  </si>
  <si>
    <t>308995046</t>
  </si>
  <si>
    <t>20600</t>
  </si>
  <si>
    <t xml:space="preserve"> 840 978</t>
  </si>
  <si>
    <t>"ROCKFIBER" MChJ</t>
  </si>
  <si>
    <t>309583004</t>
  </si>
  <si>
    <t>"ECOBASALT GROUP" МЧЖ Кушма корхона</t>
  </si>
  <si>
    <t>306561667</t>
  </si>
  <si>
    <t>"ANGREN ISSIQLIK ELEKTR STANSIYASI" АЖ</t>
  </si>
  <si>
    <t>200595949</t>
  </si>
  <si>
    <t>35111</t>
  </si>
  <si>
    <t xml:space="preserve">000  </t>
  </si>
  <si>
    <t>Талимаржан Иссиклик электростанцияси УК</t>
  </si>
  <si>
    <t>201284979</t>
  </si>
  <si>
    <t/>
  </si>
  <si>
    <t>АО ISSIQLIK ELEKTR STANSIYALARI</t>
  </si>
  <si>
    <t>306349304</t>
  </si>
  <si>
    <t>70100</t>
  </si>
  <si>
    <t>000  978</t>
  </si>
  <si>
    <t>ANGREN SHAKAR MChJ</t>
  </si>
  <si>
    <t>207155445</t>
  </si>
  <si>
    <t>10810</t>
  </si>
  <si>
    <t>"XORAZM SHAKAR" МЧЖ</t>
  </si>
  <si>
    <t>202586539</t>
  </si>
  <si>
    <t>AZIA TASHKENT TEXTILE</t>
  </si>
  <si>
    <t>307926828</t>
  </si>
  <si>
    <t>13101</t>
  </si>
  <si>
    <t>MCHJ "PSB CAPITAL"</t>
  </si>
  <si>
    <t>SQB TOWER</t>
  </si>
  <si>
    <t>"SQB INSURANCE" SUG'URTA KOMPANIYASI" AJ</t>
  </si>
  <si>
    <t>СП OOO AMIRSOY</t>
  </si>
  <si>
    <t>305152772</t>
  </si>
  <si>
    <t>93290</t>
  </si>
  <si>
    <t>Fitch Ratings, S&amp;P</t>
  </si>
  <si>
    <t>ВВ-, ВВ-, прогноз "Стабильный"</t>
  </si>
  <si>
    <t>"Ўзсаноатқурилишбанк" АТБ</t>
  </si>
  <si>
    <t>№2</t>
  </si>
  <si>
    <t> 31005723120028</t>
  </si>
  <si>
    <t>XAKIMOV ABDURASHID BAXROM O'G'LI</t>
  </si>
  <si>
    <t>RUSTAMOV ABROR RUSTAMOVICH</t>
  </si>
  <si>
    <t>YAKUBOV SHUXRAT ISRAILOVICH</t>
  </si>
  <si>
    <t>URAKOV KAMOLIDDIN MUXIDDINOVICH</t>
  </si>
  <si>
    <t>ALLAMOV G'AYRAT A'ZAMOVICH</t>
  </si>
  <si>
    <t>XUSANOV NURBEK ERGASHEVICH</t>
  </si>
  <si>
    <t>ATABEKOV JAVLON NISHANBAYEVICH</t>
  </si>
  <si>
    <t>BERDIBEKOV OLIMBEK TURSUNOVICH</t>
  </si>
  <si>
    <t>TURSUNOV OTABEK OLIMBEK O'G'LI</t>
  </si>
  <si>
    <t>BAYIROV SANJAR MANSUROVICH</t>
  </si>
  <si>
    <t>DAVIROV BOTIR UKTAMOVICH</t>
  </si>
  <si>
    <t>UMAROV DONIYORJON SHAVKATJON O'G'LI</t>
  </si>
  <si>
    <t>ESHMATOV MASRUR QURBONOVICH</t>
  </si>
  <si>
    <t>O'ZBEKNEFTGAZ</t>
  </si>
  <si>
    <t>"CHIMGAN RESIDENCE" MCHJ</t>
  </si>
  <si>
    <t>311702092</t>
  </si>
  <si>
    <t>55100</t>
  </si>
  <si>
    <t>41201</t>
  </si>
  <si>
    <t>SHAMIRZAYEV DIYOR XUDOYOROVICH</t>
  </si>
  <si>
    <t>30101756580020</t>
  </si>
  <si>
    <t>50403038660025</t>
  </si>
  <si>
    <t>32207964320031</t>
  </si>
  <si>
    <t>31203770640012</t>
  </si>
  <si>
    <t> 32006873680034</t>
  </si>
  <si>
    <t>XALILOV SHUXRAT XOLMIRZAYEVICH</t>
  </si>
  <si>
    <t> 32609852580017</t>
  </si>
  <si>
    <t> 31612670310147</t>
  </si>
  <si>
    <t> 31402966590032</t>
  </si>
  <si>
    <t> 31109850210059</t>
  </si>
  <si>
    <t> 31109880310347</t>
  </si>
  <si>
    <t> 30212871860013</t>
  </si>
  <si>
    <t>XAKIMOV G'ULOMBAY ATAXANOVICH</t>
  </si>
  <si>
    <t> 30609900270491</t>
  </si>
  <si>
    <t> 32609850160037</t>
  </si>
  <si>
    <t> 30605843910027</t>
  </si>
  <si>
    <t> 31705786020025</t>
  </si>
  <si>
    <t> 32801852680131</t>
  </si>
  <si>
    <t> 32908871610058</t>
  </si>
  <si>
    <t> 32212930210063</t>
  </si>
  <si>
    <t>ИП ООО "JIZZAX ORGANIC"</t>
  </si>
  <si>
    <t>306211642</t>
  </si>
  <si>
    <t>01420</t>
  </si>
  <si>
    <t>AKBARJONOV AZIZ AKBARJON O'G'LI</t>
  </si>
  <si>
    <t>ABDUVALIYEV SANJAR ABDURAXMANOVICH</t>
  </si>
  <si>
    <t>YOQUBJONOV ABROR RUSTAM O'G'LI</t>
  </si>
  <si>
    <t> 32312830020020</t>
  </si>
  <si>
    <t> 30504834320013</t>
  </si>
  <si>
    <t>БАНККА АЛОҚАДОР БИТТА ШАХСГА ТЎҒРИ КЕЛУВЧИ ТАВАККАЛЧИЛИКНИНГ ЭНГ КЎП МИҚДОРИ</t>
  </si>
  <si>
    <t>CAPITAL BINO QURILISH</t>
  </si>
  <si>
    <t>SULTONMURODOV BOBIR BAXODIROVICH</t>
  </si>
  <si>
    <t> 30504861360020</t>
  </si>
  <si>
    <t>ATADJANOVA MUXABBAT BEKBERGENOVNA</t>
  </si>
  <si>
    <t>41011685190019</t>
  </si>
  <si>
    <t>SATTOROVA ZULFIZAR ISOMIDDIN QIZI</t>
  </si>
  <si>
    <t>41410975290017</t>
  </si>
  <si>
    <t>312043730</t>
  </si>
  <si>
    <t>ASAKA-AGRO STAR MCHJ</t>
  </si>
  <si>
    <t>MCHJ "BERUNIY - AGRO STAR"</t>
  </si>
  <si>
    <t>SQB Capital</t>
  </si>
  <si>
    <t>64910</t>
  </si>
  <si>
    <t>Capital bino qurilish</t>
  </si>
  <si>
    <t>Chimgan Residence</t>
  </si>
  <si>
    <t>Asaka agro star</t>
  </si>
  <si>
    <t>Beruniy agro star</t>
  </si>
  <si>
    <t>SQB Insurance</t>
  </si>
  <si>
    <t>65120</t>
  </si>
  <si>
    <t>SQB Tower</t>
  </si>
  <si>
    <t>SANJAROV SIROJIDDIN DILSHOD O'G'LI</t>
  </si>
  <si>
    <t>31808910171740</t>
  </si>
  <si>
    <t>OMONOV ABDULAZIZ ABDULLA O'G'LI</t>
  </si>
  <si>
    <t>"GEOBASALT PRODUCTS" МЧЖ</t>
  </si>
  <si>
    <t>306561674</t>
  </si>
  <si>
    <t>ООО "ORIENT GROUP MANAGEMENT"</t>
  </si>
  <si>
    <t>307236673</t>
  </si>
  <si>
    <t>70220</t>
  </si>
  <si>
    <t>USMONOV ABRORXON ALIXON O'G'LI</t>
  </si>
  <si>
    <t>ICBC STANDARD BANK PLC (FORMERLY STANDARD BANK PLC) (Margin call)</t>
  </si>
  <si>
    <t>"Dehqonobod kaliy zavodi" AJ</t>
  </si>
  <si>
    <t xml:space="preserve">  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</si>
</sst>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_₽_-;\-* #,##0.00\ _₽_-;_-* &quot;-&quot;??\ _₽_-;_-@_-"/>
    <numFmt numFmtId="165" formatCode="#,##0&quot;р.&quot;;[Red]\-#,##0&quot;р.&quot;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#,##0_ ;[Red]\-#,##0\ "/>
    <numFmt numFmtId="196" formatCode="[$-843]dd\ mmmm\ yyyy\ \й\и\л;@"/>
    <numFmt numFmtId="197" formatCode="_-* #,##0.0_р_._-;\-* #,##0.0_р_._-;_-* &quot;-&quot;??_р_._-;_-@_-"/>
    <numFmt numFmtId="198" formatCode="#,##0_ ;\-#,##0\ "/>
  </numFmts>
  <fonts count="12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8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0"/>
      <color theme="0" tint="-0.499984740745262"/>
      <name val="Arial Cyr"/>
      <charset val="204"/>
    </font>
    <font>
      <b/>
      <sz val="10"/>
      <color theme="0" tint="-0.499984740745262"/>
      <name val="Arial Cyr"/>
      <charset val="204"/>
    </font>
    <font>
      <sz val="10"/>
      <color rgb="FFFF0000"/>
      <name val="Arial Cyr"/>
      <charset val="204"/>
    </font>
    <font>
      <sz val="8"/>
      <name val="Arial Cyr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Arial Cyr"/>
      <family val="2"/>
      <charset val="204"/>
    </font>
    <font>
      <sz val="8"/>
      <color theme="0" tint="-0.499984740745262"/>
      <name val="Arial Cyr"/>
      <family val="2"/>
      <charset val="204"/>
    </font>
    <font>
      <b/>
      <sz val="20"/>
      <color rgb="FF7030A0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2">
    <xf numFmtId="0" fontId="0" fillId="0" borderId="0"/>
    <xf numFmtId="0" fontId="27" fillId="0" borderId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167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9" fontId="4" fillId="0" borderId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59" fillId="0" borderId="17">
      <protection locked="0"/>
    </xf>
    <xf numFmtId="174" fontId="61" fillId="0" borderId="0">
      <protection locked="0"/>
    </xf>
    <xf numFmtId="175" fontId="61" fillId="0" borderId="17">
      <protection locked="0"/>
    </xf>
    <xf numFmtId="176" fontId="61" fillId="0" borderId="0">
      <protection locked="0"/>
    </xf>
    <xf numFmtId="4" fontId="61" fillId="0" borderId="0">
      <protection locked="0"/>
    </xf>
    <xf numFmtId="177" fontId="61" fillId="0" borderId="0">
      <protection locked="0"/>
    </xf>
    <xf numFmtId="175" fontId="62" fillId="0" borderId="0">
      <protection locked="0"/>
    </xf>
    <xf numFmtId="175" fontId="63" fillId="0" borderId="0">
      <protection locked="0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5">
      <alignment horizontal="center"/>
    </xf>
    <xf numFmtId="166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65" fillId="0" borderId="0"/>
    <xf numFmtId="0" fontId="31" fillId="0" borderId="0"/>
    <xf numFmtId="9" fontId="33" fillId="0" borderId="0" applyFont="0" applyFill="0" applyBorder="0" applyAlignment="0" applyProtection="0"/>
    <xf numFmtId="0" fontId="66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11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6" fillId="0" borderId="0"/>
    <xf numFmtId="0" fontId="68" fillId="0" borderId="0"/>
    <xf numFmtId="0" fontId="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69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7" fillId="0" borderId="0"/>
    <xf numFmtId="0" fontId="66" fillId="0" borderId="0"/>
    <xf numFmtId="0" fontId="3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7" fillId="0" borderId="0"/>
    <xf numFmtId="0" fontId="31" fillId="0" borderId="0"/>
    <xf numFmtId="0" fontId="66" fillId="0" borderId="0"/>
    <xf numFmtId="0" fontId="31" fillId="0" borderId="0"/>
    <xf numFmtId="0" fontId="6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68" fillId="0" borderId="0"/>
    <xf numFmtId="0" fontId="3" fillId="0" borderId="0"/>
    <xf numFmtId="0" fontId="66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1" fillId="0" borderId="0"/>
    <xf numFmtId="0" fontId="4" fillId="0" borderId="0"/>
    <xf numFmtId="0" fontId="33" fillId="0" borderId="0"/>
    <xf numFmtId="0" fontId="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68" fillId="0" borderId="0"/>
    <xf numFmtId="0" fontId="66" fillId="0" borderId="0"/>
    <xf numFmtId="0" fontId="71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" fillId="0" borderId="0"/>
    <xf numFmtId="0" fontId="3" fillId="0" borderId="0"/>
    <xf numFmtId="0" fontId="72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73" fillId="0" borderId="0"/>
    <xf numFmtId="0" fontId="3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68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1" fillId="0" borderId="0"/>
    <xf numFmtId="0" fontId="66" fillId="0" borderId="0"/>
    <xf numFmtId="0" fontId="66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33" fillId="0" borderId="0"/>
    <xf numFmtId="0" fontId="32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9" fontId="7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75" fillId="0" borderId="0"/>
    <xf numFmtId="166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9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3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7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0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1" fontId="7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82" fontId="68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59" fillId="0" borderId="0">
      <protection locked="0"/>
    </xf>
    <xf numFmtId="0" fontId="9" fillId="0" borderId="0">
      <alignment vertical="top"/>
    </xf>
    <xf numFmtId="184" fontId="81" fillId="0" borderId="0" applyFont="0" applyFill="0" applyBorder="0" applyAlignment="0" applyProtection="0"/>
    <xf numFmtId="185" fontId="81" fillId="0" borderId="0" applyFont="0" applyFill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186" fontId="81" fillId="0" borderId="0" applyFont="0" applyFill="0" applyBorder="0" applyAlignment="0" applyProtection="0"/>
    <xf numFmtId="0" fontId="70" fillId="28" borderId="0" applyNumberFormat="0" applyBorder="0" applyAlignment="0" applyProtection="0"/>
    <xf numFmtId="0" fontId="70" fillId="29" borderId="0" applyNumberFormat="0" applyBorder="0" applyAlignment="0" applyProtection="0"/>
    <xf numFmtId="0" fontId="70" fillId="30" borderId="0" applyNumberFormat="0" applyBorder="0" applyAlignment="0" applyProtection="0"/>
    <xf numFmtId="0" fontId="70" fillId="25" borderId="0" applyNumberFormat="0" applyBorder="0" applyAlignment="0" applyProtection="0"/>
    <xf numFmtId="0" fontId="70" fillId="28" borderId="0" applyNumberFormat="0" applyBorder="0" applyAlignment="0" applyProtection="0"/>
    <xf numFmtId="0" fontId="70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29" borderId="0" applyNumberFormat="0" applyBorder="0" applyAlignment="0" applyProtection="0"/>
    <xf numFmtId="0" fontId="82" fillId="30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2" fillId="37" borderId="0" applyNumberFormat="0" applyBorder="0" applyAlignment="0" applyProtection="0"/>
    <xf numFmtId="0" fontId="82" fillId="38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9" borderId="0" applyNumberFormat="0" applyBorder="0" applyAlignment="0" applyProtection="0"/>
    <xf numFmtId="0" fontId="83" fillId="23" borderId="0" applyNumberFormat="0" applyBorder="0" applyAlignment="0" applyProtection="0"/>
    <xf numFmtId="0" fontId="84" fillId="40" borderId="20" applyNumberFormat="0" applyAlignment="0" applyProtection="0"/>
    <xf numFmtId="0" fontId="85" fillId="41" borderId="21" applyNumberFormat="0" applyAlignment="0" applyProtection="0"/>
    <xf numFmtId="178" fontId="86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15" fillId="0" borderId="0" applyNumberFormat="0" applyFont="0" applyFill="0" applyBorder="0" applyAlignment="0"/>
    <xf numFmtId="187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87" fillId="0" borderId="0"/>
    <xf numFmtId="0" fontId="88" fillId="0" borderId="0" applyNumberFormat="0" applyFill="0" applyBorder="0" applyAlignment="0" applyProtection="0"/>
    <xf numFmtId="2" fontId="31" fillId="0" borderId="0" applyFont="0" applyFill="0" applyBorder="0" applyAlignment="0" applyProtection="0"/>
    <xf numFmtId="0" fontId="89" fillId="2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22" applyNumberFormat="0" applyFill="0" applyAlignment="0" applyProtection="0"/>
    <xf numFmtId="0" fontId="92" fillId="0" borderId="0" applyNumberFormat="0" applyFill="0" applyBorder="0" applyAlignment="0" applyProtection="0"/>
    <xf numFmtId="173" fontId="81" fillId="0" borderId="0" applyFont="0" applyFill="0" applyBorder="0" applyAlignment="0" applyProtection="0"/>
    <xf numFmtId="0" fontId="93" fillId="27" borderId="20" applyNumberFormat="0" applyAlignment="0" applyProtection="0"/>
    <xf numFmtId="0" fontId="94" fillId="0" borderId="23" applyNumberFormat="0" applyFill="0" applyAlignment="0" applyProtection="0"/>
    <xf numFmtId="19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93" fontId="9" fillId="0" borderId="0" applyFont="0" applyFill="0" applyBorder="0" applyAlignment="0" applyProtection="0"/>
    <xf numFmtId="173" fontId="95" fillId="0" borderId="0" applyFill="0" applyBorder="0"/>
    <xf numFmtId="0" fontId="96" fillId="42" borderId="0" applyNumberFormat="0" applyBorder="0" applyAlignment="0" applyProtection="0"/>
    <xf numFmtId="0" fontId="95" fillId="0" borderId="0"/>
    <xf numFmtId="0" fontId="33" fillId="43" borderId="24" applyNumberFormat="0" applyFont="0" applyAlignment="0" applyProtection="0"/>
    <xf numFmtId="0" fontId="97" fillId="40" borderId="25" applyNumberFormat="0" applyAlignment="0" applyProtection="0"/>
    <xf numFmtId="9" fontId="31" fillId="0" borderId="0" applyFont="0" applyFill="0" applyBorder="0" applyAlignment="0" applyProtection="0"/>
    <xf numFmtId="194" fontId="81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1" fillId="0" borderId="26" applyNumberFormat="0" applyFont="0" applyFill="0" applyAlignment="0" applyProtection="0"/>
    <xf numFmtId="0" fontId="99" fillId="0" borderId="0" applyNumberFormat="0" applyFill="0" applyBorder="0" applyAlignment="0" applyProtection="0"/>
    <xf numFmtId="0" fontId="4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856">
    <xf numFmtId="0" fontId="0" fillId="0" borderId="0" xfId="0"/>
    <xf numFmtId="0" fontId="5" fillId="0" borderId="0" xfId="0" applyFont="1"/>
    <xf numFmtId="0" fontId="8" fillId="0" borderId="0" xfId="0" applyFont="1"/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Continuous"/>
    </xf>
    <xf numFmtId="0" fontId="10" fillId="0" borderId="0" xfId="0" applyFont="1"/>
    <xf numFmtId="0" fontId="9" fillId="0" borderId="0" xfId="0" applyFont="1" applyAlignment="1">
      <alignment horizontal="centerContinuous"/>
    </xf>
    <xf numFmtId="0" fontId="7" fillId="0" borderId="2" xfId="0" applyFont="1" applyBorder="1" applyAlignment="1">
      <alignment horizontal="center" vertical="center" wrapText="1"/>
    </xf>
    <xf numFmtId="0" fontId="17" fillId="0" borderId="0" xfId="4" applyNumberFormat="1" applyFont="1" applyFill="1" applyBorder="1" applyAlignment="1" applyProtection="1">
      <alignment vertical="center"/>
    </xf>
    <xf numFmtId="0" fontId="17" fillId="0" borderId="0" xfId="4" applyNumberFormat="1" applyFont="1" applyFill="1" applyBorder="1" applyAlignment="1" applyProtection="1">
      <alignment vertical="top"/>
    </xf>
    <xf numFmtId="0" fontId="17" fillId="0" borderId="0" xfId="4" applyNumberFormat="1" applyFont="1" applyFill="1" applyBorder="1" applyAlignment="1" applyProtection="1">
      <alignment vertical="top" wrapText="1"/>
    </xf>
    <xf numFmtId="0" fontId="15" fillId="0" borderId="0" xfId="4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/>
    </xf>
    <xf numFmtId="3" fontId="7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3" fontId="4" fillId="0" borderId="1" xfId="0" applyNumberFormat="1" applyFont="1" applyBorder="1" applyAlignment="1" applyProtection="1">
      <alignment vertical="center"/>
      <protection locked="0"/>
    </xf>
    <xf numFmtId="3" fontId="30" fillId="0" borderId="1" xfId="0" applyNumberFormat="1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vertical="center"/>
    </xf>
    <xf numFmtId="0" fontId="34" fillId="0" borderId="0" xfId="0" applyFont="1"/>
    <xf numFmtId="3" fontId="34" fillId="0" borderId="0" xfId="0" applyNumberFormat="1" applyFont="1" applyAlignment="1">
      <alignment horizontal="centerContinuous"/>
    </xf>
    <xf numFmtId="0" fontId="10" fillId="0" borderId="0" xfId="0" applyFont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35" fillId="0" borderId="0" xfId="0" applyFont="1" applyProtection="1">
      <protection hidden="1"/>
    </xf>
    <xf numFmtId="0" fontId="4" fillId="0" borderId="0" xfId="0" applyFont="1"/>
    <xf numFmtId="170" fontId="23" fillId="0" borderId="0" xfId="3" applyNumberFormat="1" applyFont="1" applyBorder="1" applyAlignment="1" applyProtection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170" fontId="19" fillId="0" borderId="1" xfId="3" applyNumberFormat="1" applyFont="1" applyBorder="1" applyAlignment="1" applyProtection="1">
      <alignment horizontal="left" vertical="center"/>
    </xf>
    <xf numFmtId="3" fontId="19" fillId="0" borderId="1" xfId="3" applyNumberFormat="1" applyFont="1" applyBorder="1" applyAlignment="1" applyProtection="1">
      <alignment horizontal="center" vertical="center"/>
    </xf>
    <xf numFmtId="3" fontId="20" fillId="0" borderId="1" xfId="3" applyNumberFormat="1" applyFont="1" applyFill="1" applyBorder="1" applyAlignment="1" applyProtection="1">
      <alignment horizontal="center" wrapText="1"/>
    </xf>
    <xf numFmtId="3" fontId="28" fillId="0" borderId="1" xfId="3" applyNumberFormat="1" applyFont="1" applyFill="1" applyBorder="1" applyAlignment="1" applyProtection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2"/>
    </xf>
    <xf numFmtId="0" fontId="2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left" vertical="center" indent="2"/>
    </xf>
    <xf numFmtId="0" fontId="20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wrapText="1"/>
    </xf>
    <xf numFmtId="0" fontId="28" fillId="0" borderId="0" xfId="0" applyFont="1"/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3" fontId="28" fillId="0" borderId="1" xfId="3" applyNumberFormat="1" applyFont="1" applyBorder="1" applyAlignment="1" applyProtection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 indent="2"/>
    </xf>
    <xf numFmtId="3" fontId="32" fillId="0" borderId="1" xfId="3" applyNumberFormat="1" applyFont="1" applyFill="1" applyBorder="1" applyAlignment="1" applyProtection="1">
      <alignment horizontal="center"/>
    </xf>
    <xf numFmtId="0" fontId="32" fillId="0" borderId="0" xfId="0" applyFont="1" applyAlignment="1">
      <alignment vertical="center"/>
    </xf>
    <xf numFmtId="0" fontId="19" fillId="0" borderId="0" xfId="0" applyFont="1"/>
    <xf numFmtId="170" fontId="20" fillId="0" borderId="0" xfId="3" applyNumberFormat="1" applyFont="1" applyProtection="1"/>
    <xf numFmtId="0" fontId="19" fillId="0" borderId="0" xfId="0" applyFont="1" applyAlignment="1">
      <alignment horizontal="right"/>
    </xf>
    <xf numFmtId="171" fontId="20" fillId="0" borderId="0" xfId="0" applyNumberFormat="1" applyFont="1" applyAlignment="1">
      <alignment wrapText="1"/>
    </xf>
    <xf numFmtId="3" fontId="32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Border="1" applyAlignment="1" applyProtection="1">
      <alignment horizontal="center" vertical="center"/>
      <protection locked="0"/>
    </xf>
    <xf numFmtId="3" fontId="20" fillId="0" borderId="1" xfId="3" applyNumberFormat="1" applyFont="1" applyFill="1" applyBorder="1" applyAlignment="1" applyProtection="1">
      <alignment horizontal="center" wrapText="1"/>
      <protection locked="0"/>
    </xf>
    <xf numFmtId="0" fontId="28" fillId="0" borderId="1" xfId="0" applyFont="1" applyBorder="1" applyAlignment="1">
      <alignment horizontal="left" vertical="center" wrapText="1" indent="2"/>
    </xf>
    <xf numFmtId="10" fontId="28" fillId="0" borderId="1" xfId="2" applyNumberFormat="1" applyFont="1" applyFill="1" applyBorder="1" applyAlignment="1" applyProtection="1">
      <alignment horizontal="center" vertical="center"/>
    </xf>
    <xf numFmtId="0" fontId="17" fillId="0" borderId="0" xfId="5" applyNumberFormat="1" applyFont="1" applyFill="1" applyBorder="1" applyAlignment="1" applyProtection="1">
      <alignment vertical="top"/>
    </xf>
    <xf numFmtId="0" fontId="17" fillId="0" borderId="0" xfId="5" applyNumberFormat="1" applyFont="1" applyFill="1" applyBorder="1" applyAlignment="1" applyProtection="1">
      <alignment horizontal="center" vertical="center"/>
    </xf>
    <xf numFmtId="0" fontId="36" fillId="0" borderId="0" xfId="5" applyNumberFormat="1" applyFont="1" applyFill="1" applyBorder="1" applyAlignment="1" applyProtection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</xf>
    <xf numFmtId="3" fontId="32" fillId="0" borderId="1" xfId="3" applyNumberFormat="1" applyFont="1" applyFill="1" applyBorder="1" applyAlignment="1" applyProtection="1">
      <alignment horizontal="center" vertical="center" wrapText="1"/>
      <protection locked="0"/>
    </xf>
    <xf numFmtId="167" fontId="38" fillId="0" borderId="0" xfId="3" applyFont="1" applyFill="1" applyBorder="1" applyAlignment="1" applyProtection="1">
      <alignment vertical="center"/>
    </xf>
    <xf numFmtId="0" fontId="36" fillId="0" borderId="0" xfId="4" applyNumberFormat="1" applyFont="1" applyFill="1" applyBorder="1" applyAlignment="1" applyProtection="1">
      <alignment horizontal="center" vertical="center"/>
    </xf>
    <xf numFmtId="0" fontId="28" fillId="0" borderId="1" xfId="0" applyFont="1" applyBorder="1" applyAlignment="1">
      <alignment horizontal="left" vertical="center" indent="2"/>
    </xf>
    <xf numFmtId="3" fontId="17" fillId="0" borderId="0" xfId="4" applyNumberFormat="1" applyFont="1" applyFill="1" applyBorder="1" applyAlignment="1" applyProtection="1">
      <alignment vertical="top"/>
    </xf>
    <xf numFmtId="3" fontId="41" fillId="0" borderId="1" xfId="3" applyNumberFormat="1" applyFont="1" applyFill="1" applyBorder="1" applyAlignment="1" applyProtection="1">
      <alignment horizontal="center"/>
    </xf>
    <xf numFmtId="0" fontId="17" fillId="0" borderId="0" xfId="5" applyNumberFormat="1" applyFont="1" applyFill="1" applyBorder="1" applyAlignment="1" applyProtection="1">
      <alignment horizontal="center" vertical="top"/>
    </xf>
    <xf numFmtId="0" fontId="42" fillId="0" borderId="0" xfId="0" applyFont="1" applyAlignment="1">
      <alignment horizontal="center" vertical="center"/>
    </xf>
    <xf numFmtId="15" fontId="32" fillId="0" borderId="0" xfId="0" applyNumberFormat="1" applyFont="1" applyAlignment="1">
      <alignment horizontal="left" wrapText="1" indent="3"/>
    </xf>
    <xf numFmtId="170" fontId="23" fillId="0" borderId="0" xfId="3" applyNumberFormat="1" applyFont="1" applyBorder="1" applyAlignment="1" applyProtection="1">
      <alignment horizontal="left" indent="2"/>
    </xf>
    <xf numFmtId="3" fontId="29" fillId="0" borderId="0" xfId="0" applyNumberFormat="1" applyFont="1"/>
    <xf numFmtId="3" fontId="43" fillId="0" borderId="0" xfId="0" applyNumberFormat="1" applyFont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Continuous" vertical="center"/>
    </xf>
    <xf numFmtId="3" fontId="4" fillId="0" borderId="1" xfId="0" applyNumberFormat="1" applyFont="1" applyBorder="1" applyAlignment="1" applyProtection="1">
      <alignment horizontal="right"/>
      <protection locked="0"/>
    </xf>
    <xf numFmtId="0" fontId="17" fillId="0" borderId="1" xfId="5" applyNumberFormat="1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 applyAlignment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</xf>
    <xf numFmtId="0" fontId="32" fillId="0" borderId="1" xfId="0" applyFont="1" applyBorder="1" applyAlignment="1">
      <alignment horizontal="left" vertical="center" wrapText="1" indent="1"/>
    </xf>
    <xf numFmtId="0" fontId="32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wrapText="1" indent="1"/>
    </xf>
    <xf numFmtId="9" fontId="17" fillId="0" borderId="0" xfId="2" applyFont="1" applyFill="1" applyBorder="1" applyAlignment="1" applyProtection="1">
      <alignment vertical="top"/>
    </xf>
    <xf numFmtId="9" fontId="17" fillId="0" borderId="1" xfId="2" applyFont="1" applyFill="1" applyBorder="1" applyAlignment="1" applyProtection="1">
      <alignment horizontal="center" vertical="center" wrapText="1"/>
    </xf>
    <xf numFmtId="3" fontId="43" fillId="3" borderId="1" xfId="0" applyNumberFormat="1" applyFont="1" applyFill="1" applyBorder="1" applyAlignment="1">
      <alignment horizontal="center" vertical="center" wrapText="1"/>
    </xf>
    <xf numFmtId="3" fontId="29" fillId="3" borderId="1" xfId="0" applyNumberFormat="1" applyFont="1" applyFill="1" applyBorder="1" applyAlignment="1">
      <alignment horizontal="center" vertical="center" wrapText="1"/>
    </xf>
    <xf numFmtId="0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vertical="center" wrapText="1"/>
    </xf>
    <xf numFmtId="3" fontId="29" fillId="0" borderId="3" xfId="0" applyNumberFormat="1" applyFont="1" applyBorder="1" applyAlignment="1">
      <alignment vertical="center"/>
    </xf>
    <xf numFmtId="0" fontId="47" fillId="0" borderId="0" xfId="0" applyFont="1"/>
    <xf numFmtId="167" fontId="47" fillId="0" borderId="0" xfId="3" applyFont="1" applyBorder="1" applyProtection="1"/>
    <xf numFmtId="0" fontId="47" fillId="0" borderId="0" xfId="0" applyFont="1" applyAlignment="1">
      <alignment vertical="center"/>
    </xf>
    <xf numFmtId="167" fontId="47" fillId="0" borderId="0" xfId="3" applyFont="1" applyBorder="1" applyAlignment="1" applyProtection="1">
      <alignment vertical="center"/>
    </xf>
    <xf numFmtId="0" fontId="38" fillId="0" borderId="0" xfId="0" applyFont="1" applyAlignment="1">
      <alignment vertical="center"/>
    </xf>
    <xf numFmtId="3" fontId="48" fillId="0" borderId="0" xfId="0" applyNumberFormat="1" applyFont="1"/>
    <xf numFmtId="167" fontId="48" fillId="0" borderId="0" xfId="3" applyFont="1" applyBorder="1" applyProtection="1"/>
    <xf numFmtId="0" fontId="48" fillId="0" borderId="0" xfId="0" applyFont="1"/>
    <xf numFmtId="0" fontId="48" fillId="0" borderId="0" xfId="0" applyFont="1" applyAlignment="1">
      <alignment vertical="center"/>
    </xf>
    <xf numFmtId="167" fontId="48" fillId="0" borderId="0" xfId="3" applyFont="1" applyBorder="1" applyAlignment="1" applyProtection="1">
      <alignment vertical="center"/>
    </xf>
    <xf numFmtId="170" fontId="48" fillId="0" borderId="0" xfId="3" applyNumberFormat="1" applyFont="1" applyAlignment="1" applyProtection="1">
      <alignment vertical="center"/>
    </xf>
    <xf numFmtId="3" fontId="47" fillId="0" borderId="0" xfId="0" applyNumberFormat="1" applyFont="1" applyAlignment="1">
      <alignment vertical="center"/>
    </xf>
    <xf numFmtId="167" fontId="47" fillId="0" borderId="0" xfId="3" applyFont="1" applyFill="1" applyBorder="1" applyAlignment="1" applyProtection="1">
      <alignment vertical="center"/>
    </xf>
    <xf numFmtId="0" fontId="49" fillId="0" borderId="0" xfId="0" applyFont="1" applyAlignment="1">
      <alignment vertical="center"/>
    </xf>
    <xf numFmtId="167" fontId="49" fillId="0" borderId="0" xfId="3" applyFont="1" applyFill="1" applyBorder="1" applyAlignment="1" applyProtection="1">
      <alignment vertical="center"/>
    </xf>
    <xf numFmtId="3" fontId="49" fillId="0" borderId="0" xfId="0" applyNumberFormat="1" applyFont="1" applyAlignment="1">
      <alignment vertical="center"/>
    </xf>
    <xf numFmtId="167" fontId="49" fillId="0" borderId="0" xfId="3" applyFont="1" applyBorder="1" applyAlignment="1" applyProtection="1">
      <alignment vertical="center"/>
    </xf>
    <xf numFmtId="0" fontId="17" fillId="0" borderId="0" xfId="0" applyFont="1"/>
    <xf numFmtId="49" fontId="17" fillId="6" borderId="1" xfId="4" applyNumberFormat="1" applyFont="1" applyFill="1" applyBorder="1" applyAlignment="1" applyProtection="1">
      <alignment horizontal="center" vertical="center" wrapText="1"/>
    </xf>
    <xf numFmtId="0" fontId="52" fillId="0" borderId="0" xfId="0" applyFont="1" applyAlignment="1">
      <alignment vertical="center"/>
    </xf>
    <xf numFmtId="3" fontId="32" fillId="0" borderId="1" xfId="3" applyNumberFormat="1" applyFont="1" applyFill="1" applyBorder="1" applyAlignment="1" applyProtection="1">
      <alignment horizontal="center"/>
      <protection locked="0"/>
    </xf>
    <xf numFmtId="167" fontId="52" fillId="0" borderId="0" xfId="3" applyFont="1" applyBorder="1" applyAlignment="1" applyProtection="1">
      <alignment vertical="center"/>
    </xf>
    <xf numFmtId="3" fontId="52" fillId="0" borderId="1" xfId="3" applyNumberFormat="1" applyFont="1" applyFill="1" applyBorder="1" applyAlignment="1" applyProtection="1">
      <alignment horizontal="center"/>
    </xf>
    <xf numFmtId="0" fontId="40" fillId="0" borderId="0" xfId="4" applyNumberFormat="1" applyFont="1" applyFill="1" applyBorder="1" applyAlignment="1" applyProtection="1">
      <alignment horizontal="center" vertical="center"/>
    </xf>
    <xf numFmtId="3" fontId="10" fillId="0" borderId="10" xfId="0" applyNumberFormat="1" applyFont="1" applyBorder="1"/>
    <xf numFmtId="3" fontId="10" fillId="0" borderId="0" xfId="0" applyNumberFormat="1" applyFont="1"/>
    <xf numFmtId="3" fontId="6" fillId="0" borderId="0" xfId="0" applyNumberFormat="1" applyFont="1"/>
    <xf numFmtId="171" fontId="13" fillId="0" borderId="10" xfId="0" applyNumberFormat="1" applyFont="1" applyBorder="1" applyAlignment="1">
      <alignment horizontal="centerContinuous"/>
    </xf>
    <xf numFmtId="3" fontId="54" fillId="0" borderId="0" xfId="0" applyNumberFormat="1" applyFont="1" applyAlignment="1">
      <alignment horizontal="centerContinuous"/>
    </xf>
    <xf numFmtId="3" fontId="55" fillId="0" borderId="0" xfId="0" applyNumberFormat="1" applyFont="1" applyAlignment="1">
      <alignment horizontal="centerContinuous"/>
    </xf>
    <xf numFmtId="0" fontId="55" fillId="0" borderId="0" xfId="0" applyFont="1"/>
    <xf numFmtId="0" fontId="56" fillId="0" borderId="0" xfId="4" applyNumberFormat="1" applyFont="1" applyFill="1" applyBorder="1" applyAlignment="1" applyProtection="1">
      <alignment vertical="top"/>
    </xf>
    <xf numFmtId="3" fontId="56" fillId="0" borderId="0" xfId="4" applyNumberFormat="1" applyFont="1" applyFill="1" applyBorder="1" applyAlignment="1" applyProtection="1">
      <alignment vertical="top"/>
    </xf>
    <xf numFmtId="3" fontId="0" fillId="0" borderId="1" xfId="0" applyNumberFormat="1" applyBorder="1" applyAlignment="1">
      <alignment vertical="center"/>
    </xf>
    <xf numFmtId="3" fontId="11" fillId="0" borderId="1" xfId="3" applyNumberFormat="1" applyFont="1" applyFill="1" applyBorder="1" applyAlignment="1" applyProtection="1">
      <alignment horizontal="center" vertical="center" wrapText="1"/>
    </xf>
    <xf numFmtId="0" fontId="52" fillId="20" borderId="1" xfId="0" applyFont="1" applyFill="1" applyBorder="1" applyAlignment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vertical="top"/>
    </xf>
    <xf numFmtId="9" fontId="36" fillId="0" borderId="0" xfId="10" applyFont="1" applyFill="1" applyBorder="1" applyAlignment="1" applyProtection="1">
      <alignment vertical="top"/>
    </xf>
    <xf numFmtId="0" fontId="36" fillId="0" borderId="0" xfId="9" applyNumberFormat="1" applyFont="1" applyFill="1" applyBorder="1" applyAlignment="1" applyProtection="1">
      <alignment vertical="center"/>
    </xf>
    <xf numFmtId="0" fontId="36" fillId="0" borderId="0" xfId="9" applyNumberFormat="1" applyFont="1" applyFill="1" applyBorder="1" applyAlignment="1" applyProtection="1">
      <alignment horizontal="center" vertical="center"/>
    </xf>
    <xf numFmtId="3" fontId="40" fillId="0" borderId="1" xfId="9" applyNumberFormat="1" applyFont="1" applyFill="1" applyBorder="1" applyAlignment="1" applyProtection="1">
      <alignment horizontal="center" vertical="center" wrapText="1"/>
    </xf>
    <xf numFmtId="0" fontId="58" fillId="0" borderId="0" xfId="9" applyNumberFormat="1" applyFont="1" applyFill="1" applyBorder="1" applyAlignment="1" applyProtection="1">
      <alignment horizontal="center" vertical="center"/>
    </xf>
    <xf numFmtId="0" fontId="32" fillId="20" borderId="1" xfId="0" applyFont="1" applyFill="1" applyBorder="1" applyAlignment="1">
      <alignment horizontal="left" vertical="center" wrapText="1" indent="1"/>
    </xf>
    <xf numFmtId="0" fontId="40" fillId="0" borderId="0" xfId="9" applyNumberFormat="1" applyFont="1" applyFill="1" applyBorder="1" applyAlignment="1" applyProtection="1">
      <alignment horizontal="center" vertical="center"/>
    </xf>
    <xf numFmtId="173" fontId="36" fillId="0" borderId="0" xfId="9" applyNumberFormat="1" applyFont="1" applyFill="1" applyBorder="1" applyAlignment="1" applyProtection="1">
      <alignment horizontal="center" vertical="center" wrapText="1"/>
    </xf>
    <xf numFmtId="0" fontId="17" fillId="0" borderId="0" xfId="9" applyNumberFormat="1" applyFont="1" applyFill="1" applyBorder="1" applyAlignment="1" applyProtection="1">
      <alignment horizontal="center" vertical="top"/>
    </xf>
    <xf numFmtId="0" fontId="17" fillId="0" borderId="0" xfId="9" applyNumberFormat="1" applyFont="1" applyFill="1" applyBorder="1" applyAlignment="1" applyProtection="1">
      <alignment vertical="top"/>
    </xf>
    <xf numFmtId="0" fontId="10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80" fillId="0" borderId="0" xfId="0" applyFont="1"/>
    <xf numFmtId="14" fontId="80" fillId="0" borderId="0" xfId="0" applyNumberFormat="1" applyFont="1"/>
    <xf numFmtId="0" fontId="80" fillId="0" borderId="0" xfId="0" applyFont="1" applyAlignment="1">
      <alignment wrapText="1"/>
    </xf>
    <xf numFmtId="0" fontId="80" fillId="0" borderId="0" xfId="0" applyFont="1" applyAlignment="1">
      <alignment horizontal="center"/>
    </xf>
    <xf numFmtId="0" fontId="101" fillId="0" borderId="0" xfId="0" applyFont="1"/>
    <xf numFmtId="0" fontId="4" fillId="0" borderId="1" xfId="0" applyFont="1" applyBorder="1" applyAlignment="1">
      <alignment horizontal="left" vertical="center" wrapText="1" indent="2"/>
    </xf>
    <xf numFmtId="14" fontId="80" fillId="0" borderId="0" xfId="0" applyNumberFormat="1" applyFont="1" applyAlignment="1">
      <alignment horizontal="center" vertical="center"/>
    </xf>
    <xf numFmtId="0" fontId="80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14" fontId="80" fillId="0" borderId="0" xfId="0" applyNumberFormat="1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80" fillId="0" borderId="0" xfId="0" applyNumberFormat="1" applyFont="1"/>
    <xf numFmtId="10" fontId="79" fillId="0" borderId="1" xfId="1225" applyNumberFormat="1" applyFont="1" applyBorder="1" applyAlignment="1">
      <alignment horizontal="center" vertical="center" wrapText="1"/>
    </xf>
    <xf numFmtId="183" fontId="80" fillId="0" borderId="18" xfId="1225" applyNumberFormat="1" applyFont="1" applyBorder="1" applyAlignment="1">
      <alignment horizontal="center" vertical="center" wrapText="1"/>
    </xf>
    <xf numFmtId="183" fontId="80" fillId="0" borderId="19" xfId="1225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 indent="2"/>
    </xf>
    <xf numFmtId="49" fontId="7" fillId="0" borderId="1" xfId="0" applyNumberFormat="1" applyFont="1" applyBorder="1" applyAlignment="1">
      <alignment horizontal="center" vertical="center"/>
    </xf>
    <xf numFmtId="170" fontId="80" fillId="0" borderId="0" xfId="3" applyNumberFormat="1" applyFont="1" applyFill="1" applyAlignment="1" applyProtection="1">
      <alignment horizontal="center" vertical="center"/>
      <protection locked="0"/>
    </xf>
    <xf numFmtId="3" fontId="40" fillId="3" borderId="1" xfId="0" applyNumberFormat="1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3" fontId="39" fillId="0" borderId="0" xfId="0" applyNumberFormat="1" applyFont="1" applyAlignment="1">
      <alignment horizontal="center"/>
    </xf>
    <xf numFmtId="0" fontId="100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Continuous" vertical="center"/>
    </xf>
    <xf numFmtId="3" fontId="37" fillId="0" borderId="0" xfId="0" applyNumberFormat="1" applyFont="1" applyAlignment="1">
      <alignment horizontal="centerContinuous"/>
    </xf>
    <xf numFmtId="0" fontId="53" fillId="0" borderId="0" xfId="0" applyFont="1"/>
    <xf numFmtId="3" fontId="6" fillId="0" borderId="0" xfId="0" applyNumberFormat="1" applyFont="1" applyAlignment="1">
      <alignment horizontal="centerContinuous"/>
    </xf>
    <xf numFmtId="0" fontId="43" fillId="0" borderId="0" xfId="0" applyFont="1" applyAlignment="1">
      <alignment horizontal="center"/>
    </xf>
    <xf numFmtId="3" fontId="51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 vertical="center" textRotation="90" wrapText="1"/>
    </xf>
    <xf numFmtId="3" fontId="50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4" fillId="0" borderId="0" xfId="0" applyNumberFormat="1" applyFont="1"/>
    <xf numFmtId="171" fontId="4" fillId="0" borderId="0" xfId="0" quotePrefix="1" applyNumberFormat="1" applyFont="1" applyAlignment="1">
      <alignment horizontal="center" vertical="center"/>
    </xf>
    <xf numFmtId="0" fontId="43" fillId="0" borderId="0" xfId="0" applyFont="1" applyAlignment="1">
      <alignment horizontal="left" indent="1"/>
    </xf>
    <xf numFmtId="0" fontId="3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 indent="2"/>
    </xf>
    <xf numFmtId="3" fontId="4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"/>
    </xf>
    <xf numFmtId="3" fontId="30" fillId="0" borderId="1" xfId="0" applyNumberFormat="1" applyFont="1" applyBorder="1" applyAlignment="1">
      <alignment horizontal="center" vertical="center"/>
    </xf>
    <xf numFmtId="3" fontId="4" fillId="0" borderId="0" xfId="0" applyNumberFormat="1" applyFont="1"/>
    <xf numFmtId="171" fontId="4" fillId="0" borderId="0" xfId="0" applyNumberFormat="1" applyFont="1"/>
    <xf numFmtId="3" fontId="7" fillId="0" borderId="0" xfId="0" applyNumberFormat="1" applyFont="1" applyAlignment="1">
      <alignment horizontal="centerContinuous"/>
    </xf>
    <xf numFmtId="3" fontId="12" fillId="0" borderId="0" xfId="0" quotePrefix="1" applyNumberFormat="1" applyFont="1" applyAlignment="1">
      <alignment horizontal="left" vertical="center"/>
    </xf>
    <xf numFmtId="171" fontId="0" fillId="0" borderId="0" xfId="0" applyNumberFormat="1"/>
    <xf numFmtId="0" fontId="102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right"/>
    </xf>
    <xf numFmtId="171" fontId="0" fillId="0" borderId="0" xfId="0" applyNumberFormat="1" applyAlignment="1">
      <alignment horizontal="center"/>
    </xf>
    <xf numFmtId="3" fontId="4" fillId="0" borderId="1" xfId="0" applyNumberFormat="1" applyFont="1" applyBorder="1" applyAlignment="1" applyProtection="1">
      <alignment horizontal="left" vertical="center" wrapText="1" indent="1"/>
      <protection locked="0"/>
    </xf>
    <xf numFmtId="0" fontId="16" fillId="0" borderId="0" xfId="0" applyFont="1" applyAlignment="1">
      <alignment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vertical="center"/>
    </xf>
    <xf numFmtId="3" fontId="42" fillId="3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 applyProtection="1">
      <alignment horizontal="right" vertical="center" wrapText="1" indent="1"/>
      <protection locked="0"/>
    </xf>
    <xf numFmtId="3" fontId="4" fillId="0" borderId="3" xfId="1288" applyNumberFormat="1" applyBorder="1"/>
    <xf numFmtId="0" fontId="4" fillId="0" borderId="0" xfId="0" applyFont="1" applyAlignment="1">
      <alignment vertical="center" wrapText="1"/>
    </xf>
    <xf numFmtId="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3" fontId="4" fillId="0" borderId="1" xfId="0" applyNumberFormat="1" applyFont="1" applyBorder="1" applyAlignment="1" applyProtection="1">
      <alignment horizontal="right" vertical="center"/>
      <protection locked="0"/>
    </xf>
    <xf numFmtId="3" fontId="4" fillId="0" borderId="1" xfId="1288" applyNumberFormat="1" applyBorder="1" applyProtection="1">
      <protection locked="0"/>
    </xf>
    <xf numFmtId="3" fontId="4" fillId="0" borderId="3" xfId="1288" applyNumberFormat="1" applyBorder="1" applyProtection="1">
      <protection locked="0"/>
    </xf>
    <xf numFmtId="0" fontId="29" fillId="0" borderId="0" xfId="0" applyFont="1"/>
    <xf numFmtId="171" fontId="7" fillId="0" borderId="0" xfId="0" applyNumberFormat="1" applyFont="1" applyAlignment="1">
      <alignment horizontal="center"/>
    </xf>
    <xf numFmtId="195" fontId="4" fillId="0" borderId="1" xfId="0" applyNumberFormat="1" applyFont="1" applyBorder="1" applyAlignment="1">
      <alignment horizontal="right" vertical="center"/>
    </xf>
    <xf numFmtId="195" fontId="4" fillId="0" borderId="1" xfId="0" applyNumberFormat="1" applyFont="1" applyBorder="1" applyAlignment="1" applyProtection="1">
      <alignment vertical="center" wrapText="1"/>
      <protection locked="0"/>
    </xf>
    <xf numFmtId="195" fontId="4" fillId="0" borderId="1" xfId="0" applyNumberFormat="1" applyFont="1" applyBorder="1" applyAlignment="1" applyProtection="1">
      <alignment vertical="center"/>
      <protection locked="0"/>
    </xf>
    <xf numFmtId="195" fontId="4" fillId="0" borderId="3" xfId="1288" applyNumberFormat="1" applyBorder="1"/>
    <xf numFmtId="195" fontId="4" fillId="0" borderId="1" xfId="0" applyNumberFormat="1" applyFont="1" applyBorder="1" applyAlignment="1" applyProtection="1">
      <alignment horizontal="right" vertical="center"/>
      <protection locked="0"/>
    </xf>
    <xf numFmtId="3" fontId="36" fillId="3" borderId="5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3" fontId="4" fillId="4" borderId="7" xfId="0" applyNumberFormat="1" applyFont="1" applyFill="1" applyBorder="1" applyAlignment="1">
      <alignment horizontal="right"/>
    </xf>
    <xf numFmtId="3" fontId="4" fillId="0" borderId="3" xfId="1288" applyNumberFormat="1" applyBorder="1" applyAlignment="1">
      <alignment vertical="center"/>
    </xf>
    <xf numFmtId="3" fontId="4" fillId="4" borderId="7" xfId="0" applyNumberFormat="1" applyFont="1" applyFill="1" applyBorder="1" applyAlignment="1">
      <alignment horizontal="right" vertical="center"/>
    </xf>
    <xf numFmtId="0" fontId="4" fillId="0" borderId="0" xfId="0" applyFont="1" applyAlignment="1">
      <alignment wrapText="1"/>
    </xf>
    <xf numFmtId="196" fontId="31" fillId="0" borderId="9" xfId="4" applyNumberFormat="1" applyFont="1" applyFill="1" applyBorder="1" applyAlignment="1" applyProtection="1">
      <alignment horizontal="right" vertical="center" wrapText="1"/>
      <protection locked="0"/>
    </xf>
    <xf numFmtId="196" fontId="40" fillId="3" borderId="1" xfId="0" applyNumberFormat="1" applyFont="1" applyFill="1" applyBorder="1" applyAlignment="1">
      <alignment horizontal="center" vertical="center" wrapText="1"/>
    </xf>
    <xf numFmtId="171" fontId="0" fillId="0" borderId="9" xfId="0" applyNumberFormat="1" applyBorder="1" applyAlignment="1">
      <alignment horizontal="center"/>
    </xf>
    <xf numFmtId="169" fontId="9" fillId="0" borderId="5" xfId="0" applyNumberFormat="1" applyFont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197" fontId="101" fillId="0" borderId="0" xfId="3" applyNumberFormat="1" applyFont="1" applyFill="1" applyProtection="1"/>
    <xf numFmtId="197" fontId="100" fillId="0" borderId="0" xfId="3" applyNumberFormat="1" applyFont="1" applyFill="1" applyBorder="1" applyAlignment="1" applyProtection="1">
      <alignment vertical="center" wrapText="1"/>
    </xf>
    <xf numFmtId="197" fontId="80" fillId="0" borderId="0" xfId="3" applyNumberFormat="1" applyFont="1" applyFill="1" applyProtection="1"/>
    <xf numFmtId="197" fontId="10" fillId="0" borderId="0" xfId="3" applyNumberFormat="1" applyFont="1" applyProtection="1">
      <protection locked="0"/>
    </xf>
    <xf numFmtId="0" fontId="36" fillId="0" borderId="0" xfId="4" applyNumberFormat="1" applyFont="1" applyFill="1" applyBorder="1" applyAlignment="1" applyProtection="1">
      <alignment horizontal="right" vertical="top" indent="2"/>
    </xf>
    <xf numFmtId="15" fontId="36" fillId="0" borderId="0" xfId="4" applyNumberFormat="1" applyFont="1" applyFill="1" applyBorder="1" applyAlignment="1" applyProtection="1">
      <alignment horizontal="center"/>
    </xf>
    <xf numFmtId="49" fontId="15" fillId="5" borderId="1" xfId="4" applyNumberFormat="1" applyFont="1" applyFill="1" applyBorder="1" applyAlignment="1" applyProtection="1">
      <alignment horizontal="center" vertical="center" wrapText="1"/>
    </xf>
    <xf numFmtId="0" fontId="15" fillId="5" borderId="1" xfId="4" applyNumberFormat="1" applyFont="1" applyFill="1" applyBorder="1" applyAlignment="1" applyProtection="1">
      <alignment horizontal="center" vertical="center" wrapText="1"/>
    </xf>
    <xf numFmtId="3" fontId="15" fillId="5" borderId="1" xfId="4" applyNumberFormat="1" applyFont="1" applyFill="1" applyBorder="1" applyAlignment="1" applyProtection="1">
      <alignment horizontal="center" vertical="center" wrapText="1"/>
    </xf>
    <xf numFmtId="49" fontId="15" fillId="6" borderId="1" xfId="4" applyNumberFormat="1" applyFont="1" applyFill="1" applyBorder="1" applyAlignment="1" applyProtection="1">
      <alignment horizontal="center" vertical="center" wrapText="1"/>
    </xf>
    <xf numFmtId="0" fontId="15" fillId="6" borderId="1" xfId="4" applyNumberFormat="1" applyFont="1" applyFill="1" applyBorder="1" applyAlignment="1" applyProtection="1">
      <alignment horizontal="center" vertical="center" wrapText="1"/>
    </xf>
    <xf numFmtId="49" fontId="17" fillId="0" borderId="1" xfId="4" applyNumberFormat="1" applyFont="1" applyFill="1" applyBorder="1" applyAlignment="1" applyProtection="1">
      <alignment horizontal="center" vertical="center" wrapText="1"/>
    </xf>
    <xf numFmtId="0" fontId="33" fillId="0" borderId="0" xfId="0" applyFont="1"/>
    <xf numFmtId="0" fontId="17" fillId="0" borderId="0" xfId="4" applyNumberFormat="1" applyFont="1" applyFill="1" applyBorder="1" applyAlignment="1" applyProtection="1">
      <alignment vertical="center" wrapText="1"/>
    </xf>
    <xf numFmtId="0" fontId="17" fillId="0" borderId="0" xfId="4" applyNumberFormat="1" applyFont="1" applyFill="1" applyBorder="1" applyAlignment="1" applyProtection="1">
      <alignment horizontal="center" vertical="center"/>
    </xf>
    <xf numFmtId="171" fontId="0" fillId="0" borderId="0" xfId="0" applyNumberFormat="1" applyAlignment="1">
      <alignment horizontal="left" indent="2"/>
    </xf>
    <xf numFmtId="0" fontId="29" fillId="0" borderId="2" xfId="0" applyFont="1" applyBorder="1" applyAlignment="1">
      <alignment horizontal="left" vertical="center" wrapText="1" indent="1"/>
    </xf>
    <xf numFmtId="0" fontId="0" fillId="0" borderId="2" xfId="0" quotePrefix="1" applyBorder="1" applyAlignment="1">
      <alignment horizontal="left" vertical="center" indent="1"/>
    </xf>
    <xf numFmtId="3" fontId="4" fillId="0" borderId="3" xfId="0" applyNumberFormat="1" applyFont="1" applyBorder="1" applyAlignment="1">
      <alignment vertical="center"/>
    </xf>
    <xf numFmtId="0" fontId="40" fillId="0" borderId="1" xfId="1225" applyFont="1" applyBorder="1" applyAlignment="1">
      <alignment horizontal="left" vertical="center" wrapText="1"/>
    </xf>
    <xf numFmtId="49" fontId="80" fillId="0" borderId="0" xfId="0" applyNumberFormat="1" applyFont="1"/>
    <xf numFmtId="0" fontId="36" fillId="0" borderId="18" xfId="1225" applyFont="1" applyBorder="1" applyAlignment="1">
      <alignment horizontal="left" vertical="center" wrapText="1" indent="2"/>
    </xf>
    <xf numFmtId="0" fontId="36" fillId="0" borderId="19" xfId="1225" applyFont="1" applyBorder="1" applyAlignment="1">
      <alignment horizontal="left" vertical="center" wrapText="1" indent="2"/>
    </xf>
    <xf numFmtId="0" fontId="79" fillId="0" borderId="1" xfId="1225" applyFont="1" applyBorder="1" applyAlignment="1">
      <alignment horizontal="left" vertical="center" wrapText="1"/>
    </xf>
    <xf numFmtId="0" fontId="80" fillId="0" borderId="18" xfId="1225" applyFont="1" applyBorder="1" applyAlignment="1">
      <alignment horizontal="left" vertical="center" wrapText="1" indent="2"/>
    </xf>
    <xf numFmtId="0" fontId="80" fillId="0" borderId="19" xfId="1225" applyFont="1" applyBorder="1" applyAlignment="1">
      <alignment horizontal="left" vertical="center" wrapText="1" indent="2"/>
    </xf>
    <xf numFmtId="0" fontId="6" fillId="0" borderId="0" xfId="0" applyFont="1" applyAlignment="1">
      <alignment horizontal="centerContinuous" vertical="center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Protection="1">
      <protection hidden="1"/>
    </xf>
    <xf numFmtId="0" fontId="29" fillId="0" borderId="1" xfId="0" applyFont="1" applyBorder="1" applyAlignment="1">
      <alignment horizontal="left" vertical="center" indent="2"/>
    </xf>
    <xf numFmtId="3" fontId="4" fillId="0" borderId="1" xfId="0" applyNumberFormat="1" applyFont="1" applyBorder="1" applyProtection="1">
      <protection locked="0"/>
    </xf>
    <xf numFmtId="0" fontId="4" fillId="0" borderId="1" xfId="0" applyFont="1" applyBorder="1" applyAlignment="1">
      <alignment horizontal="left" vertical="center" indent="2"/>
    </xf>
    <xf numFmtId="0" fontId="7" fillId="0" borderId="1" xfId="0" applyFont="1" applyBorder="1" applyAlignment="1">
      <alignment horizontal="left" vertical="center" indent="2"/>
    </xf>
    <xf numFmtId="0" fontId="7" fillId="0" borderId="2" xfId="0" applyFont="1" applyBorder="1" applyAlignment="1">
      <alignment horizontal="left" vertical="center" indent="1"/>
    </xf>
    <xf numFmtId="3" fontId="4" fillId="2" borderId="3" xfId="0" applyNumberFormat="1" applyFont="1" applyFill="1" applyBorder="1"/>
    <xf numFmtId="0" fontId="7" fillId="0" borderId="1" xfId="0" applyFont="1" applyBorder="1" applyAlignment="1">
      <alignment horizontal="left" vertical="center" wrapText="1" indent="2"/>
    </xf>
    <xf numFmtId="0" fontId="4" fillId="0" borderId="1" xfId="0" quotePrefix="1" applyFont="1" applyBorder="1" applyAlignment="1">
      <alignment horizontal="left" vertical="center" indent="2"/>
    </xf>
    <xf numFmtId="0" fontId="7" fillId="0" borderId="1" xfId="0" quotePrefix="1" applyFont="1" applyBorder="1" applyAlignment="1">
      <alignment horizontal="left" vertical="center" indent="2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2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indent="2"/>
    </xf>
    <xf numFmtId="0" fontId="4" fillId="0" borderId="2" xfId="0" applyFont="1" applyBorder="1" applyAlignment="1">
      <alignment horizontal="left" vertical="center" indent="2"/>
    </xf>
    <xf numFmtId="3" fontId="4" fillId="0" borderId="3" xfId="0" applyNumberFormat="1" applyFont="1" applyBorder="1" applyAlignment="1" applyProtection="1">
      <alignment vertical="center"/>
      <protection locked="0"/>
    </xf>
    <xf numFmtId="168" fontId="4" fillId="0" borderId="3" xfId="0" applyNumberFormat="1" applyFont="1" applyBorder="1" applyAlignment="1" applyProtection="1">
      <alignment vertical="center"/>
      <protection locked="0"/>
    </xf>
    <xf numFmtId="3" fontId="4" fillId="0" borderId="0" xfId="0" applyNumberFormat="1" applyFont="1" applyAlignment="1">
      <alignment vertical="center"/>
    </xf>
    <xf numFmtId="3" fontId="14" fillId="0" borderId="0" xfId="0" applyNumberFormat="1" applyFont="1" applyAlignment="1">
      <alignment horizontal="center"/>
    </xf>
    <xf numFmtId="3" fontId="10" fillId="0" borderId="3" xfId="0" applyNumberFormat="1" applyFont="1" applyBorder="1" applyAlignment="1">
      <alignment horizontal="center" vertical="center"/>
    </xf>
    <xf numFmtId="3" fontId="10" fillId="0" borderId="3" xfId="0" quotePrefix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43" fillId="0" borderId="1" xfId="0" applyNumberFormat="1" applyFont="1" applyBorder="1" applyAlignment="1">
      <alignment horizontal="center" vertical="center"/>
    </xf>
    <xf numFmtId="3" fontId="45" fillId="0" borderId="1" xfId="0" applyNumberFormat="1" applyFont="1" applyBorder="1" applyAlignment="1">
      <alignment vertical="center"/>
    </xf>
    <xf numFmtId="0" fontId="45" fillId="0" borderId="1" xfId="0" applyFont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Continuous"/>
    </xf>
    <xf numFmtId="3" fontId="6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left"/>
    </xf>
    <xf numFmtId="3" fontId="7" fillId="0" borderId="1" xfId="0" quotePrefix="1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>
      <alignment horizontal="left" vertical="center"/>
    </xf>
    <xf numFmtId="3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left" vertical="center"/>
    </xf>
    <xf numFmtId="170" fontId="4" fillId="0" borderId="0" xfId="3" applyNumberFormat="1" applyFont="1"/>
    <xf numFmtId="170" fontId="107" fillId="0" borderId="0" xfId="3" applyNumberFormat="1" applyFont="1"/>
    <xf numFmtId="170" fontId="4" fillId="0" borderId="0" xfId="3" applyNumberFormat="1" applyFont="1" applyProtection="1"/>
    <xf numFmtId="3" fontId="51" fillId="3" borderId="3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wrapText="1"/>
    </xf>
    <xf numFmtId="170" fontId="7" fillId="0" borderId="0" xfId="3" applyNumberFormat="1" applyFont="1" applyProtection="1"/>
    <xf numFmtId="0" fontId="4" fillId="0" borderId="2" xfId="0" applyFont="1" applyBorder="1" applyAlignment="1" applyProtection="1">
      <alignment horizontal="left" vertical="center" indent="1"/>
      <protection locked="0"/>
    </xf>
    <xf numFmtId="170" fontId="4" fillId="0" borderId="0" xfId="3" applyNumberFormat="1" applyFont="1" applyAlignment="1" applyProtection="1">
      <alignment vertical="center" wrapText="1"/>
    </xf>
    <xf numFmtId="0" fontId="0" fillId="0" borderId="1" xfId="0" applyBorder="1" applyProtection="1">
      <protection locked="0"/>
    </xf>
    <xf numFmtId="170" fontId="4" fillId="0" borderId="0" xfId="3" applyNumberFormat="1" applyFont="1" applyAlignment="1" applyProtection="1">
      <alignment vertical="center"/>
    </xf>
    <xf numFmtId="170" fontId="4" fillId="0" borderId="0" xfId="3" applyNumberFormat="1" applyFont="1" applyBorder="1" applyProtection="1"/>
    <xf numFmtId="170" fontId="4" fillId="0" borderId="0" xfId="3" applyNumberFormat="1" applyFont="1" applyAlignment="1" applyProtection="1">
      <alignment wrapText="1"/>
    </xf>
    <xf numFmtId="3" fontId="45" fillId="0" borderId="10" xfId="0" applyNumberFormat="1" applyFont="1" applyBorder="1"/>
    <xf numFmtId="3" fontId="30" fillId="0" borderId="1" xfId="0" applyNumberFormat="1" applyFont="1" applyBorder="1" applyAlignment="1">
      <alignment horizontal="left" vertical="center" wrapText="1" indent="1"/>
    </xf>
    <xf numFmtId="16" fontId="17" fillId="0" borderId="1" xfId="5" applyNumberFormat="1" applyFont="1" applyFill="1" applyBorder="1" applyAlignment="1" applyProtection="1">
      <alignment horizontal="left" vertical="center" wrapText="1" indent="2"/>
    </xf>
    <xf numFmtId="9" fontId="15" fillId="0" borderId="0" xfId="2" applyFont="1" applyFill="1" applyBorder="1" applyAlignment="1" applyProtection="1">
      <alignment horizontal="center" vertical="center"/>
    </xf>
    <xf numFmtId="15" fontId="21" fillId="0" borderId="0" xfId="5" applyNumberFormat="1" applyFont="1" applyFill="1" applyBorder="1" applyAlignment="1" applyProtection="1">
      <alignment horizontal="center"/>
    </xf>
    <xf numFmtId="3" fontId="17" fillId="3" borderId="5" xfId="0" applyNumberFormat="1" applyFont="1" applyFill="1" applyBorder="1" applyAlignment="1">
      <alignment horizontal="center" vertical="center" wrapText="1"/>
    </xf>
    <xf numFmtId="0" fontId="17" fillId="5" borderId="1" xfId="5" applyNumberFormat="1" applyFont="1" applyFill="1" applyBorder="1" applyAlignment="1" applyProtection="1">
      <alignment horizontal="left" vertical="center" wrapText="1" indent="2"/>
    </xf>
    <xf numFmtId="0" fontId="15" fillId="5" borderId="1" xfId="5" applyNumberFormat="1" applyFont="1" applyFill="1" applyBorder="1" applyAlignment="1" applyProtection="1">
      <alignment horizontal="left" vertical="center" wrapText="1" indent="2"/>
    </xf>
    <xf numFmtId="172" fontId="15" fillId="0" borderId="1" xfId="2" applyNumberFormat="1" applyFont="1" applyFill="1" applyBorder="1" applyAlignment="1" applyProtection="1">
      <alignment horizontal="center" vertical="center" wrapText="1"/>
    </xf>
    <xf numFmtId="0" fontId="108" fillId="5" borderId="1" xfId="5" applyNumberFormat="1" applyFont="1" applyFill="1" applyBorder="1" applyAlignment="1" applyProtection="1">
      <alignment horizontal="left" vertical="center" wrapText="1" indent="4"/>
    </xf>
    <xf numFmtId="0" fontId="17" fillId="5" borderId="1" xfId="5" applyNumberFormat="1" applyFont="1" applyFill="1" applyBorder="1" applyAlignment="1" applyProtection="1">
      <alignment horizontal="left" vertical="center" wrapText="1" indent="1"/>
    </xf>
    <xf numFmtId="172" fontId="17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5" applyNumberFormat="1" applyFont="1" applyFill="1" applyBorder="1" applyAlignment="1" applyProtection="1">
      <alignment horizontal="left" vertical="center" wrapText="1" indent="2"/>
    </xf>
    <xf numFmtId="0" fontId="17" fillId="0" borderId="1" xfId="5" applyNumberFormat="1" applyFont="1" applyFill="1" applyBorder="1" applyAlignment="1" applyProtection="1">
      <alignment horizontal="left" vertical="center" wrapText="1" indent="1"/>
    </xf>
    <xf numFmtId="173" fontId="17" fillId="0" borderId="0" xfId="5" applyNumberFormat="1" applyFont="1" applyFill="1" applyBorder="1" applyAlignment="1" applyProtection="1">
      <alignment horizontal="center" vertical="top"/>
    </xf>
    <xf numFmtId="0" fontId="40" fillId="0" borderId="9" xfId="9" applyNumberFormat="1" applyFont="1" applyFill="1" applyBorder="1" applyAlignment="1" applyProtection="1">
      <alignment vertical="center"/>
    </xf>
    <xf numFmtId="3" fontId="36" fillId="3" borderId="1" xfId="0" applyNumberFormat="1" applyFont="1" applyFill="1" applyBorder="1" applyAlignment="1">
      <alignment horizontal="center" vertical="center" wrapText="1"/>
    </xf>
    <xf numFmtId="3" fontId="36" fillId="0" borderId="0" xfId="9" applyNumberFormat="1" applyFont="1" applyFill="1" applyBorder="1" applyAlignment="1" applyProtection="1">
      <alignment horizontal="center" vertical="center"/>
    </xf>
    <xf numFmtId="0" fontId="36" fillId="5" borderId="1" xfId="9" applyNumberFormat="1" applyFont="1" applyFill="1" applyBorder="1" applyAlignment="1" applyProtection="1">
      <alignment horizontal="left" vertical="center" wrapText="1" indent="2"/>
    </xf>
    <xf numFmtId="0" fontId="40" fillId="5" borderId="1" xfId="9" applyNumberFormat="1" applyFont="1" applyFill="1" applyBorder="1" applyAlignment="1" applyProtection="1">
      <alignment horizontal="left" vertical="center" wrapText="1" indent="2"/>
    </xf>
    <xf numFmtId="172" fontId="40" fillId="0" borderId="1" xfId="10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left" vertical="center" wrapText="1" indent="1"/>
    </xf>
    <xf numFmtId="172" fontId="40" fillId="21" borderId="1" xfId="10" applyNumberFormat="1" applyFont="1" applyFill="1" applyBorder="1" applyAlignment="1" applyProtection="1">
      <alignment horizontal="center" vertical="center" wrapText="1"/>
    </xf>
    <xf numFmtId="0" fontId="36" fillId="0" borderId="1" xfId="9" applyNumberFormat="1" applyFont="1" applyFill="1" applyBorder="1" applyAlignment="1" applyProtection="1">
      <alignment horizontal="center" vertical="center" wrapText="1"/>
    </xf>
    <xf numFmtId="0" fontId="36" fillId="5" borderId="1" xfId="9" applyNumberFormat="1" applyFont="1" applyFill="1" applyBorder="1" applyAlignment="1" applyProtection="1">
      <alignment horizontal="left" vertical="center" wrapText="1" indent="1"/>
    </xf>
    <xf numFmtId="172" fontId="36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8" fillId="0" borderId="1" xfId="9" applyNumberFormat="1" applyFont="1" applyFill="1" applyBorder="1" applyAlignment="1" applyProtection="1">
      <alignment horizontal="center" vertical="center" wrapText="1"/>
    </xf>
    <xf numFmtId="0" fontId="58" fillId="5" borderId="1" xfId="9" applyNumberFormat="1" applyFont="1" applyFill="1" applyBorder="1" applyAlignment="1" applyProtection="1">
      <alignment horizontal="left" vertical="center" wrapText="1" indent="1"/>
    </xf>
    <xf numFmtId="0" fontId="36" fillId="0" borderId="1" xfId="9" applyNumberFormat="1" applyFont="1" applyFill="1" applyBorder="1" applyAlignment="1" applyProtection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horizontal="center" vertical="center" wrapText="1"/>
    </xf>
    <xf numFmtId="0" fontId="36" fillId="0" borderId="0" xfId="9" applyNumberFormat="1" applyFont="1" applyFill="1" applyBorder="1" applyAlignment="1" applyProtection="1">
      <alignment horizontal="left" vertical="center" wrapText="1" indent="1"/>
    </xf>
    <xf numFmtId="172" fontId="36" fillId="0" borderId="0" xfId="10" applyNumberFormat="1" applyFont="1" applyFill="1" applyBorder="1" applyAlignment="1" applyProtection="1">
      <alignment horizontal="center" vertical="center" wrapText="1"/>
    </xf>
    <xf numFmtId="171" fontId="7" fillId="0" borderId="0" xfId="0" quotePrefix="1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7" fillId="0" borderId="1" xfId="0" applyFont="1" applyBorder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4"/>
    </xf>
    <xf numFmtId="0" fontId="105" fillId="0" borderId="1" xfId="0" applyFont="1" applyBorder="1" applyAlignment="1">
      <alignment horizontal="left" vertical="center" indent="4"/>
    </xf>
    <xf numFmtId="0" fontId="105" fillId="0" borderId="4" xfId="0" applyFont="1" applyBorder="1" applyAlignment="1">
      <alignment horizontal="center" vertical="center"/>
    </xf>
    <xf numFmtId="0" fontId="105" fillId="0" borderId="1" xfId="0" applyFont="1" applyBorder="1" applyAlignment="1">
      <alignment horizontal="left" vertical="center" wrapText="1" indent="4"/>
    </xf>
    <xf numFmtId="0" fontId="4" fillId="0" borderId="1" xfId="0" applyFont="1" applyBorder="1" applyAlignment="1">
      <alignment horizontal="left" vertical="center" wrapText="1" indent="4"/>
    </xf>
    <xf numFmtId="0" fontId="29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 indent="4"/>
    </xf>
    <xf numFmtId="0" fontId="30" fillId="0" borderId="1" xfId="0" applyFont="1" applyBorder="1" applyAlignment="1">
      <alignment horizontal="left" vertical="center" wrapText="1" indent="5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170" fontId="80" fillId="0" borderId="0" xfId="3" applyNumberFormat="1" applyFont="1" applyFill="1" applyAlignment="1" applyProtection="1">
      <alignment vertical="center"/>
    </xf>
    <xf numFmtId="170" fontId="79" fillId="0" borderId="0" xfId="3" applyNumberFormat="1" applyFont="1" applyFill="1" applyAlignment="1" applyProtection="1">
      <alignment vertical="center"/>
    </xf>
    <xf numFmtId="171" fontId="4" fillId="0" borderId="0" xfId="0" applyNumberFormat="1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3" fontId="14" fillId="3" borderId="1" xfId="0" applyNumberFormat="1" applyFont="1" applyFill="1" applyBorder="1" applyAlignment="1">
      <alignment horizontal="center"/>
    </xf>
    <xf numFmtId="3" fontId="12" fillId="3" borderId="1" xfId="0" applyNumberFormat="1" applyFont="1" applyFill="1" applyBorder="1" applyAlignment="1">
      <alignment horizontal="center" vertical="center"/>
    </xf>
    <xf numFmtId="3" fontId="14" fillId="3" borderId="1" xfId="0" applyNumberFormat="1" applyFont="1" applyFill="1" applyBorder="1"/>
    <xf numFmtId="3" fontId="14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indent="2"/>
    </xf>
    <xf numFmtId="3" fontId="14" fillId="0" borderId="1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horizontal="left" vertical="center" indent="2"/>
    </xf>
    <xf numFmtId="196" fontId="18" fillId="3" borderId="1" xfId="0" applyNumberFormat="1" applyFont="1" applyFill="1" applyBorder="1" applyAlignment="1">
      <alignment horizontal="center" vertical="center" wrapText="1"/>
    </xf>
    <xf numFmtId="0" fontId="110" fillId="0" borderId="0" xfId="0" applyFont="1" applyAlignment="1">
      <alignment vertical="center"/>
    </xf>
    <xf numFmtId="3" fontId="39" fillId="3" borderId="5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110" fillId="0" borderId="0" xfId="0" applyFont="1" applyAlignment="1">
      <alignment horizontal="justify" vertical="center"/>
    </xf>
    <xf numFmtId="0" fontId="113" fillId="0" borderId="0" xfId="0" applyFont="1"/>
    <xf numFmtId="0" fontId="114" fillId="0" borderId="0" xfId="0" applyFont="1"/>
    <xf numFmtId="0" fontId="115" fillId="0" borderId="0" xfId="5" applyNumberFormat="1" applyFont="1" applyFill="1" applyBorder="1" applyAlignment="1" applyProtection="1">
      <alignment horizontal="center" vertical="top"/>
    </xf>
    <xf numFmtId="170" fontId="115" fillId="0" borderId="0" xfId="3" applyNumberFormat="1" applyFont="1" applyFill="1" applyBorder="1" applyAlignment="1" applyProtection="1">
      <alignment horizontal="center" vertical="top"/>
    </xf>
    <xf numFmtId="0" fontId="115" fillId="0" borderId="0" xfId="5" applyNumberFormat="1" applyFont="1" applyFill="1" applyBorder="1" applyAlignment="1" applyProtection="1">
      <alignment vertical="top"/>
    </xf>
    <xf numFmtId="170" fontId="115" fillId="0" borderId="0" xfId="3" applyNumberFormat="1" applyFont="1" applyFill="1" applyBorder="1" applyAlignment="1" applyProtection="1">
      <alignment vertical="top"/>
    </xf>
    <xf numFmtId="173" fontId="115" fillId="0" borderId="0" xfId="5" applyNumberFormat="1" applyFont="1" applyFill="1" applyBorder="1" applyAlignment="1" applyProtection="1">
      <alignment horizontal="center" vertical="top"/>
    </xf>
    <xf numFmtId="9" fontId="115" fillId="0" borderId="0" xfId="2" applyFont="1" applyFill="1" applyBorder="1" applyAlignment="1" applyProtection="1">
      <alignment vertical="top"/>
    </xf>
    <xf numFmtId="3" fontId="115" fillId="0" borderId="0" xfId="5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Border="1" applyAlignment="1">
      <alignment horizontal="center"/>
    </xf>
    <xf numFmtId="3" fontId="29" fillId="0" borderId="1" xfId="0" applyNumberFormat="1" applyFont="1" applyBorder="1"/>
    <xf numFmtId="3" fontId="29" fillId="2" borderId="3" xfId="0" applyNumberFormat="1" applyFont="1" applyFill="1" applyBorder="1"/>
    <xf numFmtId="0" fontId="111" fillId="0" borderId="0" xfId="0" applyFont="1"/>
    <xf numFmtId="0" fontId="112" fillId="0" borderId="0" xfId="0" applyFont="1" applyAlignment="1">
      <alignment vertical="center"/>
    </xf>
    <xf numFmtId="0" fontId="112" fillId="0" borderId="0" xfId="0" applyFont="1"/>
    <xf numFmtId="3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70" fontId="36" fillId="0" borderId="0" xfId="3" applyNumberFormat="1" applyFont="1" applyFill="1" applyBorder="1" applyAlignment="1" applyProtection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left" indent="2"/>
    </xf>
    <xf numFmtId="0" fontId="79" fillId="0" borderId="0" xfId="0" applyFont="1" applyAlignment="1">
      <alignment horizontal="left" vertical="center" wrapText="1" indent="2"/>
    </xf>
    <xf numFmtId="0" fontId="13" fillId="0" borderId="0" xfId="0" applyFont="1"/>
    <xf numFmtId="3" fontId="29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 applyProtection="1">
      <alignment vertical="center" wrapText="1"/>
      <protection locked="0"/>
    </xf>
    <xf numFmtId="3" fontId="29" fillId="0" borderId="1" xfId="0" applyNumberFormat="1" applyFont="1" applyBorder="1" applyAlignment="1">
      <alignment vertical="center" wrapText="1"/>
    </xf>
    <xf numFmtId="3" fontId="7" fillId="0" borderId="1" xfId="0" applyNumberFormat="1" applyFont="1" applyBorder="1" applyAlignment="1" applyProtection="1">
      <alignment vertical="center" wrapText="1"/>
      <protection locked="0"/>
    </xf>
    <xf numFmtId="3" fontId="42" fillId="3" borderId="1" xfId="0" applyNumberFormat="1" applyFont="1" applyFill="1" applyBorder="1" applyAlignment="1">
      <alignment horizontal="center" vertical="center"/>
    </xf>
    <xf numFmtId="0" fontId="42" fillId="0" borderId="0" xfId="0" applyFont="1"/>
    <xf numFmtId="3" fontId="42" fillId="0" borderId="0" xfId="0" applyNumberFormat="1" applyFont="1"/>
    <xf numFmtId="9" fontId="10" fillId="3" borderId="1" xfId="2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/>
    <xf numFmtId="167" fontId="36" fillId="0" borderId="0" xfId="3" applyFont="1" applyFill="1" applyBorder="1" applyAlignment="1" applyProtection="1">
      <alignment horizontal="center" vertical="center"/>
    </xf>
    <xf numFmtId="172" fontId="36" fillId="0" borderId="0" xfId="2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left" vertical="center" indent="1"/>
    </xf>
    <xf numFmtId="167" fontId="4" fillId="0" borderId="0" xfId="3" applyFont="1"/>
    <xf numFmtId="167" fontId="15" fillId="0" borderId="0" xfId="3" applyFont="1" applyFill="1" applyBorder="1" applyAlignment="1" applyProtection="1">
      <alignment horizontal="center" vertical="center"/>
    </xf>
    <xf numFmtId="167" fontId="110" fillId="0" borderId="0" xfId="3" applyFont="1" applyAlignment="1">
      <alignment vertical="center"/>
    </xf>
    <xf numFmtId="3" fontId="12" fillId="3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3" fontId="29" fillId="0" borderId="3" xfId="0" applyNumberFormat="1" applyFont="1" applyBorder="1" applyAlignment="1">
      <alignment horizontal="center"/>
    </xf>
    <xf numFmtId="3" fontId="7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 applyProtection="1">
      <alignment vertical="center" wrapText="1"/>
      <protection locked="0"/>
    </xf>
    <xf numFmtId="3" fontId="4" fillId="0" borderId="3" xfId="0" applyNumberFormat="1" applyFont="1" applyBorder="1" applyAlignment="1" applyProtection="1">
      <alignment horizontal="right" vertical="center"/>
      <protection locked="0"/>
    </xf>
    <xf numFmtId="3" fontId="4" fillId="0" borderId="3" xfId="0" applyNumberFormat="1" applyFont="1" applyBorder="1" applyAlignment="1" applyProtection="1">
      <alignment horizontal="center" vertical="center"/>
      <protection locked="0"/>
    </xf>
    <xf numFmtId="3" fontId="4" fillId="0" borderId="3" xfId="0" applyNumberFormat="1" applyFont="1" applyBorder="1" applyAlignment="1">
      <alignment horizontal="right" vertical="center"/>
    </xf>
    <xf numFmtId="3" fontId="39" fillId="3" borderId="1" xfId="0" applyNumberFormat="1" applyFont="1" applyFill="1" applyBorder="1" applyAlignment="1">
      <alignment horizontal="center" vertical="center" wrapText="1"/>
    </xf>
    <xf numFmtId="172" fontId="17" fillId="0" borderId="1" xfId="2" applyNumberFormat="1" applyFont="1" applyFill="1" applyBorder="1" applyAlignment="1" applyProtection="1">
      <alignment horizontal="center" vertical="center" wrapText="1"/>
    </xf>
    <xf numFmtId="172" fontId="36" fillId="0" borderId="1" xfId="10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 applyProtection="1">
      <alignment vertical="center"/>
      <protection locked="0"/>
    </xf>
    <xf numFmtId="195" fontId="29" fillId="0" borderId="1" xfId="0" applyNumberFormat="1" applyFont="1" applyBorder="1" applyAlignment="1">
      <alignment vertical="center"/>
    </xf>
    <xf numFmtId="195" fontId="12" fillId="3" borderId="1" xfId="0" applyNumberFormat="1" applyFont="1" applyFill="1" applyBorder="1" applyAlignment="1">
      <alignment horizontal="center" vertical="center" wrapText="1"/>
    </xf>
    <xf numFmtId="167" fontId="4" fillId="0" borderId="0" xfId="3" applyFont="1" applyProtection="1"/>
    <xf numFmtId="167" fontId="4" fillId="0" borderId="0" xfId="3" applyFont="1" applyBorder="1" applyProtection="1"/>
    <xf numFmtId="195" fontId="29" fillId="0" borderId="1" xfId="0" applyNumberFormat="1" applyFont="1" applyBorder="1" applyAlignment="1">
      <alignment vertical="center" wrapText="1"/>
    </xf>
    <xf numFmtId="195" fontId="0" fillId="0" borderId="1" xfId="0" applyNumberFormat="1" applyBorder="1" applyAlignment="1">
      <alignment vertical="center" wrapText="1"/>
    </xf>
    <xf numFmtId="195" fontId="7" fillId="0" borderId="1" xfId="0" applyNumberFormat="1" applyFont="1" applyBorder="1" applyAlignment="1">
      <alignment vertical="center" wrapText="1"/>
    </xf>
    <xf numFmtId="3" fontId="14" fillId="0" borderId="0" xfId="0" applyNumberFormat="1" applyFont="1" applyAlignment="1">
      <alignment vertical="center"/>
    </xf>
    <xf numFmtId="195" fontId="7" fillId="0" borderId="1" xfId="0" applyNumberFormat="1" applyFont="1" applyBorder="1" applyAlignment="1">
      <alignment horizontal="center" vertical="center" wrapText="1"/>
    </xf>
    <xf numFmtId="195" fontId="29" fillId="0" borderId="1" xfId="0" applyNumberFormat="1" applyFont="1" applyBorder="1" applyAlignment="1">
      <alignment horizontal="center" vertical="center" wrapText="1"/>
    </xf>
    <xf numFmtId="195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left" vertical="center" wrapText="1" indent="2"/>
    </xf>
    <xf numFmtId="0" fontId="35" fillId="0" borderId="0" xfId="0" applyFont="1"/>
    <xf numFmtId="0" fontId="116" fillId="0" borderId="0" xfId="0" applyFont="1"/>
    <xf numFmtId="3" fontId="35" fillId="0" borderId="0" xfId="0" applyNumberFormat="1" applyFont="1"/>
    <xf numFmtId="195" fontId="35" fillId="0" borderId="0" xfId="0" applyNumberFormat="1" applyFont="1"/>
    <xf numFmtId="195" fontId="4" fillId="0" borderId="0" xfId="0" applyNumberFormat="1" applyFont="1"/>
    <xf numFmtId="3" fontId="0" fillId="0" borderId="3" xfId="0" applyNumberFormat="1" applyBorder="1" applyAlignment="1">
      <alignment vertical="center"/>
    </xf>
    <xf numFmtId="0" fontId="118" fillId="0" borderId="0" xfId="0" applyFont="1" applyProtection="1">
      <protection hidden="1"/>
    </xf>
    <xf numFmtId="3" fontId="118" fillId="0" borderId="0" xfId="0" applyNumberFormat="1" applyFont="1" applyProtection="1">
      <protection hidden="1"/>
    </xf>
    <xf numFmtId="0" fontId="118" fillId="0" borderId="0" xfId="0" applyFont="1"/>
    <xf numFmtId="0" fontId="43" fillId="0" borderId="0" xfId="0" applyFont="1" applyAlignment="1">
      <alignment horizontal="center" vertical="center" wrapText="1"/>
    </xf>
    <xf numFmtId="198" fontId="119" fillId="0" borderId="0" xfId="3" applyNumberFormat="1" applyFont="1" applyBorder="1" applyProtection="1"/>
    <xf numFmtId="0" fontId="43" fillId="0" borderId="0" xfId="0" applyFont="1" applyAlignment="1">
      <alignment horizontal="center" wrapText="1"/>
    </xf>
    <xf numFmtId="171" fontId="0" fillId="0" borderId="0" xfId="0" applyNumberFormat="1" applyAlignment="1">
      <alignment horizontal="center" wrapText="1"/>
    </xf>
    <xf numFmtId="0" fontId="29" fillId="0" borderId="2" xfId="0" applyFont="1" applyBorder="1" applyAlignment="1">
      <alignment horizontal="left" vertical="center" inden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0" fillId="0" borderId="2" xfId="0" quotePrefix="1" applyBorder="1" applyAlignment="1">
      <alignment horizontal="left" vertical="center" wrapText="1" indent="1"/>
    </xf>
    <xf numFmtId="3" fontId="0" fillId="0" borderId="3" xfId="0" applyNumberFormat="1" applyBorder="1" applyAlignment="1" applyProtection="1">
      <alignment vertical="center"/>
      <protection locked="0"/>
    </xf>
    <xf numFmtId="0" fontId="29" fillId="0" borderId="2" xfId="0" quotePrefix="1" applyFont="1" applyBorder="1" applyAlignment="1">
      <alignment horizontal="left" vertical="center" indent="1"/>
    </xf>
    <xf numFmtId="3" fontId="0" fillId="2" borderId="3" xfId="0" applyNumberFormat="1" applyFill="1" applyBorder="1" applyAlignment="1">
      <alignment vertical="center"/>
    </xf>
    <xf numFmtId="198" fontId="120" fillId="0" borderId="0" xfId="3" applyNumberFormat="1" applyFont="1" applyBorder="1" applyProtection="1"/>
    <xf numFmtId="0" fontId="29" fillId="0" borderId="2" xfId="0" quotePrefix="1" applyFont="1" applyBorder="1" applyAlignment="1">
      <alignment horizontal="center" vertical="center" wrapText="1"/>
    </xf>
    <xf numFmtId="0" fontId="121" fillId="0" borderId="0" xfId="0" applyFont="1"/>
    <xf numFmtId="3" fontId="0" fillId="4" borderId="1" xfId="0" applyNumberFormat="1" applyFill="1" applyBorder="1" applyAlignment="1">
      <alignment horizontal="right" vertical="center"/>
    </xf>
    <xf numFmtId="198" fontId="119" fillId="0" borderId="0" xfId="3" quotePrefix="1" applyNumberFormat="1" applyFont="1" applyBorder="1" applyAlignment="1" applyProtection="1">
      <alignment horizontal="left"/>
    </xf>
    <xf numFmtId="0" fontId="122" fillId="0" borderId="0" xfId="0" applyFont="1"/>
    <xf numFmtId="198" fontId="122" fillId="0" borderId="0" xfId="3" applyNumberFormat="1" applyFont="1" applyBorder="1" applyProtection="1"/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1" xfId="0" applyNumberFormat="1" applyBorder="1" applyProtection="1">
      <protection locked="0"/>
    </xf>
    <xf numFmtId="3" fontId="123" fillId="0" borderId="0" xfId="4" applyNumberFormat="1" applyFont="1" applyFill="1" applyBorder="1" applyAlignment="1" applyProtection="1">
      <alignment vertical="top"/>
    </xf>
    <xf numFmtId="0" fontId="123" fillId="0" borderId="0" xfId="4" applyNumberFormat="1" applyFont="1" applyFill="1" applyBorder="1" applyAlignment="1" applyProtection="1">
      <alignment vertical="top"/>
    </xf>
    <xf numFmtId="167" fontId="123" fillId="0" borderId="0" xfId="3" applyFont="1" applyFill="1" applyBorder="1" applyAlignment="1" applyProtection="1">
      <alignment vertical="top"/>
    </xf>
    <xf numFmtId="3" fontId="118" fillId="0" borderId="0" xfId="0" applyNumberFormat="1" applyFont="1" applyAlignment="1">
      <alignment vertical="center"/>
    </xf>
    <xf numFmtId="0" fontId="118" fillId="0" borderId="0" xfId="0" applyFont="1" applyAlignment="1">
      <alignment vertical="center"/>
    </xf>
    <xf numFmtId="167" fontId="118" fillId="0" borderId="0" xfId="3" applyFont="1" applyProtection="1"/>
    <xf numFmtId="167" fontId="118" fillId="0" borderId="0" xfId="3" applyFont="1" applyBorder="1" applyProtection="1"/>
    <xf numFmtId="3" fontId="117" fillId="0" borderId="0" xfId="0" applyNumberFormat="1" applyFont="1"/>
    <xf numFmtId="0" fontId="117" fillId="0" borderId="0" xfId="0" applyFont="1"/>
    <xf numFmtId="3" fontId="10" fillId="0" borderId="0" xfId="0" applyNumberFormat="1" applyFont="1" applyAlignment="1">
      <alignment vertical="center"/>
    </xf>
    <xf numFmtId="167" fontId="34" fillId="0" borderId="0" xfId="3" applyFont="1" applyAlignment="1">
      <alignment vertical="center"/>
    </xf>
    <xf numFmtId="167" fontId="34" fillId="0" borderId="0" xfId="3" applyFont="1" applyFill="1" applyAlignment="1">
      <alignment vertical="center"/>
    </xf>
    <xf numFmtId="167" fontId="34" fillId="0" borderId="0" xfId="3" applyFont="1"/>
    <xf numFmtId="167" fontId="34" fillId="0" borderId="0" xfId="3" applyFont="1" applyBorder="1" applyProtection="1"/>
    <xf numFmtId="3" fontId="6" fillId="0" borderId="0" xfId="0" applyNumberFormat="1" applyFont="1" applyAlignment="1">
      <alignment horizontal="center" vertical="center" wrapText="1"/>
    </xf>
    <xf numFmtId="0" fontId="111" fillId="0" borderId="0" xfId="0" applyFont="1" applyAlignment="1">
      <alignment vertical="center"/>
    </xf>
    <xf numFmtId="15" fontId="111" fillId="0" borderId="0" xfId="0" applyNumberFormat="1" applyFont="1"/>
    <xf numFmtId="0" fontId="124" fillId="0" borderId="0" xfId="0" applyFont="1"/>
    <xf numFmtId="3" fontId="124" fillId="0" borderId="0" xfId="0" applyNumberFormat="1" applyFont="1"/>
    <xf numFmtId="3" fontId="124" fillId="0" borderId="0" xfId="0" applyNumberFormat="1" applyFont="1" applyAlignment="1">
      <alignment horizontal="center" vertical="center"/>
    </xf>
    <xf numFmtId="0" fontId="125" fillId="0" borderId="0" xfId="0" applyFont="1"/>
    <xf numFmtId="170" fontId="118" fillId="0" borderId="0" xfId="3" applyNumberFormat="1" applyFont="1" applyAlignment="1" applyProtection="1">
      <alignment horizontal="center" vertical="center"/>
    </xf>
    <xf numFmtId="170" fontId="118" fillId="0" borderId="0" xfId="3" applyNumberFormat="1" applyFont="1" applyProtection="1"/>
    <xf numFmtId="3" fontId="17" fillId="0" borderId="0" xfId="4" applyNumberFormat="1" applyFont="1" applyFill="1" applyBorder="1" applyAlignment="1" applyProtection="1">
      <alignment horizontal="center" vertical="top"/>
    </xf>
    <xf numFmtId="195" fontId="15" fillId="6" borderId="1" xfId="4" applyNumberFormat="1" applyFont="1" applyFill="1" applyBorder="1" applyAlignment="1" applyProtection="1">
      <alignment horizontal="center" vertical="center" wrapText="1"/>
    </xf>
    <xf numFmtId="195" fontId="17" fillId="0" borderId="1" xfId="4" applyNumberFormat="1" applyFont="1" applyFill="1" applyBorder="1" applyAlignment="1" applyProtection="1">
      <alignment horizontal="center" vertical="center" wrapText="1"/>
    </xf>
    <xf numFmtId="195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195" fontId="17" fillId="0" borderId="1" xfId="4" applyNumberFormat="1" applyFont="1" applyFill="1" applyBorder="1" applyAlignment="1" applyProtection="1">
      <alignment horizontal="center" vertical="top" wrapText="1"/>
      <protection locked="0"/>
    </xf>
    <xf numFmtId="195" fontId="17" fillId="6" borderId="1" xfId="4" applyNumberFormat="1" applyFont="1" applyFill="1" applyBorder="1" applyAlignment="1" applyProtection="1">
      <alignment horizontal="center" vertical="center" wrapText="1"/>
    </xf>
    <xf numFmtId="167" fontId="117" fillId="0" borderId="0" xfId="3" applyFont="1" applyProtection="1"/>
    <xf numFmtId="195" fontId="15" fillId="0" borderId="0" xfId="5" applyNumberFormat="1" applyFont="1" applyFill="1" applyBorder="1" applyAlignment="1" applyProtection="1">
      <alignment horizontal="center" vertical="center"/>
    </xf>
    <xf numFmtId="195" fontId="17" fillId="3" borderId="5" xfId="0" applyNumberFormat="1" applyFont="1" applyFill="1" applyBorder="1" applyAlignment="1">
      <alignment horizontal="center" vertical="center" wrapText="1"/>
    </xf>
    <xf numFmtId="195" fontId="15" fillId="0" borderId="1" xfId="5" applyNumberFormat="1" applyFont="1" applyFill="1" applyBorder="1" applyAlignment="1" applyProtection="1">
      <alignment horizontal="center" vertical="center" wrapText="1"/>
    </xf>
    <xf numFmtId="195" fontId="17" fillId="0" borderId="1" xfId="5" applyNumberFormat="1" applyFont="1" applyFill="1" applyBorder="1" applyAlignment="1" applyProtection="1">
      <alignment horizontal="center" vertical="center" wrapText="1"/>
    </xf>
    <xf numFmtId="195" fontId="4" fillId="0" borderId="0" xfId="0" applyNumberFormat="1" applyFont="1" applyAlignment="1">
      <alignment vertical="center"/>
    </xf>
    <xf numFmtId="195" fontId="10" fillId="0" borderId="0" xfId="0" applyNumberFormat="1" applyFont="1"/>
    <xf numFmtId="195" fontId="114" fillId="0" borderId="0" xfId="0" applyNumberFormat="1" applyFont="1"/>
    <xf numFmtId="195" fontId="115" fillId="0" borderId="0" xfId="3" applyNumberFormat="1" applyFont="1" applyFill="1" applyBorder="1" applyAlignment="1" applyProtection="1">
      <alignment horizontal="center" vertical="top"/>
    </xf>
    <xf numFmtId="195" fontId="115" fillId="0" borderId="0" xfId="3" applyNumberFormat="1" applyFont="1" applyFill="1" applyBorder="1" applyAlignment="1" applyProtection="1">
      <alignment vertical="top"/>
    </xf>
    <xf numFmtId="195" fontId="115" fillId="0" borderId="0" xfId="5" applyNumberFormat="1" applyFont="1" applyFill="1" applyBorder="1" applyAlignment="1" applyProtection="1">
      <alignment horizontal="center" vertical="top"/>
    </xf>
    <xf numFmtId="195" fontId="115" fillId="0" borderId="0" xfId="5" applyNumberFormat="1" applyFont="1" applyFill="1" applyBorder="1" applyAlignment="1" applyProtection="1">
      <alignment vertical="top"/>
    </xf>
    <xf numFmtId="195" fontId="17" fillId="0" borderId="0" xfId="5" applyNumberFormat="1" applyFont="1" applyFill="1" applyBorder="1" applyAlignment="1" applyProtection="1">
      <alignment vertical="top"/>
    </xf>
    <xf numFmtId="195" fontId="17" fillId="0" borderId="1" xfId="5" applyNumberFormat="1" applyFont="1" applyFill="1" applyBorder="1" applyAlignment="1" applyProtection="1">
      <alignment horizontal="center" vertical="center" wrapText="1"/>
      <protection locked="0"/>
    </xf>
    <xf numFmtId="195" fontId="16" fillId="0" borderId="0" xfId="0" applyNumberFormat="1" applyFont="1"/>
    <xf numFmtId="195" fontId="36" fillId="0" borderId="1" xfId="9" applyNumberFormat="1" applyFont="1" applyFill="1" applyBorder="1" applyAlignment="1" applyProtection="1">
      <alignment horizontal="center" vertical="center" wrapText="1"/>
    </xf>
    <xf numFmtId="195" fontId="36" fillId="0" borderId="0" xfId="9" applyNumberFormat="1" applyFont="1" applyFill="1" applyBorder="1" applyAlignment="1" applyProtection="1">
      <alignment vertical="top"/>
    </xf>
    <xf numFmtId="195" fontId="40" fillId="0" borderId="9" xfId="9" applyNumberFormat="1" applyFont="1" applyFill="1" applyBorder="1" applyAlignment="1" applyProtection="1">
      <alignment vertical="center"/>
    </xf>
    <xf numFmtId="195" fontId="36" fillId="3" borderId="5" xfId="0" applyNumberFormat="1" applyFont="1" applyFill="1" applyBorder="1" applyAlignment="1">
      <alignment horizontal="center" vertical="center" wrapText="1"/>
    </xf>
    <xf numFmtId="195" fontId="40" fillId="0" borderId="1" xfId="9" applyNumberFormat="1" applyFont="1" applyFill="1" applyBorder="1" applyAlignment="1" applyProtection="1">
      <alignment horizontal="center" vertical="center" wrapText="1"/>
    </xf>
    <xf numFmtId="195" fontId="40" fillId="21" borderId="1" xfId="9" applyNumberFormat="1" applyFont="1" applyFill="1" applyBorder="1" applyAlignment="1" applyProtection="1">
      <alignment horizontal="center" vertical="center" wrapText="1"/>
    </xf>
    <xf numFmtId="195" fontId="36" fillId="0" borderId="0" xfId="9" applyNumberFormat="1" applyFont="1" applyFill="1" applyBorder="1" applyAlignment="1" applyProtection="1">
      <alignment horizontal="center" vertical="center" wrapText="1"/>
    </xf>
    <xf numFmtId="195" fontId="17" fillId="0" borderId="0" xfId="9" applyNumberFormat="1" applyFont="1" applyFill="1" applyBorder="1" applyAlignment="1" applyProtection="1">
      <alignment vertical="top"/>
    </xf>
    <xf numFmtId="195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95" fontId="36" fillId="0" borderId="1" xfId="9" applyNumberFormat="1" applyFont="1" applyFill="1" applyBorder="1" applyAlignment="1" applyProtection="1">
      <alignment horizontal="center" vertical="center" wrapText="1"/>
      <protection locked="0"/>
    </xf>
    <xf numFmtId="195" fontId="6" fillId="0" borderId="0" xfId="0" applyNumberFormat="1" applyFont="1" applyAlignment="1">
      <alignment horizontal="center" vertical="center" wrapText="1"/>
    </xf>
    <xf numFmtId="195" fontId="36" fillId="3" borderId="1" xfId="0" applyNumberFormat="1" applyFont="1" applyFill="1" applyBorder="1" applyAlignment="1">
      <alignment horizontal="center" vertical="center" wrapText="1"/>
    </xf>
    <xf numFmtId="195" fontId="36" fillId="0" borderId="0" xfId="9" applyNumberFormat="1" applyFont="1" applyFill="1" applyBorder="1" applyAlignment="1" applyProtection="1">
      <alignment horizontal="left" vertical="center" wrapText="1" indent="1"/>
    </xf>
    <xf numFmtId="195" fontId="36" fillId="0" borderId="0" xfId="10" applyNumberFormat="1" applyFont="1" applyFill="1" applyBorder="1" applyAlignment="1" applyProtection="1">
      <alignment horizontal="center" vertical="center" wrapText="1"/>
    </xf>
    <xf numFmtId="195" fontId="10" fillId="0" borderId="0" xfId="0" applyNumberFormat="1" applyFont="1" applyAlignment="1">
      <alignment vertical="center"/>
    </xf>
    <xf numFmtId="195" fontId="36" fillId="0" borderId="0" xfId="9" applyNumberFormat="1" applyFont="1" applyFill="1" applyBorder="1" applyAlignment="1" applyProtection="1">
      <alignment horizontal="center" vertical="center"/>
    </xf>
    <xf numFmtId="195" fontId="40" fillId="0" borderId="0" xfId="9" applyNumberFormat="1" applyFont="1" applyFill="1" applyBorder="1" applyAlignment="1" applyProtection="1">
      <alignment horizontal="center" vertical="center"/>
    </xf>
    <xf numFmtId="195" fontId="14" fillId="0" borderId="1" xfId="0" applyNumberFormat="1" applyFont="1" applyBorder="1" applyAlignment="1" applyProtection="1">
      <alignment vertical="center"/>
      <protection locked="0"/>
    </xf>
    <xf numFmtId="195" fontId="80" fillId="0" borderId="0" xfId="0" applyNumberFormat="1" applyFont="1"/>
    <xf numFmtId="195" fontId="55" fillId="0" borderId="0" xfId="0" applyNumberFormat="1" applyFont="1" applyAlignment="1">
      <alignment horizontal="centerContinuous"/>
    </xf>
    <xf numFmtId="195" fontId="34" fillId="0" borderId="0" xfId="0" applyNumberFormat="1" applyFont="1" applyAlignment="1">
      <alignment horizontal="centerContinuous"/>
    </xf>
    <xf numFmtId="195" fontId="43" fillId="3" borderId="1" xfId="0" applyNumberFormat="1" applyFont="1" applyFill="1" applyBorder="1" applyAlignment="1">
      <alignment horizontal="center" vertical="center" wrapText="1"/>
    </xf>
    <xf numFmtId="195" fontId="10" fillId="0" borderId="1" xfId="0" applyNumberFormat="1" applyFont="1" applyBorder="1" applyAlignment="1">
      <alignment vertical="center"/>
    </xf>
    <xf numFmtId="195" fontId="10" fillId="3" borderId="1" xfId="0" applyNumberFormat="1" applyFont="1" applyFill="1" applyBorder="1" applyAlignment="1">
      <alignment horizontal="center" vertical="center" wrapText="1"/>
    </xf>
    <xf numFmtId="195" fontId="6" fillId="3" borderId="1" xfId="0" applyNumberFormat="1" applyFont="1" applyFill="1" applyBorder="1" applyAlignment="1">
      <alignment horizontal="center" vertical="center" wrapText="1"/>
    </xf>
    <xf numFmtId="195" fontId="10" fillId="0" borderId="1" xfId="0" applyNumberFormat="1" applyFont="1" applyBorder="1" applyAlignment="1" applyProtection="1">
      <alignment horizontal="right" vertical="center"/>
      <protection locked="0"/>
    </xf>
    <xf numFmtId="195" fontId="54" fillId="0" borderId="0" xfId="0" applyNumberFormat="1" applyFont="1" applyAlignment="1">
      <alignment horizontal="centerContinuous"/>
    </xf>
    <xf numFmtId="195" fontId="13" fillId="0" borderId="0" xfId="0" applyNumberFormat="1" applyFont="1" applyAlignment="1">
      <alignment horizontal="centerContinuous"/>
    </xf>
    <xf numFmtId="195" fontId="6" fillId="0" borderId="0" xfId="0" applyNumberFormat="1" applyFont="1"/>
    <xf numFmtId="195" fontId="55" fillId="0" borderId="0" xfId="0" applyNumberFormat="1" applyFont="1"/>
    <xf numFmtId="195" fontId="54" fillId="0" borderId="0" xfId="0" applyNumberFormat="1" applyFont="1" applyAlignment="1">
      <alignment horizontal="center"/>
    </xf>
    <xf numFmtId="195" fontId="37" fillId="0" borderId="0" xfId="0" applyNumberFormat="1" applyFont="1" applyAlignment="1">
      <alignment horizontal="center"/>
    </xf>
    <xf numFmtId="195" fontId="34" fillId="0" borderId="0" xfId="0" applyNumberFormat="1" applyFont="1"/>
    <xf numFmtId="195" fontId="10" fillId="0" borderId="0" xfId="0" applyNumberFormat="1" applyFont="1" applyAlignment="1">
      <alignment vertical="top"/>
    </xf>
    <xf numFmtId="195" fontId="16" fillId="0" borderId="0" xfId="0" applyNumberFormat="1" applyFont="1" applyAlignment="1">
      <alignment vertical="center"/>
    </xf>
    <xf numFmtId="195" fontId="7" fillId="0" borderId="1" xfId="0" applyNumberFormat="1" applyFont="1" applyBorder="1" applyAlignment="1" applyProtection="1">
      <alignment vertical="center" wrapText="1"/>
      <protection locked="0"/>
    </xf>
    <xf numFmtId="195" fontId="0" fillId="0" borderId="1" xfId="0" applyNumberFormat="1" applyBorder="1" applyAlignment="1" applyProtection="1">
      <alignment vertical="center" wrapText="1"/>
      <protection locked="0"/>
    </xf>
    <xf numFmtId="195" fontId="14" fillId="0" borderId="0" xfId="0" applyNumberFormat="1" applyFont="1" applyAlignment="1">
      <alignment vertical="center"/>
    </xf>
    <xf numFmtId="195" fontId="7" fillId="0" borderId="1" xfId="0" applyNumberFormat="1" applyFont="1" applyBorder="1" applyAlignment="1" applyProtection="1">
      <alignment horizontal="center" vertical="center" wrapText="1"/>
      <protection locked="0"/>
    </xf>
    <xf numFmtId="195" fontId="0" fillId="0" borderId="1" xfId="0" applyNumberFormat="1" applyBorder="1" applyAlignment="1" applyProtection="1">
      <alignment horizontal="right" vertical="center" wrapText="1"/>
      <protection locked="0"/>
    </xf>
    <xf numFmtId="195" fontId="0" fillId="0" borderId="1" xfId="0" applyNumberFormat="1" applyBorder="1" applyAlignment="1">
      <alignment vertical="center"/>
    </xf>
    <xf numFmtId="195" fontId="4" fillId="0" borderId="1" xfId="0" applyNumberFormat="1" applyFont="1" applyBorder="1" applyAlignment="1">
      <alignment vertical="center"/>
    </xf>
    <xf numFmtId="195" fontId="0" fillId="0" borderId="1" xfId="0" applyNumberFormat="1" applyBorder="1" applyAlignment="1" applyProtection="1">
      <alignment horizontal="right" vertical="center"/>
      <protection locked="0"/>
    </xf>
    <xf numFmtId="195" fontId="7" fillId="0" borderId="1" xfId="0" applyNumberFormat="1" applyFont="1" applyBorder="1" applyAlignment="1">
      <alignment horizontal="right" vertical="center" wrapText="1"/>
    </xf>
    <xf numFmtId="195" fontId="14" fillId="0" borderId="1" xfId="0" applyNumberFormat="1" applyFont="1" applyBorder="1" applyAlignment="1">
      <alignment vertical="center"/>
    </xf>
    <xf numFmtId="195" fontId="14" fillId="0" borderId="0" xfId="0" applyNumberFormat="1" applyFont="1"/>
    <xf numFmtId="195" fontId="42" fillId="3" borderId="1" xfId="0" applyNumberFormat="1" applyFont="1" applyFill="1" applyBorder="1" applyAlignment="1">
      <alignment vertical="center"/>
    </xf>
    <xf numFmtId="195" fontId="42" fillId="0" borderId="0" xfId="0" applyNumberFormat="1" applyFont="1"/>
    <xf numFmtId="195" fontId="14" fillId="3" borderId="1" xfId="0" applyNumberFormat="1" applyFont="1" applyFill="1" applyBorder="1" applyAlignment="1">
      <alignment vertical="center"/>
    </xf>
    <xf numFmtId="195" fontId="14" fillId="3" borderId="1" xfId="2" applyNumberFormat="1" applyFont="1" applyFill="1" applyBorder="1" applyAlignment="1" applyProtection="1">
      <alignment vertical="center"/>
    </xf>
    <xf numFmtId="195" fontId="14" fillId="3" borderId="1" xfId="0" applyNumberFormat="1" applyFont="1" applyFill="1" applyBorder="1" applyAlignment="1" applyProtection="1">
      <alignment vertical="center"/>
      <protection locked="0"/>
    </xf>
    <xf numFmtId="195" fontId="14" fillId="3" borderId="1" xfId="2" applyNumberFormat="1" applyFont="1" applyFill="1" applyBorder="1" applyAlignment="1" applyProtection="1">
      <alignment vertical="center"/>
      <protection locked="0"/>
    </xf>
    <xf numFmtId="195" fontId="117" fillId="0" borderId="0" xfId="0" applyNumberFormat="1" applyFont="1"/>
    <xf numFmtId="0" fontId="56" fillId="0" borderId="0" xfId="4" applyNumberFormat="1" applyFont="1" applyFill="1" applyBorder="1" applyAlignment="1" applyProtection="1">
      <alignment horizontal="center" vertical="center"/>
    </xf>
    <xf numFmtId="3" fontId="123" fillId="0" borderId="0" xfId="4" applyNumberFormat="1" applyFont="1" applyFill="1" applyBorder="1" applyAlignment="1" applyProtection="1">
      <alignment horizontal="center" vertical="center"/>
    </xf>
    <xf numFmtId="167" fontId="17" fillId="0" borderId="0" xfId="3" applyFont="1" applyFill="1" applyBorder="1" applyAlignment="1" applyProtection="1">
      <alignment horizontal="center" vertical="center"/>
    </xf>
    <xf numFmtId="3" fontId="46" fillId="3" borderId="1" xfId="1291" applyNumberFormat="1" applyFont="1" applyFill="1" applyBorder="1" applyAlignment="1">
      <alignment horizontal="center" vertical="center" textRotation="90" wrapText="1"/>
    </xf>
    <xf numFmtId="49" fontId="22" fillId="0" borderId="1" xfId="1291" applyNumberFormat="1" applyFont="1" applyBorder="1" applyAlignment="1">
      <alignment horizontal="center" vertical="center"/>
    </xf>
    <xf numFmtId="0" fontId="22" fillId="0" borderId="1" xfId="1291" applyFont="1" applyBorder="1" applyAlignment="1">
      <alignment horizontal="left" vertical="center" wrapText="1" indent="1"/>
    </xf>
    <xf numFmtId="195" fontId="22" fillId="0" borderId="1" xfId="1291" applyNumberFormat="1" applyFont="1" applyBorder="1" applyAlignment="1">
      <alignment vertical="center"/>
    </xf>
    <xf numFmtId="49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 indent="1"/>
    </xf>
    <xf numFmtId="195" fontId="46" fillId="0" borderId="1" xfId="0" applyNumberFormat="1" applyFont="1" applyBorder="1" applyAlignment="1">
      <alignment vertical="center"/>
    </xf>
    <xf numFmtId="49" fontId="46" fillId="0" borderId="1" xfId="1291" applyNumberFormat="1" applyFont="1" applyBorder="1" applyAlignment="1">
      <alignment horizontal="center" vertical="center"/>
    </xf>
    <xf numFmtId="0" fontId="46" fillId="0" borderId="1" xfId="1291" applyFont="1" applyBorder="1" applyAlignment="1">
      <alignment horizontal="left" vertical="center" wrapText="1" indent="1"/>
    </xf>
    <xf numFmtId="195" fontId="46" fillId="0" borderId="1" xfId="1291" applyNumberFormat="1" applyFont="1" applyBorder="1" applyAlignment="1">
      <alignment vertical="center"/>
    </xf>
    <xf numFmtId="49" fontId="22" fillId="0" borderId="1" xfId="1291" quotePrefix="1" applyNumberFormat="1" applyFont="1" applyBorder="1" applyAlignment="1">
      <alignment horizontal="center" vertical="center"/>
    </xf>
    <xf numFmtId="3" fontId="22" fillId="0" borderId="1" xfId="1291" applyNumberFormat="1" applyFont="1" applyBorder="1" applyAlignment="1">
      <alignment horizontal="left" vertical="center" indent="1"/>
    </xf>
    <xf numFmtId="172" fontId="22" fillId="0" borderId="1" xfId="2" applyNumberFormat="1" applyFont="1" applyFill="1" applyBorder="1" applyAlignment="1" applyProtection="1">
      <alignment horizontal="center" vertical="center" wrapText="1"/>
    </xf>
    <xf numFmtId="49" fontId="22" fillId="0" borderId="1" xfId="0" quotePrefix="1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left" vertical="center" indent="1"/>
    </xf>
    <xf numFmtId="195" fontId="22" fillId="0" borderId="1" xfId="1291" applyNumberFormat="1" applyFont="1" applyBorder="1" applyAlignment="1">
      <alignment horizontal="center" vertical="center"/>
    </xf>
    <xf numFmtId="172" fontId="46" fillId="0" borderId="1" xfId="2" applyNumberFormat="1" applyFont="1" applyFill="1" applyBorder="1" applyAlignment="1" applyProtection="1">
      <alignment horizontal="center" vertical="center"/>
    </xf>
    <xf numFmtId="195" fontId="46" fillId="0" borderId="1" xfId="1291" applyNumberFormat="1" applyFont="1" applyBorder="1" applyAlignment="1">
      <alignment horizontal="center" vertical="center"/>
    </xf>
    <xf numFmtId="3" fontId="21" fillId="0" borderId="0" xfId="10" applyNumberFormat="1" applyFont="1" applyAlignment="1" applyProtection="1">
      <alignment horizontal="center" vertical="center"/>
    </xf>
    <xf numFmtId="9" fontId="46" fillId="0" borderId="1" xfId="2" applyFont="1" applyFill="1" applyBorder="1" applyAlignment="1" applyProtection="1">
      <alignment horizontal="center" vertical="center" wrapText="1"/>
    </xf>
    <xf numFmtId="0" fontId="22" fillId="0" borderId="0" xfId="1291" applyFont="1"/>
    <xf numFmtId="0" fontId="46" fillId="0" borderId="0" xfId="1291" applyFont="1"/>
    <xf numFmtId="170" fontId="22" fillId="0" borderId="0" xfId="3" applyNumberFormat="1" applyFont="1" applyFill="1" applyProtection="1"/>
    <xf numFmtId="170" fontId="46" fillId="0" borderId="0" xfId="3" applyNumberFormat="1" applyFont="1" applyFill="1" applyProtection="1"/>
    <xf numFmtId="196" fontId="31" fillId="0" borderId="9" xfId="4" applyNumberFormat="1" applyFont="1" applyFill="1" applyBorder="1" applyAlignment="1" applyProtection="1">
      <alignment horizontal="right" wrapText="1"/>
    </xf>
    <xf numFmtId="196" fontId="33" fillId="0" borderId="9" xfId="4" applyNumberFormat="1" applyFont="1" applyFill="1" applyBorder="1" applyAlignment="1" applyProtection="1">
      <alignment wrapText="1"/>
    </xf>
    <xf numFmtId="3" fontId="104" fillId="0" borderId="0" xfId="0" applyNumberFormat="1" applyFont="1" applyAlignment="1">
      <alignment horizontal="center" vertical="center"/>
    </xf>
    <xf numFmtId="0" fontId="46" fillId="0" borderId="0" xfId="1291" applyFont="1" applyAlignment="1">
      <alignment vertical="center"/>
    </xf>
    <xf numFmtId="170" fontId="46" fillId="0" borderId="0" xfId="3" applyNumberFormat="1" applyFont="1" applyAlignment="1" applyProtection="1">
      <alignment vertical="center"/>
    </xf>
    <xf numFmtId="0" fontId="46" fillId="0" borderId="0" xfId="1291" applyFont="1" applyAlignment="1">
      <alignment horizontal="center" vertical="center"/>
    </xf>
    <xf numFmtId="170" fontId="46" fillId="0" borderId="0" xfId="3" applyNumberFormat="1" applyFont="1" applyProtection="1"/>
    <xf numFmtId="195" fontId="46" fillId="0" borderId="1" xfId="7" applyNumberFormat="1" applyFont="1" applyFill="1" applyBorder="1" applyAlignment="1" applyProtection="1">
      <alignment horizontal="right" vertical="center" wrapText="1"/>
    </xf>
    <xf numFmtId="195" fontId="46" fillId="0" borderId="1" xfId="7" applyNumberFormat="1" applyFont="1" applyFill="1" applyBorder="1" applyAlignment="1" applyProtection="1">
      <alignment vertical="center" wrapText="1"/>
      <protection locked="0"/>
    </xf>
    <xf numFmtId="0" fontId="46" fillId="0" borderId="0" xfId="0" applyFont="1"/>
    <xf numFmtId="170" fontId="46" fillId="0" borderId="0" xfId="0" applyNumberFormat="1" applyFont="1"/>
    <xf numFmtId="195" fontId="22" fillId="0" borderId="1" xfId="7" applyNumberFormat="1" applyFont="1" applyFill="1" applyBorder="1" applyAlignment="1" applyProtection="1">
      <alignment horizontal="right" vertical="center" wrapText="1"/>
    </xf>
    <xf numFmtId="195" fontId="22" fillId="0" borderId="1" xfId="7" applyNumberFormat="1" applyFont="1" applyFill="1" applyBorder="1" applyAlignment="1" applyProtection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195" fontId="46" fillId="0" borderId="1" xfId="7" applyNumberFormat="1" applyFont="1" applyFill="1" applyBorder="1" applyAlignment="1" applyProtection="1">
      <alignment vertical="center" wrapText="1"/>
    </xf>
    <xf numFmtId="195" fontId="22" fillId="0" borderId="1" xfId="7" applyNumberFormat="1" applyFont="1" applyFill="1" applyBorder="1" applyAlignment="1" applyProtection="1">
      <alignment vertical="center" wrapText="1"/>
    </xf>
    <xf numFmtId="49" fontId="46" fillId="0" borderId="0" xfId="0" applyNumberFormat="1" applyFont="1"/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center" vertical="center"/>
    </xf>
    <xf numFmtId="0" fontId="15" fillId="0" borderId="0" xfId="5" applyNumberFormat="1" applyFont="1" applyFill="1" applyBorder="1" applyAlignment="1" applyProtection="1">
      <alignment horizontal="center" vertical="top"/>
    </xf>
    <xf numFmtId="0" fontId="57" fillId="0" borderId="0" xfId="4" quotePrefix="1" applyNumberFormat="1" applyFont="1" applyFill="1" applyBorder="1" applyAlignment="1" applyProtection="1">
      <alignment horizontal="center" vertical="top"/>
      <protection locked="0"/>
    </xf>
    <xf numFmtId="9" fontId="46" fillId="0" borderId="1" xfId="0" applyNumberFormat="1" applyFont="1" applyBorder="1" applyAlignment="1" applyProtection="1">
      <alignment vertical="center"/>
      <protection locked="0"/>
    </xf>
    <xf numFmtId="9" fontId="46" fillId="0" borderId="1" xfId="0" applyNumberFormat="1" applyFont="1" applyBorder="1" applyAlignment="1">
      <alignment vertical="center"/>
    </xf>
    <xf numFmtId="0" fontId="126" fillId="0" borderId="0" xfId="0" applyFont="1" applyAlignment="1">
      <alignment horizontal="center"/>
    </xf>
    <xf numFmtId="3" fontId="39" fillId="3" borderId="1" xfId="0" applyNumberFormat="1" applyFont="1" applyFill="1" applyBorder="1" applyAlignment="1">
      <alignment horizontal="center" vertical="center" wrapText="1"/>
    </xf>
    <xf numFmtId="0" fontId="103" fillId="0" borderId="0" xfId="4" applyNumberFormat="1" applyFont="1" applyFill="1" applyBorder="1" applyAlignment="1" applyProtection="1">
      <alignment horizontal="center" vertical="center" wrapText="1"/>
    </xf>
    <xf numFmtId="0" fontId="103" fillId="0" borderId="0" xfId="4" applyNumberFormat="1" applyFont="1" applyFill="1" applyBorder="1" applyAlignment="1" applyProtection="1">
      <alignment horizontal="center" vertical="center"/>
    </xf>
    <xf numFmtId="0" fontId="39" fillId="0" borderId="0" xfId="0" applyFont="1" applyAlignment="1">
      <alignment horizontal="center" vertical="center" wrapText="1"/>
    </xf>
    <xf numFmtId="3" fontId="39" fillId="3" borderId="5" xfId="0" applyNumberFormat="1" applyFont="1" applyFill="1" applyBorder="1" applyAlignment="1">
      <alignment horizontal="center" vertical="center" wrapText="1"/>
    </xf>
    <xf numFmtId="3" fontId="39" fillId="3" borderId="12" xfId="0" applyNumberFormat="1" applyFont="1" applyFill="1" applyBorder="1" applyAlignment="1">
      <alignment horizontal="center" vertical="center" wrapText="1"/>
    </xf>
    <xf numFmtId="3" fontId="39" fillId="3" borderId="3" xfId="0" applyNumberFormat="1" applyFont="1" applyFill="1" applyBorder="1" applyAlignment="1">
      <alignment horizontal="center" vertical="center" wrapText="1"/>
    </xf>
    <xf numFmtId="3" fontId="39" fillId="3" borderId="7" xfId="0" applyNumberFormat="1" applyFont="1" applyFill="1" applyBorder="1" applyAlignment="1">
      <alignment horizontal="center" vertical="center" wrapText="1"/>
    </xf>
    <xf numFmtId="3" fontId="39" fillId="3" borderId="11" xfId="0" applyNumberFormat="1" applyFont="1" applyFill="1" applyBorder="1" applyAlignment="1">
      <alignment horizontal="center" vertical="center" wrapText="1"/>
    </xf>
    <xf numFmtId="3" fontId="39" fillId="3" borderId="15" xfId="0" applyNumberFormat="1" applyFont="1" applyFill="1" applyBorder="1" applyAlignment="1">
      <alignment horizontal="center" vertical="center" wrapText="1"/>
    </xf>
    <xf numFmtId="3" fontId="39" fillId="3" borderId="10" xfId="0" applyNumberFormat="1" applyFont="1" applyFill="1" applyBorder="1" applyAlignment="1">
      <alignment horizontal="center" vertical="center" wrapText="1"/>
    </xf>
    <xf numFmtId="3" fontId="39" fillId="3" borderId="0" xfId="0" applyNumberFormat="1" applyFont="1" applyFill="1" applyAlignment="1">
      <alignment horizontal="center" vertical="center" wrapText="1"/>
    </xf>
    <xf numFmtId="3" fontId="39" fillId="3" borderId="13" xfId="0" applyNumberFormat="1" applyFont="1" applyFill="1" applyBorder="1" applyAlignment="1">
      <alignment horizontal="center" vertical="center" wrapText="1"/>
    </xf>
    <xf numFmtId="3" fontId="39" fillId="3" borderId="2" xfId="0" applyNumberFormat="1" applyFont="1" applyFill="1" applyBorder="1" applyAlignment="1">
      <alignment horizontal="center" vertical="center" wrapText="1"/>
    </xf>
    <xf numFmtId="3" fontId="39" fillId="3" borderId="9" xfId="0" applyNumberFormat="1" applyFont="1" applyFill="1" applyBorder="1" applyAlignment="1">
      <alignment horizontal="center" vertical="center" wrapText="1"/>
    </xf>
    <xf numFmtId="3" fontId="39" fillId="3" borderId="14" xfId="0" applyNumberFormat="1" applyFont="1" applyFill="1" applyBorder="1" applyAlignment="1">
      <alignment horizontal="center" vertical="center" wrapText="1"/>
    </xf>
    <xf numFmtId="3" fontId="39" fillId="3" borderId="4" xfId="0" applyNumberFormat="1" applyFont="1" applyFill="1" applyBorder="1" applyAlignment="1">
      <alignment horizontal="center" vertical="center" wrapText="1"/>
    </xf>
    <xf numFmtId="3" fontId="39" fillId="3" borderId="8" xfId="0" applyNumberFormat="1" applyFont="1" applyFill="1" applyBorder="1" applyAlignment="1">
      <alignment horizontal="center" vertical="center" wrapText="1"/>
    </xf>
    <xf numFmtId="3" fontId="39" fillId="3" borderId="6" xfId="0" applyNumberFormat="1" applyFont="1" applyFill="1" applyBorder="1" applyAlignment="1">
      <alignment horizontal="center" vertical="center" wrapText="1"/>
    </xf>
    <xf numFmtId="196" fontId="36" fillId="0" borderId="9" xfId="4" applyNumberFormat="1" applyFont="1" applyFill="1" applyBorder="1" applyAlignment="1" applyProtection="1">
      <alignment horizontal="center" wrapText="1"/>
      <protection locked="0"/>
    </xf>
    <xf numFmtId="0" fontId="4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 wrapText="1"/>
    </xf>
    <xf numFmtId="3" fontId="14" fillId="3" borderId="5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/>
    </xf>
    <xf numFmtId="3" fontId="14" fillId="3" borderId="3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>
      <alignment horizontal="center" vertical="center" wrapText="1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3" xfId="0" applyNumberFormat="1" applyFont="1" applyFill="1" applyBorder="1" applyAlignment="1">
      <alignment horizontal="center" vertical="center" wrapText="1"/>
    </xf>
    <xf numFmtId="3" fontId="14" fillId="3" borderId="4" xfId="0" applyNumberFormat="1" applyFont="1" applyFill="1" applyBorder="1" applyAlignment="1">
      <alignment horizontal="center" vertical="center" wrapText="1"/>
    </xf>
    <xf numFmtId="3" fontId="14" fillId="3" borderId="6" xfId="0" applyNumberFormat="1" applyFont="1" applyFill="1" applyBorder="1" applyAlignment="1">
      <alignment horizontal="center" vertical="center" wrapText="1"/>
    </xf>
    <xf numFmtId="196" fontId="86" fillId="0" borderId="9" xfId="4" applyNumberFormat="1" applyFont="1" applyFill="1" applyBorder="1" applyAlignment="1" applyProtection="1">
      <alignment horizontal="center" wrapText="1"/>
    </xf>
    <xf numFmtId="3" fontId="14" fillId="3" borderId="1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>
      <alignment horizontal="center" vertical="center" textRotation="90" wrapText="1"/>
    </xf>
    <xf numFmtId="3" fontId="14" fillId="3" borderId="3" xfId="0" applyNumberFormat="1" applyFont="1" applyFill="1" applyBorder="1" applyAlignment="1">
      <alignment horizontal="center" vertical="center" textRotation="90" wrapText="1"/>
    </xf>
    <xf numFmtId="195" fontId="43" fillId="3" borderId="4" xfId="0" applyNumberFormat="1" applyFont="1" applyFill="1" applyBorder="1" applyAlignment="1">
      <alignment horizontal="center" vertical="center" wrapText="1"/>
    </xf>
    <xf numFmtId="195" fontId="43" fillId="3" borderId="6" xfId="0" applyNumberFormat="1" applyFont="1" applyFill="1" applyBorder="1" applyAlignment="1">
      <alignment horizontal="center" vertical="center" wrapText="1"/>
    </xf>
    <xf numFmtId="195" fontId="43" fillId="3" borderId="8" xfId="0" applyNumberFormat="1" applyFont="1" applyFill="1" applyBorder="1" applyAlignment="1">
      <alignment horizontal="center" vertical="center" wrapText="1"/>
    </xf>
    <xf numFmtId="196" fontId="17" fillId="0" borderId="9" xfId="4" applyNumberFormat="1" applyFont="1" applyFill="1" applyBorder="1" applyAlignment="1" applyProtection="1">
      <alignment horizontal="center" wrapText="1"/>
    </xf>
    <xf numFmtId="195" fontId="43" fillId="3" borderId="7" xfId="0" applyNumberFormat="1" applyFont="1" applyFill="1" applyBorder="1" applyAlignment="1">
      <alignment horizontal="center" vertical="center" wrapText="1"/>
    </xf>
    <xf numFmtId="195" fontId="43" fillId="3" borderId="15" xfId="0" applyNumberFormat="1" applyFont="1" applyFill="1" applyBorder="1" applyAlignment="1">
      <alignment horizontal="center" vertical="center" wrapText="1"/>
    </xf>
    <xf numFmtId="195" fontId="43" fillId="3" borderId="2" xfId="0" applyNumberFormat="1" applyFont="1" applyFill="1" applyBorder="1" applyAlignment="1">
      <alignment horizontal="center" vertical="center" wrapText="1"/>
    </xf>
    <xf numFmtId="195" fontId="43" fillId="3" borderId="14" xfId="0" applyNumberFormat="1" applyFont="1" applyFill="1" applyBorder="1" applyAlignment="1">
      <alignment horizontal="center" vertical="center" wrapText="1"/>
    </xf>
    <xf numFmtId="3" fontId="43" fillId="3" borderId="5" xfId="0" applyNumberFormat="1" applyFont="1" applyFill="1" applyBorder="1" applyAlignment="1">
      <alignment horizontal="center" vertical="center" wrapText="1"/>
    </xf>
    <xf numFmtId="3" fontId="43" fillId="3" borderId="12" xfId="0" applyNumberFormat="1" applyFont="1" applyFill="1" applyBorder="1" applyAlignment="1">
      <alignment horizontal="center" vertical="center" wrapText="1"/>
    </xf>
    <xf numFmtId="3" fontId="43" fillId="3" borderId="3" xfId="0" applyNumberFormat="1" applyFont="1" applyFill="1" applyBorder="1" applyAlignment="1">
      <alignment horizontal="center" vertical="center" wrapText="1"/>
    </xf>
    <xf numFmtId="195" fontId="43" fillId="3" borderId="5" xfId="0" applyNumberFormat="1" applyFont="1" applyFill="1" applyBorder="1" applyAlignment="1">
      <alignment horizontal="center" vertical="center" wrapText="1"/>
    </xf>
    <xf numFmtId="195" fontId="43" fillId="3" borderId="12" xfId="0" applyNumberFormat="1" applyFont="1" applyFill="1" applyBorder="1" applyAlignment="1">
      <alignment horizontal="center" vertical="center" wrapText="1"/>
    </xf>
    <xf numFmtId="195" fontId="43" fillId="3" borderId="3" xfId="0" applyNumberFormat="1" applyFont="1" applyFill="1" applyBorder="1" applyAlignment="1">
      <alignment horizontal="center" vertical="center" wrapText="1"/>
    </xf>
    <xf numFmtId="196" fontId="86" fillId="0" borderId="9" xfId="4" applyNumberFormat="1" applyFont="1" applyFill="1" applyBorder="1" applyAlignment="1" applyProtection="1">
      <alignment horizontal="center" vertical="center" wrapText="1"/>
    </xf>
    <xf numFmtId="3" fontId="7" fillId="0" borderId="5" xfId="0" quotePrefix="1" applyNumberFormat="1" applyFont="1" applyBorder="1" applyAlignment="1">
      <alignment horizontal="center" vertical="center"/>
    </xf>
    <xf numFmtId="3" fontId="7" fillId="0" borderId="3" xfId="0" quotePrefix="1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 textRotation="90" wrapText="1"/>
    </xf>
    <xf numFmtId="3" fontId="7" fillId="0" borderId="3" xfId="0" applyNumberFormat="1" applyFont="1" applyBorder="1" applyAlignment="1">
      <alignment horizontal="center" vertical="center" textRotation="90" wrapText="1"/>
    </xf>
    <xf numFmtId="3" fontId="29" fillId="0" borderId="4" xfId="0" applyNumberFormat="1" applyFont="1" applyBorder="1" applyAlignment="1">
      <alignment horizontal="center" vertical="center" wrapText="1"/>
    </xf>
    <xf numFmtId="3" fontId="29" fillId="0" borderId="8" xfId="0" applyNumberFormat="1" applyFont="1" applyBorder="1" applyAlignment="1">
      <alignment horizontal="center" vertical="center" wrapText="1"/>
    </xf>
    <xf numFmtId="196" fontId="31" fillId="0" borderId="9" xfId="4" applyNumberFormat="1" applyFont="1" applyFill="1" applyBorder="1" applyAlignment="1" applyProtection="1">
      <alignment horizontal="center" wrapText="1"/>
    </xf>
    <xf numFmtId="3" fontId="42" fillId="3" borderId="5" xfId="0" applyNumberFormat="1" applyFont="1" applyFill="1" applyBorder="1" applyAlignment="1">
      <alignment horizontal="center" vertical="center" textRotation="90" wrapText="1"/>
    </xf>
    <xf numFmtId="3" fontId="42" fillId="3" borderId="12" xfId="0" applyNumberFormat="1" applyFont="1" applyFill="1" applyBorder="1" applyAlignment="1">
      <alignment horizontal="center" vertical="center" textRotation="90" wrapText="1"/>
    </xf>
    <xf numFmtId="3" fontId="42" fillId="3" borderId="3" xfId="0" applyNumberFormat="1" applyFont="1" applyFill="1" applyBorder="1" applyAlignment="1">
      <alignment horizontal="center" vertical="center" textRotation="90" wrapText="1"/>
    </xf>
    <xf numFmtId="3" fontId="51" fillId="3" borderId="4" xfId="0" applyNumberFormat="1" applyFont="1" applyFill="1" applyBorder="1" applyAlignment="1">
      <alignment horizontal="center" vertical="center" wrapText="1"/>
    </xf>
    <xf numFmtId="3" fontId="51" fillId="3" borderId="8" xfId="0" applyNumberFormat="1" applyFont="1" applyFill="1" applyBorder="1" applyAlignment="1">
      <alignment horizontal="center" vertical="center" wrapText="1"/>
    </xf>
    <xf numFmtId="3" fontId="51" fillId="3" borderId="6" xfId="0" applyNumberFormat="1" applyFont="1" applyFill="1" applyBorder="1" applyAlignment="1">
      <alignment horizontal="center" vertical="center" wrapText="1"/>
    </xf>
    <xf numFmtId="3" fontId="42" fillId="3" borderId="4" xfId="0" applyNumberFormat="1" applyFont="1" applyFill="1" applyBorder="1" applyAlignment="1">
      <alignment horizontal="center" vertical="center" textRotation="90" wrapText="1"/>
    </xf>
    <xf numFmtId="3" fontId="42" fillId="3" borderId="6" xfId="0" applyNumberFormat="1" applyFont="1" applyFill="1" applyBorder="1" applyAlignment="1">
      <alignment horizontal="center" vertical="center" textRotation="90" wrapText="1"/>
    </xf>
    <xf numFmtId="0" fontId="17" fillId="0" borderId="0" xfId="0" applyFont="1" applyAlignment="1">
      <alignment horizontal="left" indent="1"/>
    </xf>
    <xf numFmtId="3" fontId="4" fillId="0" borderId="9" xfId="0" applyNumberFormat="1" applyFont="1" applyBorder="1" applyAlignment="1">
      <alignment horizontal="center"/>
    </xf>
    <xf numFmtId="0" fontId="37" fillId="0" borderId="0" xfId="0" applyFont="1" applyAlignment="1">
      <alignment horizontal="center" vertical="center"/>
    </xf>
    <xf numFmtId="3" fontId="42" fillId="3" borderId="5" xfId="0" applyNumberFormat="1" applyFont="1" applyFill="1" applyBorder="1" applyAlignment="1">
      <alignment horizontal="center" vertical="center" wrapText="1"/>
    </xf>
    <xf numFmtId="3" fontId="42" fillId="3" borderId="12" xfId="0" applyNumberFormat="1" applyFont="1" applyFill="1" applyBorder="1" applyAlignment="1">
      <alignment horizontal="center" vertical="center" wrapText="1"/>
    </xf>
    <xf numFmtId="3" fontId="42" fillId="3" borderId="3" xfId="0" applyNumberFormat="1" applyFont="1" applyFill="1" applyBorder="1" applyAlignment="1">
      <alignment horizontal="center" vertical="center" wrapText="1"/>
    </xf>
    <xf numFmtId="171" fontId="0" fillId="0" borderId="9" xfId="0" applyNumberFormat="1" applyBorder="1" applyAlignment="1">
      <alignment horizontal="center"/>
    </xf>
    <xf numFmtId="3" fontId="42" fillId="3" borderId="4" xfId="0" applyNumberFormat="1" applyFont="1" applyFill="1" applyBorder="1" applyAlignment="1">
      <alignment horizontal="center" vertical="center" wrapText="1"/>
    </xf>
    <xf numFmtId="3" fontId="42" fillId="3" borderId="6" xfId="0" applyNumberFormat="1" applyFont="1" applyFill="1" applyBorder="1" applyAlignment="1">
      <alignment horizontal="center" vertical="center" wrapText="1"/>
    </xf>
    <xf numFmtId="3" fontId="42" fillId="3" borderId="7" xfId="0" applyNumberFormat="1" applyFont="1" applyFill="1" applyBorder="1" applyAlignment="1">
      <alignment horizontal="center" vertical="center" wrapText="1"/>
    </xf>
    <xf numFmtId="3" fontId="42" fillId="3" borderId="15" xfId="0" applyNumberFormat="1" applyFont="1" applyFill="1" applyBorder="1" applyAlignment="1">
      <alignment horizontal="center" vertical="center" wrapText="1"/>
    </xf>
    <xf numFmtId="3" fontId="42" fillId="3" borderId="2" xfId="0" applyNumberFormat="1" applyFont="1" applyFill="1" applyBorder="1" applyAlignment="1">
      <alignment horizontal="center" vertical="center" wrapText="1"/>
    </xf>
    <xf numFmtId="3" fontId="42" fillId="3" borderId="14" xfId="0" applyNumberFormat="1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left" vertical="center" wrapText="1" indent="1"/>
    </xf>
    <xf numFmtId="3" fontId="7" fillId="0" borderId="8" xfId="0" applyNumberFormat="1" applyFont="1" applyBorder="1" applyAlignment="1">
      <alignment horizontal="left" vertical="center" wrapText="1" indent="1"/>
    </xf>
    <xf numFmtId="3" fontId="7" fillId="0" borderId="6" xfId="0" applyNumberFormat="1" applyFont="1" applyBorder="1" applyAlignment="1">
      <alignment horizontal="left" vertical="center" wrapText="1" indent="1"/>
    </xf>
    <xf numFmtId="196" fontId="31" fillId="0" borderId="9" xfId="4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>
      <alignment horizontal="left" wrapText="1" indent="2"/>
    </xf>
    <xf numFmtId="3" fontId="7" fillId="0" borderId="8" xfId="0" applyNumberFormat="1" applyFont="1" applyBorder="1" applyAlignment="1">
      <alignment horizontal="left" wrapText="1" indent="2"/>
    </xf>
    <xf numFmtId="3" fontId="7" fillId="0" borderId="6" xfId="0" applyNumberFormat="1" applyFont="1" applyBorder="1" applyAlignment="1">
      <alignment horizontal="left" wrapText="1" indent="2"/>
    </xf>
    <xf numFmtId="3" fontId="6" fillId="0" borderId="0" xfId="0" applyNumberFormat="1" applyFont="1" applyAlignment="1">
      <alignment horizontal="center" vertical="center" wrapText="1"/>
    </xf>
    <xf numFmtId="14" fontId="42" fillId="3" borderId="5" xfId="0" applyNumberFormat="1" applyFont="1" applyFill="1" applyBorder="1" applyAlignment="1">
      <alignment horizontal="center" vertical="center" wrapText="1"/>
    </xf>
    <xf numFmtId="14" fontId="42" fillId="3" borderId="12" xfId="0" applyNumberFormat="1" applyFont="1" applyFill="1" applyBorder="1" applyAlignment="1">
      <alignment horizontal="center" vertical="center" wrapText="1"/>
    </xf>
    <xf numFmtId="14" fontId="42" fillId="3" borderId="3" xfId="0" applyNumberFormat="1" applyFont="1" applyFill="1" applyBorder="1" applyAlignment="1">
      <alignment horizontal="center" vertical="center" wrapText="1"/>
    </xf>
    <xf numFmtId="3" fontId="42" fillId="3" borderId="8" xfId="0" applyNumberFormat="1" applyFont="1" applyFill="1" applyBorder="1" applyAlignment="1">
      <alignment horizontal="center" vertical="center" wrapText="1"/>
    </xf>
    <xf numFmtId="3" fontId="42" fillId="3" borderId="10" xfId="0" applyNumberFormat="1" applyFont="1" applyFill="1" applyBorder="1" applyAlignment="1">
      <alignment horizontal="center" vertical="center" wrapText="1"/>
    </xf>
    <xf numFmtId="3" fontId="42" fillId="3" borderId="13" xfId="0" applyNumberFormat="1" applyFont="1" applyFill="1" applyBorder="1" applyAlignment="1">
      <alignment horizontal="center" vertical="center" wrapText="1"/>
    </xf>
    <xf numFmtId="3" fontId="42" fillId="3" borderId="9" xfId="0" applyNumberFormat="1" applyFont="1" applyFill="1" applyBorder="1" applyAlignment="1">
      <alignment horizontal="center" vertical="center" wrapText="1"/>
    </xf>
    <xf numFmtId="3" fontId="17" fillId="3" borderId="5" xfId="0" applyNumberFormat="1" applyFont="1" applyFill="1" applyBorder="1" applyAlignment="1">
      <alignment horizontal="center" vertical="center" wrapText="1"/>
    </xf>
    <xf numFmtId="3" fontId="17" fillId="3" borderId="12" xfId="0" applyNumberFormat="1" applyFont="1" applyFill="1" applyBorder="1" applyAlignment="1">
      <alignment horizontal="center" vertical="center" wrapText="1"/>
    </xf>
    <xf numFmtId="3" fontId="17" fillId="3" borderId="3" xfId="0" applyNumberFormat="1" applyFont="1" applyFill="1" applyBorder="1" applyAlignment="1">
      <alignment horizontal="center" vertical="center" wrapText="1"/>
    </xf>
    <xf numFmtId="0" fontId="40" fillId="0" borderId="0" xfId="5" applyNumberFormat="1" applyFont="1" applyFill="1" applyBorder="1" applyAlignment="1" applyProtection="1">
      <alignment horizontal="center" vertical="center" wrapText="1"/>
    </xf>
    <xf numFmtId="0" fontId="15" fillId="0" borderId="0" xfId="5" applyNumberFormat="1" applyFont="1" applyFill="1" applyBorder="1" applyAlignment="1" applyProtection="1">
      <alignment horizontal="center" vertical="center"/>
    </xf>
    <xf numFmtId="3" fontId="17" fillId="3" borderId="7" xfId="0" applyNumberFormat="1" applyFont="1" applyFill="1" applyBorder="1" applyAlignment="1">
      <alignment horizontal="center" vertical="center" wrapText="1"/>
    </xf>
    <xf numFmtId="3" fontId="17" fillId="3" borderId="15" xfId="0" applyNumberFormat="1" applyFont="1" applyFill="1" applyBorder="1" applyAlignment="1">
      <alignment horizontal="center" vertical="center" wrapText="1"/>
    </xf>
    <xf numFmtId="3" fontId="17" fillId="3" borderId="2" xfId="0" applyNumberFormat="1" applyFont="1" applyFill="1" applyBorder="1" applyAlignment="1">
      <alignment horizontal="center" vertical="center" wrapText="1"/>
    </xf>
    <xf numFmtId="3" fontId="17" fillId="3" borderId="14" xfId="0" applyNumberFormat="1" applyFont="1" applyFill="1" applyBorder="1" applyAlignment="1">
      <alignment horizontal="center" vertical="center" wrapText="1"/>
    </xf>
    <xf numFmtId="3" fontId="17" fillId="3" borderId="4" xfId="0" applyNumberFormat="1" applyFont="1" applyFill="1" applyBorder="1" applyAlignment="1">
      <alignment horizontal="center" vertical="center" wrapText="1"/>
    </xf>
    <xf numFmtId="3" fontId="17" fillId="3" borderId="8" xfId="0" applyNumberFormat="1" applyFont="1" applyFill="1" applyBorder="1" applyAlignment="1">
      <alignment horizontal="center" vertical="center" wrapText="1"/>
    </xf>
    <xf numFmtId="3" fontId="17" fillId="3" borderId="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95" fontId="36" fillId="3" borderId="1" xfId="0" applyNumberFormat="1" applyFont="1" applyFill="1" applyBorder="1" applyAlignment="1">
      <alignment horizontal="center" vertical="center" wrapText="1"/>
    </xf>
    <xf numFmtId="0" fontId="109" fillId="0" borderId="0" xfId="9" applyNumberFormat="1" applyFont="1" applyFill="1" applyBorder="1" applyAlignment="1" applyProtection="1">
      <alignment horizontal="center" vertical="center" wrapText="1"/>
    </xf>
    <xf numFmtId="195" fontId="109" fillId="0" borderId="0" xfId="9" applyNumberFormat="1" applyFont="1" applyFill="1" applyBorder="1" applyAlignment="1" applyProtection="1">
      <alignment horizontal="center" vertical="center" wrapText="1"/>
    </xf>
    <xf numFmtId="3" fontId="36" fillId="3" borderId="5" xfId="0" applyNumberFormat="1" applyFont="1" applyFill="1" applyBorder="1" applyAlignment="1">
      <alignment horizontal="center" vertical="center" wrapText="1"/>
    </xf>
    <xf numFmtId="3" fontId="36" fillId="3" borderId="12" xfId="0" applyNumberFormat="1" applyFont="1" applyFill="1" applyBorder="1" applyAlignment="1">
      <alignment horizontal="center" vertical="center" wrapText="1"/>
    </xf>
    <xf numFmtId="3" fontId="36" fillId="3" borderId="3" xfId="0" applyNumberFormat="1" applyFont="1" applyFill="1" applyBorder="1" applyAlignment="1">
      <alignment horizontal="center" vertical="center" wrapText="1"/>
    </xf>
    <xf numFmtId="195" fontId="36" fillId="3" borderId="7" xfId="0" applyNumberFormat="1" applyFont="1" applyFill="1" applyBorder="1" applyAlignment="1">
      <alignment horizontal="center" vertical="center" wrapText="1"/>
    </xf>
    <xf numFmtId="3" fontId="36" fillId="3" borderId="11" xfId="0" applyNumberFormat="1" applyFont="1" applyFill="1" applyBorder="1" applyAlignment="1">
      <alignment horizontal="center" vertical="center" wrapText="1"/>
    </xf>
    <xf numFmtId="195" fontId="36" fillId="3" borderId="11" xfId="0" applyNumberFormat="1" applyFont="1" applyFill="1" applyBorder="1" applyAlignment="1">
      <alignment horizontal="center" vertical="center" wrapText="1"/>
    </xf>
    <xf numFmtId="3" fontId="36" fillId="3" borderId="15" xfId="0" applyNumberFormat="1" applyFont="1" applyFill="1" applyBorder="1" applyAlignment="1">
      <alignment horizontal="center" vertical="center" wrapText="1"/>
    </xf>
    <xf numFmtId="195" fontId="36" fillId="3" borderId="2" xfId="0" applyNumberFormat="1" applyFont="1" applyFill="1" applyBorder="1" applyAlignment="1">
      <alignment horizontal="center" vertical="center" wrapText="1"/>
    </xf>
    <xf numFmtId="3" fontId="36" fillId="3" borderId="9" xfId="0" applyNumberFormat="1" applyFont="1" applyFill="1" applyBorder="1" applyAlignment="1">
      <alignment horizontal="center" vertical="center" wrapText="1"/>
    </xf>
    <xf numFmtId="195" fontId="36" fillId="3" borderId="9" xfId="0" applyNumberFormat="1" applyFont="1" applyFill="1" applyBorder="1" applyAlignment="1">
      <alignment horizontal="center" vertical="center" wrapText="1"/>
    </xf>
    <xf numFmtId="3" fontId="36" fillId="3" borderId="14" xfId="0" applyNumberFormat="1" applyFont="1" applyFill="1" applyBorder="1" applyAlignment="1">
      <alignment horizontal="center" vertical="center" wrapText="1"/>
    </xf>
    <xf numFmtId="195" fontId="36" fillId="3" borderId="4" xfId="0" applyNumberFormat="1" applyFont="1" applyFill="1" applyBorder="1" applyAlignment="1">
      <alignment horizontal="center" vertical="center" wrapText="1"/>
    </xf>
    <xf numFmtId="195" fontId="36" fillId="3" borderId="8" xfId="0" applyNumberFormat="1" applyFont="1" applyFill="1" applyBorder="1" applyAlignment="1">
      <alignment horizontal="center" vertical="center" wrapText="1"/>
    </xf>
    <xf numFmtId="195" fontId="36" fillId="3" borderId="6" xfId="0" applyNumberFormat="1" applyFont="1" applyFill="1" applyBorder="1" applyAlignment="1">
      <alignment horizontal="center" vertical="center" wrapText="1"/>
    </xf>
    <xf numFmtId="195" fontId="36" fillId="3" borderId="15" xfId="0" applyNumberFormat="1" applyFont="1" applyFill="1" applyBorder="1" applyAlignment="1">
      <alignment horizontal="center" vertical="center" wrapText="1"/>
    </xf>
    <xf numFmtId="195" fontId="36" fillId="3" borderId="14" xfId="0" applyNumberFormat="1" applyFont="1" applyFill="1" applyBorder="1" applyAlignment="1">
      <alignment horizontal="center" vertical="center" wrapText="1"/>
    </xf>
    <xf numFmtId="195" fontId="36" fillId="3" borderId="5" xfId="0" applyNumberFormat="1" applyFont="1" applyFill="1" applyBorder="1" applyAlignment="1">
      <alignment horizontal="center" vertical="center" wrapText="1"/>
    </xf>
    <xf numFmtId="195" fontId="36" fillId="3" borderId="12" xfId="0" applyNumberFormat="1" applyFont="1" applyFill="1" applyBorder="1" applyAlignment="1">
      <alignment horizontal="center" vertical="center" wrapText="1"/>
    </xf>
    <xf numFmtId="195" fontId="36" fillId="3" borderId="3" xfId="0" applyNumberFormat="1" applyFont="1" applyFill="1" applyBorder="1" applyAlignment="1">
      <alignment horizontal="center" vertical="center" wrapText="1"/>
    </xf>
    <xf numFmtId="3" fontId="46" fillId="3" borderId="4" xfId="1291" applyNumberFormat="1" applyFont="1" applyFill="1" applyBorder="1" applyAlignment="1">
      <alignment horizontal="center" vertical="center" wrapText="1"/>
    </xf>
    <xf numFmtId="3" fontId="46" fillId="3" borderId="8" xfId="1291" applyNumberFormat="1" applyFont="1" applyFill="1" applyBorder="1" applyAlignment="1">
      <alignment horizontal="center" vertical="center" wrapText="1"/>
    </xf>
    <xf numFmtId="3" fontId="46" fillId="3" borderId="6" xfId="1291" applyNumberFormat="1" applyFont="1" applyFill="1" applyBorder="1" applyAlignment="1">
      <alignment horizontal="center" vertical="center" wrapText="1"/>
    </xf>
    <xf numFmtId="3" fontId="46" fillId="3" borderId="1" xfId="1291" applyNumberFormat="1" applyFont="1" applyFill="1" applyBorder="1" applyAlignment="1">
      <alignment horizontal="center" vertical="center" wrapText="1"/>
    </xf>
    <xf numFmtId="3" fontId="46" fillId="3" borderId="5" xfId="1291" applyNumberFormat="1" applyFont="1" applyFill="1" applyBorder="1" applyAlignment="1">
      <alignment horizontal="center" vertical="center" textRotation="90" wrapText="1"/>
    </xf>
    <xf numFmtId="3" fontId="46" fillId="3" borderId="3" xfId="1291" applyNumberFormat="1" applyFont="1" applyFill="1" applyBorder="1" applyAlignment="1">
      <alignment horizontal="center" vertical="center" textRotation="90" wrapText="1"/>
    </xf>
    <xf numFmtId="0" fontId="103" fillId="0" borderId="0" xfId="1291" applyFont="1" applyAlignment="1">
      <alignment horizontal="center" vertical="center"/>
    </xf>
    <xf numFmtId="3" fontId="15" fillId="0" borderId="0" xfId="1291" applyNumberFormat="1" applyFont="1" applyAlignment="1">
      <alignment horizontal="center" vertical="center" wrapText="1"/>
    </xf>
    <xf numFmtId="196" fontId="18" fillId="0" borderId="9" xfId="4" applyNumberFormat="1" applyFont="1" applyFill="1" applyBorder="1" applyAlignment="1" applyProtection="1">
      <alignment horizontal="center" wrapText="1"/>
    </xf>
    <xf numFmtId="3" fontId="46" fillId="3" borderId="10" xfId="1291" applyNumberFormat="1" applyFont="1" applyFill="1" applyBorder="1" applyAlignment="1">
      <alignment horizontal="center" vertical="center" wrapText="1"/>
    </xf>
    <xf numFmtId="3" fontId="46" fillId="3" borderId="0" xfId="1291" applyNumberFormat="1" applyFont="1" applyFill="1" applyAlignment="1">
      <alignment horizontal="center" vertical="center" wrapText="1"/>
    </xf>
    <xf numFmtId="3" fontId="46" fillId="3" borderId="11" xfId="1291" applyNumberFormat="1" applyFont="1" applyFill="1" applyBorder="1" applyAlignment="1">
      <alignment horizontal="center" vertical="center" wrapText="1"/>
    </xf>
    <xf numFmtId="3" fontId="46" fillId="3" borderId="15" xfId="1291" applyNumberFormat="1" applyFont="1" applyFill="1" applyBorder="1" applyAlignment="1">
      <alignment horizontal="center" vertical="center" wrapText="1"/>
    </xf>
    <xf numFmtId="3" fontId="46" fillId="3" borderId="2" xfId="1291" applyNumberFormat="1" applyFont="1" applyFill="1" applyBorder="1" applyAlignment="1">
      <alignment horizontal="center" vertical="center" wrapText="1"/>
    </xf>
    <xf numFmtId="3" fontId="46" fillId="3" borderId="9" xfId="1291" applyNumberFormat="1" applyFont="1" applyFill="1" applyBorder="1" applyAlignment="1">
      <alignment horizontal="center" vertical="center" wrapText="1"/>
    </xf>
    <xf numFmtId="3" fontId="46" fillId="3" borderId="14" xfId="129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9" fontId="9" fillId="0" borderId="5" xfId="0" applyNumberFormat="1" applyFont="1" applyBorder="1" applyAlignment="1">
      <alignment horizontal="center" vertical="center"/>
    </xf>
    <xf numFmtId="169" fontId="4" fillId="0" borderId="12" xfId="0" applyNumberFormat="1" applyFont="1" applyBorder="1" applyAlignment="1">
      <alignment horizontal="center" vertical="center"/>
    </xf>
    <xf numFmtId="0" fontId="107" fillId="0" borderId="7" xfId="0" applyFont="1" applyBorder="1" applyAlignment="1">
      <alignment horizontal="center" vertical="center"/>
    </xf>
    <xf numFmtId="0" fontId="107" fillId="0" borderId="11" xfId="0" applyFont="1" applyBorder="1" applyAlignment="1">
      <alignment horizontal="center" vertical="center"/>
    </xf>
    <xf numFmtId="0" fontId="107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9" fontId="9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7" fillId="0" borderId="4" xfId="0" applyFont="1" applyBorder="1" applyAlignment="1">
      <alignment horizontal="center" vertical="center" wrapText="1"/>
    </xf>
    <xf numFmtId="0" fontId="107" fillId="0" borderId="8" xfId="0" applyFont="1" applyBorder="1" applyAlignment="1">
      <alignment horizontal="center" vertical="center" wrapText="1"/>
    </xf>
    <xf numFmtId="0" fontId="107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7" fillId="0" borderId="4" xfId="0" applyFont="1" applyBorder="1" applyAlignment="1">
      <alignment horizontal="center" vertical="center"/>
    </xf>
    <xf numFmtId="0" fontId="107" fillId="0" borderId="8" xfId="0" applyFont="1" applyBorder="1" applyAlignment="1">
      <alignment horizontal="center" vertical="center"/>
    </xf>
    <xf numFmtId="0" fontId="107" fillId="0" borderId="6" xfId="0" applyFont="1" applyBorder="1" applyAlignment="1">
      <alignment horizontal="center" vertical="center"/>
    </xf>
    <xf numFmtId="0" fontId="107" fillId="0" borderId="7" xfId="0" applyFont="1" applyBorder="1" applyAlignment="1">
      <alignment horizontal="center"/>
    </xf>
    <xf numFmtId="0" fontId="107" fillId="0" borderId="11" xfId="0" applyFont="1" applyBorder="1" applyAlignment="1">
      <alignment horizontal="center"/>
    </xf>
    <xf numFmtId="0" fontId="107" fillId="0" borderId="15" xfId="0" applyFont="1" applyBorder="1" applyAlignment="1">
      <alignment horizontal="center"/>
    </xf>
    <xf numFmtId="0" fontId="107" fillId="0" borderId="7" xfId="0" applyFont="1" applyBorder="1" applyAlignment="1">
      <alignment horizontal="center" vertical="center" wrapText="1"/>
    </xf>
    <xf numFmtId="0" fontId="107" fillId="0" borderId="11" xfId="0" quotePrefix="1" applyFont="1" applyBorder="1" applyAlignment="1">
      <alignment horizontal="center" vertical="center" wrapText="1"/>
    </xf>
    <xf numFmtId="0" fontId="107" fillId="0" borderId="15" xfId="0" quotePrefix="1" applyFont="1" applyBorder="1" applyAlignment="1">
      <alignment horizontal="center" vertical="center" wrapText="1"/>
    </xf>
    <xf numFmtId="0" fontId="107" fillId="0" borderId="4" xfId="0" applyFont="1" applyBorder="1" applyAlignment="1">
      <alignment horizontal="center"/>
    </xf>
    <xf numFmtId="0" fontId="107" fillId="0" borderId="8" xfId="0" applyFont="1" applyBorder="1" applyAlignment="1">
      <alignment horizontal="center"/>
    </xf>
    <xf numFmtId="0" fontId="107" fillId="0" borderId="6" xfId="0" applyFont="1" applyBorder="1" applyAlignment="1">
      <alignment horizontal="center"/>
    </xf>
    <xf numFmtId="0" fontId="107" fillId="0" borderId="4" xfId="0" quotePrefix="1" applyFont="1" applyBorder="1" applyAlignment="1">
      <alignment horizontal="center" vertical="center" wrapText="1"/>
    </xf>
    <xf numFmtId="0" fontId="107" fillId="0" borderId="8" xfId="0" quotePrefix="1" applyFont="1" applyBorder="1" applyAlignment="1">
      <alignment horizontal="center" vertical="center" wrapText="1"/>
    </xf>
    <xf numFmtId="0" fontId="107" fillId="0" borderId="6" xfId="0" quotePrefix="1" applyFont="1" applyBorder="1" applyAlignment="1">
      <alignment horizontal="center" vertical="center" wrapText="1"/>
    </xf>
    <xf numFmtId="0" fontId="107" fillId="0" borderId="7" xfId="0" quotePrefix="1" applyFont="1" applyBorder="1" applyAlignment="1">
      <alignment horizontal="center" vertical="center" wrapText="1"/>
    </xf>
    <xf numFmtId="0" fontId="107" fillId="0" borderId="10" xfId="0" quotePrefix="1" applyFont="1" applyBorder="1" applyAlignment="1">
      <alignment horizontal="center" vertical="center" wrapText="1"/>
    </xf>
    <xf numFmtId="0" fontId="107" fillId="0" borderId="0" xfId="0" quotePrefix="1" applyFont="1" applyAlignment="1">
      <alignment horizontal="center" vertical="center" wrapText="1"/>
    </xf>
    <xf numFmtId="0" fontId="107" fillId="0" borderId="2" xfId="0" quotePrefix="1" applyFont="1" applyBorder="1" applyAlignment="1">
      <alignment horizontal="center" vertical="center" wrapText="1"/>
    </xf>
    <xf numFmtId="0" fontId="107" fillId="0" borderId="9" xfId="0" quotePrefix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9" fontId="9" fillId="0" borderId="5" xfId="0" applyNumberFormat="1" applyFont="1" applyBorder="1" applyAlignment="1" applyProtection="1">
      <alignment horizontal="center" vertical="center"/>
      <protection locked="0"/>
    </xf>
    <xf numFmtId="169" fontId="4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horizontal="center" wrapText="1"/>
    </xf>
    <xf numFmtId="169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3" xfId="0" applyBorder="1"/>
    <xf numFmtId="0" fontId="107" fillId="0" borderId="1" xfId="0" applyFont="1" applyBorder="1" applyAlignment="1">
      <alignment horizontal="center" vertical="center" wrapText="1"/>
    </xf>
    <xf numFmtId="0" fontId="107" fillId="0" borderId="9" xfId="0" applyFont="1" applyBorder="1" applyAlignment="1">
      <alignment horizontal="center" vertical="center" wrapText="1"/>
    </xf>
    <xf numFmtId="0" fontId="107" fillId="0" borderId="14" xfId="0" applyFont="1" applyBorder="1" applyAlignment="1">
      <alignment horizontal="center" vertical="center" wrapText="1"/>
    </xf>
    <xf numFmtId="169" fontId="9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7" fillId="0" borderId="11" xfId="0" applyFont="1" applyBorder="1" applyAlignment="1">
      <alignment horizontal="center" vertical="center" wrapText="1"/>
    </xf>
    <xf numFmtId="0" fontId="107" fillId="0" borderId="10" xfId="0" applyFont="1" applyBorder="1" applyAlignment="1">
      <alignment horizontal="center" vertical="center" wrapText="1"/>
    </xf>
    <xf numFmtId="0" fontId="107" fillId="0" borderId="13" xfId="0" quotePrefix="1" applyFont="1" applyBorder="1" applyAlignment="1">
      <alignment horizontal="center" vertical="center" wrapText="1"/>
    </xf>
    <xf numFmtId="0" fontId="100" fillId="0" borderId="0" xfId="0" applyFont="1" applyAlignment="1">
      <alignment horizontal="center" vertical="center" wrapText="1"/>
    </xf>
  </cellXfs>
  <cellStyles count="1292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5" xfId="1289" xr:uid="{00000000-0005-0000-0000-000096010000}"/>
    <cellStyle name="Обычный 106" xfId="353" xr:uid="{00000000-0005-0000-0000-000097010000}"/>
    <cellStyle name="Обычный 107" xfId="354" xr:uid="{00000000-0005-0000-0000-000098010000}"/>
    <cellStyle name="Обычный 109" xfId="355" xr:uid="{00000000-0005-0000-0000-000099010000}"/>
    <cellStyle name="Обычный 11" xfId="356" xr:uid="{00000000-0005-0000-0000-00009A010000}"/>
    <cellStyle name="Обычный 11 2" xfId="357" xr:uid="{00000000-0005-0000-0000-00009B010000}"/>
    <cellStyle name="Обычный 11 2 2" xfId="358" xr:uid="{00000000-0005-0000-0000-00009C010000}"/>
    <cellStyle name="Обычный 11 3" xfId="359" xr:uid="{00000000-0005-0000-0000-00009D010000}"/>
    <cellStyle name="Обычный 11 4" xfId="360" xr:uid="{00000000-0005-0000-0000-00009E010000}"/>
    <cellStyle name="Обычный 11 6" xfId="361" xr:uid="{00000000-0005-0000-0000-00009F010000}"/>
    <cellStyle name="Обычный 110" xfId="362" xr:uid="{00000000-0005-0000-0000-0000A0010000}"/>
    <cellStyle name="Обычный 112" xfId="363" xr:uid="{00000000-0005-0000-0000-0000A1010000}"/>
    <cellStyle name="Обычный 113" xfId="364" xr:uid="{00000000-0005-0000-0000-0000A2010000}"/>
    <cellStyle name="Обычный 115" xfId="365" xr:uid="{00000000-0005-0000-0000-0000A3010000}"/>
    <cellStyle name="Обычный 116" xfId="366" xr:uid="{00000000-0005-0000-0000-0000A4010000}"/>
    <cellStyle name="Обычный 118" xfId="367" xr:uid="{00000000-0005-0000-0000-0000A5010000}"/>
    <cellStyle name="Обычный 12" xfId="368" xr:uid="{00000000-0005-0000-0000-0000A6010000}"/>
    <cellStyle name="Обычный 12 2" xfId="369" xr:uid="{00000000-0005-0000-0000-0000A7010000}"/>
    <cellStyle name="Обычный 12 2 2" xfId="370" xr:uid="{00000000-0005-0000-0000-0000A8010000}"/>
    <cellStyle name="Обычный 12 3" xfId="371" xr:uid="{00000000-0005-0000-0000-0000A9010000}"/>
    <cellStyle name="Обычный 12 4" xfId="372" xr:uid="{00000000-0005-0000-0000-0000AA010000}"/>
    <cellStyle name="Обычный 12 5" xfId="373" xr:uid="{00000000-0005-0000-0000-0000AB010000}"/>
    <cellStyle name="Обычный 12 6" xfId="374" xr:uid="{00000000-0005-0000-0000-0000AC010000}"/>
    <cellStyle name="Обычный 12 7" xfId="375" xr:uid="{00000000-0005-0000-0000-0000AD010000}"/>
    <cellStyle name="Обычный 12 8" xfId="376" xr:uid="{00000000-0005-0000-0000-0000AE010000}"/>
    <cellStyle name="Обычный 120" xfId="377" xr:uid="{00000000-0005-0000-0000-0000AF010000}"/>
    <cellStyle name="Обычный 121" xfId="378" xr:uid="{00000000-0005-0000-0000-0000B0010000}"/>
    <cellStyle name="Обычный 122" xfId="379" xr:uid="{00000000-0005-0000-0000-0000B1010000}"/>
    <cellStyle name="Обычный 123" xfId="380" xr:uid="{00000000-0005-0000-0000-0000B2010000}"/>
    <cellStyle name="Обычный 13" xfId="381" xr:uid="{00000000-0005-0000-0000-0000B3010000}"/>
    <cellStyle name="Обычный 13 2" xfId="382" xr:uid="{00000000-0005-0000-0000-0000B4010000}"/>
    <cellStyle name="Обычный 13 2 2" xfId="383" xr:uid="{00000000-0005-0000-0000-0000B5010000}"/>
    <cellStyle name="Обычный 14" xfId="384" xr:uid="{00000000-0005-0000-0000-0000B6010000}"/>
    <cellStyle name="Обычный 14 2" xfId="385" xr:uid="{00000000-0005-0000-0000-0000B7010000}"/>
    <cellStyle name="Обычный 14 2 2" xfId="386" xr:uid="{00000000-0005-0000-0000-0000B8010000}"/>
    <cellStyle name="Обычный 14 3" xfId="387" xr:uid="{00000000-0005-0000-0000-0000B9010000}"/>
    <cellStyle name="Обычный 14 4" xfId="388" xr:uid="{00000000-0005-0000-0000-0000BA010000}"/>
    <cellStyle name="Обычный 14 5" xfId="389" xr:uid="{00000000-0005-0000-0000-0000BB010000}"/>
    <cellStyle name="Обычный 144" xfId="390" xr:uid="{00000000-0005-0000-0000-0000BC010000}"/>
    <cellStyle name="Обычный 147" xfId="391" xr:uid="{00000000-0005-0000-0000-0000BD010000}"/>
    <cellStyle name="Обычный 148" xfId="392" xr:uid="{00000000-0005-0000-0000-0000BE010000}"/>
    <cellStyle name="Обычный 15" xfId="393" xr:uid="{00000000-0005-0000-0000-0000BF010000}"/>
    <cellStyle name="Обычный 15 2" xfId="394" xr:uid="{00000000-0005-0000-0000-0000C0010000}"/>
    <cellStyle name="Обычный 15 2 2" xfId="395" xr:uid="{00000000-0005-0000-0000-0000C1010000}"/>
    <cellStyle name="Обычный 15 2 3" xfId="396" xr:uid="{00000000-0005-0000-0000-0000C2010000}"/>
    <cellStyle name="Обычный 15 2 4" xfId="397" xr:uid="{00000000-0005-0000-0000-0000C3010000}"/>
    <cellStyle name="Обычный 15 2 5" xfId="398" xr:uid="{00000000-0005-0000-0000-0000C4010000}"/>
    <cellStyle name="Обычный 15 2 6" xfId="399" xr:uid="{00000000-0005-0000-0000-0000C5010000}"/>
    <cellStyle name="Обычный 15 3" xfId="400" xr:uid="{00000000-0005-0000-0000-0000C6010000}"/>
    <cellStyle name="Обычный 15 4" xfId="401" xr:uid="{00000000-0005-0000-0000-0000C7010000}"/>
    <cellStyle name="Обычный 15 5" xfId="402" xr:uid="{00000000-0005-0000-0000-0000C8010000}"/>
    <cellStyle name="Обычный 16" xfId="403" xr:uid="{00000000-0005-0000-0000-0000C9010000}"/>
    <cellStyle name="Обычный 16 10" xfId="404" xr:uid="{00000000-0005-0000-0000-0000CA010000}"/>
    <cellStyle name="Обычный 16 11" xfId="405" xr:uid="{00000000-0005-0000-0000-0000CB010000}"/>
    <cellStyle name="Обычный 16 12" xfId="406" xr:uid="{00000000-0005-0000-0000-0000CC010000}"/>
    <cellStyle name="Обычный 16 13" xfId="407" xr:uid="{00000000-0005-0000-0000-0000CD010000}"/>
    <cellStyle name="Обычный 16 14" xfId="408" xr:uid="{00000000-0005-0000-0000-0000CE010000}"/>
    <cellStyle name="Обычный 16 2" xfId="409" xr:uid="{00000000-0005-0000-0000-0000CF010000}"/>
    <cellStyle name="Обычный 16 2 2" xfId="410" xr:uid="{00000000-0005-0000-0000-0000D0010000}"/>
    <cellStyle name="Обычный 16 3" xfId="411" xr:uid="{00000000-0005-0000-0000-0000D1010000}"/>
    <cellStyle name="Обычный 16 3 2" xfId="412" xr:uid="{00000000-0005-0000-0000-0000D2010000}"/>
    <cellStyle name="Обычный 16 4" xfId="413" xr:uid="{00000000-0005-0000-0000-0000D3010000}"/>
    <cellStyle name="Обычный 16 4 2" xfId="414" xr:uid="{00000000-0005-0000-0000-0000D4010000}"/>
    <cellStyle name="Обычный 16 5" xfId="415" xr:uid="{00000000-0005-0000-0000-0000D5010000}"/>
    <cellStyle name="Обычный 16 6" xfId="416" xr:uid="{00000000-0005-0000-0000-0000D6010000}"/>
    <cellStyle name="Обычный 16 7" xfId="417" xr:uid="{00000000-0005-0000-0000-0000D7010000}"/>
    <cellStyle name="Обычный 16 8" xfId="418" xr:uid="{00000000-0005-0000-0000-0000D8010000}"/>
    <cellStyle name="Обычный 16 9" xfId="419" xr:uid="{00000000-0005-0000-0000-0000D9010000}"/>
    <cellStyle name="Обычный 17" xfId="420" xr:uid="{00000000-0005-0000-0000-0000DA010000}"/>
    <cellStyle name="Обычный 17 2" xfId="421" xr:uid="{00000000-0005-0000-0000-0000DB010000}"/>
    <cellStyle name="Обычный 17 2 2" xfId="422" xr:uid="{00000000-0005-0000-0000-0000DC010000}"/>
    <cellStyle name="Обычный 17 3" xfId="423" xr:uid="{00000000-0005-0000-0000-0000DD010000}"/>
    <cellStyle name="Обычный 17 4" xfId="424" xr:uid="{00000000-0005-0000-0000-0000DE010000}"/>
    <cellStyle name="Обычный 18" xfId="425" xr:uid="{00000000-0005-0000-0000-0000DF010000}"/>
    <cellStyle name="Обычный 18 2" xfId="426" xr:uid="{00000000-0005-0000-0000-0000E0010000}"/>
    <cellStyle name="Обычный 18 2 2" xfId="427" xr:uid="{00000000-0005-0000-0000-0000E1010000}"/>
    <cellStyle name="Обычный 18 2 2 2" xfId="428" xr:uid="{00000000-0005-0000-0000-0000E2010000}"/>
    <cellStyle name="Обычный 18 2 3" xfId="429" xr:uid="{00000000-0005-0000-0000-0000E3010000}"/>
    <cellStyle name="Обычный 18 2 4" xfId="430" xr:uid="{00000000-0005-0000-0000-0000E4010000}"/>
    <cellStyle name="Обычный 18 3" xfId="431" xr:uid="{00000000-0005-0000-0000-0000E5010000}"/>
    <cellStyle name="Обычный 18 3 2" xfId="432" xr:uid="{00000000-0005-0000-0000-0000E6010000}"/>
    <cellStyle name="Обычный 18 4" xfId="433" xr:uid="{00000000-0005-0000-0000-0000E7010000}"/>
    <cellStyle name="Обычный 18 5" xfId="434" xr:uid="{00000000-0005-0000-0000-0000E8010000}"/>
    <cellStyle name="Обычный 18 6" xfId="435" xr:uid="{00000000-0005-0000-0000-0000E9010000}"/>
    <cellStyle name="Обычный 188" xfId="436" xr:uid="{00000000-0005-0000-0000-0000EA010000}"/>
    <cellStyle name="Обычный 19" xfId="437" xr:uid="{00000000-0005-0000-0000-0000EB010000}"/>
    <cellStyle name="Обычный 19 2" xfId="438" xr:uid="{00000000-0005-0000-0000-0000EC010000}"/>
    <cellStyle name="Обычный 19 2 2" xfId="439" xr:uid="{00000000-0005-0000-0000-0000ED010000}"/>
    <cellStyle name="Обычный 19 2 3" xfId="440" xr:uid="{00000000-0005-0000-0000-0000EE010000}"/>
    <cellStyle name="Обычный 19 3" xfId="441" xr:uid="{00000000-0005-0000-0000-0000EF010000}"/>
    <cellStyle name="Обычный 190" xfId="442" xr:uid="{00000000-0005-0000-0000-0000F0010000}"/>
    <cellStyle name="Обычный 2" xfId="1" xr:uid="{00000000-0005-0000-0000-0000F1010000}"/>
    <cellStyle name="Обычный 2 10" xfId="443" xr:uid="{00000000-0005-0000-0000-0000F2010000}"/>
    <cellStyle name="Обычный 2 11" xfId="444" xr:uid="{00000000-0005-0000-0000-0000F3010000}"/>
    <cellStyle name="Обычный 2 12" xfId="445" xr:uid="{00000000-0005-0000-0000-0000F4010000}"/>
    <cellStyle name="Обычный 2 13" xfId="446" xr:uid="{00000000-0005-0000-0000-0000F5010000}"/>
    <cellStyle name="Обычный 2 14" xfId="447" xr:uid="{00000000-0005-0000-0000-0000F6010000}"/>
    <cellStyle name="Обычный 2 15" xfId="448" xr:uid="{00000000-0005-0000-0000-0000F7010000}"/>
    <cellStyle name="Обычный 2 16" xfId="449" xr:uid="{00000000-0005-0000-0000-0000F8010000}"/>
    <cellStyle name="Обычный 2 17" xfId="450" xr:uid="{00000000-0005-0000-0000-0000F9010000}"/>
    <cellStyle name="Обычный 2 18" xfId="451" xr:uid="{00000000-0005-0000-0000-0000FA010000}"/>
    <cellStyle name="Обычный 2 19" xfId="452" xr:uid="{00000000-0005-0000-0000-0000FB010000}"/>
    <cellStyle name="Обычный 2 2" xfId="453" xr:uid="{00000000-0005-0000-0000-0000FC010000}"/>
    <cellStyle name="Обычный 2 2 10" xfId="454" xr:uid="{00000000-0005-0000-0000-0000FD010000}"/>
    <cellStyle name="Обычный 2 2 10 2" xfId="455" xr:uid="{00000000-0005-0000-0000-0000FE010000}"/>
    <cellStyle name="Обычный 2 2 11" xfId="456" xr:uid="{00000000-0005-0000-0000-0000FF010000}"/>
    <cellStyle name="Обычный 2 2 11 2" xfId="457" xr:uid="{00000000-0005-0000-0000-000000020000}"/>
    <cellStyle name="Обычный 2 2 12" xfId="458" xr:uid="{00000000-0005-0000-0000-000001020000}"/>
    <cellStyle name="Обычный 2 2 12 2" xfId="459" xr:uid="{00000000-0005-0000-0000-000002020000}"/>
    <cellStyle name="Обычный 2 2 13" xfId="460" xr:uid="{00000000-0005-0000-0000-000003020000}"/>
    <cellStyle name="Обычный 2 2 13 2" xfId="461" xr:uid="{00000000-0005-0000-0000-000004020000}"/>
    <cellStyle name="Обычный 2 2 14" xfId="462" xr:uid="{00000000-0005-0000-0000-000005020000}"/>
    <cellStyle name="Обычный 2 2 14 2" xfId="463" xr:uid="{00000000-0005-0000-0000-000006020000}"/>
    <cellStyle name="Обычный 2 2 15" xfId="464" xr:uid="{00000000-0005-0000-0000-000007020000}"/>
    <cellStyle name="Обычный 2 2 15 2" xfId="465" xr:uid="{00000000-0005-0000-0000-000008020000}"/>
    <cellStyle name="Обычный 2 2 16" xfId="466" xr:uid="{00000000-0005-0000-0000-000009020000}"/>
    <cellStyle name="Обычный 2 2 16 2" xfId="467" xr:uid="{00000000-0005-0000-0000-00000A020000}"/>
    <cellStyle name="Обычный 2 2 17" xfId="468" xr:uid="{00000000-0005-0000-0000-00000B020000}"/>
    <cellStyle name="Обычный 2 2 17 2" xfId="469" xr:uid="{00000000-0005-0000-0000-00000C020000}"/>
    <cellStyle name="Обычный 2 2 18" xfId="470" xr:uid="{00000000-0005-0000-0000-00000D020000}"/>
    <cellStyle name="Обычный 2 2 18 2" xfId="471" xr:uid="{00000000-0005-0000-0000-00000E020000}"/>
    <cellStyle name="Обычный 2 2 19" xfId="472" xr:uid="{00000000-0005-0000-0000-00000F020000}"/>
    <cellStyle name="Обычный 2 2 19 2" xfId="473" xr:uid="{00000000-0005-0000-0000-000010020000}"/>
    <cellStyle name="Обычный 2 2 2" xfId="474" xr:uid="{00000000-0005-0000-0000-000011020000}"/>
    <cellStyle name="Обычный 2 2 2 10" xfId="475" xr:uid="{00000000-0005-0000-0000-000012020000}"/>
    <cellStyle name="Обычный 2 2 2 11" xfId="476" xr:uid="{00000000-0005-0000-0000-000013020000}"/>
    <cellStyle name="Обычный 2 2 2 12" xfId="477" xr:uid="{00000000-0005-0000-0000-000014020000}"/>
    <cellStyle name="Обычный 2 2 2 13" xfId="478" xr:uid="{00000000-0005-0000-0000-000015020000}"/>
    <cellStyle name="Обычный 2 2 2 14" xfId="479" xr:uid="{00000000-0005-0000-0000-000016020000}"/>
    <cellStyle name="Обычный 2 2 2 15" xfId="480" xr:uid="{00000000-0005-0000-0000-000017020000}"/>
    <cellStyle name="Обычный 2 2 2 16" xfId="481" xr:uid="{00000000-0005-0000-0000-000018020000}"/>
    <cellStyle name="Обычный 2 2 2 17" xfId="482" xr:uid="{00000000-0005-0000-0000-000019020000}"/>
    <cellStyle name="Обычный 2 2 2 18" xfId="483" xr:uid="{00000000-0005-0000-0000-00001A020000}"/>
    <cellStyle name="Обычный 2 2 2 19" xfId="484" xr:uid="{00000000-0005-0000-0000-00001B020000}"/>
    <cellStyle name="Обычный 2 2 2 2" xfId="485" xr:uid="{00000000-0005-0000-0000-00001C020000}"/>
    <cellStyle name="Обычный 2 2 2 2 10" xfId="486" xr:uid="{00000000-0005-0000-0000-00001D020000}"/>
    <cellStyle name="Обычный 2 2 2 2 11" xfId="487" xr:uid="{00000000-0005-0000-0000-00001E020000}"/>
    <cellStyle name="Обычный 2 2 2 2 12" xfId="488" xr:uid="{00000000-0005-0000-0000-00001F020000}"/>
    <cellStyle name="Обычный 2 2 2 2 13" xfId="489" xr:uid="{00000000-0005-0000-0000-000020020000}"/>
    <cellStyle name="Обычный 2 2 2 2 14" xfId="490" xr:uid="{00000000-0005-0000-0000-000021020000}"/>
    <cellStyle name="Обычный 2 2 2 2 15" xfId="491" xr:uid="{00000000-0005-0000-0000-000022020000}"/>
    <cellStyle name="Обычный 2 2 2 2 16" xfId="492" xr:uid="{00000000-0005-0000-0000-000023020000}"/>
    <cellStyle name="Обычный 2 2 2 2 17" xfId="493" xr:uid="{00000000-0005-0000-0000-000024020000}"/>
    <cellStyle name="Обычный 2 2 2 2 18" xfId="494" xr:uid="{00000000-0005-0000-0000-000025020000}"/>
    <cellStyle name="Обычный 2 2 2 2 19" xfId="495" xr:uid="{00000000-0005-0000-0000-000026020000}"/>
    <cellStyle name="Обычный 2 2 2 2 2" xfId="496" xr:uid="{00000000-0005-0000-0000-000027020000}"/>
    <cellStyle name="Обычный 2 2 2 2 20" xfId="497" xr:uid="{00000000-0005-0000-0000-000028020000}"/>
    <cellStyle name="Обычный 2 2 2 2 21" xfId="498" xr:uid="{00000000-0005-0000-0000-000029020000}"/>
    <cellStyle name="Обычный 2 2 2 2 22" xfId="499" xr:uid="{00000000-0005-0000-0000-00002A020000}"/>
    <cellStyle name="Обычный 2 2 2 2 23" xfId="500" xr:uid="{00000000-0005-0000-0000-00002B020000}"/>
    <cellStyle name="Обычный 2 2 2 2 24" xfId="501" xr:uid="{00000000-0005-0000-0000-00002C020000}"/>
    <cellStyle name="Обычный 2 2 2 2 25" xfId="502" xr:uid="{00000000-0005-0000-0000-00002D020000}"/>
    <cellStyle name="Обычный 2 2 2 2 26" xfId="503" xr:uid="{00000000-0005-0000-0000-00002E020000}"/>
    <cellStyle name="Обычный 2 2 2 2 27" xfId="504" xr:uid="{00000000-0005-0000-0000-00002F020000}"/>
    <cellStyle name="Обычный 2 2 2 2 28" xfId="505" xr:uid="{00000000-0005-0000-0000-000030020000}"/>
    <cellStyle name="Обычный 2 2 2 2 29" xfId="506" xr:uid="{00000000-0005-0000-0000-000031020000}"/>
    <cellStyle name="Обычный 2 2 2 2 3" xfId="507" xr:uid="{00000000-0005-0000-0000-000032020000}"/>
    <cellStyle name="Обычный 2 2 2 2 30" xfId="508" xr:uid="{00000000-0005-0000-0000-000033020000}"/>
    <cellStyle name="Обычный 2 2 2 2 4" xfId="509" xr:uid="{00000000-0005-0000-0000-000034020000}"/>
    <cellStyle name="Обычный 2 2 2 2 5" xfId="510" xr:uid="{00000000-0005-0000-0000-000035020000}"/>
    <cellStyle name="Обычный 2 2 2 2 6" xfId="511" xr:uid="{00000000-0005-0000-0000-000036020000}"/>
    <cellStyle name="Обычный 2 2 2 2 7" xfId="512" xr:uid="{00000000-0005-0000-0000-000037020000}"/>
    <cellStyle name="Обычный 2 2 2 2 8" xfId="513" xr:uid="{00000000-0005-0000-0000-000038020000}"/>
    <cellStyle name="Обычный 2 2 2 2 9" xfId="514" xr:uid="{00000000-0005-0000-0000-000039020000}"/>
    <cellStyle name="Обычный 2 2 2 20" xfId="515" xr:uid="{00000000-0005-0000-0000-00003A020000}"/>
    <cellStyle name="Обычный 2 2 2 21" xfId="516" xr:uid="{00000000-0005-0000-0000-00003B020000}"/>
    <cellStyle name="Обычный 2 2 2 22" xfId="517" xr:uid="{00000000-0005-0000-0000-00003C020000}"/>
    <cellStyle name="Обычный 2 2 2 23" xfId="518" xr:uid="{00000000-0005-0000-0000-00003D020000}"/>
    <cellStyle name="Обычный 2 2 2 24" xfId="519" xr:uid="{00000000-0005-0000-0000-00003E020000}"/>
    <cellStyle name="Обычный 2 2 2 25" xfId="520" xr:uid="{00000000-0005-0000-0000-00003F020000}"/>
    <cellStyle name="Обычный 2 2 2 26" xfId="521" xr:uid="{00000000-0005-0000-0000-000040020000}"/>
    <cellStyle name="Обычный 2 2 2 27" xfId="522" xr:uid="{00000000-0005-0000-0000-000041020000}"/>
    <cellStyle name="Обычный 2 2 2 28" xfId="523" xr:uid="{00000000-0005-0000-0000-000042020000}"/>
    <cellStyle name="Обычный 2 2 2 29" xfId="524" xr:uid="{00000000-0005-0000-0000-000043020000}"/>
    <cellStyle name="Обычный 2 2 2 3" xfId="525" xr:uid="{00000000-0005-0000-0000-000044020000}"/>
    <cellStyle name="Обычный 2 2 2 30" xfId="526" xr:uid="{00000000-0005-0000-0000-000045020000}"/>
    <cellStyle name="Обычный 2 2 2 31" xfId="527" xr:uid="{00000000-0005-0000-0000-000046020000}"/>
    <cellStyle name="Обычный 2 2 2 4" xfId="528" xr:uid="{00000000-0005-0000-0000-000047020000}"/>
    <cellStyle name="Обычный 2 2 2 5" xfId="529" xr:uid="{00000000-0005-0000-0000-000048020000}"/>
    <cellStyle name="Обычный 2 2 2 6" xfId="530" xr:uid="{00000000-0005-0000-0000-000049020000}"/>
    <cellStyle name="Обычный 2 2 2 7" xfId="531" xr:uid="{00000000-0005-0000-0000-00004A020000}"/>
    <cellStyle name="Обычный 2 2 2 8" xfId="532" xr:uid="{00000000-0005-0000-0000-00004B020000}"/>
    <cellStyle name="Обычный 2 2 2 9" xfId="533" xr:uid="{00000000-0005-0000-0000-00004C020000}"/>
    <cellStyle name="Обычный 2 2 20" xfId="534" xr:uid="{00000000-0005-0000-0000-00004D020000}"/>
    <cellStyle name="Обычный 2 2 20 2" xfId="535" xr:uid="{00000000-0005-0000-0000-00004E020000}"/>
    <cellStyle name="Обычный 2 2 21" xfId="536" xr:uid="{00000000-0005-0000-0000-00004F020000}"/>
    <cellStyle name="Обычный 2 2 21 2" xfId="537" xr:uid="{00000000-0005-0000-0000-000050020000}"/>
    <cellStyle name="Обычный 2 2 22" xfId="538" xr:uid="{00000000-0005-0000-0000-000051020000}"/>
    <cellStyle name="Обычный 2 2 22 2" xfId="539" xr:uid="{00000000-0005-0000-0000-000052020000}"/>
    <cellStyle name="Обычный 2 2 23" xfId="540" xr:uid="{00000000-0005-0000-0000-000053020000}"/>
    <cellStyle name="Обычный 2 2 23 2" xfId="541" xr:uid="{00000000-0005-0000-0000-000054020000}"/>
    <cellStyle name="Обычный 2 2 24" xfId="542" xr:uid="{00000000-0005-0000-0000-000055020000}"/>
    <cellStyle name="Обычный 2 2 24 2" xfId="543" xr:uid="{00000000-0005-0000-0000-000056020000}"/>
    <cellStyle name="Обычный 2 2 25" xfId="544" xr:uid="{00000000-0005-0000-0000-000057020000}"/>
    <cellStyle name="Обычный 2 2 25 2" xfId="545" xr:uid="{00000000-0005-0000-0000-000058020000}"/>
    <cellStyle name="Обычный 2 2 26" xfId="546" xr:uid="{00000000-0005-0000-0000-000059020000}"/>
    <cellStyle name="Обычный 2 2 26 2" xfId="547" xr:uid="{00000000-0005-0000-0000-00005A020000}"/>
    <cellStyle name="Обычный 2 2 27" xfId="548" xr:uid="{00000000-0005-0000-0000-00005B020000}"/>
    <cellStyle name="Обычный 2 2 27 2" xfId="549" xr:uid="{00000000-0005-0000-0000-00005C020000}"/>
    <cellStyle name="Обычный 2 2 28" xfId="550" xr:uid="{00000000-0005-0000-0000-00005D020000}"/>
    <cellStyle name="Обычный 2 2 28 2" xfId="551" xr:uid="{00000000-0005-0000-0000-00005E020000}"/>
    <cellStyle name="Обычный 2 2 29" xfId="552" xr:uid="{00000000-0005-0000-0000-00005F020000}"/>
    <cellStyle name="Обычный 2 2 29 2" xfId="553" xr:uid="{00000000-0005-0000-0000-000060020000}"/>
    <cellStyle name="Обычный 2 2 3" xfId="554" xr:uid="{00000000-0005-0000-0000-000061020000}"/>
    <cellStyle name="Обычный 2 2 3 2" xfId="555" xr:uid="{00000000-0005-0000-0000-000062020000}"/>
    <cellStyle name="Обычный 2 2 30" xfId="556" xr:uid="{00000000-0005-0000-0000-000063020000}"/>
    <cellStyle name="Обычный 2 2 30 2" xfId="557" xr:uid="{00000000-0005-0000-0000-000064020000}"/>
    <cellStyle name="Обычный 2 2 31" xfId="558" xr:uid="{00000000-0005-0000-0000-000065020000}"/>
    <cellStyle name="Обычный 2 2 31 2" xfId="559" xr:uid="{00000000-0005-0000-0000-000066020000}"/>
    <cellStyle name="Обычный 2 2 32" xfId="560" xr:uid="{00000000-0005-0000-0000-000067020000}"/>
    <cellStyle name="Обычный 2 2 4" xfId="561" xr:uid="{00000000-0005-0000-0000-000068020000}"/>
    <cellStyle name="Обычный 2 2 4 2" xfId="562" xr:uid="{00000000-0005-0000-0000-000069020000}"/>
    <cellStyle name="Обычный 2 2 5" xfId="563" xr:uid="{00000000-0005-0000-0000-00006A020000}"/>
    <cellStyle name="Обычный 2 2 5 2" xfId="564" xr:uid="{00000000-0005-0000-0000-00006B020000}"/>
    <cellStyle name="Обычный 2 2 6" xfId="565" xr:uid="{00000000-0005-0000-0000-00006C020000}"/>
    <cellStyle name="Обычный 2 2 6 2" xfId="566" xr:uid="{00000000-0005-0000-0000-00006D020000}"/>
    <cellStyle name="Обычный 2 2 7" xfId="567" xr:uid="{00000000-0005-0000-0000-00006E020000}"/>
    <cellStyle name="Обычный 2 2 7 2" xfId="568" xr:uid="{00000000-0005-0000-0000-00006F020000}"/>
    <cellStyle name="Обычный 2 2 8" xfId="569" xr:uid="{00000000-0005-0000-0000-000070020000}"/>
    <cellStyle name="Обычный 2 2 8 2" xfId="570" xr:uid="{00000000-0005-0000-0000-000071020000}"/>
    <cellStyle name="Обычный 2 2 9" xfId="571" xr:uid="{00000000-0005-0000-0000-000072020000}"/>
    <cellStyle name="Обычный 2 2 9 2" xfId="572" xr:uid="{00000000-0005-0000-0000-000073020000}"/>
    <cellStyle name="Обычный 2 20" xfId="573" xr:uid="{00000000-0005-0000-0000-000074020000}"/>
    <cellStyle name="Обычный 2 21" xfId="574" xr:uid="{00000000-0005-0000-0000-000075020000}"/>
    <cellStyle name="Обычный 2 22" xfId="575" xr:uid="{00000000-0005-0000-0000-000076020000}"/>
    <cellStyle name="Обычный 2 23" xfId="576" xr:uid="{00000000-0005-0000-0000-000077020000}"/>
    <cellStyle name="Обычный 2 24" xfId="577" xr:uid="{00000000-0005-0000-0000-000078020000}"/>
    <cellStyle name="Обычный 2 25" xfId="578" xr:uid="{00000000-0005-0000-0000-000079020000}"/>
    <cellStyle name="Обычный 2 26" xfId="579" xr:uid="{00000000-0005-0000-0000-00007A020000}"/>
    <cellStyle name="Обычный 2 27" xfId="580" xr:uid="{00000000-0005-0000-0000-00007B020000}"/>
    <cellStyle name="Обычный 2 28" xfId="581" xr:uid="{00000000-0005-0000-0000-00007C020000}"/>
    <cellStyle name="Обычный 2 29" xfId="582" xr:uid="{00000000-0005-0000-0000-00007D020000}"/>
    <cellStyle name="Обычный 2 3" xfId="583" xr:uid="{00000000-0005-0000-0000-00007E020000}"/>
    <cellStyle name="Обычный 2 3 2" xfId="584" xr:uid="{00000000-0005-0000-0000-00007F020000}"/>
    <cellStyle name="Обычный 2 3 3" xfId="585" xr:uid="{00000000-0005-0000-0000-000080020000}"/>
    <cellStyle name="Обычный 2 30" xfId="586" xr:uid="{00000000-0005-0000-0000-000081020000}"/>
    <cellStyle name="Обычный 2 31" xfId="587" xr:uid="{00000000-0005-0000-0000-000082020000}"/>
    <cellStyle name="Обычный 2 32" xfId="588" xr:uid="{00000000-0005-0000-0000-000083020000}"/>
    <cellStyle name="Обычный 2 33" xfId="589" xr:uid="{00000000-0005-0000-0000-000084020000}"/>
    <cellStyle name="Обычный 2 34" xfId="590" xr:uid="{00000000-0005-0000-0000-000085020000}"/>
    <cellStyle name="Обычный 2 34 2" xfId="591" xr:uid="{00000000-0005-0000-0000-000086020000}"/>
    <cellStyle name="Обычный 2 35" xfId="592" xr:uid="{00000000-0005-0000-0000-000087020000}"/>
    <cellStyle name="Обычный 2 36" xfId="593" xr:uid="{00000000-0005-0000-0000-000088020000}"/>
    <cellStyle name="Обычный 2 4" xfId="594" xr:uid="{00000000-0005-0000-0000-000089020000}"/>
    <cellStyle name="Обычный 2 4 2" xfId="595" xr:uid="{00000000-0005-0000-0000-00008A020000}"/>
    <cellStyle name="Обычный 2 4 3" xfId="596" xr:uid="{00000000-0005-0000-0000-00008B020000}"/>
    <cellStyle name="Обычный 2 5" xfId="597" xr:uid="{00000000-0005-0000-0000-00008C020000}"/>
    <cellStyle name="Обычный 2 5 2" xfId="598" xr:uid="{00000000-0005-0000-0000-00008D020000}"/>
    <cellStyle name="Обычный 2 5 3" xfId="599" xr:uid="{00000000-0005-0000-0000-00008E020000}"/>
    <cellStyle name="Обычный 2 6" xfId="600" xr:uid="{00000000-0005-0000-0000-00008F020000}"/>
    <cellStyle name="Обычный 2 7" xfId="601" xr:uid="{00000000-0005-0000-0000-000090020000}"/>
    <cellStyle name="Обычный 2 8" xfId="602" xr:uid="{00000000-0005-0000-0000-000091020000}"/>
    <cellStyle name="Обычный 2 9" xfId="603" xr:uid="{00000000-0005-0000-0000-000092020000}"/>
    <cellStyle name="Обычный 20" xfId="604" xr:uid="{00000000-0005-0000-0000-000093020000}"/>
    <cellStyle name="Обычный 20 10" xfId="605" xr:uid="{00000000-0005-0000-0000-000094020000}"/>
    <cellStyle name="Обычный 20 11" xfId="606" xr:uid="{00000000-0005-0000-0000-000095020000}"/>
    <cellStyle name="Обычный 20 12" xfId="607" xr:uid="{00000000-0005-0000-0000-000096020000}"/>
    <cellStyle name="Обычный 20 13" xfId="608" xr:uid="{00000000-0005-0000-0000-000097020000}"/>
    <cellStyle name="Обычный 20 14" xfId="609" xr:uid="{00000000-0005-0000-0000-000098020000}"/>
    <cellStyle name="Обычный 20 15" xfId="610" xr:uid="{00000000-0005-0000-0000-000099020000}"/>
    <cellStyle name="Обычный 20 16" xfId="611" xr:uid="{00000000-0005-0000-0000-00009A020000}"/>
    <cellStyle name="Обычный 20 17" xfId="612" xr:uid="{00000000-0005-0000-0000-00009B020000}"/>
    <cellStyle name="Обычный 20 18" xfId="613" xr:uid="{00000000-0005-0000-0000-00009C020000}"/>
    <cellStyle name="Обычный 20 19" xfId="614" xr:uid="{00000000-0005-0000-0000-00009D020000}"/>
    <cellStyle name="Обычный 20 2" xfId="615" xr:uid="{00000000-0005-0000-0000-00009E020000}"/>
    <cellStyle name="Обычный 20 2 2" xfId="616" xr:uid="{00000000-0005-0000-0000-00009F020000}"/>
    <cellStyle name="Обычный 20 2 2 2" xfId="617" xr:uid="{00000000-0005-0000-0000-0000A0020000}"/>
    <cellStyle name="Обычный 20 2 3" xfId="618" xr:uid="{00000000-0005-0000-0000-0000A1020000}"/>
    <cellStyle name="Обычный 20 2 4" xfId="619" xr:uid="{00000000-0005-0000-0000-0000A2020000}"/>
    <cellStyle name="Обычный 20 20" xfId="620" xr:uid="{00000000-0005-0000-0000-0000A3020000}"/>
    <cellStyle name="Обычный 20 21" xfId="621" xr:uid="{00000000-0005-0000-0000-0000A4020000}"/>
    <cellStyle name="Обычный 20 22" xfId="622" xr:uid="{00000000-0005-0000-0000-0000A5020000}"/>
    <cellStyle name="Обычный 20 23" xfId="623" xr:uid="{00000000-0005-0000-0000-0000A6020000}"/>
    <cellStyle name="Обычный 20 24" xfId="624" xr:uid="{00000000-0005-0000-0000-0000A7020000}"/>
    <cellStyle name="Обычный 20 25" xfId="625" xr:uid="{00000000-0005-0000-0000-0000A8020000}"/>
    <cellStyle name="Обычный 20 26" xfId="626" xr:uid="{00000000-0005-0000-0000-0000A9020000}"/>
    <cellStyle name="Обычный 20 27" xfId="627" xr:uid="{00000000-0005-0000-0000-0000AA020000}"/>
    <cellStyle name="Обычный 20 28" xfId="628" xr:uid="{00000000-0005-0000-0000-0000AB020000}"/>
    <cellStyle name="Обычный 20 29" xfId="629" xr:uid="{00000000-0005-0000-0000-0000AC020000}"/>
    <cellStyle name="Обычный 20 3" xfId="630" xr:uid="{00000000-0005-0000-0000-0000AD020000}"/>
    <cellStyle name="Обычный 20 3 2" xfId="631" xr:uid="{00000000-0005-0000-0000-0000AE020000}"/>
    <cellStyle name="Обычный 20 30" xfId="632" xr:uid="{00000000-0005-0000-0000-0000AF020000}"/>
    <cellStyle name="Обычный 20 31" xfId="633" xr:uid="{00000000-0005-0000-0000-0000B0020000}"/>
    <cellStyle name="Обычный 20 32" xfId="634" xr:uid="{00000000-0005-0000-0000-0000B1020000}"/>
    <cellStyle name="Обычный 20 4" xfId="635" xr:uid="{00000000-0005-0000-0000-0000B2020000}"/>
    <cellStyle name="Обычный 20 5" xfId="636" xr:uid="{00000000-0005-0000-0000-0000B3020000}"/>
    <cellStyle name="Обычный 20 6" xfId="637" xr:uid="{00000000-0005-0000-0000-0000B4020000}"/>
    <cellStyle name="Обычный 20 7" xfId="638" xr:uid="{00000000-0005-0000-0000-0000B5020000}"/>
    <cellStyle name="Обычный 20 8" xfId="639" xr:uid="{00000000-0005-0000-0000-0000B6020000}"/>
    <cellStyle name="Обычный 20 9" xfId="640" xr:uid="{00000000-0005-0000-0000-0000B7020000}"/>
    <cellStyle name="Обычный 21" xfId="641" xr:uid="{00000000-0005-0000-0000-0000B8020000}"/>
    <cellStyle name="Обычный 21 2" xfId="642" xr:uid="{00000000-0005-0000-0000-0000B9020000}"/>
    <cellStyle name="Обычный 21 2 2" xfId="643" xr:uid="{00000000-0005-0000-0000-0000BA020000}"/>
    <cellStyle name="Обычный 21 2 3" xfId="644" xr:uid="{00000000-0005-0000-0000-0000BB020000}"/>
    <cellStyle name="Обычный 21 2 4" xfId="645" xr:uid="{00000000-0005-0000-0000-0000BC020000}"/>
    <cellStyle name="Обычный 22" xfId="646" xr:uid="{00000000-0005-0000-0000-0000BD020000}"/>
    <cellStyle name="Обычный 22 10" xfId="647" xr:uid="{00000000-0005-0000-0000-0000BE020000}"/>
    <cellStyle name="Обычный 22 11" xfId="648" xr:uid="{00000000-0005-0000-0000-0000BF020000}"/>
    <cellStyle name="Обычный 22 12" xfId="649" xr:uid="{00000000-0005-0000-0000-0000C0020000}"/>
    <cellStyle name="Обычный 22 13" xfId="650" xr:uid="{00000000-0005-0000-0000-0000C1020000}"/>
    <cellStyle name="Обычный 22 14" xfId="651" xr:uid="{00000000-0005-0000-0000-0000C2020000}"/>
    <cellStyle name="Обычный 22 15" xfId="652" xr:uid="{00000000-0005-0000-0000-0000C3020000}"/>
    <cellStyle name="Обычный 22 16" xfId="653" xr:uid="{00000000-0005-0000-0000-0000C4020000}"/>
    <cellStyle name="Обычный 22 17" xfId="654" xr:uid="{00000000-0005-0000-0000-0000C5020000}"/>
    <cellStyle name="Обычный 22 18" xfId="655" xr:uid="{00000000-0005-0000-0000-0000C6020000}"/>
    <cellStyle name="Обычный 22 19" xfId="656" xr:uid="{00000000-0005-0000-0000-0000C7020000}"/>
    <cellStyle name="Обычный 22 2" xfId="657" xr:uid="{00000000-0005-0000-0000-0000C8020000}"/>
    <cellStyle name="Обычный 22 2 2" xfId="658" xr:uid="{00000000-0005-0000-0000-0000C9020000}"/>
    <cellStyle name="Обычный 22 2 3" xfId="659" xr:uid="{00000000-0005-0000-0000-0000CA020000}"/>
    <cellStyle name="Обычный 22 20" xfId="660" xr:uid="{00000000-0005-0000-0000-0000CB020000}"/>
    <cellStyle name="Обычный 22 21" xfId="661" xr:uid="{00000000-0005-0000-0000-0000CC020000}"/>
    <cellStyle name="Обычный 22 22" xfId="662" xr:uid="{00000000-0005-0000-0000-0000CD020000}"/>
    <cellStyle name="Обычный 22 23" xfId="663" xr:uid="{00000000-0005-0000-0000-0000CE020000}"/>
    <cellStyle name="Обычный 22 24" xfId="664" xr:uid="{00000000-0005-0000-0000-0000CF020000}"/>
    <cellStyle name="Обычный 22 25" xfId="665" xr:uid="{00000000-0005-0000-0000-0000D0020000}"/>
    <cellStyle name="Обычный 22 26" xfId="666" xr:uid="{00000000-0005-0000-0000-0000D1020000}"/>
    <cellStyle name="Обычный 22 27" xfId="667" xr:uid="{00000000-0005-0000-0000-0000D2020000}"/>
    <cellStyle name="Обычный 22 28" xfId="668" xr:uid="{00000000-0005-0000-0000-0000D3020000}"/>
    <cellStyle name="Обычный 22 29" xfId="669" xr:uid="{00000000-0005-0000-0000-0000D4020000}"/>
    <cellStyle name="Обычный 22 3" xfId="670" xr:uid="{00000000-0005-0000-0000-0000D5020000}"/>
    <cellStyle name="Обычный 22 30" xfId="671" xr:uid="{00000000-0005-0000-0000-0000D6020000}"/>
    <cellStyle name="Обычный 22 31" xfId="672" xr:uid="{00000000-0005-0000-0000-0000D7020000}"/>
    <cellStyle name="Обычный 22 32" xfId="673" xr:uid="{00000000-0005-0000-0000-0000D8020000}"/>
    <cellStyle name="Обычный 22 4" xfId="674" xr:uid="{00000000-0005-0000-0000-0000D9020000}"/>
    <cellStyle name="Обычный 22 5" xfId="675" xr:uid="{00000000-0005-0000-0000-0000DA020000}"/>
    <cellStyle name="Обычный 22 6" xfId="676" xr:uid="{00000000-0005-0000-0000-0000DB020000}"/>
    <cellStyle name="Обычный 22 7" xfId="677" xr:uid="{00000000-0005-0000-0000-0000DC020000}"/>
    <cellStyle name="Обычный 22 8" xfId="678" xr:uid="{00000000-0005-0000-0000-0000DD020000}"/>
    <cellStyle name="Обычный 22 9" xfId="679" xr:uid="{00000000-0005-0000-0000-0000DE020000}"/>
    <cellStyle name="Обычный 23" xfId="680" xr:uid="{00000000-0005-0000-0000-0000DF020000}"/>
    <cellStyle name="Обычный 24" xfId="681" xr:uid="{00000000-0005-0000-0000-0000E0020000}"/>
    <cellStyle name="Обычный 24 2" xfId="682" xr:uid="{00000000-0005-0000-0000-0000E1020000}"/>
    <cellStyle name="Обычный 24 3" xfId="683" xr:uid="{00000000-0005-0000-0000-0000E2020000}"/>
    <cellStyle name="Обычный 24 4" xfId="684" xr:uid="{00000000-0005-0000-0000-0000E3020000}"/>
    <cellStyle name="Обычный 25" xfId="685" xr:uid="{00000000-0005-0000-0000-0000E4020000}"/>
    <cellStyle name="Обычный 25 2" xfId="686" xr:uid="{00000000-0005-0000-0000-0000E5020000}"/>
    <cellStyle name="Обычный 256" xfId="687" xr:uid="{00000000-0005-0000-0000-0000E6020000}"/>
    <cellStyle name="Обычный 256 2" xfId="688" xr:uid="{00000000-0005-0000-0000-0000E7020000}"/>
    <cellStyle name="Обычный 26" xfId="689" xr:uid="{00000000-0005-0000-0000-0000E8020000}"/>
    <cellStyle name="Обычный 26 10" xfId="690" xr:uid="{00000000-0005-0000-0000-0000E9020000}"/>
    <cellStyle name="Обычный 26 11" xfId="691" xr:uid="{00000000-0005-0000-0000-0000EA020000}"/>
    <cellStyle name="Обычный 26 12" xfId="692" xr:uid="{00000000-0005-0000-0000-0000EB020000}"/>
    <cellStyle name="Обычный 26 13" xfId="693" xr:uid="{00000000-0005-0000-0000-0000EC020000}"/>
    <cellStyle name="Обычный 26 14" xfId="694" xr:uid="{00000000-0005-0000-0000-0000ED020000}"/>
    <cellStyle name="Обычный 26 15" xfId="695" xr:uid="{00000000-0005-0000-0000-0000EE020000}"/>
    <cellStyle name="Обычный 26 16" xfId="696" xr:uid="{00000000-0005-0000-0000-0000EF020000}"/>
    <cellStyle name="Обычный 26 17" xfId="697" xr:uid="{00000000-0005-0000-0000-0000F0020000}"/>
    <cellStyle name="Обычный 26 18" xfId="698" xr:uid="{00000000-0005-0000-0000-0000F1020000}"/>
    <cellStyle name="Обычный 26 19" xfId="699" xr:uid="{00000000-0005-0000-0000-0000F2020000}"/>
    <cellStyle name="Обычный 26 2" xfId="700" xr:uid="{00000000-0005-0000-0000-0000F3020000}"/>
    <cellStyle name="Обычный 26 20" xfId="701" xr:uid="{00000000-0005-0000-0000-0000F4020000}"/>
    <cellStyle name="Обычный 26 21" xfId="702" xr:uid="{00000000-0005-0000-0000-0000F5020000}"/>
    <cellStyle name="Обычный 26 22" xfId="703" xr:uid="{00000000-0005-0000-0000-0000F6020000}"/>
    <cellStyle name="Обычный 26 23" xfId="704" xr:uid="{00000000-0005-0000-0000-0000F7020000}"/>
    <cellStyle name="Обычный 26 24" xfId="705" xr:uid="{00000000-0005-0000-0000-0000F8020000}"/>
    <cellStyle name="Обычный 26 25" xfId="706" xr:uid="{00000000-0005-0000-0000-0000F9020000}"/>
    <cellStyle name="Обычный 26 26" xfId="707" xr:uid="{00000000-0005-0000-0000-0000FA020000}"/>
    <cellStyle name="Обычный 26 27" xfId="708" xr:uid="{00000000-0005-0000-0000-0000FB020000}"/>
    <cellStyle name="Обычный 26 28" xfId="709" xr:uid="{00000000-0005-0000-0000-0000FC020000}"/>
    <cellStyle name="Обычный 26 29" xfId="710" xr:uid="{00000000-0005-0000-0000-0000FD020000}"/>
    <cellStyle name="Обычный 26 3" xfId="711" xr:uid="{00000000-0005-0000-0000-0000FE020000}"/>
    <cellStyle name="Обычный 26 3 2" xfId="712" xr:uid="{00000000-0005-0000-0000-0000FF020000}"/>
    <cellStyle name="Обычный 26 30" xfId="713" xr:uid="{00000000-0005-0000-0000-000000030000}"/>
    <cellStyle name="Обычный 26 31" xfId="714" xr:uid="{00000000-0005-0000-0000-000001030000}"/>
    <cellStyle name="Обычный 26 32" xfId="715" xr:uid="{00000000-0005-0000-0000-000002030000}"/>
    <cellStyle name="Обычный 26 4" xfId="716" xr:uid="{00000000-0005-0000-0000-000003030000}"/>
    <cellStyle name="Обычный 26 5" xfId="717" xr:uid="{00000000-0005-0000-0000-000004030000}"/>
    <cellStyle name="Обычный 26 6" xfId="718" xr:uid="{00000000-0005-0000-0000-000005030000}"/>
    <cellStyle name="Обычный 26 7" xfId="719" xr:uid="{00000000-0005-0000-0000-000006030000}"/>
    <cellStyle name="Обычный 26 8" xfId="720" xr:uid="{00000000-0005-0000-0000-000007030000}"/>
    <cellStyle name="Обычный 26 9" xfId="721" xr:uid="{00000000-0005-0000-0000-000008030000}"/>
    <cellStyle name="Обычный 27" xfId="722" xr:uid="{00000000-0005-0000-0000-000009030000}"/>
    <cellStyle name="Обычный 27 2" xfId="723" xr:uid="{00000000-0005-0000-0000-00000A030000}"/>
    <cellStyle name="Обычный 28" xfId="724" xr:uid="{00000000-0005-0000-0000-00000B030000}"/>
    <cellStyle name="Обычный 29" xfId="725" xr:uid="{00000000-0005-0000-0000-00000C030000}"/>
    <cellStyle name="Обычный 3" xfId="5" xr:uid="{00000000-0005-0000-0000-00000D030000}"/>
    <cellStyle name="Обычный 3 2" xfId="726" xr:uid="{00000000-0005-0000-0000-00000E030000}"/>
    <cellStyle name="Обычный 3 2 2" xfId="727" xr:uid="{00000000-0005-0000-0000-00000F030000}"/>
    <cellStyle name="Обычный 3 2 2 2" xfId="728" xr:uid="{00000000-0005-0000-0000-000010030000}"/>
    <cellStyle name="Обычный 3 2 3" xfId="729" xr:uid="{00000000-0005-0000-0000-000011030000}"/>
    <cellStyle name="Обычный 3 2 4" xfId="730" xr:uid="{00000000-0005-0000-0000-000012030000}"/>
    <cellStyle name="Обычный 3 3" xfId="731" xr:uid="{00000000-0005-0000-0000-000013030000}"/>
    <cellStyle name="Обычный 3 3 2" xfId="732" xr:uid="{00000000-0005-0000-0000-000014030000}"/>
    <cellStyle name="Обычный 3 3 2 2" xfId="733" xr:uid="{00000000-0005-0000-0000-000015030000}"/>
    <cellStyle name="Обычный 3 3 3" xfId="734" xr:uid="{00000000-0005-0000-0000-000016030000}"/>
    <cellStyle name="Обычный 3 4" xfId="735" xr:uid="{00000000-0005-0000-0000-000017030000}"/>
    <cellStyle name="Обычный 3 5" xfId="736" xr:uid="{00000000-0005-0000-0000-000018030000}"/>
    <cellStyle name="Обычный 3 5 2" xfId="737" xr:uid="{00000000-0005-0000-0000-000019030000}"/>
    <cellStyle name="Обычный 3 6" xfId="738" xr:uid="{00000000-0005-0000-0000-00001A030000}"/>
    <cellStyle name="Обычный 3 7" xfId="739" xr:uid="{00000000-0005-0000-0000-00001B030000}"/>
    <cellStyle name="Обычный 3 8" xfId="9" xr:uid="{00000000-0005-0000-0000-00001C030000}"/>
    <cellStyle name="Обычный 3 9" xfId="1291" xr:uid="{00000000-0005-0000-0000-00001D030000}"/>
    <cellStyle name="Обычный 30" xfId="740" xr:uid="{00000000-0005-0000-0000-00001E030000}"/>
    <cellStyle name="Обычный 30 2" xfId="741" xr:uid="{00000000-0005-0000-0000-00001F030000}"/>
    <cellStyle name="Обычный 31" xfId="742" xr:uid="{00000000-0005-0000-0000-000020030000}"/>
    <cellStyle name="Обычный 31 2" xfId="743" xr:uid="{00000000-0005-0000-0000-000021030000}"/>
    <cellStyle name="Обычный 32" xfId="744" xr:uid="{00000000-0005-0000-0000-000022030000}"/>
    <cellStyle name="Обычный 32 2" xfId="745" xr:uid="{00000000-0005-0000-0000-000023030000}"/>
    <cellStyle name="Обычный 33" xfId="746" xr:uid="{00000000-0005-0000-0000-000024030000}"/>
    <cellStyle name="Обычный 33 2" xfId="747" xr:uid="{00000000-0005-0000-0000-000025030000}"/>
    <cellStyle name="Обычный 34" xfId="748" xr:uid="{00000000-0005-0000-0000-000026030000}"/>
    <cellStyle name="Обычный 34 2" xfId="749" xr:uid="{00000000-0005-0000-0000-000027030000}"/>
    <cellStyle name="Обычный 35" xfId="750" xr:uid="{00000000-0005-0000-0000-000028030000}"/>
    <cellStyle name="Обычный 35 10" xfId="751" xr:uid="{00000000-0005-0000-0000-000029030000}"/>
    <cellStyle name="Обычный 35 11" xfId="752" xr:uid="{00000000-0005-0000-0000-00002A030000}"/>
    <cellStyle name="Обычный 35 12" xfId="753" xr:uid="{00000000-0005-0000-0000-00002B030000}"/>
    <cellStyle name="Обычный 35 13" xfId="754" xr:uid="{00000000-0005-0000-0000-00002C030000}"/>
    <cellStyle name="Обычный 35 14" xfId="755" xr:uid="{00000000-0005-0000-0000-00002D030000}"/>
    <cellStyle name="Обычный 35 15" xfId="756" xr:uid="{00000000-0005-0000-0000-00002E030000}"/>
    <cellStyle name="Обычный 35 16" xfId="757" xr:uid="{00000000-0005-0000-0000-00002F030000}"/>
    <cellStyle name="Обычный 35 17" xfId="758" xr:uid="{00000000-0005-0000-0000-000030030000}"/>
    <cellStyle name="Обычный 35 18" xfId="759" xr:uid="{00000000-0005-0000-0000-000031030000}"/>
    <cellStyle name="Обычный 35 19" xfId="760" xr:uid="{00000000-0005-0000-0000-000032030000}"/>
    <cellStyle name="Обычный 35 2" xfId="761" xr:uid="{00000000-0005-0000-0000-000033030000}"/>
    <cellStyle name="Обычный 35 2 2" xfId="762" xr:uid="{00000000-0005-0000-0000-000034030000}"/>
    <cellStyle name="Обычный 35 20" xfId="763" xr:uid="{00000000-0005-0000-0000-000035030000}"/>
    <cellStyle name="Обычный 35 21" xfId="764" xr:uid="{00000000-0005-0000-0000-000036030000}"/>
    <cellStyle name="Обычный 35 22" xfId="765" xr:uid="{00000000-0005-0000-0000-000037030000}"/>
    <cellStyle name="Обычный 35 23" xfId="766" xr:uid="{00000000-0005-0000-0000-000038030000}"/>
    <cellStyle name="Обычный 35 24" xfId="767" xr:uid="{00000000-0005-0000-0000-000039030000}"/>
    <cellStyle name="Обычный 35 25" xfId="768" xr:uid="{00000000-0005-0000-0000-00003A030000}"/>
    <cellStyle name="Обычный 35 26" xfId="769" xr:uid="{00000000-0005-0000-0000-00003B030000}"/>
    <cellStyle name="Обычный 35 27" xfId="770" xr:uid="{00000000-0005-0000-0000-00003C030000}"/>
    <cellStyle name="Обычный 35 28" xfId="771" xr:uid="{00000000-0005-0000-0000-00003D030000}"/>
    <cellStyle name="Обычный 35 29" xfId="772" xr:uid="{00000000-0005-0000-0000-00003E030000}"/>
    <cellStyle name="Обычный 35 3" xfId="773" xr:uid="{00000000-0005-0000-0000-00003F030000}"/>
    <cellStyle name="Обычный 35 30" xfId="774" xr:uid="{00000000-0005-0000-0000-000040030000}"/>
    <cellStyle name="Обычный 35 31" xfId="775" xr:uid="{00000000-0005-0000-0000-000041030000}"/>
    <cellStyle name="Обычный 35 4" xfId="776" xr:uid="{00000000-0005-0000-0000-000042030000}"/>
    <cellStyle name="Обычный 35 5" xfId="777" xr:uid="{00000000-0005-0000-0000-000043030000}"/>
    <cellStyle name="Обычный 35 6" xfId="778" xr:uid="{00000000-0005-0000-0000-000044030000}"/>
    <cellStyle name="Обычный 35 7" xfId="779" xr:uid="{00000000-0005-0000-0000-000045030000}"/>
    <cellStyle name="Обычный 35 8" xfId="780" xr:uid="{00000000-0005-0000-0000-000046030000}"/>
    <cellStyle name="Обычный 35 9" xfId="781" xr:uid="{00000000-0005-0000-0000-000047030000}"/>
    <cellStyle name="Обычный 36" xfId="782" xr:uid="{00000000-0005-0000-0000-000048030000}"/>
    <cellStyle name="Обычный 36 2" xfId="783" xr:uid="{00000000-0005-0000-0000-000049030000}"/>
    <cellStyle name="Обычный 37" xfId="784" xr:uid="{00000000-0005-0000-0000-00004A030000}"/>
    <cellStyle name="Обычный 37 2" xfId="785" xr:uid="{00000000-0005-0000-0000-00004B030000}"/>
    <cellStyle name="Обычный 38" xfId="786" xr:uid="{00000000-0005-0000-0000-00004C030000}"/>
    <cellStyle name="Обычный 38 2" xfId="787" xr:uid="{00000000-0005-0000-0000-00004D030000}"/>
    <cellStyle name="Обычный 39" xfId="788" xr:uid="{00000000-0005-0000-0000-00004E030000}"/>
    <cellStyle name="Обычный 39 2" xfId="789" xr:uid="{00000000-0005-0000-0000-00004F030000}"/>
    <cellStyle name="Обычный 4" xfId="6" xr:uid="{00000000-0005-0000-0000-000050030000}"/>
    <cellStyle name="Обычный 4 2" xfId="4" xr:uid="{00000000-0005-0000-0000-000051030000}"/>
    <cellStyle name="Обычный 4 2 2" xfId="790" xr:uid="{00000000-0005-0000-0000-000052030000}"/>
    <cellStyle name="Обычный 4 2 3" xfId="791" xr:uid="{00000000-0005-0000-0000-000053030000}"/>
    <cellStyle name="Обычный 4 3" xfId="792" xr:uid="{00000000-0005-0000-0000-000054030000}"/>
    <cellStyle name="Обычный 4 3 2" xfId="793" xr:uid="{00000000-0005-0000-0000-000055030000}"/>
    <cellStyle name="Обычный 4 4" xfId="794" xr:uid="{00000000-0005-0000-0000-000056030000}"/>
    <cellStyle name="Обычный 4 4 2" xfId="795" xr:uid="{00000000-0005-0000-0000-000057030000}"/>
    <cellStyle name="Обычный 4 5" xfId="796" xr:uid="{00000000-0005-0000-0000-000058030000}"/>
    <cellStyle name="Обычный 40" xfId="797" xr:uid="{00000000-0005-0000-0000-000059030000}"/>
    <cellStyle name="Обычный 40 10" xfId="798" xr:uid="{00000000-0005-0000-0000-00005A030000}"/>
    <cellStyle name="Обычный 40 11" xfId="799" xr:uid="{00000000-0005-0000-0000-00005B030000}"/>
    <cellStyle name="Обычный 40 12" xfId="800" xr:uid="{00000000-0005-0000-0000-00005C030000}"/>
    <cellStyle name="Обычный 40 13" xfId="801" xr:uid="{00000000-0005-0000-0000-00005D030000}"/>
    <cellStyle name="Обычный 40 14" xfId="802" xr:uid="{00000000-0005-0000-0000-00005E030000}"/>
    <cellStyle name="Обычный 40 15" xfId="803" xr:uid="{00000000-0005-0000-0000-00005F030000}"/>
    <cellStyle name="Обычный 40 16" xfId="804" xr:uid="{00000000-0005-0000-0000-000060030000}"/>
    <cellStyle name="Обычный 40 17" xfId="805" xr:uid="{00000000-0005-0000-0000-000061030000}"/>
    <cellStyle name="Обычный 40 18" xfId="806" xr:uid="{00000000-0005-0000-0000-000062030000}"/>
    <cellStyle name="Обычный 40 19" xfId="807" xr:uid="{00000000-0005-0000-0000-000063030000}"/>
    <cellStyle name="Обычный 40 2" xfId="808" xr:uid="{00000000-0005-0000-0000-000064030000}"/>
    <cellStyle name="Обычный 40 2 2" xfId="809" xr:uid="{00000000-0005-0000-0000-000065030000}"/>
    <cellStyle name="Обычный 40 20" xfId="810" xr:uid="{00000000-0005-0000-0000-000066030000}"/>
    <cellStyle name="Обычный 40 21" xfId="811" xr:uid="{00000000-0005-0000-0000-000067030000}"/>
    <cellStyle name="Обычный 40 22" xfId="812" xr:uid="{00000000-0005-0000-0000-000068030000}"/>
    <cellStyle name="Обычный 40 23" xfId="813" xr:uid="{00000000-0005-0000-0000-000069030000}"/>
    <cellStyle name="Обычный 40 24" xfId="814" xr:uid="{00000000-0005-0000-0000-00006A030000}"/>
    <cellStyle name="Обычный 40 25" xfId="815" xr:uid="{00000000-0005-0000-0000-00006B030000}"/>
    <cellStyle name="Обычный 40 26" xfId="816" xr:uid="{00000000-0005-0000-0000-00006C030000}"/>
    <cellStyle name="Обычный 40 27" xfId="817" xr:uid="{00000000-0005-0000-0000-00006D030000}"/>
    <cellStyle name="Обычный 40 28" xfId="818" xr:uid="{00000000-0005-0000-0000-00006E030000}"/>
    <cellStyle name="Обычный 40 29" xfId="819" xr:uid="{00000000-0005-0000-0000-00006F030000}"/>
    <cellStyle name="Обычный 40 3" xfId="820" xr:uid="{00000000-0005-0000-0000-000070030000}"/>
    <cellStyle name="Обычный 40 30" xfId="821" xr:uid="{00000000-0005-0000-0000-000071030000}"/>
    <cellStyle name="Обычный 40 31" xfId="822" xr:uid="{00000000-0005-0000-0000-000072030000}"/>
    <cellStyle name="Обычный 40 32" xfId="823" xr:uid="{00000000-0005-0000-0000-000073030000}"/>
    <cellStyle name="Обычный 40 4" xfId="824" xr:uid="{00000000-0005-0000-0000-000074030000}"/>
    <cellStyle name="Обычный 40 5" xfId="825" xr:uid="{00000000-0005-0000-0000-000075030000}"/>
    <cellStyle name="Обычный 40 6" xfId="826" xr:uid="{00000000-0005-0000-0000-000076030000}"/>
    <cellStyle name="Обычный 40 7" xfId="827" xr:uid="{00000000-0005-0000-0000-000077030000}"/>
    <cellStyle name="Обычный 40 8" xfId="828" xr:uid="{00000000-0005-0000-0000-000078030000}"/>
    <cellStyle name="Обычный 40 9" xfId="829" xr:uid="{00000000-0005-0000-0000-000079030000}"/>
    <cellStyle name="Обычный 41" xfId="830" xr:uid="{00000000-0005-0000-0000-00007A030000}"/>
    <cellStyle name="Обычный 41 10" xfId="831" xr:uid="{00000000-0005-0000-0000-00007B030000}"/>
    <cellStyle name="Обычный 41 11" xfId="832" xr:uid="{00000000-0005-0000-0000-00007C030000}"/>
    <cellStyle name="Обычный 41 12" xfId="833" xr:uid="{00000000-0005-0000-0000-00007D030000}"/>
    <cellStyle name="Обычный 41 13" xfId="834" xr:uid="{00000000-0005-0000-0000-00007E030000}"/>
    <cellStyle name="Обычный 41 14" xfId="835" xr:uid="{00000000-0005-0000-0000-00007F030000}"/>
    <cellStyle name="Обычный 41 15" xfId="836" xr:uid="{00000000-0005-0000-0000-000080030000}"/>
    <cellStyle name="Обычный 41 16" xfId="837" xr:uid="{00000000-0005-0000-0000-000081030000}"/>
    <cellStyle name="Обычный 41 17" xfId="838" xr:uid="{00000000-0005-0000-0000-000082030000}"/>
    <cellStyle name="Обычный 41 18" xfId="839" xr:uid="{00000000-0005-0000-0000-000083030000}"/>
    <cellStyle name="Обычный 41 19" xfId="840" xr:uid="{00000000-0005-0000-0000-000084030000}"/>
    <cellStyle name="Обычный 41 2" xfId="841" xr:uid="{00000000-0005-0000-0000-000085030000}"/>
    <cellStyle name="Обычный 41 2 2" xfId="842" xr:uid="{00000000-0005-0000-0000-000086030000}"/>
    <cellStyle name="Обычный 41 20" xfId="843" xr:uid="{00000000-0005-0000-0000-000087030000}"/>
    <cellStyle name="Обычный 41 21" xfId="844" xr:uid="{00000000-0005-0000-0000-000088030000}"/>
    <cellStyle name="Обычный 41 22" xfId="845" xr:uid="{00000000-0005-0000-0000-000089030000}"/>
    <cellStyle name="Обычный 41 23" xfId="846" xr:uid="{00000000-0005-0000-0000-00008A030000}"/>
    <cellStyle name="Обычный 41 24" xfId="847" xr:uid="{00000000-0005-0000-0000-00008B030000}"/>
    <cellStyle name="Обычный 41 25" xfId="848" xr:uid="{00000000-0005-0000-0000-00008C030000}"/>
    <cellStyle name="Обычный 41 26" xfId="849" xr:uid="{00000000-0005-0000-0000-00008D030000}"/>
    <cellStyle name="Обычный 41 27" xfId="850" xr:uid="{00000000-0005-0000-0000-00008E030000}"/>
    <cellStyle name="Обычный 41 28" xfId="851" xr:uid="{00000000-0005-0000-0000-00008F030000}"/>
    <cellStyle name="Обычный 41 29" xfId="852" xr:uid="{00000000-0005-0000-0000-000090030000}"/>
    <cellStyle name="Обычный 41 3" xfId="853" xr:uid="{00000000-0005-0000-0000-000091030000}"/>
    <cellStyle name="Обычный 41 30" xfId="854" xr:uid="{00000000-0005-0000-0000-000092030000}"/>
    <cellStyle name="Обычный 41 31" xfId="855" xr:uid="{00000000-0005-0000-0000-000093030000}"/>
    <cellStyle name="Обычный 41 32" xfId="856" xr:uid="{00000000-0005-0000-0000-000094030000}"/>
    <cellStyle name="Обычный 41 4" xfId="857" xr:uid="{00000000-0005-0000-0000-000095030000}"/>
    <cellStyle name="Обычный 41 5" xfId="858" xr:uid="{00000000-0005-0000-0000-000096030000}"/>
    <cellStyle name="Обычный 41 6" xfId="859" xr:uid="{00000000-0005-0000-0000-000097030000}"/>
    <cellStyle name="Обычный 41 7" xfId="860" xr:uid="{00000000-0005-0000-0000-000098030000}"/>
    <cellStyle name="Обычный 41 8" xfId="861" xr:uid="{00000000-0005-0000-0000-000099030000}"/>
    <cellStyle name="Обычный 41 9" xfId="862" xr:uid="{00000000-0005-0000-0000-00009A030000}"/>
    <cellStyle name="Обычный 42" xfId="863" xr:uid="{00000000-0005-0000-0000-00009B030000}"/>
    <cellStyle name="Обычный 43" xfId="864" xr:uid="{00000000-0005-0000-0000-00009C030000}"/>
    <cellStyle name="Обычный 44" xfId="865" xr:uid="{00000000-0005-0000-0000-00009D030000}"/>
    <cellStyle name="Обычный 45" xfId="866" xr:uid="{00000000-0005-0000-0000-00009E030000}"/>
    <cellStyle name="Обычный 46" xfId="867" xr:uid="{00000000-0005-0000-0000-00009F030000}"/>
    <cellStyle name="Обычный 47" xfId="868" xr:uid="{00000000-0005-0000-0000-0000A0030000}"/>
    <cellStyle name="Обычный 47 2" xfId="869" xr:uid="{00000000-0005-0000-0000-0000A1030000}"/>
    <cellStyle name="Обычный 47 3" xfId="870" xr:uid="{00000000-0005-0000-0000-0000A2030000}"/>
    <cellStyle name="Обычный 47 4" xfId="871" xr:uid="{00000000-0005-0000-0000-0000A3030000}"/>
    <cellStyle name="Обычный 47 5" xfId="872" xr:uid="{00000000-0005-0000-0000-0000A4030000}"/>
    <cellStyle name="Обычный 47 6" xfId="873" xr:uid="{00000000-0005-0000-0000-0000A5030000}"/>
    <cellStyle name="Обычный 47 7" xfId="874" xr:uid="{00000000-0005-0000-0000-0000A6030000}"/>
    <cellStyle name="Обычный 48" xfId="875" xr:uid="{00000000-0005-0000-0000-0000A7030000}"/>
    <cellStyle name="Обычный 48 2" xfId="876" xr:uid="{00000000-0005-0000-0000-0000A8030000}"/>
    <cellStyle name="Обычный 48 3" xfId="877" xr:uid="{00000000-0005-0000-0000-0000A9030000}"/>
    <cellStyle name="Обычный 49" xfId="878" xr:uid="{00000000-0005-0000-0000-0000AA030000}"/>
    <cellStyle name="Обычный 5" xfId="879" xr:uid="{00000000-0005-0000-0000-0000AB030000}"/>
    <cellStyle name="Обычный 5 2" xfId="880" xr:uid="{00000000-0005-0000-0000-0000AC030000}"/>
    <cellStyle name="Обычный 5 2 2" xfId="881" xr:uid="{00000000-0005-0000-0000-0000AD030000}"/>
    <cellStyle name="Обычный 5 2 2 2" xfId="882" xr:uid="{00000000-0005-0000-0000-0000AE030000}"/>
    <cellStyle name="Обычный 5 2 3" xfId="883" xr:uid="{00000000-0005-0000-0000-0000AF030000}"/>
    <cellStyle name="Обычный 5 3" xfId="884" xr:uid="{00000000-0005-0000-0000-0000B0030000}"/>
    <cellStyle name="Обычный 5 3 2" xfId="885" xr:uid="{00000000-0005-0000-0000-0000B1030000}"/>
    <cellStyle name="Обычный 5 3 2 2" xfId="886" xr:uid="{00000000-0005-0000-0000-0000B2030000}"/>
    <cellStyle name="Обычный 5 3 3" xfId="887" xr:uid="{00000000-0005-0000-0000-0000B3030000}"/>
    <cellStyle name="Обычный 5 3 4" xfId="888" xr:uid="{00000000-0005-0000-0000-0000B4030000}"/>
    <cellStyle name="Обычный 5 4" xfId="889" xr:uid="{00000000-0005-0000-0000-0000B5030000}"/>
    <cellStyle name="Обычный 5 4 2" xfId="890" xr:uid="{00000000-0005-0000-0000-0000B6030000}"/>
    <cellStyle name="Обычный 5 5" xfId="891" xr:uid="{00000000-0005-0000-0000-0000B7030000}"/>
    <cellStyle name="Обычный 5 5 2" xfId="892" xr:uid="{00000000-0005-0000-0000-0000B8030000}"/>
    <cellStyle name="Обычный 5 6" xfId="893" xr:uid="{00000000-0005-0000-0000-0000B9030000}"/>
    <cellStyle name="Обычный 5 6 2" xfId="894" xr:uid="{00000000-0005-0000-0000-0000BA030000}"/>
    <cellStyle name="Обычный 5 7" xfId="895" xr:uid="{00000000-0005-0000-0000-0000BB030000}"/>
    <cellStyle name="Обычный 5 7 2" xfId="896" xr:uid="{00000000-0005-0000-0000-0000BC030000}"/>
    <cellStyle name="Обычный 5 8" xfId="897" xr:uid="{00000000-0005-0000-0000-0000BD030000}"/>
    <cellStyle name="Обычный 5 8 2" xfId="898" xr:uid="{00000000-0005-0000-0000-0000BE030000}"/>
    <cellStyle name="Обычный 50" xfId="899" xr:uid="{00000000-0005-0000-0000-0000BF030000}"/>
    <cellStyle name="Обычный 51" xfId="900" xr:uid="{00000000-0005-0000-0000-0000C0030000}"/>
    <cellStyle name="Обычный 52" xfId="901" xr:uid="{00000000-0005-0000-0000-0000C1030000}"/>
    <cellStyle name="Обычный 53" xfId="902" xr:uid="{00000000-0005-0000-0000-0000C2030000}"/>
    <cellStyle name="Обычный 54" xfId="903" xr:uid="{00000000-0005-0000-0000-0000C3030000}"/>
    <cellStyle name="Обычный 55" xfId="904" xr:uid="{00000000-0005-0000-0000-0000C4030000}"/>
    <cellStyle name="Обычный 56" xfId="905" xr:uid="{00000000-0005-0000-0000-0000C5030000}"/>
    <cellStyle name="Обычный 57" xfId="906" xr:uid="{00000000-0005-0000-0000-0000C6030000}"/>
    <cellStyle name="Обычный 58" xfId="907" xr:uid="{00000000-0005-0000-0000-0000C7030000}"/>
    <cellStyle name="Обычный 59" xfId="908" xr:uid="{00000000-0005-0000-0000-0000C8030000}"/>
    <cellStyle name="Обычный 6" xfId="909" xr:uid="{00000000-0005-0000-0000-0000C9030000}"/>
    <cellStyle name="Обычный 6 2" xfId="910" xr:uid="{00000000-0005-0000-0000-0000CA030000}"/>
    <cellStyle name="Обычный 6 2 2" xfId="911" xr:uid="{00000000-0005-0000-0000-0000CB030000}"/>
    <cellStyle name="Обычный 6 2 3" xfId="912" xr:uid="{00000000-0005-0000-0000-0000CC030000}"/>
    <cellStyle name="Обычный 6 3" xfId="913" xr:uid="{00000000-0005-0000-0000-0000CD030000}"/>
    <cellStyle name="Обычный 6 3 2" xfId="914" xr:uid="{00000000-0005-0000-0000-0000CE030000}"/>
    <cellStyle name="Обычный 6 4" xfId="915" xr:uid="{00000000-0005-0000-0000-0000CF030000}"/>
    <cellStyle name="Обычный 6 5" xfId="916" xr:uid="{00000000-0005-0000-0000-0000D0030000}"/>
    <cellStyle name="Обычный 6 6" xfId="917" xr:uid="{00000000-0005-0000-0000-0000D1030000}"/>
    <cellStyle name="Обычный 60" xfId="918" xr:uid="{00000000-0005-0000-0000-0000D2030000}"/>
    <cellStyle name="Обычный 61" xfId="919" xr:uid="{00000000-0005-0000-0000-0000D3030000}"/>
    <cellStyle name="Обычный 62" xfId="920" xr:uid="{00000000-0005-0000-0000-0000D4030000}"/>
    <cellStyle name="Обычный 63" xfId="921" xr:uid="{00000000-0005-0000-0000-0000D5030000}"/>
    <cellStyle name="Обычный 64" xfId="922" xr:uid="{00000000-0005-0000-0000-0000D6030000}"/>
    <cellStyle name="Обычный 65" xfId="923" xr:uid="{00000000-0005-0000-0000-0000D7030000}"/>
    <cellStyle name="Обычный 65 2" xfId="924" xr:uid="{00000000-0005-0000-0000-0000D8030000}"/>
    <cellStyle name="Обычный 66" xfId="925" xr:uid="{00000000-0005-0000-0000-0000D9030000}"/>
    <cellStyle name="Обычный 66 2" xfId="926" xr:uid="{00000000-0005-0000-0000-0000DA030000}"/>
    <cellStyle name="Обычный 66 3" xfId="927" xr:uid="{00000000-0005-0000-0000-0000DB030000}"/>
    <cellStyle name="Обычный 67" xfId="928" xr:uid="{00000000-0005-0000-0000-0000DC030000}"/>
    <cellStyle name="Обычный 68" xfId="929" xr:uid="{00000000-0005-0000-0000-0000DD030000}"/>
    <cellStyle name="Обычный 69" xfId="930" xr:uid="{00000000-0005-0000-0000-0000DE030000}"/>
    <cellStyle name="Обычный 7" xfId="931" xr:uid="{00000000-0005-0000-0000-0000DF030000}"/>
    <cellStyle name="Обычный 7 2" xfId="932" xr:uid="{00000000-0005-0000-0000-0000E0030000}"/>
    <cellStyle name="Обычный 7 2 2" xfId="933" xr:uid="{00000000-0005-0000-0000-0000E1030000}"/>
    <cellStyle name="Обычный 7 2 3" xfId="934" xr:uid="{00000000-0005-0000-0000-0000E2030000}"/>
    <cellStyle name="Обычный 7 3" xfId="935" xr:uid="{00000000-0005-0000-0000-0000E3030000}"/>
    <cellStyle name="Обычный 7 3 2" xfId="936" xr:uid="{00000000-0005-0000-0000-0000E4030000}"/>
    <cellStyle name="Обычный 7 4" xfId="937" xr:uid="{00000000-0005-0000-0000-0000E5030000}"/>
    <cellStyle name="Обычный 7 4 2" xfId="938" xr:uid="{00000000-0005-0000-0000-0000E6030000}"/>
    <cellStyle name="Обычный 7 5" xfId="939" xr:uid="{00000000-0005-0000-0000-0000E7030000}"/>
    <cellStyle name="Обычный 70" xfId="940" xr:uid="{00000000-0005-0000-0000-0000E8030000}"/>
    <cellStyle name="Обычный 71" xfId="941" xr:uid="{00000000-0005-0000-0000-0000E9030000}"/>
    <cellStyle name="Обычный 72" xfId="942" xr:uid="{00000000-0005-0000-0000-0000EA030000}"/>
    <cellStyle name="Обычный 73" xfId="943" xr:uid="{00000000-0005-0000-0000-0000EB030000}"/>
    <cellStyle name="Обычный 73 2" xfId="944" xr:uid="{00000000-0005-0000-0000-0000EC030000}"/>
    <cellStyle name="Обычный 73 3" xfId="945" xr:uid="{00000000-0005-0000-0000-0000ED030000}"/>
    <cellStyle name="Обычный 73 4" xfId="946" xr:uid="{00000000-0005-0000-0000-0000EE030000}"/>
    <cellStyle name="Обычный 74" xfId="947" xr:uid="{00000000-0005-0000-0000-0000EF030000}"/>
    <cellStyle name="Обычный 75" xfId="948" xr:uid="{00000000-0005-0000-0000-0000F0030000}"/>
    <cellStyle name="Обычный 75 2" xfId="949" xr:uid="{00000000-0005-0000-0000-0000F1030000}"/>
    <cellStyle name="Обычный 76" xfId="950" xr:uid="{00000000-0005-0000-0000-0000F2030000}"/>
    <cellStyle name="Обычный 77" xfId="951" xr:uid="{00000000-0005-0000-0000-0000F3030000}"/>
    <cellStyle name="Обычный 78" xfId="952" xr:uid="{00000000-0005-0000-0000-0000F4030000}"/>
    <cellStyle name="Обычный 78 2" xfId="953" xr:uid="{00000000-0005-0000-0000-0000F5030000}"/>
    <cellStyle name="Обычный 78 3" xfId="954" xr:uid="{00000000-0005-0000-0000-0000F6030000}"/>
    <cellStyle name="Обычный 79" xfId="955" xr:uid="{00000000-0005-0000-0000-0000F7030000}"/>
    <cellStyle name="Обычный 8" xfId="956" xr:uid="{00000000-0005-0000-0000-0000F8030000}"/>
    <cellStyle name="Обычный 8 2" xfId="957" xr:uid="{00000000-0005-0000-0000-0000F9030000}"/>
    <cellStyle name="Обычный 8 2 2" xfId="958" xr:uid="{00000000-0005-0000-0000-0000FA030000}"/>
    <cellStyle name="Обычный 8 2 3" xfId="959" xr:uid="{00000000-0005-0000-0000-0000FB030000}"/>
    <cellStyle name="Обычный 8 3" xfId="960" xr:uid="{00000000-0005-0000-0000-0000FC030000}"/>
    <cellStyle name="Обычный 8 3 2" xfId="961" xr:uid="{00000000-0005-0000-0000-0000FD030000}"/>
    <cellStyle name="Обычный 8 4" xfId="962" xr:uid="{00000000-0005-0000-0000-0000FE030000}"/>
    <cellStyle name="Обычный 8 5" xfId="963" xr:uid="{00000000-0005-0000-0000-0000FF030000}"/>
    <cellStyle name="Обычный 8 6" xfId="964" xr:uid="{00000000-0005-0000-0000-000000040000}"/>
    <cellStyle name="Обычный 80" xfId="965" xr:uid="{00000000-0005-0000-0000-000001040000}"/>
    <cellStyle name="Обычный 81" xfId="966" xr:uid="{00000000-0005-0000-0000-000002040000}"/>
    <cellStyle name="Обычный 82" xfId="967" xr:uid="{00000000-0005-0000-0000-000003040000}"/>
    <cellStyle name="Обычный 83" xfId="968" xr:uid="{00000000-0005-0000-0000-000004040000}"/>
    <cellStyle name="Обычный 84" xfId="969" xr:uid="{00000000-0005-0000-0000-000005040000}"/>
    <cellStyle name="Обычный 85" xfId="970" xr:uid="{00000000-0005-0000-0000-000006040000}"/>
    <cellStyle name="Обычный 86" xfId="971" xr:uid="{00000000-0005-0000-0000-000007040000}"/>
    <cellStyle name="Обычный 87" xfId="972" xr:uid="{00000000-0005-0000-0000-000008040000}"/>
    <cellStyle name="Обычный 87 2" xfId="973" xr:uid="{00000000-0005-0000-0000-000009040000}"/>
    <cellStyle name="Обычный 87 3" xfId="974" xr:uid="{00000000-0005-0000-0000-00000A040000}"/>
    <cellStyle name="Обычный 88" xfId="975" xr:uid="{00000000-0005-0000-0000-00000B040000}"/>
    <cellStyle name="Обычный 88 2" xfId="976" xr:uid="{00000000-0005-0000-0000-00000C040000}"/>
    <cellStyle name="Обычный 88 3" xfId="977" xr:uid="{00000000-0005-0000-0000-00000D040000}"/>
    <cellStyle name="Обычный 89" xfId="978" xr:uid="{00000000-0005-0000-0000-00000E040000}"/>
    <cellStyle name="Обычный 9" xfId="979" xr:uid="{00000000-0005-0000-0000-00000F040000}"/>
    <cellStyle name="Обычный 9 2" xfId="980" xr:uid="{00000000-0005-0000-0000-000010040000}"/>
    <cellStyle name="Обычный 9 2 2" xfId="981" xr:uid="{00000000-0005-0000-0000-000011040000}"/>
    <cellStyle name="Обычный 9 2 3" xfId="982" xr:uid="{00000000-0005-0000-0000-000012040000}"/>
    <cellStyle name="Обычный 9 3" xfId="983" xr:uid="{00000000-0005-0000-0000-000013040000}"/>
    <cellStyle name="Обычный 9 3 2" xfId="984" xr:uid="{00000000-0005-0000-0000-000014040000}"/>
    <cellStyle name="Обычный 9 4" xfId="985" xr:uid="{00000000-0005-0000-0000-000015040000}"/>
    <cellStyle name="Обычный 90" xfId="986" xr:uid="{00000000-0005-0000-0000-000016040000}"/>
    <cellStyle name="Обычный 90 2" xfId="987" xr:uid="{00000000-0005-0000-0000-000017040000}"/>
    <cellStyle name="Обычный 91" xfId="988" xr:uid="{00000000-0005-0000-0000-000018040000}"/>
    <cellStyle name="Обычный 92" xfId="989" xr:uid="{00000000-0005-0000-0000-000019040000}"/>
    <cellStyle name="Обычный 92 2" xfId="990" xr:uid="{00000000-0005-0000-0000-00001A040000}"/>
    <cellStyle name="Обычный 93" xfId="991" xr:uid="{00000000-0005-0000-0000-00001B040000}"/>
    <cellStyle name="Обычный 93 2" xfId="992" xr:uid="{00000000-0005-0000-0000-00001C040000}"/>
    <cellStyle name="Обычный 93 3" xfId="993" xr:uid="{00000000-0005-0000-0000-00001D040000}"/>
    <cellStyle name="Обычный 94" xfId="994" xr:uid="{00000000-0005-0000-0000-00001E040000}"/>
    <cellStyle name="Обычный 94 2" xfId="995" xr:uid="{00000000-0005-0000-0000-00001F040000}"/>
    <cellStyle name="Обычный 94 3" xfId="996" xr:uid="{00000000-0005-0000-0000-000020040000}"/>
    <cellStyle name="Обычный 95" xfId="997" xr:uid="{00000000-0005-0000-0000-000021040000}"/>
    <cellStyle name="Обычный 95 2" xfId="998" xr:uid="{00000000-0005-0000-0000-000022040000}"/>
    <cellStyle name="Обычный 96" xfId="999" xr:uid="{00000000-0005-0000-0000-000023040000}"/>
    <cellStyle name="Обычный 97" xfId="1000" xr:uid="{00000000-0005-0000-0000-000024040000}"/>
    <cellStyle name="Обычный 97 2" xfId="1001" xr:uid="{00000000-0005-0000-0000-000025040000}"/>
    <cellStyle name="Обычный 98" xfId="1002" xr:uid="{00000000-0005-0000-0000-000026040000}"/>
    <cellStyle name="Обычный 99" xfId="1003" xr:uid="{00000000-0005-0000-0000-000027040000}"/>
    <cellStyle name="Обычный 99 2" xfId="1004" xr:uid="{00000000-0005-0000-0000-000028040000}"/>
    <cellStyle name="Обычный 99 2 2" xfId="1005" xr:uid="{00000000-0005-0000-0000-000029040000}"/>
    <cellStyle name="Обычный_Книга3" xfId="1288" xr:uid="{00000000-0005-0000-0000-00002A040000}"/>
    <cellStyle name="Примечание 10" xfId="1006" xr:uid="{00000000-0005-0000-0000-00002B040000}"/>
    <cellStyle name="Примечание 11" xfId="1007" xr:uid="{00000000-0005-0000-0000-00002C040000}"/>
    <cellStyle name="Примечание 12" xfId="1008" xr:uid="{00000000-0005-0000-0000-00002D040000}"/>
    <cellStyle name="Примечание 13" xfId="1009" xr:uid="{00000000-0005-0000-0000-00002E040000}"/>
    <cellStyle name="Примечание 14" xfId="1010" xr:uid="{00000000-0005-0000-0000-00002F040000}"/>
    <cellStyle name="Примечание 15" xfId="1011" xr:uid="{00000000-0005-0000-0000-000030040000}"/>
    <cellStyle name="Примечание 16" xfId="1012" xr:uid="{00000000-0005-0000-0000-000031040000}"/>
    <cellStyle name="Примечание 17" xfId="1013" xr:uid="{00000000-0005-0000-0000-000032040000}"/>
    <cellStyle name="Примечание 18" xfId="1014" xr:uid="{00000000-0005-0000-0000-000033040000}"/>
    <cellStyle name="Примечание 19" xfId="1015" xr:uid="{00000000-0005-0000-0000-000034040000}"/>
    <cellStyle name="Примечание 2" xfId="1016" xr:uid="{00000000-0005-0000-0000-000035040000}"/>
    <cellStyle name="Примечание 2 2" xfId="1017" xr:uid="{00000000-0005-0000-0000-000036040000}"/>
    <cellStyle name="Примечание 2 3" xfId="1018" xr:uid="{00000000-0005-0000-0000-000037040000}"/>
    <cellStyle name="Примечание 20" xfId="1019" xr:uid="{00000000-0005-0000-0000-000038040000}"/>
    <cellStyle name="Примечание 21" xfId="1020" xr:uid="{00000000-0005-0000-0000-000039040000}"/>
    <cellStyle name="Примечание 22" xfId="1021" xr:uid="{00000000-0005-0000-0000-00003A040000}"/>
    <cellStyle name="Примечание 23" xfId="1022" xr:uid="{00000000-0005-0000-0000-00003B040000}"/>
    <cellStyle name="Примечание 24" xfId="1023" xr:uid="{00000000-0005-0000-0000-00003C040000}"/>
    <cellStyle name="Примечание 25" xfId="1024" xr:uid="{00000000-0005-0000-0000-00003D040000}"/>
    <cellStyle name="Примечание 26" xfId="1025" xr:uid="{00000000-0005-0000-0000-00003E040000}"/>
    <cellStyle name="Примечание 27" xfId="1026" xr:uid="{00000000-0005-0000-0000-00003F040000}"/>
    <cellStyle name="Примечание 28" xfId="1027" xr:uid="{00000000-0005-0000-0000-000040040000}"/>
    <cellStyle name="Примечание 29" xfId="1028" xr:uid="{00000000-0005-0000-0000-000041040000}"/>
    <cellStyle name="Примечание 3" xfId="1029" xr:uid="{00000000-0005-0000-0000-000042040000}"/>
    <cellStyle name="Примечание 3 2" xfId="1030" xr:uid="{00000000-0005-0000-0000-000043040000}"/>
    <cellStyle name="Примечание 3 3" xfId="1031" xr:uid="{00000000-0005-0000-0000-000044040000}"/>
    <cellStyle name="Примечание 30" xfId="1032" xr:uid="{00000000-0005-0000-0000-000045040000}"/>
    <cellStyle name="Примечание 4" xfId="1033" xr:uid="{00000000-0005-0000-0000-000046040000}"/>
    <cellStyle name="Примечание 4 2" xfId="1034" xr:uid="{00000000-0005-0000-0000-000047040000}"/>
    <cellStyle name="Примечание 4 3" xfId="1035" xr:uid="{00000000-0005-0000-0000-000048040000}"/>
    <cellStyle name="Примечание 5" xfId="1036" xr:uid="{00000000-0005-0000-0000-000049040000}"/>
    <cellStyle name="Примечание 5 2" xfId="1037" xr:uid="{00000000-0005-0000-0000-00004A040000}"/>
    <cellStyle name="Примечание 5 3" xfId="1038" xr:uid="{00000000-0005-0000-0000-00004B040000}"/>
    <cellStyle name="Примечание 6" xfId="1039" xr:uid="{00000000-0005-0000-0000-00004C040000}"/>
    <cellStyle name="Примечание 6 2" xfId="1040" xr:uid="{00000000-0005-0000-0000-00004D040000}"/>
    <cellStyle name="Примечание 6 3" xfId="1041" xr:uid="{00000000-0005-0000-0000-00004E040000}"/>
    <cellStyle name="Примечание 7" xfId="1042" xr:uid="{00000000-0005-0000-0000-00004F040000}"/>
    <cellStyle name="Примечание 7 2" xfId="1043" xr:uid="{00000000-0005-0000-0000-000050040000}"/>
    <cellStyle name="Примечание 7 3" xfId="1044" xr:uid="{00000000-0005-0000-0000-000051040000}"/>
    <cellStyle name="Примечание 8" xfId="1045" xr:uid="{00000000-0005-0000-0000-000052040000}"/>
    <cellStyle name="Примечание 8 2" xfId="1046" xr:uid="{00000000-0005-0000-0000-000053040000}"/>
    <cellStyle name="Примечание 8 3" xfId="1047" xr:uid="{00000000-0005-0000-0000-000054040000}"/>
    <cellStyle name="Примечание 9" xfId="1048" xr:uid="{00000000-0005-0000-0000-000055040000}"/>
    <cellStyle name="Примечание 9 2" xfId="1049" xr:uid="{00000000-0005-0000-0000-000056040000}"/>
    <cellStyle name="Процентный" xfId="2" builtinId="5"/>
    <cellStyle name="Процентный 2" xfId="8" xr:uid="{00000000-0005-0000-0000-000058040000}"/>
    <cellStyle name="Процентный 2 2" xfId="1050" xr:uid="{00000000-0005-0000-0000-000059040000}"/>
    <cellStyle name="Процентный 2 2 2" xfId="10" xr:uid="{00000000-0005-0000-0000-00005A040000}"/>
    <cellStyle name="Процентный 2 2 3" xfId="1051" xr:uid="{00000000-0005-0000-0000-00005B040000}"/>
    <cellStyle name="Процентный 2 3" xfId="1052" xr:uid="{00000000-0005-0000-0000-00005C040000}"/>
    <cellStyle name="Процентный 2 4" xfId="1053" xr:uid="{00000000-0005-0000-0000-00005D040000}"/>
    <cellStyle name="Процентный 2 5" xfId="1054" xr:uid="{00000000-0005-0000-0000-00005E040000}"/>
    <cellStyle name="Процентный 2 6" xfId="1055" xr:uid="{00000000-0005-0000-0000-00005F040000}"/>
    <cellStyle name="Процентный 2 7" xfId="1056" xr:uid="{00000000-0005-0000-0000-000060040000}"/>
    <cellStyle name="Процентный 3" xfId="1057" xr:uid="{00000000-0005-0000-0000-000061040000}"/>
    <cellStyle name="Процентный 4" xfId="1058" xr:uid="{00000000-0005-0000-0000-000062040000}"/>
    <cellStyle name="Стиль 1" xfId="1059" xr:uid="{00000000-0005-0000-0000-000063040000}"/>
    <cellStyle name="Финансовый" xfId="3" builtinId="3"/>
    <cellStyle name="Финансовый [0] 2" xfId="1060" xr:uid="{00000000-0005-0000-0000-000065040000}"/>
    <cellStyle name="Финансовый [0] 2 2" xfId="1061" xr:uid="{00000000-0005-0000-0000-000066040000}"/>
    <cellStyle name="Финансовый [0] 67" xfId="1062" xr:uid="{00000000-0005-0000-0000-000067040000}"/>
    <cellStyle name="Финансовый 10" xfId="1063" xr:uid="{00000000-0005-0000-0000-000068040000}"/>
    <cellStyle name="Финансовый 10 2" xfId="1064" xr:uid="{00000000-0005-0000-0000-000069040000}"/>
    <cellStyle name="Финансовый 11" xfId="1065" xr:uid="{00000000-0005-0000-0000-00006A040000}"/>
    <cellStyle name="Финансовый 11 2" xfId="1066" xr:uid="{00000000-0005-0000-0000-00006B040000}"/>
    <cellStyle name="Финансовый 12" xfId="1290" xr:uid="{00000000-0005-0000-0000-00006C040000}"/>
    <cellStyle name="Финансовый 13" xfId="1067" xr:uid="{00000000-0005-0000-0000-00006D040000}"/>
    <cellStyle name="Финансовый 13 2" xfId="1068" xr:uid="{00000000-0005-0000-0000-00006E040000}"/>
    <cellStyle name="Финансовый 13 3" xfId="1069" xr:uid="{00000000-0005-0000-0000-00006F040000}"/>
    <cellStyle name="Финансовый 17" xfId="1070" xr:uid="{00000000-0005-0000-0000-000070040000}"/>
    <cellStyle name="Финансовый 19" xfId="1071" xr:uid="{00000000-0005-0000-0000-000071040000}"/>
    <cellStyle name="Финансовый 19 2" xfId="1072" xr:uid="{00000000-0005-0000-0000-000072040000}"/>
    <cellStyle name="Финансовый 19 3" xfId="1073" xr:uid="{00000000-0005-0000-0000-000073040000}"/>
    <cellStyle name="Финансовый 2" xfId="7" xr:uid="{00000000-0005-0000-0000-000074040000}"/>
    <cellStyle name="Финансовый 2 10" xfId="1074" xr:uid="{00000000-0005-0000-0000-000075040000}"/>
    <cellStyle name="Финансовый 2 11" xfId="1075" xr:uid="{00000000-0005-0000-0000-000076040000}"/>
    <cellStyle name="Финансовый 2 12" xfId="1076" xr:uid="{00000000-0005-0000-0000-000077040000}"/>
    <cellStyle name="Финансовый 2 13" xfId="1077" xr:uid="{00000000-0005-0000-0000-000078040000}"/>
    <cellStyle name="Финансовый 2 14" xfId="1078" xr:uid="{00000000-0005-0000-0000-000079040000}"/>
    <cellStyle name="Финансовый 2 15" xfId="1079" xr:uid="{00000000-0005-0000-0000-00007A040000}"/>
    <cellStyle name="Финансовый 2 16" xfId="1080" xr:uid="{00000000-0005-0000-0000-00007B040000}"/>
    <cellStyle name="Финансовый 2 17" xfId="1081" xr:uid="{00000000-0005-0000-0000-00007C040000}"/>
    <cellStyle name="Финансовый 2 18" xfId="1082" xr:uid="{00000000-0005-0000-0000-00007D040000}"/>
    <cellStyle name="Финансовый 2 19" xfId="1083" xr:uid="{00000000-0005-0000-0000-00007E040000}"/>
    <cellStyle name="Финансовый 2 2" xfId="1084" xr:uid="{00000000-0005-0000-0000-00007F040000}"/>
    <cellStyle name="Финансовый 2 2 2" xfId="1085" xr:uid="{00000000-0005-0000-0000-000080040000}"/>
    <cellStyle name="Финансовый 2 2 2 2" xfId="1086" xr:uid="{00000000-0005-0000-0000-000081040000}"/>
    <cellStyle name="Финансовый 2 2 2 3" xfId="1087" xr:uid="{00000000-0005-0000-0000-000082040000}"/>
    <cellStyle name="Финансовый 2 2 3" xfId="1088" xr:uid="{00000000-0005-0000-0000-000083040000}"/>
    <cellStyle name="Финансовый 2 2 4" xfId="1089" xr:uid="{00000000-0005-0000-0000-000084040000}"/>
    <cellStyle name="Финансовый 2 20" xfId="1090" xr:uid="{00000000-0005-0000-0000-000085040000}"/>
    <cellStyle name="Финансовый 2 21" xfId="1091" xr:uid="{00000000-0005-0000-0000-000086040000}"/>
    <cellStyle name="Финансовый 2 22" xfId="1092" xr:uid="{00000000-0005-0000-0000-000087040000}"/>
    <cellStyle name="Финансовый 2 23" xfId="1093" xr:uid="{00000000-0005-0000-0000-000088040000}"/>
    <cellStyle name="Финансовый 2 24" xfId="1094" xr:uid="{00000000-0005-0000-0000-000089040000}"/>
    <cellStyle name="Финансовый 2 25" xfId="1095" xr:uid="{00000000-0005-0000-0000-00008A040000}"/>
    <cellStyle name="Финансовый 2 26" xfId="1096" xr:uid="{00000000-0005-0000-0000-00008B040000}"/>
    <cellStyle name="Финансовый 2 27" xfId="1097" xr:uid="{00000000-0005-0000-0000-00008C040000}"/>
    <cellStyle name="Финансовый 2 28" xfId="1098" xr:uid="{00000000-0005-0000-0000-00008D040000}"/>
    <cellStyle name="Финансовый 2 29" xfId="1099" xr:uid="{00000000-0005-0000-0000-00008E040000}"/>
    <cellStyle name="Финансовый 2 3" xfId="1100" xr:uid="{00000000-0005-0000-0000-00008F040000}"/>
    <cellStyle name="Финансовый 2 3 2" xfId="1101" xr:uid="{00000000-0005-0000-0000-000090040000}"/>
    <cellStyle name="Финансовый 2 3 3" xfId="1102" xr:uid="{00000000-0005-0000-0000-000091040000}"/>
    <cellStyle name="Финансовый 2 3 4" xfId="1103" xr:uid="{00000000-0005-0000-0000-000092040000}"/>
    <cellStyle name="Финансовый 2 30" xfId="1104" xr:uid="{00000000-0005-0000-0000-000093040000}"/>
    <cellStyle name="Финансовый 2 4" xfId="1105" xr:uid="{00000000-0005-0000-0000-000094040000}"/>
    <cellStyle name="Финансовый 2 4 2" xfId="1106" xr:uid="{00000000-0005-0000-0000-000095040000}"/>
    <cellStyle name="Финансовый 2 4 3" xfId="1107" xr:uid="{00000000-0005-0000-0000-000096040000}"/>
    <cellStyle name="Финансовый 2 4 4" xfId="1108" xr:uid="{00000000-0005-0000-0000-000097040000}"/>
    <cellStyle name="Финансовый 2 5" xfId="1109" xr:uid="{00000000-0005-0000-0000-000098040000}"/>
    <cellStyle name="Финансовый 2 5 2" xfId="1110" xr:uid="{00000000-0005-0000-0000-000099040000}"/>
    <cellStyle name="Финансовый 2 6" xfId="1111" xr:uid="{00000000-0005-0000-0000-00009A040000}"/>
    <cellStyle name="Финансовый 2 6 2" xfId="1112" xr:uid="{00000000-0005-0000-0000-00009B040000}"/>
    <cellStyle name="Финансовый 2 7" xfId="1113" xr:uid="{00000000-0005-0000-0000-00009C040000}"/>
    <cellStyle name="Финансовый 2 8" xfId="1114" xr:uid="{00000000-0005-0000-0000-00009D040000}"/>
    <cellStyle name="Финансовый 2 9" xfId="1115" xr:uid="{00000000-0005-0000-0000-00009E040000}"/>
    <cellStyle name="Финансовый 20" xfId="1116" xr:uid="{00000000-0005-0000-0000-00009F040000}"/>
    <cellStyle name="Финансовый 21" xfId="1117" xr:uid="{00000000-0005-0000-0000-0000A0040000}"/>
    <cellStyle name="Финансовый 23" xfId="1118" xr:uid="{00000000-0005-0000-0000-0000A1040000}"/>
    <cellStyle name="Финансовый 24" xfId="1119" xr:uid="{00000000-0005-0000-0000-0000A2040000}"/>
    <cellStyle name="Финансовый 25" xfId="1120" xr:uid="{00000000-0005-0000-0000-0000A3040000}"/>
    <cellStyle name="Финансовый 26" xfId="1121" xr:uid="{00000000-0005-0000-0000-0000A4040000}"/>
    <cellStyle name="Финансовый 27" xfId="1122" xr:uid="{00000000-0005-0000-0000-0000A5040000}"/>
    <cellStyle name="Финансовый 28" xfId="1123" xr:uid="{00000000-0005-0000-0000-0000A6040000}"/>
    <cellStyle name="Финансовый 3" xfId="1124" xr:uid="{00000000-0005-0000-0000-0000A7040000}"/>
    <cellStyle name="Финансовый 3 10" xfId="1125" xr:uid="{00000000-0005-0000-0000-0000A8040000}"/>
    <cellStyle name="Финансовый 3 11" xfId="1126" xr:uid="{00000000-0005-0000-0000-0000A9040000}"/>
    <cellStyle name="Финансовый 3 12" xfId="1127" xr:uid="{00000000-0005-0000-0000-0000AA040000}"/>
    <cellStyle name="Финансовый 3 13" xfId="1128" xr:uid="{00000000-0005-0000-0000-0000AB040000}"/>
    <cellStyle name="Финансовый 3 14" xfId="1129" xr:uid="{00000000-0005-0000-0000-0000AC040000}"/>
    <cellStyle name="Финансовый 3 15" xfId="1130" xr:uid="{00000000-0005-0000-0000-0000AD040000}"/>
    <cellStyle name="Финансовый 3 16" xfId="1131" xr:uid="{00000000-0005-0000-0000-0000AE040000}"/>
    <cellStyle name="Финансовый 3 17" xfId="1132" xr:uid="{00000000-0005-0000-0000-0000AF040000}"/>
    <cellStyle name="Финансовый 3 18" xfId="1133" xr:uid="{00000000-0005-0000-0000-0000B0040000}"/>
    <cellStyle name="Финансовый 3 19" xfId="1134" xr:uid="{00000000-0005-0000-0000-0000B1040000}"/>
    <cellStyle name="Финансовый 3 2" xfId="1135" xr:uid="{00000000-0005-0000-0000-0000B2040000}"/>
    <cellStyle name="Финансовый 3 2 2" xfId="1136" xr:uid="{00000000-0005-0000-0000-0000B3040000}"/>
    <cellStyle name="Финансовый 3 2 2 2" xfId="1137" xr:uid="{00000000-0005-0000-0000-0000B4040000}"/>
    <cellStyle name="Финансовый 3 2 2 3" xfId="1138" xr:uid="{00000000-0005-0000-0000-0000B5040000}"/>
    <cellStyle name="Финансовый 3 2 3" xfId="1139" xr:uid="{00000000-0005-0000-0000-0000B6040000}"/>
    <cellStyle name="Финансовый 3 2 3 2" xfId="1140" xr:uid="{00000000-0005-0000-0000-0000B7040000}"/>
    <cellStyle name="Финансовый 3 2 4" xfId="1141" xr:uid="{00000000-0005-0000-0000-0000B8040000}"/>
    <cellStyle name="Финансовый 3 2 5" xfId="1142" xr:uid="{00000000-0005-0000-0000-0000B9040000}"/>
    <cellStyle name="Финансовый 3 2 6" xfId="1143" xr:uid="{00000000-0005-0000-0000-0000BA040000}"/>
    <cellStyle name="Финансовый 3 20" xfId="1144" xr:uid="{00000000-0005-0000-0000-0000BB040000}"/>
    <cellStyle name="Финансовый 3 21" xfId="1145" xr:uid="{00000000-0005-0000-0000-0000BC040000}"/>
    <cellStyle name="Финансовый 3 22" xfId="1146" xr:uid="{00000000-0005-0000-0000-0000BD040000}"/>
    <cellStyle name="Финансовый 3 3" xfId="1147" xr:uid="{00000000-0005-0000-0000-0000BE040000}"/>
    <cellStyle name="Финансовый 3 3 2" xfId="1148" xr:uid="{00000000-0005-0000-0000-0000BF040000}"/>
    <cellStyle name="Финансовый 3 3 3" xfId="1149" xr:uid="{00000000-0005-0000-0000-0000C0040000}"/>
    <cellStyle name="Финансовый 3 4" xfId="1150" xr:uid="{00000000-0005-0000-0000-0000C1040000}"/>
    <cellStyle name="Финансовый 3 4 2" xfId="1151" xr:uid="{00000000-0005-0000-0000-0000C2040000}"/>
    <cellStyle name="Финансовый 3 4 3" xfId="1152" xr:uid="{00000000-0005-0000-0000-0000C3040000}"/>
    <cellStyle name="Финансовый 3 5" xfId="1153" xr:uid="{00000000-0005-0000-0000-0000C4040000}"/>
    <cellStyle name="Финансовый 3 5 2" xfId="1154" xr:uid="{00000000-0005-0000-0000-0000C5040000}"/>
    <cellStyle name="Финансовый 3 5 3" xfId="1155" xr:uid="{00000000-0005-0000-0000-0000C6040000}"/>
    <cellStyle name="Финансовый 3 5 4" xfId="1156" xr:uid="{00000000-0005-0000-0000-0000C7040000}"/>
    <cellStyle name="Финансовый 3 6" xfId="1157" xr:uid="{00000000-0005-0000-0000-0000C8040000}"/>
    <cellStyle name="Финансовый 3 6 2" xfId="1158" xr:uid="{00000000-0005-0000-0000-0000C9040000}"/>
    <cellStyle name="Финансовый 3 7" xfId="1159" xr:uid="{00000000-0005-0000-0000-0000CA040000}"/>
    <cellStyle name="Финансовый 3 7 2" xfId="1160" xr:uid="{00000000-0005-0000-0000-0000CB040000}"/>
    <cellStyle name="Финансовый 3 8" xfId="1161" xr:uid="{00000000-0005-0000-0000-0000CC040000}"/>
    <cellStyle name="Финансовый 3 9" xfId="1162" xr:uid="{00000000-0005-0000-0000-0000CD040000}"/>
    <cellStyle name="Финансовый 30" xfId="1163" xr:uid="{00000000-0005-0000-0000-0000CE040000}"/>
    <cellStyle name="Финансовый 31" xfId="1164" xr:uid="{00000000-0005-0000-0000-0000CF040000}"/>
    <cellStyle name="Финансовый 31 2" xfId="1165" xr:uid="{00000000-0005-0000-0000-0000D0040000}"/>
    <cellStyle name="Финансовый 32" xfId="1166" xr:uid="{00000000-0005-0000-0000-0000D1040000}"/>
    <cellStyle name="Финансовый 32 2" xfId="1167" xr:uid="{00000000-0005-0000-0000-0000D2040000}"/>
    <cellStyle name="Финансовый 33" xfId="1168" xr:uid="{00000000-0005-0000-0000-0000D3040000}"/>
    <cellStyle name="Финансовый 33 2" xfId="1169" xr:uid="{00000000-0005-0000-0000-0000D4040000}"/>
    <cellStyle name="Финансовый 34" xfId="1170" xr:uid="{00000000-0005-0000-0000-0000D5040000}"/>
    <cellStyle name="Финансовый 34 2" xfId="1171" xr:uid="{00000000-0005-0000-0000-0000D6040000}"/>
    <cellStyle name="Финансовый 35" xfId="1172" xr:uid="{00000000-0005-0000-0000-0000D7040000}"/>
    <cellStyle name="Финансовый 35 2" xfId="1173" xr:uid="{00000000-0005-0000-0000-0000D8040000}"/>
    <cellStyle name="Финансовый 36" xfId="1174" xr:uid="{00000000-0005-0000-0000-0000D9040000}"/>
    <cellStyle name="Финансовый 36 2" xfId="1175" xr:uid="{00000000-0005-0000-0000-0000DA040000}"/>
    <cellStyle name="Финансовый 37" xfId="1176" xr:uid="{00000000-0005-0000-0000-0000DB040000}"/>
    <cellStyle name="Финансовый 37 2" xfId="1177" xr:uid="{00000000-0005-0000-0000-0000DC040000}"/>
    <cellStyle name="Финансовый 38" xfId="1178" xr:uid="{00000000-0005-0000-0000-0000DD040000}"/>
    <cellStyle name="Финансовый 38 2" xfId="1179" xr:uid="{00000000-0005-0000-0000-0000DE040000}"/>
    <cellStyle name="Финансовый 39" xfId="1180" xr:uid="{00000000-0005-0000-0000-0000DF040000}"/>
    <cellStyle name="Финансовый 4" xfId="1181" xr:uid="{00000000-0005-0000-0000-0000E0040000}"/>
    <cellStyle name="Финансовый 4 2" xfId="1182" xr:uid="{00000000-0005-0000-0000-0000E1040000}"/>
    <cellStyle name="Финансовый 4 2 2" xfId="1183" xr:uid="{00000000-0005-0000-0000-0000E2040000}"/>
    <cellStyle name="Финансовый 4 2 2 2" xfId="1184" xr:uid="{00000000-0005-0000-0000-0000E3040000}"/>
    <cellStyle name="Финансовый 4 2 3" xfId="1185" xr:uid="{00000000-0005-0000-0000-0000E4040000}"/>
    <cellStyle name="Финансовый 4 3" xfId="1186" xr:uid="{00000000-0005-0000-0000-0000E5040000}"/>
    <cellStyle name="Финансовый 4 3 2" xfId="1187" xr:uid="{00000000-0005-0000-0000-0000E6040000}"/>
    <cellStyle name="Финансовый 4 4" xfId="1188" xr:uid="{00000000-0005-0000-0000-0000E7040000}"/>
    <cellStyle name="Финансовый 4 4 2" xfId="1189" xr:uid="{00000000-0005-0000-0000-0000E8040000}"/>
    <cellStyle name="Финансовый 4 5" xfId="1190" xr:uid="{00000000-0005-0000-0000-0000E9040000}"/>
    <cellStyle name="Финансовый 4 6" xfId="1191" xr:uid="{00000000-0005-0000-0000-0000EA040000}"/>
    <cellStyle name="Финансовый 4 7" xfId="1192" xr:uid="{00000000-0005-0000-0000-0000EB040000}"/>
    <cellStyle name="Финансовый 4 8" xfId="1193" xr:uid="{00000000-0005-0000-0000-0000EC040000}"/>
    <cellStyle name="Финансовый 4 9" xfId="1194" xr:uid="{00000000-0005-0000-0000-0000ED040000}"/>
    <cellStyle name="Финансовый 40" xfId="1195" xr:uid="{00000000-0005-0000-0000-0000EE040000}"/>
    <cellStyle name="Финансовый 41" xfId="1196" xr:uid="{00000000-0005-0000-0000-0000EF040000}"/>
    <cellStyle name="Финансовый 42" xfId="1197" xr:uid="{00000000-0005-0000-0000-0000F0040000}"/>
    <cellStyle name="Финансовый 42 2" xfId="1198" xr:uid="{00000000-0005-0000-0000-0000F1040000}"/>
    <cellStyle name="Финансовый 44" xfId="1199" xr:uid="{00000000-0005-0000-0000-0000F2040000}"/>
    <cellStyle name="Финансовый 46" xfId="1200" xr:uid="{00000000-0005-0000-0000-0000F3040000}"/>
    <cellStyle name="Финансовый 47" xfId="1201" xr:uid="{00000000-0005-0000-0000-0000F4040000}"/>
    <cellStyle name="Финансовый 5" xfId="1202" xr:uid="{00000000-0005-0000-0000-0000F5040000}"/>
    <cellStyle name="Финансовый 5 2" xfId="1203" xr:uid="{00000000-0005-0000-0000-0000F6040000}"/>
    <cellStyle name="Финансовый 5 2 2" xfId="1204" xr:uid="{00000000-0005-0000-0000-0000F7040000}"/>
    <cellStyle name="Финансовый 5 3" xfId="1205" xr:uid="{00000000-0005-0000-0000-0000F8040000}"/>
    <cellStyle name="Финансовый 5 3 2" xfId="1206" xr:uid="{00000000-0005-0000-0000-0000F9040000}"/>
    <cellStyle name="Финансовый 5 3 3" xfId="1207" xr:uid="{00000000-0005-0000-0000-0000FA040000}"/>
    <cellStyle name="Финансовый 5 4" xfId="1208" xr:uid="{00000000-0005-0000-0000-0000FB040000}"/>
    <cellStyle name="Финансовый 5 5" xfId="1209" xr:uid="{00000000-0005-0000-0000-0000FC040000}"/>
    <cellStyle name="Финансовый 6" xfId="1210" xr:uid="{00000000-0005-0000-0000-0000FD040000}"/>
    <cellStyle name="Финансовый 6 2" xfId="1211" xr:uid="{00000000-0005-0000-0000-0000FE040000}"/>
    <cellStyle name="Финансовый 6 2 2" xfId="1212" xr:uid="{00000000-0005-0000-0000-0000FF040000}"/>
    <cellStyle name="Финансовый 6 2 3" xfId="1213" xr:uid="{00000000-0005-0000-0000-000000050000}"/>
    <cellStyle name="Финансовый 6 3" xfId="1214" xr:uid="{00000000-0005-0000-0000-000001050000}"/>
    <cellStyle name="Финансовый 6 4" xfId="1215" xr:uid="{00000000-0005-0000-0000-000002050000}"/>
    <cellStyle name="Финансовый 7" xfId="1216" xr:uid="{00000000-0005-0000-0000-000003050000}"/>
    <cellStyle name="Финансовый 7 2" xfId="1217" xr:uid="{00000000-0005-0000-0000-000004050000}"/>
    <cellStyle name="Финансовый 7 2 2" xfId="1218" xr:uid="{00000000-0005-0000-0000-000005050000}"/>
    <cellStyle name="Финансовый 7 2 3" xfId="1219" xr:uid="{00000000-0005-0000-0000-000006050000}"/>
    <cellStyle name="Финансовый 7 3" xfId="1220" xr:uid="{00000000-0005-0000-0000-000007050000}"/>
    <cellStyle name="Финансовый 8" xfId="1221" xr:uid="{00000000-0005-0000-0000-000008050000}"/>
    <cellStyle name="Финансовый 8 2" xfId="1222" xr:uid="{00000000-0005-0000-0000-000009050000}"/>
    <cellStyle name="Финансовый 9" xfId="1223" xr:uid="{00000000-0005-0000-0000-00000A050000}"/>
    <cellStyle name="Џђћ–…ќ’ќ›‰" xfId="1224" xr:uid="{00000000-0005-0000-0000-00000B050000}"/>
  </cellStyles>
  <dxfs count="282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FF"/>
      <color rgb="FFFFCCFF"/>
      <color rgb="FFFF00FF"/>
      <color rgb="FFCC00CC"/>
      <color rgb="FFFD9FF6"/>
      <color rgb="FFF8A4E0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ozorov%20Ruslan-07.01.2026\&#1044;&#1086;&#1082;&#1090;&#1086;&#1088;&#1083;&#1080;&#1082;%20&#1076;&#1080;&#1089;&#1089;&#1077;&#1088;&#1090;&#1072;&#1094;&#1080;&#1103;-20.04.2025\&#1044;&#1086;&#1082;&#1090;&#1086;&#1088;&#1083;&#1080;&#1082;%20&#1076;&#1080;&#1089;-19.04.2025\&#1041;&#1072;&#1085;&#1082;&#1083;&#1072;&#1088;%20&#1084;&#1072;&#1098;&#1083;&#1091;&#1084;&#1086;&#1090;&#1080;\&#1038;&#1079;&#1089;&#1072;&#1085;&#1086;&#1072;&#1090;&#1179;&#1091;&#1088;&#1080;&#1083;&#1080;&#1096;&#1073;&#1072;&#1085;&#1082;-31.12.2020-31.12.2025\2025\crs003L.XLSX" TargetMode="External"/><Relationship Id="rId1" Type="http://schemas.openxmlformats.org/officeDocument/2006/relationships/externalLinkPath" Target="crs003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53;&#1086;&#1076;&#1080;&#1088;\Nodir\23%20&#1090;&#1072;%20&#1046;&#1040;&#1044;&#1042;&#1040;&#1051;\2025\12.2025\&#1178;&#1072;&#1081;&#1090;&#1072;%20&#1090;&#1086;&#1087;&#1096;&#1080;&#1088;&#1080;&#1083;&#1075;&#1072;&#1085;\crs003C.XLSX" TargetMode="External"/><Relationship Id="rId1" Type="http://schemas.openxmlformats.org/officeDocument/2006/relationships/externalLinkPath" Target="crs003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monimp"/>
      <sheetName val="interv"/>
      <sheetName val="fiscout"/>
      <sheetName val="Base EEFF"/>
      <sheetName val="Sheet1"/>
      <sheetName val="Sheet2"/>
      <sheetName val="Base_EEFF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er"/>
      <sheetName val="wb"/>
      <sheetName val="T17_T18_MSURC"/>
      <sheetName val="Tit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C5">
            <v>597958561</v>
          </cell>
        </row>
      </sheetData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/>
      <sheetData sheetId="72">
        <row r="5">
          <cell r="C5">
            <v>597958561</v>
          </cell>
        </row>
      </sheetData>
      <sheetData sheetId="73">
        <row r="5">
          <cell r="C5">
            <v>597958561</v>
          </cell>
        </row>
      </sheetData>
      <sheetData sheetId="74">
        <row r="5">
          <cell r="C5">
            <v>597958561</v>
          </cell>
        </row>
      </sheetData>
      <sheetData sheetId="75">
        <row r="5">
          <cell r="C5">
            <v>597958561</v>
          </cell>
        </row>
      </sheetData>
      <sheetData sheetId="76">
        <row r="5">
          <cell r="C5">
            <v>597958561</v>
          </cell>
        </row>
      </sheetData>
      <sheetData sheetId="77">
        <row r="5">
          <cell r="C5">
            <v>597958561</v>
          </cell>
        </row>
      </sheetData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>
        <row r="5">
          <cell r="C5">
            <v>597958561</v>
          </cell>
        </row>
      </sheetData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>
        <row r="5">
          <cell r="C5">
            <v>597958561</v>
          </cell>
        </row>
      </sheetData>
      <sheetData sheetId="88">
        <row r="5">
          <cell r="C5">
            <v>597958561</v>
          </cell>
        </row>
      </sheetData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Asset Provisioning"/>
      <sheetName val="Transactions of related parties"/>
      <sheetName val=" Largest risk"/>
      <sheetName val="Charge-offs and Recoveries"/>
      <sheetName val="loans_av rate"/>
      <sheetName val="Bank Capital Calc (2)"/>
      <sheetName val="loans type"/>
      <sheetName val="Deposits_av rate"/>
      <sheetName val="Economic Normatives"/>
      <sheetName val="Miscellaneous"/>
      <sheetName val="ПФУ"/>
      <sheetName val="Balance"/>
      <sheetName val="Bank Capital Calc."/>
      <sheetName val="Calculation of Risk Weighted As"/>
      <sheetName val="Recociliation "/>
      <sheetName val="Loan Classification"/>
      <sheetName val="Loans to Affiliated P."/>
      <sheetName val="Twenty Largest"/>
      <sheetName val="Deposits by Client"/>
      <sheetName val="Investment Securities"/>
      <sheetName val="Liquidity Analysis"/>
      <sheetName val="Bank Assets Analysis"/>
      <sheetName val="Bank Liabilities Analysis"/>
      <sheetName val="Commitments"/>
    </sheetNames>
    <sheetDataSet>
      <sheetData sheetId="0">
        <row r="38">
          <cell r="C38">
            <v>3118777057</v>
          </cell>
        </row>
      </sheetData>
      <sheetData sheetId="1"/>
      <sheetData sheetId="2"/>
      <sheetData sheetId="3"/>
      <sheetData sheetId="4">
        <row r="38">
          <cell r="C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H28">
            <v>0</v>
          </cell>
        </row>
      </sheetData>
      <sheetData sheetId="14"/>
      <sheetData sheetId="15"/>
      <sheetData sheetId="16">
        <row r="28">
          <cell r="H28">
            <v>0</v>
          </cell>
        </row>
      </sheetData>
      <sheetData sheetId="17"/>
      <sheetData sheetId="18">
        <row r="38">
          <cell r="C38">
            <v>3118777057</v>
          </cell>
        </row>
      </sheetData>
      <sheetData sheetId="19"/>
      <sheetData sheetId="20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28">
          <cell r="H28">
            <v>0</v>
          </cell>
        </row>
      </sheetData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  <sheetName val="НОЯБР "/>
      <sheetName val="Results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64935569833</v>
          </cell>
          <cell r="D25">
            <v>25911516461</v>
          </cell>
          <cell r="E25">
            <v>39024053372</v>
          </cell>
        </row>
        <row r="26">
          <cell r="C26">
            <v>2435622410</v>
          </cell>
        </row>
        <row r="39">
          <cell r="C39">
            <v>695180207</v>
          </cell>
        </row>
        <row r="47">
          <cell r="C47">
            <v>102438659711</v>
          </cell>
        </row>
        <row r="61">
          <cell r="C61">
            <v>24762000</v>
          </cell>
        </row>
        <row r="76">
          <cell r="C76">
            <v>1880069362</v>
          </cell>
        </row>
        <row r="77">
          <cell r="C77">
            <v>11875165808</v>
          </cell>
        </row>
      </sheetData>
      <sheetData sheetId="1"/>
      <sheetData sheetId="2">
        <row r="18">
          <cell r="C18">
            <v>0.17306588970410505</v>
          </cell>
        </row>
        <row r="24">
          <cell r="C24">
            <v>2.2294760168961187</v>
          </cell>
          <cell r="D24">
            <v>2.0462318998267874</v>
          </cell>
          <cell r="E24">
            <v>2.4604264513512284</v>
          </cell>
        </row>
        <row r="29">
          <cell r="C29">
            <v>1.2223512885013232</v>
          </cell>
          <cell r="D29">
            <v>1.2859902677430535</v>
          </cell>
          <cell r="E29">
            <v>1.17022734428049</v>
          </cell>
        </row>
        <row r="51">
          <cell r="C51">
            <v>2007364363</v>
          </cell>
        </row>
        <row r="52">
          <cell r="C52">
            <v>4172748921</v>
          </cell>
        </row>
        <row r="53">
          <cell r="C53">
            <v>704238186</v>
          </cell>
        </row>
        <row r="54">
          <cell r="C54">
            <v>5283514175</v>
          </cell>
        </row>
        <row r="55">
          <cell r="C55">
            <v>1934599820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14102465465</v>
          </cell>
        </row>
      </sheetData>
      <sheetData sheetId="3">
        <row r="23">
          <cell r="S23">
            <v>65000000</v>
          </cell>
        </row>
        <row r="24">
          <cell r="S24">
            <v>0</v>
          </cell>
        </row>
        <row r="26">
          <cell r="S26">
            <v>228458304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62469593576</v>
          </cell>
        </row>
        <row r="31">
          <cell r="S31">
            <v>9523250316</v>
          </cell>
        </row>
        <row r="32">
          <cell r="S32">
            <v>30353847</v>
          </cell>
        </row>
      </sheetData>
      <sheetData sheetId="4"/>
      <sheetData sheetId="5">
        <row r="12">
          <cell r="S12">
            <v>20471204261</v>
          </cell>
        </row>
        <row r="13">
          <cell r="D13">
            <v>853800</v>
          </cell>
          <cell r="F13">
            <v>5218930</v>
          </cell>
          <cell r="H13">
            <v>17947676</v>
          </cell>
          <cell r="J13">
            <v>45679151</v>
          </cell>
          <cell r="L13">
            <v>101553323</v>
          </cell>
          <cell r="N13">
            <v>230127062</v>
          </cell>
          <cell r="P13">
            <v>722333702</v>
          </cell>
          <cell r="R13">
            <v>0</v>
          </cell>
          <cell r="S13">
            <v>8625156616</v>
          </cell>
        </row>
        <row r="20">
          <cell r="S20">
            <v>31452545685</v>
          </cell>
        </row>
        <row r="30">
          <cell r="S30">
            <v>35548987557</v>
          </cell>
        </row>
        <row r="31">
          <cell r="S31">
            <v>12479553609</v>
          </cell>
        </row>
        <row r="32">
          <cell r="S32">
            <v>1889979338</v>
          </cell>
        </row>
        <row r="42">
          <cell r="C42">
            <v>12718509861</v>
          </cell>
          <cell r="E42">
            <v>360287776</v>
          </cell>
          <cell r="G42">
            <v>1341323104</v>
          </cell>
          <cell r="I42">
            <v>4221584347</v>
          </cell>
          <cell r="K42">
            <v>7624323906</v>
          </cell>
          <cell r="M42">
            <v>14171177953</v>
          </cell>
        </row>
      </sheetData>
      <sheetData sheetId="6">
        <row r="14">
          <cell r="C14">
            <v>630407</v>
          </cell>
          <cell r="D14">
            <v>90000</v>
          </cell>
          <cell r="E14">
            <v>8678113</v>
          </cell>
          <cell r="F14">
            <v>327217746</v>
          </cell>
          <cell r="G14">
            <v>640950532</v>
          </cell>
          <cell r="H14">
            <v>1483456523</v>
          </cell>
          <cell r="I14">
            <v>5037397497</v>
          </cell>
          <cell r="J14">
            <v>3022154</v>
          </cell>
        </row>
      </sheetData>
      <sheetData sheetId="7"/>
      <sheetData sheetId="8"/>
      <sheetData sheetId="9">
        <row r="5">
          <cell r="B5">
            <v>0</v>
          </cell>
        </row>
        <row r="6">
          <cell r="B6">
            <v>0</v>
          </cell>
        </row>
        <row r="15">
          <cell r="B15">
            <v>1514128923</v>
          </cell>
        </row>
        <row r="22">
          <cell r="B22">
            <v>65000000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385063092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13334833047</v>
          </cell>
        </row>
        <row r="44">
          <cell r="C44">
            <v>16199120982</v>
          </cell>
        </row>
        <row r="45">
          <cell r="C45">
            <v>95179673113.626923</v>
          </cell>
        </row>
        <row r="49">
          <cell r="C49">
            <v>0.10211747538149984</v>
          </cell>
        </row>
        <row r="50">
          <cell r="C50">
            <v>0.14010168989633612</v>
          </cell>
        </row>
        <row r="51">
          <cell r="C51">
            <v>0.17019517352892405</v>
          </cell>
        </row>
        <row r="57">
          <cell r="C57">
            <v>0.12245793684494695</v>
          </cell>
        </row>
      </sheetData>
      <sheetData sheetId="1"/>
      <sheetData sheetId="2"/>
      <sheetData sheetId="3"/>
      <sheetData sheetId="4"/>
      <sheetData sheetId="5">
        <row r="26">
          <cell r="C26">
            <v>1206998179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D80"/>
  <sheetViews>
    <sheetView view="pageBreakPreview" zoomScale="55" zoomScaleNormal="55" zoomScaleSheetLayoutView="55" workbookViewId="0">
      <pane xSplit="3" ySplit="9" topLeftCell="D36" activePane="bottomRight" state="frozen"/>
      <selection activeCell="C9" sqref="C9"/>
      <selection pane="topRight" activeCell="C9" sqref="C9"/>
      <selection pane="bottomLeft" activeCell="C9" sqref="C9"/>
      <selection pane="bottomRight" activeCell="Q10" sqref="Q10:T60"/>
    </sheetView>
  </sheetViews>
  <sheetFormatPr defaultRowHeight="15.75"/>
  <cols>
    <col min="1" max="1" width="8" style="10" customWidth="1"/>
    <col min="2" max="2" width="108.7109375" style="11" customWidth="1"/>
    <col min="3" max="3" width="19.42578125" style="73" customWidth="1"/>
    <col min="4" max="8" width="18.28515625" style="10" customWidth="1"/>
    <col min="9" max="9" width="19.42578125" style="10" customWidth="1"/>
    <col min="10" max="14" width="18" style="10" customWidth="1"/>
    <col min="15" max="15" width="19.42578125" style="10" customWidth="1"/>
    <col min="16" max="16" width="16" style="10" customWidth="1"/>
    <col min="17" max="17" width="17" style="10" customWidth="1"/>
    <col min="18" max="20" width="16" style="10" customWidth="1"/>
    <col min="21" max="21" width="9.140625" style="10"/>
    <col min="22" max="22" width="14.85546875" style="10" customWidth="1"/>
    <col min="23" max="23" width="16.7109375" style="251" customWidth="1"/>
    <col min="24" max="16384" width="9.140625" style="10"/>
  </cols>
  <sheetData>
    <row r="1" spans="1:24" s="71" customFormat="1" ht="27.75" customHeight="1">
      <c r="A1" s="632" t="s">
        <v>240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4" t="s">
        <v>241</v>
      </c>
      <c r="T1" s="634"/>
      <c r="V1" s="630" t="s">
        <v>929</v>
      </c>
    </row>
    <row r="2" spans="1:24" ht="8.25" customHeight="1"/>
    <row r="3" spans="1:24" s="128" customFormat="1" ht="26.25">
      <c r="B3" s="627" t="s">
        <v>928</v>
      </c>
      <c r="C3" s="129"/>
      <c r="N3" s="608"/>
      <c r="Q3" s="650">
        <v>46021</v>
      </c>
      <c r="R3" s="650"/>
      <c r="S3" s="241"/>
      <c r="T3" s="242" t="s">
        <v>242</v>
      </c>
      <c r="W3" s="579"/>
    </row>
    <row r="4" spans="1:24" s="120" customFormat="1" ht="30.75" customHeight="1">
      <c r="A4" s="635" t="s">
        <v>61</v>
      </c>
      <c r="B4" s="635" t="s">
        <v>227</v>
      </c>
      <c r="C4" s="635" t="s">
        <v>228</v>
      </c>
      <c r="D4" s="638" t="s">
        <v>229</v>
      </c>
      <c r="E4" s="639"/>
      <c r="F4" s="639"/>
      <c r="G4" s="639"/>
      <c r="H4" s="640"/>
      <c r="I4" s="647" t="s">
        <v>230</v>
      </c>
      <c r="J4" s="648"/>
      <c r="K4" s="648"/>
      <c r="L4" s="648"/>
      <c r="M4" s="648"/>
      <c r="N4" s="649"/>
      <c r="O4" s="631" t="s">
        <v>231</v>
      </c>
      <c r="P4" s="631"/>
      <c r="Q4" s="631"/>
      <c r="R4" s="631"/>
      <c r="S4" s="631"/>
      <c r="T4" s="631"/>
    </row>
    <row r="5" spans="1:24" s="120" customFormat="1" ht="30.75" customHeight="1">
      <c r="A5" s="636"/>
      <c r="B5" s="636"/>
      <c r="C5" s="636"/>
      <c r="D5" s="641"/>
      <c r="E5" s="642"/>
      <c r="F5" s="642"/>
      <c r="G5" s="642"/>
      <c r="H5" s="643"/>
      <c r="I5" s="635" t="s">
        <v>232</v>
      </c>
      <c r="J5" s="635" t="s">
        <v>233</v>
      </c>
      <c r="K5" s="635" t="s">
        <v>234</v>
      </c>
      <c r="L5" s="635" t="s">
        <v>235</v>
      </c>
      <c r="M5" s="635" t="s">
        <v>236</v>
      </c>
      <c r="N5" s="635" t="s">
        <v>237</v>
      </c>
      <c r="O5" s="631" t="s">
        <v>238</v>
      </c>
      <c r="P5" s="631"/>
      <c r="Q5" s="631"/>
      <c r="R5" s="631"/>
      <c r="S5" s="631"/>
      <c r="T5" s="631"/>
    </row>
    <row r="6" spans="1:24" s="120" customFormat="1" ht="30.75" customHeight="1">
      <c r="A6" s="636"/>
      <c r="B6" s="636"/>
      <c r="C6" s="636"/>
      <c r="D6" s="644"/>
      <c r="E6" s="645"/>
      <c r="F6" s="645"/>
      <c r="G6" s="645"/>
      <c r="H6" s="646"/>
      <c r="I6" s="636"/>
      <c r="J6" s="636"/>
      <c r="K6" s="636"/>
      <c r="L6" s="636"/>
      <c r="M6" s="636"/>
      <c r="N6" s="636"/>
      <c r="O6" s="631" t="s">
        <v>232</v>
      </c>
      <c r="P6" s="631" t="s">
        <v>239</v>
      </c>
      <c r="Q6" s="631"/>
      <c r="R6" s="631"/>
      <c r="S6" s="631"/>
      <c r="T6" s="631"/>
    </row>
    <row r="7" spans="1:24" s="120" customFormat="1" ht="21" customHeight="1">
      <c r="A7" s="637"/>
      <c r="B7" s="637"/>
      <c r="C7" s="637"/>
      <c r="D7" s="382" t="s">
        <v>120</v>
      </c>
      <c r="E7" s="382" t="s">
        <v>53</v>
      </c>
      <c r="F7" s="382" t="s">
        <v>55</v>
      </c>
      <c r="G7" s="382" t="s">
        <v>56</v>
      </c>
      <c r="H7" s="382" t="s">
        <v>59</v>
      </c>
      <c r="I7" s="637"/>
      <c r="J7" s="637"/>
      <c r="K7" s="637"/>
      <c r="L7" s="637"/>
      <c r="M7" s="637"/>
      <c r="N7" s="637"/>
      <c r="O7" s="631"/>
      <c r="P7" s="431" t="s">
        <v>120</v>
      </c>
      <c r="Q7" s="431" t="s">
        <v>53</v>
      </c>
      <c r="R7" s="431" t="s">
        <v>55</v>
      </c>
      <c r="S7" s="431" t="s">
        <v>56</v>
      </c>
      <c r="T7" s="431" t="s">
        <v>59</v>
      </c>
    </row>
    <row r="8" spans="1:24" s="12" customFormat="1">
      <c r="A8" s="243" t="s">
        <v>78</v>
      </c>
      <c r="B8" s="244" t="s">
        <v>79</v>
      </c>
      <c r="C8" s="245" t="s">
        <v>89</v>
      </c>
      <c r="D8" s="244" t="s">
        <v>80</v>
      </c>
      <c r="E8" s="244" t="s">
        <v>81</v>
      </c>
      <c r="F8" s="244" t="s">
        <v>90</v>
      </c>
      <c r="G8" s="244" t="s">
        <v>82</v>
      </c>
      <c r="H8" s="244" t="s">
        <v>83</v>
      </c>
      <c r="I8" s="244" t="s">
        <v>84</v>
      </c>
      <c r="J8" s="244" t="s">
        <v>85</v>
      </c>
      <c r="K8" s="244" t="s">
        <v>86</v>
      </c>
      <c r="L8" s="244" t="s">
        <v>87</v>
      </c>
      <c r="M8" s="244" t="s">
        <v>88</v>
      </c>
      <c r="N8" s="244" t="s">
        <v>154</v>
      </c>
      <c r="O8" s="244" t="s">
        <v>155</v>
      </c>
      <c r="P8" s="244" t="s">
        <v>156</v>
      </c>
      <c r="Q8" s="244" t="s">
        <v>157</v>
      </c>
      <c r="R8" s="244" t="s">
        <v>179</v>
      </c>
      <c r="S8" s="244" t="s">
        <v>187</v>
      </c>
      <c r="T8" s="244" t="s">
        <v>191</v>
      </c>
    </row>
    <row r="9" spans="1:24" s="12" customFormat="1" ht="29.25" customHeight="1">
      <c r="A9" s="246"/>
      <c r="B9" s="247" t="s">
        <v>279</v>
      </c>
      <c r="C9" s="506">
        <f>SUM(C10:C58)+C60-C59</f>
        <v>102438659711</v>
      </c>
      <c r="D9" s="506">
        <f>SUM(D10:D58)-D59+D60</f>
        <v>90101210261</v>
      </c>
      <c r="E9" s="506">
        <f>SUM(E10:E58)-E59+E60</f>
        <v>13119177802</v>
      </c>
      <c r="F9" s="506">
        <f>SUM(F10:F58)-F59+F60</f>
        <v>219279699</v>
      </c>
      <c r="G9" s="506">
        <f>SUM(G10:G58)-G59+G60</f>
        <v>605533577</v>
      </c>
      <c r="H9" s="506">
        <f>SUM(H10:H58)-H59+H60</f>
        <v>1791089731</v>
      </c>
      <c r="I9" s="506">
        <f t="shared" ref="I9:T9" si="0">SUM(I10:I60)</f>
        <v>5462182165</v>
      </c>
      <c r="J9" s="506">
        <f t="shared" si="0"/>
        <v>1857643039</v>
      </c>
      <c r="K9" s="506">
        <f t="shared" si="0"/>
        <v>2636236689</v>
      </c>
      <c r="L9" s="506">
        <f t="shared" si="0"/>
        <v>209905190</v>
      </c>
      <c r="M9" s="506">
        <f t="shared" si="0"/>
        <v>363261057</v>
      </c>
      <c r="N9" s="506">
        <f t="shared" si="0"/>
        <v>395136190</v>
      </c>
      <c r="O9" s="506">
        <f t="shared" si="0"/>
        <v>4092811566</v>
      </c>
      <c r="P9" s="506">
        <f t="shared" si="0"/>
        <v>695180207</v>
      </c>
      <c r="Q9" s="506">
        <f t="shared" si="0"/>
        <v>1479381269</v>
      </c>
      <c r="R9" s="506">
        <f t="shared" si="0"/>
        <v>59992128</v>
      </c>
      <c r="S9" s="506">
        <f t="shared" si="0"/>
        <v>333679520</v>
      </c>
      <c r="T9" s="506">
        <f t="shared" si="0"/>
        <v>1524578442</v>
      </c>
      <c r="V9" s="421"/>
      <c r="W9" s="580"/>
    </row>
    <row r="10" spans="1:24" s="9" customFormat="1" ht="23.25" customHeight="1">
      <c r="A10" s="248" t="s">
        <v>2</v>
      </c>
      <c r="B10" s="95" t="s">
        <v>243</v>
      </c>
      <c r="C10" s="507">
        <f>SUM(D10:H10)-O10+P10</f>
        <v>2006706908</v>
      </c>
      <c r="D10" s="508">
        <v>2006706908</v>
      </c>
      <c r="E10" s="508">
        <v>0</v>
      </c>
      <c r="F10" s="508">
        <v>0</v>
      </c>
      <c r="G10" s="508">
        <v>0</v>
      </c>
      <c r="H10" s="508">
        <v>0</v>
      </c>
      <c r="I10" s="507">
        <f t="shared" ref="I10:I11" si="1">SUM(J10:N10)</f>
        <v>0</v>
      </c>
      <c r="J10" s="508">
        <v>0</v>
      </c>
      <c r="K10" s="508">
        <v>0</v>
      </c>
      <c r="L10" s="508">
        <v>0</v>
      </c>
      <c r="M10" s="508">
        <v>0</v>
      </c>
      <c r="N10" s="508">
        <v>0</v>
      </c>
      <c r="O10" s="507">
        <f>SUM(P10:T10)</f>
        <v>0</v>
      </c>
      <c r="P10" s="508">
        <v>0</v>
      </c>
      <c r="Q10" s="508">
        <v>0</v>
      </c>
      <c r="R10" s="508">
        <v>0</v>
      </c>
      <c r="S10" s="508">
        <v>0</v>
      </c>
      <c r="T10" s="508">
        <v>0</v>
      </c>
      <c r="U10" s="9">
        <v>10100</v>
      </c>
      <c r="V10" s="422"/>
      <c r="W10" s="581"/>
      <c r="X10" s="381"/>
    </row>
    <row r="11" spans="1:24" s="9" customFormat="1" ht="23.25" customHeight="1">
      <c r="A11" s="248" t="s">
        <v>5</v>
      </c>
      <c r="B11" s="95" t="s">
        <v>728</v>
      </c>
      <c r="C11" s="507">
        <f t="shared" ref="C11:C60" si="2">SUM(D11:H11)-O11+P11</f>
        <v>4172748921</v>
      </c>
      <c r="D11" s="508">
        <v>4172748921</v>
      </c>
      <c r="E11" s="508">
        <v>0</v>
      </c>
      <c r="F11" s="508">
        <v>0</v>
      </c>
      <c r="G11" s="508">
        <v>0</v>
      </c>
      <c r="H11" s="508">
        <v>0</v>
      </c>
      <c r="I11" s="507">
        <f t="shared" si="1"/>
        <v>0</v>
      </c>
      <c r="J11" s="508">
        <v>0</v>
      </c>
      <c r="K11" s="508">
        <v>0</v>
      </c>
      <c r="L11" s="508">
        <v>0</v>
      </c>
      <c r="M11" s="508">
        <v>0</v>
      </c>
      <c r="N11" s="508">
        <v>0</v>
      </c>
      <c r="O11" s="507">
        <f t="shared" ref="O11:O60" si="3">SUM(P11:T11)</f>
        <v>0</v>
      </c>
      <c r="P11" s="508">
        <v>0</v>
      </c>
      <c r="Q11" s="508">
        <v>0</v>
      </c>
      <c r="R11" s="508">
        <v>0</v>
      </c>
      <c r="S11" s="508">
        <v>0</v>
      </c>
      <c r="T11" s="508">
        <v>0</v>
      </c>
      <c r="U11" s="114">
        <v>10300</v>
      </c>
      <c r="V11" s="422"/>
      <c r="W11" s="421"/>
      <c r="X11" s="381"/>
    </row>
    <row r="12" spans="1:24" s="9" customFormat="1" ht="23.25" customHeight="1">
      <c r="A12" s="248" t="s">
        <v>6</v>
      </c>
      <c r="B12" s="95" t="s">
        <v>729</v>
      </c>
      <c r="C12" s="507">
        <f t="shared" si="2"/>
        <v>12590856955</v>
      </c>
      <c r="D12" s="508">
        <v>12590856955</v>
      </c>
      <c r="E12" s="508">
        <v>0</v>
      </c>
      <c r="F12" s="508">
        <v>0</v>
      </c>
      <c r="G12" s="508">
        <v>0</v>
      </c>
      <c r="H12" s="508">
        <v>0</v>
      </c>
      <c r="I12" s="507">
        <f>SUM(J12:N12)</f>
        <v>0</v>
      </c>
      <c r="J12" s="508">
        <v>0</v>
      </c>
      <c r="K12" s="508">
        <v>0</v>
      </c>
      <c r="L12" s="508">
        <v>0</v>
      </c>
      <c r="M12" s="508">
        <v>0</v>
      </c>
      <c r="N12" s="508">
        <v>0</v>
      </c>
      <c r="O12" s="507">
        <f t="shared" si="3"/>
        <v>96908570</v>
      </c>
      <c r="P12" s="508">
        <v>96908570</v>
      </c>
      <c r="Q12" s="508">
        <v>0</v>
      </c>
      <c r="R12" s="508">
        <v>0</v>
      </c>
      <c r="S12" s="508">
        <v>0</v>
      </c>
      <c r="T12" s="508">
        <v>0</v>
      </c>
      <c r="U12" s="114">
        <v>10500</v>
      </c>
      <c r="V12" s="381"/>
      <c r="W12" s="251"/>
      <c r="X12" s="381"/>
    </row>
    <row r="13" spans="1:24" s="9" customFormat="1" ht="23.25" customHeight="1">
      <c r="A13" s="248" t="s">
        <v>4</v>
      </c>
      <c r="B13" s="95" t="s">
        <v>736</v>
      </c>
      <c r="C13" s="507">
        <f t="shared" si="2"/>
        <v>6949463201</v>
      </c>
      <c r="D13" s="508">
        <v>6949463201</v>
      </c>
      <c r="E13" s="508">
        <v>0</v>
      </c>
      <c r="F13" s="508">
        <v>0</v>
      </c>
      <c r="G13" s="508">
        <v>0</v>
      </c>
      <c r="H13" s="508">
        <v>0</v>
      </c>
      <c r="I13" s="507">
        <f t="shared" ref="I13:I60" si="4">SUM(J13:N13)</f>
        <v>0</v>
      </c>
      <c r="J13" s="508">
        <v>0</v>
      </c>
      <c r="K13" s="508">
        <v>0</v>
      </c>
      <c r="L13" s="508">
        <v>0</v>
      </c>
      <c r="M13" s="508">
        <v>0</v>
      </c>
      <c r="N13" s="508">
        <v>0</v>
      </c>
      <c r="O13" s="507">
        <f t="shared" si="3"/>
        <v>0</v>
      </c>
      <c r="P13" s="508">
        <v>0</v>
      </c>
      <c r="Q13" s="508">
        <v>0</v>
      </c>
      <c r="R13" s="508">
        <v>0</v>
      </c>
      <c r="S13" s="508">
        <v>0</v>
      </c>
      <c r="T13" s="508">
        <v>0</v>
      </c>
      <c r="U13" s="9">
        <v>10700</v>
      </c>
      <c r="V13" s="381"/>
      <c r="W13" s="251"/>
      <c r="X13" s="381"/>
    </row>
    <row r="14" spans="1:24" s="9" customFormat="1" ht="35.25" customHeight="1">
      <c r="A14" s="248" t="s">
        <v>3</v>
      </c>
      <c r="B14" s="95" t="s">
        <v>737</v>
      </c>
      <c r="C14" s="507">
        <f t="shared" si="2"/>
        <v>65000000</v>
      </c>
      <c r="D14" s="508">
        <v>65000000</v>
      </c>
      <c r="E14" s="508">
        <v>0</v>
      </c>
      <c r="F14" s="508">
        <v>0</v>
      </c>
      <c r="G14" s="508">
        <v>0</v>
      </c>
      <c r="H14" s="508">
        <v>0</v>
      </c>
      <c r="I14" s="507">
        <f t="shared" si="4"/>
        <v>0</v>
      </c>
      <c r="J14" s="508">
        <v>0</v>
      </c>
      <c r="K14" s="508">
        <v>0</v>
      </c>
      <c r="L14" s="508">
        <v>0</v>
      </c>
      <c r="M14" s="508">
        <v>0</v>
      </c>
      <c r="N14" s="508">
        <v>0</v>
      </c>
      <c r="O14" s="507">
        <f t="shared" si="3"/>
        <v>0</v>
      </c>
      <c r="P14" s="508">
        <v>0</v>
      </c>
      <c r="Q14" s="508">
        <v>0</v>
      </c>
      <c r="R14" s="508">
        <v>0</v>
      </c>
      <c r="S14" s="508">
        <v>0</v>
      </c>
      <c r="T14" s="508">
        <v>0</v>
      </c>
      <c r="U14" s="9">
        <v>10800</v>
      </c>
      <c r="V14" s="381"/>
      <c r="W14" s="251"/>
      <c r="X14" s="381"/>
    </row>
    <row r="15" spans="1:24" s="9" customFormat="1" ht="23.25" customHeight="1">
      <c r="A15" s="248" t="s">
        <v>8</v>
      </c>
      <c r="B15" s="95" t="s">
        <v>244</v>
      </c>
      <c r="C15" s="507">
        <f t="shared" si="2"/>
        <v>657455</v>
      </c>
      <c r="D15" s="508">
        <v>657455</v>
      </c>
      <c r="E15" s="508">
        <v>0</v>
      </c>
      <c r="F15" s="508">
        <v>0</v>
      </c>
      <c r="G15" s="508">
        <v>0</v>
      </c>
      <c r="H15" s="508">
        <v>0</v>
      </c>
      <c r="I15" s="507">
        <f t="shared" si="4"/>
        <v>0</v>
      </c>
      <c r="J15" s="508">
        <v>0</v>
      </c>
      <c r="K15" s="508">
        <v>0</v>
      </c>
      <c r="L15" s="508">
        <v>0</v>
      </c>
      <c r="M15" s="508">
        <v>0</v>
      </c>
      <c r="N15" s="508">
        <v>0</v>
      </c>
      <c r="O15" s="507">
        <f t="shared" si="3"/>
        <v>6575</v>
      </c>
      <c r="P15" s="508">
        <v>6575</v>
      </c>
      <c r="Q15" s="508">
        <v>0</v>
      </c>
      <c r="R15" s="508">
        <v>0</v>
      </c>
      <c r="S15" s="508">
        <v>0</v>
      </c>
      <c r="T15" s="508">
        <v>0</v>
      </c>
      <c r="U15" s="9">
        <v>10900</v>
      </c>
      <c r="V15" s="381"/>
      <c r="W15" s="251"/>
      <c r="X15" s="381"/>
    </row>
    <row r="16" spans="1:24" s="9" customFormat="1" ht="23.25" customHeight="1">
      <c r="A16" s="248" t="s">
        <v>7</v>
      </c>
      <c r="B16" s="95" t="s">
        <v>738</v>
      </c>
      <c r="C16" s="507">
        <f t="shared" si="2"/>
        <v>218323686</v>
      </c>
      <c r="D16" s="508">
        <v>57590330</v>
      </c>
      <c r="E16" s="508">
        <v>165791505</v>
      </c>
      <c r="F16" s="508">
        <v>16203587</v>
      </c>
      <c r="G16" s="508">
        <v>2856809</v>
      </c>
      <c r="H16" s="508">
        <v>0</v>
      </c>
      <c r="I16" s="507">
        <f t="shared" si="4"/>
        <v>237467050</v>
      </c>
      <c r="J16" s="508">
        <v>74261151</v>
      </c>
      <c r="K16" s="508">
        <v>142968769</v>
      </c>
      <c r="L16" s="508">
        <v>16873070</v>
      </c>
      <c r="M16" s="508">
        <v>3364060</v>
      </c>
      <c r="N16" s="508">
        <v>0</v>
      </c>
      <c r="O16" s="507">
        <f t="shared" si="3"/>
        <v>24694448</v>
      </c>
      <c r="P16" s="508">
        <v>575903</v>
      </c>
      <c r="Q16" s="508">
        <v>17968248</v>
      </c>
      <c r="R16" s="508">
        <v>4468267</v>
      </c>
      <c r="S16" s="508">
        <v>1682030</v>
      </c>
      <c r="T16" s="508">
        <v>0</v>
      </c>
      <c r="U16" s="9">
        <v>11100</v>
      </c>
      <c r="V16" s="381"/>
      <c r="W16" s="251"/>
      <c r="X16" s="381"/>
    </row>
    <row r="17" spans="1:24" ht="36.75" customHeight="1">
      <c r="A17" s="94">
        <v>8</v>
      </c>
      <c r="B17" s="95" t="s">
        <v>245</v>
      </c>
      <c r="C17" s="507">
        <f t="shared" si="2"/>
        <v>228458304</v>
      </c>
      <c r="D17" s="508">
        <v>0</v>
      </c>
      <c r="E17" s="508">
        <v>0</v>
      </c>
      <c r="F17" s="508">
        <v>0</v>
      </c>
      <c r="G17" s="508">
        <v>0</v>
      </c>
      <c r="H17" s="508">
        <v>228458304</v>
      </c>
      <c r="I17" s="507">
        <f t="shared" si="4"/>
        <v>0</v>
      </c>
      <c r="J17" s="508">
        <v>0</v>
      </c>
      <c r="K17" s="508">
        <v>0</v>
      </c>
      <c r="L17" s="508">
        <v>0</v>
      </c>
      <c r="M17" s="508">
        <v>0</v>
      </c>
      <c r="N17" s="508">
        <v>0</v>
      </c>
      <c r="O17" s="507">
        <f t="shared" si="3"/>
        <v>0</v>
      </c>
      <c r="P17" s="508">
        <v>0</v>
      </c>
      <c r="Q17" s="508">
        <v>0</v>
      </c>
      <c r="R17" s="508">
        <v>0</v>
      </c>
      <c r="S17" s="508">
        <v>0</v>
      </c>
      <c r="T17" s="508">
        <v>0</v>
      </c>
      <c r="U17" s="114">
        <v>11500</v>
      </c>
      <c r="V17" s="381"/>
      <c r="X17" s="381"/>
    </row>
    <row r="18" spans="1:24" ht="26.25" customHeight="1">
      <c r="A18" s="94">
        <v>9</v>
      </c>
      <c r="B18" s="95" t="s">
        <v>246</v>
      </c>
      <c r="C18" s="507">
        <f t="shared" si="2"/>
        <v>0</v>
      </c>
      <c r="D18" s="508">
        <v>0</v>
      </c>
      <c r="E18" s="508">
        <v>0</v>
      </c>
      <c r="F18" s="508">
        <v>0</v>
      </c>
      <c r="G18" s="508">
        <v>0</v>
      </c>
      <c r="H18" s="508">
        <v>0</v>
      </c>
      <c r="I18" s="507">
        <f t="shared" si="4"/>
        <v>0</v>
      </c>
      <c r="J18" s="508">
        <v>0</v>
      </c>
      <c r="K18" s="508">
        <v>0</v>
      </c>
      <c r="L18" s="508">
        <v>0</v>
      </c>
      <c r="M18" s="508">
        <v>0</v>
      </c>
      <c r="N18" s="508">
        <v>0</v>
      </c>
      <c r="O18" s="507">
        <f t="shared" si="3"/>
        <v>0</v>
      </c>
      <c r="P18" s="508">
        <v>0</v>
      </c>
      <c r="Q18" s="508">
        <v>0</v>
      </c>
      <c r="R18" s="508">
        <v>0</v>
      </c>
      <c r="S18" s="508">
        <v>0</v>
      </c>
      <c r="T18" s="508">
        <v>0</v>
      </c>
      <c r="U18" s="114">
        <v>11700</v>
      </c>
      <c r="V18" s="381"/>
      <c r="X18" s="381"/>
    </row>
    <row r="19" spans="1:24" ht="23.25" customHeight="1">
      <c r="A19" s="94">
        <v>10</v>
      </c>
      <c r="B19" s="250" t="s">
        <v>247</v>
      </c>
      <c r="C19" s="507">
        <f t="shared" si="2"/>
        <v>0</v>
      </c>
      <c r="D19" s="508">
        <v>0</v>
      </c>
      <c r="E19" s="508">
        <v>0</v>
      </c>
      <c r="F19" s="508">
        <v>0</v>
      </c>
      <c r="G19" s="508">
        <v>0</v>
      </c>
      <c r="H19" s="508">
        <v>0</v>
      </c>
      <c r="I19" s="507">
        <f t="shared" si="4"/>
        <v>0</v>
      </c>
      <c r="J19" s="508">
        <v>0</v>
      </c>
      <c r="K19" s="508">
        <v>0</v>
      </c>
      <c r="L19" s="508">
        <v>0</v>
      </c>
      <c r="M19" s="508">
        <v>0</v>
      </c>
      <c r="N19" s="508">
        <v>0</v>
      </c>
      <c r="O19" s="507">
        <f t="shared" si="3"/>
        <v>0</v>
      </c>
      <c r="P19" s="508">
        <v>0</v>
      </c>
      <c r="Q19" s="508">
        <v>0</v>
      </c>
      <c r="R19" s="508">
        <v>0</v>
      </c>
      <c r="S19" s="508">
        <v>0</v>
      </c>
      <c r="T19" s="508">
        <v>0</v>
      </c>
      <c r="U19" s="114">
        <v>11800</v>
      </c>
      <c r="V19" s="381"/>
      <c r="X19" s="381"/>
    </row>
    <row r="20" spans="1:24" ht="23.25" customHeight="1">
      <c r="A20" s="94">
        <v>11</v>
      </c>
      <c r="B20" s="95" t="s">
        <v>248</v>
      </c>
      <c r="C20" s="507">
        <f t="shared" si="2"/>
        <v>0</v>
      </c>
      <c r="D20" s="508">
        <v>0</v>
      </c>
      <c r="E20" s="508">
        <v>0</v>
      </c>
      <c r="F20" s="508">
        <v>0</v>
      </c>
      <c r="G20" s="508">
        <v>0</v>
      </c>
      <c r="H20" s="508">
        <v>0</v>
      </c>
      <c r="I20" s="507">
        <f t="shared" si="4"/>
        <v>0</v>
      </c>
      <c r="J20" s="508">
        <v>0</v>
      </c>
      <c r="K20" s="508">
        <v>0</v>
      </c>
      <c r="L20" s="508">
        <v>0</v>
      </c>
      <c r="M20" s="508">
        <v>0</v>
      </c>
      <c r="N20" s="508">
        <v>0</v>
      </c>
      <c r="O20" s="507">
        <f t="shared" si="3"/>
        <v>0</v>
      </c>
      <c r="P20" s="508">
        <v>0</v>
      </c>
      <c r="Q20" s="508">
        <v>0</v>
      </c>
      <c r="R20" s="508">
        <v>0</v>
      </c>
      <c r="S20" s="508">
        <v>0</v>
      </c>
      <c r="T20" s="508">
        <v>0</v>
      </c>
      <c r="U20" s="114">
        <v>11900</v>
      </c>
      <c r="V20" s="381"/>
      <c r="X20" s="381"/>
    </row>
    <row r="21" spans="1:24" ht="23.25" customHeight="1">
      <c r="A21" s="94">
        <v>12</v>
      </c>
      <c r="B21" s="95" t="s">
        <v>249</v>
      </c>
      <c r="C21" s="507">
        <f t="shared" si="2"/>
        <v>0</v>
      </c>
      <c r="D21" s="508">
        <v>0</v>
      </c>
      <c r="E21" s="508">
        <v>0</v>
      </c>
      <c r="F21" s="508">
        <v>0</v>
      </c>
      <c r="G21" s="508">
        <v>0</v>
      </c>
      <c r="H21" s="508">
        <v>0</v>
      </c>
      <c r="I21" s="507">
        <f t="shared" si="4"/>
        <v>0</v>
      </c>
      <c r="J21" s="508">
        <v>0</v>
      </c>
      <c r="K21" s="508">
        <v>0</v>
      </c>
      <c r="L21" s="508">
        <v>0</v>
      </c>
      <c r="M21" s="508">
        <v>0</v>
      </c>
      <c r="N21" s="508">
        <v>0</v>
      </c>
      <c r="O21" s="507">
        <f t="shared" si="3"/>
        <v>0</v>
      </c>
      <c r="P21" s="508">
        <v>0</v>
      </c>
      <c r="Q21" s="508">
        <v>0</v>
      </c>
      <c r="R21" s="508">
        <v>0</v>
      </c>
      <c r="S21" s="508">
        <v>0</v>
      </c>
      <c r="T21" s="508">
        <v>0</v>
      </c>
      <c r="U21" s="114">
        <v>12100</v>
      </c>
      <c r="V21" s="381"/>
      <c r="X21" s="381"/>
    </row>
    <row r="22" spans="1:24" ht="23.25" customHeight="1">
      <c r="A22" s="94">
        <v>13</v>
      </c>
      <c r="B22" s="95" t="s">
        <v>250</v>
      </c>
      <c r="C22" s="507">
        <f t="shared" si="2"/>
        <v>0</v>
      </c>
      <c r="D22" s="508">
        <v>0</v>
      </c>
      <c r="E22" s="508">
        <v>0</v>
      </c>
      <c r="F22" s="508">
        <v>0</v>
      </c>
      <c r="G22" s="508">
        <v>0</v>
      </c>
      <c r="H22" s="508">
        <v>0</v>
      </c>
      <c r="I22" s="507">
        <f t="shared" si="4"/>
        <v>0</v>
      </c>
      <c r="J22" s="508">
        <v>0</v>
      </c>
      <c r="K22" s="508">
        <v>0</v>
      </c>
      <c r="L22" s="508">
        <v>0</v>
      </c>
      <c r="M22" s="508">
        <v>0</v>
      </c>
      <c r="N22" s="508">
        <v>0</v>
      </c>
      <c r="O22" s="507">
        <f t="shared" si="3"/>
        <v>0</v>
      </c>
      <c r="P22" s="508">
        <v>0</v>
      </c>
      <c r="Q22" s="508">
        <v>0</v>
      </c>
      <c r="R22" s="508">
        <v>0</v>
      </c>
      <c r="S22" s="508">
        <v>0</v>
      </c>
      <c r="T22" s="508">
        <v>0</v>
      </c>
      <c r="U22" s="114">
        <v>12300</v>
      </c>
      <c r="V22" s="381"/>
      <c r="X22" s="381"/>
    </row>
    <row r="23" spans="1:24" ht="23.25" customHeight="1">
      <c r="A23" s="94">
        <v>14</v>
      </c>
      <c r="B23" s="95" t="s">
        <v>251</v>
      </c>
      <c r="C23" s="507">
        <f t="shared" si="2"/>
        <v>123299477</v>
      </c>
      <c r="D23" s="508">
        <v>123299477</v>
      </c>
      <c r="E23" s="508">
        <v>0</v>
      </c>
      <c r="F23" s="508">
        <v>0</v>
      </c>
      <c r="G23" s="508">
        <v>0</v>
      </c>
      <c r="H23" s="508">
        <v>0</v>
      </c>
      <c r="I23" s="507">
        <f t="shared" si="4"/>
        <v>0</v>
      </c>
      <c r="J23" s="508">
        <v>0</v>
      </c>
      <c r="K23" s="508">
        <v>0</v>
      </c>
      <c r="L23" s="508">
        <v>0</v>
      </c>
      <c r="M23" s="508">
        <v>0</v>
      </c>
      <c r="N23" s="508">
        <v>0</v>
      </c>
      <c r="O23" s="507">
        <f t="shared" si="3"/>
        <v>1232995</v>
      </c>
      <c r="P23" s="508">
        <v>1232995</v>
      </c>
      <c r="Q23" s="508">
        <v>0</v>
      </c>
      <c r="R23" s="508">
        <v>0</v>
      </c>
      <c r="S23" s="508">
        <v>0</v>
      </c>
      <c r="T23" s="508">
        <v>0</v>
      </c>
      <c r="U23" s="114">
        <v>12400</v>
      </c>
      <c r="V23" s="381"/>
      <c r="X23" s="381"/>
    </row>
    <row r="24" spans="1:24" ht="23.25" customHeight="1">
      <c r="A24" s="94">
        <v>15</v>
      </c>
      <c r="B24" s="95" t="s">
        <v>252</v>
      </c>
      <c r="C24" s="507">
        <f>SUM(D24:H24)-O24+P24</f>
        <v>125142101</v>
      </c>
      <c r="D24" s="508">
        <v>122550190</v>
      </c>
      <c r="E24" s="508">
        <v>957593</v>
      </c>
      <c r="F24" s="508">
        <v>763551</v>
      </c>
      <c r="G24" s="508">
        <v>2514992</v>
      </c>
      <c r="H24" s="508">
        <v>369179</v>
      </c>
      <c r="I24" s="507">
        <f t="shared" si="4"/>
        <v>3864840</v>
      </c>
      <c r="J24" s="508">
        <v>123488</v>
      </c>
      <c r="K24" s="508">
        <v>313960</v>
      </c>
      <c r="L24" s="508">
        <v>675202</v>
      </c>
      <c r="M24" s="508">
        <v>2357562</v>
      </c>
      <c r="N24" s="508">
        <v>394628</v>
      </c>
      <c r="O24" s="507">
        <f t="shared" si="3"/>
        <v>3238906</v>
      </c>
      <c r="P24" s="508">
        <v>1225502</v>
      </c>
      <c r="Q24" s="508">
        <v>188499</v>
      </c>
      <c r="R24" s="508">
        <v>192230</v>
      </c>
      <c r="S24" s="508">
        <v>1263496</v>
      </c>
      <c r="T24" s="508">
        <v>369179</v>
      </c>
      <c r="U24" s="114">
        <v>12500</v>
      </c>
      <c r="V24" s="381"/>
      <c r="X24" s="381"/>
    </row>
    <row r="25" spans="1:24" ht="23.25" customHeight="1">
      <c r="A25" s="94">
        <v>16</v>
      </c>
      <c r="B25" s="95" t="s">
        <v>253</v>
      </c>
      <c r="C25" s="507">
        <f t="shared" si="2"/>
        <v>47761159</v>
      </c>
      <c r="D25" s="508">
        <v>47009180</v>
      </c>
      <c r="E25" s="508">
        <v>493813</v>
      </c>
      <c r="F25" s="508">
        <v>278594</v>
      </c>
      <c r="G25" s="508">
        <v>434859</v>
      </c>
      <c r="H25" s="508">
        <v>52522</v>
      </c>
      <c r="I25" s="507">
        <f t="shared" si="4"/>
        <v>702328</v>
      </c>
      <c r="J25" s="508">
        <v>10000</v>
      </c>
      <c r="K25" s="508">
        <v>120431</v>
      </c>
      <c r="L25" s="508">
        <v>163303</v>
      </c>
      <c r="M25" s="508">
        <v>356072</v>
      </c>
      <c r="N25" s="508">
        <v>52522</v>
      </c>
      <c r="O25" s="507">
        <f t="shared" si="3"/>
        <v>977901</v>
      </c>
      <c r="P25" s="508">
        <v>470092</v>
      </c>
      <c r="Q25" s="508">
        <v>168210</v>
      </c>
      <c r="R25" s="508">
        <v>69648</v>
      </c>
      <c r="S25" s="508">
        <v>217429</v>
      </c>
      <c r="T25" s="508">
        <v>52522</v>
      </c>
      <c r="U25" s="114">
        <v>12600</v>
      </c>
      <c r="V25" s="381"/>
      <c r="X25" s="381"/>
    </row>
    <row r="26" spans="1:24" ht="23.25" customHeight="1">
      <c r="A26" s="94">
        <v>17</v>
      </c>
      <c r="B26" s="95" t="s">
        <v>739</v>
      </c>
      <c r="C26" s="507">
        <f>SUM(D26:H26)-O26+P26</f>
        <v>3875795556</v>
      </c>
      <c r="D26" s="508">
        <v>1925928992</v>
      </c>
      <c r="E26" s="508">
        <v>2166518404</v>
      </c>
      <c r="F26" s="508">
        <v>0</v>
      </c>
      <c r="G26" s="508">
        <v>0</v>
      </c>
      <c r="H26" s="508">
        <v>0</v>
      </c>
      <c r="I26" s="507">
        <f t="shared" si="4"/>
        <v>281709195</v>
      </c>
      <c r="J26" s="508">
        <v>0</v>
      </c>
      <c r="K26" s="508">
        <v>281709195</v>
      </c>
      <c r="L26" s="508">
        <v>0</v>
      </c>
      <c r="M26" s="508">
        <v>0</v>
      </c>
      <c r="N26" s="508">
        <v>0</v>
      </c>
      <c r="O26" s="507">
        <f t="shared" si="3"/>
        <v>234603428</v>
      </c>
      <c r="P26" s="508">
        <v>17951588</v>
      </c>
      <c r="Q26" s="508">
        <v>216651840</v>
      </c>
      <c r="R26" s="508">
        <v>0</v>
      </c>
      <c r="S26" s="508">
        <v>0</v>
      </c>
      <c r="T26" s="508">
        <v>0</v>
      </c>
      <c r="U26" s="114">
        <v>12700</v>
      </c>
      <c r="V26" s="381"/>
      <c r="W26" s="12"/>
      <c r="X26" s="381"/>
    </row>
    <row r="27" spans="1:24" ht="33.75" customHeight="1">
      <c r="A27" s="94">
        <v>18</v>
      </c>
      <c r="B27" s="95" t="s">
        <v>740</v>
      </c>
      <c r="C27" s="507">
        <f t="shared" si="2"/>
        <v>140478777</v>
      </c>
      <c r="D27" s="508">
        <v>133876871</v>
      </c>
      <c r="E27" s="508">
        <v>7335451</v>
      </c>
      <c r="F27" s="508">
        <v>0</v>
      </c>
      <c r="G27" s="508">
        <v>0</v>
      </c>
      <c r="H27" s="508">
        <v>0</v>
      </c>
      <c r="I27" s="507">
        <f t="shared" si="4"/>
        <v>0</v>
      </c>
      <c r="J27" s="508">
        <v>0</v>
      </c>
      <c r="K27" s="508">
        <v>0</v>
      </c>
      <c r="L27" s="508">
        <v>0</v>
      </c>
      <c r="M27" s="508">
        <v>0</v>
      </c>
      <c r="N27" s="508">
        <v>0</v>
      </c>
      <c r="O27" s="507">
        <f t="shared" si="3"/>
        <v>2072314</v>
      </c>
      <c r="P27" s="508">
        <v>1338769</v>
      </c>
      <c r="Q27" s="508">
        <v>733545</v>
      </c>
      <c r="R27" s="508">
        <v>0</v>
      </c>
      <c r="S27" s="508">
        <v>0</v>
      </c>
      <c r="T27" s="508">
        <v>0</v>
      </c>
      <c r="U27" s="114">
        <v>12800</v>
      </c>
      <c r="V27" s="381"/>
      <c r="W27" s="12"/>
      <c r="X27" s="385"/>
    </row>
    <row r="28" spans="1:24" ht="23.25" customHeight="1">
      <c r="A28" s="94">
        <v>19</v>
      </c>
      <c r="B28" s="95" t="s">
        <v>254</v>
      </c>
      <c r="C28" s="507">
        <f t="shared" si="2"/>
        <v>1984666940</v>
      </c>
      <c r="D28" s="508">
        <v>1997028673</v>
      </c>
      <c r="E28" s="508">
        <v>2833736</v>
      </c>
      <c r="F28" s="508">
        <v>0</v>
      </c>
      <c r="G28" s="508">
        <v>0</v>
      </c>
      <c r="H28" s="508">
        <v>0</v>
      </c>
      <c r="I28" s="507">
        <f t="shared" si="4"/>
        <v>141660613</v>
      </c>
      <c r="J28" s="508">
        <v>141622300</v>
      </c>
      <c r="K28" s="508">
        <v>38313</v>
      </c>
      <c r="L28" s="508">
        <v>0</v>
      </c>
      <c r="M28" s="508">
        <v>0</v>
      </c>
      <c r="N28" s="508">
        <v>0</v>
      </c>
      <c r="O28" s="507">
        <f t="shared" si="3"/>
        <v>35165756</v>
      </c>
      <c r="P28" s="508">
        <v>19970287</v>
      </c>
      <c r="Q28" s="508">
        <v>15195469</v>
      </c>
      <c r="R28" s="508">
        <v>0</v>
      </c>
      <c r="S28" s="508">
        <v>0</v>
      </c>
      <c r="T28" s="508">
        <v>0</v>
      </c>
      <c r="U28" s="114">
        <v>12900</v>
      </c>
      <c r="V28" s="381"/>
      <c r="X28" s="381"/>
    </row>
    <row r="29" spans="1:24" ht="24" customHeight="1">
      <c r="A29" s="94">
        <v>20</v>
      </c>
      <c r="B29" s="95" t="s">
        <v>255</v>
      </c>
      <c r="C29" s="507">
        <f t="shared" si="2"/>
        <v>97578</v>
      </c>
      <c r="D29" s="508">
        <v>97578</v>
      </c>
      <c r="E29" s="508">
        <v>0</v>
      </c>
      <c r="F29" s="508">
        <v>0</v>
      </c>
      <c r="G29" s="508">
        <v>0</v>
      </c>
      <c r="H29" s="508">
        <v>0</v>
      </c>
      <c r="I29" s="507">
        <f t="shared" si="4"/>
        <v>0</v>
      </c>
      <c r="J29" s="508">
        <v>0</v>
      </c>
      <c r="K29" s="508">
        <v>0</v>
      </c>
      <c r="L29" s="508">
        <v>0</v>
      </c>
      <c r="M29" s="508">
        <v>0</v>
      </c>
      <c r="N29" s="508">
        <v>0</v>
      </c>
      <c r="O29" s="507">
        <f t="shared" si="3"/>
        <v>976</v>
      </c>
      <c r="P29" s="508">
        <v>976</v>
      </c>
      <c r="Q29" s="508">
        <v>0</v>
      </c>
      <c r="R29" s="508">
        <v>0</v>
      </c>
      <c r="S29" s="508">
        <v>0</v>
      </c>
      <c r="T29" s="508">
        <v>0</v>
      </c>
      <c r="U29" s="114">
        <v>13000</v>
      </c>
      <c r="V29" s="381"/>
      <c r="X29" s="381"/>
    </row>
    <row r="30" spans="1:24" ht="33.75" customHeight="1">
      <c r="A30" s="94">
        <v>21</v>
      </c>
      <c r="B30" s="95" t="s">
        <v>256</v>
      </c>
      <c r="C30" s="507">
        <f t="shared" si="2"/>
        <v>7104110716</v>
      </c>
      <c r="D30" s="508">
        <v>6500660892</v>
      </c>
      <c r="E30" s="508">
        <v>651629782</v>
      </c>
      <c r="F30" s="508">
        <v>1057120</v>
      </c>
      <c r="G30" s="508">
        <v>142819971</v>
      </c>
      <c r="H30" s="508">
        <v>6382306</v>
      </c>
      <c r="I30" s="507">
        <f t="shared" si="4"/>
        <v>616556131</v>
      </c>
      <c r="J30" s="508">
        <v>286506611</v>
      </c>
      <c r="K30" s="508">
        <v>175981507</v>
      </c>
      <c r="L30" s="508">
        <v>13818861</v>
      </c>
      <c r="M30" s="508">
        <v>133930861</v>
      </c>
      <c r="N30" s="508">
        <v>6318291</v>
      </c>
      <c r="O30" s="507">
        <f t="shared" si="3"/>
        <v>263445964</v>
      </c>
      <c r="P30" s="508">
        <v>65006609</v>
      </c>
      <c r="Q30" s="508">
        <v>120382783</v>
      </c>
      <c r="R30" s="508">
        <v>264280</v>
      </c>
      <c r="S30" s="508">
        <v>71409986</v>
      </c>
      <c r="T30" s="508">
        <v>6382306</v>
      </c>
      <c r="U30" s="114">
        <v>13100</v>
      </c>
      <c r="V30" s="381"/>
      <c r="X30" s="381"/>
    </row>
    <row r="31" spans="1:24" ht="23.25" customHeight="1">
      <c r="A31" s="94">
        <v>22</v>
      </c>
      <c r="B31" s="95" t="s">
        <v>257</v>
      </c>
      <c r="C31" s="507">
        <f t="shared" si="2"/>
        <v>8016364</v>
      </c>
      <c r="D31" s="508">
        <v>8016364</v>
      </c>
      <c r="E31" s="508">
        <v>0</v>
      </c>
      <c r="F31" s="508">
        <v>0</v>
      </c>
      <c r="G31" s="508">
        <v>0</v>
      </c>
      <c r="H31" s="508">
        <v>0</v>
      </c>
      <c r="I31" s="507">
        <f t="shared" si="4"/>
        <v>0</v>
      </c>
      <c r="J31" s="508">
        <v>0</v>
      </c>
      <c r="K31" s="508">
        <v>0</v>
      </c>
      <c r="L31" s="508">
        <v>0</v>
      </c>
      <c r="M31" s="508">
        <v>0</v>
      </c>
      <c r="N31" s="508">
        <v>0</v>
      </c>
      <c r="O31" s="507">
        <f t="shared" si="3"/>
        <v>80164</v>
      </c>
      <c r="P31" s="508">
        <v>80164</v>
      </c>
      <c r="Q31" s="508">
        <v>0</v>
      </c>
      <c r="R31" s="508">
        <v>0</v>
      </c>
      <c r="S31" s="508">
        <v>0</v>
      </c>
      <c r="T31" s="508">
        <v>0</v>
      </c>
      <c r="U31" s="114">
        <v>13200</v>
      </c>
      <c r="V31" s="381"/>
      <c r="X31" s="381"/>
    </row>
    <row r="32" spans="1:24" ht="32.25" customHeight="1">
      <c r="A32" s="94">
        <v>23</v>
      </c>
      <c r="B32" s="95" t="s">
        <v>258</v>
      </c>
      <c r="C32" s="507">
        <f t="shared" si="2"/>
        <v>204675664</v>
      </c>
      <c r="D32" s="508">
        <v>204675664</v>
      </c>
      <c r="E32" s="508">
        <v>0</v>
      </c>
      <c r="F32" s="508">
        <v>0</v>
      </c>
      <c r="G32" s="508">
        <v>0</v>
      </c>
      <c r="H32" s="508">
        <v>0</v>
      </c>
      <c r="I32" s="507">
        <f t="shared" ref="I32:I33" si="5">SUM(J32:N32)</f>
        <v>0</v>
      </c>
      <c r="J32" s="508">
        <v>0</v>
      </c>
      <c r="K32" s="508">
        <v>0</v>
      </c>
      <c r="L32" s="508">
        <v>0</v>
      </c>
      <c r="M32" s="508">
        <v>0</v>
      </c>
      <c r="N32" s="508">
        <v>0</v>
      </c>
      <c r="O32" s="507">
        <f t="shared" si="3"/>
        <v>2046757</v>
      </c>
      <c r="P32" s="508">
        <v>2046757</v>
      </c>
      <c r="Q32" s="508">
        <v>0</v>
      </c>
      <c r="R32" s="508">
        <v>0</v>
      </c>
      <c r="S32" s="508">
        <v>0</v>
      </c>
      <c r="T32" s="508">
        <v>0</v>
      </c>
      <c r="U32" s="114">
        <v>13300</v>
      </c>
      <c r="V32" s="381"/>
      <c r="X32" s="381"/>
    </row>
    <row r="33" spans="1:24" ht="32.25" customHeight="1">
      <c r="A33" s="94">
        <v>24</v>
      </c>
      <c r="B33" s="95" t="s">
        <v>741</v>
      </c>
      <c r="C33" s="507">
        <f t="shared" si="2"/>
        <v>693773269</v>
      </c>
      <c r="D33" s="508">
        <v>445383327</v>
      </c>
      <c r="E33" s="508">
        <v>231976554</v>
      </c>
      <c r="F33" s="508">
        <v>0</v>
      </c>
      <c r="G33" s="508">
        <v>0</v>
      </c>
      <c r="H33" s="508">
        <v>156039391</v>
      </c>
      <c r="I33" s="507">
        <f t="shared" si="5"/>
        <v>251632415</v>
      </c>
      <c r="J33" s="508">
        <v>31857756</v>
      </c>
      <c r="K33" s="508">
        <v>63735268</v>
      </c>
      <c r="L33" s="508">
        <v>0</v>
      </c>
      <c r="M33" s="508">
        <v>0</v>
      </c>
      <c r="N33" s="508">
        <v>156039391</v>
      </c>
      <c r="O33" s="507">
        <f t="shared" si="3"/>
        <v>144079836</v>
      </c>
      <c r="P33" s="508">
        <v>4453833</v>
      </c>
      <c r="Q33" s="508">
        <v>23197655</v>
      </c>
      <c r="R33" s="508">
        <v>0</v>
      </c>
      <c r="S33" s="508">
        <v>0</v>
      </c>
      <c r="T33" s="508">
        <v>116428348</v>
      </c>
      <c r="U33" s="114">
        <v>14300</v>
      </c>
      <c r="V33" s="381"/>
      <c r="W33" s="12"/>
      <c r="X33" s="381"/>
    </row>
    <row r="34" spans="1:24" ht="33.75" customHeight="1">
      <c r="A34" s="94">
        <v>25</v>
      </c>
      <c r="B34" s="95" t="s">
        <v>742</v>
      </c>
      <c r="C34" s="507">
        <f t="shared" si="2"/>
        <v>2085678858</v>
      </c>
      <c r="D34" s="508">
        <v>1396855904</v>
      </c>
      <c r="E34" s="508">
        <v>758173340</v>
      </c>
      <c r="F34" s="508">
        <v>1351349</v>
      </c>
      <c r="G34" s="508">
        <v>3080066</v>
      </c>
      <c r="H34" s="508">
        <v>50472777</v>
      </c>
      <c r="I34" s="507">
        <f t="shared" si="4"/>
        <v>210113767</v>
      </c>
      <c r="J34" s="508">
        <v>82801465</v>
      </c>
      <c r="K34" s="508">
        <v>92183687</v>
      </c>
      <c r="L34" s="508">
        <v>5235740</v>
      </c>
      <c r="M34" s="508">
        <v>3796156</v>
      </c>
      <c r="N34" s="508">
        <v>26096719</v>
      </c>
      <c r="O34" s="507">
        <f t="shared" si="3"/>
        <v>138223137</v>
      </c>
      <c r="P34" s="508">
        <v>13968559</v>
      </c>
      <c r="Q34" s="508">
        <v>71903931</v>
      </c>
      <c r="R34" s="508">
        <v>337837</v>
      </c>
      <c r="S34" s="508">
        <v>1540033</v>
      </c>
      <c r="T34" s="508">
        <v>50472777</v>
      </c>
      <c r="U34" s="114">
        <v>14400</v>
      </c>
      <c r="V34" s="381"/>
      <c r="W34" s="12"/>
      <c r="X34" s="381"/>
    </row>
    <row r="35" spans="1:24" ht="23.25" customHeight="1">
      <c r="A35" s="94">
        <v>26</v>
      </c>
      <c r="B35" s="95" t="s">
        <v>259</v>
      </c>
      <c r="C35" s="507">
        <f t="shared" si="2"/>
        <v>0</v>
      </c>
      <c r="D35" s="508">
        <v>0</v>
      </c>
      <c r="E35" s="508">
        <v>0</v>
      </c>
      <c r="F35" s="508">
        <v>0</v>
      </c>
      <c r="G35" s="508">
        <v>0</v>
      </c>
      <c r="H35" s="508">
        <v>0</v>
      </c>
      <c r="I35" s="507">
        <f t="shared" si="4"/>
        <v>0</v>
      </c>
      <c r="J35" s="508">
        <v>0</v>
      </c>
      <c r="K35" s="508">
        <v>0</v>
      </c>
      <c r="L35" s="508">
        <v>0</v>
      </c>
      <c r="M35" s="508">
        <v>0</v>
      </c>
      <c r="N35" s="508">
        <v>0</v>
      </c>
      <c r="O35" s="507">
        <f t="shared" si="3"/>
        <v>0</v>
      </c>
      <c r="P35" s="508">
        <v>0</v>
      </c>
      <c r="Q35" s="508">
        <v>0</v>
      </c>
      <c r="R35" s="508">
        <v>0</v>
      </c>
      <c r="S35" s="508">
        <v>0</v>
      </c>
      <c r="T35" s="508">
        <v>0</v>
      </c>
      <c r="U35" s="114">
        <v>14500</v>
      </c>
      <c r="V35" s="381"/>
      <c r="X35" s="381"/>
    </row>
    <row r="36" spans="1:24" ht="23.25" customHeight="1">
      <c r="A36" s="94">
        <v>27</v>
      </c>
      <c r="B36" s="95" t="s">
        <v>260</v>
      </c>
      <c r="C36" s="507">
        <f t="shared" si="2"/>
        <v>0</v>
      </c>
      <c r="D36" s="508">
        <v>0</v>
      </c>
      <c r="E36" s="508">
        <v>0</v>
      </c>
      <c r="F36" s="508">
        <v>0</v>
      </c>
      <c r="G36" s="508">
        <v>0</v>
      </c>
      <c r="H36" s="508">
        <v>0</v>
      </c>
      <c r="I36" s="507">
        <f t="shared" si="4"/>
        <v>0</v>
      </c>
      <c r="J36" s="508">
        <v>0</v>
      </c>
      <c r="K36" s="508">
        <v>0</v>
      </c>
      <c r="L36" s="508">
        <v>0</v>
      </c>
      <c r="M36" s="508">
        <v>0</v>
      </c>
      <c r="N36" s="508">
        <v>0</v>
      </c>
      <c r="O36" s="507">
        <f t="shared" si="3"/>
        <v>0</v>
      </c>
      <c r="P36" s="508">
        <v>0</v>
      </c>
      <c r="Q36" s="508">
        <v>0</v>
      </c>
      <c r="R36" s="508">
        <v>0</v>
      </c>
      <c r="S36" s="508">
        <v>0</v>
      </c>
      <c r="T36" s="508">
        <v>0</v>
      </c>
      <c r="U36" s="114">
        <v>14700</v>
      </c>
      <c r="V36" s="381"/>
      <c r="X36" s="381"/>
    </row>
    <row r="37" spans="1:24" ht="23.25" customHeight="1">
      <c r="A37" s="94">
        <v>28</v>
      </c>
      <c r="B37" s="95" t="s">
        <v>261</v>
      </c>
      <c r="C37" s="507">
        <f t="shared" si="2"/>
        <v>0</v>
      </c>
      <c r="D37" s="508">
        <v>0</v>
      </c>
      <c r="E37" s="508">
        <v>0</v>
      </c>
      <c r="F37" s="508">
        <v>0</v>
      </c>
      <c r="G37" s="508">
        <v>0</v>
      </c>
      <c r="H37" s="508">
        <v>0</v>
      </c>
      <c r="I37" s="507">
        <f t="shared" si="4"/>
        <v>0</v>
      </c>
      <c r="J37" s="508">
        <v>0</v>
      </c>
      <c r="K37" s="508">
        <v>0</v>
      </c>
      <c r="L37" s="508">
        <v>0</v>
      </c>
      <c r="M37" s="508">
        <v>0</v>
      </c>
      <c r="N37" s="508">
        <v>0</v>
      </c>
      <c r="O37" s="507">
        <f t="shared" si="3"/>
        <v>0</v>
      </c>
      <c r="P37" s="508">
        <v>0</v>
      </c>
      <c r="Q37" s="508">
        <v>0</v>
      </c>
      <c r="R37" s="508">
        <v>0</v>
      </c>
      <c r="S37" s="508">
        <v>0</v>
      </c>
      <c r="T37" s="508">
        <v>0</v>
      </c>
      <c r="U37" s="114">
        <v>14800</v>
      </c>
      <c r="V37" s="381"/>
      <c r="X37" s="381"/>
    </row>
    <row r="38" spans="1:24" ht="23.25" customHeight="1">
      <c r="A38" s="94">
        <v>29</v>
      </c>
      <c r="B38" s="95" t="s">
        <v>262</v>
      </c>
      <c r="C38" s="507">
        <f t="shared" si="2"/>
        <v>9398108215</v>
      </c>
      <c r="D38" s="508">
        <v>8778344663</v>
      </c>
      <c r="E38" s="508">
        <v>533131968</v>
      </c>
      <c r="F38" s="508">
        <v>91019365</v>
      </c>
      <c r="G38" s="508">
        <v>143248303</v>
      </c>
      <c r="H38" s="508">
        <v>30826671</v>
      </c>
      <c r="I38" s="507">
        <f t="shared" si="4"/>
        <v>61872893</v>
      </c>
      <c r="J38" s="508">
        <v>2781011</v>
      </c>
      <c r="K38" s="508">
        <v>11455547</v>
      </c>
      <c r="L38" s="508">
        <v>13321691</v>
      </c>
      <c r="M38" s="508">
        <v>26625270</v>
      </c>
      <c r="N38" s="508">
        <v>7689374</v>
      </c>
      <c r="O38" s="507">
        <f t="shared" si="3"/>
        <v>266246202</v>
      </c>
      <c r="P38" s="508">
        <v>87783447</v>
      </c>
      <c r="Q38" s="508">
        <v>53264969</v>
      </c>
      <c r="R38" s="508">
        <v>22754841</v>
      </c>
      <c r="S38" s="508">
        <v>71624151</v>
      </c>
      <c r="T38" s="508">
        <v>30818794</v>
      </c>
      <c r="U38" s="114">
        <v>14900</v>
      </c>
      <c r="V38" s="381"/>
      <c r="X38" s="381"/>
    </row>
    <row r="39" spans="1:24" ht="23.25" customHeight="1">
      <c r="A39" s="94">
        <v>30</v>
      </c>
      <c r="B39" s="95" t="s">
        <v>263</v>
      </c>
      <c r="C39" s="507">
        <f t="shared" si="2"/>
        <v>450639303</v>
      </c>
      <c r="D39" s="508">
        <v>308313205</v>
      </c>
      <c r="E39" s="508">
        <v>106122977</v>
      </c>
      <c r="F39" s="508">
        <v>26532581</v>
      </c>
      <c r="G39" s="508">
        <v>53547192</v>
      </c>
      <c r="H39" s="508">
        <v>24069628</v>
      </c>
      <c r="I39" s="507">
        <f t="shared" si="4"/>
        <v>39355420</v>
      </c>
      <c r="J39" s="508">
        <v>38748</v>
      </c>
      <c r="K39" s="508">
        <v>3663228</v>
      </c>
      <c r="L39" s="508">
        <v>8888382</v>
      </c>
      <c r="M39" s="508">
        <v>15421293</v>
      </c>
      <c r="N39" s="508">
        <v>11343769</v>
      </c>
      <c r="O39" s="507">
        <f t="shared" si="3"/>
        <v>71029412</v>
      </c>
      <c r="P39" s="508">
        <v>3083132</v>
      </c>
      <c r="Q39" s="508">
        <v>10469910</v>
      </c>
      <c r="R39" s="508">
        <v>6633145</v>
      </c>
      <c r="S39" s="508">
        <v>26773597</v>
      </c>
      <c r="T39" s="508">
        <v>24069628</v>
      </c>
      <c r="U39" s="114">
        <v>15000</v>
      </c>
      <c r="V39" s="381"/>
      <c r="X39" s="381"/>
    </row>
    <row r="40" spans="1:24" ht="33.75" customHeight="1">
      <c r="A40" s="94">
        <v>31</v>
      </c>
      <c r="B40" s="95" t="s">
        <v>743</v>
      </c>
      <c r="C40" s="507">
        <f t="shared" si="2"/>
        <v>8533241894</v>
      </c>
      <c r="D40" s="508">
        <v>8047038699</v>
      </c>
      <c r="E40" s="508">
        <v>540225772</v>
      </c>
      <c r="F40" s="508">
        <v>0</v>
      </c>
      <c r="G40" s="508">
        <v>0</v>
      </c>
      <c r="H40" s="508">
        <v>0</v>
      </c>
      <c r="I40" s="507">
        <f t="shared" si="4"/>
        <v>185148273</v>
      </c>
      <c r="J40" s="508">
        <v>68888273</v>
      </c>
      <c r="K40" s="508">
        <v>116260000</v>
      </c>
      <c r="L40" s="508">
        <v>0</v>
      </c>
      <c r="M40" s="508">
        <v>0</v>
      </c>
      <c r="N40" s="508">
        <v>0</v>
      </c>
      <c r="O40" s="507">
        <f t="shared" si="3"/>
        <v>134492964</v>
      </c>
      <c r="P40" s="508">
        <v>80470387</v>
      </c>
      <c r="Q40" s="508">
        <v>54022577</v>
      </c>
      <c r="R40" s="508">
        <v>0</v>
      </c>
      <c r="S40" s="508">
        <v>0</v>
      </c>
      <c r="T40" s="508">
        <v>0</v>
      </c>
      <c r="U40" s="114">
        <v>15100</v>
      </c>
      <c r="V40" s="381"/>
      <c r="W40" s="12"/>
      <c r="X40" s="381"/>
    </row>
    <row r="41" spans="1:24" ht="23.25" customHeight="1">
      <c r="A41" s="94">
        <v>32</v>
      </c>
      <c r="B41" s="95" t="s">
        <v>264</v>
      </c>
      <c r="C41" s="507">
        <f t="shared" si="2"/>
        <v>1351436</v>
      </c>
      <c r="D41" s="508">
        <v>964184</v>
      </c>
      <c r="E41" s="508">
        <v>430280</v>
      </c>
      <c r="F41" s="508">
        <v>0</v>
      </c>
      <c r="G41" s="508">
        <v>0</v>
      </c>
      <c r="H41" s="508">
        <v>131200</v>
      </c>
      <c r="I41" s="507">
        <f t="shared" si="4"/>
        <v>97577</v>
      </c>
      <c r="J41" s="508">
        <v>2543</v>
      </c>
      <c r="K41" s="508">
        <v>36690</v>
      </c>
      <c r="L41" s="508">
        <v>0</v>
      </c>
      <c r="M41" s="508">
        <v>0</v>
      </c>
      <c r="N41" s="508">
        <v>58344</v>
      </c>
      <c r="O41" s="507">
        <f t="shared" si="3"/>
        <v>183870</v>
      </c>
      <c r="P41" s="508">
        <v>9642</v>
      </c>
      <c r="Q41" s="508">
        <v>43028</v>
      </c>
      <c r="R41" s="508">
        <v>0</v>
      </c>
      <c r="S41" s="508">
        <v>0</v>
      </c>
      <c r="T41" s="508">
        <v>131200</v>
      </c>
      <c r="U41" s="114">
        <v>15200</v>
      </c>
      <c r="V41" s="381"/>
      <c r="X41" s="381"/>
    </row>
    <row r="42" spans="1:24" ht="23.25" customHeight="1">
      <c r="A42" s="94">
        <v>33</v>
      </c>
      <c r="B42" s="95" t="s">
        <v>265</v>
      </c>
      <c r="C42" s="507">
        <f t="shared" si="2"/>
        <v>5977295478</v>
      </c>
      <c r="D42" s="508">
        <v>5157360441</v>
      </c>
      <c r="E42" s="508">
        <v>913765702</v>
      </c>
      <c r="F42" s="508">
        <v>9405114</v>
      </c>
      <c r="G42" s="508">
        <v>27702</v>
      </c>
      <c r="H42" s="508">
        <v>146802</v>
      </c>
      <c r="I42" s="507">
        <f t="shared" si="4"/>
        <v>72696810</v>
      </c>
      <c r="J42" s="508">
        <v>0</v>
      </c>
      <c r="K42" s="508">
        <v>72577795</v>
      </c>
      <c r="L42" s="508">
        <v>0</v>
      </c>
      <c r="M42" s="508">
        <v>119015</v>
      </c>
      <c r="N42" s="508">
        <v>0</v>
      </c>
      <c r="O42" s="507">
        <f t="shared" si="3"/>
        <v>154983887</v>
      </c>
      <c r="P42" s="508">
        <v>51573604</v>
      </c>
      <c r="Q42" s="508">
        <v>100898351</v>
      </c>
      <c r="R42" s="508">
        <v>2351279</v>
      </c>
      <c r="S42" s="508">
        <v>13851</v>
      </c>
      <c r="T42" s="508">
        <v>146802</v>
      </c>
      <c r="U42" s="114">
        <v>15300</v>
      </c>
      <c r="V42" s="381"/>
      <c r="X42" s="381"/>
    </row>
    <row r="43" spans="1:24" ht="23.25" customHeight="1">
      <c r="A43" s="94">
        <v>34</v>
      </c>
      <c r="B43" s="95" t="s">
        <v>266</v>
      </c>
      <c r="C43" s="507">
        <f t="shared" si="2"/>
        <v>25525334</v>
      </c>
      <c r="D43" s="508">
        <v>25525334</v>
      </c>
      <c r="E43" s="508">
        <v>0</v>
      </c>
      <c r="F43" s="508">
        <v>0</v>
      </c>
      <c r="G43" s="508">
        <v>0</v>
      </c>
      <c r="H43" s="508">
        <v>0</v>
      </c>
      <c r="I43" s="507">
        <f t="shared" si="4"/>
        <v>0</v>
      </c>
      <c r="J43" s="508">
        <v>0</v>
      </c>
      <c r="K43" s="508">
        <v>0</v>
      </c>
      <c r="L43" s="508">
        <v>0</v>
      </c>
      <c r="M43" s="508">
        <v>0</v>
      </c>
      <c r="N43" s="508">
        <v>0</v>
      </c>
      <c r="O43" s="507">
        <f t="shared" si="3"/>
        <v>255253</v>
      </c>
      <c r="P43" s="508">
        <v>255253</v>
      </c>
      <c r="Q43" s="508">
        <v>0</v>
      </c>
      <c r="R43" s="508">
        <v>0</v>
      </c>
      <c r="S43" s="508">
        <v>0</v>
      </c>
      <c r="T43" s="508">
        <v>0</v>
      </c>
      <c r="U43" s="114">
        <v>15400</v>
      </c>
      <c r="V43" s="381"/>
      <c r="X43" s="381"/>
    </row>
    <row r="44" spans="1:24" ht="33.75" customHeight="1">
      <c r="A44" s="94">
        <v>35</v>
      </c>
      <c r="B44" s="95" t="s">
        <v>267</v>
      </c>
      <c r="C44" s="507">
        <f t="shared" si="2"/>
        <v>21374643548</v>
      </c>
      <c r="D44" s="508">
        <v>16038865120</v>
      </c>
      <c r="E44" s="508">
        <v>5797432255</v>
      </c>
      <c r="F44" s="508">
        <v>44596877</v>
      </c>
      <c r="G44" s="508">
        <v>139008675</v>
      </c>
      <c r="H44" s="508">
        <v>315631184</v>
      </c>
      <c r="I44" s="507">
        <f t="shared" si="4"/>
        <v>1210614013</v>
      </c>
      <c r="J44" s="508">
        <v>119678586</v>
      </c>
      <c r="K44" s="508">
        <v>836880011</v>
      </c>
      <c r="L44" s="508">
        <v>82560893</v>
      </c>
      <c r="M44" s="508">
        <v>81919594</v>
      </c>
      <c r="N44" s="508">
        <v>89574929</v>
      </c>
      <c r="O44" s="507">
        <f t="shared" si="3"/>
        <v>1121279214</v>
      </c>
      <c r="P44" s="508">
        <v>160388651</v>
      </c>
      <c r="Q44" s="508">
        <v>513788077</v>
      </c>
      <c r="R44" s="508">
        <v>11149220</v>
      </c>
      <c r="S44" s="508">
        <v>69504338</v>
      </c>
      <c r="T44" s="508">
        <v>366448928</v>
      </c>
      <c r="U44" s="114">
        <v>15500</v>
      </c>
      <c r="V44" s="381"/>
      <c r="X44" s="381"/>
    </row>
    <row r="45" spans="1:24" ht="18" customHeight="1">
      <c r="A45" s="94">
        <v>36</v>
      </c>
      <c r="B45" s="95" t="s">
        <v>268</v>
      </c>
      <c r="C45" s="507">
        <f t="shared" si="2"/>
        <v>96968223</v>
      </c>
      <c r="D45" s="508">
        <v>282400</v>
      </c>
      <c r="E45" s="508">
        <v>96685823</v>
      </c>
      <c r="F45" s="508">
        <v>0</v>
      </c>
      <c r="G45" s="508">
        <v>0</v>
      </c>
      <c r="H45" s="508">
        <v>0</v>
      </c>
      <c r="I45" s="507">
        <f t="shared" si="4"/>
        <v>0</v>
      </c>
      <c r="J45" s="508">
        <v>0</v>
      </c>
      <c r="K45" s="508">
        <v>0</v>
      </c>
      <c r="L45" s="508">
        <v>0</v>
      </c>
      <c r="M45" s="508">
        <v>0</v>
      </c>
      <c r="N45" s="508">
        <v>0</v>
      </c>
      <c r="O45" s="507">
        <f t="shared" si="3"/>
        <v>2824</v>
      </c>
      <c r="P45" s="508">
        <v>2824</v>
      </c>
      <c r="Q45" s="508">
        <v>0</v>
      </c>
      <c r="R45" s="508">
        <v>0</v>
      </c>
      <c r="S45" s="508">
        <v>0</v>
      </c>
      <c r="T45" s="508">
        <v>0</v>
      </c>
      <c r="U45" s="114">
        <v>15600</v>
      </c>
      <c r="V45" s="381"/>
      <c r="X45" s="381"/>
    </row>
    <row r="46" spans="1:24" ht="23.25" customHeight="1">
      <c r="A46" s="94">
        <v>37</v>
      </c>
      <c r="B46" s="95" t="s">
        <v>750</v>
      </c>
      <c r="C46" s="507">
        <f t="shared" si="2"/>
        <v>30353847</v>
      </c>
      <c r="D46" s="508">
        <v>0</v>
      </c>
      <c r="E46" s="508">
        <v>0</v>
      </c>
      <c r="F46" s="508">
        <v>6743565</v>
      </c>
      <c r="G46" s="508">
        <v>28178944</v>
      </c>
      <c r="H46" s="508">
        <v>344606514</v>
      </c>
      <c r="I46" s="507">
        <f t="shared" si="4"/>
        <v>0</v>
      </c>
      <c r="J46" s="508">
        <v>0</v>
      </c>
      <c r="K46" s="508">
        <v>0</v>
      </c>
      <c r="L46" s="508">
        <v>0</v>
      </c>
      <c r="M46" s="508">
        <v>0</v>
      </c>
      <c r="N46" s="508">
        <v>0</v>
      </c>
      <c r="O46" s="507">
        <f t="shared" si="3"/>
        <v>349175176</v>
      </c>
      <c r="P46" s="508">
        <v>0</v>
      </c>
      <c r="Q46" s="508">
        <v>0</v>
      </c>
      <c r="R46" s="508">
        <v>1685891</v>
      </c>
      <c r="S46" s="508">
        <v>14089472</v>
      </c>
      <c r="T46" s="508">
        <v>333399813</v>
      </c>
      <c r="U46" s="114">
        <v>15700</v>
      </c>
      <c r="V46" s="381"/>
      <c r="W46" s="12"/>
      <c r="X46" s="381"/>
    </row>
    <row r="47" spans="1:24" ht="33.75" customHeight="1">
      <c r="A47" s="94">
        <v>38</v>
      </c>
      <c r="B47" s="95" t="s">
        <v>751</v>
      </c>
      <c r="C47" s="507">
        <f t="shared" si="2"/>
        <v>1204078923</v>
      </c>
      <c r="D47" s="508">
        <v>1204078923</v>
      </c>
      <c r="E47" s="508">
        <v>0</v>
      </c>
      <c r="F47" s="508">
        <v>0</v>
      </c>
      <c r="G47" s="508">
        <v>0</v>
      </c>
      <c r="H47" s="508">
        <v>3205644</v>
      </c>
      <c r="I47" s="507">
        <f t="shared" si="4"/>
        <v>0</v>
      </c>
      <c r="J47" s="508">
        <v>0</v>
      </c>
      <c r="K47" s="508">
        <v>0</v>
      </c>
      <c r="L47" s="508">
        <v>0</v>
      </c>
      <c r="M47" s="508">
        <v>0</v>
      </c>
      <c r="N47" s="508">
        <v>0</v>
      </c>
      <c r="O47" s="507">
        <f t="shared" si="3"/>
        <v>15246433</v>
      </c>
      <c r="P47" s="508">
        <v>12040789</v>
      </c>
      <c r="Q47" s="508">
        <v>0</v>
      </c>
      <c r="R47" s="508">
        <v>0</v>
      </c>
      <c r="S47" s="508">
        <v>0</v>
      </c>
      <c r="T47" s="508">
        <v>3205644</v>
      </c>
      <c r="U47" s="114">
        <v>15800</v>
      </c>
      <c r="V47" s="381"/>
      <c r="W47" s="12"/>
      <c r="X47" s="381"/>
    </row>
    <row r="48" spans="1:24" ht="23.25" customHeight="1">
      <c r="A48" s="94">
        <v>39</v>
      </c>
      <c r="B48" s="95" t="s">
        <v>748</v>
      </c>
      <c r="C48" s="507">
        <f t="shared" si="2"/>
        <v>310050000</v>
      </c>
      <c r="D48" s="508">
        <v>310050000</v>
      </c>
      <c r="E48" s="508">
        <v>0</v>
      </c>
      <c r="F48" s="508">
        <v>0</v>
      </c>
      <c r="G48" s="508">
        <v>0</v>
      </c>
      <c r="H48" s="508">
        <v>0</v>
      </c>
      <c r="I48" s="507">
        <f t="shared" si="4"/>
        <v>0</v>
      </c>
      <c r="J48" s="508">
        <v>0</v>
      </c>
      <c r="K48" s="508">
        <v>0</v>
      </c>
      <c r="L48" s="508">
        <v>0</v>
      </c>
      <c r="M48" s="508">
        <v>0</v>
      </c>
      <c r="N48" s="508">
        <v>0</v>
      </c>
      <c r="O48" s="507">
        <f t="shared" si="3"/>
        <v>3100500</v>
      </c>
      <c r="P48" s="508">
        <v>3100500</v>
      </c>
      <c r="Q48" s="508">
        <v>0</v>
      </c>
      <c r="R48" s="508">
        <v>0</v>
      </c>
      <c r="S48" s="508">
        <v>0</v>
      </c>
      <c r="T48" s="508">
        <v>0</v>
      </c>
      <c r="U48" s="114">
        <v>15900</v>
      </c>
      <c r="V48" s="381"/>
      <c r="W48" s="12"/>
      <c r="X48" s="381"/>
    </row>
    <row r="49" spans="1:30" ht="23.25" customHeight="1">
      <c r="A49" s="94">
        <v>40</v>
      </c>
      <c r="B49" s="95" t="s">
        <v>749</v>
      </c>
      <c r="C49" s="507">
        <f t="shared" si="2"/>
        <v>5975826954</v>
      </c>
      <c r="D49" s="508">
        <v>5284514053</v>
      </c>
      <c r="E49" s="508">
        <v>897597659</v>
      </c>
      <c r="F49" s="508">
        <v>7403607</v>
      </c>
      <c r="G49" s="508">
        <v>62444000</v>
      </c>
      <c r="H49" s="508">
        <v>459856333</v>
      </c>
      <c r="I49" s="507">
        <f t="shared" si="4"/>
        <v>2148690840</v>
      </c>
      <c r="J49" s="508">
        <f>'Aging Analysis'!M22</f>
        <v>1049071107</v>
      </c>
      <c r="K49" s="508">
        <f>'Aging Analysis'!O22+'Aging Analysis'!Q22</f>
        <v>838312288</v>
      </c>
      <c r="L49" s="508">
        <f>'Aging Analysis'!S22</f>
        <v>68368048</v>
      </c>
      <c r="M49" s="508">
        <f>'Aging Analysis'!U22</f>
        <v>95371174</v>
      </c>
      <c r="N49" s="508">
        <f>'Aging Analysis'!W22+'Aging Analysis'!Y22</f>
        <v>97568223</v>
      </c>
      <c r="O49" s="507">
        <f t="shared" si="3"/>
        <v>788833839</v>
      </c>
      <c r="P49" s="508">
        <v>52845141</v>
      </c>
      <c r="Q49" s="508">
        <v>257270650</v>
      </c>
      <c r="R49" s="508">
        <v>6582694</v>
      </c>
      <c r="S49" s="508">
        <v>57948744</v>
      </c>
      <c r="T49" s="508">
        <v>414186610</v>
      </c>
      <c r="U49" s="114">
        <v>16300</v>
      </c>
      <c r="V49" s="381"/>
      <c r="W49" s="12"/>
      <c r="X49" s="381"/>
    </row>
    <row r="50" spans="1:30" ht="23.25" customHeight="1">
      <c r="A50" s="94">
        <v>41</v>
      </c>
      <c r="B50" s="95" t="s">
        <v>747</v>
      </c>
      <c r="C50" s="507">
        <f t="shared" si="2"/>
        <v>412599235</v>
      </c>
      <c r="D50" s="508">
        <v>206690337</v>
      </c>
      <c r="E50" s="508">
        <v>219985743</v>
      </c>
      <c r="F50" s="508">
        <v>1937594</v>
      </c>
      <c r="G50" s="508">
        <v>17562446</v>
      </c>
      <c r="H50" s="508">
        <v>12662029</v>
      </c>
      <c r="I50" s="507">
        <f t="shared" si="4"/>
        <v>0</v>
      </c>
      <c r="J50" s="508">
        <v>0</v>
      </c>
      <c r="K50" s="508">
        <v>0</v>
      </c>
      <c r="L50" s="508">
        <v>0</v>
      </c>
      <c r="M50" s="508">
        <v>0</v>
      </c>
      <c r="N50" s="508">
        <v>0</v>
      </c>
      <c r="O50" s="507">
        <f t="shared" si="3"/>
        <v>48305817</v>
      </c>
      <c r="P50" s="508">
        <v>2066903</v>
      </c>
      <c r="Q50" s="508">
        <v>20363203</v>
      </c>
      <c r="R50" s="508">
        <v>506097</v>
      </c>
      <c r="S50" s="508">
        <v>12707585</v>
      </c>
      <c r="T50" s="508">
        <v>12662029</v>
      </c>
      <c r="U50" s="114">
        <v>16400</v>
      </c>
      <c r="V50" s="381"/>
      <c r="W50" s="12"/>
      <c r="X50" s="381"/>
    </row>
    <row r="51" spans="1:30" ht="23.25" customHeight="1">
      <c r="A51" s="94">
        <v>42</v>
      </c>
      <c r="B51" s="95" t="s">
        <v>269</v>
      </c>
      <c r="C51" s="507">
        <f t="shared" si="2"/>
        <v>3694759110</v>
      </c>
      <c r="D51" s="508">
        <v>3694759110</v>
      </c>
      <c r="E51" s="508">
        <v>0</v>
      </c>
      <c r="F51" s="508">
        <v>0</v>
      </c>
      <c r="G51" s="508">
        <v>0</v>
      </c>
      <c r="H51" s="508">
        <v>0</v>
      </c>
      <c r="I51" s="507">
        <f t="shared" si="4"/>
        <v>0</v>
      </c>
      <c r="J51" s="508">
        <v>0</v>
      </c>
      <c r="K51" s="508">
        <v>0</v>
      </c>
      <c r="L51" s="508">
        <v>0</v>
      </c>
      <c r="M51" s="508">
        <v>0</v>
      </c>
      <c r="N51" s="508">
        <v>0</v>
      </c>
      <c r="O51" s="507">
        <f t="shared" si="3"/>
        <v>0</v>
      </c>
      <c r="P51" s="508">
        <v>0</v>
      </c>
      <c r="Q51" s="508">
        <v>0</v>
      </c>
      <c r="R51" s="508">
        <v>0</v>
      </c>
      <c r="S51" s="508">
        <v>0</v>
      </c>
      <c r="T51" s="508">
        <v>0</v>
      </c>
      <c r="U51" s="114">
        <v>16500</v>
      </c>
      <c r="V51" s="381"/>
      <c r="W51" s="12"/>
      <c r="X51" s="381"/>
    </row>
    <row r="52" spans="1:30" ht="23.25" customHeight="1">
      <c r="A52" s="94">
        <v>43</v>
      </c>
      <c r="B52" s="95" t="s">
        <v>270</v>
      </c>
      <c r="C52" s="507">
        <f t="shared" si="2"/>
        <v>72964375</v>
      </c>
      <c r="D52" s="508">
        <v>72964375</v>
      </c>
      <c r="E52" s="508">
        <v>0</v>
      </c>
      <c r="F52" s="508">
        <v>0</v>
      </c>
      <c r="G52" s="508">
        <v>0</v>
      </c>
      <c r="H52" s="508">
        <v>0</v>
      </c>
      <c r="I52" s="507">
        <f t="shared" si="4"/>
        <v>0</v>
      </c>
      <c r="J52" s="508">
        <v>0</v>
      </c>
      <c r="K52" s="508">
        <v>0</v>
      </c>
      <c r="L52" s="508">
        <v>0</v>
      </c>
      <c r="M52" s="508">
        <v>0</v>
      </c>
      <c r="N52" s="508">
        <v>0</v>
      </c>
      <c r="O52" s="507">
        <f t="shared" si="3"/>
        <v>0</v>
      </c>
      <c r="P52" s="508">
        <v>0</v>
      </c>
      <c r="Q52" s="508">
        <v>0</v>
      </c>
      <c r="R52" s="508">
        <v>0</v>
      </c>
      <c r="S52" s="508">
        <v>0</v>
      </c>
      <c r="T52" s="508">
        <v>0</v>
      </c>
      <c r="U52" s="114">
        <v>16600</v>
      </c>
      <c r="V52" s="381"/>
      <c r="W52" s="12"/>
      <c r="X52" s="381"/>
    </row>
    <row r="53" spans="1:30" ht="23.25" customHeight="1">
      <c r="A53" s="94">
        <v>44</v>
      </c>
      <c r="B53" s="95" t="s">
        <v>271</v>
      </c>
      <c r="C53" s="507">
        <f t="shared" si="2"/>
        <v>712257850</v>
      </c>
      <c r="D53" s="508">
        <v>718757850</v>
      </c>
      <c r="E53" s="508">
        <v>0</v>
      </c>
      <c r="F53" s="508">
        <v>0</v>
      </c>
      <c r="G53" s="508">
        <v>0</v>
      </c>
      <c r="H53" s="508">
        <v>131678722</v>
      </c>
      <c r="I53" s="507">
        <f t="shared" si="4"/>
        <v>0</v>
      </c>
      <c r="J53" s="508">
        <v>0</v>
      </c>
      <c r="K53" s="508">
        <v>0</v>
      </c>
      <c r="L53" s="508">
        <v>0</v>
      </c>
      <c r="M53" s="508">
        <v>0</v>
      </c>
      <c r="N53" s="508">
        <v>0</v>
      </c>
      <c r="O53" s="507">
        <f t="shared" si="3"/>
        <v>145366301</v>
      </c>
      <c r="P53" s="508">
        <v>7187579</v>
      </c>
      <c r="Q53" s="508">
        <v>0</v>
      </c>
      <c r="R53" s="508">
        <v>0</v>
      </c>
      <c r="S53" s="508">
        <v>0</v>
      </c>
      <c r="T53" s="508">
        <v>138178722</v>
      </c>
      <c r="U53" s="114">
        <v>16700</v>
      </c>
      <c r="V53" s="381"/>
      <c r="W53" s="12"/>
      <c r="X53" s="381"/>
    </row>
    <row r="54" spans="1:30" ht="23.25" customHeight="1">
      <c r="A54" s="94">
        <v>45</v>
      </c>
      <c r="B54" s="95" t="s">
        <v>746</v>
      </c>
      <c r="C54" s="507">
        <f t="shared" ref="C54" si="6">SUM(D54:H54)-O54+P54</f>
        <v>321868635</v>
      </c>
      <c r="D54" s="508">
        <v>293160739</v>
      </c>
      <c r="E54" s="508">
        <v>24786564</v>
      </c>
      <c r="F54" s="508">
        <v>3713675</v>
      </c>
      <c r="G54" s="508">
        <v>9729159</v>
      </c>
      <c r="H54" s="508">
        <v>24780382</v>
      </c>
      <c r="I54" s="507">
        <f t="shared" ref="I54" si="7">SUM(J54:N54)</f>
        <v>0</v>
      </c>
      <c r="J54" s="508">
        <v>0</v>
      </c>
      <c r="K54" s="508">
        <v>0</v>
      </c>
      <c r="L54" s="508">
        <v>0</v>
      </c>
      <c r="M54" s="508">
        <v>0</v>
      </c>
      <c r="N54" s="508">
        <v>0</v>
      </c>
      <c r="O54" s="507">
        <f t="shared" ref="O54" si="8">SUM(P54:T54)</f>
        <v>37233491</v>
      </c>
      <c r="P54" s="508">
        <v>2931607</v>
      </c>
      <c r="Q54" s="508">
        <v>2603889</v>
      </c>
      <c r="R54" s="508">
        <v>928419</v>
      </c>
      <c r="S54" s="508">
        <v>4864579</v>
      </c>
      <c r="T54" s="508">
        <v>25904997</v>
      </c>
      <c r="U54" s="114">
        <v>16800</v>
      </c>
      <c r="V54" s="381"/>
      <c r="W54" s="12"/>
      <c r="X54" s="381"/>
    </row>
    <row r="55" spans="1:30" ht="23.25" customHeight="1">
      <c r="A55" s="94">
        <v>46</v>
      </c>
      <c r="B55" s="95" t="s">
        <v>272</v>
      </c>
      <c r="C55" s="507">
        <f t="shared" si="2"/>
        <v>0</v>
      </c>
      <c r="D55" s="508">
        <v>0</v>
      </c>
      <c r="E55" s="508">
        <v>0</v>
      </c>
      <c r="F55" s="508">
        <v>0</v>
      </c>
      <c r="G55" s="508">
        <v>0</v>
      </c>
      <c r="H55" s="508">
        <v>0</v>
      </c>
      <c r="I55" s="507">
        <f t="shared" si="4"/>
        <v>0</v>
      </c>
      <c r="J55" s="508">
        <v>0</v>
      </c>
      <c r="K55" s="508">
        <v>0</v>
      </c>
      <c r="L55" s="508">
        <v>0</v>
      </c>
      <c r="M55" s="508">
        <v>0</v>
      </c>
      <c r="N55" s="508">
        <v>0</v>
      </c>
      <c r="O55" s="507">
        <f t="shared" si="3"/>
        <v>0</v>
      </c>
      <c r="P55" s="508">
        <v>0</v>
      </c>
      <c r="Q55" s="508">
        <v>0</v>
      </c>
      <c r="R55" s="508">
        <v>0</v>
      </c>
      <c r="S55" s="508">
        <v>0</v>
      </c>
      <c r="T55" s="508">
        <v>0</v>
      </c>
      <c r="U55" s="114">
        <v>16900</v>
      </c>
      <c r="V55" s="381"/>
      <c r="W55" s="12"/>
      <c r="X55" s="381"/>
    </row>
    <row r="56" spans="1:30" ht="23.25" customHeight="1">
      <c r="A56" s="94">
        <v>47</v>
      </c>
      <c r="B56" s="95" t="s">
        <v>745</v>
      </c>
      <c r="C56" s="507">
        <f t="shared" si="2"/>
        <v>0</v>
      </c>
      <c r="D56" s="508">
        <v>0</v>
      </c>
      <c r="E56" s="508">
        <v>0</v>
      </c>
      <c r="F56" s="508">
        <v>0</v>
      </c>
      <c r="G56" s="508">
        <v>0</v>
      </c>
      <c r="H56" s="508">
        <v>0</v>
      </c>
      <c r="I56" s="507">
        <f t="shared" si="4"/>
        <v>0</v>
      </c>
      <c r="J56" s="508">
        <v>0</v>
      </c>
      <c r="K56" s="508">
        <v>0</v>
      </c>
      <c r="L56" s="508">
        <v>0</v>
      </c>
      <c r="M56" s="508">
        <v>0</v>
      </c>
      <c r="N56" s="508">
        <v>0</v>
      </c>
      <c r="O56" s="507">
        <f t="shared" si="3"/>
        <v>0</v>
      </c>
      <c r="P56" s="508">
        <v>0</v>
      </c>
      <c r="Q56" s="508">
        <v>0</v>
      </c>
      <c r="R56" s="508">
        <v>0</v>
      </c>
      <c r="S56" s="508">
        <v>0</v>
      </c>
      <c r="T56" s="508">
        <v>0</v>
      </c>
      <c r="U56" s="114">
        <v>17100</v>
      </c>
      <c r="V56" s="381"/>
      <c r="W56" s="12"/>
      <c r="X56" s="381"/>
    </row>
    <row r="57" spans="1:30" ht="23.25" customHeight="1">
      <c r="A57" s="94">
        <v>48</v>
      </c>
      <c r="B57" s="95" t="s">
        <v>273</v>
      </c>
      <c r="C57" s="507">
        <f t="shared" si="2"/>
        <v>0</v>
      </c>
      <c r="D57" s="508">
        <v>0</v>
      </c>
      <c r="E57" s="508">
        <v>0</v>
      </c>
      <c r="F57" s="508">
        <v>0</v>
      </c>
      <c r="G57" s="508">
        <v>0</v>
      </c>
      <c r="H57" s="508">
        <v>0</v>
      </c>
      <c r="I57" s="507">
        <f t="shared" si="4"/>
        <v>0</v>
      </c>
      <c r="J57" s="508">
        <v>0</v>
      </c>
      <c r="K57" s="508">
        <v>0</v>
      </c>
      <c r="L57" s="508">
        <v>0</v>
      </c>
      <c r="M57" s="508">
        <v>0</v>
      </c>
      <c r="N57" s="508">
        <v>0</v>
      </c>
      <c r="O57" s="507">
        <f t="shared" si="3"/>
        <v>0</v>
      </c>
      <c r="P57" s="508">
        <v>0</v>
      </c>
      <c r="Q57" s="508">
        <v>0</v>
      </c>
      <c r="R57" s="508">
        <v>0</v>
      </c>
      <c r="S57" s="508">
        <v>0</v>
      </c>
      <c r="T57" s="508">
        <v>0</v>
      </c>
      <c r="U57" s="114">
        <v>17300</v>
      </c>
      <c r="V57" s="381"/>
      <c r="W57" s="12"/>
      <c r="X57" s="381"/>
    </row>
    <row r="58" spans="1:30" ht="35.25" customHeight="1">
      <c r="A58" s="94">
        <v>49</v>
      </c>
      <c r="B58" s="95" t="s">
        <v>744</v>
      </c>
      <c r="C58" s="507">
        <f t="shared" si="2"/>
        <v>432932007</v>
      </c>
      <c r="D58" s="508">
        <v>432932007</v>
      </c>
      <c r="E58" s="508">
        <v>0</v>
      </c>
      <c r="F58" s="508">
        <v>0</v>
      </c>
      <c r="G58" s="508">
        <v>0</v>
      </c>
      <c r="H58" s="508">
        <v>0</v>
      </c>
      <c r="I58" s="507">
        <f t="shared" si="4"/>
        <v>0</v>
      </c>
      <c r="J58" s="508">
        <v>0</v>
      </c>
      <c r="K58" s="508">
        <v>0</v>
      </c>
      <c r="L58" s="508">
        <v>0</v>
      </c>
      <c r="M58" s="508">
        <v>0</v>
      </c>
      <c r="N58" s="508">
        <v>0</v>
      </c>
      <c r="O58" s="507">
        <f t="shared" si="3"/>
        <v>4329320</v>
      </c>
      <c r="P58" s="508">
        <v>4329320</v>
      </c>
      <c r="Q58" s="508">
        <v>0</v>
      </c>
      <c r="R58" s="508">
        <v>0</v>
      </c>
      <c r="S58" s="508">
        <v>0</v>
      </c>
      <c r="T58" s="508">
        <v>0</v>
      </c>
      <c r="U58" s="114">
        <v>17400</v>
      </c>
      <c r="V58" s="381"/>
      <c r="W58" s="12"/>
      <c r="X58" s="381"/>
      <c r="Y58" s="251"/>
      <c r="Z58" s="251"/>
      <c r="AA58" s="251"/>
      <c r="AB58" s="251"/>
      <c r="AC58" s="251"/>
      <c r="AD58" s="251"/>
    </row>
    <row r="59" spans="1:30" ht="23.25" customHeight="1">
      <c r="A59" s="94">
        <v>50</v>
      </c>
      <c r="B59" s="95" t="s">
        <v>735</v>
      </c>
      <c r="C59" s="507">
        <f>SUM(D59:H59)-O59</f>
        <v>695180207</v>
      </c>
      <c r="D59" s="508">
        <v>695180207</v>
      </c>
      <c r="E59" s="508">
        <v>0</v>
      </c>
      <c r="F59" s="508">
        <v>0</v>
      </c>
      <c r="G59" s="508">
        <v>0</v>
      </c>
      <c r="H59" s="508">
        <v>0</v>
      </c>
      <c r="I59" s="507">
        <f t="shared" si="4"/>
        <v>0</v>
      </c>
      <c r="J59" s="508">
        <v>0</v>
      </c>
      <c r="K59" s="508">
        <v>0</v>
      </c>
      <c r="L59" s="508">
        <v>0</v>
      </c>
      <c r="M59" s="508">
        <v>0</v>
      </c>
      <c r="N59" s="508">
        <v>0</v>
      </c>
      <c r="O59" s="507">
        <f t="shared" si="3"/>
        <v>0</v>
      </c>
      <c r="P59" s="508">
        <v>0</v>
      </c>
      <c r="Q59" s="508">
        <v>0</v>
      </c>
      <c r="R59" s="508">
        <v>0</v>
      </c>
      <c r="S59" s="508">
        <v>0</v>
      </c>
      <c r="T59" s="508">
        <v>0</v>
      </c>
      <c r="U59" s="114">
        <v>17700</v>
      </c>
      <c r="V59" s="381"/>
      <c r="W59" s="580">
        <f>+[8]Balance!$C$39</f>
        <v>695180207</v>
      </c>
      <c r="X59" s="381"/>
    </row>
    <row r="60" spans="1:30" s="251" customFormat="1" ht="23.25" customHeight="1">
      <c r="A60" s="94">
        <v>51</v>
      </c>
      <c r="B60" s="95" t="s">
        <v>274</v>
      </c>
      <c r="C60" s="507">
        <f t="shared" si="2"/>
        <v>1482663662</v>
      </c>
      <c r="D60" s="508">
        <v>1473382146</v>
      </c>
      <c r="E60" s="508">
        <v>3302881</v>
      </c>
      <c r="F60" s="508">
        <v>8273120</v>
      </c>
      <c r="G60" s="508">
        <v>80459</v>
      </c>
      <c r="H60" s="508">
        <v>1720143</v>
      </c>
      <c r="I60" s="507">
        <f t="shared" si="4"/>
        <v>0</v>
      </c>
      <c r="J60" s="508">
        <v>0</v>
      </c>
      <c r="K60" s="508">
        <v>0</v>
      </c>
      <c r="L60" s="508">
        <v>0</v>
      </c>
      <c r="M60" s="508">
        <v>0</v>
      </c>
      <c r="N60" s="508">
        <v>0</v>
      </c>
      <c r="O60" s="507">
        <f t="shared" si="3"/>
        <v>5969336</v>
      </c>
      <c r="P60" s="508">
        <v>1874249</v>
      </c>
      <c r="Q60" s="508">
        <v>266435</v>
      </c>
      <c r="R60" s="508">
        <v>2068280</v>
      </c>
      <c r="S60" s="508">
        <v>40229</v>
      </c>
      <c r="T60" s="508">
        <v>1720143</v>
      </c>
      <c r="U60" s="114">
        <v>19900</v>
      </c>
      <c r="V60" s="381"/>
      <c r="W60" s="580"/>
      <c r="X60" s="381"/>
      <c r="Y60" s="9"/>
      <c r="Z60" s="9"/>
      <c r="AA60" s="9"/>
      <c r="AB60" s="9"/>
      <c r="AC60" s="9"/>
      <c r="AD60" s="9"/>
    </row>
    <row r="61" spans="1:30" s="251" customFormat="1" ht="15" customHeight="1">
      <c r="A61" s="248"/>
      <c r="B61" s="95"/>
      <c r="C61" s="507"/>
      <c r="D61" s="507"/>
      <c r="E61" s="507"/>
      <c r="F61" s="507"/>
      <c r="G61" s="507"/>
      <c r="H61" s="507"/>
      <c r="I61" s="507"/>
      <c r="J61" s="508"/>
      <c r="K61" s="508"/>
      <c r="L61" s="508"/>
      <c r="M61" s="508"/>
      <c r="N61" s="508"/>
      <c r="O61" s="507"/>
      <c r="P61" s="509"/>
      <c r="Q61" s="509"/>
      <c r="R61" s="509"/>
      <c r="S61" s="509"/>
      <c r="T61" s="509"/>
      <c r="U61" s="114"/>
      <c r="V61" s="249"/>
      <c r="W61" s="580"/>
      <c r="X61" s="9"/>
      <c r="Y61" s="9"/>
      <c r="Z61" s="9"/>
      <c r="AA61" s="9"/>
      <c r="AB61" s="9"/>
      <c r="AC61" s="9"/>
      <c r="AD61" s="9"/>
    </row>
    <row r="62" spans="1:30" s="9" customFormat="1" ht="23.25" customHeight="1">
      <c r="A62" s="115"/>
      <c r="B62" s="247" t="s">
        <v>275</v>
      </c>
      <c r="C62" s="510">
        <f t="shared" ref="C62:H62" si="9">SUM(C63:C66)</f>
        <v>6519897441</v>
      </c>
      <c r="D62" s="510">
        <f t="shared" si="9"/>
        <v>5937180291</v>
      </c>
      <c r="E62" s="510">
        <f t="shared" si="9"/>
        <v>374274644</v>
      </c>
      <c r="F62" s="510">
        <f t="shared" si="9"/>
        <v>37065941</v>
      </c>
      <c r="G62" s="510">
        <f t="shared" si="9"/>
        <v>8296118</v>
      </c>
      <c r="H62" s="510">
        <f t="shared" si="9"/>
        <v>163080447</v>
      </c>
      <c r="I62" s="510">
        <f t="shared" ref="I62:I63" si="10">SUM(J62:N62)</f>
        <v>0</v>
      </c>
      <c r="J62" s="510">
        <f>SUM(J63:J66)</f>
        <v>0</v>
      </c>
      <c r="K62" s="510">
        <f t="shared" ref="K62:L62" si="11">SUM(K63:K66)</f>
        <v>0</v>
      </c>
      <c r="L62" s="510">
        <f t="shared" si="11"/>
        <v>0</v>
      </c>
      <c r="M62" s="510">
        <f t="shared" ref="M62:T62" si="12">SUM(M63:M66)</f>
        <v>0</v>
      </c>
      <c r="N62" s="510">
        <f t="shared" si="12"/>
        <v>0</v>
      </c>
      <c r="O62" s="510">
        <f t="shared" si="12"/>
        <v>24762000</v>
      </c>
      <c r="P62" s="510">
        <f t="shared" si="12"/>
        <v>24762000</v>
      </c>
      <c r="Q62" s="510">
        <f t="shared" si="12"/>
        <v>0</v>
      </c>
      <c r="R62" s="510">
        <f t="shared" si="12"/>
        <v>0</v>
      </c>
      <c r="S62" s="510">
        <f t="shared" si="12"/>
        <v>0</v>
      </c>
      <c r="T62" s="510">
        <f t="shared" si="12"/>
        <v>0</v>
      </c>
      <c r="U62" s="10"/>
      <c r="V62" s="10"/>
      <c r="W62" s="580">
        <f>+([8]Balance!$C$61)</f>
        <v>24762000</v>
      </c>
      <c r="X62" s="10"/>
      <c r="Y62" s="10"/>
      <c r="Z62" s="10"/>
      <c r="AA62" s="10"/>
      <c r="AB62" s="10"/>
      <c r="AC62" s="10"/>
      <c r="AD62" s="10"/>
    </row>
    <row r="63" spans="1:30" ht="26.25" customHeight="1">
      <c r="A63" s="248" t="s">
        <v>2</v>
      </c>
      <c r="B63" s="95" t="s">
        <v>276</v>
      </c>
      <c r="C63" s="507">
        <f t="shared" ref="C63" si="13">SUM(D63:H63)-O63+P63</f>
        <v>1595519447</v>
      </c>
      <c r="D63" s="508">
        <v>1544536858</v>
      </c>
      <c r="E63" s="508">
        <v>50982589</v>
      </c>
      <c r="F63" s="508">
        <v>0</v>
      </c>
      <c r="G63" s="508">
        <v>0</v>
      </c>
      <c r="H63" s="508">
        <v>0</v>
      </c>
      <c r="I63" s="507">
        <f t="shared" si="10"/>
        <v>0</v>
      </c>
      <c r="J63" s="509"/>
      <c r="K63" s="509"/>
      <c r="L63" s="509"/>
      <c r="M63" s="509"/>
      <c r="N63" s="509"/>
      <c r="O63" s="507">
        <f t="shared" ref="O63" si="14">SUM(P63:T63)</f>
        <v>870036</v>
      </c>
      <c r="P63" s="508">
        <v>870036</v>
      </c>
      <c r="Q63" s="509">
        <v>0</v>
      </c>
      <c r="R63" s="509">
        <v>0</v>
      </c>
      <c r="S63" s="509">
        <v>0</v>
      </c>
      <c r="T63" s="509">
        <v>0</v>
      </c>
      <c r="U63" s="114" t="s">
        <v>196</v>
      </c>
      <c r="W63" s="580">
        <f>+(W62*70%)</f>
        <v>17333400</v>
      </c>
    </row>
    <row r="64" spans="1:30" ht="26.25" customHeight="1">
      <c r="A64" s="248" t="s">
        <v>5</v>
      </c>
      <c r="B64" s="95" t="s">
        <v>277</v>
      </c>
      <c r="C64" s="507">
        <f>SUM(D64:H64)-O64+P64</f>
        <v>2562637949</v>
      </c>
      <c r="D64" s="508">
        <v>2400684428</v>
      </c>
      <c r="E64" s="508">
        <v>0</v>
      </c>
      <c r="F64" s="508">
        <v>0</v>
      </c>
      <c r="G64" s="508">
        <v>0</v>
      </c>
      <c r="H64" s="508">
        <v>161953521</v>
      </c>
      <c r="I64" s="507">
        <f>SUM(J64:N64)</f>
        <v>0</v>
      </c>
      <c r="J64" s="509"/>
      <c r="K64" s="509"/>
      <c r="L64" s="509"/>
      <c r="M64" s="509"/>
      <c r="N64" s="509"/>
      <c r="O64" s="507">
        <f>SUM(P64:T64)</f>
        <v>21604934</v>
      </c>
      <c r="P64" s="508">
        <v>21604934</v>
      </c>
      <c r="Q64" s="509">
        <v>0</v>
      </c>
      <c r="R64" s="509">
        <v>0</v>
      </c>
      <c r="S64" s="509">
        <v>0</v>
      </c>
      <c r="T64" s="509">
        <v>0</v>
      </c>
      <c r="U64" s="10">
        <v>90993</v>
      </c>
    </row>
    <row r="65" spans="1:30" ht="26.25" customHeight="1">
      <c r="A65" s="248" t="s">
        <v>6</v>
      </c>
      <c r="B65" s="95" t="s">
        <v>278</v>
      </c>
      <c r="C65" s="507">
        <f t="shared" ref="C65:C66" si="15">SUM(D65:H65)-O65+P65</f>
        <v>1923668186</v>
      </c>
      <c r="D65" s="508">
        <v>1824941608</v>
      </c>
      <c r="E65" s="508">
        <v>92932831</v>
      </c>
      <c r="F65" s="508">
        <v>1295468</v>
      </c>
      <c r="G65" s="508">
        <v>3371353</v>
      </c>
      <c r="H65" s="508">
        <v>1126926</v>
      </c>
      <c r="I65" s="507">
        <f>SUM(J65:N65)</f>
        <v>0</v>
      </c>
      <c r="J65" s="509"/>
      <c r="K65" s="509"/>
      <c r="L65" s="509"/>
      <c r="M65" s="509"/>
      <c r="N65" s="509"/>
      <c r="O65" s="507">
        <f>SUM(P65:T65)</f>
        <v>2287030</v>
      </c>
      <c r="P65" s="508">
        <v>2287030</v>
      </c>
      <c r="Q65" s="508">
        <v>0</v>
      </c>
      <c r="R65" s="509">
        <v>0</v>
      </c>
      <c r="S65" s="509">
        <v>0</v>
      </c>
      <c r="T65" s="509">
        <v>0</v>
      </c>
      <c r="U65" s="10">
        <v>91809</v>
      </c>
    </row>
    <row r="66" spans="1:30" ht="26.25" customHeight="1">
      <c r="A66" s="248" t="s">
        <v>4</v>
      </c>
      <c r="B66" s="95" t="s">
        <v>786</v>
      </c>
      <c r="C66" s="507">
        <f t="shared" si="15"/>
        <v>438071859</v>
      </c>
      <c r="D66" s="508">
        <v>167017397</v>
      </c>
      <c r="E66" s="508">
        <v>230359224</v>
      </c>
      <c r="F66" s="508">
        <v>35770473</v>
      </c>
      <c r="G66" s="508">
        <v>4924765</v>
      </c>
      <c r="H66" s="508">
        <v>0</v>
      </c>
      <c r="I66" s="507">
        <f>SUM(J66:N66)</f>
        <v>0</v>
      </c>
      <c r="J66" s="509"/>
      <c r="K66" s="509"/>
      <c r="L66" s="509"/>
      <c r="M66" s="509"/>
      <c r="N66" s="509"/>
      <c r="O66" s="507">
        <f>SUM(P66:T66)</f>
        <v>0</v>
      </c>
      <c r="P66" s="508">
        <v>0</v>
      </c>
      <c r="Q66" s="508">
        <v>0</v>
      </c>
      <c r="R66" s="509">
        <v>0</v>
      </c>
      <c r="S66" s="509">
        <v>0</v>
      </c>
      <c r="T66" s="509">
        <v>0</v>
      </c>
      <c r="U66" s="10">
        <v>90966</v>
      </c>
    </row>
    <row r="68" spans="1:30" s="28" customFormat="1" ht="15" customHeight="1">
      <c r="B68" s="26" t="s">
        <v>756</v>
      </c>
      <c r="F68" s="157"/>
      <c r="G68" s="157"/>
      <c r="H68" s="157"/>
      <c r="I68" s="157"/>
      <c r="J68" s="157"/>
      <c r="K68" s="157"/>
      <c r="L68" s="157"/>
      <c r="M68" s="157"/>
      <c r="W68" s="176"/>
    </row>
    <row r="69" spans="1:30" s="28" customFormat="1" ht="11.25" customHeight="1">
      <c r="B69" s="26"/>
      <c r="F69" s="157"/>
      <c r="G69" s="157"/>
      <c r="H69" s="157"/>
      <c r="I69" s="157"/>
      <c r="J69" s="157"/>
      <c r="K69" s="157"/>
      <c r="L69" s="157"/>
      <c r="M69" s="157"/>
      <c r="W69" s="176"/>
    </row>
    <row r="70" spans="1:30" s="28" customFormat="1" ht="15" customHeight="1">
      <c r="B70" s="26" t="s">
        <v>757</v>
      </c>
      <c r="F70" s="157"/>
      <c r="G70" s="157"/>
      <c r="H70" s="157"/>
      <c r="I70" s="157"/>
      <c r="J70" s="157"/>
      <c r="K70" s="157"/>
      <c r="L70" s="157"/>
      <c r="M70" s="157"/>
      <c r="W70" s="176"/>
    </row>
    <row r="71" spans="1:30" s="28" customFormat="1" ht="15" customHeight="1">
      <c r="B71" s="174"/>
      <c r="F71" s="157"/>
      <c r="G71" s="157"/>
      <c r="U71" s="10"/>
      <c r="V71" s="10"/>
      <c r="W71" s="251"/>
      <c r="X71" s="10"/>
      <c r="Y71" s="10"/>
      <c r="Z71" s="10"/>
      <c r="AA71" s="10"/>
      <c r="AB71" s="10"/>
      <c r="AC71" s="10"/>
      <c r="AD71" s="10"/>
    </row>
    <row r="74" spans="1:30">
      <c r="C74" s="505">
        <f>+[8]Balance!$C$47</f>
        <v>102438659711</v>
      </c>
      <c r="D74" s="482">
        <f>+'loans type'!N8</f>
        <v>51319667488</v>
      </c>
      <c r="E74" s="482">
        <f>+'loans type'!O8</f>
        <v>11973504955</v>
      </c>
      <c r="F74" s="482">
        <f>+'loans type'!P8</f>
        <v>197951703</v>
      </c>
      <c r="G74" s="482">
        <f>+'loans type'!Q8</f>
        <v>515717513</v>
      </c>
      <c r="H74" s="482">
        <f>+'loans type'!R8</f>
        <v>928728174</v>
      </c>
      <c r="I74" s="483"/>
      <c r="J74" s="483"/>
      <c r="K74" s="483"/>
      <c r="L74" s="483"/>
      <c r="M74" s="483"/>
      <c r="N74" s="483"/>
      <c r="O74" s="483"/>
      <c r="P74" s="482">
        <f>+'loans type'!T8</f>
        <v>511888974</v>
      </c>
      <c r="Q74" s="482">
        <f>+'loans type'!U8</f>
        <v>1198877092</v>
      </c>
      <c r="R74" s="482">
        <f>+'loans type'!V8</f>
        <v>49906638</v>
      </c>
      <c r="S74" s="482">
        <f>+'loans type'!W8</f>
        <v>258118383</v>
      </c>
      <c r="T74" s="482">
        <f>+'loans type'!X8</f>
        <v>928720297</v>
      </c>
      <c r="U74" s="483"/>
    </row>
    <row r="75" spans="1:30">
      <c r="D75" s="482">
        <f>+D16+D20+D21+D22+D23+D24+D25+D26+D27+D28+D29+D30+D31+D32+D33+D34+D35+D36+D37+D38+D39+D40+D41+D42+D43+D44+D45+D46</f>
        <v>51319667488</v>
      </c>
      <c r="E75" s="482">
        <f t="shared" ref="E75:H75" si="16">+E16+E19+E20+E21+E22+E23+E24+E25+E26+E27+E28+E29+E30+E31+E32+E33+E34+E35+E36+E37+E38+E39+E40+E41+E42+E43+E44+E45+E46</f>
        <v>11973504955</v>
      </c>
      <c r="F75" s="482">
        <f t="shared" si="16"/>
        <v>197951703</v>
      </c>
      <c r="G75" s="482">
        <f t="shared" si="16"/>
        <v>515717513</v>
      </c>
      <c r="H75" s="482">
        <f t="shared" si="16"/>
        <v>928728174</v>
      </c>
      <c r="I75" s="483"/>
      <c r="J75" s="483"/>
      <c r="K75" s="483"/>
      <c r="L75" s="483"/>
      <c r="M75" s="483"/>
      <c r="N75" s="483"/>
      <c r="O75" s="483"/>
      <c r="P75" s="482">
        <f>+P16+P19+P20+P21+P22+P23+P24+P25+P26+P27+P28+P29+P30+P31+P32+P33+P34+P35+P36+P37+P38+P39+P40+P41+P42+P43+P44+P45+P46</f>
        <v>511888974</v>
      </c>
      <c r="Q75" s="482">
        <f>+Q16+Q19+Q20+Q21+Q22+Q23+Q24+Q25+Q26+Q27+Q28+Q29+Q30+Q31+Q32+Q33+Q34+Q35+Q36+Q37+Q38+Q39+Q40+Q41+Q42+Q43+Q44+Q45+Q46</f>
        <v>1198877092</v>
      </c>
      <c r="R75" s="482">
        <f>+R16+R19+R20+R21+R22+R23+R24+R25+R26+R27+R28+R29+R30+R31+R32+R33+R34+R35+R36+R37+R38+R39+R40+R41+R42+R43+R44+R45+R46</f>
        <v>49906638</v>
      </c>
      <c r="S75" s="482">
        <f>+S16+S19+S20+S21+S22+S23+S24+S25+S26+S27+S28+S29+S30+S31+S32+S33+S34+S35+S36+S37+S38+S39+S40+S41+S42+S43+S44+S45+S46</f>
        <v>258118383</v>
      </c>
      <c r="T75" s="482">
        <f>+T16+T19+T20+T21+T22+T23+T24+T25+T26+T27+T28+T29+T30+T31+T32+T33+T34+T35+T36+T37+T38+T39+T40+T41+T42+T43+T44+T45+T46</f>
        <v>928720297</v>
      </c>
      <c r="U75" s="483"/>
    </row>
    <row r="76" spans="1:30">
      <c r="D76" s="484">
        <f>+D74-D75</f>
        <v>0</v>
      </c>
      <c r="E76" s="484">
        <f t="shared" ref="E76:H76" si="17">+E74-E75</f>
        <v>0</v>
      </c>
      <c r="F76" s="484">
        <f t="shared" si="17"/>
        <v>0</v>
      </c>
      <c r="G76" s="484">
        <f t="shared" si="17"/>
        <v>0</v>
      </c>
      <c r="H76" s="484">
        <f t="shared" si="17"/>
        <v>0</v>
      </c>
      <c r="I76" s="484"/>
      <c r="J76" s="484"/>
      <c r="K76" s="484"/>
      <c r="L76" s="484"/>
      <c r="M76" s="484"/>
      <c r="N76" s="484"/>
      <c r="O76" s="484"/>
      <c r="P76" s="484">
        <f>+P74-P75</f>
        <v>0</v>
      </c>
      <c r="Q76" s="484">
        <f>+Q74-Q75</f>
        <v>0</v>
      </c>
      <c r="R76" s="484">
        <f>+R74-R75</f>
        <v>0</v>
      </c>
      <c r="S76" s="484">
        <f>+S74-S75</f>
        <v>0</v>
      </c>
      <c r="T76" s="484">
        <f>+T74-T75</f>
        <v>0</v>
      </c>
      <c r="U76" s="483"/>
    </row>
    <row r="77" spans="1:30">
      <c r="D77" s="483"/>
      <c r="E77" s="483"/>
      <c r="F77" s="483"/>
      <c r="G77" s="483"/>
      <c r="H77" s="483"/>
      <c r="I77" s="483"/>
      <c r="J77" s="483"/>
      <c r="K77" s="483"/>
      <c r="L77" s="483"/>
      <c r="M77" s="483"/>
      <c r="N77" s="483"/>
      <c r="O77" s="483"/>
      <c r="P77" s="483"/>
      <c r="Q77" s="483"/>
      <c r="R77" s="483"/>
      <c r="S77" s="483"/>
      <c r="T77" s="483"/>
      <c r="U77" s="483"/>
    </row>
    <row r="78" spans="1:30">
      <c r="D78" s="483"/>
      <c r="E78" s="483"/>
      <c r="F78" s="483"/>
      <c r="G78" s="483"/>
      <c r="H78" s="483"/>
      <c r="I78" s="483"/>
      <c r="J78" s="483"/>
      <c r="K78" s="483"/>
      <c r="L78" s="483"/>
      <c r="M78" s="483"/>
      <c r="N78" s="483"/>
      <c r="O78" s="483"/>
      <c r="P78" s="483"/>
      <c r="Q78" s="483"/>
      <c r="R78" s="483"/>
      <c r="S78" s="483"/>
      <c r="T78" s="483"/>
      <c r="U78" s="483"/>
    </row>
    <row r="79" spans="1:30">
      <c r="D79" s="483"/>
      <c r="E79" s="483"/>
      <c r="F79" s="483"/>
      <c r="G79" s="483"/>
      <c r="H79" s="483"/>
      <c r="I79" s="483"/>
      <c r="J79" s="483"/>
      <c r="K79" s="483"/>
      <c r="L79" s="483"/>
      <c r="M79" s="483"/>
      <c r="N79" s="483"/>
      <c r="O79" s="483"/>
      <c r="P79" s="483"/>
      <c r="Q79" s="483"/>
      <c r="R79" s="483"/>
      <c r="S79" s="483"/>
      <c r="T79" s="483"/>
      <c r="U79" s="483"/>
    </row>
    <row r="80" spans="1:30">
      <c r="D80" s="483"/>
      <c r="E80" s="483"/>
      <c r="F80" s="483"/>
      <c r="G80" s="483"/>
      <c r="H80" s="483"/>
      <c r="I80" s="483"/>
      <c r="J80" s="483"/>
      <c r="K80" s="483"/>
      <c r="L80" s="483"/>
      <c r="M80" s="483"/>
      <c r="N80" s="483"/>
      <c r="O80" s="483"/>
      <c r="P80" s="483"/>
      <c r="Q80" s="483"/>
      <c r="R80" s="483"/>
      <c r="S80" s="483"/>
      <c r="T80" s="483"/>
      <c r="U80" s="483"/>
    </row>
  </sheetData>
  <sheetProtection password="CACA" sheet="1" objects="1" scenarios="1"/>
  <mergeCells count="18">
    <mergeCell ref="K5:K7"/>
    <mergeCell ref="Q3:R3"/>
    <mergeCell ref="O6:O7"/>
    <mergeCell ref="P6:T6"/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</mergeCells>
  <conditionalFormatting sqref="C9">
    <cfRule type="cellIs" dxfId="281" priority="7" operator="notEqual">
      <formula>$C$74</formula>
    </cfRule>
  </conditionalFormatting>
  <conditionalFormatting sqref="C59">
    <cfRule type="cellIs" dxfId="280" priority="4" operator="notEqual">
      <formula>$W$59</formula>
    </cfRule>
  </conditionalFormatting>
  <conditionalFormatting sqref="P9">
    <cfRule type="cellIs" dxfId="279" priority="3" operator="notEqual">
      <formula>$C$59</formula>
    </cfRule>
  </conditionalFormatting>
  <conditionalFormatting sqref="P62">
    <cfRule type="cellIs" dxfId="278" priority="1" operator="greaterThan">
      <formula>$W$62</formula>
    </cfRule>
    <cfRule type="cellIs" dxfId="277" priority="2" operator="lessThan">
      <formula>$W$63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7 C67 R67:T67 R62:T62 Q67 D62:H62 I49:I53 D67:H67 D61:H61 I17:I18 I15:I16 I12:I14 I19:I35" unlockedFormula="1"/>
    <ignoredError sqref="T61 O49:O53 Q62 O17:O18 O12:O16 O19:O35" formulaRange="1" unlockedFormula="1"/>
    <ignoredError sqref="O36:O48 O10:O11 O65:O66" formulaRange="1"/>
    <ignoredError sqref="I60 I54:I58 I61 I59 I67:J67 L67:P67 I62 I64:N64 J62:N62 I63:N63 K67" formula="1" unlockedFormula="1"/>
    <ignoredError sqref="R61:S61 Q61 O54:O58 P62 O59 O60 O61 O63:O64 O62" formula="1" formulaRange="1" unlockedFormula="1"/>
    <ignoredError sqref="C59:C61 C54:C58" formula="1"/>
    <ignoredError sqref="A10:B10 A15:B15 A11 A12 A13 A14 B17:B25 A16 B28:B32 B35:B39 B41:B45 B51:B53 B55 B57 B59:B60 A63:B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M92"/>
  <sheetViews>
    <sheetView view="pageBreakPreview" zoomScaleSheetLayoutView="100" workbookViewId="0">
      <pane xSplit="2" ySplit="4" topLeftCell="C5" activePane="bottomRight" state="frozen"/>
      <selection activeCell="K24" sqref="K24"/>
      <selection pane="topRight" activeCell="K24" sqref="K24"/>
      <selection pane="bottomLeft" activeCell="K24" sqref="K24"/>
      <selection pane="bottomRight" activeCell="B14" sqref="B14"/>
    </sheetView>
  </sheetViews>
  <sheetFormatPr defaultRowHeight="15" customHeight="1"/>
  <cols>
    <col min="1" max="1" width="5.7109375" style="480" customWidth="1"/>
    <col min="2" max="2" width="80.28515625" customWidth="1"/>
    <col min="3" max="3" width="16.85546875" customWidth="1"/>
    <col min="4" max="4" width="17.7109375" customWidth="1"/>
    <col min="5" max="5" width="16.85546875" customWidth="1"/>
    <col min="6" max="6" width="7.42578125" customWidth="1"/>
    <col min="7" max="7" width="18.5703125" style="458" customWidth="1"/>
    <col min="8" max="10" width="7.42578125" customWidth="1"/>
  </cols>
  <sheetData>
    <row r="1" spans="1:7" ht="18.75" customHeight="1">
      <c r="A1" s="651" t="s">
        <v>280</v>
      </c>
      <c r="B1" s="651"/>
      <c r="C1" s="651"/>
      <c r="D1" s="651"/>
      <c r="E1" s="457" t="s">
        <v>281</v>
      </c>
    </row>
    <row r="2" spans="1:7" ht="7.5" customHeight="1">
      <c r="A2" s="459"/>
      <c r="B2" s="181"/>
      <c r="C2" s="457"/>
      <c r="D2" s="457"/>
      <c r="E2" s="457"/>
    </row>
    <row r="3" spans="1:7" ht="15" customHeight="1">
      <c r="A3" s="460"/>
      <c r="B3" s="76" t="str">
        <f>+'Asset quality'!B3</f>
        <v>"Ўзсаноатқурилишбанк" АТБ</v>
      </c>
      <c r="D3" s="607">
        <f>+'Asset quality'!Q3</f>
        <v>46021</v>
      </c>
      <c r="E3" s="252" t="str">
        <f>+'Asset quality'!T3</f>
        <v>минг. сўмда</v>
      </c>
    </row>
    <row r="4" spans="1:7" ht="42" customHeight="1">
      <c r="A4" s="93" t="s">
        <v>61</v>
      </c>
      <c r="B4" s="93" t="s">
        <v>282</v>
      </c>
      <c r="C4" s="93" t="s">
        <v>232</v>
      </c>
      <c r="D4" s="93" t="s">
        <v>755</v>
      </c>
      <c r="E4" s="93" t="s">
        <v>284</v>
      </c>
    </row>
    <row r="5" spans="1:7" ht="15" customHeight="1">
      <c r="A5" s="383" t="s">
        <v>285</v>
      </c>
      <c r="B5" s="461" t="s">
        <v>286</v>
      </c>
      <c r="C5" s="93"/>
      <c r="D5" s="93"/>
      <c r="E5" s="93"/>
    </row>
    <row r="6" spans="1:7" ht="15" customHeight="1">
      <c r="A6" s="462" t="s">
        <v>287</v>
      </c>
      <c r="B6" s="419" t="s">
        <v>288</v>
      </c>
      <c r="C6" s="453">
        <f>+D6+E6</f>
        <v>5956850</v>
      </c>
      <c r="D6" s="468">
        <v>5956850</v>
      </c>
      <c r="E6" s="468">
        <v>0</v>
      </c>
      <c r="G6" s="458">
        <f>+'Analysis of Interest'!C17</f>
        <v>5956850</v>
      </c>
    </row>
    <row r="7" spans="1:7" ht="15" customHeight="1">
      <c r="A7" s="462" t="s">
        <v>289</v>
      </c>
      <c r="B7" s="419" t="s">
        <v>290</v>
      </c>
      <c r="C7" s="453">
        <f t="shared" ref="C7:C14" si="0">+D7+E7</f>
        <v>540479128</v>
      </c>
      <c r="D7" s="468">
        <v>86080352</v>
      </c>
      <c r="E7" s="468">
        <v>454398776</v>
      </c>
      <c r="G7" s="458">
        <f>+'Analysis of Interest'!C18</f>
        <v>540479128</v>
      </c>
    </row>
    <row r="8" spans="1:7" ht="25.5">
      <c r="A8" s="462" t="s">
        <v>291</v>
      </c>
      <c r="B8" s="463" t="s">
        <v>306</v>
      </c>
      <c r="C8" s="453">
        <f t="shared" si="0"/>
        <v>19968826</v>
      </c>
      <c r="D8" s="468">
        <v>19968826</v>
      </c>
      <c r="E8" s="468">
        <v>0</v>
      </c>
    </row>
    <row r="9" spans="1:7" ht="15" customHeight="1">
      <c r="A9" s="462" t="s">
        <v>292</v>
      </c>
      <c r="B9" s="463" t="s">
        <v>293</v>
      </c>
      <c r="C9" s="453">
        <f t="shared" ref="C9" si="1">+D9+E9</f>
        <v>972492922</v>
      </c>
      <c r="D9" s="468">
        <v>871536966</v>
      </c>
      <c r="E9" s="468">
        <v>100955956</v>
      </c>
      <c r="G9" s="458">
        <f>+'Analysis of Interest'!C28</f>
        <v>972492922</v>
      </c>
    </row>
    <row r="10" spans="1:7" ht="15" customHeight="1">
      <c r="A10" s="464" t="s">
        <v>294</v>
      </c>
      <c r="B10" s="465" t="s">
        <v>295</v>
      </c>
      <c r="C10" s="453">
        <f t="shared" si="0"/>
        <v>0</v>
      </c>
      <c r="D10" s="468">
        <v>0</v>
      </c>
      <c r="E10" s="468">
        <v>0</v>
      </c>
    </row>
    <row r="11" spans="1:7" ht="25.5">
      <c r="A11" s="464" t="s">
        <v>296</v>
      </c>
      <c r="B11" s="465" t="s">
        <v>297</v>
      </c>
      <c r="C11" s="453">
        <f t="shared" si="0"/>
        <v>0</v>
      </c>
      <c r="D11" s="468">
        <v>0</v>
      </c>
      <c r="E11" s="468">
        <v>0</v>
      </c>
    </row>
    <row r="12" spans="1:7" ht="15" customHeight="1">
      <c r="A12" s="464" t="s">
        <v>298</v>
      </c>
      <c r="B12" s="466" t="s">
        <v>299</v>
      </c>
      <c r="C12" s="453">
        <f t="shared" si="0"/>
        <v>9213565209</v>
      </c>
      <c r="D12" s="468">
        <v>5440404855</v>
      </c>
      <c r="E12" s="468">
        <v>3773160354</v>
      </c>
      <c r="G12" s="458">
        <f>+'Analysis of Interest'!C14</f>
        <v>9213565209</v>
      </c>
    </row>
    <row r="13" spans="1:7" ht="25.5">
      <c r="A13" s="384" t="s">
        <v>300</v>
      </c>
      <c r="B13" s="467" t="s">
        <v>301</v>
      </c>
      <c r="C13" s="453">
        <f t="shared" si="0"/>
        <v>17311219</v>
      </c>
      <c r="D13" s="468">
        <v>17311219</v>
      </c>
      <c r="E13" s="468">
        <v>0</v>
      </c>
      <c r="G13" s="458">
        <f>+'Analysis of Interest'!C39</f>
        <v>17311219</v>
      </c>
    </row>
    <row r="14" spans="1:7" ht="15" customHeight="1">
      <c r="A14" s="384" t="s">
        <v>302</v>
      </c>
      <c r="B14" s="254" t="s">
        <v>303</v>
      </c>
      <c r="C14" s="453">
        <f t="shared" si="0"/>
        <v>28373976</v>
      </c>
      <c r="D14" s="468">
        <v>28373976</v>
      </c>
      <c r="E14" s="468">
        <v>0</v>
      </c>
      <c r="G14" s="458">
        <f>+'Analysis of Interest'!C40</f>
        <v>28373976</v>
      </c>
    </row>
    <row r="15" spans="1:7" ht="15" customHeight="1">
      <c r="A15" s="383" t="s">
        <v>304</v>
      </c>
      <c r="B15" s="469" t="s">
        <v>305</v>
      </c>
      <c r="C15" s="96">
        <f>SUM(C6:C14)</f>
        <v>10798148130</v>
      </c>
      <c r="D15" s="96">
        <f>SUM(D6:D14)</f>
        <v>6469633044</v>
      </c>
      <c r="E15" s="96">
        <f>SUM(E6:E14)</f>
        <v>4328515086</v>
      </c>
      <c r="G15" s="458">
        <f>+'Analysis of Interest'!C42</f>
        <v>10798148130</v>
      </c>
    </row>
    <row r="16" spans="1:7" ht="7.5" customHeight="1">
      <c r="A16" s="383"/>
      <c r="B16" s="461"/>
      <c r="C16" s="470"/>
      <c r="D16" s="470"/>
      <c r="E16" s="470"/>
    </row>
    <row r="17" spans="1:7" ht="15" customHeight="1">
      <c r="A17" s="383" t="s">
        <v>307</v>
      </c>
      <c r="B17" s="461" t="s">
        <v>308</v>
      </c>
      <c r="C17" s="93"/>
      <c r="D17" s="93"/>
      <c r="E17" s="93"/>
    </row>
    <row r="18" spans="1:7" ht="15" customHeight="1">
      <c r="A18" s="462" t="s">
        <v>309</v>
      </c>
      <c r="B18" s="419" t="s">
        <v>310</v>
      </c>
      <c r="C18" s="453">
        <f t="shared" ref="C18:C21" si="2">+D18+E18</f>
        <v>192446073</v>
      </c>
      <c r="D18" s="468">
        <v>160672455</v>
      </c>
      <c r="E18" s="468">
        <v>31773618</v>
      </c>
      <c r="G18" s="458">
        <f>+'Analysis of Interest'!C52</f>
        <v>192446073</v>
      </c>
    </row>
    <row r="19" spans="1:7" ht="15" customHeight="1">
      <c r="A19" s="462" t="s">
        <v>289</v>
      </c>
      <c r="B19" s="419" t="s">
        <v>311</v>
      </c>
      <c r="C19" s="453">
        <f t="shared" si="2"/>
        <v>2935629121</v>
      </c>
      <c r="D19" s="468">
        <v>2803790307</v>
      </c>
      <c r="E19" s="468">
        <v>131838814</v>
      </c>
      <c r="G19" s="458">
        <f>+'Analysis of Interest'!C61</f>
        <v>2935629121</v>
      </c>
    </row>
    <row r="20" spans="1:7" ht="15" customHeight="1">
      <c r="A20" s="462" t="s">
        <v>291</v>
      </c>
      <c r="B20" s="419" t="s">
        <v>312</v>
      </c>
      <c r="C20" s="453">
        <f t="shared" si="2"/>
        <v>0</v>
      </c>
      <c r="D20" s="468">
        <v>0</v>
      </c>
      <c r="E20" s="468">
        <v>0</v>
      </c>
    </row>
    <row r="21" spans="1:7" ht="15" customHeight="1">
      <c r="A21" s="462" t="s">
        <v>292</v>
      </c>
      <c r="B21" s="419" t="s">
        <v>313</v>
      </c>
      <c r="C21" s="453">
        <f t="shared" si="2"/>
        <v>389880608</v>
      </c>
      <c r="D21" s="468">
        <v>235163973</v>
      </c>
      <c r="E21" s="468">
        <v>154716635</v>
      </c>
    </row>
    <row r="22" spans="1:7" s="219" customFormat="1" ht="15" customHeight="1">
      <c r="A22" s="383" t="s">
        <v>294</v>
      </c>
      <c r="B22" s="461" t="s">
        <v>314</v>
      </c>
      <c r="C22" s="96">
        <f>SUM(C18:C21)</f>
        <v>3517955802</v>
      </c>
      <c r="D22" s="96">
        <f>SUM(D18:D21)</f>
        <v>3199626735</v>
      </c>
      <c r="E22" s="96">
        <f>SUM(E18:E21)</f>
        <v>318329067</v>
      </c>
      <c r="G22" s="471"/>
    </row>
    <row r="23" spans="1:7" ht="15.75" customHeight="1">
      <c r="A23" s="462" t="s">
        <v>296</v>
      </c>
      <c r="B23" s="419" t="s">
        <v>315</v>
      </c>
      <c r="C23" s="453">
        <f t="shared" ref="C23:C25" si="3">+D23+E23</f>
        <v>2305541410</v>
      </c>
      <c r="D23" s="468">
        <v>391140924</v>
      </c>
      <c r="E23" s="468">
        <v>1914400486</v>
      </c>
      <c r="G23" s="458">
        <f>+'Analysis of Interest'!C67</f>
        <v>2305541410</v>
      </c>
    </row>
    <row r="24" spans="1:7" ht="15.75" customHeight="1">
      <c r="A24" s="384" t="s">
        <v>298</v>
      </c>
      <c r="B24" s="254" t="s">
        <v>316</v>
      </c>
      <c r="C24" s="453">
        <f t="shared" si="3"/>
        <v>148206712</v>
      </c>
      <c r="D24" s="468">
        <v>148206712</v>
      </c>
      <c r="E24" s="468">
        <v>0</v>
      </c>
      <c r="G24" s="458">
        <f>+'Analysis of Interest'!C68</f>
        <v>148206712</v>
      </c>
    </row>
    <row r="25" spans="1:7" ht="15.75" customHeight="1">
      <c r="A25" s="384" t="s">
        <v>300</v>
      </c>
      <c r="B25" s="254" t="s">
        <v>317</v>
      </c>
      <c r="C25" s="453">
        <f t="shared" si="3"/>
        <v>1437841583</v>
      </c>
      <c r="D25" s="468">
        <v>723893883</v>
      </c>
      <c r="E25" s="468">
        <v>713947700</v>
      </c>
    </row>
    <row r="26" spans="1:7" ht="15" customHeight="1">
      <c r="A26" s="472" t="s">
        <v>302</v>
      </c>
      <c r="B26" s="469" t="s">
        <v>318</v>
      </c>
      <c r="C26" s="96">
        <f>SUM(C23:C25)</f>
        <v>3891589705</v>
      </c>
      <c r="D26" s="96">
        <f>SUM(D23:D25)</f>
        <v>1263241519</v>
      </c>
      <c r="E26" s="96">
        <f>SUM(E23:E25)</f>
        <v>2628348186</v>
      </c>
    </row>
    <row r="27" spans="1:7" ht="15" customHeight="1">
      <c r="A27" s="472" t="s">
        <v>304</v>
      </c>
      <c r="B27" s="469" t="s">
        <v>319</v>
      </c>
      <c r="C27" s="96">
        <f>C26+C22</f>
        <v>7409545507</v>
      </c>
      <c r="D27" s="96">
        <f>D26+D22</f>
        <v>4462868254</v>
      </c>
      <c r="E27" s="96">
        <f>E26+E22</f>
        <v>2946677253</v>
      </c>
      <c r="G27" s="458">
        <f>+'Analysis of Interest'!C72</f>
        <v>7409545507</v>
      </c>
    </row>
    <row r="28" spans="1:7" ht="7.5" customHeight="1">
      <c r="A28" s="462"/>
      <c r="B28" s="419"/>
      <c r="C28" s="470"/>
      <c r="D28" s="470"/>
      <c r="E28" s="470"/>
    </row>
    <row r="29" spans="1:7" s="219" customFormat="1" ht="25.5">
      <c r="A29" s="383" t="s">
        <v>91</v>
      </c>
      <c r="B29" s="253" t="s">
        <v>320</v>
      </c>
      <c r="C29" s="96">
        <f>C15-C27</f>
        <v>3388602623</v>
      </c>
      <c r="D29" s="96">
        <f>D15-D27</f>
        <v>2006764790</v>
      </c>
      <c r="E29" s="96">
        <f>E15-E27</f>
        <v>1381837833</v>
      </c>
      <c r="G29" s="471"/>
    </row>
    <row r="30" spans="1:7" ht="15.75" customHeight="1">
      <c r="A30" s="384" t="s">
        <v>309</v>
      </c>
      <c r="B30" s="254" t="s">
        <v>321</v>
      </c>
      <c r="C30" s="453">
        <f t="shared" ref="C30:C33" si="4">+D30+E30</f>
        <v>2466678392</v>
      </c>
      <c r="D30" s="468">
        <v>1216635160</v>
      </c>
      <c r="E30" s="468">
        <v>1250043232</v>
      </c>
    </row>
    <row r="31" spans="1:7" ht="15.75" customHeight="1">
      <c r="A31" s="384" t="s">
        <v>289</v>
      </c>
      <c r="B31" s="254" t="s">
        <v>322</v>
      </c>
      <c r="C31" s="453">
        <f t="shared" si="4"/>
        <v>0</v>
      </c>
      <c r="D31" s="468">
        <v>0</v>
      </c>
      <c r="E31" s="468">
        <v>0</v>
      </c>
    </row>
    <row r="32" spans="1:7" ht="15.75" customHeight="1">
      <c r="A32" s="384" t="s">
        <v>291</v>
      </c>
      <c r="B32" s="254" t="s">
        <v>323</v>
      </c>
      <c r="C32" s="453">
        <f t="shared" si="4"/>
        <v>0</v>
      </c>
      <c r="D32" s="468">
        <v>0</v>
      </c>
      <c r="E32" s="468">
        <v>0</v>
      </c>
    </row>
    <row r="33" spans="1:8" ht="15.75" customHeight="1">
      <c r="A33" s="384" t="s">
        <v>292</v>
      </c>
      <c r="B33" s="254" t="s">
        <v>324</v>
      </c>
      <c r="C33" s="453">
        <f t="shared" si="4"/>
        <v>1463458178</v>
      </c>
      <c r="D33" s="468">
        <v>1186933686</v>
      </c>
      <c r="E33" s="468">
        <v>276524492</v>
      </c>
    </row>
    <row r="34" spans="1:8" ht="12.75">
      <c r="A34" s="383" t="s">
        <v>294</v>
      </c>
      <c r="B34" s="253" t="s">
        <v>325</v>
      </c>
      <c r="C34" s="96">
        <f>C29-C30-C31-C32-C33</f>
        <v>-541533947</v>
      </c>
      <c r="D34" s="96">
        <f>D29-D30-D31-D32-D33</f>
        <v>-396804056</v>
      </c>
      <c r="E34" s="96">
        <f>E29-E30-E31-E32-E33</f>
        <v>-144729891</v>
      </c>
    </row>
    <row r="35" spans="1:8" ht="7.5" customHeight="1">
      <c r="A35" s="462"/>
      <c r="B35" s="419"/>
      <c r="C35" s="470"/>
      <c r="D35" s="470"/>
      <c r="E35" s="470"/>
    </row>
    <row r="36" spans="1:8" ht="15" customHeight="1">
      <c r="A36" s="383" t="s">
        <v>326</v>
      </c>
      <c r="B36" s="461" t="s">
        <v>327</v>
      </c>
      <c r="C36" s="93"/>
      <c r="D36" s="93"/>
      <c r="E36" s="93"/>
    </row>
    <row r="37" spans="1:8" ht="15" customHeight="1">
      <c r="A37" s="462" t="s">
        <v>309</v>
      </c>
      <c r="B37" s="419" t="s">
        <v>761</v>
      </c>
      <c r="C37" s="453">
        <f t="shared" ref="C37:C43" si="5">+D37+E37</f>
        <v>704393857</v>
      </c>
      <c r="D37" s="468">
        <v>540193841</v>
      </c>
      <c r="E37" s="468">
        <v>164200016</v>
      </c>
      <c r="H37" s="473"/>
    </row>
    <row r="38" spans="1:8" ht="15" customHeight="1">
      <c r="A38" s="462" t="s">
        <v>289</v>
      </c>
      <c r="B38" s="419" t="s">
        <v>328</v>
      </c>
      <c r="C38" s="453">
        <f t="shared" si="5"/>
        <v>3084670386</v>
      </c>
      <c r="D38" s="468">
        <v>1183408393</v>
      </c>
      <c r="E38" s="468">
        <v>1901261993</v>
      </c>
    </row>
    <row r="39" spans="1:8" ht="15" customHeight="1">
      <c r="A39" s="462" t="s">
        <v>291</v>
      </c>
      <c r="B39" s="419" t="s">
        <v>329</v>
      </c>
      <c r="C39" s="453">
        <f t="shared" si="5"/>
        <v>1316598</v>
      </c>
      <c r="D39" s="468">
        <v>-14089098</v>
      </c>
      <c r="E39" s="468">
        <v>15405696</v>
      </c>
    </row>
    <row r="40" spans="1:8" ht="15" customHeight="1">
      <c r="A40" s="462" t="s">
        <v>292</v>
      </c>
      <c r="B40" s="419" t="s">
        <v>330</v>
      </c>
      <c r="C40" s="453">
        <f t="shared" si="5"/>
        <v>68373696</v>
      </c>
      <c r="D40" s="468">
        <v>67875673</v>
      </c>
      <c r="E40" s="468">
        <v>498023</v>
      </c>
    </row>
    <row r="41" spans="1:8" ht="15" customHeight="1">
      <c r="A41" s="462" t="s">
        <v>294</v>
      </c>
      <c r="B41" s="419" t="s">
        <v>783</v>
      </c>
      <c r="C41" s="453">
        <f>+D41+E41</f>
        <v>2607850054</v>
      </c>
      <c r="D41" s="468">
        <v>1172133085</v>
      </c>
      <c r="E41" s="468">
        <v>1435716969</v>
      </c>
    </row>
    <row r="42" spans="1:8" ht="15" customHeight="1">
      <c r="A42" s="462" t="s">
        <v>296</v>
      </c>
      <c r="B42" s="419" t="s">
        <v>333</v>
      </c>
      <c r="C42" s="453">
        <f>+D42+E42</f>
        <v>403454</v>
      </c>
      <c r="D42" s="468">
        <v>393168</v>
      </c>
      <c r="E42" s="468">
        <v>10286</v>
      </c>
    </row>
    <row r="43" spans="1:8" ht="15" customHeight="1">
      <c r="A43" s="462" t="s">
        <v>298</v>
      </c>
      <c r="B43" s="419" t="s">
        <v>331</v>
      </c>
      <c r="C43" s="453">
        <f t="shared" si="5"/>
        <v>563145794</v>
      </c>
      <c r="D43" s="468">
        <v>345918445</v>
      </c>
      <c r="E43" s="468">
        <v>217227349</v>
      </c>
    </row>
    <row r="44" spans="1:8" ht="15" customHeight="1">
      <c r="A44" s="383" t="s">
        <v>300</v>
      </c>
      <c r="B44" s="461" t="s">
        <v>334</v>
      </c>
      <c r="C44" s="96">
        <f>SUM(C37:C43)</f>
        <v>7030153839</v>
      </c>
      <c r="D44" s="96">
        <f>SUM(D37:D43)</f>
        <v>3295833507</v>
      </c>
      <c r="E44" s="96">
        <f>SUM(E37:E43)</f>
        <v>3734320332</v>
      </c>
    </row>
    <row r="45" spans="1:8" ht="7.5" customHeight="1">
      <c r="A45" s="462"/>
      <c r="B45" s="419"/>
      <c r="C45" s="470"/>
      <c r="D45" s="470"/>
      <c r="E45" s="470"/>
    </row>
    <row r="46" spans="1:8" ht="15" customHeight="1">
      <c r="A46" s="383" t="s">
        <v>335</v>
      </c>
      <c r="B46" s="461" t="s">
        <v>336</v>
      </c>
      <c r="C46" s="93"/>
      <c r="D46" s="93"/>
      <c r="E46" s="93"/>
    </row>
    <row r="47" spans="1:8" ht="15" customHeight="1">
      <c r="A47" s="462" t="s">
        <v>309</v>
      </c>
      <c r="B47" s="419" t="s">
        <v>762</v>
      </c>
      <c r="C47" s="453">
        <f t="shared" ref="C47:C51" si="6">+D47+E47</f>
        <v>501899547</v>
      </c>
      <c r="D47" s="468">
        <v>339409139</v>
      </c>
      <c r="E47" s="468">
        <v>162490408</v>
      </c>
    </row>
    <row r="48" spans="1:8" ht="15" customHeight="1">
      <c r="A48" s="462" t="s">
        <v>289</v>
      </c>
      <c r="B48" s="419" t="s">
        <v>337</v>
      </c>
      <c r="C48" s="453">
        <f t="shared" si="6"/>
        <v>1606744795</v>
      </c>
      <c r="D48" s="468">
        <v>30701196</v>
      </c>
      <c r="E48" s="468">
        <v>1576043599</v>
      </c>
    </row>
    <row r="49" spans="1:5" ht="15" customHeight="1">
      <c r="A49" s="462" t="s">
        <v>291</v>
      </c>
      <c r="B49" s="419" t="s">
        <v>338</v>
      </c>
      <c r="C49" s="453">
        <f t="shared" si="6"/>
        <v>9201283</v>
      </c>
      <c r="D49" s="468">
        <v>-28068763</v>
      </c>
      <c r="E49" s="468">
        <v>37270046</v>
      </c>
    </row>
    <row r="50" spans="1:5" ht="15" customHeight="1">
      <c r="A50" s="462" t="s">
        <v>292</v>
      </c>
      <c r="B50" s="419" t="s">
        <v>339</v>
      </c>
      <c r="C50" s="453">
        <f t="shared" si="6"/>
        <v>0</v>
      </c>
      <c r="D50" s="468">
        <v>0</v>
      </c>
      <c r="E50" s="468">
        <v>0</v>
      </c>
    </row>
    <row r="51" spans="1:5" ht="15" customHeight="1">
      <c r="A51" s="462" t="s">
        <v>294</v>
      </c>
      <c r="B51" s="419" t="s">
        <v>340</v>
      </c>
      <c r="C51" s="453">
        <f t="shared" si="6"/>
        <v>105138448</v>
      </c>
      <c r="D51" s="468">
        <v>100042143</v>
      </c>
      <c r="E51" s="468">
        <v>5096305</v>
      </c>
    </row>
    <row r="52" spans="1:5" ht="15" customHeight="1">
      <c r="A52" s="383" t="s">
        <v>296</v>
      </c>
      <c r="B52" s="461" t="s">
        <v>341</v>
      </c>
      <c r="C52" s="96">
        <f>SUM(C47:C51)</f>
        <v>2222984073</v>
      </c>
      <c r="D52" s="96">
        <f>SUM(D47:D51)</f>
        <v>442083715</v>
      </c>
      <c r="E52" s="96">
        <f>SUM(E47:E51)</f>
        <v>1780900358</v>
      </c>
    </row>
    <row r="53" spans="1:5" ht="7.5" customHeight="1">
      <c r="A53" s="383"/>
      <c r="B53" s="461"/>
      <c r="C53" s="453"/>
      <c r="D53" s="453"/>
      <c r="E53" s="453"/>
    </row>
    <row r="54" spans="1:5" ht="15" customHeight="1">
      <c r="A54" s="383" t="s">
        <v>342</v>
      </c>
      <c r="B54" s="461" t="s">
        <v>343</v>
      </c>
      <c r="C54" s="96">
        <f>C34+C44-C52</f>
        <v>4265635819</v>
      </c>
      <c r="D54" s="96">
        <f>D34+D44-D52</f>
        <v>2456945736</v>
      </c>
      <c r="E54" s="96">
        <f>E34+E44-E52</f>
        <v>1808690083</v>
      </c>
    </row>
    <row r="55" spans="1:5" ht="7.5" customHeight="1">
      <c r="A55" s="383"/>
      <c r="B55" s="461"/>
      <c r="C55" s="453"/>
      <c r="D55" s="453"/>
      <c r="E55" s="453"/>
    </row>
    <row r="56" spans="1:5" ht="15" customHeight="1">
      <c r="A56" s="383" t="s">
        <v>344</v>
      </c>
      <c r="B56" s="461" t="s">
        <v>345</v>
      </c>
      <c r="C56" s="93"/>
      <c r="D56" s="93"/>
      <c r="E56" s="93"/>
    </row>
    <row r="57" spans="1:5" ht="15" customHeight="1">
      <c r="A57" s="462" t="s">
        <v>309</v>
      </c>
      <c r="B57" s="419" t="s">
        <v>346</v>
      </c>
      <c r="C57" s="468">
        <v>1169821045</v>
      </c>
      <c r="D57" s="468">
        <v>1169821045</v>
      </c>
      <c r="E57" s="474"/>
    </row>
    <row r="58" spans="1:5" ht="15" customHeight="1">
      <c r="A58" s="463" t="s">
        <v>347</v>
      </c>
      <c r="B58" s="419" t="s">
        <v>348</v>
      </c>
      <c r="C58" s="468">
        <v>61973687</v>
      </c>
      <c r="D58" s="468">
        <v>61973687</v>
      </c>
      <c r="E58" s="474"/>
    </row>
    <row r="59" spans="1:5" ht="15" customHeight="1">
      <c r="A59" s="462" t="s">
        <v>289</v>
      </c>
      <c r="B59" s="419" t="s">
        <v>349</v>
      </c>
      <c r="C59" s="468">
        <v>160514023</v>
      </c>
      <c r="D59" s="468">
        <v>160514023</v>
      </c>
      <c r="E59" s="474"/>
    </row>
    <row r="60" spans="1:5" ht="15" customHeight="1">
      <c r="A60" s="462" t="s">
        <v>291</v>
      </c>
      <c r="B60" s="419" t="s">
        <v>350</v>
      </c>
      <c r="C60" s="468">
        <v>27172398</v>
      </c>
      <c r="D60" s="468">
        <v>27172398</v>
      </c>
      <c r="E60" s="474"/>
    </row>
    <row r="61" spans="1:5" ht="15" customHeight="1">
      <c r="A61" s="462" t="s">
        <v>292</v>
      </c>
      <c r="B61" s="419" t="s">
        <v>351</v>
      </c>
      <c r="C61" s="468">
        <v>70564334</v>
      </c>
      <c r="D61" s="468">
        <v>70564334</v>
      </c>
      <c r="E61" s="474"/>
    </row>
    <row r="62" spans="1:5" ht="15" customHeight="1">
      <c r="A62" s="462" t="s">
        <v>294</v>
      </c>
      <c r="B62" s="419" t="s">
        <v>352</v>
      </c>
      <c r="C62" s="468">
        <v>173363828</v>
      </c>
      <c r="D62" s="468">
        <v>173363828</v>
      </c>
      <c r="E62" s="474"/>
    </row>
    <row r="63" spans="1:5" ht="15" customHeight="1">
      <c r="A63" s="462" t="s">
        <v>296</v>
      </c>
      <c r="B63" s="419" t="s">
        <v>353</v>
      </c>
      <c r="C63" s="468">
        <v>196116723</v>
      </c>
      <c r="D63" s="468">
        <v>196116723</v>
      </c>
      <c r="E63" s="474"/>
    </row>
    <row r="64" spans="1:5" ht="15" customHeight="1">
      <c r="A64" s="462" t="s">
        <v>298</v>
      </c>
      <c r="B64" s="419" t="s">
        <v>354</v>
      </c>
      <c r="C64" s="468">
        <v>8744268</v>
      </c>
      <c r="D64" s="468">
        <v>8744268</v>
      </c>
      <c r="E64" s="474"/>
    </row>
    <row r="65" spans="1:13" ht="15" customHeight="1">
      <c r="A65" s="462" t="s">
        <v>300</v>
      </c>
      <c r="B65" s="419" t="s">
        <v>355</v>
      </c>
      <c r="C65" s="468">
        <v>131778998</v>
      </c>
      <c r="D65" s="468">
        <v>131778998</v>
      </c>
      <c r="E65" s="474"/>
    </row>
    <row r="66" spans="1:13" ht="15" customHeight="1">
      <c r="A66" s="462" t="s">
        <v>302</v>
      </c>
      <c r="B66" s="419" t="s">
        <v>356</v>
      </c>
      <c r="C66" s="468">
        <v>1350674</v>
      </c>
      <c r="D66" s="468">
        <v>1350674</v>
      </c>
      <c r="E66" s="474"/>
    </row>
    <row r="67" spans="1:13" ht="15" customHeight="1">
      <c r="A67" s="462" t="s">
        <v>304</v>
      </c>
      <c r="B67" s="419" t="s">
        <v>357</v>
      </c>
      <c r="C67" s="468">
        <v>101936206</v>
      </c>
      <c r="D67" s="468">
        <v>101936206</v>
      </c>
      <c r="E67" s="474"/>
    </row>
    <row r="68" spans="1:13" ht="15" customHeight="1">
      <c r="A68" s="383" t="s">
        <v>358</v>
      </c>
      <c r="B68" s="461" t="s">
        <v>359</v>
      </c>
      <c r="C68" s="96">
        <f>SUM(C57:C67)-C58</f>
        <v>2041362497</v>
      </c>
      <c r="D68" s="96">
        <f>SUM(D57:D67)-D58</f>
        <v>2041362497</v>
      </c>
      <c r="E68" s="474"/>
      <c r="G68" s="475"/>
    </row>
    <row r="69" spans="1:13" ht="7.5" customHeight="1">
      <c r="A69" s="462" t="s">
        <v>9</v>
      </c>
      <c r="B69" s="419" t="s">
        <v>9</v>
      </c>
      <c r="C69" s="470"/>
      <c r="D69" s="470"/>
      <c r="E69" s="470"/>
    </row>
    <row r="70" spans="1:13" ht="15" customHeight="1">
      <c r="A70" s="383" t="s">
        <v>360</v>
      </c>
      <c r="B70" s="461" t="s">
        <v>361</v>
      </c>
      <c r="C70" s="96">
        <f>C54-C68</f>
        <v>2224273322</v>
      </c>
      <c r="D70" s="96">
        <f>D54-D68</f>
        <v>415583239</v>
      </c>
      <c r="E70" s="96">
        <f>+E54-(C68-D68)</f>
        <v>1808690083</v>
      </c>
      <c r="G70" s="475"/>
    </row>
    <row r="71" spans="1:13" ht="15" customHeight="1">
      <c r="A71" s="462" t="s">
        <v>309</v>
      </c>
      <c r="B71" s="419" t="s">
        <v>362</v>
      </c>
      <c r="C71" s="453">
        <f>+D71+E71</f>
        <v>344203960</v>
      </c>
      <c r="D71" s="468">
        <v>344203960</v>
      </c>
      <c r="E71" s="468"/>
    </row>
    <row r="72" spans="1:13" ht="7.5" customHeight="1">
      <c r="A72" s="462"/>
      <c r="B72" s="419"/>
      <c r="C72" s="453"/>
      <c r="D72" s="453"/>
      <c r="E72" s="453"/>
    </row>
    <row r="73" spans="1:13" ht="15" customHeight="1">
      <c r="A73" s="383" t="s">
        <v>363</v>
      </c>
      <c r="B73" s="461" t="s">
        <v>364</v>
      </c>
      <c r="C73" s="96">
        <f>C70-C71</f>
        <v>1880069362</v>
      </c>
      <c r="D73" s="96">
        <f>D70-D71</f>
        <v>71379279</v>
      </c>
      <c r="E73" s="96">
        <f>E70-E71</f>
        <v>1808690083</v>
      </c>
      <c r="G73" s="475"/>
    </row>
    <row r="74" spans="1:13" ht="15" customHeight="1">
      <c r="A74" s="462" t="s">
        <v>309</v>
      </c>
      <c r="B74" s="419" t="s">
        <v>365</v>
      </c>
      <c r="C74" s="453">
        <f t="shared" ref="C74:C75" si="7">+D74+E74</f>
        <v>0</v>
      </c>
      <c r="D74" s="468">
        <v>0</v>
      </c>
      <c r="E74" s="468">
        <v>0</v>
      </c>
    </row>
    <row r="75" spans="1:13" ht="15" customHeight="1">
      <c r="A75" s="462" t="s">
        <v>289</v>
      </c>
      <c r="B75" s="419" t="s">
        <v>366</v>
      </c>
      <c r="C75" s="453">
        <f t="shared" si="7"/>
        <v>0</v>
      </c>
      <c r="D75" s="468">
        <v>0</v>
      </c>
      <c r="E75" s="468">
        <v>0</v>
      </c>
    </row>
    <row r="76" spans="1:13" ht="7.5" customHeight="1">
      <c r="A76" s="383"/>
      <c r="B76" s="461"/>
      <c r="C76" s="470"/>
      <c r="D76" s="470"/>
      <c r="E76" s="470"/>
    </row>
    <row r="77" spans="1:13" ht="15" customHeight="1">
      <c r="A77" s="383" t="s">
        <v>367</v>
      </c>
      <c r="B77" s="461" t="s">
        <v>368</v>
      </c>
      <c r="C77" s="96">
        <f>C73+C74+C75</f>
        <v>1880069362</v>
      </c>
      <c r="D77" s="96">
        <f>D73+D74+D75</f>
        <v>71379279</v>
      </c>
      <c r="E77" s="96">
        <f>E73+E74+E75</f>
        <v>1808690083</v>
      </c>
      <c r="G77" s="475"/>
    </row>
    <row r="78" spans="1:13" ht="15" customHeight="1">
      <c r="A78"/>
    </row>
    <row r="79" spans="1:13" ht="19.5" customHeight="1">
      <c r="A79"/>
      <c r="B79" s="219" t="s">
        <v>756</v>
      </c>
      <c r="F79" s="476"/>
      <c r="G79" s="477"/>
      <c r="H79" s="476"/>
      <c r="I79" s="476"/>
      <c r="J79" s="476"/>
      <c r="K79" s="476"/>
      <c r="L79" s="476"/>
      <c r="M79" s="476"/>
    </row>
    <row r="80" spans="1:13" ht="12.75" customHeight="1">
      <c r="A80"/>
      <c r="B80" s="219"/>
      <c r="F80" s="476"/>
      <c r="G80" s="477"/>
      <c r="H80" s="476"/>
      <c r="I80" s="476"/>
      <c r="J80" s="476"/>
      <c r="K80" s="476"/>
      <c r="L80" s="476"/>
      <c r="M80" s="476"/>
    </row>
    <row r="81" spans="1:13" ht="19.5" customHeight="1">
      <c r="A81"/>
      <c r="B81" s="219" t="s">
        <v>757</v>
      </c>
      <c r="F81" s="476"/>
      <c r="G81" s="477"/>
      <c r="H81" s="476"/>
      <c r="I81" s="476"/>
      <c r="J81" s="476"/>
      <c r="K81" s="476"/>
      <c r="L81" s="476"/>
      <c r="M81" s="476"/>
    </row>
    <row r="82" spans="1:13" ht="15" customHeight="1">
      <c r="A82"/>
    </row>
    <row r="83" spans="1:13" ht="15" customHeight="1">
      <c r="A83"/>
    </row>
    <row r="84" spans="1:13" ht="15" customHeight="1">
      <c r="A84"/>
    </row>
    <row r="85" spans="1:13" ht="15" customHeight="1">
      <c r="A85"/>
    </row>
    <row r="86" spans="1:13" ht="15" customHeight="1">
      <c r="A86"/>
    </row>
    <row r="87" spans="1:13" ht="15" customHeight="1">
      <c r="A87" s="478"/>
    </row>
    <row r="88" spans="1:13" ht="15" customHeight="1">
      <c r="A88" s="478"/>
    </row>
    <row r="92" spans="1:13" ht="15" customHeight="1">
      <c r="A92" s="479"/>
    </row>
  </sheetData>
  <sheetProtection password="CACA" sheet="1" objects="1" scenarios="1"/>
  <dataConsolidate/>
  <mergeCells count="1">
    <mergeCell ref="A1:D1"/>
  </mergeCells>
  <phoneticPr fontId="16" type="noConversion"/>
  <conditionalFormatting sqref="C6:C7">
    <cfRule type="cellIs" dxfId="276" priority="21" operator="notEqual">
      <formula>G6</formula>
    </cfRule>
    <cfRule type="cellIs" dxfId="275" priority="22" operator="notEqual">
      <formula>G6</formula>
    </cfRule>
  </conditionalFormatting>
  <conditionalFormatting sqref="C9">
    <cfRule type="cellIs" dxfId="274" priority="19" operator="notEqual">
      <formula>G9</formula>
    </cfRule>
    <cfRule type="cellIs" dxfId="273" priority="20" operator="notEqual">
      <formula>G9</formula>
    </cfRule>
  </conditionalFormatting>
  <conditionalFormatting sqref="C12:C13">
    <cfRule type="cellIs" dxfId="272" priority="15" operator="notEqual">
      <formula>G12</formula>
    </cfRule>
    <cfRule type="cellIs" dxfId="271" priority="16" operator="notEqual">
      <formula>G12</formula>
    </cfRule>
  </conditionalFormatting>
  <conditionalFormatting sqref="C18:C19">
    <cfRule type="cellIs" dxfId="270" priority="9" operator="notEqual">
      <formula>G18</formula>
    </cfRule>
    <cfRule type="cellIs" dxfId="269" priority="10" operator="notEqual">
      <formula>G18</formula>
    </cfRule>
  </conditionalFormatting>
  <conditionalFormatting sqref="C23:C24">
    <cfRule type="cellIs" dxfId="268" priority="5" operator="notEqual">
      <formula>G23</formula>
    </cfRule>
    <cfRule type="cellIs" dxfId="267" priority="6" operator="notEqual">
      <formula>G23</formula>
    </cfRule>
  </conditionalFormatting>
  <conditionalFormatting sqref="C27">
    <cfRule type="cellIs" dxfId="266" priority="3" operator="notEqual">
      <formula>G27</formula>
    </cfRule>
    <cfRule type="cellIs" dxfId="265" priority="4" operator="notEqual">
      <formula>G27</formula>
    </cfRule>
  </conditionalFormatting>
  <conditionalFormatting sqref="G15">
    <cfRule type="cellIs" dxfId="264" priority="69" operator="notEqual">
      <formula>$C$15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4:F75 F17 F46 C57:D67 C37:F43 C30:F33 F29 C23:F25 C71:F71 C47:F51 C18:F21 F5:F14 C6:E14 F57:F67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1000000}"/>
    <dataValidation allowBlank="1" showInputMessage="1" showErrorMessage="1" prompt="Значение должно равняться итого процентных доходов (см.следующий лист)" sqref="C15:F15" xr:uid="{00000000-0002-0000-0100-000002000000}"/>
    <dataValidation type="whole" operator="greaterThanOrEqual" allowBlank="1" showInputMessage="1" showErrorMessage="1" sqref="E57:E67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6" orientation="portrait" r:id="rId1"/>
  <headerFooter alignWithMargins="0"/>
  <ignoredErrors>
    <ignoredError sqref="C6:C8 C85:C91 C10:C21" unlockedFormula="1"/>
    <ignoredError sqref="C22:C34 C53:C56 C68:C70 C72:C78 C44:C51 C43 C82:C84 C37:C40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SheetLayoutView="100" workbookViewId="0">
      <pane xSplit="2" ySplit="4" topLeftCell="C8" activePane="bottomRight" state="frozen"/>
      <selection activeCell="K24" sqref="K24"/>
      <selection pane="topRight" activeCell="K24" sqref="K24"/>
      <selection pane="bottomLeft" activeCell="K24" sqref="K24"/>
      <selection pane="bottomRight" activeCell="B34" sqref="B34"/>
    </sheetView>
  </sheetViews>
  <sheetFormatPr defaultRowHeight="12.75"/>
  <cols>
    <col min="1" max="1" width="7.140625" style="176" customWidth="1"/>
    <col min="2" max="2" width="82.140625" style="28" customWidth="1"/>
    <col min="3" max="3" width="19" style="28" customWidth="1"/>
    <col min="4" max="4" width="6.42578125" style="28" customWidth="1"/>
    <col min="5" max="5" width="17.7109375" style="28" customWidth="1"/>
    <col min="6" max="10" width="6.42578125" style="28" customWidth="1"/>
    <col min="11" max="16384" width="9.140625" style="28"/>
  </cols>
  <sheetData>
    <row r="1" spans="1:20" s="15" customFormat="1" ht="21" customHeight="1">
      <c r="A1" s="4"/>
      <c r="B1" s="263" t="s">
        <v>370</v>
      </c>
      <c r="C1" s="16" t="s">
        <v>369</v>
      </c>
      <c r="D1" s="264"/>
      <c r="E1" s="264"/>
      <c r="F1" s="264"/>
      <c r="G1" s="264"/>
      <c r="H1" s="264"/>
    </row>
    <row r="2" spans="1:20" ht="9" customHeight="1">
      <c r="A2" s="4"/>
      <c r="B2" s="3"/>
      <c r="C2" s="16"/>
      <c r="D2" s="265"/>
      <c r="E2" s="265"/>
      <c r="F2" s="265"/>
      <c r="G2" s="265"/>
      <c r="H2" s="265"/>
    </row>
    <row r="3" spans="1:20" ht="15">
      <c r="A3" s="362"/>
      <c r="B3" s="76" t="str">
        <f>+'Asset quality'!B3</f>
        <v>"Ўзсаноатқурилишбанк" АТБ</v>
      </c>
      <c r="C3" s="606">
        <f>+'Asset quality'!Q3</f>
        <v>46021</v>
      </c>
      <c r="D3" s="265"/>
      <c r="E3" s="265"/>
      <c r="F3" s="265"/>
      <c r="G3" s="265"/>
      <c r="H3" s="265"/>
    </row>
    <row r="4" spans="1:20" ht="24" customHeight="1">
      <c r="A4" s="93" t="s">
        <v>61</v>
      </c>
      <c r="B4" s="93" t="s">
        <v>282</v>
      </c>
      <c r="C4" s="93" t="str">
        <f>+'Asset quality'!T3</f>
        <v>минг. сўмда</v>
      </c>
      <c r="D4" s="265"/>
      <c r="E4" s="265"/>
      <c r="F4" s="265"/>
      <c r="G4" s="265"/>
      <c r="H4" s="265"/>
    </row>
    <row r="5" spans="1:20">
      <c r="A5" s="363" t="s">
        <v>285</v>
      </c>
      <c r="B5" s="266" t="s">
        <v>371</v>
      </c>
      <c r="C5" s="93"/>
      <c r="D5" s="265"/>
      <c r="E5" s="265"/>
      <c r="F5" s="265"/>
      <c r="G5" s="265"/>
      <c r="H5" s="265"/>
    </row>
    <row r="6" spans="1:20">
      <c r="A6" s="364" t="s">
        <v>287</v>
      </c>
      <c r="B6" s="446" t="s">
        <v>248</v>
      </c>
      <c r="C6" s="267">
        <v>0</v>
      </c>
      <c r="D6" s="265"/>
      <c r="E6" s="265"/>
      <c r="F6" s="265"/>
      <c r="G6" s="265"/>
      <c r="H6" s="265"/>
    </row>
    <row r="7" spans="1:20">
      <c r="A7" s="364" t="s">
        <v>289</v>
      </c>
      <c r="B7" s="446" t="s">
        <v>772</v>
      </c>
      <c r="C7" s="267">
        <v>0</v>
      </c>
      <c r="D7" s="265"/>
      <c r="E7" s="265"/>
      <c r="F7" s="265"/>
      <c r="G7" s="265"/>
      <c r="H7" s="265"/>
    </row>
    <row r="8" spans="1:20">
      <c r="A8" s="365" t="s">
        <v>291</v>
      </c>
      <c r="B8" s="446" t="s">
        <v>773</v>
      </c>
      <c r="C8" s="267">
        <v>0</v>
      </c>
      <c r="D8" s="265"/>
      <c r="E8" s="454"/>
      <c r="F8" s="265"/>
      <c r="G8" s="265"/>
      <c r="H8" s="265"/>
    </row>
    <row r="9" spans="1:20">
      <c r="A9" s="365" t="s">
        <v>292</v>
      </c>
      <c r="B9" s="446" t="s">
        <v>774</v>
      </c>
      <c r="C9" s="267">
        <v>2212569400</v>
      </c>
      <c r="D9" s="265"/>
      <c r="E9" s="454"/>
      <c r="F9" s="265"/>
      <c r="G9" s="265"/>
      <c r="H9" s="265"/>
    </row>
    <row r="10" spans="1:20">
      <c r="A10" s="366" t="s">
        <v>294</v>
      </c>
      <c r="B10" s="447" t="s">
        <v>775</v>
      </c>
      <c r="C10" s="267">
        <v>1627491445</v>
      </c>
      <c r="D10" s="265"/>
      <c r="E10" s="454"/>
      <c r="F10" s="265"/>
      <c r="G10" s="265"/>
      <c r="H10" s="265"/>
    </row>
    <row r="11" spans="1:20">
      <c r="A11" s="366" t="s">
        <v>296</v>
      </c>
      <c r="B11" s="447" t="s">
        <v>776</v>
      </c>
      <c r="C11" s="267">
        <v>1265227810</v>
      </c>
      <c r="D11" s="265"/>
      <c r="E11" s="454"/>
      <c r="F11" s="265"/>
      <c r="G11" s="265"/>
      <c r="H11" s="265"/>
    </row>
    <row r="12" spans="1:20" ht="15.75" customHeight="1">
      <c r="A12" s="365" t="s">
        <v>298</v>
      </c>
      <c r="B12" s="447" t="s">
        <v>777</v>
      </c>
      <c r="C12" s="267">
        <v>3938465840</v>
      </c>
      <c r="D12" s="265"/>
      <c r="E12" s="454"/>
      <c r="F12" s="265"/>
      <c r="G12" s="265"/>
      <c r="H12" s="265"/>
    </row>
    <row r="13" spans="1:20">
      <c r="A13" s="365" t="s">
        <v>300</v>
      </c>
      <c r="B13" s="446" t="s">
        <v>778</v>
      </c>
      <c r="C13" s="267">
        <v>169810714</v>
      </c>
      <c r="D13" s="265"/>
      <c r="E13" s="454"/>
      <c r="F13" s="265"/>
      <c r="G13" s="265"/>
      <c r="H13" s="265"/>
    </row>
    <row r="14" spans="1:20">
      <c r="A14" s="347" t="s">
        <v>302</v>
      </c>
      <c r="B14" s="269" t="s">
        <v>372</v>
      </c>
      <c r="C14" s="396">
        <f>SUM(C6:C13)</f>
        <v>9213565209</v>
      </c>
      <c r="D14" s="265"/>
      <c r="E14" s="455">
        <f>+'Income '!C12</f>
        <v>9213565209</v>
      </c>
      <c r="F14" s="265"/>
      <c r="G14" s="265"/>
      <c r="H14" s="265"/>
    </row>
    <row r="15" spans="1:20" ht="7.5" customHeight="1">
      <c r="A15" s="8"/>
      <c r="B15" s="270"/>
      <c r="C15" s="271"/>
      <c r="D15" s="265"/>
      <c r="E15" s="454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</row>
    <row r="16" spans="1:20">
      <c r="A16" s="347" t="s">
        <v>307</v>
      </c>
      <c r="B16" s="269" t="s">
        <v>373</v>
      </c>
      <c r="C16" s="93"/>
      <c r="D16" s="265"/>
      <c r="E16" s="454"/>
      <c r="F16" s="265"/>
      <c r="G16" s="265"/>
      <c r="H16" s="265"/>
    </row>
    <row r="17" spans="1:20">
      <c r="A17" s="365" t="s">
        <v>287</v>
      </c>
      <c r="B17" s="268" t="s">
        <v>288</v>
      </c>
      <c r="C17" s="481">
        <v>5956850</v>
      </c>
      <c r="D17" s="265"/>
      <c r="E17" s="455">
        <f>+'Income '!C6</f>
        <v>5956850</v>
      </c>
      <c r="F17" s="265"/>
      <c r="G17" s="265"/>
      <c r="H17" s="265"/>
    </row>
    <row r="18" spans="1:20">
      <c r="A18" s="365" t="s">
        <v>289</v>
      </c>
      <c r="B18" s="268" t="s">
        <v>290</v>
      </c>
      <c r="C18" s="481">
        <v>540479128</v>
      </c>
      <c r="D18" s="265"/>
      <c r="E18" s="455">
        <f>+'Income '!C7</f>
        <v>540479128</v>
      </c>
      <c r="F18" s="265"/>
      <c r="G18" s="265"/>
      <c r="H18" s="265"/>
    </row>
    <row r="19" spans="1:20">
      <c r="A19" s="347"/>
      <c r="B19" s="269" t="s">
        <v>374</v>
      </c>
      <c r="C19" s="396">
        <f>SUM(C17:C18)</f>
        <v>546435978</v>
      </c>
      <c r="D19" s="265"/>
      <c r="E19" s="454"/>
      <c r="F19" s="265"/>
      <c r="G19" s="265"/>
      <c r="H19" s="265"/>
    </row>
    <row r="20" spans="1:20" ht="7.5" customHeight="1">
      <c r="A20" s="8"/>
      <c r="B20" s="270"/>
      <c r="C20" s="271"/>
      <c r="D20" s="265"/>
      <c r="E20" s="454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</row>
    <row r="21" spans="1:20" ht="25.5">
      <c r="A21" s="367" t="s">
        <v>91</v>
      </c>
      <c r="B21" s="272" t="s">
        <v>375</v>
      </c>
      <c r="C21" s="93"/>
      <c r="D21" s="265"/>
      <c r="E21" s="454"/>
      <c r="F21" s="265"/>
      <c r="G21" s="265"/>
      <c r="H21" s="265"/>
    </row>
    <row r="22" spans="1:20">
      <c r="A22" s="366" t="s">
        <v>287</v>
      </c>
      <c r="B22" s="268" t="s">
        <v>376</v>
      </c>
      <c r="C22" s="267">
        <v>879600306</v>
      </c>
      <c r="D22" s="265"/>
      <c r="E22" s="454"/>
      <c r="F22" s="265"/>
      <c r="G22" s="265"/>
      <c r="H22" s="265"/>
    </row>
    <row r="23" spans="1:20">
      <c r="A23" s="365" t="s">
        <v>289</v>
      </c>
      <c r="B23" s="268" t="s">
        <v>377</v>
      </c>
      <c r="C23" s="267">
        <v>51555973</v>
      </c>
      <c r="D23" s="265"/>
      <c r="E23" s="454"/>
      <c r="F23" s="265"/>
      <c r="G23" s="265"/>
      <c r="H23" s="265"/>
    </row>
    <row r="24" spans="1:20">
      <c r="A24" s="365" t="s">
        <v>291</v>
      </c>
      <c r="B24" s="268" t="s">
        <v>378</v>
      </c>
      <c r="C24" s="267">
        <v>12350000</v>
      </c>
      <c r="D24" s="265"/>
      <c r="E24" s="454"/>
      <c r="F24" s="265"/>
      <c r="G24" s="265"/>
      <c r="H24" s="265"/>
    </row>
    <row r="25" spans="1:20">
      <c r="A25" s="365" t="s">
        <v>292</v>
      </c>
      <c r="B25" s="268" t="s">
        <v>379</v>
      </c>
      <c r="C25" s="267">
        <v>26970967</v>
      </c>
      <c r="D25" s="265"/>
      <c r="E25" s="454"/>
      <c r="F25" s="265"/>
      <c r="G25" s="265"/>
      <c r="H25" s="265"/>
    </row>
    <row r="26" spans="1:20">
      <c r="A26" s="365" t="s">
        <v>294</v>
      </c>
      <c r="B26" s="268" t="s">
        <v>380</v>
      </c>
      <c r="C26" s="267">
        <v>0</v>
      </c>
      <c r="D26" s="265"/>
      <c r="E26" s="454"/>
      <c r="F26" s="265"/>
      <c r="G26" s="265"/>
      <c r="H26" s="265"/>
    </row>
    <row r="27" spans="1:20">
      <c r="A27" s="365" t="s">
        <v>296</v>
      </c>
      <c r="B27" s="268" t="s">
        <v>381</v>
      </c>
      <c r="C27" s="267">
        <v>2015676</v>
      </c>
      <c r="D27" s="265"/>
      <c r="E27" s="454"/>
      <c r="F27" s="265"/>
      <c r="G27" s="265"/>
      <c r="H27" s="265"/>
    </row>
    <row r="28" spans="1:20">
      <c r="A28" s="365" t="s">
        <v>298</v>
      </c>
      <c r="B28" s="269" t="s">
        <v>382</v>
      </c>
      <c r="C28" s="396">
        <f>SUM(C22:C27)</f>
        <v>972492922</v>
      </c>
      <c r="D28" s="265"/>
      <c r="E28" s="455">
        <f>+'Income '!C9</f>
        <v>972492922</v>
      </c>
      <c r="F28" s="265"/>
      <c r="G28" s="265"/>
      <c r="H28" s="265"/>
    </row>
    <row r="29" spans="1:20" ht="7.5" customHeight="1">
      <c r="A29" s="8"/>
      <c r="B29" s="270"/>
      <c r="C29" s="271"/>
      <c r="D29" s="265"/>
      <c r="E29" s="454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</row>
    <row r="30" spans="1:20">
      <c r="A30" s="347" t="s">
        <v>326</v>
      </c>
      <c r="B30" s="269" t="s">
        <v>383</v>
      </c>
      <c r="C30" s="93"/>
      <c r="D30" s="265"/>
      <c r="E30" s="454"/>
      <c r="F30" s="265"/>
      <c r="G30" s="265"/>
      <c r="H30" s="265"/>
    </row>
    <row r="31" spans="1:20">
      <c r="A31" s="365" t="s">
        <v>287</v>
      </c>
      <c r="B31" s="268" t="s">
        <v>376</v>
      </c>
      <c r="C31" s="267">
        <v>0</v>
      </c>
      <c r="D31" s="265"/>
      <c r="E31" s="454"/>
      <c r="F31" s="265"/>
      <c r="G31" s="265"/>
      <c r="H31" s="265"/>
    </row>
    <row r="32" spans="1:20" ht="25.5">
      <c r="A32" s="366" t="s">
        <v>289</v>
      </c>
      <c r="B32" s="152" t="s">
        <v>384</v>
      </c>
      <c r="C32" s="267">
        <v>0</v>
      </c>
      <c r="D32" s="265"/>
      <c r="E32" s="454"/>
      <c r="F32" s="265"/>
      <c r="G32" s="265"/>
      <c r="H32" s="265"/>
    </row>
    <row r="33" spans="1:20" ht="25.5">
      <c r="A33" s="366" t="s">
        <v>291</v>
      </c>
      <c r="B33" s="152" t="s">
        <v>385</v>
      </c>
      <c r="C33" s="267">
        <v>2379785</v>
      </c>
      <c r="D33" s="265"/>
      <c r="E33" s="454"/>
      <c r="F33" s="265"/>
      <c r="G33" s="265"/>
      <c r="H33" s="265"/>
    </row>
    <row r="34" spans="1:20">
      <c r="A34" s="365" t="s">
        <v>292</v>
      </c>
      <c r="B34" s="268" t="s">
        <v>386</v>
      </c>
      <c r="C34" s="267">
        <v>0</v>
      </c>
      <c r="D34" s="265"/>
      <c r="E34" s="454"/>
      <c r="F34" s="265"/>
      <c r="G34" s="265"/>
      <c r="H34" s="265"/>
    </row>
    <row r="35" spans="1:20">
      <c r="A35" s="365" t="s">
        <v>294</v>
      </c>
      <c r="B35" s="268" t="s">
        <v>381</v>
      </c>
      <c r="C35" s="267">
        <v>17589041</v>
      </c>
      <c r="D35" s="265"/>
      <c r="E35" s="454"/>
      <c r="F35" s="265"/>
      <c r="G35" s="265"/>
      <c r="H35" s="265"/>
    </row>
    <row r="36" spans="1:20">
      <c r="A36" s="365" t="s">
        <v>296</v>
      </c>
      <c r="B36" s="269" t="s">
        <v>387</v>
      </c>
      <c r="C36" s="396">
        <f>SUM(C31:C35)</f>
        <v>19968826</v>
      </c>
      <c r="D36" s="265"/>
      <c r="E36" s="454"/>
      <c r="F36" s="265"/>
      <c r="G36" s="265"/>
      <c r="H36" s="265"/>
    </row>
    <row r="37" spans="1:20" ht="7.5" customHeight="1">
      <c r="A37" s="8"/>
      <c r="B37" s="270"/>
      <c r="C37" s="271"/>
      <c r="D37" s="265"/>
      <c r="E37" s="454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</row>
    <row r="38" spans="1:20">
      <c r="A38" s="347" t="s">
        <v>335</v>
      </c>
      <c r="B38" s="269" t="s">
        <v>388</v>
      </c>
      <c r="C38" s="93"/>
      <c r="D38" s="265"/>
      <c r="E38" s="454"/>
      <c r="F38" s="265"/>
      <c r="G38" s="265"/>
      <c r="H38" s="265"/>
    </row>
    <row r="39" spans="1:20">
      <c r="A39" s="365" t="s">
        <v>287</v>
      </c>
      <c r="B39" s="273" t="s">
        <v>389</v>
      </c>
      <c r="C39" s="267">
        <v>17311219</v>
      </c>
      <c r="D39" s="265"/>
      <c r="E39" s="454"/>
      <c r="F39" s="265"/>
      <c r="G39" s="265"/>
      <c r="H39" s="265"/>
    </row>
    <row r="40" spans="1:20">
      <c r="A40" s="365" t="s">
        <v>289</v>
      </c>
      <c r="B40" s="273" t="s">
        <v>303</v>
      </c>
      <c r="C40" s="481">
        <v>28373976</v>
      </c>
      <c r="D40" s="265"/>
      <c r="E40" s="455">
        <f>+'Income '!C14</f>
        <v>28373976</v>
      </c>
      <c r="F40" s="265"/>
      <c r="G40" s="265"/>
      <c r="H40" s="265"/>
    </row>
    <row r="41" spans="1:20" ht="7.5" customHeight="1">
      <c r="A41" s="8"/>
      <c r="B41" s="270"/>
      <c r="C41" s="271"/>
      <c r="D41" s="265"/>
      <c r="E41" s="454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</row>
    <row r="42" spans="1:20">
      <c r="A42" s="347" t="s">
        <v>342</v>
      </c>
      <c r="B42" s="269" t="s">
        <v>390</v>
      </c>
      <c r="C42" s="396">
        <f>C14+C19+C28+C36+C39+C40</f>
        <v>10798148130</v>
      </c>
      <c r="D42" s="265"/>
      <c r="E42" s="455">
        <f>+'Income '!C15</f>
        <v>10798148130</v>
      </c>
      <c r="F42" s="265"/>
      <c r="G42" s="265"/>
      <c r="H42" s="265"/>
    </row>
    <row r="43" spans="1:20" ht="7.5" customHeight="1">
      <c r="A43" s="8"/>
      <c r="B43" s="270"/>
      <c r="C43" s="271"/>
      <c r="D43" s="265"/>
      <c r="E43" s="454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</row>
    <row r="44" spans="1:20">
      <c r="A44" s="347" t="s">
        <v>344</v>
      </c>
      <c r="B44" s="269" t="s">
        <v>391</v>
      </c>
      <c r="C44" s="93"/>
      <c r="D44" s="265"/>
      <c r="E44" s="454"/>
      <c r="F44" s="265"/>
      <c r="G44" s="265"/>
      <c r="H44" s="265"/>
    </row>
    <row r="45" spans="1:20">
      <c r="A45" s="347" t="s">
        <v>392</v>
      </c>
      <c r="B45" s="269" t="s">
        <v>393</v>
      </c>
      <c r="C45" s="267"/>
      <c r="D45" s="265"/>
      <c r="E45" s="454"/>
      <c r="F45" s="265"/>
      <c r="G45" s="265"/>
      <c r="H45" s="265"/>
    </row>
    <row r="46" spans="1:20">
      <c r="A46" s="365" t="s">
        <v>287</v>
      </c>
      <c r="B46" s="268" t="s">
        <v>394</v>
      </c>
      <c r="C46" s="267">
        <v>65266745</v>
      </c>
      <c r="D46" s="265"/>
      <c r="E46" s="454"/>
      <c r="F46" s="265"/>
      <c r="G46" s="265"/>
      <c r="H46" s="265"/>
    </row>
    <row r="47" spans="1:20">
      <c r="A47" s="365" t="s">
        <v>289</v>
      </c>
      <c r="B47" s="268" t="s">
        <v>395</v>
      </c>
      <c r="C47" s="267">
        <v>0</v>
      </c>
      <c r="D47" s="265"/>
      <c r="E47" s="454"/>
      <c r="F47" s="265"/>
      <c r="G47" s="265"/>
      <c r="H47" s="265"/>
    </row>
    <row r="48" spans="1:20">
      <c r="A48" s="365" t="s">
        <v>291</v>
      </c>
      <c r="B48" s="268" t="s">
        <v>396</v>
      </c>
      <c r="C48" s="267">
        <v>113175599</v>
      </c>
      <c r="D48" s="265"/>
      <c r="E48" s="454"/>
      <c r="F48" s="265"/>
      <c r="G48" s="265"/>
      <c r="H48" s="265"/>
    </row>
    <row r="49" spans="1:20">
      <c r="A49" s="365" t="s">
        <v>292</v>
      </c>
      <c r="B49" s="268" t="s">
        <v>397</v>
      </c>
      <c r="C49" s="267">
        <v>11696207</v>
      </c>
      <c r="D49" s="265"/>
      <c r="E49" s="454"/>
      <c r="F49" s="265"/>
      <c r="G49" s="265"/>
      <c r="H49" s="265"/>
    </row>
    <row r="50" spans="1:20">
      <c r="A50" s="365" t="s">
        <v>294</v>
      </c>
      <c r="B50" s="268" t="s">
        <v>398</v>
      </c>
      <c r="C50" s="267">
        <v>262660</v>
      </c>
      <c r="D50" s="265"/>
      <c r="E50" s="454"/>
      <c r="F50" s="265"/>
      <c r="G50" s="265"/>
      <c r="H50" s="265"/>
    </row>
    <row r="51" spans="1:20">
      <c r="A51" s="365" t="s">
        <v>296</v>
      </c>
      <c r="B51" s="268" t="s">
        <v>399</v>
      </c>
      <c r="C51" s="267">
        <v>2044862</v>
      </c>
      <c r="D51" s="265"/>
      <c r="E51" s="454"/>
      <c r="F51" s="265"/>
      <c r="G51" s="265"/>
      <c r="H51" s="265"/>
    </row>
    <row r="52" spans="1:20">
      <c r="A52" s="363" t="s">
        <v>298</v>
      </c>
      <c r="B52" s="266" t="s">
        <v>400</v>
      </c>
      <c r="C52" s="396">
        <f>SUM(C46:C51)</f>
        <v>192446073</v>
      </c>
      <c r="D52" s="265"/>
      <c r="E52" s="455">
        <f>+'Income '!C18</f>
        <v>192446073</v>
      </c>
      <c r="F52" s="265"/>
      <c r="G52" s="265"/>
      <c r="H52" s="265"/>
    </row>
    <row r="53" spans="1:20" ht="7.5" customHeight="1">
      <c r="A53" s="8"/>
      <c r="B53" s="270"/>
      <c r="C53" s="271"/>
      <c r="D53" s="265"/>
      <c r="E53" s="456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</row>
    <row r="54" spans="1:20">
      <c r="A54" s="347" t="s">
        <v>401</v>
      </c>
      <c r="B54" s="269" t="s">
        <v>402</v>
      </c>
      <c r="C54" s="93"/>
      <c r="D54" s="265"/>
      <c r="E54" s="454"/>
      <c r="F54" s="265"/>
      <c r="G54" s="265"/>
      <c r="H54" s="265"/>
    </row>
    <row r="55" spans="1:20">
      <c r="A55" s="365" t="s">
        <v>287</v>
      </c>
      <c r="B55" s="268" t="s">
        <v>394</v>
      </c>
      <c r="C55" s="267">
        <v>1120666654</v>
      </c>
      <c r="D55" s="265"/>
      <c r="E55" s="454"/>
      <c r="F55" s="265"/>
      <c r="G55" s="265"/>
      <c r="H55" s="265"/>
    </row>
    <row r="56" spans="1:20">
      <c r="A56" s="365" t="s">
        <v>289</v>
      </c>
      <c r="B56" s="268" t="s">
        <v>395</v>
      </c>
      <c r="C56" s="267">
        <v>1326098328</v>
      </c>
      <c r="D56" s="265"/>
      <c r="E56" s="454"/>
      <c r="F56" s="265"/>
      <c r="G56" s="265"/>
      <c r="H56" s="265"/>
    </row>
    <row r="57" spans="1:20">
      <c r="A57" s="365" t="s">
        <v>291</v>
      </c>
      <c r="B57" s="268" t="s">
        <v>396</v>
      </c>
      <c r="C57" s="267">
        <v>173338884</v>
      </c>
      <c r="D57" s="265"/>
      <c r="E57" s="454"/>
      <c r="F57" s="265"/>
      <c r="G57" s="265"/>
      <c r="H57" s="265"/>
    </row>
    <row r="58" spans="1:20">
      <c r="A58" s="365" t="s">
        <v>292</v>
      </c>
      <c r="B58" s="268" t="s">
        <v>397</v>
      </c>
      <c r="C58" s="267">
        <v>60227248</v>
      </c>
      <c r="D58" s="265"/>
      <c r="E58" s="454"/>
      <c r="F58" s="265"/>
      <c r="G58" s="265"/>
      <c r="H58" s="265"/>
    </row>
    <row r="59" spans="1:20">
      <c r="A59" s="365" t="s">
        <v>294</v>
      </c>
      <c r="B59" s="268" t="s">
        <v>398</v>
      </c>
      <c r="C59" s="267">
        <v>211076881</v>
      </c>
      <c r="D59" s="265"/>
      <c r="E59" s="454"/>
      <c r="F59" s="265"/>
      <c r="G59" s="265"/>
      <c r="H59" s="265"/>
    </row>
    <row r="60" spans="1:20">
      <c r="A60" s="365" t="s">
        <v>296</v>
      </c>
      <c r="B60" s="268" t="s">
        <v>399</v>
      </c>
      <c r="C60" s="267">
        <v>44221126</v>
      </c>
      <c r="D60" s="265"/>
      <c r="E60" s="454"/>
      <c r="F60" s="265"/>
      <c r="G60" s="265"/>
      <c r="H60" s="265"/>
    </row>
    <row r="61" spans="1:20" ht="13.5" customHeight="1">
      <c r="A61" s="363" t="s">
        <v>298</v>
      </c>
      <c r="B61" s="266" t="s">
        <v>403</v>
      </c>
      <c r="C61" s="396">
        <f>SUM(C55:C60)</f>
        <v>2935629121</v>
      </c>
      <c r="D61" s="265"/>
      <c r="E61" s="455">
        <f>+'Income '!C19</f>
        <v>2935629121</v>
      </c>
      <c r="F61" s="265"/>
      <c r="G61" s="265"/>
      <c r="H61" s="265"/>
    </row>
    <row r="62" spans="1:20" ht="7.5" customHeight="1">
      <c r="A62" s="8"/>
      <c r="B62" s="270"/>
      <c r="C62" s="271"/>
      <c r="D62" s="265"/>
      <c r="E62" s="454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</row>
    <row r="63" spans="1:20">
      <c r="A63" s="347" t="s">
        <v>404</v>
      </c>
      <c r="B63" s="269" t="s">
        <v>405</v>
      </c>
      <c r="C63" s="396">
        <f>C52+C61</f>
        <v>3128075194</v>
      </c>
      <c r="D63" s="265"/>
      <c r="E63" s="454"/>
      <c r="F63" s="265"/>
      <c r="G63" s="265"/>
      <c r="H63" s="265"/>
    </row>
    <row r="64" spans="1:20" ht="7.5" customHeight="1">
      <c r="A64" s="8"/>
      <c r="B64" s="270"/>
      <c r="C64" s="271"/>
      <c r="D64" s="265"/>
      <c r="E64" s="454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</row>
    <row r="65" spans="1:20">
      <c r="A65" s="347" t="s">
        <v>360</v>
      </c>
      <c r="B65" s="269" t="s">
        <v>406</v>
      </c>
      <c r="C65" s="93"/>
      <c r="D65" s="265"/>
      <c r="E65" s="454"/>
      <c r="F65" s="265"/>
      <c r="G65" s="265"/>
      <c r="H65" s="265"/>
    </row>
    <row r="66" spans="1:20">
      <c r="A66" s="365" t="s">
        <v>309</v>
      </c>
      <c r="B66" s="268" t="s">
        <v>407</v>
      </c>
      <c r="C66" s="267">
        <v>0</v>
      </c>
      <c r="D66" s="265"/>
      <c r="E66" s="454"/>
      <c r="F66" s="265"/>
      <c r="G66" s="265"/>
      <c r="H66" s="265"/>
    </row>
    <row r="67" spans="1:20">
      <c r="A67" s="365" t="s">
        <v>289</v>
      </c>
      <c r="B67" s="273" t="s">
        <v>315</v>
      </c>
      <c r="C67" s="481">
        <v>2305541410</v>
      </c>
      <c r="D67" s="265"/>
      <c r="E67" s="455">
        <f>+'Income '!C23</f>
        <v>2305541410</v>
      </c>
      <c r="F67" s="265"/>
      <c r="G67" s="265"/>
      <c r="H67" s="265"/>
    </row>
    <row r="68" spans="1:20">
      <c r="A68" s="365" t="s">
        <v>291</v>
      </c>
      <c r="B68" s="273" t="s">
        <v>316</v>
      </c>
      <c r="C68" s="481">
        <v>148206712</v>
      </c>
      <c r="D68" s="265"/>
      <c r="E68" s="455">
        <f>+'Income '!C24</f>
        <v>148206712</v>
      </c>
      <c r="F68" s="265"/>
      <c r="G68" s="265"/>
      <c r="H68" s="265"/>
    </row>
    <row r="69" spans="1:20">
      <c r="A69" s="365" t="s">
        <v>292</v>
      </c>
      <c r="B69" s="273" t="s">
        <v>317</v>
      </c>
      <c r="C69" s="481">
        <v>1827722191</v>
      </c>
      <c r="D69" s="265"/>
      <c r="E69" s="455">
        <f>+'Income '!C25+'Income '!C21</f>
        <v>1827722191</v>
      </c>
      <c r="F69" s="265"/>
      <c r="G69" s="265"/>
      <c r="H69" s="265"/>
    </row>
    <row r="70" spans="1:20">
      <c r="A70" s="347" t="s">
        <v>294</v>
      </c>
      <c r="B70" s="274" t="s">
        <v>408</v>
      </c>
      <c r="C70" s="396">
        <f>SUM(C66:C69)</f>
        <v>4281470313</v>
      </c>
      <c r="D70" s="265"/>
      <c r="E70" s="454"/>
      <c r="F70" s="265"/>
      <c r="G70" s="265"/>
      <c r="H70" s="265"/>
    </row>
    <row r="71" spans="1:20" ht="7.5" customHeight="1">
      <c r="A71" s="8"/>
      <c r="B71" s="270"/>
      <c r="C71" s="397"/>
      <c r="D71" s="265"/>
      <c r="E71" s="454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</row>
    <row r="72" spans="1:20">
      <c r="A72" s="347" t="s">
        <v>363</v>
      </c>
      <c r="B72" s="269" t="s">
        <v>409</v>
      </c>
      <c r="C72" s="396">
        <f>C63+C70</f>
        <v>7409545507</v>
      </c>
      <c r="D72" s="265"/>
      <c r="E72" s="455">
        <f>+'Income '!C27</f>
        <v>7409545507</v>
      </c>
      <c r="F72" s="265"/>
      <c r="G72" s="265"/>
      <c r="H72" s="265"/>
    </row>
    <row r="73" spans="1:20">
      <c r="D73" s="265"/>
      <c r="E73" s="454"/>
      <c r="F73" s="265"/>
      <c r="G73" s="265"/>
      <c r="H73" s="265"/>
    </row>
    <row r="74" spans="1:20" ht="15" customHeight="1">
      <c r="A74" s="28"/>
      <c r="B74" s="174" t="s">
        <v>756</v>
      </c>
      <c r="E74" s="456"/>
      <c r="F74" s="157"/>
      <c r="G74" s="157"/>
      <c r="H74" s="157"/>
      <c r="I74" s="157"/>
      <c r="J74" s="157"/>
      <c r="K74" s="157"/>
      <c r="L74" s="157"/>
      <c r="M74" s="157"/>
    </row>
    <row r="75" spans="1:20" ht="11.25" customHeight="1">
      <c r="A75" s="28"/>
      <c r="B75" s="174"/>
      <c r="E75" s="456"/>
      <c r="F75" s="157"/>
      <c r="G75" s="157"/>
      <c r="H75" s="157"/>
      <c r="I75" s="157"/>
      <c r="J75" s="157"/>
      <c r="K75" s="157"/>
      <c r="L75" s="157"/>
      <c r="M75" s="157"/>
    </row>
    <row r="76" spans="1:20" ht="15" customHeight="1">
      <c r="A76" s="28"/>
      <c r="B76" s="174" t="s">
        <v>757</v>
      </c>
      <c r="E76" s="456"/>
      <c r="F76" s="157"/>
      <c r="G76" s="157"/>
      <c r="H76" s="157"/>
      <c r="I76" s="157"/>
      <c r="J76" s="157"/>
      <c r="K76" s="157"/>
      <c r="L76" s="157"/>
      <c r="M76" s="157"/>
    </row>
    <row r="77" spans="1:20">
      <c r="D77" s="265"/>
      <c r="E77" s="454"/>
      <c r="F77" s="265"/>
      <c r="G77" s="265"/>
      <c r="H77" s="265"/>
    </row>
    <row r="78" spans="1:20">
      <c r="A78" s="368"/>
      <c r="D78" s="265"/>
      <c r="E78" s="454"/>
      <c r="F78" s="265"/>
      <c r="G78" s="265"/>
      <c r="H78" s="265"/>
    </row>
    <row r="79" spans="1:20">
      <c r="A79" s="368"/>
      <c r="D79" s="265"/>
      <c r="E79" s="454"/>
      <c r="F79" s="265"/>
      <c r="G79" s="265"/>
      <c r="H79" s="265"/>
    </row>
    <row r="80" spans="1:20">
      <c r="D80" s="265"/>
      <c r="E80" s="454"/>
      <c r="F80" s="265"/>
      <c r="G80" s="265"/>
      <c r="H80" s="265"/>
    </row>
    <row r="81" spans="4:8">
      <c r="D81" s="265"/>
      <c r="E81" s="265"/>
      <c r="F81" s="265"/>
      <c r="G81" s="265"/>
      <c r="H81" s="265"/>
    </row>
    <row r="82" spans="4:8">
      <c r="D82" s="265"/>
      <c r="E82" s="265"/>
      <c r="F82" s="265"/>
      <c r="G82" s="265"/>
      <c r="H82" s="265"/>
    </row>
    <row r="83" spans="4:8">
      <c r="D83" s="265"/>
      <c r="E83" s="265"/>
      <c r="F83" s="265"/>
      <c r="G83" s="265"/>
      <c r="H83" s="265"/>
    </row>
    <row r="84" spans="4:8">
      <c r="D84" s="265"/>
      <c r="E84" s="265"/>
      <c r="F84" s="265"/>
      <c r="G84" s="265"/>
      <c r="H84" s="265"/>
    </row>
    <row r="85" spans="4:8">
      <c r="D85" s="265"/>
      <c r="E85" s="265"/>
      <c r="F85" s="265"/>
      <c r="G85" s="265"/>
      <c r="H85" s="265"/>
    </row>
    <row r="86" spans="4:8">
      <c r="D86" s="265"/>
      <c r="E86" s="265"/>
      <c r="F86" s="265"/>
      <c r="G86" s="265"/>
      <c r="H86" s="265"/>
    </row>
    <row r="87" spans="4:8">
      <c r="D87" s="265"/>
      <c r="E87" s="265"/>
      <c r="F87" s="265"/>
      <c r="G87" s="265"/>
      <c r="H87" s="265"/>
    </row>
    <row r="88" spans="4:8">
      <c r="D88" s="265"/>
      <c r="E88" s="265"/>
      <c r="F88" s="265"/>
      <c r="G88" s="265"/>
      <c r="H88" s="265"/>
    </row>
    <row r="89" spans="4:8">
      <c r="D89" s="265"/>
      <c r="E89" s="265"/>
      <c r="F89" s="265"/>
      <c r="G89" s="265"/>
      <c r="H89" s="265"/>
    </row>
    <row r="90" spans="4:8">
      <c r="D90" s="265"/>
      <c r="E90" s="265"/>
      <c r="F90" s="265"/>
      <c r="G90" s="265"/>
      <c r="H90" s="265"/>
    </row>
    <row r="91" spans="4:8">
      <c r="D91" s="265"/>
      <c r="E91" s="265"/>
      <c r="F91" s="265"/>
      <c r="G91" s="265"/>
      <c r="H91" s="265"/>
    </row>
    <row r="92" spans="4:8">
      <c r="D92" s="265"/>
      <c r="E92" s="265"/>
      <c r="F92" s="265"/>
      <c r="G92" s="265"/>
      <c r="H92" s="265"/>
    </row>
    <row r="93" spans="4:8">
      <c r="D93" s="265"/>
      <c r="E93" s="265"/>
      <c r="F93" s="265"/>
      <c r="G93" s="265"/>
      <c r="H93" s="265"/>
    </row>
    <row r="94" spans="4:8">
      <c r="D94" s="265"/>
      <c r="E94" s="265"/>
      <c r="F94" s="265"/>
      <c r="G94" s="265"/>
      <c r="H94" s="265"/>
    </row>
    <row r="95" spans="4:8">
      <c r="D95" s="265"/>
      <c r="E95" s="265"/>
      <c r="F95" s="265"/>
      <c r="G95" s="265"/>
      <c r="H95" s="265"/>
    </row>
    <row r="96" spans="4:8">
      <c r="D96" s="265"/>
      <c r="E96" s="265"/>
      <c r="F96" s="265"/>
      <c r="G96" s="265"/>
      <c r="H96" s="265"/>
    </row>
    <row r="97" spans="4:8">
      <c r="D97" s="265"/>
      <c r="E97" s="265"/>
      <c r="F97" s="265"/>
      <c r="G97" s="265"/>
      <c r="H97" s="265"/>
    </row>
    <row r="98" spans="4:8">
      <c r="D98" s="265"/>
      <c r="E98" s="265"/>
      <c r="F98" s="265"/>
      <c r="G98" s="265"/>
      <c r="H98" s="265"/>
    </row>
  </sheetData>
  <sheetProtection password="CACA" sheet="1" objects="1" scenarios="1"/>
  <phoneticPr fontId="16" type="noConversion"/>
  <conditionalFormatting sqref="C14">
    <cfRule type="cellIs" dxfId="263" priority="14" operator="notEqual">
      <formula>E14</formula>
    </cfRule>
  </conditionalFormatting>
  <conditionalFormatting sqref="C17:C18">
    <cfRule type="cellIs" dxfId="262" priority="6" operator="notEqual">
      <formula>E17</formula>
    </cfRule>
  </conditionalFormatting>
  <conditionalFormatting sqref="C28">
    <cfRule type="cellIs" dxfId="261" priority="11" operator="notEqual">
      <formula>E28</formula>
    </cfRule>
  </conditionalFormatting>
  <conditionalFormatting sqref="C42">
    <cfRule type="cellIs" dxfId="260" priority="10" operator="notEqual">
      <formula>E42</formula>
    </cfRule>
  </conditionalFormatting>
  <conditionalFormatting sqref="C52">
    <cfRule type="cellIs" dxfId="259" priority="9" operator="notEqual">
      <formula>E52</formula>
    </cfRule>
  </conditionalFormatting>
  <conditionalFormatting sqref="C61">
    <cfRule type="cellIs" dxfId="258" priority="8" operator="notEqual">
      <formula>E61</formula>
    </cfRule>
  </conditionalFormatting>
  <conditionalFormatting sqref="C67:C68">
    <cfRule type="cellIs" dxfId="257" priority="2" operator="notEqual">
      <formula>E67</formula>
    </cfRule>
  </conditionalFormatting>
  <conditionalFormatting sqref="C72">
    <cfRule type="cellIs" dxfId="256" priority="7" operator="notEqual">
      <formula>E72</formula>
    </cfRule>
  </conditionalFormatting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pageSetUpPr fitToPage="1"/>
  </sheetPr>
  <dimension ref="A1:M28"/>
  <sheetViews>
    <sheetView view="pageBreakPreview" zoomScaleSheetLayoutView="100" workbookViewId="0">
      <selection activeCell="C14" sqref="C14"/>
    </sheetView>
  </sheetViews>
  <sheetFormatPr defaultRowHeight="12.75"/>
  <cols>
    <col min="1" max="1" width="5.85546875" style="191" customWidth="1"/>
    <col min="2" max="2" width="89.42578125" style="28" customWidth="1"/>
    <col min="3" max="3" width="27.42578125" style="28" customWidth="1"/>
    <col min="4" max="4" width="15.7109375" style="28" customWidth="1"/>
    <col min="5" max="5" width="18.7109375" style="28" customWidth="1"/>
    <col min="6" max="8" width="9.140625" style="28"/>
    <col min="9" max="9" width="10.28515625" style="28" bestFit="1" customWidth="1"/>
    <col min="10" max="16384" width="9.140625" style="28"/>
  </cols>
  <sheetData>
    <row r="1" spans="1:13" ht="15.75">
      <c r="A1" s="652" t="s">
        <v>410</v>
      </c>
      <c r="B1" s="652"/>
      <c r="C1" s="16" t="s">
        <v>411</v>
      </c>
    </row>
    <row r="2" spans="1:13" ht="8.25" customHeight="1">
      <c r="A2" s="4"/>
      <c r="B2" s="4"/>
      <c r="C2" s="16"/>
    </row>
    <row r="3" spans="1:13" ht="15.75">
      <c r="A3" s="188"/>
      <c r="B3" s="189" t="str">
        <f>+'Asset quality'!B3</f>
        <v>"Ўзсаноатқурилишбанк" АТБ</v>
      </c>
      <c r="C3" s="606">
        <f>+'Asset quality'!Q3</f>
        <v>46021</v>
      </c>
    </row>
    <row r="4" spans="1:13" s="15" customFormat="1" ht="33.75" customHeight="1">
      <c r="A4" s="207" t="s">
        <v>61</v>
      </c>
      <c r="B4" s="207" t="s">
        <v>282</v>
      </c>
      <c r="C4" s="207" t="str">
        <f>+'Asset quality'!T3</f>
        <v>минг. сўмда</v>
      </c>
    </row>
    <row r="5" spans="1:13" ht="18.75" customHeight="1">
      <c r="A5" s="275" t="s">
        <v>147</v>
      </c>
      <c r="B5" s="276" t="s">
        <v>412</v>
      </c>
      <c r="C5" s="216">
        <v>10025446358</v>
      </c>
    </row>
    <row r="6" spans="1:13" ht="18.75" customHeight="1">
      <c r="A6" s="277" t="s">
        <v>148</v>
      </c>
      <c r="B6" s="278" t="s">
        <v>413</v>
      </c>
      <c r="C6" s="216">
        <v>0</v>
      </c>
    </row>
    <row r="7" spans="1:13" ht="18.75" customHeight="1">
      <c r="A7" s="277" t="s">
        <v>159</v>
      </c>
      <c r="B7" s="279" t="s">
        <v>414</v>
      </c>
      <c r="C7" s="255">
        <f>SUM(C5:C6)</f>
        <v>10025446358</v>
      </c>
      <c r="D7" s="456"/>
      <c r="E7" s="456"/>
    </row>
    <row r="8" spans="1:13" ht="18.75" customHeight="1">
      <c r="A8" s="277" t="s">
        <v>149</v>
      </c>
      <c r="B8" s="279" t="s">
        <v>415</v>
      </c>
      <c r="C8" s="255">
        <f>+'Income '!C77</f>
        <v>1880069362</v>
      </c>
      <c r="D8" s="485">
        <f>+[8]Balance!$C$76</f>
        <v>1880069362</v>
      </c>
      <c r="E8" s="503">
        <f>+C8-D8</f>
        <v>0</v>
      </c>
    </row>
    <row r="9" spans="1:13" ht="18.75" customHeight="1">
      <c r="A9" s="277" t="s">
        <v>150</v>
      </c>
      <c r="B9" s="278" t="s">
        <v>416</v>
      </c>
      <c r="C9" s="280"/>
      <c r="D9" s="486"/>
      <c r="E9" s="504"/>
    </row>
    <row r="10" spans="1:13" ht="18.75" customHeight="1">
      <c r="A10" s="277" t="s">
        <v>160</v>
      </c>
      <c r="B10" s="279" t="s">
        <v>417</v>
      </c>
      <c r="C10" s="280">
        <v>-2697058</v>
      </c>
      <c r="D10" s="486"/>
      <c r="E10" s="504"/>
      <c r="I10" s="196"/>
    </row>
    <row r="11" spans="1:13" ht="18.75" customHeight="1">
      <c r="A11" s="277" t="s">
        <v>151</v>
      </c>
      <c r="B11" s="279" t="s">
        <v>418</v>
      </c>
      <c r="C11" s="281">
        <v>1616900</v>
      </c>
      <c r="D11" s="486"/>
      <c r="E11" s="504"/>
    </row>
    <row r="12" spans="1:13" ht="18.75" customHeight="1">
      <c r="A12" s="277" t="s">
        <v>158</v>
      </c>
      <c r="B12" s="279" t="s">
        <v>419</v>
      </c>
      <c r="C12" s="280"/>
      <c r="D12" s="486"/>
      <c r="E12" s="504"/>
    </row>
    <row r="13" spans="1:13" ht="18.75" customHeight="1">
      <c r="A13" s="277" t="s">
        <v>152</v>
      </c>
      <c r="B13" s="279" t="s">
        <v>420</v>
      </c>
      <c r="C13" s="280">
        <v>-26035954</v>
      </c>
      <c r="D13" s="486"/>
      <c r="E13" s="504"/>
    </row>
    <row r="14" spans="1:13" ht="18.75" customHeight="1">
      <c r="A14" s="277" t="s">
        <v>153</v>
      </c>
      <c r="B14" s="279" t="s">
        <v>421</v>
      </c>
      <c r="C14" s="255">
        <f>C7+SUM(C8:C10)-SUM(C11:C12)+C13</f>
        <v>11875165808</v>
      </c>
      <c r="D14" s="485">
        <f>+[8]Balance!$C$77</f>
        <v>11875165808</v>
      </c>
      <c r="E14" s="503">
        <f>+C14-D14</f>
        <v>0</v>
      </c>
      <c r="I14" s="282"/>
    </row>
    <row r="15" spans="1:13">
      <c r="A15" s="176"/>
      <c r="D15" s="456"/>
      <c r="E15" s="487"/>
    </row>
    <row r="16" spans="1:13" ht="15" customHeight="1">
      <c r="A16" s="28"/>
      <c r="B16" s="174" t="s">
        <v>756</v>
      </c>
      <c r="D16" s="456"/>
      <c r="E16" s="488"/>
      <c r="F16" s="157"/>
      <c r="G16" s="157"/>
      <c r="H16" s="157"/>
      <c r="I16" s="157"/>
      <c r="J16" s="157"/>
      <c r="K16" s="157"/>
      <c r="L16" s="157"/>
      <c r="M16" s="157"/>
    </row>
    <row r="17" spans="1:13" ht="11.25" customHeight="1">
      <c r="A17" s="28"/>
      <c r="B17" s="174"/>
      <c r="D17" s="456"/>
      <c r="E17" s="488"/>
      <c r="F17" s="157"/>
      <c r="G17" s="157"/>
      <c r="H17" s="157"/>
      <c r="I17" s="157"/>
      <c r="J17" s="157"/>
      <c r="K17" s="157"/>
      <c r="L17" s="157"/>
      <c r="M17" s="157"/>
    </row>
    <row r="18" spans="1:13" ht="15" customHeight="1">
      <c r="A18" s="28"/>
      <c r="B18" s="174" t="s">
        <v>757</v>
      </c>
      <c r="D18" s="456"/>
      <c r="E18" s="488"/>
      <c r="F18" s="157"/>
      <c r="G18" s="157"/>
      <c r="H18" s="157"/>
      <c r="I18" s="157"/>
      <c r="J18" s="157"/>
      <c r="K18" s="157"/>
      <c r="L18" s="157"/>
      <c r="M18" s="157"/>
    </row>
    <row r="20" spans="1:13" ht="12.75" customHeight="1">
      <c r="A20" s="190"/>
    </row>
    <row r="21" spans="1:13">
      <c r="A21" s="190"/>
    </row>
    <row r="27" spans="1:13" ht="12.75" customHeight="1"/>
    <row r="28" spans="1:13" ht="12.75" customHeight="1"/>
  </sheetData>
  <sheetProtection password="CACA" sheet="1" objects="1" scenarios="1"/>
  <mergeCells count="1">
    <mergeCell ref="A1:B1"/>
  </mergeCells>
  <phoneticPr fontId="16" type="noConversion"/>
  <conditionalFormatting sqref="C14">
    <cfRule type="cellIs" dxfId="255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  <ignoredErrors>
    <ignoredError sqref="C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B95"/>
  <sheetViews>
    <sheetView view="pageBreakPreview" zoomScale="70" zoomScaleNormal="70" zoomScaleSheetLayoutView="70" workbookViewId="0">
      <pane xSplit="3" ySplit="7" topLeftCell="D72" activePane="bottomRight" state="frozen"/>
      <selection pane="topRight" activeCell="D1" sqref="D1"/>
      <selection pane="bottomLeft" activeCell="A8" sqref="A8"/>
      <selection pane="bottomRight" activeCell="G62" sqref="G62"/>
    </sheetView>
  </sheetViews>
  <sheetFormatPr defaultRowHeight="12.75"/>
  <cols>
    <col min="1" max="1" width="7" style="28" customWidth="1"/>
    <col min="2" max="2" width="57.5703125" style="28" customWidth="1"/>
    <col min="3" max="3" width="18.42578125" style="28" customWidth="1"/>
    <col min="4" max="9" width="17.140625" style="28" customWidth="1"/>
    <col min="10" max="10" width="16" style="28" customWidth="1"/>
    <col min="11" max="11" width="17" style="28" customWidth="1"/>
    <col min="12" max="12" width="25.28515625" style="28" bestFit="1" customWidth="1"/>
    <col min="13" max="13" width="16.85546875" style="28" customWidth="1"/>
    <col min="14" max="25" width="17.140625" style="28" customWidth="1"/>
    <col min="26" max="16384" width="9.140625" style="28"/>
  </cols>
  <sheetData>
    <row r="1" spans="1:28" s="179" customFormat="1" ht="31.5" customHeight="1">
      <c r="A1" s="177" t="s">
        <v>682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8" t="s">
        <v>681</v>
      </c>
      <c r="X1" s="5"/>
      <c r="Y1" s="178"/>
    </row>
    <row r="2" spans="1:28" ht="9" customHeight="1">
      <c r="A2" s="5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5"/>
      <c r="X2" s="180"/>
      <c r="Y2" s="180"/>
    </row>
    <row r="3" spans="1:28" ht="15.75">
      <c r="A3" s="194"/>
      <c r="B3" s="181" t="str">
        <f>+'Asset quality'!B3</f>
        <v>"Ўзсаноатқурилишбанк" АТБ</v>
      </c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662">
        <f>+'Asset quality'!Q3</f>
        <v>46021</v>
      </c>
      <c r="U3" s="662"/>
      <c r="V3" s="182"/>
      <c r="W3" s="182"/>
      <c r="X3" s="283" t="str">
        <f>+'Asset quality'!T3</f>
        <v>минг. сўмда</v>
      </c>
      <c r="Y3" s="196"/>
    </row>
    <row r="4" spans="1:28" s="183" customFormat="1" ht="32.25" customHeight="1">
      <c r="A4" s="654" t="s">
        <v>61</v>
      </c>
      <c r="B4" s="654" t="s">
        <v>683</v>
      </c>
      <c r="C4" s="657" t="s">
        <v>684</v>
      </c>
      <c r="D4" s="660" t="s">
        <v>332</v>
      </c>
      <c r="E4" s="661"/>
      <c r="F4" s="653" t="s">
        <v>688</v>
      </c>
      <c r="G4" s="653"/>
      <c r="H4" s="653"/>
      <c r="I4" s="653"/>
      <c r="J4" s="664" t="s">
        <v>332</v>
      </c>
      <c r="K4" s="664"/>
      <c r="L4" s="664"/>
      <c r="M4" s="664"/>
      <c r="N4" s="664"/>
      <c r="O4" s="664"/>
      <c r="P4" s="664"/>
      <c r="Q4" s="664"/>
      <c r="R4" s="664"/>
      <c r="S4" s="664"/>
      <c r="T4" s="664"/>
      <c r="U4" s="664"/>
      <c r="V4" s="664"/>
      <c r="W4" s="664"/>
      <c r="X4" s="664"/>
      <c r="Y4" s="664"/>
    </row>
    <row r="5" spans="1:28" s="183" customFormat="1" ht="18" customHeight="1">
      <c r="A5" s="655"/>
      <c r="B5" s="655"/>
      <c r="C5" s="658"/>
      <c r="D5" s="657" t="s">
        <v>283</v>
      </c>
      <c r="E5" s="657" t="s">
        <v>284</v>
      </c>
      <c r="F5" s="653" t="s">
        <v>689</v>
      </c>
      <c r="G5" s="653" t="s">
        <v>332</v>
      </c>
      <c r="H5" s="653"/>
      <c r="I5" s="653"/>
      <c r="J5" s="663" t="s">
        <v>692</v>
      </c>
      <c r="K5" s="663" t="s">
        <v>693</v>
      </c>
      <c r="L5" s="370" t="s">
        <v>332</v>
      </c>
      <c r="M5" s="665" t="s">
        <v>695</v>
      </c>
      <c r="N5" s="665" t="s">
        <v>696</v>
      </c>
      <c r="O5" s="665" t="s">
        <v>697</v>
      </c>
      <c r="P5" s="664" t="s">
        <v>332</v>
      </c>
      <c r="Q5" s="664"/>
      <c r="R5" s="663" t="s">
        <v>700</v>
      </c>
      <c r="S5" s="663" t="s">
        <v>701</v>
      </c>
      <c r="T5" s="663" t="s">
        <v>702</v>
      </c>
      <c r="U5" s="663" t="s">
        <v>703</v>
      </c>
      <c r="V5" s="663" t="s">
        <v>704</v>
      </c>
      <c r="W5" s="663" t="s">
        <v>705</v>
      </c>
      <c r="X5" s="663" t="s">
        <v>706</v>
      </c>
      <c r="Y5" s="663" t="s">
        <v>707</v>
      </c>
    </row>
    <row r="6" spans="1:28" s="183" customFormat="1" ht="102" customHeight="1">
      <c r="A6" s="656"/>
      <c r="B6" s="656"/>
      <c r="C6" s="659"/>
      <c r="D6" s="659"/>
      <c r="E6" s="659"/>
      <c r="F6" s="653"/>
      <c r="G6" s="369" t="s">
        <v>627</v>
      </c>
      <c r="H6" s="369" t="s">
        <v>629</v>
      </c>
      <c r="I6" s="369" t="s">
        <v>631</v>
      </c>
      <c r="J6" s="663"/>
      <c r="K6" s="663"/>
      <c r="L6" s="369" t="s">
        <v>694</v>
      </c>
      <c r="M6" s="666"/>
      <c r="N6" s="666"/>
      <c r="O6" s="666"/>
      <c r="P6" s="369" t="s">
        <v>698</v>
      </c>
      <c r="Q6" s="369" t="s">
        <v>699</v>
      </c>
      <c r="R6" s="663"/>
      <c r="S6" s="663"/>
      <c r="T6" s="663"/>
      <c r="U6" s="663"/>
      <c r="V6" s="663"/>
      <c r="W6" s="663"/>
      <c r="X6" s="663"/>
      <c r="Y6" s="663"/>
      <c r="AA6" s="184"/>
    </row>
    <row r="7" spans="1:28" s="186" customFormat="1" ht="15">
      <c r="A7" s="185" t="s">
        <v>65</v>
      </c>
      <c r="B7" s="284" t="s">
        <v>66</v>
      </c>
      <c r="C7" s="284" t="s">
        <v>36</v>
      </c>
      <c r="D7" s="284" t="s">
        <v>181</v>
      </c>
      <c r="E7" s="284" t="s">
        <v>182</v>
      </c>
      <c r="F7" s="284" t="s">
        <v>37</v>
      </c>
      <c r="G7" s="284" t="s">
        <v>690</v>
      </c>
      <c r="H7" s="285" t="s">
        <v>691</v>
      </c>
      <c r="I7" s="285" t="s">
        <v>708</v>
      </c>
      <c r="J7" s="285" t="s">
        <v>38</v>
      </c>
      <c r="K7" s="285" t="s">
        <v>62</v>
      </c>
      <c r="L7" s="284" t="s">
        <v>709</v>
      </c>
      <c r="M7" s="285" t="s">
        <v>63</v>
      </c>
      <c r="N7" s="285" t="s">
        <v>64</v>
      </c>
      <c r="O7" s="285" t="s">
        <v>67</v>
      </c>
      <c r="P7" s="284" t="s">
        <v>166</v>
      </c>
      <c r="Q7" s="284" t="s">
        <v>710</v>
      </c>
      <c r="R7" s="285" t="s">
        <v>68</v>
      </c>
      <c r="S7" s="285" t="s">
        <v>69</v>
      </c>
      <c r="T7" s="285" t="s">
        <v>70</v>
      </c>
      <c r="U7" s="285" t="s">
        <v>71</v>
      </c>
      <c r="V7" s="285" t="s">
        <v>72</v>
      </c>
      <c r="W7" s="285" t="s">
        <v>73</v>
      </c>
      <c r="X7" s="285" t="s">
        <v>74</v>
      </c>
      <c r="Y7" s="286" t="s">
        <v>75</v>
      </c>
    </row>
    <row r="8" spans="1:28" s="183" customFormat="1" ht="15.75" customHeight="1">
      <c r="A8" s="373"/>
      <c r="B8" s="374" t="s">
        <v>463</v>
      </c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</row>
    <row r="9" spans="1:28" s="183" customFormat="1" ht="15.75" customHeight="1">
      <c r="A9" s="376">
        <v>10</v>
      </c>
      <c r="B9" s="377" t="s">
        <v>640</v>
      </c>
      <c r="C9" s="570">
        <f t="shared" ref="C9:C10" si="0">SUM(J9:Y9)-L9-P9-Q9</f>
        <v>7376109185</v>
      </c>
      <c r="D9" s="543">
        <v>1211274277</v>
      </c>
      <c r="E9" s="543">
        <v>6164834908</v>
      </c>
      <c r="F9" s="570">
        <f>+G9+H9+I9</f>
        <v>0</v>
      </c>
      <c r="G9" s="543">
        <v>0</v>
      </c>
      <c r="H9" s="543">
        <v>0</v>
      </c>
      <c r="I9" s="543">
        <v>0</v>
      </c>
      <c r="J9" s="543">
        <v>0</v>
      </c>
      <c r="K9" s="543">
        <v>4039268436</v>
      </c>
      <c r="L9" s="543">
        <v>3876628750</v>
      </c>
      <c r="M9" s="543">
        <v>0</v>
      </c>
      <c r="N9" s="543">
        <v>146995764</v>
      </c>
      <c r="O9" s="570">
        <f t="shared" ref="O9:O13" si="1">+P9+Q9</f>
        <v>183970813</v>
      </c>
      <c r="P9" s="543">
        <v>0</v>
      </c>
      <c r="Q9" s="543">
        <v>183970813</v>
      </c>
      <c r="R9" s="543">
        <v>0</v>
      </c>
      <c r="S9" s="543">
        <v>0</v>
      </c>
      <c r="T9" s="543">
        <v>82926813</v>
      </c>
      <c r="U9" s="543">
        <v>0</v>
      </c>
      <c r="V9" s="543">
        <v>1600360527</v>
      </c>
      <c r="W9" s="543">
        <v>0</v>
      </c>
      <c r="X9" s="543">
        <v>0</v>
      </c>
      <c r="Y9" s="543">
        <v>1322586832</v>
      </c>
      <c r="Z9" s="571"/>
      <c r="AB9" s="187"/>
    </row>
    <row r="10" spans="1:28" s="183" customFormat="1" ht="15.75" customHeight="1">
      <c r="A10" s="376">
        <f t="shared" ref="A10:A66" si="2">A9+10</f>
        <v>20</v>
      </c>
      <c r="B10" s="377" t="s">
        <v>397</v>
      </c>
      <c r="C10" s="570">
        <f t="shared" si="0"/>
        <v>6852809674</v>
      </c>
      <c r="D10" s="543">
        <v>950657958</v>
      </c>
      <c r="E10" s="543">
        <v>5902151716</v>
      </c>
      <c r="F10" s="570">
        <f t="shared" ref="F10:F14" si="3">+G10+H10+I10</f>
        <v>9432816</v>
      </c>
      <c r="G10" s="543">
        <v>9405114</v>
      </c>
      <c r="H10" s="543">
        <v>27702</v>
      </c>
      <c r="I10" s="543">
        <v>0</v>
      </c>
      <c r="J10" s="543">
        <v>69220</v>
      </c>
      <c r="K10" s="543">
        <v>0</v>
      </c>
      <c r="L10" s="543">
        <v>0</v>
      </c>
      <c r="M10" s="543">
        <v>2857151</v>
      </c>
      <c r="N10" s="543">
        <v>97604664</v>
      </c>
      <c r="O10" s="570">
        <f t="shared" si="1"/>
        <v>2134683941</v>
      </c>
      <c r="P10" s="543">
        <v>0</v>
      </c>
      <c r="Q10" s="543">
        <v>2134683941</v>
      </c>
      <c r="R10" s="543">
        <v>2517665217</v>
      </c>
      <c r="S10" s="543">
        <v>0</v>
      </c>
      <c r="T10" s="543">
        <v>0</v>
      </c>
      <c r="U10" s="543">
        <v>0</v>
      </c>
      <c r="V10" s="543">
        <v>1356468240</v>
      </c>
      <c r="W10" s="543">
        <v>260904454</v>
      </c>
      <c r="X10" s="543">
        <v>0</v>
      </c>
      <c r="Y10" s="543">
        <v>482556787</v>
      </c>
      <c r="Z10" s="571"/>
      <c r="AB10" s="187"/>
    </row>
    <row r="11" spans="1:28" s="183" customFormat="1" ht="15.75" customHeight="1">
      <c r="A11" s="376">
        <f t="shared" si="2"/>
        <v>30</v>
      </c>
      <c r="B11" s="377" t="s">
        <v>398</v>
      </c>
      <c r="C11" s="570">
        <f>SUM(J11:Y11)-L11-P11-Q11</f>
        <v>18298845076</v>
      </c>
      <c r="D11" s="543">
        <v>3694426854</v>
      </c>
      <c r="E11" s="543">
        <v>14604418222</v>
      </c>
      <c r="F11" s="570">
        <f t="shared" si="3"/>
        <v>340994107</v>
      </c>
      <c r="G11" s="543">
        <v>12336856</v>
      </c>
      <c r="H11" s="543">
        <v>71764707</v>
      </c>
      <c r="I11" s="543">
        <v>256892544</v>
      </c>
      <c r="J11" s="543">
        <v>12267690</v>
      </c>
      <c r="K11" s="543">
        <v>0</v>
      </c>
      <c r="L11" s="543">
        <v>0</v>
      </c>
      <c r="M11" s="543">
        <v>37599179</v>
      </c>
      <c r="N11" s="543">
        <v>13909269</v>
      </c>
      <c r="O11" s="570">
        <f t="shared" si="1"/>
        <v>4866645989</v>
      </c>
      <c r="P11" s="543">
        <v>95459848</v>
      </c>
      <c r="Q11" s="543">
        <v>4771186141</v>
      </c>
      <c r="R11" s="543">
        <v>3117571090</v>
      </c>
      <c r="S11" s="543">
        <v>0</v>
      </c>
      <c r="T11" s="543">
        <v>0</v>
      </c>
      <c r="U11" s="543">
        <v>1101356</v>
      </c>
      <c r="V11" s="543">
        <v>6323210796</v>
      </c>
      <c r="W11" s="543">
        <v>3348667284</v>
      </c>
      <c r="X11" s="543">
        <v>26136642</v>
      </c>
      <c r="Y11" s="543">
        <v>551735781</v>
      </c>
      <c r="Z11" s="571"/>
      <c r="AB11" s="187"/>
    </row>
    <row r="12" spans="1:28" s="183" customFormat="1" ht="15.75" customHeight="1">
      <c r="A12" s="376">
        <f t="shared" si="2"/>
        <v>40</v>
      </c>
      <c r="B12" s="377" t="s">
        <v>394</v>
      </c>
      <c r="C12" s="570">
        <f t="shared" ref="C12:C13" si="4">SUM(J12:Y12)-L12-P12-Q12</f>
        <v>0</v>
      </c>
      <c r="D12" s="543">
        <v>0</v>
      </c>
      <c r="E12" s="543">
        <v>0</v>
      </c>
      <c r="F12" s="570">
        <f t="shared" si="3"/>
        <v>0</v>
      </c>
      <c r="G12" s="543">
        <v>0</v>
      </c>
      <c r="H12" s="543">
        <v>0</v>
      </c>
      <c r="I12" s="543">
        <v>0</v>
      </c>
      <c r="J12" s="543">
        <v>0</v>
      </c>
      <c r="K12" s="543">
        <v>0</v>
      </c>
      <c r="L12" s="543">
        <v>0</v>
      </c>
      <c r="M12" s="543">
        <v>0</v>
      </c>
      <c r="N12" s="543">
        <v>0</v>
      </c>
      <c r="O12" s="570">
        <f t="shared" si="1"/>
        <v>0</v>
      </c>
      <c r="P12" s="543">
        <v>0</v>
      </c>
      <c r="Q12" s="543">
        <v>0</v>
      </c>
      <c r="R12" s="543">
        <v>0</v>
      </c>
      <c r="S12" s="543">
        <v>0</v>
      </c>
      <c r="T12" s="543">
        <v>0</v>
      </c>
      <c r="U12" s="543">
        <v>0</v>
      </c>
      <c r="V12" s="543">
        <v>0</v>
      </c>
      <c r="W12" s="543">
        <v>0</v>
      </c>
      <c r="X12" s="543">
        <v>0</v>
      </c>
      <c r="Y12" s="543">
        <v>0</v>
      </c>
      <c r="Z12" s="571"/>
      <c r="AB12" s="187"/>
    </row>
    <row r="13" spans="1:28" s="183" customFormat="1" ht="15.75" customHeight="1">
      <c r="A13" s="376">
        <f>A12+10</f>
        <v>50</v>
      </c>
      <c r="B13" s="377" t="s">
        <v>645</v>
      </c>
      <c r="C13" s="570">
        <f t="shared" si="4"/>
        <v>0</v>
      </c>
      <c r="D13" s="543">
        <v>0</v>
      </c>
      <c r="E13" s="543">
        <v>0</v>
      </c>
      <c r="F13" s="570">
        <f t="shared" si="3"/>
        <v>0</v>
      </c>
      <c r="G13" s="543">
        <v>0</v>
      </c>
      <c r="H13" s="543">
        <v>0</v>
      </c>
      <c r="I13" s="543">
        <v>0</v>
      </c>
      <c r="J13" s="543">
        <v>0</v>
      </c>
      <c r="K13" s="543">
        <v>0</v>
      </c>
      <c r="L13" s="543">
        <v>0</v>
      </c>
      <c r="M13" s="543">
        <v>0</v>
      </c>
      <c r="N13" s="543">
        <v>0</v>
      </c>
      <c r="O13" s="570">
        <f t="shared" si="1"/>
        <v>0</v>
      </c>
      <c r="P13" s="543">
        <v>0</v>
      </c>
      <c r="Q13" s="543">
        <v>0</v>
      </c>
      <c r="R13" s="543">
        <v>0</v>
      </c>
      <c r="S13" s="543">
        <v>0</v>
      </c>
      <c r="T13" s="543">
        <v>0</v>
      </c>
      <c r="U13" s="543">
        <v>0</v>
      </c>
      <c r="V13" s="543">
        <v>0</v>
      </c>
      <c r="W13" s="543">
        <v>0</v>
      </c>
      <c r="X13" s="543">
        <v>0</v>
      </c>
      <c r="Y13" s="543">
        <v>0</v>
      </c>
      <c r="Z13" s="571"/>
      <c r="AB13" s="187"/>
    </row>
    <row r="14" spans="1:28" s="413" customFormat="1" ht="15.75" customHeight="1">
      <c r="A14" s="412">
        <f>A13+10</f>
        <v>60</v>
      </c>
      <c r="B14" s="412" t="s">
        <v>232</v>
      </c>
      <c r="C14" s="572">
        <f t="shared" ref="C14" si="5">SUM(J14:Y14)-L14-P14-Q14</f>
        <v>32527763935</v>
      </c>
      <c r="D14" s="572">
        <f>SUM(D9:D13)</f>
        <v>5856359089</v>
      </c>
      <c r="E14" s="572">
        <f>SUM(E9:E13)</f>
        <v>26671404846</v>
      </c>
      <c r="F14" s="572">
        <f t="shared" si="3"/>
        <v>350426923</v>
      </c>
      <c r="G14" s="572">
        <f t="shared" ref="G14" si="6">SUM(G9:G13)</f>
        <v>21741970</v>
      </c>
      <c r="H14" s="572">
        <f t="shared" ref="H14:Y14" si="7">SUM(H9:H13)</f>
        <v>71792409</v>
      </c>
      <c r="I14" s="572">
        <f t="shared" si="7"/>
        <v>256892544</v>
      </c>
      <c r="J14" s="572">
        <f t="shared" si="7"/>
        <v>12336910</v>
      </c>
      <c r="K14" s="572">
        <f t="shared" si="7"/>
        <v>4039268436</v>
      </c>
      <c r="L14" s="572">
        <f t="shared" si="7"/>
        <v>3876628750</v>
      </c>
      <c r="M14" s="572">
        <f t="shared" si="7"/>
        <v>40456330</v>
      </c>
      <c r="N14" s="572">
        <f t="shared" si="7"/>
        <v>258509697</v>
      </c>
      <c r="O14" s="572">
        <f t="shared" si="7"/>
        <v>7185300743</v>
      </c>
      <c r="P14" s="572">
        <f t="shared" si="7"/>
        <v>95459848</v>
      </c>
      <c r="Q14" s="572">
        <f t="shared" si="7"/>
        <v>7089840895</v>
      </c>
      <c r="R14" s="572">
        <f t="shared" si="7"/>
        <v>5635236307</v>
      </c>
      <c r="S14" s="572">
        <f t="shared" si="7"/>
        <v>0</v>
      </c>
      <c r="T14" s="572">
        <f t="shared" si="7"/>
        <v>82926813</v>
      </c>
      <c r="U14" s="572">
        <f t="shared" si="7"/>
        <v>1101356</v>
      </c>
      <c r="V14" s="572">
        <f t="shared" si="7"/>
        <v>9280039563</v>
      </c>
      <c r="W14" s="572">
        <f t="shared" si="7"/>
        <v>3609571738</v>
      </c>
      <c r="X14" s="572">
        <f t="shared" si="7"/>
        <v>26136642</v>
      </c>
      <c r="Y14" s="572">
        <f t="shared" si="7"/>
        <v>2356879400</v>
      </c>
      <c r="Z14" s="573"/>
      <c r="AB14" s="414"/>
    </row>
    <row r="15" spans="1:28" s="183" customFormat="1" ht="15.75" customHeight="1">
      <c r="A15" s="370"/>
      <c r="B15" s="374" t="s">
        <v>464</v>
      </c>
      <c r="C15" s="574"/>
      <c r="D15" s="574"/>
      <c r="E15" s="574"/>
      <c r="F15" s="574"/>
      <c r="G15" s="575"/>
      <c r="H15" s="574"/>
      <c r="I15" s="574"/>
      <c r="J15" s="574"/>
      <c r="K15" s="574"/>
      <c r="L15" s="574"/>
      <c r="M15" s="574"/>
      <c r="N15" s="574"/>
      <c r="O15" s="574"/>
      <c r="P15" s="574"/>
      <c r="Q15" s="574"/>
      <c r="R15" s="574"/>
      <c r="S15" s="574"/>
      <c r="T15" s="574"/>
      <c r="U15" s="574"/>
      <c r="V15" s="574"/>
      <c r="W15" s="574"/>
      <c r="X15" s="574"/>
      <c r="Y15" s="574"/>
      <c r="Z15" s="571"/>
      <c r="AB15" s="187"/>
    </row>
    <row r="16" spans="1:28" s="183" customFormat="1" ht="15.75" customHeight="1">
      <c r="A16" s="376">
        <v>70</v>
      </c>
      <c r="B16" s="377" t="s">
        <v>640</v>
      </c>
      <c r="C16" s="570">
        <f t="shared" ref="C16:C22" si="8">SUM(J16:Y16)-L16-P16-Q16</f>
        <v>0</v>
      </c>
      <c r="D16" s="543">
        <v>0</v>
      </c>
      <c r="E16" s="543">
        <v>0</v>
      </c>
      <c r="F16" s="570">
        <f t="shared" ref="F16:F22" si="9">+G16+H16+I16</f>
        <v>0</v>
      </c>
      <c r="G16" s="543">
        <v>0</v>
      </c>
      <c r="H16" s="543">
        <v>0</v>
      </c>
      <c r="I16" s="543">
        <v>0</v>
      </c>
      <c r="J16" s="543">
        <v>0</v>
      </c>
      <c r="K16" s="543">
        <v>0</v>
      </c>
      <c r="L16" s="543">
        <v>0</v>
      </c>
      <c r="M16" s="543">
        <v>0</v>
      </c>
      <c r="N16" s="543">
        <v>0</v>
      </c>
      <c r="O16" s="570">
        <f t="shared" ref="O16:O20" si="10">+P16+Q16</f>
        <v>0</v>
      </c>
      <c r="P16" s="543">
        <v>0</v>
      </c>
      <c r="Q16" s="543">
        <v>0</v>
      </c>
      <c r="R16" s="543">
        <v>0</v>
      </c>
      <c r="S16" s="543">
        <v>0</v>
      </c>
      <c r="T16" s="543">
        <v>0</v>
      </c>
      <c r="U16" s="543">
        <v>0</v>
      </c>
      <c r="V16" s="543">
        <v>0</v>
      </c>
      <c r="W16" s="543">
        <v>0</v>
      </c>
      <c r="X16" s="543">
        <v>0</v>
      </c>
      <c r="Y16" s="543">
        <v>0</v>
      </c>
      <c r="Z16" s="571"/>
      <c r="AB16" s="187"/>
    </row>
    <row r="17" spans="1:28" s="183" customFormat="1" ht="15.75" customHeight="1">
      <c r="A17" s="376">
        <f t="shared" si="2"/>
        <v>80</v>
      </c>
      <c r="B17" s="377" t="s">
        <v>397</v>
      </c>
      <c r="C17" s="570">
        <f t="shared" si="8"/>
        <v>681636361</v>
      </c>
      <c r="D17" s="543">
        <v>142893708</v>
      </c>
      <c r="E17" s="543">
        <v>538742653</v>
      </c>
      <c r="F17" s="570">
        <f t="shared" si="9"/>
        <v>0</v>
      </c>
      <c r="G17" s="543">
        <v>0</v>
      </c>
      <c r="H17" s="543">
        <v>0</v>
      </c>
      <c r="I17" s="543">
        <v>0</v>
      </c>
      <c r="J17" s="543">
        <v>0</v>
      </c>
      <c r="K17" s="543">
        <v>0</v>
      </c>
      <c r="L17" s="543">
        <v>0</v>
      </c>
      <c r="M17" s="543">
        <v>8402439</v>
      </c>
      <c r="N17" s="543">
        <v>2094028</v>
      </c>
      <c r="O17" s="570">
        <f t="shared" si="10"/>
        <v>332471102</v>
      </c>
      <c r="P17" s="543">
        <v>0</v>
      </c>
      <c r="Q17" s="543">
        <v>332471102</v>
      </c>
      <c r="R17" s="543">
        <v>159897865</v>
      </c>
      <c r="S17" s="543">
        <v>0</v>
      </c>
      <c r="T17" s="543">
        <v>0</v>
      </c>
      <c r="U17" s="543">
        <v>0</v>
      </c>
      <c r="V17" s="543">
        <v>87689095</v>
      </c>
      <c r="W17" s="543">
        <v>91081832</v>
      </c>
      <c r="X17" s="543">
        <v>0</v>
      </c>
      <c r="Y17" s="543">
        <v>0</v>
      </c>
      <c r="Z17" s="571"/>
      <c r="AB17" s="187"/>
    </row>
    <row r="18" spans="1:28" s="183" customFormat="1" ht="15.75" customHeight="1">
      <c r="A18" s="376">
        <f t="shared" si="2"/>
        <v>90</v>
      </c>
      <c r="B18" s="377" t="s">
        <v>398</v>
      </c>
      <c r="C18" s="570">
        <f t="shared" si="8"/>
        <v>3081519889</v>
      </c>
      <c r="D18" s="543">
        <v>1788659741</v>
      </c>
      <c r="E18" s="543">
        <v>1292860148</v>
      </c>
      <c r="F18" s="570">
        <f t="shared" si="9"/>
        <v>286601439</v>
      </c>
      <c r="G18" s="543">
        <v>3053383</v>
      </c>
      <c r="H18" s="543">
        <v>14906906</v>
      </c>
      <c r="I18" s="543">
        <v>268641150</v>
      </c>
      <c r="J18" s="543">
        <v>7873466</v>
      </c>
      <c r="K18" s="543">
        <v>0</v>
      </c>
      <c r="L18" s="543">
        <v>0</v>
      </c>
      <c r="M18" s="543">
        <v>25595839</v>
      </c>
      <c r="N18" s="543">
        <v>0</v>
      </c>
      <c r="O18" s="570">
        <f t="shared" si="10"/>
        <v>502708329</v>
      </c>
      <c r="P18" s="543">
        <v>30883752</v>
      </c>
      <c r="Q18" s="543">
        <v>471824577</v>
      </c>
      <c r="R18" s="543">
        <v>104119618</v>
      </c>
      <c r="S18" s="543">
        <v>0</v>
      </c>
      <c r="T18" s="543">
        <v>0</v>
      </c>
      <c r="U18" s="543">
        <v>0</v>
      </c>
      <c r="V18" s="543">
        <v>1724743055</v>
      </c>
      <c r="W18" s="543">
        <v>699355558</v>
      </c>
      <c r="X18" s="543">
        <v>0</v>
      </c>
      <c r="Y18" s="543">
        <v>17124024</v>
      </c>
      <c r="Z18" s="571"/>
      <c r="AB18" s="187"/>
    </row>
    <row r="19" spans="1:28" s="183" customFormat="1" ht="15.75" customHeight="1">
      <c r="A19" s="376">
        <f>A18+10</f>
        <v>100</v>
      </c>
      <c r="B19" s="377" t="s">
        <v>641</v>
      </c>
      <c r="C19" s="570">
        <f t="shared" si="8"/>
        <v>88243247</v>
      </c>
      <c r="D19" s="543">
        <v>15854960</v>
      </c>
      <c r="E19" s="543">
        <v>72388287</v>
      </c>
      <c r="F19" s="570">
        <f t="shared" si="9"/>
        <v>5009857</v>
      </c>
      <c r="G19" s="543">
        <v>0</v>
      </c>
      <c r="H19" s="543">
        <v>620043</v>
      </c>
      <c r="I19" s="543">
        <v>4389814</v>
      </c>
      <c r="J19" s="543">
        <v>261460</v>
      </c>
      <c r="K19" s="543">
        <v>0</v>
      </c>
      <c r="L19" s="543">
        <v>0</v>
      </c>
      <c r="M19" s="543">
        <v>921535</v>
      </c>
      <c r="N19" s="543">
        <v>0</v>
      </c>
      <c r="O19" s="570">
        <f t="shared" si="10"/>
        <v>27921057</v>
      </c>
      <c r="P19" s="543">
        <v>1257301</v>
      </c>
      <c r="Q19" s="543">
        <v>26663756</v>
      </c>
      <c r="R19" s="543">
        <v>25839863</v>
      </c>
      <c r="S19" s="543">
        <v>0</v>
      </c>
      <c r="T19" s="543">
        <v>0</v>
      </c>
      <c r="U19" s="543">
        <v>0</v>
      </c>
      <c r="V19" s="543">
        <v>30638071</v>
      </c>
      <c r="W19" s="543">
        <v>2661261</v>
      </c>
      <c r="X19" s="543">
        <v>0</v>
      </c>
      <c r="Y19" s="543">
        <v>0</v>
      </c>
      <c r="Z19" s="571"/>
      <c r="AB19" s="187"/>
    </row>
    <row r="20" spans="1:28" s="183" customFormat="1" ht="15.75" customHeight="1">
      <c r="A20" s="376">
        <f t="shared" si="2"/>
        <v>110</v>
      </c>
      <c r="B20" s="377" t="s">
        <v>394</v>
      </c>
      <c r="C20" s="570">
        <f t="shared" si="8"/>
        <v>0</v>
      </c>
      <c r="D20" s="543">
        <v>0</v>
      </c>
      <c r="E20" s="543">
        <v>0</v>
      </c>
      <c r="F20" s="570">
        <f t="shared" si="9"/>
        <v>0</v>
      </c>
      <c r="G20" s="543">
        <v>0</v>
      </c>
      <c r="H20" s="543">
        <v>0</v>
      </c>
      <c r="I20" s="543">
        <v>0</v>
      </c>
      <c r="J20" s="543">
        <v>0</v>
      </c>
      <c r="K20" s="543">
        <v>0</v>
      </c>
      <c r="L20" s="543">
        <v>0</v>
      </c>
      <c r="M20" s="543">
        <v>0</v>
      </c>
      <c r="N20" s="543">
        <v>0</v>
      </c>
      <c r="O20" s="570">
        <f t="shared" si="10"/>
        <v>0</v>
      </c>
      <c r="P20" s="543">
        <v>0</v>
      </c>
      <c r="Q20" s="543">
        <v>0</v>
      </c>
      <c r="R20" s="543">
        <v>0</v>
      </c>
      <c r="S20" s="543">
        <v>0</v>
      </c>
      <c r="T20" s="543">
        <v>0</v>
      </c>
      <c r="U20" s="543">
        <v>0</v>
      </c>
      <c r="V20" s="543">
        <v>0</v>
      </c>
      <c r="W20" s="543">
        <v>0</v>
      </c>
      <c r="X20" s="543">
        <v>0</v>
      </c>
      <c r="Y20" s="543">
        <v>0</v>
      </c>
      <c r="Z20" s="571"/>
      <c r="AB20" s="187"/>
    </row>
    <row r="21" spans="1:28" s="183" customFormat="1" ht="15.75" customHeight="1">
      <c r="A21" s="376">
        <f>A20+10</f>
        <v>120</v>
      </c>
      <c r="B21" s="377" t="s">
        <v>645</v>
      </c>
      <c r="C21" s="570">
        <f t="shared" si="8"/>
        <v>0</v>
      </c>
      <c r="D21" s="543">
        <v>0</v>
      </c>
      <c r="E21" s="543">
        <v>0</v>
      </c>
      <c r="F21" s="570">
        <f t="shared" si="9"/>
        <v>0</v>
      </c>
      <c r="G21" s="543">
        <v>0</v>
      </c>
      <c r="H21" s="543">
        <v>0</v>
      </c>
      <c r="I21" s="543">
        <v>0</v>
      </c>
      <c r="J21" s="543">
        <v>0</v>
      </c>
      <c r="K21" s="543">
        <v>0</v>
      </c>
      <c r="L21" s="543">
        <v>0</v>
      </c>
      <c r="M21" s="543">
        <v>0</v>
      </c>
      <c r="N21" s="543">
        <v>0</v>
      </c>
      <c r="O21" s="570">
        <f>+P21+Q21</f>
        <v>0</v>
      </c>
      <c r="P21" s="543">
        <v>0</v>
      </c>
      <c r="Q21" s="543">
        <v>0</v>
      </c>
      <c r="R21" s="543">
        <v>0</v>
      </c>
      <c r="S21" s="543">
        <v>0</v>
      </c>
      <c r="T21" s="543">
        <v>0</v>
      </c>
      <c r="U21" s="543">
        <v>0</v>
      </c>
      <c r="V21" s="543">
        <v>0</v>
      </c>
      <c r="W21" s="543">
        <v>0</v>
      </c>
      <c r="X21" s="543">
        <v>0</v>
      </c>
      <c r="Y21" s="543">
        <v>0</v>
      </c>
      <c r="Z21" s="571"/>
      <c r="AB21" s="187"/>
    </row>
    <row r="22" spans="1:28" s="413" customFormat="1" ht="15.75" customHeight="1">
      <c r="A22" s="412">
        <f>A21+10</f>
        <v>130</v>
      </c>
      <c r="B22" s="412" t="s">
        <v>232</v>
      </c>
      <c r="C22" s="572">
        <f t="shared" si="8"/>
        <v>3851399497</v>
      </c>
      <c r="D22" s="572">
        <f>SUM(D16:D21)</f>
        <v>1947408409</v>
      </c>
      <c r="E22" s="572">
        <f>SUM(E16:E21)</f>
        <v>1903991088</v>
      </c>
      <c r="F22" s="572">
        <f t="shared" si="9"/>
        <v>291611296</v>
      </c>
      <c r="G22" s="572">
        <f t="shared" ref="G22:I22" si="11">SUM(G17:G21)</f>
        <v>3053383</v>
      </c>
      <c r="H22" s="572">
        <f t="shared" si="11"/>
        <v>15526949</v>
      </c>
      <c r="I22" s="572">
        <f t="shared" si="11"/>
        <v>273030964</v>
      </c>
      <c r="J22" s="572">
        <f t="shared" ref="J22:Y22" si="12">SUM(J16:J21)</f>
        <v>8134926</v>
      </c>
      <c r="K22" s="572">
        <f t="shared" si="12"/>
        <v>0</v>
      </c>
      <c r="L22" s="572">
        <f t="shared" si="12"/>
        <v>0</v>
      </c>
      <c r="M22" s="572">
        <f t="shared" si="12"/>
        <v>34919813</v>
      </c>
      <c r="N22" s="572">
        <f t="shared" si="12"/>
        <v>2094028</v>
      </c>
      <c r="O22" s="572">
        <f t="shared" si="12"/>
        <v>863100488</v>
      </c>
      <c r="P22" s="572">
        <f t="shared" si="12"/>
        <v>32141053</v>
      </c>
      <c r="Q22" s="572">
        <f t="shared" si="12"/>
        <v>830959435</v>
      </c>
      <c r="R22" s="572">
        <f t="shared" si="12"/>
        <v>289857346</v>
      </c>
      <c r="S22" s="572">
        <f t="shared" si="12"/>
        <v>0</v>
      </c>
      <c r="T22" s="572">
        <f t="shared" si="12"/>
        <v>0</v>
      </c>
      <c r="U22" s="572">
        <f t="shared" si="12"/>
        <v>0</v>
      </c>
      <c r="V22" s="572">
        <f t="shared" si="12"/>
        <v>1843070221</v>
      </c>
      <c r="W22" s="572">
        <f t="shared" si="12"/>
        <v>793098651</v>
      </c>
      <c r="X22" s="572">
        <f t="shared" si="12"/>
        <v>0</v>
      </c>
      <c r="Y22" s="572">
        <f t="shared" si="12"/>
        <v>17124024</v>
      </c>
      <c r="Z22" s="573"/>
      <c r="AB22" s="414"/>
    </row>
    <row r="23" spans="1:28" s="183" customFormat="1" ht="15.75" customHeight="1">
      <c r="A23" s="370"/>
      <c r="B23" s="374" t="s">
        <v>465</v>
      </c>
      <c r="C23" s="574"/>
      <c r="D23" s="574"/>
      <c r="E23" s="574"/>
      <c r="F23" s="574"/>
      <c r="G23" s="575"/>
      <c r="H23" s="574"/>
      <c r="I23" s="574"/>
      <c r="J23" s="574"/>
      <c r="K23" s="574"/>
      <c r="L23" s="574"/>
      <c r="M23" s="574"/>
      <c r="N23" s="574"/>
      <c r="O23" s="574"/>
      <c r="P23" s="574"/>
      <c r="Q23" s="574"/>
      <c r="R23" s="574"/>
      <c r="S23" s="574"/>
      <c r="T23" s="574"/>
      <c r="U23" s="574"/>
      <c r="V23" s="574"/>
      <c r="W23" s="574"/>
      <c r="X23" s="574"/>
      <c r="Y23" s="574"/>
      <c r="Z23" s="571"/>
      <c r="AB23" s="187"/>
    </row>
    <row r="24" spans="1:28" s="183" customFormat="1" ht="15.75" customHeight="1">
      <c r="A24" s="376">
        <v>140</v>
      </c>
      <c r="B24" s="377" t="s">
        <v>640</v>
      </c>
      <c r="C24" s="570">
        <f t="shared" ref="C24:C29" si="13">SUM(J24:Y24)-L24-P24-Q24</f>
        <v>1379892532</v>
      </c>
      <c r="D24" s="543">
        <v>163103919</v>
      </c>
      <c r="E24" s="543">
        <v>1216788613</v>
      </c>
      <c r="F24" s="570">
        <f>+G24+H24+I24</f>
        <v>0</v>
      </c>
      <c r="G24" s="543">
        <v>0</v>
      </c>
      <c r="H24" s="543">
        <v>0</v>
      </c>
      <c r="I24" s="543">
        <v>0</v>
      </c>
      <c r="J24" s="543">
        <v>1200000</v>
      </c>
      <c r="K24" s="543">
        <v>568195595</v>
      </c>
      <c r="L24" s="543">
        <v>521388245</v>
      </c>
      <c r="M24" s="543">
        <v>0</v>
      </c>
      <c r="N24" s="543">
        <v>0</v>
      </c>
      <c r="O24" s="570">
        <f t="shared" ref="O24:O28" si="14">+P24+Q24</f>
        <v>73063237</v>
      </c>
      <c r="P24" s="543">
        <v>0</v>
      </c>
      <c r="Q24" s="543">
        <v>73063237</v>
      </c>
      <c r="R24" s="543">
        <v>0</v>
      </c>
      <c r="S24" s="543">
        <v>0</v>
      </c>
      <c r="T24" s="543">
        <v>0</v>
      </c>
      <c r="U24" s="543">
        <v>0</v>
      </c>
      <c r="V24" s="543">
        <v>427996319</v>
      </c>
      <c r="W24" s="543">
        <v>309437381</v>
      </c>
      <c r="X24" s="543">
        <v>0</v>
      </c>
      <c r="Y24" s="543">
        <v>0</v>
      </c>
      <c r="Z24" s="571"/>
      <c r="AB24" s="187"/>
    </row>
    <row r="25" spans="1:28" s="183" customFormat="1" ht="15.75" customHeight="1">
      <c r="A25" s="376">
        <f t="shared" si="2"/>
        <v>150</v>
      </c>
      <c r="B25" s="377" t="s">
        <v>397</v>
      </c>
      <c r="C25" s="570">
        <f t="shared" si="13"/>
        <v>563209579</v>
      </c>
      <c r="D25" s="543">
        <v>0</v>
      </c>
      <c r="E25" s="543">
        <v>563209579</v>
      </c>
      <c r="F25" s="570">
        <f t="shared" ref="F25:F29" si="15">+G25+H25+I25</f>
        <v>0</v>
      </c>
      <c r="G25" s="543">
        <v>0</v>
      </c>
      <c r="H25" s="543">
        <v>0</v>
      </c>
      <c r="I25" s="543">
        <v>0</v>
      </c>
      <c r="J25" s="543">
        <v>0</v>
      </c>
      <c r="K25" s="543">
        <v>0</v>
      </c>
      <c r="L25" s="543">
        <v>0</v>
      </c>
      <c r="M25" s="543">
        <v>0</v>
      </c>
      <c r="N25" s="543">
        <v>0</v>
      </c>
      <c r="O25" s="570">
        <f t="shared" si="14"/>
        <v>187863438</v>
      </c>
      <c r="P25" s="543">
        <v>0</v>
      </c>
      <c r="Q25" s="543">
        <v>187863438</v>
      </c>
      <c r="R25" s="543">
        <v>0</v>
      </c>
      <c r="S25" s="543">
        <v>0</v>
      </c>
      <c r="T25" s="543">
        <v>0</v>
      </c>
      <c r="U25" s="543">
        <v>0</v>
      </c>
      <c r="V25" s="543">
        <v>375346141</v>
      </c>
      <c r="W25" s="543">
        <v>0</v>
      </c>
      <c r="X25" s="543">
        <v>0</v>
      </c>
      <c r="Y25" s="543">
        <v>0</v>
      </c>
      <c r="Z25" s="571"/>
      <c r="AB25" s="187"/>
    </row>
    <row r="26" spans="1:28" s="183" customFormat="1" ht="15.75" customHeight="1">
      <c r="A26" s="376">
        <f t="shared" si="2"/>
        <v>160</v>
      </c>
      <c r="B26" s="377" t="s">
        <v>398</v>
      </c>
      <c r="C26" s="570">
        <f t="shared" si="13"/>
        <v>937248651</v>
      </c>
      <c r="D26" s="543">
        <v>136444450</v>
      </c>
      <c r="E26" s="543">
        <v>800804201</v>
      </c>
      <c r="F26" s="570">
        <f t="shared" si="15"/>
        <v>12655935</v>
      </c>
      <c r="G26" s="543">
        <v>3240237</v>
      </c>
      <c r="H26" s="543">
        <v>3958673</v>
      </c>
      <c r="I26" s="543">
        <v>5457025</v>
      </c>
      <c r="J26" s="543">
        <v>1386921</v>
      </c>
      <c r="K26" s="543">
        <v>0</v>
      </c>
      <c r="L26" s="543">
        <v>0</v>
      </c>
      <c r="M26" s="543">
        <v>19549512</v>
      </c>
      <c r="N26" s="543">
        <v>0</v>
      </c>
      <c r="O26" s="570">
        <f t="shared" si="14"/>
        <v>514734268</v>
      </c>
      <c r="P26" s="543">
        <v>0</v>
      </c>
      <c r="Q26" s="543">
        <v>514734268</v>
      </c>
      <c r="R26" s="543">
        <v>48530925</v>
      </c>
      <c r="S26" s="543">
        <v>0</v>
      </c>
      <c r="T26" s="543">
        <v>0</v>
      </c>
      <c r="U26" s="543">
        <v>229726</v>
      </c>
      <c r="V26" s="543">
        <v>102162742</v>
      </c>
      <c r="W26" s="543">
        <v>249964819</v>
      </c>
      <c r="X26" s="543">
        <v>689738</v>
      </c>
      <c r="Y26" s="543">
        <v>0</v>
      </c>
      <c r="Z26" s="571"/>
      <c r="AB26" s="187"/>
    </row>
    <row r="27" spans="1:28" s="183" customFormat="1" ht="15.75" customHeight="1">
      <c r="A27" s="376">
        <f t="shared" si="2"/>
        <v>170</v>
      </c>
      <c r="B27" s="377" t="s">
        <v>394</v>
      </c>
      <c r="C27" s="570">
        <f t="shared" si="13"/>
        <v>0</v>
      </c>
      <c r="D27" s="543">
        <v>0</v>
      </c>
      <c r="E27" s="543">
        <v>0</v>
      </c>
      <c r="F27" s="570">
        <f t="shared" si="15"/>
        <v>0</v>
      </c>
      <c r="G27" s="543">
        <v>0</v>
      </c>
      <c r="H27" s="543">
        <v>0</v>
      </c>
      <c r="I27" s="543">
        <v>0</v>
      </c>
      <c r="J27" s="543">
        <v>0</v>
      </c>
      <c r="K27" s="543">
        <v>0</v>
      </c>
      <c r="L27" s="543">
        <v>0</v>
      </c>
      <c r="M27" s="543">
        <v>0</v>
      </c>
      <c r="N27" s="543">
        <v>0</v>
      </c>
      <c r="O27" s="570">
        <f t="shared" si="14"/>
        <v>0</v>
      </c>
      <c r="P27" s="543">
        <v>0</v>
      </c>
      <c r="Q27" s="543">
        <v>0</v>
      </c>
      <c r="R27" s="543">
        <v>0</v>
      </c>
      <c r="S27" s="543">
        <v>0</v>
      </c>
      <c r="T27" s="543">
        <v>0</v>
      </c>
      <c r="U27" s="543">
        <v>0</v>
      </c>
      <c r="V27" s="543">
        <v>0</v>
      </c>
      <c r="W27" s="543">
        <v>0</v>
      </c>
      <c r="X27" s="543">
        <v>0</v>
      </c>
      <c r="Y27" s="543">
        <v>0</v>
      </c>
      <c r="Z27" s="571"/>
      <c r="AB27" s="187"/>
    </row>
    <row r="28" spans="1:28" s="183" customFormat="1" ht="15.75" customHeight="1">
      <c r="A28" s="376">
        <f>A27+10</f>
        <v>180</v>
      </c>
      <c r="B28" s="378" t="s">
        <v>645</v>
      </c>
      <c r="C28" s="570">
        <f t="shared" si="13"/>
        <v>0</v>
      </c>
      <c r="D28" s="543">
        <v>0</v>
      </c>
      <c r="E28" s="543">
        <v>0</v>
      </c>
      <c r="F28" s="570">
        <f t="shared" si="15"/>
        <v>0</v>
      </c>
      <c r="G28" s="543">
        <v>0</v>
      </c>
      <c r="H28" s="543">
        <v>0</v>
      </c>
      <c r="I28" s="543">
        <v>0</v>
      </c>
      <c r="J28" s="543">
        <v>0</v>
      </c>
      <c r="K28" s="543">
        <v>0</v>
      </c>
      <c r="L28" s="543">
        <v>0</v>
      </c>
      <c r="M28" s="543">
        <v>0</v>
      </c>
      <c r="N28" s="543">
        <v>0</v>
      </c>
      <c r="O28" s="570">
        <f t="shared" si="14"/>
        <v>0</v>
      </c>
      <c r="P28" s="543">
        <v>0</v>
      </c>
      <c r="Q28" s="543">
        <v>0</v>
      </c>
      <c r="R28" s="543">
        <v>0</v>
      </c>
      <c r="S28" s="543">
        <v>0</v>
      </c>
      <c r="T28" s="543">
        <v>0</v>
      </c>
      <c r="U28" s="543">
        <v>0</v>
      </c>
      <c r="V28" s="543">
        <v>0</v>
      </c>
      <c r="W28" s="543">
        <v>0</v>
      </c>
      <c r="X28" s="543">
        <v>0</v>
      </c>
      <c r="Y28" s="543">
        <v>0</v>
      </c>
      <c r="Z28" s="571"/>
      <c r="AB28" s="187"/>
    </row>
    <row r="29" spans="1:28" s="413" customFormat="1" ht="15.75" customHeight="1">
      <c r="A29" s="412">
        <f>A28+10</f>
        <v>190</v>
      </c>
      <c r="B29" s="412" t="s">
        <v>232</v>
      </c>
      <c r="C29" s="572">
        <f t="shared" si="13"/>
        <v>2880350762</v>
      </c>
      <c r="D29" s="572">
        <f>SUM(D24:D28)</f>
        <v>299548369</v>
      </c>
      <c r="E29" s="572">
        <f>SUM(E24:E28)</f>
        <v>2580802393</v>
      </c>
      <c r="F29" s="572">
        <f t="shared" si="15"/>
        <v>12655935</v>
      </c>
      <c r="G29" s="572">
        <f t="shared" ref="G29:I29" si="16">SUM(G24:G28)</f>
        <v>3240237</v>
      </c>
      <c r="H29" s="572">
        <f t="shared" si="16"/>
        <v>3958673</v>
      </c>
      <c r="I29" s="572">
        <f t="shared" si="16"/>
        <v>5457025</v>
      </c>
      <c r="J29" s="572">
        <f t="shared" ref="J29:Y29" si="17">SUM(J24:J28)</f>
        <v>2586921</v>
      </c>
      <c r="K29" s="572">
        <f t="shared" si="17"/>
        <v>568195595</v>
      </c>
      <c r="L29" s="572">
        <f t="shared" si="17"/>
        <v>521388245</v>
      </c>
      <c r="M29" s="572">
        <f t="shared" si="17"/>
        <v>19549512</v>
      </c>
      <c r="N29" s="572">
        <f t="shared" si="17"/>
        <v>0</v>
      </c>
      <c r="O29" s="572">
        <f t="shared" si="17"/>
        <v>775660943</v>
      </c>
      <c r="P29" s="572">
        <f t="shared" si="17"/>
        <v>0</v>
      </c>
      <c r="Q29" s="572">
        <f t="shared" si="17"/>
        <v>775660943</v>
      </c>
      <c r="R29" s="572">
        <f t="shared" si="17"/>
        <v>48530925</v>
      </c>
      <c r="S29" s="572">
        <f t="shared" si="17"/>
        <v>0</v>
      </c>
      <c r="T29" s="572">
        <f t="shared" si="17"/>
        <v>0</v>
      </c>
      <c r="U29" s="572">
        <f t="shared" si="17"/>
        <v>229726</v>
      </c>
      <c r="V29" s="572">
        <f t="shared" si="17"/>
        <v>905505202</v>
      </c>
      <c r="W29" s="572">
        <f t="shared" si="17"/>
        <v>559402200</v>
      </c>
      <c r="X29" s="572">
        <f t="shared" si="17"/>
        <v>689738</v>
      </c>
      <c r="Y29" s="572">
        <f t="shared" si="17"/>
        <v>0</v>
      </c>
      <c r="Z29" s="573"/>
      <c r="AB29" s="414"/>
    </row>
    <row r="30" spans="1:28" s="183" customFormat="1" ht="15.75" customHeight="1">
      <c r="A30" s="370"/>
      <c r="B30" s="374" t="s">
        <v>466</v>
      </c>
      <c r="C30" s="574"/>
      <c r="D30" s="574"/>
      <c r="E30" s="574"/>
      <c r="F30" s="574"/>
      <c r="G30" s="575"/>
      <c r="H30" s="574"/>
      <c r="I30" s="574"/>
      <c r="J30" s="574"/>
      <c r="K30" s="574"/>
      <c r="L30" s="574"/>
      <c r="M30" s="574"/>
      <c r="N30" s="574"/>
      <c r="O30" s="574"/>
      <c r="P30" s="574"/>
      <c r="Q30" s="574"/>
      <c r="R30" s="574"/>
      <c r="S30" s="574"/>
      <c r="T30" s="574"/>
      <c r="U30" s="574"/>
      <c r="V30" s="574"/>
      <c r="W30" s="574"/>
      <c r="X30" s="574"/>
      <c r="Y30" s="574"/>
      <c r="Z30" s="571"/>
      <c r="AB30" s="187"/>
    </row>
    <row r="31" spans="1:28" s="183" customFormat="1" ht="15.75" customHeight="1">
      <c r="A31" s="376">
        <v>200</v>
      </c>
      <c r="B31" s="377" t="s">
        <v>640</v>
      </c>
      <c r="C31" s="570">
        <f t="shared" ref="C31:C36" si="18">SUM(J31:Y31)-L31-P31-Q31</f>
        <v>123299477</v>
      </c>
      <c r="D31" s="543">
        <v>123299477</v>
      </c>
      <c r="E31" s="543">
        <v>0</v>
      </c>
      <c r="F31" s="570">
        <f>+G31+H31+I31</f>
        <v>0</v>
      </c>
      <c r="G31" s="543">
        <v>0</v>
      </c>
      <c r="H31" s="543">
        <v>0</v>
      </c>
      <c r="I31" s="543">
        <v>0</v>
      </c>
      <c r="J31" s="543">
        <v>0</v>
      </c>
      <c r="K31" s="543">
        <v>0</v>
      </c>
      <c r="L31" s="543">
        <v>0</v>
      </c>
      <c r="M31" s="543">
        <v>0</v>
      </c>
      <c r="N31" s="543">
        <v>0</v>
      </c>
      <c r="O31" s="570">
        <f t="shared" ref="O31:O35" si="19">+P31+Q31</f>
        <v>123299477</v>
      </c>
      <c r="P31" s="543">
        <v>0</v>
      </c>
      <c r="Q31" s="543">
        <v>123299477</v>
      </c>
      <c r="R31" s="543">
        <v>0</v>
      </c>
      <c r="S31" s="543">
        <v>0</v>
      </c>
      <c r="T31" s="543">
        <v>0</v>
      </c>
      <c r="U31" s="543">
        <v>0</v>
      </c>
      <c r="V31" s="543">
        <v>0</v>
      </c>
      <c r="W31" s="543">
        <v>0</v>
      </c>
      <c r="X31" s="543">
        <v>0</v>
      </c>
      <c r="Y31" s="543">
        <v>0</v>
      </c>
      <c r="Z31" s="571"/>
      <c r="AB31" s="187"/>
    </row>
    <row r="32" spans="1:28" s="183" customFormat="1" ht="15.75" customHeight="1">
      <c r="A32" s="376">
        <f t="shared" si="2"/>
        <v>210</v>
      </c>
      <c r="B32" s="377" t="s">
        <v>397</v>
      </c>
      <c r="C32" s="570">
        <f t="shared" si="18"/>
        <v>334812</v>
      </c>
      <c r="D32" s="543">
        <v>260268</v>
      </c>
      <c r="E32" s="543">
        <v>74544</v>
      </c>
      <c r="F32" s="570">
        <f t="shared" ref="F32:F36" si="20">+G32+H32+I32</f>
        <v>146802</v>
      </c>
      <c r="G32" s="543">
        <v>0</v>
      </c>
      <c r="H32" s="543">
        <v>0</v>
      </c>
      <c r="I32" s="543">
        <v>146802</v>
      </c>
      <c r="J32" s="543">
        <v>0</v>
      </c>
      <c r="K32" s="543">
        <v>0</v>
      </c>
      <c r="L32" s="543">
        <v>0</v>
      </c>
      <c r="M32" s="543">
        <v>95252</v>
      </c>
      <c r="N32" s="543">
        <v>0</v>
      </c>
      <c r="O32" s="570">
        <f t="shared" si="19"/>
        <v>56733</v>
      </c>
      <c r="P32" s="543">
        <v>0</v>
      </c>
      <c r="Q32" s="543">
        <v>56733</v>
      </c>
      <c r="R32" s="543">
        <v>0</v>
      </c>
      <c r="S32" s="543">
        <v>0</v>
      </c>
      <c r="T32" s="543">
        <v>0</v>
      </c>
      <c r="U32" s="543">
        <v>0</v>
      </c>
      <c r="V32" s="543">
        <v>92979</v>
      </c>
      <c r="W32" s="543">
        <v>89848</v>
      </c>
      <c r="X32" s="543">
        <v>0</v>
      </c>
      <c r="Y32" s="543">
        <v>0</v>
      </c>
      <c r="Z32" s="571"/>
      <c r="AB32" s="187"/>
    </row>
    <row r="33" spans="1:28" s="183" customFormat="1" ht="15.75" customHeight="1">
      <c r="A33" s="376">
        <f t="shared" si="2"/>
        <v>220</v>
      </c>
      <c r="B33" s="377" t="s">
        <v>398</v>
      </c>
      <c r="C33" s="570">
        <f t="shared" si="18"/>
        <v>2625340231</v>
      </c>
      <c r="D33" s="543">
        <v>790913039</v>
      </c>
      <c r="E33" s="543">
        <v>1834427192</v>
      </c>
      <c r="F33" s="570">
        <f t="shared" si="20"/>
        <v>215087014</v>
      </c>
      <c r="G33" s="543">
        <v>10053338</v>
      </c>
      <c r="H33" s="543">
        <v>9809195</v>
      </c>
      <c r="I33" s="543">
        <v>195224481</v>
      </c>
      <c r="J33" s="543">
        <v>2481120</v>
      </c>
      <c r="K33" s="543">
        <v>0</v>
      </c>
      <c r="L33" s="543">
        <v>0</v>
      </c>
      <c r="M33" s="543">
        <v>25053533</v>
      </c>
      <c r="N33" s="543">
        <v>0</v>
      </c>
      <c r="O33" s="570">
        <f t="shared" si="19"/>
        <v>1379498500</v>
      </c>
      <c r="P33" s="543">
        <v>1871142</v>
      </c>
      <c r="Q33" s="543">
        <v>1377627358</v>
      </c>
      <c r="R33" s="543">
        <v>30023437</v>
      </c>
      <c r="S33" s="543">
        <v>0</v>
      </c>
      <c r="T33" s="543">
        <v>0</v>
      </c>
      <c r="U33" s="543">
        <v>11852172</v>
      </c>
      <c r="V33" s="543">
        <v>403432859</v>
      </c>
      <c r="W33" s="543">
        <v>768901418</v>
      </c>
      <c r="X33" s="543">
        <v>0</v>
      </c>
      <c r="Y33" s="543">
        <v>4097192</v>
      </c>
      <c r="Z33" s="571"/>
      <c r="AB33" s="187"/>
    </row>
    <row r="34" spans="1:28" s="183" customFormat="1" ht="15.75" customHeight="1">
      <c r="A34" s="376">
        <f t="shared" si="2"/>
        <v>230</v>
      </c>
      <c r="B34" s="377" t="s">
        <v>394</v>
      </c>
      <c r="C34" s="570">
        <f t="shared" si="18"/>
        <v>0</v>
      </c>
      <c r="D34" s="543">
        <v>0</v>
      </c>
      <c r="E34" s="543">
        <v>0</v>
      </c>
      <c r="F34" s="570">
        <f t="shared" si="20"/>
        <v>0</v>
      </c>
      <c r="G34" s="543">
        <v>0</v>
      </c>
      <c r="H34" s="543">
        <v>0</v>
      </c>
      <c r="I34" s="543">
        <v>0</v>
      </c>
      <c r="J34" s="543">
        <v>0</v>
      </c>
      <c r="K34" s="543">
        <v>0</v>
      </c>
      <c r="L34" s="543">
        <v>0</v>
      </c>
      <c r="M34" s="543">
        <v>0</v>
      </c>
      <c r="N34" s="543">
        <v>0</v>
      </c>
      <c r="O34" s="570">
        <f t="shared" si="19"/>
        <v>0</v>
      </c>
      <c r="P34" s="543">
        <v>0</v>
      </c>
      <c r="Q34" s="543">
        <v>0</v>
      </c>
      <c r="R34" s="543">
        <v>0</v>
      </c>
      <c r="S34" s="543">
        <v>0</v>
      </c>
      <c r="T34" s="543">
        <v>0</v>
      </c>
      <c r="U34" s="543">
        <v>0</v>
      </c>
      <c r="V34" s="543">
        <v>0</v>
      </c>
      <c r="W34" s="543">
        <v>0</v>
      </c>
      <c r="X34" s="543">
        <v>0</v>
      </c>
      <c r="Y34" s="543">
        <v>0</v>
      </c>
      <c r="Z34" s="571"/>
      <c r="AB34" s="187"/>
    </row>
    <row r="35" spans="1:28" s="183" customFormat="1" ht="15.75" customHeight="1">
      <c r="A35" s="376">
        <f>A34+10</f>
        <v>240</v>
      </c>
      <c r="B35" s="377" t="s">
        <v>645</v>
      </c>
      <c r="C35" s="570">
        <f t="shared" si="18"/>
        <v>0</v>
      </c>
      <c r="D35" s="543">
        <v>0</v>
      </c>
      <c r="E35" s="543">
        <v>0</v>
      </c>
      <c r="F35" s="570">
        <f t="shared" si="20"/>
        <v>0</v>
      </c>
      <c r="G35" s="543">
        <v>0</v>
      </c>
      <c r="H35" s="543">
        <v>0</v>
      </c>
      <c r="I35" s="543">
        <v>0</v>
      </c>
      <c r="J35" s="543">
        <v>0</v>
      </c>
      <c r="K35" s="543">
        <v>0</v>
      </c>
      <c r="L35" s="543">
        <v>0</v>
      </c>
      <c r="M35" s="543">
        <v>0</v>
      </c>
      <c r="N35" s="543">
        <v>0</v>
      </c>
      <c r="O35" s="570">
        <f t="shared" si="19"/>
        <v>0</v>
      </c>
      <c r="P35" s="543">
        <v>0</v>
      </c>
      <c r="Q35" s="543">
        <v>0</v>
      </c>
      <c r="R35" s="543">
        <v>0</v>
      </c>
      <c r="S35" s="543">
        <v>0</v>
      </c>
      <c r="T35" s="543">
        <v>0</v>
      </c>
      <c r="U35" s="543">
        <v>0</v>
      </c>
      <c r="V35" s="543">
        <v>0</v>
      </c>
      <c r="W35" s="543">
        <v>0</v>
      </c>
      <c r="X35" s="543">
        <v>0</v>
      </c>
      <c r="Y35" s="543">
        <v>0</v>
      </c>
      <c r="Z35" s="571"/>
      <c r="AB35" s="187"/>
    </row>
    <row r="36" spans="1:28" s="413" customFormat="1" ht="15.75" customHeight="1">
      <c r="A36" s="412">
        <f>A35+10</f>
        <v>250</v>
      </c>
      <c r="B36" s="412" t="s">
        <v>232</v>
      </c>
      <c r="C36" s="572">
        <f t="shared" si="18"/>
        <v>2748974520</v>
      </c>
      <c r="D36" s="572">
        <f>SUM(D31:D35)</f>
        <v>914472784</v>
      </c>
      <c r="E36" s="572">
        <f>SUM(E31:E35)</f>
        <v>1834501736</v>
      </c>
      <c r="F36" s="572">
        <f t="shared" si="20"/>
        <v>215233816</v>
      </c>
      <c r="G36" s="572">
        <f t="shared" ref="G36:I36" si="21">SUM(G31:G35)</f>
        <v>10053338</v>
      </c>
      <c r="H36" s="572">
        <f t="shared" si="21"/>
        <v>9809195</v>
      </c>
      <c r="I36" s="572">
        <f t="shared" si="21"/>
        <v>195371283</v>
      </c>
      <c r="J36" s="572">
        <f t="shared" ref="J36:Y36" si="22">SUM(J31:J35)</f>
        <v>2481120</v>
      </c>
      <c r="K36" s="572">
        <f t="shared" si="22"/>
        <v>0</v>
      </c>
      <c r="L36" s="572">
        <f t="shared" si="22"/>
        <v>0</v>
      </c>
      <c r="M36" s="572">
        <f t="shared" si="22"/>
        <v>25148785</v>
      </c>
      <c r="N36" s="572">
        <f t="shared" si="22"/>
        <v>0</v>
      </c>
      <c r="O36" s="572">
        <f t="shared" si="22"/>
        <v>1502854710</v>
      </c>
      <c r="P36" s="572">
        <f t="shared" si="22"/>
        <v>1871142</v>
      </c>
      <c r="Q36" s="572">
        <f t="shared" si="22"/>
        <v>1500983568</v>
      </c>
      <c r="R36" s="572">
        <f t="shared" si="22"/>
        <v>30023437</v>
      </c>
      <c r="S36" s="572">
        <f t="shared" si="22"/>
        <v>0</v>
      </c>
      <c r="T36" s="572">
        <f t="shared" si="22"/>
        <v>0</v>
      </c>
      <c r="U36" s="572">
        <f t="shared" si="22"/>
        <v>11852172</v>
      </c>
      <c r="V36" s="572">
        <f t="shared" si="22"/>
        <v>403525838</v>
      </c>
      <c r="W36" s="572">
        <f t="shared" si="22"/>
        <v>768991266</v>
      </c>
      <c r="X36" s="572">
        <f t="shared" si="22"/>
        <v>0</v>
      </c>
      <c r="Y36" s="572">
        <f t="shared" si="22"/>
        <v>4097192</v>
      </c>
      <c r="Z36" s="573"/>
      <c r="AB36" s="414"/>
    </row>
    <row r="37" spans="1:28" s="183" customFormat="1" ht="15.75" customHeight="1">
      <c r="A37" s="370"/>
      <c r="B37" s="374" t="s">
        <v>467</v>
      </c>
      <c r="C37" s="574"/>
      <c r="D37" s="574"/>
      <c r="E37" s="574"/>
      <c r="F37" s="574"/>
      <c r="G37" s="575"/>
      <c r="H37" s="574"/>
      <c r="I37" s="574"/>
      <c r="J37" s="574"/>
      <c r="K37" s="574"/>
      <c r="L37" s="574"/>
      <c r="M37" s="574"/>
      <c r="N37" s="574"/>
      <c r="O37" s="574"/>
      <c r="P37" s="574"/>
      <c r="Q37" s="574"/>
      <c r="R37" s="574"/>
      <c r="S37" s="574"/>
      <c r="T37" s="574"/>
      <c r="U37" s="574"/>
      <c r="V37" s="574"/>
      <c r="W37" s="574"/>
      <c r="X37" s="574"/>
      <c r="Y37" s="574"/>
      <c r="Z37" s="571"/>
      <c r="AB37" s="187"/>
    </row>
    <row r="38" spans="1:28" s="183" customFormat="1" ht="15.75" customHeight="1">
      <c r="A38" s="376">
        <v>260</v>
      </c>
      <c r="B38" s="377" t="s">
        <v>640</v>
      </c>
      <c r="C38" s="570">
        <f t="shared" ref="C38:C42" si="23">SUM(J38:Y38)-L38-P38-Q38</f>
        <v>0</v>
      </c>
      <c r="D38" s="543">
        <v>0</v>
      </c>
      <c r="E38" s="543">
        <v>0</v>
      </c>
      <c r="F38" s="570">
        <f>+G38+H38+I38</f>
        <v>0</v>
      </c>
      <c r="G38" s="543">
        <v>0</v>
      </c>
      <c r="H38" s="543">
        <v>0</v>
      </c>
      <c r="I38" s="543">
        <v>0</v>
      </c>
      <c r="J38" s="543">
        <v>0</v>
      </c>
      <c r="K38" s="543">
        <v>0</v>
      </c>
      <c r="L38" s="543">
        <v>0</v>
      </c>
      <c r="M38" s="543">
        <v>0</v>
      </c>
      <c r="N38" s="543">
        <v>0</v>
      </c>
      <c r="O38" s="570">
        <f t="shared" ref="O38:O42" si="24">+P38+Q38</f>
        <v>0</v>
      </c>
      <c r="P38" s="543">
        <v>0</v>
      </c>
      <c r="Q38" s="543">
        <v>0</v>
      </c>
      <c r="R38" s="543">
        <v>0</v>
      </c>
      <c r="S38" s="543">
        <v>0</v>
      </c>
      <c r="T38" s="543">
        <v>0</v>
      </c>
      <c r="U38" s="543">
        <v>0</v>
      </c>
      <c r="V38" s="543">
        <v>0</v>
      </c>
      <c r="W38" s="543">
        <v>0</v>
      </c>
      <c r="X38" s="543">
        <v>0</v>
      </c>
      <c r="Y38" s="543">
        <v>0</v>
      </c>
      <c r="Z38" s="571"/>
      <c r="AB38" s="187"/>
    </row>
    <row r="39" spans="1:28" s="183" customFormat="1" ht="15.75" customHeight="1">
      <c r="A39" s="376">
        <f t="shared" si="2"/>
        <v>270</v>
      </c>
      <c r="B39" s="377" t="s">
        <v>397</v>
      </c>
      <c r="C39" s="570">
        <f t="shared" si="23"/>
        <v>220650469</v>
      </c>
      <c r="D39" s="543">
        <v>5364781</v>
      </c>
      <c r="E39" s="543">
        <v>215285688</v>
      </c>
      <c r="F39" s="570">
        <f t="shared" ref="F39:F43" si="25">+G39+H39+I39</f>
        <v>0</v>
      </c>
      <c r="G39" s="543">
        <v>0</v>
      </c>
      <c r="H39" s="543">
        <v>0</v>
      </c>
      <c r="I39" s="543">
        <v>0</v>
      </c>
      <c r="J39" s="543">
        <v>175294</v>
      </c>
      <c r="K39" s="543">
        <v>0</v>
      </c>
      <c r="L39" s="543">
        <v>0</v>
      </c>
      <c r="M39" s="543">
        <v>5720102</v>
      </c>
      <c r="N39" s="543">
        <v>0</v>
      </c>
      <c r="O39" s="570">
        <f t="shared" si="24"/>
        <v>50744108</v>
      </c>
      <c r="P39" s="543">
        <v>0</v>
      </c>
      <c r="Q39" s="543">
        <v>50744108</v>
      </c>
      <c r="R39" s="543">
        <v>12352922</v>
      </c>
      <c r="S39" s="543">
        <v>0</v>
      </c>
      <c r="T39" s="543">
        <v>0</v>
      </c>
      <c r="U39" s="543">
        <v>2035891</v>
      </c>
      <c r="V39" s="543">
        <v>136098170</v>
      </c>
      <c r="W39" s="543">
        <v>12617887</v>
      </c>
      <c r="X39" s="543">
        <v>0</v>
      </c>
      <c r="Y39" s="543">
        <v>906095</v>
      </c>
      <c r="Z39" s="571"/>
      <c r="AB39" s="187"/>
    </row>
    <row r="40" spans="1:28" s="183" customFormat="1" ht="15.75" customHeight="1">
      <c r="A40" s="376">
        <f t="shared" si="2"/>
        <v>280</v>
      </c>
      <c r="B40" s="377" t="s">
        <v>398</v>
      </c>
      <c r="C40" s="570">
        <f t="shared" si="23"/>
        <v>3790891657</v>
      </c>
      <c r="D40" s="543">
        <v>943979659</v>
      </c>
      <c r="E40" s="543">
        <v>2846911998</v>
      </c>
      <c r="F40" s="570">
        <f t="shared" si="25"/>
        <v>393468578</v>
      </c>
      <c r="G40" s="543">
        <v>47877975</v>
      </c>
      <c r="H40" s="543">
        <v>224581757</v>
      </c>
      <c r="I40" s="543">
        <v>121008846</v>
      </c>
      <c r="J40" s="543">
        <v>26469780</v>
      </c>
      <c r="K40" s="543">
        <v>0</v>
      </c>
      <c r="L40" s="543">
        <v>0</v>
      </c>
      <c r="M40" s="543">
        <v>91525448</v>
      </c>
      <c r="N40" s="543">
        <v>20493537</v>
      </c>
      <c r="O40" s="570">
        <f t="shared" si="24"/>
        <v>1642272928</v>
      </c>
      <c r="P40" s="543">
        <v>5523454</v>
      </c>
      <c r="Q40" s="543">
        <v>1636749474</v>
      </c>
      <c r="R40" s="543">
        <v>92952200</v>
      </c>
      <c r="S40" s="543">
        <v>0</v>
      </c>
      <c r="T40" s="543">
        <v>0</v>
      </c>
      <c r="U40" s="543">
        <v>0</v>
      </c>
      <c r="V40" s="543">
        <v>524897993</v>
      </c>
      <c r="W40" s="543">
        <v>1132964917</v>
      </c>
      <c r="X40" s="543">
        <v>92604751</v>
      </c>
      <c r="Y40" s="543">
        <v>166710103</v>
      </c>
      <c r="Z40" s="571"/>
      <c r="AB40" s="187"/>
    </row>
    <row r="41" spans="1:28" s="183" customFormat="1" ht="15.75" customHeight="1">
      <c r="A41" s="376">
        <f t="shared" si="2"/>
        <v>290</v>
      </c>
      <c r="B41" s="377" t="s">
        <v>394</v>
      </c>
      <c r="C41" s="570">
        <f t="shared" si="23"/>
        <v>0</v>
      </c>
      <c r="D41" s="543">
        <v>0</v>
      </c>
      <c r="E41" s="543">
        <v>0</v>
      </c>
      <c r="F41" s="570">
        <f t="shared" si="25"/>
        <v>0</v>
      </c>
      <c r="G41" s="543">
        <v>0</v>
      </c>
      <c r="H41" s="543">
        <v>0</v>
      </c>
      <c r="I41" s="543">
        <v>0</v>
      </c>
      <c r="J41" s="543">
        <v>0</v>
      </c>
      <c r="K41" s="543">
        <v>0</v>
      </c>
      <c r="L41" s="543">
        <v>0</v>
      </c>
      <c r="M41" s="543">
        <v>0</v>
      </c>
      <c r="N41" s="543">
        <v>0</v>
      </c>
      <c r="O41" s="570">
        <f t="shared" si="24"/>
        <v>0</v>
      </c>
      <c r="P41" s="543">
        <v>0</v>
      </c>
      <c r="Q41" s="543">
        <v>0</v>
      </c>
      <c r="R41" s="543">
        <v>0</v>
      </c>
      <c r="S41" s="543">
        <v>0</v>
      </c>
      <c r="T41" s="543">
        <v>0</v>
      </c>
      <c r="U41" s="543">
        <v>0</v>
      </c>
      <c r="V41" s="543">
        <v>0</v>
      </c>
      <c r="W41" s="543">
        <v>0</v>
      </c>
      <c r="X41" s="543">
        <v>0</v>
      </c>
      <c r="Y41" s="543">
        <v>0</v>
      </c>
      <c r="Z41" s="571"/>
      <c r="AB41" s="187"/>
    </row>
    <row r="42" spans="1:28" s="183" customFormat="1" ht="15.75" customHeight="1">
      <c r="A42" s="376">
        <f>A41+10</f>
        <v>300</v>
      </c>
      <c r="B42" s="377" t="s">
        <v>645</v>
      </c>
      <c r="C42" s="570">
        <f t="shared" si="23"/>
        <v>0</v>
      </c>
      <c r="D42" s="543">
        <v>0</v>
      </c>
      <c r="E42" s="543">
        <v>0</v>
      </c>
      <c r="F42" s="570">
        <f t="shared" si="25"/>
        <v>0</v>
      </c>
      <c r="G42" s="543">
        <v>0</v>
      </c>
      <c r="H42" s="543">
        <v>0</v>
      </c>
      <c r="I42" s="543">
        <v>0</v>
      </c>
      <c r="J42" s="543">
        <v>0</v>
      </c>
      <c r="K42" s="543">
        <v>0</v>
      </c>
      <c r="L42" s="543">
        <v>0</v>
      </c>
      <c r="M42" s="543">
        <v>0</v>
      </c>
      <c r="N42" s="543">
        <v>0</v>
      </c>
      <c r="O42" s="570">
        <f t="shared" si="24"/>
        <v>0</v>
      </c>
      <c r="P42" s="543">
        <v>0</v>
      </c>
      <c r="Q42" s="543">
        <v>0</v>
      </c>
      <c r="R42" s="543">
        <v>0</v>
      </c>
      <c r="S42" s="543">
        <v>0</v>
      </c>
      <c r="T42" s="543">
        <v>0</v>
      </c>
      <c r="U42" s="543">
        <v>0</v>
      </c>
      <c r="V42" s="543">
        <v>0</v>
      </c>
      <c r="W42" s="543">
        <v>0</v>
      </c>
      <c r="X42" s="543">
        <v>0</v>
      </c>
      <c r="Y42" s="543">
        <v>0</v>
      </c>
      <c r="Z42" s="571"/>
      <c r="AB42" s="187"/>
    </row>
    <row r="43" spans="1:28" s="413" customFormat="1" ht="15.75" customHeight="1">
      <c r="A43" s="412">
        <f>A42+10</f>
        <v>310</v>
      </c>
      <c r="B43" s="412" t="s">
        <v>232</v>
      </c>
      <c r="C43" s="572">
        <f t="shared" ref="C43" si="26">SUM(J43:Y43)-L43-P43-Q43</f>
        <v>4011542126</v>
      </c>
      <c r="D43" s="572">
        <f>SUM(D38:D42)</f>
        <v>949344440</v>
      </c>
      <c r="E43" s="572">
        <f>SUM(E38:E42)</f>
        <v>3062197686</v>
      </c>
      <c r="F43" s="572">
        <f t="shared" si="25"/>
        <v>393468578</v>
      </c>
      <c r="G43" s="572">
        <f t="shared" ref="G43:I43" si="27">SUM(G38:G42)</f>
        <v>47877975</v>
      </c>
      <c r="H43" s="572">
        <f t="shared" si="27"/>
        <v>224581757</v>
      </c>
      <c r="I43" s="572">
        <f t="shared" si="27"/>
        <v>121008846</v>
      </c>
      <c r="J43" s="572">
        <f t="shared" ref="J43:Y43" si="28">SUM(J38:J42)</f>
        <v>26645074</v>
      </c>
      <c r="K43" s="572">
        <f t="shared" si="28"/>
        <v>0</v>
      </c>
      <c r="L43" s="572">
        <f t="shared" si="28"/>
        <v>0</v>
      </c>
      <c r="M43" s="572">
        <f t="shared" si="28"/>
        <v>97245550</v>
      </c>
      <c r="N43" s="572">
        <f t="shared" si="28"/>
        <v>20493537</v>
      </c>
      <c r="O43" s="572">
        <f t="shared" si="28"/>
        <v>1693017036</v>
      </c>
      <c r="P43" s="572">
        <f t="shared" si="28"/>
        <v>5523454</v>
      </c>
      <c r="Q43" s="572">
        <f t="shared" si="28"/>
        <v>1687493582</v>
      </c>
      <c r="R43" s="572">
        <f t="shared" si="28"/>
        <v>105305122</v>
      </c>
      <c r="S43" s="572">
        <f t="shared" si="28"/>
        <v>0</v>
      </c>
      <c r="T43" s="572">
        <f t="shared" si="28"/>
        <v>0</v>
      </c>
      <c r="U43" s="572">
        <f t="shared" si="28"/>
        <v>2035891</v>
      </c>
      <c r="V43" s="572">
        <f t="shared" si="28"/>
        <v>660996163</v>
      </c>
      <c r="W43" s="572">
        <f t="shared" si="28"/>
        <v>1145582804</v>
      </c>
      <c r="X43" s="572">
        <f t="shared" si="28"/>
        <v>92604751</v>
      </c>
      <c r="Y43" s="572">
        <f t="shared" si="28"/>
        <v>167616198</v>
      </c>
      <c r="Z43" s="573"/>
      <c r="AB43" s="414"/>
    </row>
    <row r="44" spans="1:28" s="183" customFormat="1" ht="15.75" customHeight="1">
      <c r="A44" s="370"/>
      <c r="B44" s="374" t="s">
        <v>468</v>
      </c>
      <c r="C44" s="574"/>
      <c r="D44" s="574"/>
      <c r="E44" s="574"/>
      <c r="F44" s="574"/>
      <c r="G44" s="575"/>
      <c r="H44" s="574"/>
      <c r="I44" s="574"/>
      <c r="J44" s="574"/>
      <c r="K44" s="574"/>
      <c r="L44" s="574"/>
      <c r="M44" s="574"/>
      <c r="N44" s="574"/>
      <c r="O44" s="574"/>
      <c r="P44" s="574"/>
      <c r="Q44" s="574"/>
      <c r="R44" s="574"/>
      <c r="S44" s="574"/>
      <c r="T44" s="574"/>
      <c r="U44" s="574"/>
      <c r="V44" s="574"/>
      <c r="W44" s="574"/>
      <c r="X44" s="574"/>
      <c r="Y44" s="574"/>
      <c r="Z44" s="571"/>
      <c r="AB44" s="187"/>
    </row>
    <row r="45" spans="1:28" s="183" customFormat="1" ht="15.75" customHeight="1">
      <c r="A45" s="376">
        <v>320</v>
      </c>
      <c r="B45" s="377" t="s">
        <v>640</v>
      </c>
      <c r="C45" s="570">
        <f t="shared" ref="C45:C50" si="29">SUM(J45:Y45)-L45-P45-Q45</f>
        <v>1528552698</v>
      </c>
      <c r="D45" s="543">
        <v>1344048060</v>
      </c>
      <c r="E45" s="543">
        <v>184504638</v>
      </c>
      <c r="F45" s="570">
        <f>+G45+H45+I45</f>
        <v>0</v>
      </c>
      <c r="G45" s="543">
        <v>0</v>
      </c>
      <c r="H45" s="543">
        <v>0</v>
      </c>
      <c r="I45" s="543">
        <v>0</v>
      </c>
      <c r="J45" s="543">
        <v>0</v>
      </c>
      <c r="K45" s="543">
        <v>0</v>
      </c>
      <c r="L45" s="543">
        <v>0</v>
      </c>
      <c r="M45" s="543">
        <v>0</v>
      </c>
      <c r="N45" s="543">
        <v>0</v>
      </c>
      <c r="O45" s="570">
        <f t="shared" ref="O45:O49" si="30">+P45+Q45</f>
        <v>0</v>
      </c>
      <c r="P45" s="543">
        <v>0</v>
      </c>
      <c r="Q45" s="543">
        <v>0</v>
      </c>
      <c r="R45" s="543">
        <v>0</v>
      </c>
      <c r="S45" s="543">
        <v>0</v>
      </c>
      <c r="T45" s="543">
        <v>46330911</v>
      </c>
      <c r="U45" s="543">
        <v>0</v>
      </c>
      <c r="V45" s="543">
        <v>138173727</v>
      </c>
      <c r="W45" s="543">
        <v>142755489</v>
      </c>
      <c r="X45" s="543">
        <v>0</v>
      </c>
      <c r="Y45" s="543">
        <v>1201292571</v>
      </c>
      <c r="Z45" s="571"/>
      <c r="AB45" s="187"/>
    </row>
    <row r="46" spans="1:28" s="183" customFormat="1" ht="15.75" customHeight="1">
      <c r="A46" s="376">
        <f t="shared" si="2"/>
        <v>330</v>
      </c>
      <c r="B46" s="377" t="s">
        <v>397</v>
      </c>
      <c r="C46" s="570">
        <f t="shared" si="29"/>
        <v>0</v>
      </c>
      <c r="D46" s="543">
        <v>0</v>
      </c>
      <c r="E46" s="543">
        <v>0</v>
      </c>
      <c r="F46" s="570">
        <f t="shared" ref="F46:F50" si="31">+G46+H46+I46</f>
        <v>0</v>
      </c>
      <c r="G46" s="543">
        <v>0</v>
      </c>
      <c r="H46" s="543">
        <v>0</v>
      </c>
      <c r="I46" s="543">
        <v>0</v>
      </c>
      <c r="J46" s="543">
        <v>0</v>
      </c>
      <c r="K46" s="543">
        <v>0</v>
      </c>
      <c r="L46" s="543">
        <v>0</v>
      </c>
      <c r="M46" s="543">
        <v>0</v>
      </c>
      <c r="N46" s="543">
        <v>0</v>
      </c>
      <c r="O46" s="570">
        <f t="shared" si="30"/>
        <v>0</v>
      </c>
      <c r="P46" s="543">
        <v>0</v>
      </c>
      <c r="Q46" s="543">
        <v>0</v>
      </c>
      <c r="R46" s="543">
        <v>0</v>
      </c>
      <c r="S46" s="543">
        <v>0</v>
      </c>
      <c r="T46" s="543">
        <v>0</v>
      </c>
      <c r="U46" s="543">
        <v>0</v>
      </c>
      <c r="V46" s="543">
        <v>0</v>
      </c>
      <c r="W46" s="543">
        <v>0</v>
      </c>
      <c r="X46" s="543">
        <v>0</v>
      </c>
      <c r="Y46" s="543">
        <v>0</v>
      </c>
      <c r="Z46" s="571"/>
      <c r="AB46" s="187"/>
    </row>
    <row r="47" spans="1:28" s="183" customFormat="1" ht="15.75" customHeight="1">
      <c r="A47" s="376">
        <f t="shared" si="2"/>
        <v>340</v>
      </c>
      <c r="B47" s="377" t="s">
        <v>398</v>
      </c>
      <c r="C47" s="570">
        <f t="shared" si="29"/>
        <v>264796190</v>
      </c>
      <c r="D47" s="543">
        <v>235630270</v>
      </c>
      <c r="E47" s="543">
        <v>29165920</v>
      </c>
      <c r="F47" s="570">
        <f t="shared" si="31"/>
        <v>15228498</v>
      </c>
      <c r="G47" s="543">
        <v>565939</v>
      </c>
      <c r="H47" s="543">
        <v>0</v>
      </c>
      <c r="I47" s="543">
        <v>14662559</v>
      </c>
      <c r="J47" s="543">
        <v>349733</v>
      </c>
      <c r="K47" s="543">
        <v>0</v>
      </c>
      <c r="L47" s="543">
        <v>0</v>
      </c>
      <c r="M47" s="543">
        <v>12146207</v>
      </c>
      <c r="N47" s="543">
        <v>0</v>
      </c>
      <c r="O47" s="570">
        <f t="shared" si="30"/>
        <v>156375360</v>
      </c>
      <c r="P47" s="543">
        <v>0</v>
      </c>
      <c r="Q47" s="543">
        <v>156375360</v>
      </c>
      <c r="R47" s="543">
        <v>474966</v>
      </c>
      <c r="S47" s="543">
        <v>0</v>
      </c>
      <c r="T47" s="543">
        <v>0</v>
      </c>
      <c r="U47" s="543">
        <v>0</v>
      </c>
      <c r="V47" s="543">
        <v>91403200</v>
      </c>
      <c r="W47" s="543">
        <v>3973245</v>
      </c>
      <c r="X47" s="543">
        <v>73479</v>
      </c>
      <c r="Y47" s="543">
        <v>0</v>
      </c>
      <c r="Z47" s="571"/>
      <c r="AB47" s="187"/>
    </row>
    <row r="48" spans="1:28" s="183" customFormat="1" ht="15.75" customHeight="1">
      <c r="A48" s="376">
        <f t="shared" si="2"/>
        <v>350</v>
      </c>
      <c r="B48" s="377" t="s">
        <v>394</v>
      </c>
      <c r="C48" s="570">
        <f t="shared" si="29"/>
        <v>0</v>
      </c>
      <c r="D48" s="543">
        <v>0</v>
      </c>
      <c r="E48" s="543">
        <v>0</v>
      </c>
      <c r="F48" s="570">
        <f t="shared" si="31"/>
        <v>0</v>
      </c>
      <c r="G48" s="543">
        <v>0</v>
      </c>
      <c r="H48" s="543">
        <v>0</v>
      </c>
      <c r="I48" s="543">
        <v>0</v>
      </c>
      <c r="J48" s="543">
        <v>0</v>
      </c>
      <c r="K48" s="543">
        <v>0</v>
      </c>
      <c r="L48" s="543">
        <v>0</v>
      </c>
      <c r="M48" s="543">
        <v>0</v>
      </c>
      <c r="N48" s="543">
        <v>0</v>
      </c>
      <c r="O48" s="570">
        <f t="shared" si="30"/>
        <v>0</v>
      </c>
      <c r="P48" s="543">
        <v>0</v>
      </c>
      <c r="Q48" s="543">
        <v>0</v>
      </c>
      <c r="R48" s="543">
        <v>0</v>
      </c>
      <c r="S48" s="543">
        <v>0</v>
      </c>
      <c r="T48" s="543">
        <v>0</v>
      </c>
      <c r="U48" s="543">
        <v>0</v>
      </c>
      <c r="V48" s="543">
        <v>0</v>
      </c>
      <c r="W48" s="543">
        <v>0</v>
      </c>
      <c r="X48" s="543">
        <v>0</v>
      </c>
      <c r="Y48" s="543">
        <v>0</v>
      </c>
      <c r="Z48" s="571"/>
      <c r="AB48" s="187"/>
    </row>
    <row r="49" spans="1:28" s="183" customFormat="1" ht="15.75" customHeight="1">
      <c r="A49" s="376">
        <f>A48+10</f>
        <v>360</v>
      </c>
      <c r="B49" s="377" t="s">
        <v>645</v>
      </c>
      <c r="C49" s="570">
        <f t="shared" si="29"/>
        <v>0</v>
      </c>
      <c r="D49" s="543">
        <v>0</v>
      </c>
      <c r="E49" s="543">
        <v>0</v>
      </c>
      <c r="F49" s="570">
        <f t="shared" si="31"/>
        <v>0</v>
      </c>
      <c r="G49" s="543">
        <v>0</v>
      </c>
      <c r="H49" s="543">
        <v>0</v>
      </c>
      <c r="I49" s="543">
        <v>0</v>
      </c>
      <c r="J49" s="543">
        <v>0</v>
      </c>
      <c r="K49" s="543">
        <v>0</v>
      </c>
      <c r="L49" s="543">
        <v>0</v>
      </c>
      <c r="M49" s="543">
        <v>0</v>
      </c>
      <c r="N49" s="543">
        <v>0</v>
      </c>
      <c r="O49" s="570">
        <f t="shared" si="30"/>
        <v>0</v>
      </c>
      <c r="P49" s="543">
        <v>0</v>
      </c>
      <c r="Q49" s="543">
        <v>0</v>
      </c>
      <c r="R49" s="543">
        <v>0</v>
      </c>
      <c r="S49" s="543">
        <v>0</v>
      </c>
      <c r="T49" s="543">
        <v>0</v>
      </c>
      <c r="U49" s="543">
        <v>0</v>
      </c>
      <c r="V49" s="543">
        <v>0</v>
      </c>
      <c r="W49" s="543">
        <v>0</v>
      </c>
      <c r="X49" s="543">
        <v>0</v>
      </c>
      <c r="Y49" s="543">
        <v>0</v>
      </c>
      <c r="Z49" s="571"/>
      <c r="AB49" s="187"/>
    </row>
    <row r="50" spans="1:28" s="413" customFormat="1" ht="15.75" customHeight="1">
      <c r="A50" s="412">
        <f>A49+10</f>
        <v>370</v>
      </c>
      <c r="B50" s="412" t="s">
        <v>232</v>
      </c>
      <c r="C50" s="572">
        <f t="shared" si="29"/>
        <v>1793348888</v>
      </c>
      <c r="D50" s="572">
        <f>SUM(D45:D49)</f>
        <v>1579678330</v>
      </c>
      <c r="E50" s="572">
        <f>SUM(E45:E49)</f>
        <v>213670558</v>
      </c>
      <c r="F50" s="572">
        <f t="shared" si="31"/>
        <v>15228498</v>
      </c>
      <c r="G50" s="572">
        <f t="shared" ref="G50:I50" si="32">SUM(G45:G49)</f>
        <v>565939</v>
      </c>
      <c r="H50" s="572">
        <f t="shared" si="32"/>
        <v>0</v>
      </c>
      <c r="I50" s="572">
        <f t="shared" si="32"/>
        <v>14662559</v>
      </c>
      <c r="J50" s="572">
        <f t="shared" ref="J50:Y50" si="33">SUM(J45:J49)</f>
        <v>349733</v>
      </c>
      <c r="K50" s="572">
        <f t="shared" si="33"/>
        <v>0</v>
      </c>
      <c r="L50" s="572">
        <f t="shared" si="33"/>
        <v>0</v>
      </c>
      <c r="M50" s="572">
        <f t="shared" si="33"/>
        <v>12146207</v>
      </c>
      <c r="N50" s="572">
        <f t="shared" si="33"/>
        <v>0</v>
      </c>
      <c r="O50" s="572">
        <f t="shared" si="33"/>
        <v>156375360</v>
      </c>
      <c r="P50" s="572">
        <f t="shared" si="33"/>
        <v>0</v>
      </c>
      <c r="Q50" s="572">
        <f t="shared" si="33"/>
        <v>156375360</v>
      </c>
      <c r="R50" s="572">
        <f t="shared" si="33"/>
        <v>474966</v>
      </c>
      <c r="S50" s="572">
        <f t="shared" si="33"/>
        <v>0</v>
      </c>
      <c r="T50" s="572">
        <f t="shared" si="33"/>
        <v>46330911</v>
      </c>
      <c r="U50" s="572">
        <f t="shared" si="33"/>
        <v>0</v>
      </c>
      <c r="V50" s="572">
        <f t="shared" si="33"/>
        <v>229576927</v>
      </c>
      <c r="W50" s="572">
        <f t="shared" si="33"/>
        <v>146728734</v>
      </c>
      <c r="X50" s="572">
        <f t="shared" si="33"/>
        <v>73479</v>
      </c>
      <c r="Y50" s="572">
        <f t="shared" si="33"/>
        <v>1201292571</v>
      </c>
      <c r="Z50" s="573"/>
      <c r="AB50" s="414"/>
    </row>
    <row r="51" spans="1:28" s="183" customFormat="1" ht="15.75" customHeight="1">
      <c r="A51" s="370"/>
      <c r="B51" s="374" t="s">
        <v>469</v>
      </c>
      <c r="C51" s="574"/>
      <c r="D51" s="574"/>
      <c r="E51" s="574"/>
      <c r="F51" s="574"/>
      <c r="G51" s="575"/>
      <c r="H51" s="574"/>
      <c r="I51" s="574"/>
      <c r="J51" s="574"/>
      <c r="K51" s="574"/>
      <c r="L51" s="574"/>
      <c r="M51" s="574"/>
      <c r="N51" s="574"/>
      <c r="O51" s="574"/>
      <c r="P51" s="574"/>
      <c r="Q51" s="574"/>
      <c r="R51" s="574"/>
      <c r="S51" s="574"/>
      <c r="T51" s="574"/>
      <c r="U51" s="574"/>
      <c r="V51" s="574"/>
      <c r="W51" s="574"/>
      <c r="X51" s="574"/>
      <c r="Y51" s="574"/>
      <c r="Z51" s="571"/>
      <c r="AB51" s="187"/>
    </row>
    <row r="52" spans="1:28" s="183" customFormat="1" ht="15.75" customHeight="1">
      <c r="A52" s="376">
        <v>380</v>
      </c>
      <c r="B52" s="377" t="s">
        <v>640</v>
      </c>
      <c r="C52" s="570">
        <f t="shared" ref="C52:C57" si="34">SUM(J52:Y52)-L52-P52-Q52</f>
        <v>0</v>
      </c>
      <c r="D52" s="543">
        <v>0</v>
      </c>
      <c r="E52" s="543">
        <v>0</v>
      </c>
      <c r="F52" s="570">
        <f t="shared" ref="F52" si="35">+G52+H52+I52</f>
        <v>0</v>
      </c>
      <c r="G52" s="543">
        <v>0</v>
      </c>
      <c r="H52" s="543">
        <v>0</v>
      </c>
      <c r="I52" s="543">
        <v>0</v>
      </c>
      <c r="J52" s="543">
        <v>0</v>
      </c>
      <c r="K52" s="543">
        <v>0</v>
      </c>
      <c r="L52" s="543">
        <v>0</v>
      </c>
      <c r="M52" s="543">
        <v>0</v>
      </c>
      <c r="N52" s="543">
        <v>0</v>
      </c>
      <c r="O52" s="570">
        <f t="shared" ref="O52:O57" si="36">+P52+Q52</f>
        <v>0</v>
      </c>
      <c r="P52" s="543">
        <v>0</v>
      </c>
      <c r="Q52" s="543">
        <v>0</v>
      </c>
      <c r="R52" s="543">
        <v>0</v>
      </c>
      <c r="S52" s="543">
        <v>0</v>
      </c>
      <c r="T52" s="543">
        <v>0</v>
      </c>
      <c r="U52" s="543">
        <v>0</v>
      </c>
      <c r="V52" s="543">
        <v>0</v>
      </c>
      <c r="W52" s="543">
        <v>0</v>
      </c>
      <c r="X52" s="543">
        <v>0</v>
      </c>
      <c r="Y52" s="543">
        <v>0</v>
      </c>
      <c r="Z52" s="571"/>
      <c r="AB52" s="187"/>
    </row>
    <row r="53" spans="1:28" s="183" customFormat="1" ht="15.75" customHeight="1">
      <c r="A53" s="376">
        <f t="shared" si="2"/>
        <v>390</v>
      </c>
      <c r="B53" s="377" t="s">
        <v>397</v>
      </c>
      <c r="C53" s="570">
        <f t="shared" si="34"/>
        <v>0</v>
      </c>
      <c r="D53" s="543">
        <v>0</v>
      </c>
      <c r="E53" s="543">
        <v>0</v>
      </c>
      <c r="F53" s="570">
        <f>+G53+H53+I53</f>
        <v>0</v>
      </c>
      <c r="G53" s="543">
        <v>0</v>
      </c>
      <c r="H53" s="543">
        <v>0</v>
      </c>
      <c r="I53" s="543">
        <v>0</v>
      </c>
      <c r="J53" s="543">
        <v>0</v>
      </c>
      <c r="K53" s="543">
        <v>0</v>
      </c>
      <c r="L53" s="543">
        <v>0</v>
      </c>
      <c r="M53" s="543">
        <v>0</v>
      </c>
      <c r="N53" s="543">
        <v>0</v>
      </c>
      <c r="O53" s="570">
        <f t="shared" si="36"/>
        <v>0</v>
      </c>
      <c r="P53" s="543">
        <v>0</v>
      </c>
      <c r="Q53" s="543">
        <v>0</v>
      </c>
      <c r="R53" s="543">
        <v>0</v>
      </c>
      <c r="S53" s="543">
        <v>0</v>
      </c>
      <c r="T53" s="543">
        <v>0</v>
      </c>
      <c r="U53" s="543">
        <v>0</v>
      </c>
      <c r="V53" s="543">
        <v>0</v>
      </c>
      <c r="W53" s="543">
        <v>0</v>
      </c>
      <c r="X53" s="543">
        <v>0</v>
      </c>
      <c r="Y53" s="543">
        <v>0</v>
      </c>
      <c r="Z53" s="571"/>
      <c r="AB53" s="187"/>
    </row>
    <row r="54" spans="1:28" s="183" customFormat="1" ht="15.75" customHeight="1">
      <c r="A54" s="376">
        <f t="shared" si="2"/>
        <v>400</v>
      </c>
      <c r="B54" s="377" t="s">
        <v>398</v>
      </c>
      <c r="C54" s="570">
        <f t="shared" si="34"/>
        <v>22322276</v>
      </c>
      <c r="D54" s="543">
        <v>7036539</v>
      </c>
      <c r="E54" s="543">
        <v>15285737</v>
      </c>
      <c r="F54" s="570">
        <f t="shared" ref="F54:F58" si="37">+G54+H54+I54</f>
        <v>299444</v>
      </c>
      <c r="G54" s="543">
        <v>0</v>
      </c>
      <c r="H54" s="543">
        <v>0</v>
      </c>
      <c r="I54" s="543">
        <v>299444</v>
      </c>
      <c r="J54" s="543">
        <v>178548</v>
      </c>
      <c r="K54" s="543">
        <v>0</v>
      </c>
      <c r="L54" s="543">
        <v>0</v>
      </c>
      <c r="M54" s="543">
        <v>133152</v>
      </c>
      <c r="N54" s="543">
        <v>0</v>
      </c>
      <c r="O54" s="570">
        <f t="shared" si="36"/>
        <v>5718148</v>
      </c>
      <c r="P54" s="543">
        <v>0</v>
      </c>
      <c r="Q54" s="543">
        <v>5718148</v>
      </c>
      <c r="R54" s="543">
        <v>1053562</v>
      </c>
      <c r="S54" s="543">
        <v>0</v>
      </c>
      <c r="T54" s="543">
        <v>0</v>
      </c>
      <c r="U54" s="543">
        <v>4552705</v>
      </c>
      <c r="V54" s="543">
        <v>9941481</v>
      </c>
      <c r="W54" s="543">
        <v>744680</v>
      </c>
      <c r="X54" s="543">
        <v>0</v>
      </c>
      <c r="Y54" s="543">
        <v>0</v>
      </c>
      <c r="Z54" s="571"/>
      <c r="AB54" s="187"/>
    </row>
    <row r="55" spans="1:28" s="183" customFormat="1" ht="15.75" customHeight="1">
      <c r="A55" s="376">
        <f t="shared" si="2"/>
        <v>410</v>
      </c>
      <c r="B55" s="377" t="s">
        <v>394</v>
      </c>
      <c r="C55" s="570">
        <f t="shared" si="34"/>
        <v>0</v>
      </c>
      <c r="D55" s="543">
        <v>0</v>
      </c>
      <c r="E55" s="543">
        <v>0</v>
      </c>
      <c r="F55" s="570">
        <f t="shared" si="37"/>
        <v>0</v>
      </c>
      <c r="G55" s="543">
        <v>0</v>
      </c>
      <c r="H55" s="543">
        <v>0</v>
      </c>
      <c r="I55" s="543">
        <v>0</v>
      </c>
      <c r="J55" s="543">
        <v>0</v>
      </c>
      <c r="K55" s="543">
        <v>0</v>
      </c>
      <c r="L55" s="543">
        <v>0</v>
      </c>
      <c r="M55" s="543">
        <v>0</v>
      </c>
      <c r="N55" s="543">
        <v>0</v>
      </c>
      <c r="O55" s="570">
        <f t="shared" si="36"/>
        <v>0</v>
      </c>
      <c r="P55" s="543">
        <v>0</v>
      </c>
      <c r="Q55" s="543">
        <v>0</v>
      </c>
      <c r="R55" s="543">
        <v>0</v>
      </c>
      <c r="S55" s="543">
        <v>0</v>
      </c>
      <c r="T55" s="543">
        <v>0</v>
      </c>
      <c r="U55" s="543">
        <v>0</v>
      </c>
      <c r="V55" s="543">
        <v>0</v>
      </c>
      <c r="W55" s="543">
        <v>0</v>
      </c>
      <c r="X55" s="543">
        <v>0</v>
      </c>
      <c r="Y55" s="543">
        <v>0</v>
      </c>
      <c r="Z55" s="571"/>
      <c r="AB55" s="187"/>
    </row>
    <row r="56" spans="1:28" s="183" customFormat="1" ht="15.75" customHeight="1">
      <c r="A56" s="376">
        <v>485</v>
      </c>
      <c r="B56" s="377" t="s">
        <v>643</v>
      </c>
      <c r="C56" s="570">
        <f t="shared" ref="C56" si="38">SUM(J56:Y56)-L56-P56-Q56</f>
        <v>1015274</v>
      </c>
      <c r="D56" s="543">
        <v>1015274</v>
      </c>
      <c r="E56" s="543">
        <v>0</v>
      </c>
      <c r="F56" s="570">
        <f t="shared" si="37"/>
        <v>131200</v>
      </c>
      <c r="G56" s="543">
        <v>0</v>
      </c>
      <c r="H56" s="543">
        <v>0</v>
      </c>
      <c r="I56" s="543">
        <v>131200</v>
      </c>
      <c r="J56" s="543">
        <v>0</v>
      </c>
      <c r="K56" s="543">
        <v>0</v>
      </c>
      <c r="L56" s="543">
        <v>0</v>
      </c>
      <c r="M56" s="543">
        <v>0</v>
      </c>
      <c r="N56" s="543">
        <v>0</v>
      </c>
      <c r="O56" s="570">
        <f t="shared" si="36"/>
        <v>0</v>
      </c>
      <c r="P56" s="543">
        <v>0</v>
      </c>
      <c r="Q56" s="543">
        <v>0</v>
      </c>
      <c r="R56" s="543">
        <v>0</v>
      </c>
      <c r="S56" s="543">
        <v>0</v>
      </c>
      <c r="T56" s="543">
        <v>0</v>
      </c>
      <c r="U56" s="543">
        <v>34051</v>
      </c>
      <c r="V56" s="543">
        <v>608759</v>
      </c>
      <c r="W56" s="543">
        <v>372464</v>
      </c>
      <c r="X56" s="543">
        <v>0</v>
      </c>
      <c r="Y56" s="543">
        <v>0</v>
      </c>
      <c r="Z56" s="571"/>
      <c r="AB56" s="187"/>
    </row>
    <row r="57" spans="1:28" s="183" customFormat="1" ht="15.75" customHeight="1">
      <c r="A57" s="376">
        <f>A55+10</f>
        <v>420</v>
      </c>
      <c r="B57" s="377" t="s">
        <v>645</v>
      </c>
      <c r="C57" s="570">
        <f t="shared" si="34"/>
        <v>0</v>
      </c>
      <c r="D57" s="543">
        <v>0</v>
      </c>
      <c r="E57" s="543">
        <v>0</v>
      </c>
      <c r="F57" s="570">
        <f t="shared" si="37"/>
        <v>0</v>
      </c>
      <c r="G57" s="543">
        <v>0</v>
      </c>
      <c r="H57" s="543">
        <v>0</v>
      </c>
      <c r="I57" s="543">
        <v>0</v>
      </c>
      <c r="J57" s="543">
        <v>0</v>
      </c>
      <c r="K57" s="543">
        <v>0</v>
      </c>
      <c r="L57" s="543">
        <v>0</v>
      </c>
      <c r="M57" s="543">
        <v>0</v>
      </c>
      <c r="N57" s="543">
        <v>0</v>
      </c>
      <c r="O57" s="570">
        <f t="shared" si="36"/>
        <v>0</v>
      </c>
      <c r="P57" s="543">
        <v>0</v>
      </c>
      <c r="Q57" s="543">
        <v>0</v>
      </c>
      <c r="R57" s="543">
        <v>0</v>
      </c>
      <c r="S57" s="543">
        <v>0</v>
      </c>
      <c r="T57" s="543">
        <v>0</v>
      </c>
      <c r="U57" s="543">
        <v>0</v>
      </c>
      <c r="V57" s="543">
        <v>0</v>
      </c>
      <c r="W57" s="543">
        <v>0</v>
      </c>
      <c r="X57" s="543">
        <v>0</v>
      </c>
      <c r="Y57" s="543">
        <v>0</v>
      </c>
      <c r="Z57" s="571"/>
      <c r="AB57" s="187"/>
    </row>
    <row r="58" spans="1:28" s="413" customFormat="1" ht="15.75" customHeight="1">
      <c r="A58" s="412">
        <f>A57+10</f>
        <v>430</v>
      </c>
      <c r="B58" s="412" t="s">
        <v>232</v>
      </c>
      <c r="C58" s="572">
        <f t="shared" ref="C58:C71" si="39">SUM(J58:Y58)-L58-P58-Q58</f>
        <v>23337550</v>
      </c>
      <c r="D58" s="572">
        <f>SUM(D52:D57)</f>
        <v>8051813</v>
      </c>
      <c r="E58" s="572">
        <f>SUM(E52:E57)</f>
        <v>15285737</v>
      </c>
      <c r="F58" s="572">
        <f t="shared" si="37"/>
        <v>430644</v>
      </c>
      <c r="G58" s="572">
        <f t="shared" ref="G58:I58" si="40">SUM(G53:G57)</f>
        <v>0</v>
      </c>
      <c r="H58" s="572">
        <f t="shared" si="40"/>
        <v>0</v>
      </c>
      <c r="I58" s="572">
        <f t="shared" si="40"/>
        <v>430644</v>
      </c>
      <c r="J58" s="572">
        <f t="shared" ref="J58:Y58" si="41">SUM(J52:J57)</f>
        <v>178548</v>
      </c>
      <c r="K58" s="572">
        <f t="shared" si="41"/>
        <v>0</v>
      </c>
      <c r="L58" s="572">
        <f t="shared" si="41"/>
        <v>0</v>
      </c>
      <c r="M58" s="572">
        <f t="shared" si="41"/>
        <v>133152</v>
      </c>
      <c r="N58" s="572">
        <f t="shared" si="41"/>
        <v>0</v>
      </c>
      <c r="O58" s="572">
        <f t="shared" si="41"/>
        <v>5718148</v>
      </c>
      <c r="P58" s="572">
        <f t="shared" si="41"/>
        <v>0</v>
      </c>
      <c r="Q58" s="572">
        <f t="shared" si="41"/>
        <v>5718148</v>
      </c>
      <c r="R58" s="572">
        <f t="shared" si="41"/>
        <v>1053562</v>
      </c>
      <c r="S58" s="572">
        <f t="shared" si="41"/>
        <v>0</v>
      </c>
      <c r="T58" s="572">
        <f t="shared" si="41"/>
        <v>0</v>
      </c>
      <c r="U58" s="572">
        <f t="shared" si="41"/>
        <v>4586756</v>
      </c>
      <c r="V58" s="572">
        <f t="shared" si="41"/>
        <v>10550240</v>
      </c>
      <c r="W58" s="572">
        <f t="shared" si="41"/>
        <v>1117144</v>
      </c>
      <c r="X58" s="572">
        <f t="shared" si="41"/>
        <v>0</v>
      </c>
      <c r="Y58" s="572">
        <f t="shared" si="41"/>
        <v>0</v>
      </c>
      <c r="Z58" s="573"/>
      <c r="AB58" s="414"/>
    </row>
    <row r="59" spans="1:28" s="183" customFormat="1" ht="15.75" customHeight="1">
      <c r="A59" s="370"/>
      <c r="B59" s="374" t="s">
        <v>470</v>
      </c>
      <c r="C59" s="574"/>
      <c r="D59" s="576"/>
      <c r="E59" s="576"/>
      <c r="F59" s="574"/>
      <c r="G59" s="577"/>
      <c r="H59" s="576"/>
      <c r="I59" s="576"/>
      <c r="J59" s="576"/>
      <c r="K59" s="576"/>
      <c r="L59" s="576"/>
      <c r="M59" s="576"/>
      <c r="N59" s="576"/>
      <c r="O59" s="574"/>
      <c r="P59" s="576"/>
      <c r="Q59" s="576"/>
      <c r="R59" s="576"/>
      <c r="S59" s="576"/>
      <c r="T59" s="576"/>
      <c r="U59" s="576"/>
      <c r="V59" s="576"/>
      <c r="W59" s="576"/>
      <c r="X59" s="576"/>
      <c r="Y59" s="576"/>
      <c r="Z59" s="571"/>
      <c r="AB59" s="187"/>
    </row>
    <row r="60" spans="1:28" s="183" customFormat="1" ht="15.75" customHeight="1">
      <c r="A60" s="376">
        <v>440</v>
      </c>
      <c r="B60" s="377" t="s">
        <v>640</v>
      </c>
      <c r="C60" s="570">
        <f t="shared" si="39"/>
        <v>2406142304</v>
      </c>
      <c r="D60" s="543">
        <v>1951284286</v>
      </c>
      <c r="E60" s="543">
        <v>454858018</v>
      </c>
      <c r="F60" s="570">
        <f t="shared" ref="F60:F65" si="42">+G60+H60+I60</f>
        <v>10984853</v>
      </c>
      <c r="G60" s="543">
        <v>0</v>
      </c>
      <c r="H60" s="543">
        <v>0</v>
      </c>
      <c r="I60" s="543">
        <v>10984853</v>
      </c>
      <c r="J60" s="543">
        <v>0</v>
      </c>
      <c r="K60" s="543">
        <v>0</v>
      </c>
      <c r="L60" s="543">
        <v>0</v>
      </c>
      <c r="M60" s="543">
        <v>0</v>
      </c>
      <c r="N60" s="543">
        <v>0</v>
      </c>
      <c r="O60" s="570">
        <f t="shared" ref="O60:O71" si="43">+P60+Q60</f>
        <v>742929175</v>
      </c>
      <c r="P60" s="543">
        <v>0</v>
      </c>
      <c r="Q60" s="543">
        <v>742929175</v>
      </c>
      <c r="R60" s="543">
        <v>89040000</v>
      </c>
      <c r="S60" s="543">
        <v>0</v>
      </c>
      <c r="T60" s="543">
        <v>0</v>
      </c>
      <c r="U60" s="543">
        <v>0</v>
      </c>
      <c r="V60" s="543">
        <v>6333801</v>
      </c>
      <c r="W60" s="543">
        <v>509988828</v>
      </c>
      <c r="X60" s="543">
        <v>0</v>
      </c>
      <c r="Y60" s="543">
        <v>1057850500</v>
      </c>
      <c r="Z60" s="571"/>
      <c r="AB60" s="187"/>
    </row>
    <row r="61" spans="1:28" s="183" customFormat="1" ht="15.75" customHeight="1">
      <c r="A61" s="376">
        <f t="shared" si="2"/>
        <v>450</v>
      </c>
      <c r="B61" s="377" t="s">
        <v>397</v>
      </c>
      <c r="C61" s="570">
        <f t="shared" si="39"/>
        <v>1440428992</v>
      </c>
      <c r="D61" s="543">
        <v>1310215125</v>
      </c>
      <c r="E61" s="543">
        <v>130213867</v>
      </c>
      <c r="F61" s="570">
        <f t="shared" si="42"/>
        <v>0</v>
      </c>
      <c r="G61" s="543">
        <v>0</v>
      </c>
      <c r="H61" s="543">
        <v>0</v>
      </c>
      <c r="I61" s="543">
        <v>0</v>
      </c>
      <c r="J61" s="543">
        <v>117905</v>
      </c>
      <c r="K61" s="543">
        <v>0</v>
      </c>
      <c r="L61" s="543">
        <v>0</v>
      </c>
      <c r="M61" s="543">
        <v>3078957</v>
      </c>
      <c r="N61" s="543">
        <v>0</v>
      </c>
      <c r="O61" s="570">
        <f t="shared" si="43"/>
        <v>1166961172</v>
      </c>
      <c r="P61" s="543">
        <v>0</v>
      </c>
      <c r="Q61" s="543">
        <v>1166961172</v>
      </c>
      <c r="R61" s="543">
        <v>144034064</v>
      </c>
      <c r="S61" s="543">
        <v>0</v>
      </c>
      <c r="T61" s="543">
        <v>0</v>
      </c>
      <c r="U61" s="543">
        <v>0</v>
      </c>
      <c r="V61" s="543">
        <v>36352561</v>
      </c>
      <c r="W61" s="543">
        <v>89884333</v>
      </c>
      <c r="X61" s="543">
        <v>0</v>
      </c>
      <c r="Y61" s="543">
        <v>0</v>
      </c>
      <c r="Z61" s="571"/>
      <c r="AB61" s="187"/>
    </row>
    <row r="62" spans="1:28" s="183" customFormat="1" ht="15.75" customHeight="1">
      <c r="A62" s="376">
        <f t="shared" si="2"/>
        <v>460</v>
      </c>
      <c r="B62" s="377" t="s">
        <v>398</v>
      </c>
      <c r="C62" s="570">
        <f t="shared" si="39"/>
        <v>3511383365</v>
      </c>
      <c r="D62" s="543">
        <v>1354686202</v>
      </c>
      <c r="E62" s="543">
        <v>2156697163</v>
      </c>
      <c r="F62" s="570">
        <f t="shared" si="42"/>
        <v>80593032</v>
      </c>
      <c r="G62" s="543">
        <v>17278340</v>
      </c>
      <c r="H62" s="543">
        <v>43841094</v>
      </c>
      <c r="I62" s="543">
        <v>19473598</v>
      </c>
      <c r="J62" s="543">
        <v>13133184</v>
      </c>
      <c r="K62" s="543">
        <v>0</v>
      </c>
      <c r="L62" s="543">
        <v>0</v>
      </c>
      <c r="M62" s="543">
        <v>16358876</v>
      </c>
      <c r="N62" s="543">
        <v>0</v>
      </c>
      <c r="O62" s="570">
        <f t="shared" si="43"/>
        <v>1657479104</v>
      </c>
      <c r="P62" s="543">
        <v>10434086</v>
      </c>
      <c r="Q62" s="543">
        <v>1647045018</v>
      </c>
      <c r="R62" s="543">
        <v>146321677</v>
      </c>
      <c r="S62" s="543">
        <v>0</v>
      </c>
      <c r="T62" s="543">
        <v>0</v>
      </c>
      <c r="U62" s="543">
        <v>50441344</v>
      </c>
      <c r="V62" s="543">
        <v>1258485227</v>
      </c>
      <c r="W62" s="543">
        <v>355946233</v>
      </c>
      <c r="X62" s="543">
        <v>13217720</v>
      </c>
      <c r="Y62" s="543">
        <v>0</v>
      </c>
      <c r="Z62" s="571"/>
      <c r="AB62" s="187"/>
    </row>
    <row r="63" spans="1:28" s="183" customFormat="1" ht="15.75" customHeight="1">
      <c r="A63" s="376">
        <f t="shared" si="2"/>
        <v>470</v>
      </c>
      <c r="B63" s="377" t="s">
        <v>637</v>
      </c>
      <c r="C63" s="570">
        <f t="shared" si="39"/>
        <v>0</v>
      </c>
      <c r="D63" s="543">
        <v>0</v>
      </c>
      <c r="E63" s="543">
        <v>0</v>
      </c>
      <c r="F63" s="570">
        <f t="shared" si="42"/>
        <v>0</v>
      </c>
      <c r="G63" s="543">
        <v>0</v>
      </c>
      <c r="H63" s="543">
        <v>0</v>
      </c>
      <c r="I63" s="543">
        <v>0</v>
      </c>
      <c r="J63" s="543">
        <v>0</v>
      </c>
      <c r="K63" s="543">
        <v>0</v>
      </c>
      <c r="L63" s="543">
        <v>0</v>
      </c>
      <c r="M63" s="543">
        <v>0</v>
      </c>
      <c r="N63" s="543">
        <v>0</v>
      </c>
      <c r="O63" s="570">
        <f t="shared" si="43"/>
        <v>0</v>
      </c>
      <c r="P63" s="543">
        <v>0</v>
      </c>
      <c r="Q63" s="543">
        <v>0</v>
      </c>
      <c r="R63" s="543">
        <v>0</v>
      </c>
      <c r="S63" s="543">
        <v>0</v>
      </c>
      <c r="T63" s="543">
        <v>0</v>
      </c>
      <c r="U63" s="543">
        <v>0</v>
      </c>
      <c r="V63" s="543">
        <v>0</v>
      </c>
      <c r="W63" s="543">
        <v>0</v>
      </c>
      <c r="X63" s="543">
        <v>0</v>
      </c>
      <c r="Y63" s="543">
        <v>0</v>
      </c>
      <c r="Z63" s="571"/>
      <c r="AB63" s="187"/>
    </row>
    <row r="64" spans="1:28" s="183" customFormat="1" ht="15.75" customHeight="1">
      <c r="A64" s="376">
        <f t="shared" si="2"/>
        <v>480</v>
      </c>
      <c r="B64" s="377" t="s">
        <v>639</v>
      </c>
      <c r="C64" s="570">
        <f t="shared" si="39"/>
        <v>0</v>
      </c>
      <c r="D64" s="543">
        <v>0</v>
      </c>
      <c r="E64" s="543">
        <v>0</v>
      </c>
      <c r="F64" s="570">
        <f t="shared" si="42"/>
        <v>0</v>
      </c>
      <c r="G64" s="543">
        <v>0</v>
      </c>
      <c r="H64" s="543">
        <v>0</v>
      </c>
      <c r="I64" s="543">
        <v>0</v>
      </c>
      <c r="J64" s="543">
        <v>0</v>
      </c>
      <c r="K64" s="543">
        <v>0</v>
      </c>
      <c r="L64" s="543">
        <v>0</v>
      </c>
      <c r="M64" s="543">
        <v>0</v>
      </c>
      <c r="N64" s="543">
        <v>0</v>
      </c>
      <c r="O64" s="570">
        <f t="shared" si="43"/>
        <v>0</v>
      </c>
      <c r="P64" s="543">
        <v>0</v>
      </c>
      <c r="Q64" s="543">
        <v>0</v>
      </c>
      <c r="R64" s="543">
        <v>0</v>
      </c>
      <c r="S64" s="543">
        <v>0</v>
      </c>
      <c r="T64" s="543">
        <v>0</v>
      </c>
      <c r="U64" s="543">
        <v>0</v>
      </c>
      <c r="V64" s="543">
        <v>0</v>
      </c>
      <c r="W64" s="543">
        <v>0</v>
      </c>
      <c r="X64" s="543">
        <v>0</v>
      </c>
      <c r="Y64" s="543">
        <v>0</v>
      </c>
      <c r="Z64" s="571"/>
      <c r="AB64" s="187"/>
    </row>
    <row r="65" spans="1:28" s="183" customFormat="1" ht="15.75" customHeight="1">
      <c r="A65" s="376">
        <f t="shared" si="2"/>
        <v>490</v>
      </c>
      <c r="B65" s="377" t="s">
        <v>394</v>
      </c>
      <c r="C65" s="570">
        <f t="shared" si="39"/>
        <v>0</v>
      </c>
      <c r="D65" s="543">
        <v>0</v>
      </c>
      <c r="E65" s="543">
        <v>0</v>
      </c>
      <c r="F65" s="570">
        <f t="shared" si="42"/>
        <v>0</v>
      </c>
      <c r="G65" s="543">
        <v>0</v>
      </c>
      <c r="H65" s="543">
        <v>0</v>
      </c>
      <c r="I65" s="543">
        <v>0</v>
      </c>
      <c r="J65" s="543">
        <v>0</v>
      </c>
      <c r="K65" s="543">
        <v>0</v>
      </c>
      <c r="L65" s="543">
        <v>0</v>
      </c>
      <c r="M65" s="543">
        <v>0</v>
      </c>
      <c r="N65" s="543">
        <v>0</v>
      </c>
      <c r="O65" s="570">
        <f t="shared" si="43"/>
        <v>0</v>
      </c>
      <c r="P65" s="543">
        <v>0</v>
      </c>
      <c r="Q65" s="543">
        <v>0</v>
      </c>
      <c r="R65" s="543">
        <v>0</v>
      </c>
      <c r="S65" s="543">
        <v>0</v>
      </c>
      <c r="T65" s="543">
        <v>0</v>
      </c>
      <c r="U65" s="543">
        <v>0</v>
      </c>
      <c r="V65" s="543">
        <v>0</v>
      </c>
      <c r="W65" s="543">
        <v>0</v>
      </c>
      <c r="X65" s="543">
        <v>0</v>
      </c>
      <c r="Y65" s="543">
        <v>0</v>
      </c>
      <c r="Z65" s="571"/>
      <c r="AB65" s="187"/>
    </row>
    <row r="66" spans="1:28" s="183" customFormat="1" ht="15.75" customHeight="1">
      <c r="A66" s="376">
        <f t="shared" si="2"/>
        <v>500</v>
      </c>
      <c r="B66" s="377" t="s">
        <v>687</v>
      </c>
      <c r="C66" s="570">
        <f t="shared" si="39"/>
        <v>33541698</v>
      </c>
      <c r="D66" s="543">
        <v>33541698</v>
      </c>
      <c r="E66" s="543">
        <v>0</v>
      </c>
      <c r="F66" s="570">
        <f t="shared" ref="F66:F71" si="44">+G66+H66+I66</f>
        <v>0</v>
      </c>
      <c r="G66" s="543">
        <v>0</v>
      </c>
      <c r="H66" s="543">
        <v>0</v>
      </c>
      <c r="I66" s="543">
        <v>0</v>
      </c>
      <c r="J66" s="543">
        <v>0</v>
      </c>
      <c r="K66" s="543">
        <v>0</v>
      </c>
      <c r="L66" s="543">
        <v>0</v>
      </c>
      <c r="M66" s="543">
        <v>96447</v>
      </c>
      <c r="N66" s="543">
        <v>0</v>
      </c>
      <c r="O66" s="570">
        <f t="shared" si="43"/>
        <v>18230771</v>
      </c>
      <c r="P66" s="543">
        <v>0</v>
      </c>
      <c r="Q66" s="543">
        <v>18230771</v>
      </c>
      <c r="R66" s="543">
        <v>2640426</v>
      </c>
      <c r="S66" s="543">
        <v>0</v>
      </c>
      <c r="T66" s="543">
        <v>0</v>
      </c>
      <c r="U66" s="543">
        <v>0</v>
      </c>
      <c r="V66" s="543">
        <v>0</v>
      </c>
      <c r="W66" s="543">
        <v>12574054</v>
      </c>
      <c r="X66" s="543">
        <v>0</v>
      </c>
      <c r="Y66" s="543">
        <v>0</v>
      </c>
      <c r="Z66" s="571"/>
      <c r="AB66" s="187"/>
    </row>
    <row r="67" spans="1:28" s="183" customFormat="1" ht="15.75" customHeight="1">
      <c r="A67" s="376">
        <f t="shared" ref="A67:A85" si="45">A66+10</f>
        <v>510</v>
      </c>
      <c r="B67" s="377" t="s">
        <v>643</v>
      </c>
      <c r="C67" s="570">
        <f t="shared" si="39"/>
        <v>607967</v>
      </c>
      <c r="D67" s="543">
        <v>177687</v>
      </c>
      <c r="E67" s="543">
        <v>430280</v>
      </c>
      <c r="F67" s="570">
        <f t="shared" si="44"/>
        <v>0</v>
      </c>
      <c r="G67" s="543">
        <v>0</v>
      </c>
      <c r="H67" s="543">
        <v>0</v>
      </c>
      <c r="I67" s="543">
        <v>0</v>
      </c>
      <c r="J67" s="543">
        <v>0</v>
      </c>
      <c r="K67" s="543">
        <v>0</v>
      </c>
      <c r="L67" s="543">
        <v>0</v>
      </c>
      <c r="M67" s="543">
        <v>0</v>
      </c>
      <c r="N67" s="543">
        <v>0</v>
      </c>
      <c r="O67" s="570">
        <f t="shared" si="43"/>
        <v>224068</v>
      </c>
      <c r="P67" s="543">
        <v>0</v>
      </c>
      <c r="Q67" s="543">
        <v>224068</v>
      </c>
      <c r="R67" s="543">
        <v>0</v>
      </c>
      <c r="S67" s="543">
        <v>0</v>
      </c>
      <c r="T67" s="543">
        <v>0</v>
      </c>
      <c r="U67" s="543">
        <v>0</v>
      </c>
      <c r="V67" s="543">
        <v>206211</v>
      </c>
      <c r="W67" s="543">
        <v>177688</v>
      </c>
      <c r="X67" s="543">
        <v>0</v>
      </c>
      <c r="Y67" s="543">
        <v>0</v>
      </c>
      <c r="Z67" s="571"/>
      <c r="AB67" s="187"/>
    </row>
    <row r="68" spans="1:28" s="183" customFormat="1" ht="15.75" customHeight="1">
      <c r="A68" s="376">
        <f t="shared" si="45"/>
        <v>520</v>
      </c>
      <c r="B68" s="377" t="s">
        <v>644</v>
      </c>
      <c r="C68" s="570">
        <f t="shared" si="39"/>
        <v>0</v>
      </c>
      <c r="D68" s="543">
        <v>0</v>
      </c>
      <c r="E68" s="543">
        <v>0</v>
      </c>
      <c r="F68" s="570">
        <f t="shared" si="44"/>
        <v>0</v>
      </c>
      <c r="G68" s="543">
        <v>0</v>
      </c>
      <c r="H68" s="543">
        <v>0</v>
      </c>
      <c r="I68" s="543">
        <v>0</v>
      </c>
      <c r="J68" s="543">
        <v>0</v>
      </c>
      <c r="K68" s="543">
        <v>0</v>
      </c>
      <c r="L68" s="543">
        <v>0</v>
      </c>
      <c r="M68" s="543">
        <v>0</v>
      </c>
      <c r="N68" s="543">
        <v>0</v>
      </c>
      <c r="O68" s="570">
        <f t="shared" si="43"/>
        <v>0</v>
      </c>
      <c r="P68" s="543">
        <v>0</v>
      </c>
      <c r="Q68" s="543">
        <v>0</v>
      </c>
      <c r="R68" s="543">
        <v>0</v>
      </c>
      <c r="S68" s="543">
        <v>0</v>
      </c>
      <c r="T68" s="543">
        <v>0</v>
      </c>
      <c r="U68" s="543">
        <v>0</v>
      </c>
      <c r="V68" s="543">
        <v>0</v>
      </c>
      <c r="W68" s="543">
        <v>0</v>
      </c>
      <c r="X68" s="543">
        <v>0</v>
      </c>
      <c r="Y68" s="543">
        <v>0</v>
      </c>
      <c r="Z68" s="571"/>
      <c r="AB68" s="187"/>
    </row>
    <row r="69" spans="1:28" s="183" customFormat="1" ht="15.75" customHeight="1">
      <c r="A69" s="376">
        <f>A68+10</f>
        <v>530</v>
      </c>
      <c r="B69" s="377" t="s">
        <v>645</v>
      </c>
      <c r="C69" s="570">
        <f t="shared" si="39"/>
        <v>0</v>
      </c>
      <c r="D69" s="543">
        <v>0</v>
      </c>
      <c r="E69" s="543">
        <v>0</v>
      </c>
      <c r="F69" s="570">
        <f t="shared" si="44"/>
        <v>0</v>
      </c>
      <c r="G69" s="543">
        <v>0</v>
      </c>
      <c r="H69" s="543">
        <v>0</v>
      </c>
      <c r="I69" s="543">
        <v>0</v>
      </c>
      <c r="J69" s="543">
        <v>0</v>
      </c>
      <c r="K69" s="543">
        <v>0</v>
      </c>
      <c r="L69" s="543">
        <v>0</v>
      </c>
      <c r="M69" s="543">
        <v>0</v>
      </c>
      <c r="N69" s="543">
        <v>0</v>
      </c>
      <c r="O69" s="570">
        <f t="shared" si="43"/>
        <v>0</v>
      </c>
      <c r="P69" s="543">
        <v>0</v>
      </c>
      <c r="Q69" s="543">
        <v>0</v>
      </c>
      <c r="R69" s="543">
        <v>0</v>
      </c>
      <c r="S69" s="543">
        <v>0</v>
      </c>
      <c r="T69" s="543">
        <v>0</v>
      </c>
      <c r="U69" s="543">
        <v>0</v>
      </c>
      <c r="V69" s="543">
        <v>0</v>
      </c>
      <c r="W69" s="543">
        <v>0</v>
      </c>
      <c r="X69" s="543">
        <v>0</v>
      </c>
      <c r="Y69" s="543">
        <v>0</v>
      </c>
      <c r="Z69" s="571"/>
      <c r="AB69" s="187"/>
    </row>
    <row r="70" spans="1:28" s="413" customFormat="1" ht="15.75" customHeight="1">
      <c r="A70" s="412">
        <f>A69+10</f>
        <v>540</v>
      </c>
      <c r="B70" s="412" t="s">
        <v>232</v>
      </c>
      <c r="C70" s="572">
        <f t="shared" si="39"/>
        <v>7392104326</v>
      </c>
      <c r="D70" s="572">
        <f>SUM(D60:D69)</f>
        <v>4649904998</v>
      </c>
      <c r="E70" s="572">
        <f>SUM(E60:E69)</f>
        <v>2742199328</v>
      </c>
      <c r="F70" s="572">
        <f t="shared" si="44"/>
        <v>91577885</v>
      </c>
      <c r="G70" s="572">
        <f>SUM(G60:G69)</f>
        <v>17278340</v>
      </c>
      <c r="H70" s="572">
        <f>SUM(H60:H69)</f>
        <v>43841094</v>
      </c>
      <c r="I70" s="572">
        <f>SUM(I60:I69)</f>
        <v>30458451</v>
      </c>
      <c r="J70" s="572">
        <f t="shared" ref="J70:Y70" si="46">SUM(J60:J69)</f>
        <v>13251089</v>
      </c>
      <c r="K70" s="572">
        <f t="shared" si="46"/>
        <v>0</v>
      </c>
      <c r="L70" s="572">
        <f t="shared" si="46"/>
        <v>0</v>
      </c>
      <c r="M70" s="572">
        <f t="shared" si="46"/>
        <v>19534280</v>
      </c>
      <c r="N70" s="572">
        <f t="shared" si="46"/>
        <v>0</v>
      </c>
      <c r="O70" s="572">
        <f t="shared" si="46"/>
        <v>3585824290</v>
      </c>
      <c r="P70" s="572">
        <f t="shared" si="46"/>
        <v>10434086</v>
      </c>
      <c r="Q70" s="572">
        <f t="shared" si="46"/>
        <v>3575390204</v>
      </c>
      <c r="R70" s="572">
        <f t="shared" si="46"/>
        <v>382036167</v>
      </c>
      <c r="S70" s="572">
        <f t="shared" si="46"/>
        <v>0</v>
      </c>
      <c r="T70" s="572">
        <f t="shared" si="46"/>
        <v>0</v>
      </c>
      <c r="U70" s="572">
        <f t="shared" si="46"/>
        <v>50441344</v>
      </c>
      <c r="V70" s="572">
        <f t="shared" si="46"/>
        <v>1301377800</v>
      </c>
      <c r="W70" s="572">
        <f t="shared" si="46"/>
        <v>968571136</v>
      </c>
      <c r="X70" s="572">
        <f t="shared" si="46"/>
        <v>13217720</v>
      </c>
      <c r="Y70" s="572">
        <f t="shared" si="46"/>
        <v>1057850500</v>
      </c>
      <c r="Z70" s="573"/>
      <c r="AB70" s="414"/>
    </row>
    <row r="71" spans="1:28" s="183" customFormat="1" ht="17.25" customHeight="1">
      <c r="A71" s="376">
        <v>550</v>
      </c>
      <c r="B71" s="379" t="s">
        <v>685</v>
      </c>
      <c r="C71" s="570">
        <f t="shared" si="39"/>
        <v>9706748229</v>
      </c>
      <c r="D71" s="543">
        <v>9706748229</v>
      </c>
      <c r="E71" s="543">
        <v>0</v>
      </c>
      <c r="F71" s="570">
        <f t="shared" si="44"/>
        <v>271763815</v>
      </c>
      <c r="G71" s="543">
        <v>94140521</v>
      </c>
      <c r="H71" s="543">
        <v>146207436</v>
      </c>
      <c r="I71" s="543">
        <v>31415858</v>
      </c>
      <c r="J71" s="543">
        <v>20052566</v>
      </c>
      <c r="K71" s="543">
        <v>0</v>
      </c>
      <c r="L71" s="543">
        <v>0</v>
      </c>
      <c r="M71" s="543">
        <v>186789180</v>
      </c>
      <c r="N71" s="543">
        <v>0</v>
      </c>
      <c r="O71" s="570">
        <f t="shared" si="43"/>
        <v>5934263518</v>
      </c>
      <c r="P71" s="543">
        <v>5632852671</v>
      </c>
      <c r="Q71" s="543">
        <v>301410847</v>
      </c>
      <c r="R71" s="543">
        <v>9735945</v>
      </c>
      <c r="S71" s="543">
        <v>0</v>
      </c>
      <c r="T71" s="543">
        <v>0</v>
      </c>
      <c r="U71" s="543">
        <v>133921</v>
      </c>
      <c r="V71" s="543">
        <v>1330080078</v>
      </c>
      <c r="W71" s="543">
        <v>2143874180</v>
      </c>
      <c r="X71" s="543">
        <v>13350341</v>
      </c>
      <c r="Y71" s="543">
        <v>68468500</v>
      </c>
      <c r="Z71" s="571"/>
    </row>
    <row r="72" spans="1:28" s="183" customFormat="1" ht="15.75" customHeight="1">
      <c r="A72" s="370"/>
      <c r="B72" s="374" t="s">
        <v>686</v>
      </c>
      <c r="C72" s="574"/>
      <c r="D72" s="574"/>
      <c r="E72" s="574"/>
      <c r="F72" s="574"/>
      <c r="G72" s="575"/>
      <c r="H72" s="574"/>
      <c r="I72" s="574"/>
      <c r="J72" s="574"/>
      <c r="K72" s="574"/>
      <c r="L72" s="574"/>
      <c r="M72" s="574"/>
      <c r="N72" s="574"/>
      <c r="O72" s="574"/>
      <c r="P72" s="574"/>
      <c r="Q72" s="574"/>
      <c r="R72" s="574"/>
      <c r="S72" s="574"/>
      <c r="T72" s="574"/>
      <c r="U72" s="574"/>
      <c r="V72" s="574"/>
      <c r="W72" s="574"/>
      <c r="X72" s="574"/>
      <c r="Y72" s="574"/>
      <c r="Z72" s="571"/>
      <c r="AB72" s="187"/>
    </row>
    <row r="73" spans="1:28" s="183" customFormat="1" ht="15.75" customHeight="1">
      <c r="A73" s="376">
        <f>A71+10</f>
        <v>560</v>
      </c>
      <c r="B73" s="377" t="s">
        <v>395</v>
      </c>
      <c r="C73" s="570">
        <f t="shared" ref="C73:C85" si="47">SUM(J73:Y73)-L73-P73-Q73</f>
        <v>9706748229</v>
      </c>
      <c r="D73" s="570">
        <f t="shared" ref="D73:Y73" si="48">+D71</f>
        <v>9706748229</v>
      </c>
      <c r="E73" s="570">
        <f t="shared" ref="E73" si="49">+E71</f>
        <v>0</v>
      </c>
      <c r="F73" s="570">
        <f t="shared" si="48"/>
        <v>271763815</v>
      </c>
      <c r="G73" s="570">
        <f t="shared" ref="G73" si="50">+G71</f>
        <v>94140521</v>
      </c>
      <c r="H73" s="570">
        <f t="shared" si="48"/>
        <v>146207436</v>
      </c>
      <c r="I73" s="570">
        <f t="shared" si="48"/>
        <v>31415858</v>
      </c>
      <c r="J73" s="570">
        <f t="shared" si="48"/>
        <v>20052566</v>
      </c>
      <c r="K73" s="570">
        <f t="shared" si="48"/>
        <v>0</v>
      </c>
      <c r="L73" s="570">
        <f t="shared" si="48"/>
        <v>0</v>
      </c>
      <c r="M73" s="570">
        <f t="shared" si="48"/>
        <v>186789180</v>
      </c>
      <c r="N73" s="570">
        <f t="shared" si="48"/>
        <v>0</v>
      </c>
      <c r="O73" s="570">
        <f t="shared" si="48"/>
        <v>5934263518</v>
      </c>
      <c r="P73" s="570">
        <f t="shared" si="48"/>
        <v>5632852671</v>
      </c>
      <c r="Q73" s="570">
        <f t="shared" si="48"/>
        <v>301410847</v>
      </c>
      <c r="R73" s="570">
        <f t="shared" si="48"/>
        <v>9735945</v>
      </c>
      <c r="S73" s="570">
        <f t="shared" si="48"/>
        <v>0</v>
      </c>
      <c r="T73" s="570">
        <f t="shared" si="48"/>
        <v>0</v>
      </c>
      <c r="U73" s="570">
        <f t="shared" si="48"/>
        <v>133921</v>
      </c>
      <c r="V73" s="570">
        <f t="shared" si="48"/>
        <v>1330080078</v>
      </c>
      <c r="W73" s="570">
        <f t="shared" si="48"/>
        <v>2143874180</v>
      </c>
      <c r="X73" s="570">
        <f t="shared" si="48"/>
        <v>13350341</v>
      </c>
      <c r="Y73" s="570">
        <f t="shared" si="48"/>
        <v>68468500</v>
      </c>
      <c r="Z73" s="571"/>
      <c r="AB73" s="187"/>
    </row>
    <row r="74" spans="1:28" s="183" customFormat="1" ht="15.75" customHeight="1">
      <c r="A74" s="376">
        <f t="shared" si="45"/>
        <v>570</v>
      </c>
      <c r="B74" s="377" t="s">
        <v>640</v>
      </c>
      <c r="C74" s="570">
        <f t="shared" si="47"/>
        <v>12813996196</v>
      </c>
      <c r="D74" s="570">
        <f t="shared" ref="D74:F76" si="51">D9+D16+D24+D31+D38+D45+D52+D60</f>
        <v>4793010019</v>
      </c>
      <c r="E74" s="570">
        <f t="shared" si="51"/>
        <v>8020986177</v>
      </c>
      <c r="F74" s="570">
        <f t="shared" si="51"/>
        <v>10984853</v>
      </c>
      <c r="G74" s="570">
        <f t="shared" ref="G74" si="52">G9+G16+G24+G31+G38+G45+G52+G60</f>
        <v>0</v>
      </c>
      <c r="H74" s="570">
        <f t="shared" ref="H74:Y74" si="53">H9+H16+H24+H31+H38+H45+H52+H60</f>
        <v>0</v>
      </c>
      <c r="I74" s="570">
        <f t="shared" si="53"/>
        <v>10984853</v>
      </c>
      <c r="J74" s="570">
        <f t="shared" si="53"/>
        <v>1200000</v>
      </c>
      <c r="K74" s="570">
        <f t="shared" si="53"/>
        <v>4607464031</v>
      </c>
      <c r="L74" s="570">
        <f t="shared" si="53"/>
        <v>4398016995</v>
      </c>
      <c r="M74" s="570">
        <f t="shared" si="53"/>
        <v>0</v>
      </c>
      <c r="N74" s="570">
        <f t="shared" si="53"/>
        <v>146995764</v>
      </c>
      <c r="O74" s="570">
        <f t="shared" si="53"/>
        <v>1123262702</v>
      </c>
      <c r="P74" s="570">
        <f t="shared" si="53"/>
        <v>0</v>
      </c>
      <c r="Q74" s="570">
        <f t="shared" si="53"/>
        <v>1123262702</v>
      </c>
      <c r="R74" s="570">
        <f t="shared" si="53"/>
        <v>89040000</v>
      </c>
      <c r="S74" s="570">
        <f t="shared" si="53"/>
        <v>0</v>
      </c>
      <c r="T74" s="570">
        <f t="shared" si="53"/>
        <v>129257724</v>
      </c>
      <c r="U74" s="570">
        <f t="shared" si="53"/>
        <v>0</v>
      </c>
      <c r="V74" s="570">
        <f t="shared" si="53"/>
        <v>2172864374</v>
      </c>
      <c r="W74" s="570">
        <f t="shared" si="53"/>
        <v>962181698</v>
      </c>
      <c r="X74" s="570">
        <f t="shared" si="53"/>
        <v>0</v>
      </c>
      <c r="Y74" s="570">
        <f t="shared" si="53"/>
        <v>3581729903</v>
      </c>
      <c r="Z74" s="571"/>
      <c r="AB74" s="187"/>
    </row>
    <row r="75" spans="1:28" s="183" customFormat="1" ht="15.75" customHeight="1">
      <c r="A75" s="376">
        <f t="shared" si="45"/>
        <v>580</v>
      </c>
      <c r="B75" s="377" t="s">
        <v>397</v>
      </c>
      <c r="C75" s="570">
        <f t="shared" si="47"/>
        <v>9759069887</v>
      </c>
      <c r="D75" s="570">
        <f t="shared" si="51"/>
        <v>2409391840</v>
      </c>
      <c r="E75" s="570">
        <f t="shared" si="51"/>
        <v>7349678047</v>
      </c>
      <c r="F75" s="570">
        <f t="shared" si="51"/>
        <v>9579618</v>
      </c>
      <c r="G75" s="570">
        <f t="shared" ref="G75" si="54">G10+G17+G25+G32+G39+G46+G53+G61</f>
        <v>9405114</v>
      </c>
      <c r="H75" s="570">
        <f t="shared" ref="H75:Y75" si="55">H10+H17+H25+H32+H39+H46+H53+H61</f>
        <v>27702</v>
      </c>
      <c r="I75" s="570">
        <f t="shared" si="55"/>
        <v>146802</v>
      </c>
      <c r="J75" s="570">
        <f t="shared" si="55"/>
        <v>362419</v>
      </c>
      <c r="K75" s="570">
        <f t="shared" si="55"/>
        <v>0</v>
      </c>
      <c r="L75" s="570">
        <f t="shared" si="55"/>
        <v>0</v>
      </c>
      <c r="M75" s="570">
        <f t="shared" si="55"/>
        <v>20153901</v>
      </c>
      <c r="N75" s="570">
        <f t="shared" si="55"/>
        <v>99698692</v>
      </c>
      <c r="O75" s="570">
        <f t="shared" si="55"/>
        <v>3872780494</v>
      </c>
      <c r="P75" s="570">
        <f t="shared" si="55"/>
        <v>0</v>
      </c>
      <c r="Q75" s="570">
        <f t="shared" si="55"/>
        <v>3872780494</v>
      </c>
      <c r="R75" s="570">
        <f t="shared" si="55"/>
        <v>2833950068</v>
      </c>
      <c r="S75" s="570">
        <f t="shared" si="55"/>
        <v>0</v>
      </c>
      <c r="T75" s="570">
        <f t="shared" si="55"/>
        <v>0</v>
      </c>
      <c r="U75" s="570">
        <f t="shared" si="55"/>
        <v>2035891</v>
      </c>
      <c r="V75" s="570">
        <f t="shared" si="55"/>
        <v>1992047186</v>
      </c>
      <c r="W75" s="570">
        <f t="shared" si="55"/>
        <v>454578354</v>
      </c>
      <c r="X75" s="570">
        <f t="shared" si="55"/>
        <v>0</v>
      </c>
      <c r="Y75" s="570">
        <f t="shared" si="55"/>
        <v>483462882</v>
      </c>
      <c r="Z75" s="571"/>
      <c r="AB75" s="187"/>
    </row>
    <row r="76" spans="1:28" s="183" customFormat="1" ht="15.75" customHeight="1">
      <c r="A76" s="376">
        <f t="shared" si="45"/>
        <v>590</v>
      </c>
      <c r="B76" s="377" t="s">
        <v>398</v>
      </c>
      <c r="C76" s="570">
        <f t="shared" si="47"/>
        <v>32532347335</v>
      </c>
      <c r="D76" s="570">
        <f t="shared" si="51"/>
        <v>8951776754</v>
      </c>
      <c r="E76" s="570">
        <f t="shared" si="51"/>
        <v>23580570581</v>
      </c>
      <c r="F76" s="570">
        <f t="shared" si="51"/>
        <v>1344928047</v>
      </c>
      <c r="G76" s="570">
        <f t="shared" ref="G76" si="56">G11+G18+G26+G33+G40+G47+G54+G62</f>
        <v>94406068</v>
      </c>
      <c r="H76" s="570">
        <f t="shared" ref="H76:Y76" si="57">H11+H18+H26+H33+H40+H47+H54+H62</f>
        <v>368862332</v>
      </c>
      <c r="I76" s="570">
        <f t="shared" si="57"/>
        <v>881659647</v>
      </c>
      <c r="J76" s="570">
        <f t="shared" si="57"/>
        <v>64140442</v>
      </c>
      <c r="K76" s="570">
        <f t="shared" si="57"/>
        <v>0</v>
      </c>
      <c r="L76" s="570">
        <f t="shared" si="57"/>
        <v>0</v>
      </c>
      <c r="M76" s="570">
        <f t="shared" si="57"/>
        <v>227961746</v>
      </c>
      <c r="N76" s="570">
        <f t="shared" si="57"/>
        <v>34402806</v>
      </c>
      <c r="O76" s="570">
        <f t="shared" si="57"/>
        <v>10725432626</v>
      </c>
      <c r="P76" s="570">
        <f t="shared" si="57"/>
        <v>144172282</v>
      </c>
      <c r="Q76" s="570">
        <f t="shared" si="57"/>
        <v>10581260344</v>
      </c>
      <c r="R76" s="570">
        <f t="shared" si="57"/>
        <v>3541047475</v>
      </c>
      <c r="S76" s="570">
        <f t="shared" si="57"/>
        <v>0</v>
      </c>
      <c r="T76" s="570">
        <f t="shared" si="57"/>
        <v>0</v>
      </c>
      <c r="U76" s="570">
        <f t="shared" si="57"/>
        <v>68177303</v>
      </c>
      <c r="V76" s="570">
        <f t="shared" si="57"/>
        <v>10438277353</v>
      </c>
      <c r="W76" s="570">
        <f t="shared" si="57"/>
        <v>6560518154</v>
      </c>
      <c r="X76" s="570">
        <f t="shared" si="57"/>
        <v>132722330</v>
      </c>
      <c r="Y76" s="570">
        <f t="shared" si="57"/>
        <v>739667100</v>
      </c>
      <c r="Z76" s="571"/>
      <c r="AB76" s="187"/>
    </row>
    <row r="77" spans="1:28" s="183" customFormat="1" ht="15.75" customHeight="1">
      <c r="A77" s="376">
        <f t="shared" si="45"/>
        <v>600</v>
      </c>
      <c r="B77" s="377" t="s">
        <v>641</v>
      </c>
      <c r="C77" s="570">
        <f t="shared" si="47"/>
        <v>88243247</v>
      </c>
      <c r="D77" s="570">
        <f>D19</f>
        <v>15854960</v>
      </c>
      <c r="E77" s="570">
        <f>E19</f>
        <v>72388287</v>
      </c>
      <c r="F77" s="570">
        <f>F19</f>
        <v>5009857</v>
      </c>
      <c r="G77" s="570">
        <f t="shared" ref="G77" si="58">G19</f>
        <v>0</v>
      </c>
      <c r="H77" s="570">
        <f t="shared" ref="H77:Y77" si="59">H19</f>
        <v>620043</v>
      </c>
      <c r="I77" s="570">
        <f t="shared" si="59"/>
        <v>4389814</v>
      </c>
      <c r="J77" s="570">
        <f t="shared" si="59"/>
        <v>261460</v>
      </c>
      <c r="K77" s="570">
        <f t="shared" si="59"/>
        <v>0</v>
      </c>
      <c r="L77" s="570">
        <f t="shared" si="59"/>
        <v>0</v>
      </c>
      <c r="M77" s="570">
        <f t="shared" si="59"/>
        <v>921535</v>
      </c>
      <c r="N77" s="570">
        <f t="shared" si="59"/>
        <v>0</v>
      </c>
      <c r="O77" s="570">
        <f t="shared" si="59"/>
        <v>27921057</v>
      </c>
      <c r="P77" s="570">
        <f t="shared" si="59"/>
        <v>1257301</v>
      </c>
      <c r="Q77" s="570">
        <f t="shared" si="59"/>
        <v>26663756</v>
      </c>
      <c r="R77" s="570">
        <f t="shared" si="59"/>
        <v>25839863</v>
      </c>
      <c r="S77" s="570">
        <f t="shared" si="59"/>
        <v>0</v>
      </c>
      <c r="T77" s="570">
        <f t="shared" si="59"/>
        <v>0</v>
      </c>
      <c r="U77" s="570">
        <f t="shared" si="59"/>
        <v>0</v>
      </c>
      <c r="V77" s="570">
        <f t="shared" si="59"/>
        <v>30638071</v>
      </c>
      <c r="W77" s="570">
        <f t="shared" si="59"/>
        <v>2661261</v>
      </c>
      <c r="X77" s="570">
        <f t="shared" si="59"/>
        <v>0</v>
      </c>
      <c r="Y77" s="570">
        <f t="shared" si="59"/>
        <v>0</v>
      </c>
      <c r="Z77" s="571"/>
      <c r="AB77" s="187"/>
    </row>
    <row r="78" spans="1:28" s="183" customFormat="1" ht="15.75" customHeight="1">
      <c r="A78" s="376">
        <f t="shared" si="45"/>
        <v>610</v>
      </c>
      <c r="B78" s="377" t="s">
        <v>639</v>
      </c>
      <c r="C78" s="570">
        <f t="shared" si="47"/>
        <v>0</v>
      </c>
      <c r="D78" s="570">
        <f t="shared" ref="D78:Y78" si="60">D64</f>
        <v>0</v>
      </c>
      <c r="E78" s="570">
        <f t="shared" ref="E78" si="61">E64</f>
        <v>0</v>
      </c>
      <c r="F78" s="570">
        <f t="shared" si="60"/>
        <v>0</v>
      </c>
      <c r="G78" s="570">
        <f t="shared" ref="G78" si="62">G64</f>
        <v>0</v>
      </c>
      <c r="H78" s="570">
        <f t="shared" si="60"/>
        <v>0</v>
      </c>
      <c r="I78" s="570">
        <f t="shared" si="60"/>
        <v>0</v>
      </c>
      <c r="J78" s="570">
        <f t="shared" si="60"/>
        <v>0</v>
      </c>
      <c r="K78" s="570">
        <f t="shared" si="60"/>
        <v>0</v>
      </c>
      <c r="L78" s="570">
        <f t="shared" si="60"/>
        <v>0</v>
      </c>
      <c r="M78" s="570">
        <f t="shared" si="60"/>
        <v>0</v>
      </c>
      <c r="N78" s="570">
        <f t="shared" si="60"/>
        <v>0</v>
      </c>
      <c r="O78" s="570">
        <f t="shared" si="60"/>
        <v>0</v>
      </c>
      <c r="P78" s="570">
        <f t="shared" si="60"/>
        <v>0</v>
      </c>
      <c r="Q78" s="570">
        <f t="shared" si="60"/>
        <v>0</v>
      </c>
      <c r="R78" s="570">
        <f t="shared" si="60"/>
        <v>0</v>
      </c>
      <c r="S78" s="570">
        <f t="shared" si="60"/>
        <v>0</v>
      </c>
      <c r="T78" s="570">
        <f t="shared" si="60"/>
        <v>0</v>
      </c>
      <c r="U78" s="570">
        <f t="shared" si="60"/>
        <v>0</v>
      </c>
      <c r="V78" s="570">
        <f t="shared" si="60"/>
        <v>0</v>
      </c>
      <c r="W78" s="570">
        <f t="shared" si="60"/>
        <v>0</v>
      </c>
      <c r="X78" s="570">
        <f t="shared" si="60"/>
        <v>0</v>
      </c>
      <c r="Y78" s="570">
        <f t="shared" si="60"/>
        <v>0</v>
      </c>
      <c r="Z78" s="571"/>
      <c r="AB78" s="187"/>
    </row>
    <row r="79" spans="1:28" s="183" customFormat="1" ht="15.75" customHeight="1">
      <c r="A79" s="376">
        <f t="shared" si="45"/>
        <v>620</v>
      </c>
      <c r="B79" s="377" t="s">
        <v>637</v>
      </c>
      <c r="C79" s="570">
        <f t="shared" si="47"/>
        <v>0</v>
      </c>
      <c r="D79" s="570">
        <f t="shared" ref="D79:Y79" si="63">D63</f>
        <v>0</v>
      </c>
      <c r="E79" s="570">
        <f t="shared" ref="E79" si="64">E63</f>
        <v>0</v>
      </c>
      <c r="F79" s="570">
        <f t="shared" si="63"/>
        <v>0</v>
      </c>
      <c r="G79" s="570">
        <f t="shared" ref="G79" si="65">G63</f>
        <v>0</v>
      </c>
      <c r="H79" s="570">
        <f t="shared" si="63"/>
        <v>0</v>
      </c>
      <c r="I79" s="570">
        <f t="shared" si="63"/>
        <v>0</v>
      </c>
      <c r="J79" s="570">
        <f t="shared" si="63"/>
        <v>0</v>
      </c>
      <c r="K79" s="570">
        <f t="shared" si="63"/>
        <v>0</v>
      </c>
      <c r="L79" s="570">
        <f t="shared" si="63"/>
        <v>0</v>
      </c>
      <c r="M79" s="570">
        <f t="shared" si="63"/>
        <v>0</v>
      </c>
      <c r="N79" s="570">
        <f t="shared" si="63"/>
        <v>0</v>
      </c>
      <c r="O79" s="570">
        <f t="shared" si="63"/>
        <v>0</v>
      </c>
      <c r="P79" s="570">
        <f t="shared" si="63"/>
        <v>0</v>
      </c>
      <c r="Q79" s="570">
        <f t="shared" si="63"/>
        <v>0</v>
      </c>
      <c r="R79" s="570">
        <f t="shared" si="63"/>
        <v>0</v>
      </c>
      <c r="S79" s="570">
        <f t="shared" si="63"/>
        <v>0</v>
      </c>
      <c r="T79" s="570">
        <f t="shared" si="63"/>
        <v>0</v>
      </c>
      <c r="U79" s="570">
        <f t="shared" si="63"/>
        <v>0</v>
      </c>
      <c r="V79" s="570">
        <f t="shared" si="63"/>
        <v>0</v>
      </c>
      <c r="W79" s="570">
        <f t="shared" si="63"/>
        <v>0</v>
      </c>
      <c r="X79" s="570">
        <f t="shared" si="63"/>
        <v>0</v>
      </c>
      <c r="Y79" s="570">
        <f t="shared" si="63"/>
        <v>0</v>
      </c>
      <c r="Z79" s="571"/>
      <c r="AB79" s="187"/>
    </row>
    <row r="80" spans="1:28" s="183" customFormat="1" ht="15.75" customHeight="1">
      <c r="A80" s="376">
        <f t="shared" si="45"/>
        <v>630</v>
      </c>
      <c r="B80" s="377" t="s">
        <v>394</v>
      </c>
      <c r="C80" s="570">
        <f t="shared" si="47"/>
        <v>0</v>
      </c>
      <c r="D80" s="570">
        <f>D12+D20+D27+D34+D41+D48+D55+D65</f>
        <v>0</v>
      </c>
      <c r="E80" s="570">
        <f>E12+E20+E27+E34+E41+E48+E55+E65</f>
        <v>0</v>
      </c>
      <c r="F80" s="570">
        <f>F12+F20+F27+F34+F41+F48+F55+F65</f>
        <v>0</v>
      </c>
      <c r="G80" s="570">
        <f t="shared" ref="G80" si="66">G12+G20+G27+G34+G41+G48+G55+G65</f>
        <v>0</v>
      </c>
      <c r="H80" s="570">
        <f t="shared" ref="H80:Y80" si="67">H12+H20+H27+H34+H41+H48+H55+H65</f>
        <v>0</v>
      </c>
      <c r="I80" s="570">
        <f t="shared" si="67"/>
        <v>0</v>
      </c>
      <c r="J80" s="570">
        <f t="shared" si="67"/>
        <v>0</v>
      </c>
      <c r="K80" s="570">
        <f t="shared" si="67"/>
        <v>0</v>
      </c>
      <c r="L80" s="570">
        <f t="shared" si="67"/>
        <v>0</v>
      </c>
      <c r="M80" s="570">
        <f t="shared" si="67"/>
        <v>0</v>
      </c>
      <c r="N80" s="570">
        <f t="shared" si="67"/>
        <v>0</v>
      </c>
      <c r="O80" s="570">
        <f t="shared" si="67"/>
        <v>0</v>
      </c>
      <c r="P80" s="570">
        <f t="shared" si="67"/>
        <v>0</v>
      </c>
      <c r="Q80" s="570">
        <f t="shared" si="67"/>
        <v>0</v>
      </c>
      <c r="R80" s="570">
        <f t="shared" si="67"/>
        <v>0</v>
      </c>
      <c r="S80" s="570">
        <f t="shared" si="67"/>
        <v>0</v>
      </c>
      <c r="T80" s="570">
        <f t="shared" si="67"/>
        <v>0</v>
      </c>
      <c r="U80" s="570">
        <f t="shared" si="67"/>
        <v>0</v>
      </c>
      <c r="V80" s="570">
        <f t="shared" si="67"/>
        <v>0</v>
      </c>
      <c r="W80" s="570">
        <f t="shared" si="67"/>
        <v>0</v>
      </c>
      <c r="X80" s="570">
        <f t="shared" si="67"/>
        <v>0</v>
      </c>
      <c r="Y80" s="570">
        <f t="shared" si="67"/>
        <v>0</v>
      </c>
      <c r="Z80" s="571"/>
      <c r="AB80" s="187"/>
    </row>
    <row r="81" spans="1:28" s="183" customFormat="1" ht="15.75" customHeight="1">
      <c r="A81" s="376">
        <f t="shared" si="45"/>
        <v>640</v>
      </c>
      <c r="B81" s="377" t="s">
        <v>687</v>
      </c>
      <c r="C81" s="570">
        <f t="shared" si="47"/>
        <v>33541698</v>
      </c>
      <c r="D81" s="570">
        <f t="shared" ref="D81:Y81" si="68">D66</f>
        <v>33541698</v>
      </c>
      <c r="E81" s="570">
        <f t="shared" ref="E81" si="69">E66</f>
        <v>0</v>
      </c>
      <c r="F81" s="570">
        <f t="shared" si="68"/>
        <v>0</v>
      </c>
      <c r="G81" s="570">
        <f t="shared" ref="G81" si="70">G66</f>
        <v>0</v>
      </c>
      <c r="H81" s="570">
        <f t="shared" si="68"/>
        <v>0</v>
      </c>
      <c r="I81" s="570">
        <f t="shared" si="68"/>
        <v>0</v>
      </c>
      <c r="J81" s="570">
        <f t="shared" si="68"/>
        <v>0</v>
      </c>
      <c r="K81" s="570">
        <f t="shared" si="68"/>
        <v>0</v>
      </c>
      <c r="L81" s="570">
        <f t="shared" si="68"/>
        <v>0</v>
      </c>
      <c r="M81" s="570">
        <f t="shared" si="68"/>
        <v>96447</v>
      </c>
      <c r="N81" s="570">
        <f t="shared" si="68"/>
        <v>0</v>
      </c>
      <c r="O81" s="570">
        <f t="shared" si="68"/>
        <v>18230771</v>
      </c>
      <c r="P81" s="570">
        <f t="shared" si="68"/>
        <v>0</v>
      </c>
      <c r="Q81" s="570">
        <f t="shared" si="68"/>
        <v>18230771</v>
      </c>
      <c r="R81" s="570">
        <f t="shared" si="68"/>
        <v>2640426</v>
      </c>
      <c r="S81" s="570">
        <f t="shared" si="68"/>
        <v>0</v>
      </c>
      <c r="T81" s="570">
        <f t="shared" si="68"/>
        <v>0</v>
      </c>
      <c r="U81" s="570">
        <f t="shared" si="68"/>
        <v>0</v>
      </c>
      <c r="V81" s="570">
        <f t="shared" si="68"/>
        <v>0</v>
      </c>
      <c r="W81" s="570">
        <f t="shared" si="68"/>
        <v>12574054</v>
      </c>
      <c r="X81" s="570">
        <f t="shared" si="68"/>
        <v>0</v>
      </c>
      <c r="Y81" s="570">
        <f t="shared" si="68"/>
        <v>0</v>
      </c>
      <c r="Z81" s="571"/>
      <c r="AB81" s="187"/>
    </row>
    <row r="82" spans="1:28" s="183" customFormat="1" ht="15.75" customHeight="1">
      <c r="A82" s="376">
        <f t="shared" si="45"/>
        <v>650</v>
      </c>
      <c r="B82" s="377" t="s">
        <v>643</v>
      </c>
      <c r="C82" s="570">
        <f>SUM(J82:Y82)-L82-P82-Q82</f>
        <v>1623241</v>
      </c>
      <c r="D82" s="570">
        <f>+D56+D67</f>
        <v>1192961</v>
      </c>
      <c r="E82" s="570">
        <f>+E56+E67</f>
        <v>430280</v>
      </c>
      <c r="F82" s="570">
        <f>+F56+F67</f>
        <v>131200</v>
      </c>
      <c r="G82" s="570">
        <f t="shared" ref="G82" si="71">+G56+G67</f>
        <v>0</v>
      </c>
      <c r="H82" s="570">
        <f t="shared" ref="H82:Y82" si="72">+H56+H67</f>
        <v>0</v>
      </c>
      <c r="I82" s="570">
        <f t="shared" si="72"/>
        <v>131200</v>
      </c>
      <c r="J82" s="570">
        <f t="shared" si="72"/>
        <v>0</v>
      </c>
      <c r="K82" s="570">
        <f t="shared" si="72"/>
        <v>0</v>
      </c>
      <c r="L82" s="570">
        <f t="shared" si="72"/>
        <v>0</v>
      </c>
      <c r="M82" s="570">
        <f t="shared" si="72"/>
        <v>0</v>
      </c>
      <c r="N82" s="570">
        <f t="shared" si="72"/>
        <v>0</v>
      </c>
      <c r="O82" s="570">
        <f t="shared" si="72"/>
        <v>224068</v>
      </c>
      <c r="P82" s="570">
        <f t="shared" si="72"/>
        <v>0</v>
      </c>
      <c r="Q82" s="570">
        <f t="shared" si="72"/>
        <v>224068</v>
      </c>
      <c r="R82" s="570">
        <f t="shared" si="72"/>
        <v>0</v>
      </c>
      <c r="S82" s="570">
        <f t="shared" si="72"/>
        <v>0</v>
      </c>
      <c r="T82" s="570">
        <f t="shared" si="72"/>
        <v>0</v>
      </c>
      <c r="U82" s="570">
        <f t="shared" si="72"/>
        <v>34051</v>
      </c>
      <c r="V82" s="570">
        <f t="shared" si="72"/>
        <v>814970</v>
      </c>
      <c r="W82" s="570">
        <f t="shared" si="72"/>
        <v>550152</v>
      </c>
      <c r="X82" s="570">
        <f t="shared" si="72"/>
        <v>0</v>
      </c>
      <c r="Y82" s="570">
        <f t="shared" si="72"/>
        <v>0</v>
      </c>
      <c r="Z82" s="571"/>
      <c r="AB82" s="187"/>
    </row>
    <row r="83" spans="1:28" s="183" customFormat="1" ht="15.75" customHeight="1">
      <c r="A83" s="376">
        <f t="shared" si="45"/>
        <v>660</v>
      </c>
      <c r="B83" s="377" t="s">
        <v>644</v>
      </c>
      <c r="C83" s="570">
        <f t="shared" si="47"/>
        <v>0</v>
      </c>
      <c r="D83" s="570">
        <f t="shared" ref="D83:Y83" si="73">D68</f>
        <v>0</v>
      </c>
      <c r="E83" s="570">
        <f t="shared" ref="E83" si="74">E68</f>
        <v>0</v>
      </c>
      <c r="F83" s="570">
        <f t="shared" si="73"/>
        <v>0</v>
      </c>
      <c r="G83" s="570">
        <f t="shared" ref="G83" si="75">G68</f>
        <v>0</v>
      </c>
      <c r="H83" s="570">
        <f t="shared" si="73"/>
        <v>0</v>
      </c>
      <c r="I83" s="570">
        <f t="shared" si="73"/>
        <v>0</v>
      </c>
      <c r="J83" s="570">
        <f t="shared" si="73"/>
        <v>0</v>
      </c>
      <c r="K83" s="570">
        <f t="shared" si="73"/>
        <v>0</v>
      </c>
      <c r="L83" s="570">
        <f t="shared" si="73"/>
        <v>0</v>
      </c>
      <c r="M83" s="570">
        <f t="shared" si="73"/>
        <v>0</v>
      </c>
      <c r="N83" s="570">
        <f t="shared" si="73"/>
        <v>0</v>
      </c>
      <c r="O83" s="570">
        <f t="shared" si="73"/>
        <v>0</v>
      </c>
      <c r="P83" s="570">
        <f t="shared" si="73"/>
        <v>0</v>
      </c>
      <c r="Q83" s="570">
        <f t="shared" si="73"/>
        <v>0</v>
      </c>
      <c r="R83" s="570">
        <f t="shared" si="73"/>
        <v>0</v>
      </c>
      <c r="S83" s="570">
        <f t="shared" si="73"/>
        <v>0</v>
      </c>
      <c r="T83" s="570">
        <f t="shared" si="73"/>
        <v>0</v>
      </c>
      <c r="U83" s="570">
        <f t="shared" si="73"/>
        <v>0</v>
      </c>
      <c r="V83" s="570">
        <f t="shared" si="73"/>
        <v>0</v>
      </c>
      <c r="W83" s="570">
        <f t="shared" si="73"/>
        <v>0</v>
      </c>
      <c r="X83" s="570">
        <f t="shared" si="73"/>
        <v>0</v>
      </c>
      <c r="Y83" s="570">
        <f t="shared" si="73"/>
        <v>0</v>
      </c>
      <c r="Z83" s="571"/>
      <c r="AB83" s="187"/>
    </row>
    <row r="84" spans="1:28" s="183" customFormat="1" ht="15.75" customHeight="1">
      <c r="A84" s="376">
        <f>A83+10</f>
        <v>670</v>
      </c>
      <c r="B84" s="377" t="s">
        <v>645</v>
      </c>
      <c r="C84" s="570">
        <f t="shared" si="47"/>
        <v>0</v>
      </c>
      <c r="D84" s="570">
        <f>D13+D21+D28+D35+D42+D49+D57+D69</f>
        <v>0</v>
      </c>
      <c r="E84" s="570">
        <f>E13+E21+E28+E35+E42+E49+E57+E69</f>
        <v>0</v>
      </c>
      <c r="F84" s="570">
        <f>F13+F21+F28+F35+F42+F49+F57+F69</f>
        <v>0</v>
      </c>
      <c r="G84" s="570">
        <f t="shared" ref="G84" si="76">G13+G21+G28+G35+G42+G49+G57+G69</f>
        <v>0</v>
      </c>
      <c r="H84" s="570">
        <f t="shared" ref="H84:Y84" si="77">H13+H21+H28+H35+H42+H49+H57+H69</f>
        <v>0</v>
      </c>
      <c r="I84" s="570">
        <f t="shared" si="77"/>
        <v>0</v>
      </c>
      <c r="J84" s="570">
        <f t="shared" si="77"/>
        <v>0</v>
      </c>
      <c r="K84" s="570">
        <f t="shared" si="77"/>
        <v>0</v>
      </c>
      <c r="L84" s="570">
        <f t="shared" si="77"/>
        <v>0</v>
      </c>
      <c r="M84" s="570">
        <f t="shared" si="77"/>
        <v>0</v>
      </c>
      <c r="N84" s="570">
        <f t="shared" si="77"/>
        <v>0</v>
      </c>
      <c r="O84" s="570">
        <f t="shared" si="77"/>
        <v>0</v>
      </c>
      <c r="P84" s="570">
        <f t="shared" si="77"/>
        <v>0</v>
      </c>
      <c r="Q84" s="570">
        <f t="shared" si="77"/>
        <v>0</v>
      </c>
      <c r="R84" s="570">
        <f t="shared" si="77"/>
        <v>0</v>
      </c>
      <c r="S84" s="570">
        <f t="shared" si="77"/>
        <v>0</v>
      </c>
      <c r="T84" s="570">
        <f t="shared" si="77"/>
        <v>0</v>
      </c>
      <c r="U84" s="570">
        <f t="shared" si="77"/>
        <v>0</v>
      </c>
      <c r="V84" s="570">
        <f t="shared" si="77"/>
        <v>0</v>
      </c>
      <c r="W84" s="570">
        <f t="shared" si="77"/>
        <v>0</v>
      </c>
      <c r="X84" s="570">
        <f t="shared" si="77"/>
        <v>0</v>
      </c>
      <c r="Y84" s="570">
        <f t="shared" si="77"/>
        <v>0</v>
      </c>
      <c r="Z84" s="571"/>
      <c r="AB84" s="187"/>
    </row>
    <row r="85" spans="1:28" s="413" customFormat="1" ht="15.75" customHeight="1">
      <c r="A85" s="412">
        <f t="shared" si="45"/>
        <v>680</v>
      </c>
      <c r="B85" s="412" t="s">
        <v>646</v>
      </c>
      <c r="C85" s="572">
        <f t="shared" si="47"/>
        <v>64935569833</v>
      </c>
      <c r="D85" s="572">
        <f>SUM(D73:D84)</f>
        <v>25911516461</v>
      </c>
      <c r="E85" s="572">
        <f>SUM(E73:E84)</f>
        <v>39024053372</v>
      </c>
      <c r="F85" s="572">
        <f>SUM(F73:F84)</f>
        <v>1642397390</v>
      </c>
      <c r="G85" s="572">
        <f t="shared" ref="G85" si="78">SUM(G73:G84)</f>
        <v>197951703</v>
      </c>
      <c r="H85" s="572">
        <f t="shared" ref="H85:Y85" si="79">SUM(H73:H84)</f>
        <v>515717513</v>
      </c>
      <c r="I85" s="572">
        <f t="shared" si="79"/>
        <v>928728174</v>
      </c>
      <c r="J85" s="572">
        <f t="shared" si="79"/>
        <v>86016887</v>
      </c>
      <c r="K85" s="572">
        <f t="shared" si="79"/>
        <v>4607464031</v>
      </c>
      <c r="L85" s="572">
        <f t="shared" si="79"/>
        <v>4398016995</v>
      </c>
      <c r="M85" s="572">
        <f t="shared" si="79"/>
        <v>435922809</v>
      </c>
      <c r="N85" s="572">
        <f t="shared" si="79"/>
        <v>281097262</v>
      </c>
      <c r="O85" s="572">
        <f t="shared" si="79"/>
        <v>21702115236</v>
      </c>
      <c r="P85" s="572">
        <f t="shared" si="79"/>
        <v>5778282254</v>
      </c>
      <c r="Q85" s="572">
        <f t="shared" si="79"/>
        <v>15923832982</v>
      </c>
      <c r="R85" s="572">
        <f t="shared" si="79"/>
        <v>6502253777</v>
      </c>
      <c r="S85" s="572">
        <f t="shared" si="79"/>
        <v>0</v>
      </c>
      <c r="T85" s="572">
        <f t="shared" si="79"/>
        <v>129257724</v>
      </c>
      <c r="U85" s="572">
        <f t="shared" si="79"/>
        <v>70381166</v>
      </c>
      <c r="V85" s="572">
        <f t="shared" si="79"/>
        <v>15964722032</v>
      </c>
      <c r="W85" s="572">
        <f t="shared" si="79"/>
        <v>10136937853</v>
      </c>
      <c r="X85" s="572">
        <f t="shared" si="79"/>
        <v>146072671</v>
      </c>
      <c r="Y85" s="572">
        <f t="shared" si="79"/>
        <v>4873328385</v>
      </c>
      <c r="Z85" s="573"/>
      <c r="AB85" s="414"/>
    </row>
    <row r="86" spans="1:28" ht="19.5" customHeight="1">
      <c r="A86" s="196"/>
      <c r="B86" s="196"/>
      <c r="C86" s="452"/>
      <c r="D86" s="452"/>
      <c r="E86" s="452"/>
      <c r="F86" s="452"/>
      <c r="G86" s="452"/>
      <c r="H86" s="452"/>
      <c r="I86" s="452"/>
      <c r="J86" s="452"/>
      <c r="K86" s="452"/>
      <c r="L86" s="452"/>
      <c r="M86" s="452"/>
      <c r="N86" s="452"/>
      <c r="O86" s="452"/>
      <c r="P86" s="452"/>
      <c r="Q86" s="452"/>
      <c r="R86" s="452"/>
      <c r="S86" s="452"/>
      <c r="T86" s="452"/>
      <c r="U86" s="452"/>
      <c r="V86" s="452"/>
      <c r="W86" s="452"/>
      <c r="X86" s="452"/>
      <c r="Y86" s="452"/>
      <c r="Z86" s="452"/>
    </row>
    <row r="87" spans="1:28" ht="15.75" customHeight="1">
      <c r="B87" s="403" t="s">
        <v>756</v>
      </c>
      <c r="C87" s="452"/>
      <c r="D87" s="452"/>
      <c r="E87" s="452"/>
      <c r="F87" s="525"/>
      <c r="G87" s="525"/>
      <c r="H87" s="525"/>
      <c r="I87" s="525"/>
      <c r="J87" s="525"/>
      <c r="K87" s="525"/>
      <c r="L87" s="525"/>
      <c r="M87" s="525"/>
      <c r="N87" s="452"/>
      <c r="O87" s="452"/>
      <c r="P87" s="452"/>
      <c r="Q87" s="452"/>
      <c r="R87" s="452"/>
      <c r="S87" s="452"/>
      <c r="T87" s="452"/>
      <c r="U87" s="452"/>
      <c r="V87" s="452"/>
      <c r="W87" s="452"/>
      <c r="X87" s="452"/>
      <c r="Y87" s="452"/>
      <c r="Z87" s="452"/>
    </row>
    <row r="88" spans="1:28" ht="15.75" customHeight="1">
      <c r="B88" s="403"/>
      <c r="C88" s="452"/>
      <c r="D88" s="452"/>
      <c r="E88" s="452"/>
      <c r="F88" s="525"/>
      <c r="G88" s="525"/>
      <c r="H88" s="525"/>
      <c r="I88" s="525"/>
      <c r="J88" s="525"/>
      <c r="K88" s="525"/>
      <c r="L88" s="525"/>
      <c r="M88" s="525"/>
      <c r="N88" s="452"/>
      <c r="O88" s="452"/>
      <c r="P88" s="452"/>
      <c r="Q88" s="452"/>
      <c r="R88" s="452"/>
      <c r="S88" s="452"/>
      <c r="T88" s="452"/>
      <c r="U88" s="452"/>
      <c r="V88" s="452"/>
      <c r="W88" s="452"/>
      <c r="X88" s="452"/>
      <c r="Y88" s="452"/>
      <c r="Z88" s="452"/>
    </row>
    <row r="89" spans="1:28" ht="15.75" customHeight="1">
      <c r="B89" s="403" t="s">
        <v>757</v>
      </c>
      <c r="C89" s="452"/>
      <c r="D89" s="452"/>
      <c r="E89" s="452"/>
      <c r="F89" s="525"/>
      <c r="G89" s="525"/>
      <c r="H89" s="525"/>
      <c r="I89" s="525"/>
      <c r="J89" s="525"/>
      <c r="K89" s="525"/>
      <c r="L89" s="525"/>
      <c r="M89" s="525"/>
      <c r="N89" s="452"/>
      <c r="O89" s="452"/>
      <c r="P89" s="452"/>
      <c r="Q89" s="452"/>
      <c r="R89" s="452"/>
      <c r="S89" s="452"/>
      <c r="T89" s="452"/>
      <c r="U89" s="452"/>
      <c r="V89" s="452"/>
      <c r="W89" s="452"/>
      <c r="X89" s="452"/>
      <c r="Y89" s="452"/>
      <c r="Z89" s="452"/>
    </row>
    <row r="90" spans="1:28">
      <c r="B90" s="174"/>
      <c r="C90" s="452"/>
      <c r="D90" s="452"/>
      <c r="E90" s="452"/>
      <c r="F90" s="452"/>
      <c r="G90" s="452"/>
      <c r="H90" s="452"/>
      <c r="I90" s="452"/>
      <c r="J90" s="452"/>
      <c r="K90" s="452"/>
      <c r="L90" s="452"/>
      <c r="M90" s="452"/>
      <c r="N90" s="452"/>
      <c r="O90" s="452"/>
      <c r="P90" s="452"/>
      <c r="Q90" s="452"/>
      <c r="R90" s="452"/>
      <c r="S90" s="452"/>
      <c r="T90" s="452"/>
      <c r="U90" s="452"/>
      <c r="V90" s="452"/>
      <c r="W90" s="452"/>
      <c r="X90" s="452"/>
      <c r="Y90" s="452"/>
      <c r="Z90" s="452"/>
    </row>
    <row r="91" spans="1:28">
      <c r="C91" s="578"/>
      <c r="D91" s="578"/>
      <c r="E91" s="578"/>
      <c r="F91" s="578"/>
      <c r="G91" s="578"/>
      <c r="H91" s="578"/>
      <c r="I91" s="578"/>
      <c r="J91" s="578"/>
      <c r="K91" s="452"/>
      <c r="L91" s="452"/>
      <c r="M91" s="452"/>
      <c r="N91" s="452"/>
      <c r="O91" s="452"/>
      <c r="P91" s="452"/>
      <c r="Q91" s="452"/>
      <c r="R91" s="452"/>
      <c r="S91" s="452"/>
      <c r="T91" s="452"/>
      <c r="U91" s="452"/>
      <c r="V91" s="452"/>
      <c r="W91" s="452"/>
      <c r="X91" s="452"/>
      <c r="Y91" s="452"/>
      <c r="Z91" s="452"/>
    </row>
    <row r="92" spans="1:28">
      <c r="C92" s="578">
        <f>+[8]Balance!C25</f>
        <v>64935569833</v>
      </c>
      <c r="D92" s="578">
        <f>+[8]Balance!D25</f>
        <v>25911516461</v>
      </c>
      <c r="E92" s="578">
        <f>+[8]Balance!E25</f>
        <v>39024053372</v>
      </c>
      <c r="F92" s="578">
        <f>+'Asset Classification'!M31+'Asset Classification'!Q31+'Asset Classification'!U31</f>
        <v>1642397390</v>
      </c>
      <c r="G92" s="578">
        <f>+'Asset Classification'!M31</f>
        <v>197951703</v>
      </c>
      <c r="H92" s="578">
        <f>+'Asset Classification'!Q31</f>
        <v>515717513</v>
      </c>
      <c r="I92" s="578">
        <f>+'Asset Classification'!U31</f>
        <v>928728174</v>
      </c>
      <c r="J92" s="578"/>
      <c r="K92" s="452"/>
      <c r="L92" s="452"/>
      <c r="M92" s="452"/>
      <c r="N92" s="452"/>
      <c r="O92" s="452"/>
      <c r="P92" s="452"/>
      <c r="Q92" s="452"/>
      <c r="R92" s="452"/>
      <c r="S92" s="452"/>
      <c r="T92" s="452"/>
      <c r="U92" s="452"/>
      <c r="V92" s="452"/>
      <c r="W92" s="452"/>
      <c r="X92" s="452"/>
      <c r="Y92" s="452"/>
      <c r="Z92" s="452"/>
    </row>
    <row r="93" spans="1:28">
      <c r="C93" s="511">
        <f t="shared" ref="C93:I93" si="80">+C85-C92</f>
        <v>0</v>
      </c>
      <c r="D93" s="511">
        <f t="shared" si="80"/>
        <v>0</v>
      </c>
      <c r="E93" s="511">
        <f t="shared" si="80"/>
        <v>0</v>
      </c>
      <c r="F93" s="511">
        <f t="shared" si="80"/>
        <v>0</v>
      </c>
      <c r="G93" s="511">
        <f t="shared" si="80"/>
        <v>0</v>
      </c>
      <c r="H93" s="511">
        <f t="shared" si="80"/>
        <v>0</v>
      </c>
      <c r="I93" s="511">
        <f t="shared" si="80"/>
        <v>0</v>
      </c>
      <c r="J93" s="489"/>
    </row>
    <row r="94" spans="1:28">
      <c r="C94" s="511"/>
      <c r="D94" s="511"/>
      <c r="E94" s="511"/>
      <c r="F94" s="511"/>
      <c r="G94" s="511"/>
      <c r="H94" s="511"/>
      <c r="I94" s="511"/>
      <c r="J94" s="490"/>
    </row>
    <row r="95" spans="1:28">
      <c r="C95" s="437"/>
      <c r="D95" s="437"/>
      <c r="E95" s="437"/>
      <c r="F95" s="437"/>
      <c r="G95" s="437"/>
      <c r="H95" s="437"/>
      <c r="I95" s="437"/>
    </row>
  </sheetData>
  <sheetProtection password="CACA" sheet="1" objects="1" scenarios="1"/>
  <mergeCells count="25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F5:F6"/>
    <mergeCell ref="F4:I4"/>
    <mergeCell ref="G5:I5"/>
    <mergeCell ref="A4:A6"/>
    <mergeCell ref="B4:B6"/>
    <mergeCell ref="C4:C6"/>
    <mergeCell ref="D4:E4"/>
    <mergeCell ref="D5:D6"/>
    <mergeCell ref="E5:E6"/>
  </mergeCells>
  <phoneticPr fontId="26" type="noConversion"/>
  <conditionalFormatting sqref="C9:C13">
    <cfRule type="cellIs" dxfId="254" priority="20" operator="notEqual">
      <formula>D9+E9</formula>
    </cfRule>
  </conditionalFormatting>
  <conditionalFormatting sqref="C16:C21">
    <cfRule type="cellIs" dxfId="253" priority="17" operator="notEqual">
      <formula>D16+E16</formula>
    </cfRule>
  </conditionalFormatting>
  <conditionalFormatting sqref="C24:C28">
    <cfRule type="cellIs" dxfId="252" priority="16" operator="notEqual">
      <formula>D24+E24</formula>
    </cfRule>
  </conditionalFormatting>
  <conditionalFormatting sqref="C31:C35">
    <cfRule type="cellIs" dxfId="251" priority="15" operator="notEqual">
      <formula>D31+E31</formula>
    </cfRule>
  </conditionalFormatting>
  <conditionalFormatting sqref="C38:C42">
    <cfRule type="cellIs" dxfId="250" priority="14" operator="notEqual">
      <formula>D38+E38</formula>
    </cfRule>
  </conditionalFormatting>
  <conditionalFormatting sqref="C45:C49">
    <cfRule type="cellIs" dxfId="249" priority="13" operator="notEqual">
      <formula>D45+E45</formula>
    </cfRule>
  </conditionalFormatting>
  <conditionalFormatting sqref="C52:C57">
    <cfRule type="cellIs" dxfId="248" priority="12" operator="notEqual">
      <formula>D52+E52</formula>
    </cfRule>
  </conditionalFormatting>
  <conditionalFormatting sqref="C60:C69">
    <cfRule type="cellIs" dxfId="247" priority="11" operator="notEqual">
      <formula>D60+E60</formula>
    </cfRule>
  </conditionalFormatting>
  <conditionalFormatting sqref="C71">
    <cfRule type="cellIs" dxfId="246" priority="9" operator="notEqual">
      <formula>D71+E71</formula>
    </cfRule>
  </conditionalFormatting>
  <conditionalFormatting sqref="C73:C84">
    <cfRule type="cellIs" dxfId="245" priority="10" operator="notEqual">
      <formula>D73+E73</formula>
    </cfRule>
  </conditionalFormatting>
  <conditionalFormatting sqref="C85:I85">
    <cfRule type="cellIs" dxfId="244" priority="1" operator="notEqual">
      <formula>C92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AA42"/>
  <sheetViews>
    <sheetView view="pageBreakPreview" zoomScale="70" zoomScaleNormal="71" zoomScaleSheetLayoutView="70" workbookViewId="0">
      <pane xSplit="4" ySplit="8" topLeftCell="E9" activePane="bottomRight" state="frozen"/>
      <selection activeCell="J79" sqref="J79"/>
      <selection pane="topRight" activeCell="J79" sqref="J79"/>
      <selection pane="bottomLeft" activeCell="J79" sqref="J79"/>
      <selection pane="bottomRight" activeCell="J23" sqref="J23"/>
    </sheetView>
  </sheetViews>
  <sheetFormatPr defaultRowHeight="15"/>
  <cols>
    <col min="1" max="1" width="5" style="6" customWidth="1"/>
    <col min="2" max="2" width="48.140625" style="6" customWidth="1"/>
    <col min="3" max="3" width="19.140625" style="517" customWidth="1"/>
    <col min="4" max="4" width="7.140625" style="6" customWidth="1"/>
    <col min="5" max="5" width="21.85546875" style="517" customWidth="1"/>
    <col min="6" max="6" width="8.5703125" style="6" customWidth="1"/>
    <col min="7" max="7" width="21.85546875" style="517" customWidth="1"/>
    <col min="8" max="8" width="7.140625" style="6" customWidth="1"/>
    <col min="9" max="10" width="17.28515625" style="517" customWidth="1"/>
    <col min="11" max="11" width="8.7109375" style="6" customWidth="1"/>
    <col min="12" max="25" width="17.140625" style="517" customWidth="1"/>
    <col min="26" max="26" width="14.28515625" style="525" bestFit="1" customWidth="1"/>
    <col min="27" max="16384" width="9.140625" style="6"/>
  </cols>
  <sheetData>
    <row r="1" spans="1:27" s="127" customFormat="1" ht="36.75" customHeight="1">
      <c r="A1" s="125" t="s">
        <v>665</v>
      </c>
      <c r="B1" s="126"/>
      <c r="C1" s="545"/>
      <c r="D1" s="126"/>
      <c r="E1" s="545"/>
      <c r="F1" s="126"/>
      <c r="G1" s="545"/>
      <c r="H1" s="126"/>
      <c r="I1" s="552"/>
      <c r="J1" s="552"/>
      <c r="K1" s="125"/>
      <c r="L1" s="552"/>
      <c r="M1" s="552"/>
      <c r="N1" s="552"/>
      <c r="O1" s="552"/>
      <c r="P1" s="552"/>
      <c r="Q1" s="552"/>
      <c r="R1" s="545"/>
      <c r="S1" s="545"/>
      <c r="T1" s="545"/>
      <c r="U1" s="545"/>
      <c r="V1" s="555"/>
      <c r="W1" s="556"/>
      <c r="X1" s="557" t="s">
        <v>666</v>
      </c>
      <c r="Y1" s="545"/>
      <c r="Z1" s="555"/>
    </row>
    <row r="2" spans="1:27" s="20" customFormat="1" ht="18">
      <c r="A2" s="124"/>
      <c r="B2" s="21"/>
      <c r="C2" s="546"/>
      <c r="D2" s="21"/>
      <c r="E2" s="546"/>
      <c r="F2" s="21"/>
      <c r="G2" s="546"/>
      <c r="H2" s="21"/>
      <c r="I2" s="553"/>
      <c r="J2" s="553"/>
      <c r="K2" s="5"/>
      <c r="L2" s="546"/>
      <c r="M2" s="546"/>
      <c r="N2" s="546"/>
      <c r="O2" s="546"/>
      <c r="P2" s="546"/>
      <c r="Q2" s="546"/>
      <c r="R2" s="546"/>
      <c r="S2" s="546"/>
      <c r="T2" s="558"/>
      <c r="U2" s="546"/>
      <c r="V2" s="546"/>
      <c r="W2" s="546"/>
      <c r="X2" s="546"/>
      <c r="Y2" s="558"/>
      <c r="Z2" s="558"/>
    </row>
    <row r="3" spans="1:27" ht="18">
      <c r="A3" s="121"/>
      <c r="B3" s="172" t="str">
        <f>+'Asset quality'!B3</f>
        <v>"Ўзсаноатқурилишбанк" АТБ</v>
      </c>
      <c r="D3" s="122"/>
      <c r="F3" s="122"/>
      <c r="H3" s="122"/>
      <c r="J3" s="554"/>
      <c r="K3" s="123"/>
      <c r="L3" s="554"/>
      <c r="T3" s="670">
        <f>+'Asset quality'!Q3</f>
        <v>46021</v>
      </c>
      <c r="U3" s="670"/>
      <c r="X3" s="559" t="str">
        <f>+'Asset quality'!T3</f>
        <v>минг. сўмда</v>
      </c>
      <c r="Z3" s="517"/>
    </row>
    <row r="4" spans="1:27" ht="30" customHeight="1">
      <c r="A4" s="675" t="s">
        <v>61</v>
      </c>
      <c r="B4" s="675" t="s">
        <v>282</v>
      </c>
      <c r="C4" s="678" t="s">
        <v>667</v>
      </c>
      <c r="D4" s="675" t="s">
        <v>76</v>
      </c>
      <c r="E4" s="678" t="s">
        <v>668</v>
      </c>
      <c r="F4" s="675" t="s">
        <v>76</v>
      </c>
      <c r="G4" s="678" t="s">
        <v>669</v>
      </c>
      <c r="H4" s="675" t="s">
        <v>76</v>
      </c>
      <c r="I4" s="671" t="s">
        <v>670</v>
      </c>
      <c r="J4" s="672"/>
      <c r="K4" s="675" t="s">
        <v>76</v>
      </c>
      <c r="L4" s="667" t="s">
        <v>671</v>
      </c>
      <c r="M4" s="669"/>
      <c r="N4" s="669"/>
      <c r="O4" s="669"/>
      <c r="P4" s="669"/>
      <c r="Q4" s="669"/>
      <c r="R4" s="669"/>
      <c r="S4" s="669"/>
      <c r="T4" s="669"/>
      <c r="U4" s="669"/>
      <c r="V4" s="669"/>
      <c r="W4" s="669"/>
      <c r="X4" s="669"/>
      <c r="Y4" s="668"/>
    </row>
    <row r="5" spans="1:27" ht="25.5" customHeight="1">
      <c r="A5" s="676"/>
      <c r="B5" s="676"/>
      <c r="C5" s="679"/>
      <c r="D5" s="676"/>
      <c r="E5" s="679"/>
      <c r="F5" s="676"/>
      <c r="G5" s="679"/>
      <c r="H5" s="676"/>
      <c r="I5" s="673"/>
      <c r="J5" s="674"/>
      <c r="K5" s="676"/>
      <c r="L5" s="667" t="s">
        <v>672</v>
      </c>
      <c r="M5" s="668"/>
      <c r="N5" s="667" t="s">
        <v>673</v>
      </c>
      <c r="O5" s="668"/>
      <c r="P5" s="667" t="s">
        <v>674</v>
      </c>
      <c r="Q5" s="668"/>
      <c r="R5" s="667" t="s">
        <v>529</v>
      </c>
      <c r="S5" s="668"/>
      <c r="T5" s="667" t="s">
        <v>530</v>
      </c>
      <c r="U5" s="668"/>
      <c r="V5" s="667" t="s">
        <v>531</v>
      </c>
      <c r="W5" s="668"/>
      <c r="X5" s="667" t="s">
        <v>532</v>
      </c>
      <c r="Y5" s="668"/>
    </row>
    <row r="6" spans="1:27" ht="41.25" customHeight="1">
      <c r="A6" s="677"/>
      <c r="B6" s="677"/>
      <c r="C6" s="680"/>
      <c r="D6" s="677"/>
      <c r="E6" s="680"/>
      <c r="F6" s="677"/>
      <c r="G6" s="680"/>
      <c r="H6" s="677"/>
      <c r="I6" s="547" t="s">
        <v>675</v>
      </c>
      <c r="J6" s="547" t="s">
        <v>676</v>
      </c>
      <c r="K6" s="677"/>
      <c r="L6" s="547" t="s">
        <v>675</v>
      </c>
      <c r="M6" s="547" t="s">
        <v>676</v>
      </c>
      <c r="N6" s="547" t="s">
        <v>675</v>
      </c>
      <c r="O6" s="547" t="s">
        <v>676</v>
      </c>
      <c r="P6" s="547" t="s">
        <v>675</v>
      </c>
      <c r="Q6" s="547" t="s">
        <v>676</v>
      </c>
      <c r="R6" s="547" t="s">
        <v>675</v>
      </c>
      <c r="S6" s="547" t="s">
        <v>676</v>
      </c>
      <c r="T6" s="547" t="s">
        <v>675</v>
      </c>
      <c r="U6" s="547" t="s">
        <v>676</v>
      </c>
      <c r="V6" s="547" t="s">
        <v>675</v>
      </c>
      <c r="W6" s="547" t="s">
        <v>676</v>
      </c>
      <c r="X6" s="547" t="s">
        <v>675</v>
      </c>
      <c r="Y6" s="547" t="s">
        <v>676</v>
      </c>
    </row>
    <row r="7" spans="1:27" ht="15.75">
      <c r="A7" s="92"/>
      <c r="B7" s="92" t="s">
        <v>66</v>
      </c>
      <c r="C7" s="547" t="s">
        <v>36</v>
      </c>
      <c r="D7" s="92" t="s">
        <v>37</v>
      </c>
      <c r="E7" s="547" t="s">
        <v>38</v>
      </c>
      <c r="F7" s="92" t="s">
        <v>62</v>
      </c>
      <c r="G7" s="547" t="s">
        <v>63</v>
      </c>
      <c r="H7" s="92" t="s">
        <v>64</v>
      </c>
      <c r="I7" s="547" t="s">
        <v>67</v>
      </c>
      <c r="J7" s="547" t="s">
        <v>166</v>
      </c>
      <c r="K7" s="92" t="s">
        <v>68</v>
      </c>
      <c r="L7" s="547" t="s">
        <v>69</v>
      </c>
      <c r="M7" s="547" t="s">
        <v>165</v>
      </c>
      <c r="N7" s="547" t="s">
        <v>70</v>
      </c>
      <c r="O7" s="547" t="s">
        <v>167</v>
      </c>
      <c r="P7" s="547" t="s">
        <v>71</v>
      </c>
      <c r="Q7" s="547" t="s">
        <v>168</v>
      </c>
      <c r="R7" s="547" t="s">
        <v>72</v>
      </c>
      <c r="S7" s="547" t="s">
        <v>169</v>
      </c>
      <c r="T7" s="547" t="s">
        <v>73</v>
      </c>
      <c r="U7" s="547" t="s">
        <v>170</v>
      </c>
      <c r="V7" s="547" t="s">
        <v>74</v>
      </c>
      <c r="W7" s="547" t="s">
        <v>171</v>
      </c>
      <c r="X7" s="547" t="s">
        <v>75</v>
      </c>
      <c r="Y7" s="547" t="s">
        <v>172</v>
      </c>
    </row>
    <row r="8" spans="1:27" s="22" customFormat="1" ht="27.75" customHeight="1">
      <c r="A8" s="92"/>
      <c r="B8" s="92" t="s">
        <v>636</v>
      </c>
      <c r="C8" s="547"/>
      <c r="D8" s="92"/>
      <c r="E8" s="547"/>
      <c r="F8" s="92"/>
      <c r="G8" s="547"/>
      <c r="H8" s="92"/>
      <c r="I8" s="547"/>
      <c r="J8" s="547"/>
      <c r="K8" s="92"/>
      <c r="L8" s="547"/>
      <c r="M8" s="547"/>
      <c r="N8" s="547"/>
      <c r="O8" s="547"/>
      <c r="P8" s="547"/>
      <c r="Q8" s="547"/>
      <c r="R8" s="547"/>
      <c r="S8" s="547"/>
      <c r="T8" s="547"/>
      <c r="U8" s="547"/>
      <c r="V8" s="547"/>
      <c r="W8" s="547"/>
      <c r="X8" s="547"/>
      <c r="Y8" s="547"/>
      <c r="Z8" s="560"/>
    </row>
    <row r="9" spans="1:27" s="22" customFormat="1" ht="26.25" customHeight="1">
      <c r="A9" s="287">
        <v>1</v>
      </c>
      <c r="B9" s="288" t="s">
        <v>637</v>
      </c>
      <c r="C9" s="548">
        <f>+'Loans Receivable'!C79</f>
        <v>0</v>
      </c>
      <c r="D9" s="85">
        <f t="shared" ref="D9:D20" si="0">IF(C$22=0,"",C9/C$22)</f>
        <v>0</v>
      </c>
      <c r="E9" s="551">
        <v>0</v>
      </c>
      <c r="F9" s="85">
        <f t="shared" ref="F9:F20" si="1">IF(E$22=0,"",E9/E$22)</f>
        <v>0</v>
      </c>
      <c r="G9" s="551">
        <v>0</v>
      </c>
      <c r="H9" s="85">
        <f t="shared" ref="H9:H20" si="2">IF($G$22=0,"",G9/$G$22)</f>
        <v>0</v>
      </c>
      <c r="I9" s="548">
        <f t="shared" ref="I9:J20" si="3">+L9+N9+P9+R9+T9+V9+X9</f>
        <v>0</v>
      </c>
      <c r="J9" s="548">
        <f>+M9+O9+T9+S9+U9+W9+Y9</f>
        <v>0</v>
      </c>
      <c r="K9" s="85">
        <f t="shared" ref="K9:K20" si="4">IF($Z$22=0,"",Z9/$Z$22)</f>
        <v>0</v>
      </c>
      <c r="L9" s="551">
        <v>0</v>
      </c>
      <c r="M9" s="551">
        <v>0</v>
      </c>
      <c r="N9" s="551">
        <v>0</v>
      </c>
      <c r="O9" s="551">
        <v>0</v>
      </c>
      <c r="P9" s="551">
        <v>0</v>
      </c>
      <c r="Q9" s="551">
        <v>0</v>
      </c>
      <c r="R9" s="551">
        <v>0</v>
      </c>
      <c r="S9" s="551">
        <v>0</v>
      </c>
      <c r="T9" s="551">
        <v>0</v>
      </c>
      <c r="U9" s="551">
        <v>0</v>
      </c>
      <c r="V9" s="551">
        <v>0</v>
      </c>
      <c r="W9" s="551">
        <v>0</v>
      </c>
      <c r="X9" s="551">
        <v>0</v>
      </c>
      <c r="Y9" s="551">
        <v>0</v>
      </c>
      <c r="Z9" s="560">
        <f>+I9+J9</f>
        <v>0</v>
      </c>
      <c r="AA9" s="491">
        <f>+C9-Z9</f>
        <v>0</v>
      </c>
    </row>
    <row r="10" spans="1:27" s="22" customFormat="1" ht="26.25" customHeight="1">
      <c r="A10" s="287">
        <v>2</v>
      </c>
      <c r="B10" s="288" t="s">
        <v>639</v>
      </c>
      <c r="C10" s="548">
        <f>+'Loans Receivable'!C78</f>
        <v>0</v>
      </c>
      <c r="D10" s="85">
        <f t="shared" si="0"/>
        <v>0</v>
      </c>
      <c r="E10" s="551">
        <v>0</v>
      </c>
      <c r="F10" s="85">
        <f t="shared" si="1"/>
        <v>0</v>
      </c>
      <c r="G10" s="551">
        <v>0</v>
      </c>
      <c r="H10" s="85">
        <f t="shared" si="2"/>
        <v>0</v>
      </c>
      <c r="I10" s="548">
        <f t="shared" si="3"/>
        <v>0</v>
      </c>
      <c r="J10" s="548">
        <f t="shared" si="3"/>
        <v>0</v>
      </c>
      <c r="K10" s="85">
        <f t="shared" si="4"/>
        <v>0</v>
      </c>
      <c r="L10" s="551">
        <v>0</v>
      </c>
      <c r="M10" s="551">
        <v>0</v>
      </c>
      <c r="N10" s="551">
        <v>0</v>
      </c>
      <c r="O10" s="551">
        <v>0</v>
      </c>
      <c r="P10" s="551">
        <v>0</v>
      </c>
      <c r="Q10" s="551">
        <v>0</v>
      </c>
      <c r="R10" s="551">
        <v>0</v>
      </c>
      <c r="S10" s="551">
        <v>0</v>
      </c>
      <c r="T10" s="551">
        <v>0</v>
      </c>
      <c r="U10" s="551">
        <v>0</v>
      </c>
      <c r="V10" s="551">
        <v>0</v>
      </c>
      <c r="W10" s="551">
        <v>0</v>
      </c>
      <c r="X10" s="551">
        <v>0</v>
      </c>
      <c r="Y10" s="551">
        <v>0</v>
      </c>
      <c r="Z10" s="560">
        <f t="shared" ref="Z10:Z35" si="5">+I10+J10</f>
        <v>0</v>
      </c>
    </row>
    <row r="11" spans="1:27" s="22" customFormat="1" ht="26.25" customHeight="1">
      <c r="A11" s="287">
        <v>3</v>
      </c>
      <c r="B11" s="288" t="s">
        <v>394</v>
      </c>
      <c r="C11" s="548">
        <f>+'Loans Receivable'!C80</f>
        <v>0</v>
      </c>
      <c r="D11" s="85">
        <f t="shared" si="0"/>
        <v>0</v>
      </c>
      <c r="E11" s="551">
        <v>0</v>
      </c>
      <c r="F11" s="85">
        <f t="shared" si="1"/>
        <v>0</v>
      </c>
      <c r="G11" s="551">
        <v>0</v>
      </c>
      <c r="H11" s="85">
        <f t="shared" si="2"/>
        <v>0</v>
      </c>
      <c r="I11" s="548">
        <f t="shared" si="3"/>
        <v>0</v>
      </c>
      <c r="J11" s="548">
        <f t="shared" si="3"/>
        <v>0</v>
      </c>
      <c r="K11" s="85">
        <f t="shared" si="4"/>
        <v>0</v>
      </c>
      <c r="L11" s="551">
        <v>0</v>
      </c>
      <c r="M11" s="551">
        <v>0</v>
      </c>
      <c r="N11" s="551">
        <v>0</v>
      </c>
      <c r="O11" s="551">
        <v>0</v>
      </c>
      <c r="P11" s="551">
        <v>0</v>
      </c>
      <c r="Q11" s="551">
        <v>0</v>
      </c>
      <c r="R11" s="551">
        <v>0</v>
      </c>
      <c r="S11" s="551">
        <v>0</v>
      </c>
      <c r="T11" s="551">
        <v>0</v>
      </c>
      <c r="U11" s="551">
        <v>0</v>
      </c>
      <c r="V11" s="551">
        <v>0</v>
      </c>
      <c r="W11" s="551">
        <v>0</v>
      </c>
      <c r="X11" s="551">
        <v>0</v>
      </c>
      <c r="Y11" s="551">
        <v>0</v>
      </c>
      <c r="Z11" s="560">
        <f t="shared" si="5"/>
        <v>0</v>
      </c>
    </row>
    <row r="12" spans="1:27" s="22" customFormat="1" ht="26.25" customHeight="1">
      <c r="A12" s="287">
        <v>4</v>
      </c>
      <c r="B12" s="288" t="s">
        <v>395</v>
      </c>
      <c r="C12" s="548">
        <f>+'Loans Receivable'!C73</f>
        <v>9706748229</v>
      </c>
      <c r="D12" s="85">
        <f t="shared" si="0"/>
        <v>0.14948276043412911</v>
      </c>
      <c r="E12" s="551">
        <v>4368029</v>
      </c>
      <c r="F12" s="85">
        <f t="shared" si="1"/>
        <v>0.60744949531823367</v>
      </c>
      <c r="G12" s="551">
        <v>3021754</v>
      </c>
      <c r="H12" s="85">
        <f t="shared" si="2"/>
        <v>7.9618522349475234E-3</v>
      </c>
      <c r="I12" s="548">
        <f t="shared" si="3"/>
        <v>65737735</v>
      </c>
      <c r="J12" s="548">
        <f t="shared" si="3"/>
        <v>63709585</v>
      </c>
      <c r="K12" s="85">
        <f t="shared" si="4"/>
        <v>2.3698824881641628E-2</v>
      </c>
      <c r="L12" s="551">
        <v>2904500</v>
      </c>
      <c r="M12" s="551">
        <v>6443818</v>
      </c>
      <c r="N12" s="551">
        <v>5102080</v>
      </c>
      <c r="O12" s="551">
        <v>7357441</v>
      </c>
      <c r="P12" s="551">
        <v>6667427</v>
      </c>
      <c r="Q12" s="551">
        <v>7887930</v>
      </c>
      <c r="R12" s="551">
        <v>13996893</v>
      </c>
      <c r="S12" s="551">
        <v>11543084</v>
      </c>
      <c r="T12" s="551">
        <v>28982833</v>
      </c>
      <c r="U12" s="551">
        <v>21431635</v>
      </c>
      <c r="V12" s="551">
        <v>8002034</v>
      </c>
      <c r="W12" s="551">
        <v>9037185</v>
      </c>
      <c r="X12" s="551">
        <v>81968</v>
      </c>
      <c r="Y12" s="551">
        <v>8492</v>
      </c>
      <c r="Z12" s="560">
        <f t="shared" si="5"/>
        <v>129447320</v>
      </c>
    </row>
    <row r="13" spans="1:27" s="22" customFormat="1" ht="26.25" customHeight="1">
      <c r="A13" s="287">
        <v>5</v>
      </c>
      <c r="B13" s="288" t="s">
        <v>396</v>
      </c>
      <c r="C13" s="548">
        <f>+'Loans Receivable'!C74</f>
        <v>12813996196</v>
      </c>
      <c r="D13" s="85">
        <f t="shared" si="0"/>
        <v>0.19733400706199666</v>
      </c>
      <c r="E13" s="551">
        <v>0</v>
      </c>
      <c r="F13" s="85">
        <f t="shared" si="1"/>
        <v>0</v>
      </c>
      <c r="G13" s="551">
        <v>10984853</v>
      </c>
      <c r="H13" s="85">
        <f t="shared" si="2"/>
        <v>2.8943380701612377E-2</v>
      </c>
      <c r="I13" s="548">
        <f t="shared" si="3"/>
        <v>466857467</v>
      </c>
      <c r="J13" s="548">
        <f t="shared" si="3"/>
        <v>327767309</v>
      </c>
      <c r="K13" s="85">
        <f t="shared" si="4"/>
        <v>0.14547750708966167</v>
      </c>
      <c r="L13" s="551">
        <v>68888273</v>
      </c>
      <c r="M13" s="551">
        <v>257263435</v>
      </c>
      <c r="N13" s="551">
        <v>198375861</v>
      </c>
      <c r="O13" s="551">
        <v>24335703</v>
      </c>
      <c r="P13" s="551">
        <v>199593333</v>
      </c>
      <c r="Q13" s="551">
        <v>46168171</v>
      </c>
      <c r="R13" s="551">
        <v>0</v>
      </c>
      <c r="S13" s="551">
        <v>0</v>
      </c>
      <c r="T13" s="551">
        <v>0</v>
      </c>
      <c r="U13" s="551">
        <v>0</v>
      </c>
      <c r="V13" s="551">
        <v>0</v>
      </c>
      <c r="W13" s="551">
        <v>0</v>
      </c>
      <c r="X13" s="551">
        <v>0</v>
      </c>
      <c r="Y13" s="551">
        <v>0</v>
      </c>
      <c r="Z13" s="560">
        <f t="shared" si="5"/>
        <v>794624776</v>
      </c>
    </row>
    <row r="14" spans="1:27" s="22" customFormat="1" ht="26.25" customHeight="1">
      <c r="A14" s="287">
        <v>6</v>
      </c>
      <c r="B14" s="288" t="s">
        <v>397</v>
      </c>
      <c r="C14" s="548">
        <f>+'Loans Receivable'!C75</f>
        <v>9759069887</v>
      </c>
      <c r="D14" s="85">
        <f t="shared" si="0"/>
        <v>0.15028850770229907</v>
      </c>
      <c r="E14" s="551">
        <v>0</v>
      </c>
      <c r="F14" s="85">
        <f t="shared" si="1"/>
        <v>0</v>
      </c>
      <c r="G14" s="551">
        <v>0</v>
      </c>
      <c r="H14" s="85">
        <f t="shared" si="2"/>
        <v>0</v>
      </c>
      <c r="I14" s="548">
        <f t="shared" si="3"/>
        <v>227185965</v>
      </c>
      <c r="J14" s="548">
        <f t="shared" si="3"/>
        <v>231501720</v>
      </c>
      <c r="K14" s="85">
        <f t="shared" si="4"/>
        <v>8.3975157787589558E-2</v>
      </c>
      <c r="L14" s="551">
        <v>150963275</v>
      </c>
      <c r="M14" s="551">
        <v>198854628</v>
      </c>
      <c r="N14" s="551">
        <v>13516821</v>
      </c>
      <c r="O14" s="551">
        <v>4841718</v>
      </c>
      <c r="P14" s="551">
        <v>62536507</v>
      </c>
      <c r="Q14" s="551">
        <v>27773527</v>
      </c>
      <c r="R14" s="551">
        <v>50347</v>
      </c>
      <c r="S14" s="551">
        <v>17486</v>
      </c>
      <c r="T14" s="551">
        <v>119015</v>
      </c>
      <c r="U14" s="551">
        <v>14361</v>
      </c>
      <c r="V14" s="551">
        <v>0</v>
      </c>
      <c r="W14" s="551">
        <v>0</v>
      </c>
      <c r="X14" s="551">
        <v>0</v>
      </c>
      <c r="Y14" s="551">
        <v>0</v>
      </c>
      <c r="Z14" s="560">
        <f t="shared" si="5"/>
        <v>458687685</v>
      </c>
    </row>
    <row r="15" spans="1:27" s="22" customFormat="1" ht="26.25" customHeight="1">
      <c r="A15" s="287">
        <v>7</v>
      </c>
      <c r="B15" s="288" t="s">
        <v>398</v>
      </c>
      <c r="C15" s="548">
        <f>+'Loans Receivable'!C76</f>
        <v>32532347335</v>
      </c>
      <c r="D15" s="85">
        <f t="shared" si="0"/>
        <v>0.50099425351415316</v>
      </c>
      <c r="E15" s="551">
        <v>1856181</v>
      </c>
      <c r="F15" s="85">
        <f t="shared" si="1"/>
        <v>0.25813386579376979</v>
      </c>
      <c r="G15" s="551">
        <v>361142484</v>
      </c>
      <c r="H15" s="85">
        <f t="shared" si="2"/>
        <v>0.95155432684788377</v>
      </c>
      <c r="I15" s="548">
        <f t="shared" si="3"/>
        <v>2542808207</v>
      </c>
      <c r="J15" s="548">
        <f t="shared" si="3"/>
        <v>1518814500</v>
      </c>
      <c r="K15" s="85">
        <f t="shared" si="4"/>
        <v>0.74358963374824771</v>
      </c>
      <c r="L15" s="551">
        <f>584884013+900</f>
        <v>584884913</v>
      </c>
      <c r="M15" s="551">
        <v>583514568</v>
      </c>
      <c r="N15" s="551">
        <v>492053275</v>
      </c>
      <c r="O15" s="551">
        <v>136496654</v>
      </c>
      <c r="P15" s="551">
        <v>810513549</v>
      </c>
      <c r="Q15" s="551">
        <v>579728327</v>
      </c>
      <c r="R15" s="551">
        <v>127362917</v>
      </c>
      <c r="S15" s="551">
        <v>56773523</v>
      </c>
      <c r="T15" s="551">
        <v>238567932</v>
      </c>
      <c r="U15" s="551">
        <v>73798136</v>
      </c>
      <c r="V15" s="551">
        <v>287971086</v>
      </c>
      <c r="W15" s="551">
        <v>88010327</v>
      </c>
      <c r="X15" s="551">
        <v>1454535</v>
      </c>
      <c r="Y15" s="551">
        <v>492965</v>
      </c>
      <c r="Z15" s="560">
        <f t="shared" si="5"/>
        <v>4061622707</v>
      </c>
    </row>
    <row r="16" spans="1:27" s="22" customFormat="1" ht="26.25" customHeight="1">
      <c r="A16" s="287">
        <v>8</v>
      </c>
      <c r="B16" s="288" t="s">
        <v>677</v>
      </c>
      <c r="C16" s="548">
        <f>+'Loans Receivable'!C77</f>
        <v>88243247</v>
      </c>
      <c r="D16" s="85">
        <f t="shared" si="0"/>
        <v>1.3589354374950774E-3</v>
      </c>
      <c r="E16" s="551">
        <v>966559</v>
      </c>
      <c r="F16" s="85">
        <f t="shared" si="1"/>
        <v>0.13441663888799654</v>
      </c>
      <c r="G16" s="551">
        <v>4379932</v>
      </c>
      <c r="H16" s="85">
        <f t="shared" si="2"/>
        <v>1.1540440215556322E-2</v>
      </c>
      <c r="I16" s="548">
        <f t="shared" si="3"/>
        <v>10805277</v>
      </c>
      <c r="J16" s="548">
        <f t="shared" si="3"/>
        <v>6870137</v>
      </c>
      <c r="K16" s="85">
        <f t="shared" si="4"/>
        <v>3.2359614791292453E-3</v>
      </c>
      <c r="L16" s="551">
        <v>929330</v>
      </c>
      <c r="M16" s="551">
        <v>2991516</v>
      </c>
      <c r="N16" s="551">
        <v>107279</v>
      </c>
      <c r="O16" s="551">
        <v>23293</v>
      </c>
      <c r="P16" s="551">
        <v>9421579</v>
      </c>
      <c r="Q16" s="551">
        <v>3694331</v>
      </c>
      <c r="R16" s="551">
        <v>126985</v>
      </c>
      <c r="S16" s="551">
        <v>33955</v>
      </c>
      <c r="T16" s="551">
        <v>220104</v>
      </c>
      <c r="U16" s="551">
        <v>127042</v>
      </c>
      <c r="V16" s="551">
        <v>0</v>
      </c>
      <c r="W16" s="551">
        <v>0</v>
      </c>
      <c r="X16" s="551">
        <v>0</v>
      </c>
      <c r="Y16" s="551">
        <v>0</v>
      </c>
      <c r="Z16" s="560">
        <f t="shared" si="5"/>
        <v>17675414</v>
      </c>
    </row>
    <row r="17" spans="1:26" s="22" customFormat="1" ht="26.25" customHeight="1">
      <c r="A17" s="287">
        <v>9</v>
      </c>
      <c r="B17" s="289" t="s">
        <v>678</v>
      </c>
      <c r="C17" s="548">
        <f>+'Loans Receivable'!C81</f>
        <v>33541698</v>
      </c>
      <c r="D17" s="85">
        <f t="shared" si="0"/>
        <v>5.1653813289483509E-4</v>
      </c>
      <c r="E17" s="551">
        <v>0</v>
      </c>
      <c r="F17" s="85">
        <f t="shared" si="1"/>
        <v>0</v>
      </c>
      <c r="G17" s="551">
        <v>0</v>
      </c>
      <c r="H17" s="85">
        <f t="shared" si="2"/>
        <v>0</v>
      </c>
      <c r="I17" s="548">
        <f t="shared" si="3"/>
        <v>0</v>
      </c>
      <c r="J17" s="548">
        <f t="shared" si="3"/>
        <v>0</v>
      </c>
      <c r="K17" s="85">
        <f t="shared" si="4"/>
        <v>0</v>
      </c>
      <c r="L17" s="551">
        <v>0</v>
      </c>
      <c r="M17" s="551">
        <v>0</v>
      </c>
      <c r="N17" s="551">
        <v>0</v>
      </c>
      <c r="O17" s="551">
        <v>0</v>
      </c>
      <c r="P17" s="551">
        <v>0</v>
      </c>
      <c r="Q17" s="551">
        <v>0</v>
      </c>
      <c r="R17" s="551">
        <v>0</v>
      </c>
      <c r="S17" s="551">
        <v>0</v>
      </c>
      <c r="T17" s="551">
        <v>0</v>
      </c>
      <c r="U17" s="551">
        <v>0</v>
      </c>
      <c r="V17" s="551">
        <v>0</v>
      </c>
      <c r="W17" s="551">
        <v>0</v>
      </c>
      <c r="X17" s="551">
        <v>0</v>
      </c>
      <c r="Y17" s="551">
        <v>0</v>
      </c>
      <c r="Z17" s="560">
        <f t="shared" si="5"/>
        <v>0</v>
      </c>
    </row>
    <row r="18" spans="1:26" s="22" customFormat="1" ht="38.25" customHeight="1">
      <c r="A18" s="287">
        <v>10</v>
      </c>
      <c r="B18" s="289" t="s">
        <v>643</v>
      </c>
      <c r="C18" s="548">
        <f>+'Loans Receivable'!C82</f>
        <v>1623241</v>
      </c>
      <c r="D18" s="85">
        <f t="shared" si="0"/>
        <v>2.4997717032046054E-5</v>
      </c>
      <c r="E18" s="551">
        <v>0</v>
      </c>
      <c r="F18" s="85">
        <f t="shared" si="1"/>
        <v>0</v>
      </c>
      <c r="G18" s="551">
        <v>0</v>
      </c>
      <c r="H18" s="85">
        <f t="shared" si="2"/>
        <v>0</v>
      </c>
      <c r="I18" s="548">
        <f t="shared" si="3"/>
        <v>97577</v>
      </c>
      <c r="J18" s="548">
        <f t="shared" si="3"/>
        <v>27589</v>
      </c>
      <c r="K18" s="85">
        <f t="shared" si="4"/>
        <v>2.2915013730184263E-5</v>
      </c>
      <c r="L18" s="551">
        <v>2543</v>
      </c>
      <c r="M18" s="551">
        <v>3142</v>
      </c>
      <c r="N18" s="551">
        <v>0</v>
      </c>
      <c r="O18" s="551">
        <v>0</v>
      </c>
      <c r="P18" s="551">
        <v>36690</v>
      </c>
      <c r="Q18" s="551">
        <v>5193</v>
      </c>
      <c r="R18" s="551">
        <v>0</v>
      </c>
      <c r="S18" s="551">
        <v>0</v>
      </c>
      <c r="T18" s="551">
        <v>0</v>
      </c>
      <c r="U18" s="551">
        <v>0</v>
      </c>
      <c r="V18" s="551">
        <v>58344</v>
      </c>
      <c r="W18" s="551">
        <v>19254</v>
      </c>
      <c r="X18" s="551">
        <v>0</v>
      </c>
      <c r="Y18" s="551">
        <v>0</v>
      </c>
      <c r="Z18" s="560">
        <f t="shared" si="5"/>
        <v>125166</v>
      </c>
    </row>
    <row r="19" spans="1:26" s="22" customFormat="1" ht="26.25" customHeight="1">
      <c r="A19" s="287">
        <v>11</v>
      </c>
      <c r="B19" s="289" t="s">
        <v>644</v>
      </c>
      <c r="C19" s="548">
        <f>+'Loans Receivable'!C83</f>
        <v>0</v>
      </c>
      <c r="D19" s="85">
        <f t="shared" si="0"/>
        <v>0</v>
      </c>
      <c r="E19" s="551">
        <v>0</v>
      </c>
      <c r="F19" s="85">
        <f t="shared" si="1"/>
        <v>0</v>
      </c>
      <c r="G19" s="551">
        <v>0</v>
      </c>
      <c r="H19" s="85">
        <f t="shared" si="2"/>
        <v>0</v>
      </c>
      <c r="I19" s="548">
        <f t="shared" si="3"/>
        <v>0</v>
      </c>
      <c r="J19" s="548">
        <f t="shared" si="3"/>
        <v>0</v>
      </c>
      <c r="K19" s="85">
        <f t="shared" si="4"/>
        <v>0</v>
      </c>
      <c r="L19" s="551">
        <v>0</v>
      </c>
      <c r="M19" s="551">
        <v>0</v>
      </c>
      <c r="N19" s="551">
        <v>0</v>
      </c>
      <c r="O19" s="551">
        <v>0</v>
      </c>
      <c r="P19" s="551">
        <v>0</v>
      </c>
      <c r="Q19" s="551">
        <v>0</v>
      </c>
      <c r="R19" s="551">
        <v>0</v>
      </c>
      <c r="S19" s="551">
        <v>0</v>
      </c>
      <c r="T19" s="551">
        <v>0</v>
      </c>
      <c r="U19" s="551">
        <v>0</v>
      </c>
      <c r="V19" s="551">
        <v>0</v>
      </c>
      <c r="W19" s="551">
        <v>0</v>
      </c>
      <c r="X19" s="551">
        <v>0</v>
      </c>
      <c r="Y19" s="551">
        <v>0</v>
      </c>
      <c r="Z19" s="560">
        <f t="shared" si="5"/>
        <v>0</v>
      </c>
    </row>
    <row r="20" spans="1:26" s="22" customFormat="1" ht="26.25" customHeight="1">
      <c r="A20" s="287">
        <v>12</v>
      </c>
      <c r="B20" s="289" t="s">
        <v>645</v>
      </c>
      <c r="C20" s="548">
        <f>+'Loans Receivable'!C84</f>
        <v>0</v>
      </c>
      <c r="D20" s="85">
        <f t="shared" si="0"/>
        <v>0</v>
      </c>
      <c r="E20" s="551">
        <v>0</v>
      </c>
      <c r="F20" s="85">
        <f t="shared" si="1"/>
        <v>0</v>
      </c>
      <c r="G20" s="551">
        <v>0</v>
      </c>
      <c r="H20" s="85">
        <f t="shared" si="2"/>
        <v>0</v>
      </c>
      <c r="I20" s="548">
        <f t="shared" si="3"/>
        <v>0</v>
      </c>
      <c r="J20" s="548">
        <f t="shared" si="3"/>
        <v>0</v>
      </c>
      <c r="K20" s="85">
        <f t="shared" si="4"/>
        <v>0</v>
      </c>
      <c r="L20" s="551">
        <v>0</v>
      </c>
      <c r="M20" s="551">
        <v>0</v>
      </c>
      <c r="N20" s="551">
        <v>0</v>
      </c>
      <c r="O20" s="551">
        <v>0</v>
      </c>
      <c r="P20" s="551">
        <v>0</v>
      </c>
      <c r="Q20" s="551">
        <v>0</v>
      </c>
      <c r="R20" s="551">
        <v>0</v>
      </c>
      <c r="S20" s="551">
        <v>0</v>
      </c>
      <c r="T20" s="551">
        <v>0</v>
      </c>
      <c r="U20" s="551">
        <v>0</v>
      </c>
      <c r="V20" s="551">
        <v>0</v>
      </c>
      <c r="W20" s="551">
        <v>0</v>
      </c>
      <c r="X20" s="551">
        <v>0</v>
      </c>
      <c r="Y20" s="551">
        <v>0</v>
      </c>
      <c r="Z20" s="560">
        <f t="shared" si="5"/>
        <v>0</v>
      </c>
    </row>
    <row r="21" spans="1:26" s="22" customFormat="1" ht="18.75" customHeight="1">
      <c r="A21" s="23"/>
      <c r="B21" s="24"/>
      <c r="C21" s="548"/>
      <c r="D21" s="85"/>
      <c r="E21" s="548"/>
      <c r="F21" s="85"/>
      <c r="G21" s="548"/>
      <c r="H21" s="85"/>
      <c r="I21" s="548"/>
      <c r="J21" s="548"/>
      <c r="K21" s="85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60">
        <f>+I21+J21</f>
        <v>0</v>
      </c>
    </row>
    <row r="22" spans="1:26" s="22" customFormat="1" ht="27.75" customHeight="1">
      <c r="A22" s="92">
        <v>13</v>
      </c>
      <c r="B22" s="92" t="s">
        <v>646</v>
      </c>
      <c r="C22" s="549">
        <f>SUM(C9:C20)</f>
        <v>64935569833</v>
      </c>
      <c r="D22" s="415">
        <f>IF(C$22=0,"",C22/C$22)</f>
        <v>1</v>
      </c>
      <c r="E22" s="549">
        <f>SUM(E9:E20)</f>
        <v>7190769</v>
      </c>
      <c r="F22" s="415">
        <f>IF(E$22=0,"",E22/E$22)</f>
        <v>1</v>
      </c>
      <c r="G22" s="549">
        <f>SUM(G9:G20)</f>
        <v>379529023</v>
      </c>
      <c r="H22" s="415">
        <f>IF($G$22=0,"",G22/$G$22)</f>
        <v>1</v>
      </c>
      <c r="I22" s="549">
        <f>SUM(I9:I20)</f>
        <v>3313492228</v>
      </c>
      <c r="J22" s="549">
        <f>SUM(J9:J20)</f>
        <v>2148690840</v>
      </c>
      <c r="K22" s="415">
        <f>IF($Z$22=0,"",Z22/$Z$22)</f>
        <v>1</v>
      </c>
      <c r="L22" s="549">
        <f t="shared" ref="L22:Y22" si="6">SUM(L9:L20)</f>
        <v>808572834</v>
      </c>
      <c r="M22" s="549">
        <f t="shared" si="6"/>
        <v>1049071107</v>
      </c>
      <c r="N22" s="549">
        <f t="shared" si="6"/>
        <v>709155316</v>
      </c>
      <c r="O22" s="549">
        <f t="shared" si="6"/>
        <v>173054809</v>
      </c>
      <c r="P22" s="549">
        <f t="shared" si="6"/>
        <v>1088769085</v>
      </c>
      <c r="Q22" s="549">
        <f t="shared" si="6"/>
        <v>665257479</v>
      </c>
      <c r="R22" s="549">
        <f t="shared" si="6"/>
        <v>141537142</v>
      </c>
      <c r="S22" s="549">
        <f t="shared" si="6"/>
        <v>68368048</v>
      </c>
      <c r="T22" s="549">
        <f t="shared" si="6"/>
        <v>267889884</v>
      </c>
      <c r="U22" s="549">
        <f t="shared" si="6"/>
        <v>95371174</v>
      </c>
      <c r="V22" s="549">
        <f t="shared" si="6"/>
        <v>296031464</v>
      </c>
      <c r="W22" s="549">
        <f t="shared" si="6"/>
        <v>97066766</v>
      </c>
      <c r="X22" s="549">
        <f t="shared" si="6"/>
        <v>1536503</v>
      </c>
      <c r="Y22" s="549">
        <f t="shared" si="6"/>
        <v>501457</v>
      </c>
      <c r="Z22" s="560">
        <f t="shared" si="5"/>
        <v>5462183068</v>
      </c>
    </row>
    <row r="23" spans="1:26" s="22" customFormat="1" ht="18.75" customHeight="1">
      <c r="A23" s="287"/>
      <c r="B23" s="288"/>
      <c r="C23" s="548"/>
      <c r="D23" s="416"/>
      <c r="E23" s="548"/>
      <c r="F23" s="85"/>
      <c r="G23" s="548"/>
      <c r="H23" s="416"/>
      <c r="I23" s="548"/>
      <c r="J23" s="548"/>
      <c r="K23" s="416"/>
      <c r="L23" s="551"/>
      <c r="M23" s="551"/>
      <c r="N23" s="551"/>
      <c r="O23" s="551"/>
      <c r="P23" s="551"/>
      <c r="Q23" s="551"/>
      <c r="R23" s="551"/>
      <c r="S23" s="551"/>
      <c r="T23" s="551"/>
      <c r="U23" s="551"/>
      <c r="V23" s="551"/>
      <c r="W23" s="551"/>
      <c r="X23" s="551"/>
      <c r="Y23" s="551"/>
      <c r="Z23" s="560">
        <f t="shared" si="5"/>
        <v>0</v>
      </c>
    </row>
    <row r="24" spans="1:26" s="22" customFormat="1" ht="27.75" customHeight="1">
      <c r="A24" s="92"/>
      <c r="B24" s="92" t="s">
        <v>647</v>
      </c>
      <c r="C24" s="550"/>
      <c r="D24" s="290"/>
      <c r="E24" s="550"/>
      <c r="F24" s="290"/>
      <c r="G24" s="550"/>
      <c r="H24" s="290"/>
      <c r="I24" s="550"/>
      <c r="J24" s="550"/>
      <c r="K24" s="290"/>
      <c r="L24" s="550"/>
      <c r="M24" s="550"/>
      <c r="N24" s="550"/>
      <c r="O24" s="550"/>
      <c r="P24" s="550"/>
      <c r="Q24" s="550"/>
      <c r="R24" s="550"/>
      <c r="S24" s="550"/>
      <c r="T24" s="550"/>
      <c r="U24" s="550"/>
      <c r="V24" s="550"/>
      <c r="W24" s="550"/>
      <c r="X24" s="550"/>
      <c r="Y24" s="550"/>
      <c r="Z24" s="560">
        <f t="shared" si="5"/>
        <v>0</v>
      </c>
    </row>
    <row r="25" spans="1:26" s="22" customFormat="1" ht="26.25" customHeight="1">
      <c r="A25" s="23">
        <v>14</v>
      </c>
      <c r="B25" s="371" t="s">
        <v>463</v>
      </c>
      <c r="C25" s="548">
        <f>+'Loans Receivable'!C14</f>
        <v>32527763935</v>
      </c>
      <c r="D25" s="85">
        <f t="shared" ref="D25:D32" si="7">IF(C$35=0,"",C25/C$35)</f>
        <v>0.50092366970297253</v>
      </c>
      <c r="E25" s="551">
        <v>0</v>
      </c>
      <c r="F25" s="85">
        <f t="shared" ref="F25:F33" si="8">IF($E$35=0,"",E25/$E$35)</f>
        <v>0</v>
      </c>
      <c r="G25" s="551">
        <v>172460938</v>
      </c>
      <c r="H25" s="85">
        <f t="shared" ref="H25:H33" si="9">IF($G$35=0,"",G25/$G$35)</f>
        <v>0.45440777265669086</v>
      </c>
      <c r="I25" s="548">
        <f t="shared" ref="I25:J32" si="10">+L25+N25+P25+R25+T25+V25+X25</f>
        <v>1581681421</v>
      </c>
      <c r="J25" s="548">
        <f t="shared" si="10"/>
        <v>1273813986</v>
      </c>
      <c r="K25" s="85">
        <f t="shared" ref="K25:K33" si="11">IF($Z$35=0,"",Z25/$Z$35)</f>
        <v>0.52277548581789868</v>
      </c>
      <c r="L25" s="551">
        <v>658264393</v>
      </c>
      <c r="M25" s="551">
        <v>652655127</v>
      </c>
      <c r="N25" s="551">
        <v>344926023</v>
      </c>
      <c r="O25" s="551">
        <v>102555763</v>
      </c>
      <c r="P25" s="551">
        <v>459262625</v>
      </c>
      <c r="Q25" s="551">
        <v>456681329</v>
      </c>
      <c r="R25" s="551">
        <v>25775149</v>
      </c>
      <c r="S25" s="551">
        <v>29666509</v>
      </c>
      <c r="T25" s="551">
        <v>35921392</v>
      </c>
      <c r="U25" s="551">
        <v>11066003</v>
      </c>
      <c r="V25" s="551">
        <v>57229489</v>
      </c>
      <c r="W25" s="551">
        <v>21039789</v>
      </c>
      <c r="X25" s="551">
        <v>302350</v>
      </c>
      <c r="Y25" s="551">
        <v>149466</v>
      </c>
      <c r="Z25" s="560">
        <f t="shared" si="5"/>
        <v>2855495407</v>
      </c>
    </row>
    <row r="26" spans="1:26" s="22" customFormat="1" ht="26.25" customHeight="1">
      <c r="A26" s="23">
        <v>15</v>
      </c>
      <c r="B26" s="371" t="s">
        <v>464</v>
      </c>
      <c r="C26" s="548">
        <f>+'Loans Receivable'!C22</f>
        <v>3851399497</v>
      </c>
      <c r="D26" s="85">
        <f t="shared" si="7"/>
        <v>5.9311091084669809E-2</v>
      </c>
      <c r="E26" s="551">
        <v>1377812</v>
      </c>
      <c r="F26" s="85">
        <f t="shared" si="8"/>
        <v>0.19160843575979147</v>
      </c>
      <c r="G26" s="551">
        <v>99866751</v>
      </c>
      <c r="H26" s="85">
        <f t="shared" si="9"/>
        <v>0.2631333704352829</v>
      </c>
      <c r="I26" s="548">
        <f t="shared" si="10"/>
        <v>404860479</v>
      </c>
      <c r="J26" s="548">
        <f t="shared" si="10"/>
        <v>241506901</v>
      </c>
      <c r="K26" s="85">
        <f t="shared" si="11"/>
        <v>0.11833499023251705</v>
      </c>
      <c r="L26" s="551">
        <v>38555789</v>
      </c>
      <c r="M26" s="551">
        <v>137476799</v>
      </c>
      <c r="N26" s="551">
        <v>19291085</v>
      </c>
      <c r="O26" s="551">
        <v>10551770</v>
      </c>
      <c r="P26" s="551">
        <v>126128436</v>
      </c>
      <c r="Q26" s="551">
        <v>35975936</v>
      </c>
      <c r="R26" s="551">
        <v>41863238</v>
      </c>
      <c r="S26" s="551">
        <v>12145872</v>
      </c>
      <c r="T26" s="551">
        <v>8400479</v>
      </c>
      <c r="U26" s="551">
        <v>2770591</v>
      </c>
      <c r="V26" s="551">
        <v>170621452</v>
      </c>
      <c r="W26" s="551">
        <v>42585933</v>
      </c>
      <c r="X26" s="551">
        <v>0</v>
      </c>
      <c r="Y26" s="551">
        <v>0</v>
      </c>
      <c r="Z26" s="560">
        <f t="shared" si="5"/>
        <v>646367380</v>
      </c>
    </row>
    <row r="27" spans="1:26" s="22" customFormat="1" ht="26.25" customHeight="1">
      <c r="A27" s="23">
        <v>16</v>
      </c>
      <c r="B27" s="371" t="s">
        <v>465</v>
      </c>
      <c r="C27" s="548">
        <f>+'Loans Receivable'!C29</f>
        <v>2880350762</v>
      </c>
      <c r="D27" s="85">
        <f t="shared" si="7"/>
        <v>4.4357056839689379E-2</v>
      </c>
      <c r="E27" s="551">
        <v>0</v>
      </c>
      <c r="F27" s="85">
        <f t="shared" si="8"/>
        <v>0</v>
      </c>
      <c r="G27" s="551">
        <v>565000</v>
      </c>
      <c r="H27" s="85">
        <f t="shared" si="9"/>
        <v>1.4886872037715019E-3</v>
      </c>
      <c r="I27" s="548">
        <f t="shared" si="10"/>
        <v>12183966</v>
      </c>
      <c r="J27" s="548">
        <f t="shared" si="10"/>
        <v>24209860</v>
      </c>
      <c r="K27" s="85">
        <f t="shared" si="11"/>
        <v>6.6628718860068789E-3</v>
      </c>
      <c r="L27" s="551">
        <v>2271739</v>
      </c>
      <c r="M27" s="551">
        <v>7253881</v>
      </c>
      <c r="N27" s="551">
        <v>3751872</v>
      </c>
      <c r="O27" s="551">
        <v>2648863</v>
      </c>
      <c r="P27" s="551">
        <v>2234034</v>
      </c>
      <c r="Q27" s="551">
        <v>12694079</v>
      </c>
      <c r="R27" s="551">
        <v>1727666</v>
      </c>
      <c r="S27" s="551">
        <v>577324</v>
      </c>
      <c r="T27" s="551">
        <v>385517</v>
      </c>
      <c r="U27" s="551">
        <v>554771</v>
      </c>
      <c r="V27" s="551">
        <v>1813138</v>
      </c>
      <c r="W27" s="551">
        <v>480942</v>
      </c>
      <c r="X27" s="551">
        <v>0</v>
      </c>
      <c r="Y27" s="551">
        <v>0</v>
      </c>
      <c r="Z27" s="560">
        <f t="shared" si="5"/>
        <v>36393826</v>
      </c>
    </row>
    <row r="28" spans="1:26" s="22" customFormat="1" ht="26.25" customHeight="1">
      <c r="A28" s="23">
        <v>17</v>
      </c>
      <c r="B28" s="371" t="s">
        <v>466</v>
      </c>
      <c r="C28" s="548">
        <f>+'Loans Receivable'!C36</f>
        <v>2748974520</v>
      </c>
      <c r="D28" s="85">
        <f t="shared" si="7"/>
        <v>4.2333878443967729E-2</v>
      </c>
      <c r="E28" s="551">
        <v>0</v>
      </c>
      <c r="F28" s="85">
        <f t="shared" si="8"/>
        <v>0</v>
      </c>
      <c r="G28" s="551">
        <v>15411869</v>
      </c>
      <c r="H28" s="85">
        <f t="shared" si="9"/>
        <v>4.0607879940712729E-2</v>
      </c>
      <c r="I28" s="548">
        <f t="shared" si="10"/>
        <v>121522332</v>
      </c>
      <c r="J28" s="548">
        <f t="shared" si="10"/>
        <v>104062230</v>
      </c>
      <c r="K28" s="85">
        <f t="shared" si="11"/>
        <v>4.1299341159321247E-2</v>
      </c>
      <c r="L28" s="551">
        <v>12939839</v>
      </c>
      <c r="M28" s="551">
        <v>28314400</v>
      </c>
      <c r="N28" s="551">
        <v>52322005</v>
      </c>
      <c r="O28" s="551">
        <v>1642770</v>
      </c>
      <c r="P28" s="551">
        <v>13273708</v>
      </c>
      <c r="Q28" s="551">
        <v>48921669</v>
      </c>
      <c r="R28" s="551">
        <v>5683150</v>
      </c>
      <c r="S28" s="551">
        <v>1255704</v>
      </c>
      <c r="T28" s="551">
        <v>26237146</v>
      </c>
      <c r="U28" s="551">
        <v>19713569</v>
      </c>
      <c r="V28" s="551">
        <v>10669467</v>
      </c>
      <c r="W28" s="551">
        <v>4058682</v>
      </c>
      <c r="X28" s="551">
        <v>397017</v>
      </c>
      <c r="Y28" s="551">
        <v>155436</v>
      </c>
      <c r="Z28" s="560">
        <f t="shared" si="5"/>
        <v>225584562</v>
      </c>
    </row>
    <row r="29" spans="1:26" s="22" customFormat="1" ht="26.25" customHeight="1">
      <c r="A29" s="23">
        <v>18</v>
      </c>
      <c r="B29" s="372" t="s">
        <v>679</v>
      </c>
      <c r="C29" s="548">
        <f>+'Loans Receivable'!C43</f>
        <v>4011542126</v>
      </c>
      <c r="D29" s="85">
        <f t="shared" si="7"/>
        <v>6.1777268395685196E-2</v>
      </c>
      <c r="E29" s="551">
        <v>0</v>
      </c>
      <c r="F29" s="85">
        <f t="shared" si="8"/>
        <v>0</v>
      </c>
      <c r="G29" s="551">
        <v>68001586</v>
      </c>
      <c r="H29" s="85">
        <f t="shared" si="9"/>
        <v>0.17917361223781825</v>
      </c>
      <c r="I29" s="548">
        <f t="shared" si="10"/>
        <v>518527549</v>
      </c>
      <c r="J29" s="548">
        <f t="shared" si="10"/>
        <v>134503302</v>
      </c>
      <c r="K29" s="85">
        <f t="shared" si="11"/>
        <v>0.1195549184035514</v>
      </c>
      <c r="L29" s="551">
        <v>71074413</v>
      </c>
      <c r="M29" s="551">
        <v>66991112</v>
      </c>
      <c r="N29" s="551">
        <v>109046807</v>
      </c>
      <c r="O29" s="551">
        <v>7132723</v>
      </c>
      <c r="P29" s="551">
        <v>107804838</v>
      </c>
      <c r="Q29" s="551">
        <v>7394133</v>
      </c>
      <c r="R29" s="551">
        <v>46250745</v>
      </c>
      <c r="S29" s="551">
        <v>9771350</v>
      </c>
      <c r="T29" s="551">
        <v>152090107</v>
      </c>
      <c r="U29" s="551">
        <v>30460136</v>
      </c>
      <c r="V29" s="551">
        <v>31505471</v>
      </c>
      <c r="W29" s="551">
        <v>12565785</v>
      </c>
      <c r="X29" s="551">
        <v>755168</v>
      </c>
      <c r="Y29" s="551">
        <v>188063</v>
      </c>
      <c r="Z29" s="560">
        <f t="shared" si="5"/>
        <v>653030851</v>
      </c>
    </row>
    <row r="30" spans="1:26" s="22" customFormat="1" ht="38.25" customHeight="1">
      <c r="A30" s="23">
        <v>19</v>
      </c>
      <c r="B30" s="372" t="s">
        <v>468</v>
      </c>
      <c r="C30" s="548">
        <f>+'Loans Receivable'!C50</f>
        <v>1793348888</v>
      </c>
      <c r="D30" s="85">
        <f t="shared" si="7"/>
        <v>2.7617358138414722E-2</v>
      </c>
      <c r="E30" s="551">
        <v>0</v>
      </c>
      <c r="F30" s="85">
        <f t="shared" si="8"/>
        <v>0</v>
      </c>
      <c r="G30" s="551">
        <v>73479</v>
      </c>
      <c r="H30" s="85">
        <f t="shared" si="9"/>
        <v>1.9360574698394016E-4</v>
      </c>
      <c r="I30" s="548">
        <f t="shared" si="10"/>
        <v>109657965</v>
      </c>
      <c r="J30" s="548">
        <f t="shared" si="10"/>
        <v>66395490</v>
      </c>
      <c r="K30" s="85">
        <f t="shared" si="11"/>
        <v>3.2231335495033611E-2</v>
      </c>
      <c r="L30" s="551">
        <v>10366787</v>
      </c>
      <c r="M30" s="551">
        <v>36896474</v>
      </c>
      <c r="N30" s="551">
        <v>1891809</v>
      </c>
      <c r="O30" s="551">
        <v>1703280</v>
      </c>
      <c r="P30" s="551">
        <v>85429079</v>
      </c>
      <c r="Q30" s="551">
        <v>21158790</v>
      </c>
      <c r="R30" s="551">
        <v>245558</v>
      </c>
      <c r="S30" s="551">
        <v>110083</v>
      </c>
      <c r="T30" s="551">
        <v>4250660</v>
      </c>
      <c r="U30" s="551">
        <v>2506610</v>
      </c>
      <c r="V30" s="551">
        <v>7474072</v>
      </c>
      <c r="W30" s="551">
        <v>4020253</v>
      </c>
      <c r="X30" s="551">
        <v>0</v>
      </c>
      <c r="Y30" s="551">
        <v>0</v>
      </c>
      <c r="Z30" s="560">
        <f t="shared" si="5"/>
        <v>176053455</v>
      </c>
    </row>
    <row r="31" spans="1:26" s="22" customFormat="1" ht="26.25" customHeight="1">
      <c r="A31" s="23">
        <v>20</v>
      </c>
      <c r="B31" s="371" t="s">
        <v>680</v>
      </c>
      <c r="C31" s="548">
        <f>+'Loans Receivable'!C58</f>
        <v>23337550</v>
      </c>
      <c r="D31" s="85">
        <f t="shared" si="7"/>
        <v>3.5939547554628446E-4</v>
      </c>
      <c r="E31" s="551">
        <v>0</v>
      </c>
      <c r="F31" s="85">
        <f t="shared" si="8"/>
        <v>0</v>
      </c>
      <c r="G31" s="551">
        <v>299444</v>
      </c>
      <c r="H31" s="85">
        <f t="shared" si="9"/>
        <v>7.8898840893124533E-4</v>
      </c>
      <c r="I31" s="548">
        <f t="shared" si="10"/>
        <v>12702604</v>
      </c>
      <c r="J31" s="548">
        <f t="shared" si="10"/>
        <v>3372861</v>
      </c>
      <c r="K31" s="85">
        <f t="shared" si="11"/>
        <v>2.9430476422838197E-3</v>
      </c>
      <c r="L31" s="551">
        <v>8376</v>
      </c>
      <c r="M31" s="551">
        <v>136103</v>
      </c>
      <c r="N31" s="551">
        <v>12610017</v>
      </c>
      <c r="O31" s="551">
        <v>3201973</v>
      </c>
      <c r="P31" s="551">
        <v>0</v>
      </c>
      <c r="Q31" s="551">
        <v>0</v>
      </c>
      <c r="R31" s="551">
        <v>25867</v>
      </c>
      <c r="S31" s="551">
        <v>15531</v>
      </c>
      <c r="T31" s="551">
        <v>0</v>
      </c>
      <c r="U31" s="551">
        <v>0</v>
      </c>
      <c r="V31" s="551">
        <v>58344</v>
      </c>
      <c r="W31" s="551">
        <v>19254</v>
      </c>
      <c r="X31" s="551">
        <v>0</v>
      </c>
      <c r="Y31" s="551">
        <v>0</v>
      </c>
      <c r="Z31" s="560">
        <f t="shared" si="5"/>
        <v>16075465</v>
      </c>
    </row>
    <row r="32" spans="1:26" s="22" customFormat="1" ht="26.25" customHeight="1">
      <c r="A32" s="23">
        <v>21</v>
      </c>
      <c r="B32" s="371" t="s">
        <v>470</v>
      </c>
      <c r="C32" s="548">
        <f>+'Loans Receivable'!C70</f>
        <v>7392104326</v>
      </c>
      <c r="D32" s="85">
        <f t="shared" si="7"/>
        <v>0.11383752148492522</v>
      </c>
      <c r="E32" s="551">
        <v>1444928</v>
      </c>
      <c r="F32" s="85">
        <f t="shared" si="8"/>
        <v>0.20094206892197483</v>
      </c>
      <c r="G32" s="551">
        <v>19828202</v>
      </c>
      <c r="H32" s="85">
        <f t="shared" si="9"/>
        <v>5.2244231134861062E-2</v>
      </c>
      <c r="I32" s="548">
        <f t="shared" si="10"/>
        <v>486618177</v>
      </c>
      <c r="J32" s="548">
        <f t="shared" si="10"/>
        <v>237116625</v>
      </c>
      <c r="K32" s="85">
        <f t="shared" si="11"/>
        <v>0.13249918448174575</v>
      </c>
      <c r="L32" s="551">
        <f>12186098+900</f>
        <v>12186998</v>
      </c>
      <c r="M32" s="551">
        <v>112903393</v>
      </c>
      <c r="N32" s="551">
        <v>160213618</v>
      </c>
      <c r="O32" s="551">
        <v>36260226</v>
      </c>
      <c r="P32" s="551">
        <v>287968938</v>
      </c>
      <c r="Q32" s="551">
        <v>74543613</v>
      </c>
      <c r="R32" s="551">
        <v>5968876</v>
      </c>
      <c r="S32" s="551">
        <v>3282591</v>
      </c>
      <c r="T32" s="551">
        <v>11621750</v>
      </c>
      <c r="U32" s="551">
        <v>6867859</v>
      </c>
      <c r="V32" s="551">
        <v>8657997</v>
      </c>
      <c r="W32" s="551">
        <v>3258943</v>
      </c>
      <c r="X32" s="551">
        <v>0</v>
      </c>
      <c r="Y32" s="551">
        <v>0</v>
      </c>
      <c r="Z32" s="560">
        <f t="shared" si="5"/>
        <v>723734802</v>
      </c>
    </row>
    <row r="33" spans="1:26" s="22" customFormat="1" ht="26.25" customHeight="1">
      <c r="A33" s="23">
        <v>22</v>
      </c>
      <c r="B33" s="371" t="s">
        <v>395</v>
      </c>
      <c r="C33" s="548">
        <f>+'Loans Receivable'!C71</f>
        <v>9706748229</v>
      </c>
      <c r="D33" s="85">
        <f t="shared" ref="D33" si="12">IF(C$35=0,"",C33/C$35)</f>
        <v>0.14948276043412911</v>
      </c>
      <c r="E33" s="551">
        <v>4368029</v>
      </c>
      <c r="F33" s="85">
        <f t="shared" si="8"/>
        <v>0.60744949531823367</v>
      </c>
      <c r="G33" s="551">
        <v>3021754</v>
      </c>
      <c r="H33" s="85">
        <f t="shared" si="9"/>
        <v>7.9618522349475234E-3</v>
      </c>
      <c r="I33" s="548">
        <f t="shared" ref="I33" si="13">+L33+N33+P33+R33+T33+V33+X33</f>
        <v>65737735</v>
      </c>
      <c r="J33" s="548">
        <f t="shared" ref="J33" si="14">+M33+O33+Q33+S33+U33+W33+Y33</f>
        <v>63709585</v>
      </c>
      <c r="K33" s="85">
        <f t="shared" si="11"/>
        <v>2.3698824881641628E-2</v>
      </c>
      <c r="L33" s="551">
        <v>2904500</v>
      </c>
      <c r="M33" s="551">
        <v>6443818</v>
      </c>
      <c r="N33" s="551">
        <v>5102080</v>
      </c>
      <c r="O33" s="551">
        <v>7357441</v>
      </c>
      <c r="P33" s="551">
        <v>6667427</v>
      </c>
      <c r="Q33" s="551">
        <v>7887930</v>
      </c>
      <c r="R33" s="551">
        <v>13996893</v>
      </c>
      <c r="S33" s="551">
        <v>11543084</v>
      </c>
      <c r="T33" s="551">
        <v>28982833</v>
      </c>
      <c r="U33" s="551">
        <v>21431635</v>
      </c>
      <c r="V33" s="551">
        <v>8002034</v>
      </c>
      <c r="W33" s="551">
        <v>9037185</v>
      </c>
      <c r="X33" s="551">
        <v>81968</v>
      </c>
      <c r="Y33" s="551">
        <v>8492</v>
      </c>
      <c r="Z33" s="560">
        <f t="shared" si="5"/>
        <v>129447320</v>
      </c>
    </row>
    <row r="34" spans="1:26" s="22" customFormat="1" ht="18.75" customHeight="1">
      <c r="A34" s="23"/>
      <c r="B34" s="24"/>
      <c r="C34" s="548"/>
      <c r="D34" s="85"/>
      <c r="E34" s="548"/>
      <c r="F34" s="85"/>
      <c r="G34" s="548"/>
      <c r="H34" s="85"/>
      <c r="I34" s="548"/>
      <c r="J34" s="548"/>
      <c r="K34" s="85"/>
      <c r="L34" s="551"/>
      <c r="M34" s="551"/>
      <c r="N34" s="551"/>
      <c r="O34" s="551"/>
      <c r="P34" s="551"/>
      <c r="Q34" s="551"/>
      <c r="R34" s="551"/>
      <c r="S34" s="551"/>
      <c r="T34" s="551"/>
      <c r="U34" s="551"/>
      <c r="V34" s="551"/>
      <c r="W34" s="551"/>
      <c r="X34" s="551"/>
      <c r="Y34" s="551"/>
      <c r="Z34" s="560">
        <f t="shared" si="5"/>
        <v>0</v>
      </c>
    </row>
    <row r="35" spans="1:26" s="22" customFormat="1" ht="27.75" customHeight="1">
      <c r="A35" s="290">
        <v>23</v>
      </c>
      <c r="B35" s="290" t="s">
        <v>646</v>
      </c>
      <c r="C35" s="549">
        <f>SUM(C25:C33)</f>
        <v>64935569833</v>
      </c>
      <c r="D35" s="415">
        <f>IF(C$35=0,"",C35/C$35)</f>
        <v>1</v>
      </c>
      <c r="E35" s="549">
        <f>SUM(E25:E33)</f>
        <v>7190769</v>
      </c>
      <c r="F35" s="415">
        <f>IF($E$35=0,"",E35/$E$35)</f>
        <v>1</v>
      </c>
      <c r="G35" s="549">
        <f>SUM(G25:G33)</f>
        <v>379529023</v>
      </c>
      <c r="H35" s="415">
        <f>IF($G$35=0,"",G35/$G$35)</f>
        <v>1</v>
      </c>
      <c r="I35" s="549">
        <f t="shared" ref="I35:J35" si="15">SUM(I25:I33)</f>
        <v>3313492228</v>
      </c>
      <c r="J35" s="549">
        <f t="shared" si="15"/>
        <v>2148690840</v>
      </c>
      <c r="K35" s="415">
        <f>IF($Z$35=0,"",Z35/$Z$35)</f>
        <v>1</v>
      </c>
      <c r="L35" s="549">
        <f t="shared" ref="L35:Y35" si="16">SUM(L25:L33)</f>
        <v>808572834</v>
      </c>
      <c r="M35" s="549">
        <f t="shared" si="16"/>
        <v>1049071107</v>
      </c>
      <c r="N35" s="549">
        <f t="shared" si="16"/>
        <v>709155316</v>
      </c>
      <c r="O35" s="549">
        <f t="shared" si="16"/>
        <v>173054809</v>
      </c>
      <c r="P35" s="549">
        <f t="shared" si="16"/>
        <v>1088769085</v>
      </c>
      <c r="Q35" s="549">
        <f t="shared" si="16"/>
        <v>665257479</v>
      </c>
      <c r="R35" s="549">
        <f t="shared" si="16"/>
        <v>141537142</v>
      </c>
      <c r="S35" s="549">
        <f t="shared" si="16"/>
        <v>68368048</v>
      </c>
      <c r="T35" s="549">
        <f t="shared" si="16"/>
        <v>267889884</v>
      </c>
      <c r="U35" s="549">
        <f t="shared" si="16"/>
        <v>95371174</v>
      </c>
      <c r="V35" s="549">
        <f t="shared" si="16"/>
        <v>296031464</v>
      </c>
      <c r="W35" s="549">
        <f t="shared" si="16"/>
        <v>97066766</v>
      </c>
      <c r="X35" s="549">
        <f t="shared" si="16"/>
        <v>1536503</v>
      </c>
      <c r="Y35" s="549">
        <f t="shared" si="16"/>
        <v>501457</v>
      </c>
      <c r="Z35" s="560">
        <f t="shared" si="5"/>
        <v>5462183068</v>
      </c>
    </row>
    <row r="36" spans="1:26" ht="22.5" customHeight="1">
      <c r="A36" s="25"/>
    </row>
    <row r="37" spans="1:26" s="28" customFormat="1" ht="18.75" customHeight="1">
      <c r="B37" s="26" t="s">
        <v>756</v>
      </c>
      <c r="C37" s="452"/>
      <c r="E37" s="452"/>
      <c r="F37" s="157"/>
      <c r="G37" s="525"/>
      <c r="H37" s="157"/>
      <c r="I37" s="525"/>
      <c r="J37" s="525"/>
      <c r="K37" s="157"/>
      <c r="L37" s="525"/>
      <c r="M37" s="525"/>
      <c r="N37" s="452"/>
      <c r="O37" s="452"/>
      <c r="P37" s="452"/>
      <c r="Q37" s="452"/>
      <c r="R37" s="452"/>
      <c r="S37" s="452"/>
      <c r="T37" s="452"/>
      <c r="U37" s="452"/>
      <c r="V37" s="452"/>
      <c r="W37" s="452"/>
      <c r="X37" s="452"/>
      <c r="Y37" s="452"/>
      <c r="Z37" s="452"/>
    </row>
    <row r="38" spans="1:26" s="28" customFormat="1" ht="18.75" customHeight="1">
      <c r="B38" s="26"/>
      <c r="C38" s="452"/>
      <c r="E38" s="452"/>
      <c r="F38" s="157"/>
      <c r="G38" s="525"/>
      <c r="H38" s="157"/>
      <c r="I38" s="525"/>
      <c r="J38" s="525"/>
      <c r="K38" s="157"/>
      <c r="L38" s="525"/>
      <c r="M38" s="525"/>
      <c r="N38" s="452"/>
      <c r="O38" s="452"/>
      <c r="P38" s="452"/>
      <c r="Q38" s="452"/>
      <c r="R38" s="452"/>
      <c r="S38" s="452"/>
      <c r="T38" s="452"/>
      <c r="U38" s="452"/>
      <c r="V38" s="452"/>
      <c r="W38" s="452"/>
      <c r="X38" s="452"/>
      <c r="Y38" s="452"/>
      <c r="Z38" s="452"/>
    </row>
    <row r="39" spans="1:26" s="28" customFormat="1" ht="18.75" customHeight="1">
      <c r="B39" s="26" t="s">
        <v>757</v>
      </c>
      <c r="C39" s="452"/>
      <c r="E39" s="452"/>
      <c r="F39" s="157"/>
      <c r="G39" s="525"/>
      <c r="H39" s="157"/>
      <c r="I39" s="525"/>
      <c r="J39" s="525"/>
      <c r="K39" s="157"/>
      <c r="L39" s="525"/>
      <c r="M39" s="525"/>
      <c r="N39" s="452"/>
      <c r="O39" s="452"/>
      <c r="P39" s="452"/>
      <c r="Q39" s="452"/>
      <c r="R39" s="452"/>
      <c r="S39" s="452"/>
      <c r="T39" s="452"/>
      <c r="U39" s="452"/>
      <c r="V39" s="452"/>
      <c r="W39" s="452"/>
      <c r="X39" s="452"/>
      <c r="Y39" s="452"/>
      <c r="Z39" s="452"/>
    </row>
    <row r="40" spans="1:26" ht="15.75">
      <c r="A40" s="25"/>
      <c r="B40" s="26"/>
    </row>
    <row r="42" spans="1:26">
      <c r="G42" s="517">
        <f>+'[8]Bank Assets Analysis'!$S$32</f>
        <v>30353847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6" type="noConversion"/>
  <conditionalFormatting sqref="C35">
    <cfRule type="cellIs" dxfId="243" priority="5" operator="notEqual">
      <formula>C22</formula>
    </cfRule>
  </conditionalFormatting>
  <conditionalFormatting sqref="E35">
    <cfRule type="cellIs" dxfId="242" priority="4" operator="notEqual">
      <formula>E22</formula>
    </cfRule>
  </conditionalFormatting>
  <conditionalFormatting sqref="G35">
    <cfRule type="cellIs" dxfId="241" priority="3" operator="notEqual">
      <formula>G22</formula>
    </cfRule>
  </conditionalFormatting>
  <conditionalFormatting sqref="I35:J35">
    <cfRule type="cellIs" dxfId="240" priority="2" operator="notEqual">
      <formula>I22</formula>
    </cfRule>
  </conditionalFormatting>
  <conditionalFormatting sqref="L35:Y35">
    <cfRule type="cellIs" dxfId="239" priority="1" operator="notEqual">
      <formula>L22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87"/>
  <sheetViews>
    <sheetView view="pageBreakPreview" zoomScale="85" zoomScaleNormal="62" zoomScaleSheetLayoutView="85" workbookViewId="0">
      <pane xSplit="4" ySplit="5" topLeftCell="P63" activePane="bottomRight" state="frozen"/>
      <selection pane="topRight" activeCell="E1" sqref="E1"/>
      <selection pane="bottomLeft" activeCell="A6" sqref="A6"/>
      <selection pane="bottomRight" activeCell="AA31" sqref="AA31"/>
    </sheetView>
  </sheetViews>
  <sheetFormatPr defaultColWidth="9.42578125" defaultRowHeight="12.75"/>
  <cols>
    <col min="1" max="1" width="5" style="28" customWidth="1"/>
    <col min="2" max="2" width="47.42578125" style="28" customWidth="1"/>
    <col min="3" max="4" width="21.28515625" style="28" customWidth="1"/>
    <col min="5" max="7" width="18.7109375" style="28" customWidth="1"/>
    <col min="8" max="8" width="17" style="28" customWidth="1"/>
    <col min="9" max="11" width="18" style="28" customWidth="1"/>
    <col min="12" max="12" width="17" style="28" customWidth="1"/>
    <col min="13" max="13" width="16.7109375" style="28" customWidth="1"/>
    <col min="14" max="14" width="14.7109375" style="28" customWidth="1"/>
    <col min="15" max="15" width="13.7109375" style="28" customWidth="1"/>
    <col min="16" max="16" width="17" style="28" customWidth="1"/>
    <col min="17" max="17" width="16.5703125" style="28" customWidth="1"/>
    <col min="18" max="19" width="14.7109375" style="28" customWidth="1"/>
    <col min="20" max="20" width="17" style="28" customWidth="1"/>
    <col min="21" max="21" width="18" style="28" customWidth="1"/>
    <col min="22" max="22" width="17" style="28" customWidth="1"/>
    <col min="23" max="24" width="16.5703125" style="28" customWidth="1"/>
    <col min="25" max="25" width="17" style="28" bestFit="1" customWidth="1"/>
    <col min="26" max="26" width="16.5703125" style="28" customWidth="1"/>
    <col min="27" max="28" width="14.7109375" style="28" customWidth="1"/>
    <col min="29" max="29" width="19.140625" style="157" customWidth="1"/>
    <col min="30" max="30" width="19" style="157" customWidth="1"/>
    <col min="31" max="36" width="9.42578125" style="157"/>
    <col min="37" max="16384" width="9.42578125" style="28"/>
  </cols>
  <sheetData>
    <row r="1" spans="1:36" ht="21" customHeight="1">
      <c r="A1" s="291" t="s">
        <v>620</v>
      </c>
      <c r="B1" s="198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X1" s="193"/>
      <c r="Y1" s="193"/>
      <c r="Z1" s="292" t="s">
        <v>621</v>
      </c>
      <c r="AA1" s="193"/>
    </row>
    <row r="2" spans="1:36" ht="12.75" customHeight="1">
      <c r="A2" s="291"/>
      <c r="B2" s="198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X2" s="193"/>
      <c r="Y2" s="193"/>
      <c r="Z2" s="292"/>
      <c r="AA2" s="193"/>
    </row>
    <row r="3" spans="1:36" ht="15.75">
      <c r="A3" s="196"/>
      <c r="B3" s="80" t="str">
        <f>+'Asset quality'!B3</f>
        <v>"Ўзсаноатқурилишбанк" АТБ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681">
        <f>+'Asset quality'!Q3</f>
        <v>46021</v>
      </c>
      <c r="V3" s="681"/>
      <c r="W3" s="79"/>
      <c r="X3" s="196"/>
      <c r="Y3" s="196"/>
      <c r="AA3" s="194"/>
      <c r="AB3" s="293" t="str">
        <f>+'Asset quality'!T3</f>
        <v>минг. сўмда</v>
      </c>
    </row>
    <row r="4" spans="1:36" ht="125.25" customHeight="1">
      <c r="A4" s="294" t="s">
        <v>61</v>
      </c>
      <c r="B4" s="295" t="s">
        <v>282</v>
      </c>
      <c r="C4" s="296" t="s">
        <v>622</v>
      </c>
      <c r="D4" s="296" t="s">
        <v>623</v>
      </c>
      <c r="E4" s="296" t="s">
        <v>624</v>
      </c>
      <c r="F4" s="296" t="s">
        <v>623</v>
      </c>
      <c r="G4" s="296" t="s">
        <v>758</v>
      </c>
      <c r="H4" s="296" t="s">
        <v>623</v>
      </c>
      <c r="I4" s="296" t="s">
        <v>625</v>
      </c>
      <c r="J4" s="296" t="s">
        <v>623</v>
      </c>
      <c r="K4" s="296" t="s">
        <v>626</v>
      </c>
      <c r="L4" s="296" t="s">
        <v>623</v>
      </c>
      <c r="M4" s="296" t="s">
        <v>627</v>
      </c>
      <c r="N4" s="296" t="s">
        <v>623</v>
      </c>
      <c r="O4" s="296" t="s">
        <v>628</v>
      </c>
      <c r="P4" s="296" t="s">
        <v>623</v>
      </c>
      <c r="Q4" s="296" t="s">
        <v>629</v>
      </c>
      <c r="R4" s="296" t="s">
        <v>623</v>
      </c>
      <c r="S4" s="296" t="s">
        <v>630</v>
      </c>
      <c r="T4" s="296" t="s">
        <v>623</v>
      </c>
      <c r="U4" s="296" t="s">
        <v>631</v>
      </c>
      <c r="V4" s="296" t="s">
        <v>623</v>
      </c>
      <c r="W4" s="296" t="s">
        <v>632</v>
      </c>
      <c r="X4" s="296" t="s">
        <v>623</v>
      </c>
      <c r="Y4" s="296" t="s">
        <v>633</v>
      </c>
      <c r="Z4" s="296" t="s">
        <v>623</v>
      </c>
      <c r="AA4" s="296" t="s">
        <v>634</v>
      </c>
      <c r="AB4" s="296" t="s">
        <v>635</v>
      </c>
    </row>
    <row r="5" spans="1:36" s="15" customFormat="1" ht="25.5">
      <c r="A5" s="14" t="s">
        <v>66</v>
      </c>
      <c r="B5" s="14" t="s">
        <v>36</v>
      </c>
      <c r="C5" s="14" t="s">
        <v>37</v>
      </c>
      <c r="D5" s="14" t="s">
        <v>711</v>
      </c>
      <c r="E5" s="14" t="s">
        <v>38</v>
      </c>
      <c r="F5" s="14" t="s">
        <v>712</v>
      </c>
      <c r="G5" s="14" t="s">
        <v>62</v>
      </c>
      <c r="H5" s="14" t="s">
        <v>713</v>
      </c>
      <c r="I5" s="14" t="s">
        <v>63</v>
      </c>
      <c r="J5" s="14" t="s">
        <v>714</v>
      </c>
      <c r="K5" s="14" t="s">
        <v>64</v>
      </c>
      <c r="L5" s="14" t="s">
        <v>715</v>
      </c>
      <c r="M5" s="14" t="s">
        <v>67</v>
      </c>
      <c r="N5" s="14" t="s">
        <v>716</v>
      </c>
      <c r="O5" s="14" t="s">
        <v>68</v>
      </c>
      <c r="P5" s="14" t="s">
        <v>717</v>
      </c>
      <c r="Q5" s="14" t="s">
        <v>69</v>
      </c>
      <c r="R5" s="14" t="s">
        <v>718</v>
      </c>
      <c r="S5" s="14" t="s">
        <v>70</v>
      </c>
      <c r="T5" s="14" t="s">
        <v>719</v>
      </c>
      <c r="U5" s="14" t="s">
        <v>71</v>
      </c>
      <c r="V5" s="14" t="s">
        <v>720</v>
      </c>
      <c r="W5" s="14" t="s">
        <v>72</v>
      </c>
      <c r="X5" s="14" t="s">
        <v>721</v>
      </c>
      <c r="Y5" s="14" t="s">
        <v>31</v>
      </c>
      <c r="Z5" s="14" t="s">
        <v>722</v>
      </c>
      <c r="AA5" s="14" t="s">
        <v>155</v>
      </c>
      <c r="AB5" s="14" t="s">
        <v>156</v>
      </c>
      <c r="AC5" s="206"/>
      <c r="AD5" s="206"/>
      <c r="AE5" s="206"/>
      <c r="AF5" s="206"/>
      <c r="AG5" s="206"/>
      <c r="AH5" s="206"/>
      <c r="AI5" s="206"/>
      <c r="AJ5" s="206"/>
    </row>
    <row r="6" spans="1:36" s="424" customFormat="1" ht="27.75" customHeight="1">
      <c r="A6" s="423"/>
      <c r="B6" s="423" t="s">
        <v>636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D6" s="492"/>
    </row>
    <row r="7" spans="1:36" s="15" customFormat="1" ht="23.25" customHeight="1">
      <c r="A7" s="295">
        <v>1</v>
      </c>
      <c r="B7" s="130" t="s">
        <v>637</v>
      </c>
      <c r="C7" s="410">
        <f t="shared" ref="C7:C30" si="0">E7+I7+M7+Q7+U7</f>
        <v>0</v>
      </c>
      <c r="D7" s="408">
        <f>F7+J7+N7+R7+V7</f>
        <v>0</v>
      </c>
      <c r="E7" s="409"/>
      <c r="F7" s="409"/>
      <c r="G7" s="409"/>
      <c r="H7" s="409"/>
      <c r="I7" s="409"/>
      <c r="J7" s="409"/>
      <c r="K7" s="409"/>
      <c r="L7" s="409"/>
      <c r="M7" s="409"/>
      <c r="N7" s="409"/>
      <c r="O7" s="409"/>
      <c r="P7" s="409"/>
      <c r="Q7" s="409"/>
      <c r="R7" s="409"/>
      <c r="S7" s="409"/>
      <c r="T7" s="409"/>
      <c r="U7" s="409"/>
      <c r="V7" s="409"/>
      <c r="W7" s="409"/>
      <c r="X7" s="409"/>
      <c r="Y7" s="407">
        <f t="shared" ref="Y7:Y30" si="1">+W7+S7+O7+K7</f>
        <v>0</v>
      </c>
      <c r="Z7" s="408">
        <f t="shared" ref="Z7:Z30" si="2">+X7+T7+P7+L7</f>
        <v>0</v>
      </c>
      <c r="AA7" s="17"/>
      <c r="AB7" s="17"/>
      <c r="AC7" s="208">
        <f>+'Aging Analysis'!C9</f>
        <v>0</v>
      </c>
      <c r="AD7" s="492">
        <f>+C7-AC7</f>
        <v>0</v>
      </c>
      <c r="AE7" s="206"/>
      <c r="AF7" s="206"/>
      <c r="AG7" s="206"/>
      <c r="AH7" s="206"/>
      <c r="AI7" s="206"/>
      <c r="AJ7" s="206"/>
    </row>
    <row r="8" spans="1:36" s="15" customFormat="1" ht="14.25" customHeight="1">
      <c r="A8" s="295"/>
      <c r="B8" s="297" t="s">
        <v>638</v>
      </c>
      <c r="C8" s="410">
        <f t="shared" si="0"/>
        <v>0</v>
      </c>
      <c r="D8" s="408">
        <f t="shared" ref="D8:D30" si="3">F8+J8+N8+R8+V8</f>
        <v>0</v>
      </c>
      <c r="E8" s="411"/>
      <c r="F8" s="409"/>
      <c r="G8" s="411"/>
      <c r="H8" s="409"/>
      <c r="I8" s="411"/>
      <c r="J8" s="409"/>
      <c r="K8" s="411"/>
      <c r="L8" s="409"/>
      <c r="M8" s="411"/>
      <c r="N8" s="409"/>
      <c r="O8" s="411"/>
      <c r="P8" s="409"/>
      <c r="Q8" s="411"/>
      <c r="R8" s="409"/>
      <c r="S8" s="411"/>
      <c r="T8" s="409"/>
      <c r="U8" s="411"/>
      <c r="V8" s="409"/>
      <c r="W8" s="411"/>
      <c r="X8" s="409"/>
      <c r="Y8" s="407">
        <f t="shared" si="1"/>
        <v>0</v>
      </c>
      <c r="Z8" s="408">
        <f t="shared" si="2"/>
        <v>0</v>
      </c>
      <c r="AA8" s="17"/>
      <c r="AB8" s="17"/>
      <c r="AD8" s="492"/>
      <c r="AE8" s="206"/>
      <c r="AF8" s="206"/>
      <c r="AG8" s="206"/>
      <c r="AH8" s="206"/>
      <c r="AI8" s="206"/>
      <c r="AJ8" s="206"/>
    </row>
    <row r="9" spans="1:36" s="15" customFormat="1" ht="23.25" customHeight="1">
      <c r="A9" s="295">
        <v>2</v>
      </c>
      <c r="B9" s="130" t="s">
        <v>639</v>
      </c>
      <c r="C9" s="410">
        <f t="shared" si="0"/>
        <v>0</v>
      </c>
      <c r="D9" s="408">
        <f t="shared" si="3"/>
        <v>0</v>
      </c>
      <c r="E9" s="411"/>
      <c r="F9" s="409"/>
      <c r="G9" s="411"/>
      <c r="H9" s="409"/>
      <c r="I9" s="411"/>
      <c r="J9" s="409"/>
      <c r="K9" s="411"/>
      <c r="L9" s="409"/>
      <c r="M9" s="411"/>
      <c r="N9" s="409"/>
      <c r="O9" s="411"/>
      <c r="P9" s="409"/>
      <c r="Q9" s="411"/>
      <c r="R9" s="409"/>
      <c r="S9" s="411"/>
      <c r="T9" s="409"/>
      <c r="U9" s="411"/>
      <c r="V9" s="409"/>
      <c r="W9" s="411"/>
      <c r="X9" s="409"/>
      <c r="Y9" s="407">
        <f t="shared" si="1"/>
        <v>0</v>
      </c>
      <c r="Z9" s="408">
        <f t="shared" si="2"/>
        <v>0</v>
      </c>
      <c r="AA9" s="17"/>
      <c r="AB9" s="17"/>
      <c r="AC9" s="208">
        <f>+'Aging Analysis'!C10</f>
        <v>0</v>
      </c>
      <c r="AD9" s="492">
        <f>+C9-AC9</f>
        <v>0</v>
      </c>
      <c r="AE9" s="206"/>
      <c r="AF9" s="206"/>
      <c r="AG9" s="206"/>
      <c r="AH9" s="206"/>
      <c r="AI9" s="206"/>
      <c r="AJ9" s="206"/>
    </row>
    <row r="10" spans="1:36" s="15" customFormat="1" ht="14.25" customHeight="1">
      <c r="A10" s="295"/>
      <c r="B10" s="297" t="s">
        <v>638</v>
      </c>
      <c r="C10" s="439">
        <f t="shared" si="0"/>
        <v>0</v>
      </c>
      <c r="D10" s="440">
        <f t="shared" si="3"/>
        <v>0</v>
      </c>
      <c r="E10" s="561"/>
      <c r="F10" s="562"/>
      <c r="G10" s="561"/>
      <c r="H10" s="562"/>
      <c r="I10" s="561"/>
      <c r="J10" s="562"/>
      <c r="K10" s="561"/>
      <c r="L10" s="562"/>
      <c r="M10" s="561"/>
      <c r="N10" s="562"/>
      <c r="O10" s="561"/>
      <c r="P10" s="562"/>
      <c r="Q10" s="561"/>
      <c r="R10" s="562"/>
      <c r="S10" s="561"/>
      <c r="T10" s="562"/>
      <c r="U10" s="561"/>
      <c r="V10" s="562"/>
      <c r="W10" s="561"/>
      <c r="X10" s="562"/>
      <c r="Y10" s="435">
        <f t="shared" si="1"/>
        <v>0</v>
      </c>
      <c r="Z10" s="440">
        <f t="shared" si="2"/>
        <v>0</v>
      </c>
      <c r="AA10" s="223"/>
      <c r="AB10" s="223"/>
      <c r="AC10" s="516"/>
      <c r="AD10" s="492"/>
      <c r="AE10" s="206"/>
      <c r="AF10" s="206"/>
      <c r="AG10" s="206"/>
      <c r="AH10" s="206"/>
      <c r="AI10" s="206"/>
      <c r="AJ10" s="206"/>
    </row>
    <row r="11" spans="1:36" s="15" customFormat="1" ht="23.25" customHeight="1">
      <c r="A11" s="295">
        <v>3</v>
      </c>
      <c r="B11" s="130" t="s">
        <v>394</v>
      </c>
      <c r="C11" s="439">
        <f t="shared" si="0"/>
        <v>0</v>
      </c>
      <c r="D11" s="440">
        <f t="shared" si="3"/>
        <v>0</v>
      </c>
      <c r="E11" s="561"/>
      <c r="F11" s="562"/>
      <c r="G11" s="561"/>
      <c r="H11" s="562"/>
      <c r="I11" s="561"/>
      <c r="J11" s="562"/>
      <c r="K11" s="561"/>
      <c r="L11" s="562"/>
      <c r="M11" s="561"/>
      <c r="N11" s="562"/>
      <c r="O11" s="561"/>
      <c r="P11" s="562"/>
      <c r="Q11" s="561"/>
      <c r="R11" s="562"/>
      <c r="S11" s="561"/>
      <c r="T11" s="562"/>
      <c r="U11" s="561"/>
      <c r="V11" s="562"/>
      <c r="W11" s="561"/>
      <c r="X11" s="562"/>
      <c r="Y11" s="435">
        <f t="shared" si="1"/>
        <v>0</v>
      </c>
      <c r="Z11" s="440">
        <f t="shared" si="2"/>
        <v>0</v>
      </c>
      <c r="AA11" s="223"/>
      <c r="AB11" s="223"/>
      <c r="AC11" s="560">
        <f>+'Aging Analysis'!C11</f>
        <v>0</v>
      </c>
      <c r="AD11" s="492">
        <f>+C11-AC11</f>
        <v>0</v>
      </c>
      <c r="AE11" s="206"/>
      <c r="AF11" s="206"/>
      <c r="AG11" s="206"/>
      <c r="AH11" s="206"/>
      <c r="AI11" s="206"/>
      <c r="AJ11" s="206"/>
    </row>
    <row r="12" spans="1:36" s="15" customFormat="1" ht="14.25" customHeight="1">
      <c r="A12" s="295"/>
      <c r="B12" s="297" t="s">
        <v>638</v>
      </c>
      <c r="C12" s="439">
        <f t="shared" si="0"/>
        <v>0</v>
      </c>
      <c r="D12" s="440">
        <f t="shared" si="3"/>
        <v>0</v>
      </c>
      <c r="E12" s="561"/>
      <c r="F12" s="562"/>
      <c r="G12" s="561"/>
      <c r="H12" s="562"/>
      <c r="I12" s="561"/>
      <c r="J12" s="562"/>
      <c r="K12" s="561"/>
      <c r="L12" s="562"/>
      <c r="M12" s="561"/>
      <c r="N12" s="562"/>
      <c r="O12" s="561"/>
      <c r="P12" s="562"/>
      <c r="Q12" s="561"/>
      <c r="R12" s="562"/>
      <c r="S12" s="561"/>
      <c r="T12" s="562"/>
      <c r="U12" s="561"/>
      <c r="V12" s="562"/>
      <c r="W12" s="561"/>
      <c r="X12" s="562"/>
      <c r="Y12" s="435">
        <f t="shared" si="1"/>
        <v>0</v>
      </c>
      <c r="Z12" s="440">
        <f t="shared" si="2"/>
        <v>0</v>
      </c>
      <c r="AA12" s="223"/>
      <c r="AB12" s="223"/>
      <c r="AC12" s="516"/>
      <c r="AD12" s="492"/>
      <c r="AE12" s="206"/>
      <c r="AF12" s="206"/>
      <c r="AG12" s="206"/>
      <c r="AH12" s="206"/>
      <c r="AI12" s="206"/>
      <c r="AJ12" s="206"/>
    </row>
    <row r="13" spans="1:36" s="15" customFormat="1" ht="23.25" customHeight="1">
      <c r="A13" s="295">
        <v>4</v>
      </c>
      <c r="B13" s="130" t="s">
        <v>395</v>
      </c>
      <c r="C13" s="439">
        <f t="shared" si="0"/>
        <v>9706748229</v>
      </c>
      <c r="D13" s="440">
        <f t="shared" si="3"/>
        <v>0</v>
      </c>
      <c r="E13" s="561">
        <v>8900894853</v>
      </c>
      <c r="F13" s="562">
        <v>0</v>
      </c>
      <c r="G13" s="561">
        <v>89008949</v>
      </c>
      <c r="H13" s="562">
        <v>0</v>
      </c>
      <c r="I13" s="561">
        <v>534089561</v>
      </c>
      <c r="J13" s="562">
        <v>0</v>
      </c>
      <c r="K13" s="561">
        <v>53411263</v>
      </c>
      <c r="L13" s="562">
        <v>0</v>
      </c>
      <c r="M13" s="561">
        <v>94140521</v>
      </c>
      <c r="N13" s="562">
        <v>0</v>
      </c>
      <c r="O13" s="561">
        <v>23536472</v>
      </c>
      <c r="P13" s="562">
        <v>0</v>
      </c>
      <c r="Q13" s="561">
        <v>146207436</v>
      </c>
      <c r="R13" s="562">
        <v>0</v>
      </c>
      <c r="S13" s="561">
        <v>73109718</v>
      </c>
      <c r="T13" s="562">
        <v>0</v>
      </c>
      <c r="U13" s="561">
        <v>31415858</v>
      </c>
      <c r="V13" s="562">
        <v>0</v>
      </c>
      <c r="W13" s="561">
        <v>31407981</v>
      </c>
      <c r="X13" s="562">
        <v>0</v>
      </c>
      <c r="Y13" s="435">
        <f t="shared" si="1"/>
        <v>181465434</v>
      </c>
      <c r="Z13" s="440">
        <f t="shared" si="2"/>
        <v>0</v>
      </c>
      <c r="AA13" s="223">
        <v>100373685</v>
      </c>
      <c r="AB13" s="223">
        <v>2719295</v>
      </c>
      <c r="AC13" s="560">
        <f>+'Aging Analysis'!C12</f>
        <v>9706748229</v>
      </c>
      <c r="AD13" s="492">
        <f>+C13-AC13</f>
        <v>0</v>
      </c>
      <c r="AE13" s="206"/>
      <c r="AF13" s="206"/>
      <c r="AG13" s="206"/>
      <c r="AH13" s="206"/>
      <c r="AI13" s="206"/>
      <c r="AJ13" s="206"/>
    </row>
    <row r="14" spans="1:36" s="15" customFormat="1" ht="14.25" customHeight="1">
      <c r="A14" s="295"/>
      <c r="B14" s="297" t="s">
        <v>638</v>
      </c>
      <c r="C14" s="439">
        <f t="shared" si="0"/>
        <v>0</v>
      </c>
      <c r="D14" s="440">
        <f t="shared" si="3"/>
        <v>0</v>
      </c>
      <c r="E14" s="561">
        <v>0</v>
      </c>
      <c r="F14" s="562">
        <v>0</v>
      </c>
      <c r="G14" s="561">
        <v>0</v>
      </c>
      <c r="H14" s="562">
        <v>0</v>
      </c>
      <c r="I14" s="561">
        <v>0</v>
      </c>
      <c r="J14" s="562">
        <v>0</v>
      </c>
      <c r="K14" s="561">
        <v>0</v>
      </c>
      <c r="L14" s="562">
        <v>0</v>
      </c>
      <c r="M14" s="561">
        <v>0</v>
      </c>
      <c r="N14" s="562">
        <v>0</v>
      </c>
      <c r="O14" s="561">
        <v>0</v>
      </c>
      <c r="P14" s="562">
        <v>0</v>
      </c>
      <c r="Q14" s="561">
        <v>0</v>
      </c>
      <c r="R14" s="562">
        <v>0</v>
      </c>
      <c r="S14" s="561">
        <v>0</v>
      </c>
      <c r="T14" s="562">
        <v>0</v>
      </c>
      <c r="U14" s="561">
        <v>0</v>
      </c>
      <c r="V14" s="562">
        <v>0</v>
      </c>
      <c r="W14" s="561">
        <v>0</v>
      </c>
      <c r="X14" s="562">
        <v>0</v>
      </c>
      <c r="Y14" s="435">
        <f t="shared" si="1"/>
        <v>0</v>
      </c>
      <c r="Z14" s="440">
        <f t="shared" si="2"/>
        <v>0</v>
      </c>
      <c r="AA14" s="223"/>
      <c r="AB14" s="223"/>
      <c r="AC14" s="516"/>
      <c r="AD14" s="492"/>
      <c r="AE14" s="206"/>
      <c r="AF14" s="206"/>
      <c r="AG14" s="206"/>
      <c r="AH14" s="206"/>
      <c r="AI14" s="206"/>
      <c r="AJ14" s="206"/>
    </row>
    <row r="15" spans="1:36" s="15" customFormat="1" ht="23.25" customHeight="1">
      <c r="A15" s="295">
        <v>5</v>
      </c>
      <c r="B15" s="130" t="s">
        <v>640</v>
      </c>
      <c r="C15" s="439">
        <f t="shared" si="0"/>
        <v>12813996196</v>
      </c>
      <c r="D15" s="440">
        <f t="shared" si="3"/>
        <v>8020986178</v>
      </c>
      <c r="E15" s="561">
        <v>10096267167</v>
      </c>
      <c r="F15" s="562">
        <v>7541171165</v>
      </c>
      <c r="G15" s="561">
        <v>98421975</v>
      </c>
      <c r="H15" s="562">
        <v>0</v>
      </c>
      <c r="I15" s="561">
        <v>2706744176</v>
      </c>
      <c r="J15" s="562">
        <v>479815013</v>
      </c>
      <c r="K15" s="561">
        <v>270674418</v>
      </c>
      <c r="L15" s="562">
        <v>47981501</v>
      </c>
      <c r="M15" s="561">
        <v>0</v>
      </c>
      <c r="N15" s="562">
        <v>0</v>
      </c>
      <c r="O15" s="561">
        <v>0</v>
      </c>
      <c r="P15" s="562">
        <v>0</v>
      </c>
      <c r="Q15" s="561">
        <v>0</v>
      </c>
      <c r="R15" s="562">
        <v>0</v>
      </c>
      <c r="S15" s="561">
        <v>0</v>
      </c>
      <c r="T15" s="562">
        <v>0</v>
      </c>
      <c r="U15" s="561">
        <v>10984853</v>
      </c>
      <c r="V15" s="562">
        <v>0</v>
      </c>
      <c r="W15" s="561">
        <v>10984853</v>
      </c>
      <c r="X15" s="562">
        <v>0</v>
      </c>
      <c r="Y15" s="435">
        <f t="shared" si="1"/>
        <v>281659271</v>
      </c>
      <c r="Z15" s="440">
        <f t="shared" si="2"/>
        <v>47981501</v>
      </c>
      <c r="AA15" s="223">
        <v>0</v>
      </c>
      <c r="AB15" s="223">
        <v>0</v>
      </c>
      <c r="AC15" s="560">
        <f>+'Aging Analysis'!C13</f>
        <v>12813996196</v>
      </c>
      <c r="AD15" s="492">
        <f>+C15-AC15</f>
        <v>0</v>
      </c>
      <c r="AE15" s="206"/>
      <c r="AF15" s="206"/>
      <c r="AG15" s="206"/>
      <c r="AH15" s="206"/>
      <c r="AI15" s="206"/>
      <c r="AJ15" s="206"/>
    </row>
    <row r="16" spans="1:36" s="15" customFormat="1" ht="14.25" customHeight="1">
      <c r="A16" s="295"/>
      <c r="B16" s="297" t="s">
        <v>638</v>
      </c>
      <c r="C16" s="439">
        <f t="shared" si="0"/>
        <v>0</v>
      </c>
      <c r="D16" s="440">
        <f t="shared" si="3"/>
        <v>0</v>
      </c>
      <c r="E16" s="561">
        <v>0</v>
      </c>
      <c r="F16" s="562">
        <v>0</v>
      </c>
      <c r="G16" s="561">
        <v>0</v>
      </c>
      <c r="H16" s="562">
        <v>0</v>
      </c>
      <c r="I16" s="561">
        <v>0</v>
      </c>
      <c r="J16" s="562">
        <v>0</v>
      </c>
      <c r="K16" s="561">
        <v>0</v>
      </c>
      <c r="L16" s="562">
        <v>0</v>
      </c>
      <c r="M16" s="561">
        <v>0</v>
      </c>
      <c r="N16" s="562">
        <v>0</v>
      </c>
      <c r="O16" s="561">
        <v>0</v>
      </c>
      <c r="P16" s="562">
        <v>0</v>
      </c>
      <c r="Q16" s="561">
        <v>0</v>
      </c>
      <c r="R16" s="562">
        <v>0</v>
      </c>
      <c r="S16" s="561">
        <v>0</v>
      </c>
      <c r="T16" s="562">
        <v>0</v>
      </c>
      <c r="U16" s="561">
        <v>0</v>
      </c>
      <c r="V16" s="562">
        <v>0</v>
      </c>
      <c r="W16" s="561">
        <v>0</v>
      </c>
      <c r="X16" s="562">
        <v>0</v>
      </c>
      <c r="Y16" s="435">
        <f t="shared" si="1"/>
        <v>0</v>
      </c>
      <c r="Z16" s="440">
        <f t="shared" si="2"/>
        <v>0</v>
      </c>
      <c r="AA16" s="223"/>
      <c r="AB16" s="223"/>
      <c r="AC16" s="516"/>
      <c r="AD16" s="492"/>
      <c r="AE16" s="206"/>
      <c r="AF16" s="206"/>
      <c r="AG16" s="206"/>
      <c r="AH16" s="206"/>
      <c r="AI16" s="206"/>
      <c r="AJ16" s="206"/>
    </row>
    <row r="17" spans="1:36" s="15" customFormat="1" ht="23.25" customHeight="1">
      <c r="A17" s="295">
        <v>6</v>
      </c>
      <c r="B17" s="130" t="s">
        <v>397</v>
      </c>
      <c r="C17" s="439">
        <f t="shared" si="0"/>
        <v>9759069887</v>
      </c>
      <c r="D17" s="440">
        <f t="shared" si="3"/>
        <v>7349678047</v>
      </c>
      <c r="E17" s="561">
        <v>8810965778</v>
      </c>
      <c r="F17" s="562">
        <v>6510874630</v>
      </c>
      <c r="G17" s="561">
        <v>88109295</v>
      </c>
      <c r="H17" s="562">
        <v>0</v>
      </c>
      <c r="I17" s="561">
        <v>938524491</v>
      </c>
      <c r="J17" s="562">
        <v>838803417</v>
      </c>
      <c r="K17" s="561">
        <v>93852449</v>
      </c>
      <c r="L17" s="562">
        <v>83880342</v>
      </c>
      <c r="M17" s="561">
        <v>9405114</v>
      </c>
      <c r="N17" s="562">
        <v>0</v>
      </c>
      <c r="O17" s="561">
        <v>2351279</v>
      </c>
      <c r="P17" s="562">
        <v>0</v>
      </c>
      <c r="Q17" s="561">
        <v>27702</v>
      </c>
      <c r="R17" s="562">
        <v>0</v>
      </c>
      <c r="S17" s="561">
        <v>13851</v>
      </c>
      <c r="T17" s="562">
        <v>0</v>
      </c>
      <c r="U17" s="561">
        <v>146802</v>
      </c>
      <c r="V17" s="562">
        <v>0</v>
      </c>
      <c r="W17" s="561">
        <v>146802</v>
      </c>
      <c r="X17" s="562">
        <v>0</v>
      </c>
      <c r="Y17" s="435">
        <f t="shared" si="1"/>
        <v>96364381</v>
      </c>
      <c r="Z17" s="440">
        <f t="shared" si="2"/>
        <v>83880342</v>
      </c>
      <c r="AA17" s="223">
        <v>0</v>
      </c>
      <c r="AB17" s="223">
        <v>0</v>
      </c>
      <c r="AC17" s="560">
        <f>+'Aging Analysis'!C14</f>
        <v>9759069887</v>
      </c>
      <c r="AD17" s="492">
        <f>+C17-AC17</f>
        <v>0</v>
      </c>
      <c r="AE17" s="206"/>
      <c r="AF17" s="206"/>
      <c r="AG17" s="206"/>
      <c r="AH17" s="206"/>
      <c r="AI17" s="206"/>
      <c r="AJ17" s="206"/>
    </row>
    <row r="18" spans="1:36" s="15" customFormat="1" ht="14.25" customHeight="1">
      <c r="A18" s="295"/>
      <c r="B18" s="297" t="s">
        <v>638</v>
      </c>
      <c r="C18" s="439">
        <f t="shared" si="0"/>
        <v>0</v>
      </c>
      <c r="D18" s="440">
        <f t="shared" si="3"/>
        <v>0</v>
      </c>
      <c r="E18" s="561">
        <v>0</v>
      </c>
      <c r="F18" s="562">
        <v>0</v>
      </c>
      <c r="G18" s="561">
        <v>0</v>
      </c>
      <c r="H18" s="562">
        <v>0</v>
      </c>
      <c r="I18" s="561">
        <v>0</v>
      </c>
      <c r="J18" s="562">
        <v>0</v>
      </c>
      <c r="K18" s="561">
        <v>0</v>
      </c>
      <c r="L18" s="562">
        <v>0</v>
      </c>
      <c r="M18" s="561">
        <v>0</v>
      </c>
      <c r="N18" s="562">
        <v>0</v>
      </c>
      <c r="O18" s="561">
        <v>0</v>
      </c>
      <c r="P18" s="562">
        <v>0</v>
      </c>
      <c r="Q18" s="561">
        <v>0</v>
      </c>
      <c r="R18" s="562">
        <v>0</v>
      </c>
      <c r="S18" s="561">
        <v>0</v>
      </c>
      <c r="T18" s="562">
        <v>0</v>
      </c>
      <c r="U18" s="561">
        <v>0</v>
      </c>
      <c r="V18" s="562">
        <v>0</v>
      </c>
      <c r="W18" s="561">
        <v>0</v>
      </c>
      <c r="X18" s="562">
        <v>0</v>
      </c>
      <c r="Y18" s="435">
        <f t="shared" si="1"/>
        <v>0</v>
      </c>
      <c r="Z18" s="440">
        <f t="shared" si="2"/>
        <v>0</v>
      </c>
      <c r="AA18" s="223"/>
      <c r="AB18" s="223"/>
      <c r="AC18" s="516"/>
      <c r="AD18" s="492"/>
      <c r="AE18" s="206"/>
      <c r="AF18" s="206"/>
      <c r="AG18" s="206"/>
      <c r="AH18" s="206"/>
      <c r="AI18" s="206"/>
      <c r="AJ18" s="206"/>
    </row>
    <row r="19" spans="1:36" s="15" customFormat="1" ht="23.25" customHeight="1">
      <c r="A19" s="295">
        <v>7</v>
      </c>
      <c r="B19" s="130" t="s">
        <v>398</v>
      </c>
      <c r="C19" s="439">
        <f t="shared" si="0"/>
        <v>32532347335</v>
      </c>
      <c r="D19" s="440">
        <f t="shared" si="3"/>
        <v>23580570578</v>
      </c>
      <c r="E19" s="561">
        <v>23440218775</v>
      </c>
      <c r="F19" s="562">
        <v>17979954570</v>
      </c>
      <c r="G19" s="561">
        <v>235636455</v>
      </c>
      <c r="H19" s="562">
        <v>0</v>
      </c>
      <c r="I19" s="561">
        <v>7747200513</v>
      </c>
      <c r="J19" s="562">
        <v>5179376376</v>
      </c>
      <c r="K19" s="561">
        <v>776244341</v>
      </c>
      <c r="L19" s="562">
        <v>517937639</v>
      </c>
      <c r="M19" s="561">
        <v>94406068</v>
      </c>
      <c r="N19" s="562">
        <v>21411043</v>
      </c>
      <c r="O19" s="561">
        <v>24018887</v>
      </c>
      <c r="P19" s="562">
        <v>5352762</v>
      </c>
      <c r="Q19" s="561">
        <v>368862332</v>
      </c>
      <c r="R19" s="562">
        <v>180999960</v>
      </c>
      <c r="S19" s="561">
        <v>184684793</v>
      </c>
      <c r="T19" s="562">
        <v>90499980</v>
      </c>
      <c r="U19" s="561">
        <v>881659647</v>
      </c>
      <c r="V19" s="562">
        <v>218828629</v>
      </c>
      <c r="W19" s="561">
        <v>881659647</v>
      </c>
      <c r="X19" s="562">
        <v>218828629</v>
      </c>
      <c r="Y19" s="435">
        <f t="shared" si="1"/>
        <v>1866607668</v>
      </c>
      <c r="Z19" s="440">
        <f t="shared" si="2"/>
        <v>832619010</v>
      </c>
      <c r="AA19" s="223">
        <v>153800183</v>
      </c>
      <c r="AB19" s="223">
        <v>105768265</v>
      </c>
      <c r="AC19" s="560">
        <f>+'Aging Analysis'!C15</f>
        <v>32532347335</v>
      </c>
      <c r="AD19" s="492">
        <f>+C19-AC19</f>
        <v>0</v>
      </c>
      <c r="AE19" s="206"/>
      <c r="AF19" s="206"/>
      <c r="AG19" s="206"/>
      <c r="AH19" s="206"/>
      <c r="AI19" s="206"/>
      <c r="AJ19" s="206"/>
    </row>
    <row r="20" spans="1:36" s="15" customFormat="1" ht="14.25" customHeight="1">
      <c r="A20" s="295"/>
      <c r="B20" s="297" t="s">
        <v>638</v>
      </c>
      <c r="C20" s="439">
        <f t="shared" si="0"/>
        <v>0</v>
      </c>
      <c r="D20" s="440">
        <f t="shared" si="3"/>
        <v>0</v>
      </c>
      <c r="E20" s="561">
        <v>0</v>
      </c>
      <c r="F20" s="562">
        <v>0</v>
      </c>
      <c r="G20" s="561">
        <v>0</v>
      </c>
      <c r="H20" s="562">
        <v>0</v>
      </c>
      <c r="I20" s="561">
        <v>0</v>
      </c>
      <c r="J20" s="562">
        <v>0</v>
      </c>
      <c r="K20" s="561">
        <v>0</v>
      </c>
      <c r="L20" s="562">
        <v>0</v>
      </c>
      <c r="M20" s="561">
        <v>0</v>
      </c>
      <c r="N20" s="562">
        <v>0</v>
      </c>
      <c r="O20" s="561">
        <v>0</v>
      </c>
      <c r="P20" s="562">
        <v>0</v>
      </c>
      <c r="Q20" s="561">
        <v>0</v>
      </c>
      <c r="R20" s="562">
        <v>0</v>
      </c>
      <c r="S20" s="561">
        <v>0</v>
      </c>
      <c r="T20" s="562">
        <v>0</v>
      </c>
      <c r="U20" s="561">
        <v>0</v>
      </c>
      <c r="V20" s="562">
        <v>0</v>
      </c>
      <c r="W20" s="561">
        <v>0</v>
      </c>
      <c r="X20" s="562">
        <v>0</v>
      </c>
      <c r="Y20" s="435">
        <f t="shared" si="1"/>
        <v>0</v>
      </c>
      <c r="Z20" s="440">
        <f t="shared" si="2"/>
        <v>0</v>
      </c>
      <c r="AA20" s="223"/>
      <c r="AB20" s="223">
        <v>0</v>
      </c>
      <c r="AC20" s="516"/>
      <c r="AD20" s="492"/>
      <c r="AE20" s="206"/>
      <c r="AF20" s="206"/>
      <c r="AG20" s="206"/>
      <c r="AH20" s="206"/>
      <c r="AI20" s="206"/>
      <c r="AJ20" s="206"/>
    </row>
    <row r="21" spans="1:36" s="15" customFormat="1" ht="23.25" customHeight="1">
      <c r="A21" s="295">
        <v>8</v>
      </c>
      <c r="B21" s="130" t="s">
        <v>641</v>
      </c>
      <c r="C21" s="439">
        <f t="shared" si="0"/>
        <v>88243247</v>
      </c>
      <c r="D21" s="440">
        <f t="shared" si="3"/>
        <v>72388287</v>
      </c>
      <c r="E21" s="561">
        <v>36717456</v>
      </c>
      <c r="F21" s="562">
        <v>29360157</v>
      </c>
      <c r="G21" s="561">
        <v>366265</v>
      </c>
      <c r="H21" s="562">
        <v>0</v>
      </c>
      <c r="I21" s="561">
        <v>46515934</v>
      </c>
      <c r="J21" s="562">
        <v>43028130</v>
      </c>
      <c r="K21" s="561">
        <v>4651593</v>
      </c>
      <c r="L21" s="562">
        <v>4302813</v>
      </c>
      <c r="M21" s="561">
        <v>0</v>
      </c>
      <c r="N21" s="562">
        <v>0</v>
      </c>
      <c r="O21" s="561">
        <v>0</v>
      </c>
      <c r="P21" s="562">
        <v>0</v>
      </c>
      <c r="Q21" s="561">
        <v>620043</v>
      </c>
      <c r="R21" s="562">
        <v>0</v>
      </c>
      <c r="S21" s="561">
        <v>310021</v>
      </c>
      <c r="T21" s="562">
        <v>0</v>
      </c>
      <c r="U21" s="561">
        <v>4389814</v>
      </c>
      <c r="V21" s="562">
        <v>0</v>
      </c>
      <c r="W21" s="561">
        <v>4389814</v>
      </c>
      <c r="X21" s="562">
        <v>0</v>
      </c>
      <c r="Y21" s="435">
        <f t="shared" si="1"/>
        <v>9351428</v>
      </c>
      <c r="Z21" s="440">
        <f t="shared" si="2"/>
        <v>4302813</v>
      </c>
      <c r="AA21" s="223">
        <v>0</v>
      </c>
      <c r="AB21" s="223">
        <v>0</v>
      </c>
      <c r="AC21" s="560">
        <f>+'Aging Analysis'!C16</f>
        <v>88243247</v>
      </c>
      <c r="AD21" s="492">
        <f>+C21-AC21</f>
        <v>0</v>
      </c>
      <c r="AE21" s="206"/>
      <c r="AF21" s="206"/>
      <c r="AG21" s="206"/>
      <c r="AH21" s="206"/>
      <c r="AI21" s="206"/>
      <c r="AJ21" s="206"/>
    </row>
    <row r="22" spans="1:36" s="15" customFormat="1" ht="14.25" customHeight="1">
      <c r="A22" s="295"/>
      <c r="B22" s="297" t="s">
        <v>638</v>
      </c>
      <c r="C22" s="439">
        <f t="shared" si="0"/>
        <v>0</v>
      </c>
      <c r="D22" s="440">
        <f t="shared" si="3"/>
        <v>0</v>
      </c>
      <c r="E22" s="561">
        <v>0</v>
      </c>
      <c r="F22" s="562">
        <v>0</v>
      </c>
      <c r="G22" s="561">
        <v>0</v>
      </c>
      <c r="H22" s="562">
        <v>0</v>
      </c>
      <c r="I22" s="561">
        <v>0</v>
      </c>
      <c r="J22" s="562">
        <v>0</v>
      </c>
      <c r="K22" s="561">
        <v>0</v>
      </c>
      <c r="L22" s="562">
        <v>0</v>
      </c>
      <c r="M22" s="561">
        <v>0</v>
      </c>
      <c r="N22" s="562">
        <v>0</v>
      </c>
      <c r="O22" s="561">
        <v>0</v>
      </c>
      <c r="P22" s="562">
        <v>0</v>
      </c>
      <c r="Q22" s="561">
        <v>0</v>
      </c>
      <c r="R22" s="562">
        <v>0</v>
      </c>
      <c r="S22" s="561">
        <v>0</v>
      </c>
      <c r="T22" s="562">
        <v>0</v>
      </c>
      <c r="U22" s="561">
        <v>0</v>
      </c>
      <c r="V22" s="562">
        <v>0</v>
      </c>
      <c r="W22" s="561">
        <v>0</v>
      </c>
      <c r="X22" s="562">
        <v>0</v>
      </c>
      <c r="Y22" s="435">
        <f t="shared" si="1"/>
        <v>0</v>
      </c>
      <c r="Z22" s="440">
        <f t="shared" si="2"/>
        <v>0</v>
      </c>
      <c r="AA22" s="223"/>
      <c r="AB22" s="223"/>
      <c r="AC22" s="516"/>
      <c r="AD22" s="492"/>
      <c r="AE22" s="206"/>
      <c r="AF22" s="206"/>
      <c r="AG22" s="206"/>
      <c r="AH22" s="206"/>
      <c r="AI22" s="206"/>
      <c r="AJ22" s="206"/>
    </row>
    <row r="23" spans="1:36" s="15" customFormat="1" ht="23.25" customHeight="1">
      <c r="A23" s="295">
        <v>9</v>
      </c>
      <c r="B23" s="130" t="s">
        <v>642</v>
      </c>
      <c r="C23" s="439">
        <f t="shared" si="0"/>
        <v>33541698</v>
      </c>
      <c r="D23" s="440">
        <f t="shared" si="3"/>
        <v>0</v>
      </c>
      <c r="E23" s="561">
        <v>33541698</v>
      </c>
      <c r="F23" s="562">
        <v>0</v>
      </c>
      <c r="G23" s="561">
        <v>335417</v>
      </c>
      <c r="H23" s="562">
        <v>0</v>
      </c>
      <c r="I23" s="561">
        <v>0</v>
      </c>
      <c r="J23" s="562">
        <v>0</v>
      </c>
      <c r="K23" s="561">
        <v>0</v>
      </c>
      <c r="L23" s="562">
        <v>0</v>
      </c>
      <c r="M23" s="561">
        <v>0</v>
      </c>
      <c r="N23" s="562">
        <v>0</v>
      </c>
      <c r="O23" s="561">
        <v>0</v>
      </c>
      <c r="P23" s="562">
        <v>0</v>
      </c>
      <c r="Q23" s="561">
        <v>0</v>
      </c>
      <c r="R23" s="562">
        <v>0</v>
      </c>
      <c r="S23" s="561">
        <v>0</v>
      </c>
      <c r="T23" s="562">
        <v>0</v>
      </c>
      <c r="U23" s="561">
        <v>0</v>
      </c>
      <c r="V23" s="562">
        <v>0</v>
      </c>
      <c r="W23" s="561">
        <v>0</v>
      </c>
      <c r="X23" s="562">
        <v>0</v>
      </c>
      <c r="Y23" s="435">
        <f t="shared" si="1"/>
        <v>0</v>
      </c>
      <c r="Z23" s="440">
        <f t="shared" si="2"/>
        <v>0</v>
      </c>
      <c r="AA23" s="223">
        <v>0</v>
      </c>
      <c r="AB23" s="223">
        <v>0</v>
      </c>
      <c r="AC23" s="560">
        <f>+'Aging Analysis'!C17</f>
        <v>33541698</v>
      </c>
      <c r="AD23" s="492">
        <f>+C23-AC23</f>
        <v>0</v>
      </c>
      <c r="AE23" s="206"/>
      <c r="AF23" s="206"/>
      <c r="AG23" s="206"/>
      <c r="AH23" s="206"/>
      <c r="AI23" s="206"/>
      <c r="AJ23" s="206"/>
    </row>
    <row r="24" spans="1:36" s="15" customFormat="1" ht="14.25" customHeight="1">
      <c r="A24" s="295"/>
      <c r="B24" s="297" t="s">
        <v>638</v>
      </c>
      <c r="C24" s="439">
        <f t="shared" si="0"/>
        <v>0</v>
      </c>
      <c r="D24" s="440">
        <f t="shared" si="3"/>
        <v>0</v>
      </c>
      <c r="E24" s="561">
        <v>0</v>
      </c>
      <c r="F24" s="562">
        <v>0</v>
      </c>
      <c r="G24" s="561">
        <v>0</v>
      </c>
      <c r="H24" s="562">
        <v>0</v>
      </c>
      <c r="I24" s="561">
        <v>0</v>
      </c>
      <c r="J24" s="562">
        <v>0</v>
      </c>
      <c r="K24" s="561">
        <v>0</v>
      </c>
      <c r="L24" s="562">
        <v>0</v>
      </c>
      <c r="M24" s="561">
        <v>0</v>
      </c>
      <c r="N24" s="562">
        <v>0</v>
      </c>
      <c r="O24" s="561">
        <v>0</v>
      </c>
      <c r="P24" s="562">
        <v>0</v>
      </c>
      <c r="Q24" s="561">
        <v>0</v>
      </c>
      <c r="R24" s="562">
        <v>0</v>
      </c>
      <c r="S24" s="561">
        <v>0</v>
      </c>
      <c r="T24" s="562">
        <v>0</v>
      </c>
      <c r="U24" s="561">
        <v>0</v>
      </c>
      <c r="V24" s="562">
        <v>0</v>
      </c>
      <c r="W24" s="561">
        <v>0</v>
      </c>
      <c r="X24" s="562">
        <v>0</v>
      </c>
      <c r="Y24" s="435">
        <f t="shared" si="1"/>
        <v>0</v>
      </c>
      <c r="Z24" s="440">
        <f t="shared" si="2"/>
        <v>0</v>
      </c>
      <c r="AA24" s="223"/>
      <c r="AB24" s="223"/>
      <c r="AC24" s="516"/>
      <c r="AD24" s="492"/>
      <c r="AE24" s="206"/>
      <c r="AF24" s="206"/>
      <c r="AG24" s="206"/>
      <c r="AH24" s="206"/>
      <c r="AI24" s="206"/>
      <c r="AJ24" s="206"/>
    </row>
    <row r="25" spans="1:36" s="15" customFormat="1" ht="23.25" customHeight="1">
      <c r="A25" s="295">
        <v>10</v>
      </c>
      <c r="B25" s="130" t="s">
        <v>643</v>
      </c>
      <c r="C25" s="439">
        <f t="shared" si="0"/>
        <v>1623241</v>
      </c>
      <c r="D25" s="440">
        <f t="shared" si="3"/>
        <v>430280</v>
      </c>
      <c r="E25" s="561">
        <v>1061761</v>
      </c>
      <c r="F25" s="562">
        <v>0</v>
      </c>
      <c r="G25" s="561">
        <v>10618</v>
      </c>
      <c r="H25" s="562">
        <v>0</v>
      </c>
      <c r="I25" s="561">
        <v>430280</v>
      </c>
      <c r="J25" s="562">
        <v>430280</v>
      </c>
      <c r="K25" s="561">
        <v>43028</v>
      </c>
      <c r="L25" s="562">
        <v>43028</v>
      </c>
      <c r="M25" s="561">
        <v>0</v>
      </c>
      <c r="N25" s="562">
        <v>0</v>
      </c>
      <c r="O25" s="561">
        <v>0</v>
      </c>
      <c r="P25" s="562">
        <v>0</v>
      </c>
      <c r="Q25" s="561">
        <v>0</v>
      </c>
      <c r="R25" s="562">
        <v>0</v>
      </c>
      <c r="S25" s="561">
        <v>0</v>
      </c>
      <c r="T25" s="562">
        <v>0</v>
      </c>
      <c r="U25" s="561">
        <v>131200</v>
      </c>
      <c r="V25" s="562">
        <v>0</v>
      </c>
      <c r="W25" s="561">
        <v>131200</v>
      </c>
      <c r="X25" s="562">
        <v>0</v>
      </c>
      <c r="Y25" s="435">
        <f t="shared" si="1"/>
        <v>174228</v>
      </c>
      <c r="Z25" s="440">
        <f t="shared" si="2"/>
        <v>43028</v>
      </c>
      <c r="AA25" s="223">
        <v>0</v>
      </c>
      <c r="AB25" s="223">
        <v>0</v>
      </c>
      <c r="AC25" s="560">
        <f>+'Aging Analysis'!C18</f>
        <v>1623241</v>
      </c>
      <c r="AD25" s="492">
        <f>+C25-AC25</f>
        <v>0</v>
      </c>
      <c r="AE25" s="206"/>
      <c r="AF25" s="206"/>
      <c r="AG25" s="206"/>
      <c r="AH25" s="206"/>
      <c r="AI25" s="206"/>
      <c r="AJ25" s="206"/>
    </row>
    <row r="26" spans="1:36" s="15" customFormat="1" ht="14.25" customHeight="1">
      <c r="A26" s="295"/>
      <c r="B26" s="297" t="s">
        <v>638</v>
      </c>
      <c r="C26" s="439">
        <f t="shared" si="0"/>
        <v>0</v>
      </c>
      <c r="D26" s="440">
        <f t="shared" si="3"/>
        <v>0</v>
      </c>
      <c r="E26" s="561"/>
      <c r="F26" s="562"/>
      <c r="G26" s="561"/>
      <c r="H26" s="562"/>
      <c r="I26" s="561"/>
      <c r="J26" s="562"/>
      <c r="K26" s="561"/>
      <c r="L26" s="562"/>
      <c r="M26" s="561"/>
      <c r="N26" s="562"/>
      <c r="O26" s="561"/>
      <c r="P26" s="562"/>
      <c r="Q26" s="561"/>
      <c r="R26" s="562"/>
      <c r="S26" s="561"/>
      <c r="T26" s="562"/>
      <c r="U26" s="561"/>
      <c r="V26" s="562"/>
      <c r="W26" s="561"/>
      <c r="X26" s="562"/>
      <c r="Y26" s="435">
        <f t="shared" si="1"/>
        <v>0</v>
      </c>
      <c r="Z26" s="440">
        <f t="shared" si="2"/>
        <v>0</v>
      </c>
      <c r="AA26" s="223"/>
      <c r="AB26" s="223"/>
      <c r="AC26" s="516"/>
      <c r="AD26" s="492"/>
      <c r="AE26" s="206"/>
      <c r="AF26" s="206"/>
      <c r="AG26" s="206"/>
      <c r="AH26" s="206"/>
      <c r="AI26" s="206"/>
      <c r="AJ26" s="206"/>
    </row>
    <row r="27" spans="1:36" s="15" customFormat="1" ht="23.25" customHeight="1">
      <c r="A27" s="295">
        <v>11</v>
      </c>
      <c r="B27" s="130" t="s">
        <v>644</v>
      </c>
      <c r="C27" s="439">
        <f t="shared" si="0"/>
        <v>0</v>
      </c>
      <c r="D27" s="440">
        <f t="shared" si="3"/>
        <v>0</v>
      </c>
      <c r="E27" s="561"/>
      <c r="F27" s="562"/>
      <c r="G27" s="561"/>
      <c r="H27" s="562"/>
      <c r="I27" s="561"/>
      <c r="J27" s="562"/>
      <c r="K27" s="561"/>
      <c r="L27" s="562"/>
      <c r="M27" s="561"/>
      <c r="N27" s="562"/>
      <c r="O27" s="561"/>
      <c r="P27" s="562"/>
      <c r="Q27" s="561"/>
      <c r="R27" s="562"/>
      <c r="S27" s="561"/>
      <c r="T27" s="562"/>
      <c r="U27" s="561"/>
      <c r="V27" s="562"/>
      <c r="W27" s="561"/>
      <c r="X27" s="562"/>
      <c r="Y27" s="435">
        <f t="shared" si="1"/>
        <v>0</v>
      </c>
      <c r="Z27" s="440">
        <f t="shared" si="2"/>
        <v>0</v>
      </c>
      <c r="AA27" s="223">
        <v>0</v>
      </c>
      <c r="AB27" s="223">
        <v>0</v>
      </c>
      <c r="AC27" s="560">
        <f>+'Aging Analysis'!C19</f>
        <v>0</v>
      </c>
      <c r="AD27" s="492">
        <f>+C27-AC27</f>
        <v>0</v>
      </c>
      <c r="AE27" s="206"/>
      <c r="AF27" s="206"/>
      <c r="AG27" s="206"/>
      <c r="AH27" s="206"/>
      <c r="AI27" s="206"/>
      <c r="AJ27" s="206"/>
    </row>
    <row r="28" spans="1:36" s="15" customFormat="1" ht="14.25" customHeight="1">
      <c r="A28" s="295"/>
      <c r="B28" s="297" t="s">
        <v>638</v>
      </c>
      <c r="C28" s="439">
        <f t="shared" si="0"/>
        <v>0</v>
      </c>
      <c r="D28" s="440">
        <f t="shared" si="3"/>
        <v>0</v>
      </c>
      <c r="E28" s="561"/>
      <c r="F28" s="562"/>
      <c r="G28" s="561"/>
      <c r="H28" s="562"/>
      <c r="I28" s="561"/>
      <c r="J28" s="562"/>
      <c r="K28" s="561"/>
      <c r="L28" s="562"/>
      <c r="M28" s="561"/>
      <c r="N28" s="562"/>
      <c r="O28" s="561"/>
      <c r="P28" s="562"/>
      <c r="Q28" s="561"/>
      <c r="R28" s="562"/>
      <c r="S28" s="561"/>
      <c r="T28" s="562"/>
      <c r="U28" s="561"/>
      <c r="V28" s="562"/>
      <c r="W28" s="561"/>
      <c r="X28" s="562"/>
      <c r="Y28" s="435">
        <f t="shared" si="1"/>
        <v>0</v>
      </c>
      <c r="Z28" s="440">
        <f t="shared" si="2"/>
        <v>0</v>
      </c>
      <c r="AA28" s="223"/>
      <c r="AB28" s="223"/>
      <c r="AC28" s="516"/>
      <c r="AD28" s="492"/>
      <c r="AE28" s="206"/>
      <c r="AF28" s="206"/>
      <c r="AG28" s="206"/>
      <c r="AH28" s="206"/>
      <c r="AI28" s="206"/>
      <c r="AJ28" s="206"/>
    </row>
    <row r="29" spans="1:36" s="15" customFormat="1" ht="23.25" customHeight="1">
      <c r="A29" s="295">
        <v>12</v>
      </c>
      <c r="B29" s="130" t="s">
        <v>645</v>
      </c>
      <c r="C29" s="439">
        <f t="shared" si="0"/>
        <v>0</v>
      </c>
      <c r="D29" s="440">
        <f t="shared" si="3"/>
        <v>0</v>
      </c>
      <c r="E29" s="561"/>
      <c r="F29" s="562"/>
      <c r="G29" s="561"/>
      <c r="H29" s="562"/>
      <c r="I29" s="561"/>
      <c r="J29" s="562"/>
      <c r="K29" s="561"/>
      <c r="L29" s="562"/>
      <c r="M29" s="561"/>
      <c r="N29" s="562"/>
      <c r="O29" s="561"/>
      <c r="P29" s="562"/>
      <c r="Q29" s="561"/>
      <c r="R29" s="562"/>
      <c r="S29" s="561"/>
      <c r="T29" s="562"/>
      <c r="U29" s="561"/>
      <c r="V29" s="562"/>
      <c r="W29" s="561"/>
      <c r="X29" s="562"/>
      <c r="Y29" s="435">
        <f t="shared" si="1"/>
        <v>0</v>
      </c>
      <c r="Z29" s="440">
        <f t="shared" si="2"/>
        <v>0</v>
      </c>
      <c r="AA29" s="223">
        <v>0</v>
      </c>
      <c r="AB29" s="223">
        <v>0</v>
      </c>
      <c r="AC29" s="560">
        <f>+'Aging Analysis'!C20</f>
        <v>0</v>
      </c>
      <c r="AD29" s="492">
        <f>+C29-AC29</f>
        <v>0</v>
      </c>
      <c r="AE29" s="206"/>
      <c r="AF29" s="206"/>
      <c r="AG29" s="206"/>
      <c r="AH29" s="206"/>
      <c r="AI29" s="206"/>
      <c r="AJ29" s="206"/>
    </row>
    <row r="30" spans="1:36" s="15" customFormat="1" ht="14.25" customHeight="1">
      <c r="A30" s="295"/>
      <c r="B30" s="297" t="s">
        <v>638</v>
      </c>
      <c r="C30" s="439">
        <f t="shared" si="0"/>
        <v>0</v>
      </c>
      <c r="D30" s="440">
        <f t="shared" si="3"/>
        <v>0</v>
      </c>
      <c r="E30" s="561"/>
      <c r="F30" s="440"/>
      <c r="G30" s="561"/>
      <c r="H30" s="440"/>
      <c r="I30" s="561"/>
      <c r="J30" s="440"/>
      <c r="K30" s="561"/>
      <c r="L30" s="440"/>
      <c r="M30" s="561"/>
      <c r="N30" s="440"/>
      <c r="O30" s="561"/>
      <c r="P30" s="440"/>
      <c r="Q30" s="561"/>
      <c r="R30" s="440"/>
      <c r="S30" s="561"/>
      <c r="T30" s="440"/>
      <c r="U30" s="561"/>
      <c r="V30" s="440"/>
      <c r="W30" s="561"/>
      <c r="X30" s="440"/>
      <c r="Y30" s="435">
        <f t="shared" si="1"/>
        <v>0</v>
      </c>
      <c r="Z30" s="440">
        <f t="shared" si="2"/>
        <v>0</v>
      </c>
      <c r="AA30" s="223"/>
      <c r="AB30" s="223"/>
      <c r="AC30" s="560"/>
      <c r="AD30" s="492"/>
      <c r="AE30" s="206"/>
      <c r="AF30" s="206"/>
      <c r="AG30" s="206"/>
      <c r="AH30" s="206"/>
      <c r="AI30" s="206"/>
      <c r="AJ30" s="206"/>
    </row>
    <row r="31" spans="1:36" s="424" customFormat="1" ht="28.5" customHeight="1">
      <c r="A31" s="423">
        <v>13</v>
      </c>
      <c r="B31" s="423" t="s">
        <v>646</v>
      </c>
      <c r="C31" s="436">
        <f t="shared" ref="C31:AB31" si="4">+C7+C9+C11+C13+C15+C17+C19+C21+C23+C25+C27+C29</f>
        <v>64935569833</v>
      </c>
      <c r="D31" s="436">
        <f t="shared" si="4"/>
        <v>39024053370</v>
      </c>
      <c r="E31" s="436">
        <f t="shared" si="4"/>
        <v>51319667488</v>
      </c>
      <c r="F31" s="436">
        <f t="shared" si="4"/>
        <v>32061360522</v>
      </c>
      <c r="G31" s="436">
        <f t="shared" si="4"/>
        <v>511888974</v>
      </c>
      <c r="H31" s="436">
        <f t="shared" si="4"/>
        <v>0</v>
      </c>
      <c r="I31" s="436">
        <f t="shared" si="4"/>
        <v>11973504955</v>
      </c>
      <c r="J31" s="436">
        <f t="shared" si="4"/>
        <v>6541453216</v>
      </c>
      <c r="K31" s="436">
        <f t="shared" si="4"/>
        <v>1198877092</v>
      </c>
      <c r="L31" s="436">
        <f t="shared" si="4"/>
        <v>654145323</v>
      </c>
      <c r="M31" s="436">
        <f t="shared" si="4"/>
        <v>197951703</v>
      </c>
      <c r="N31" s="436">
        <f t="shared" si="4"/>
        <v>21411043</v>
      </c>
      <c r="O31" s="436">
        <f t="shared" si="4"/>
        <v>49906638</v>
      </c>
      <c r="P31" s="436">
        <f t="shared" si="4"/>
        <v>5352762</v>
      </c>
      <c r="Q31" s="436">
        <f t="shared" si="4"/>
        <v>515717513</v>
      </c>
      <c r="R31" s="436">
        <f t="shared" si="4"/>
        <v>180999960</v>
      </c>
      <c r="S31" s="436">
        <f t="shared" si="4"/>
        <v>258118383</v>
      </c>
      <c r="T31" s="436">
        <f t="shared" si="4"/>
        <v>90499980</v>
      </c>
      <c r="U31" s="436">
        <f t="shared" si="4"/>
        <v>928728174</v>
      </c>
      <c r="V31" s="436">
        <f t="shared" si="4"/>
        <v>218828629</v>
      </c>
      <c r="W31" s="436">
        <f t="shared" si="4"/>
        <v>928720297</v>
      </c>
      <c r="X31" s="436">
        <f t="shared" si="4"/>
        <v>218828629</v>
      </c>
      <c r="Y31" s="436">
        <f t="shared" si="4"/>
        <v>2435622410</v>
      </c>
      <c r="Z31" s="436">
        <f t="shared" si="4"/>
        <v>968826694</v>
      </c>
      <c r="AA31" s="436">
        <f>+AA7+AA9+AA11+AA13+AA15+AA17+AA19+AA21+AA23+AA25+AA27+AA29</f>
        <v>254173868</v>
      </c>
      <c r="AB31" s="436">
        <f t="shared" si="4"/>
        <v>108487560</v>
      </c>
      <c r="AC31" s="563">
        <f>+'Loans Receivable'!C85</f>
        <v>64935569833</v>
      </c>
      <c r="AD31" s="492">
        <f>+C31-AC31</f>
        <v>0</v>
      </c>
    </row>
    <row r="32" spans="1:36" s="15" customFormat="1" ht="13.5" customHeight="1">
      <c r="A32" s="295"/>
      <c r="B32" s="299" t="s">
        <v>638</v>
      </c>
      <c r="C32" s="443">
        <f t="shared" ref="C32:Z32" si="5">+C8+C10+C12+C14+C16+C18+C20+C22+C24+C26+C28+C30</f>
        <v>0</v>
      </c>
      <c r="D32" s="444">
        <f t="shared" si="5"/>
        <v>0</v>
      </c>
      <c r="E32" s="443">
        <f t="shared" si="5"/>
        <v>0</v>
      </c>
      <c r="F32" s="443">
        <f t="shared" si="5"/>
        <v>0</v>
      </c>
      <c r="G32" s="443">
        <f t="shared" si="5"/>
        <v>0</v>
      </c>
      <c r="H32" s="443">
        <f t="shared" si="5"/>
        <v>0</v>
      </c>
      <c r="I32" s="443">
        <f t="shared" si="5"/>
        <v>0</v>
      </c>
      <c r="J32" s="443">
        <f t="shared" si="5"/>
        <v>0</v>
      </c>
      <c r="K32" s="443">
        <f t="shared" si="5"/>
        <v>0</v>
      </c>
      <c r="L32" s="443">
        <f t="shared" si="5"/>
        <v>0</v>
      </c>
      <c r="M32" s="443">
        <f t="shared" si="5"/>
        <v>0</v>
      </c>
      <c r="N32" s="443">
        <f t="shared" si="5"/>
        <v>0</v>
      </c>
      <c r="O32" s="443">
        <f t="shared" si="5"/>
        <v>0</v>
      </c>
      <c r="P32" s="443">
        <f t="shared" si="5"/>
        <v>0</v>
      </c>
      <c r="Q32" s="443">
        <f t="shared" si="5"/>
        <v>0</v>
      </c>
      <c r="R32" s="443">
        <f t="shared" si="5"/>
        <v>0</v>
      </c>
      <c r="S32" s="443">
        <f t="shared" si="5"/>
        <v>0</v>
      </c>
      <c r="T32" s="443">
        <f t="shared" si="5"/>
        <v>0</v>
      </c>
      <c r="U32" s="443">
        <f t="shared" si="5"/>
        <v>0</v>
      </c>
      <c r="V32" s="443">
        <f t="shared" si="5"/>
        <v>0</v>
      </c>
      <c r="W32" s="443">
        <f t="shared" si="5"/>
        <v>0</v>
      </c>
      <c r="X32" s="443">
        <f t="shared" si="5"/>
        <v>0</v>
      </c>
      <c r="Y32" s="443">
        <f t="shared" si="5"/>
        <v>0</v>
      </c>
      <c r="Z32" s="443">
        <f t="shared" si="5"/>
        <v>0</v>
      </c>
      <c r="AA32" s="443"/>
      <c r="AB32" s="443"/>
      <c r="AC32" s="560"/>
      <c r="AD32" s="492"/>
      <c r="AE32" s="206"/>
      <c r="AF32" s="206"/>
      <c r="AG32" s="206"/>
      <c r="AH32" s="206"/>
      <c r="AI32" s="206"/>
      <c r="AJ32" s="206"/>
    </row>
    <row r="33" spans="1:36" s="424" customFormat="1" ht="27.75" customHeight="1">
      <c r="A33" s="423"/>
      <c r="B33" s="423" t="s">
        <v>647</v>
      </c>
      <c r="C33" s="436"/>
      <c r="D33" s="436"/>
      <c r="E33" s="436"/>
      <c r="F33" s="436"/>
      <c r="G33" s="436"/>
      <c r="H33" s="436"/>
      <c r="I33" s="436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  <c r="AB33" s="436"/>
      <c r="AC33" s="563"/>
      <c r="AD33" s="492"/>
    </row>
    <row r="34" spans="1:36" s="15" customFormat="1" ht="7.5" customHeight="1">
      <c r="A34" s="14"/>
      <c r="B34" s="14"/>
      <c r="C34" s="443"/>
      <c r="D34" s="444"/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Z34" s="443"/>
      <c r="AA34" s="443"/>
      <c r="AB34" s="443"/>
      <c r="AC34" s="560"/>
      <c r="AD34" s="492"/>
      <c r="AE34" s="206"/>
      <c r="AF34" s="206"/>
      <c r="AG34" s="206"/>
      <c r="AH34" s="206"/>
      <c r="AI34" s="206"/>
      <c r="AJ34" s="206"/>
    </row>
    <row r="35" spans="1:36" s="15" customFormat="1" ht="23.25" customHeight="1">
      <c r="A35" s="295">
        <v>14</v>
      </c>
      <c r="B35" s="298" t="s">
        <v>463</v>
      </c>
      <c r="C35" s="439">
        <f t="shared" ref="C35" si="6">E35+I35+M35+Q35+U35</f>
        <v>32527763935</v>
      </c>
      <c r="D35" s="445">
        <f t="shared" ref="C35:D50" si="7">F35+J35+N35+R35+V35</f>
        <v>26671404846</v>
      </c>
      <c r="E35" s="564">
        <v>25786318004</v>
      </c>
      <c r="F35" s="565">
        <v>22525789900</v>
      </c>
      <c r="G35" s="564">
        <v>256555478</v>
      </c>
      <c r="H35" s="565">
        <v>0</v>
      </c>
      <c r="I35" s="564">
        <v>6391019008</v>
      </c>
      <c r="J35" s="565">
        <v>3981390227</v>
      </c>
      <c r="K35" s="564">
        <v>639513745</v>
      </c>
      <c r="L35" s="565">
        <v>398139023</v>
      </c>
      <c r="M35" s="564">
        <v>21741970</v>
      </c>
      <c r="N35" s="565">
        <v>4150854</v>
      </c>
      <c r="O35" s="564">
        <v>5466575</v>
      </c>
      <c r="P35" s="565">
        <v>1037714</v>
      </c>
      <c r="Q35" s="564">
        <v>71792409</v>
      </c>
      <c r="R35" s="565">
        <v>11770095</v>
      </c>
      <c r="S35" s="564">
        <v>35896205</v>
      </c>
      <c r="T35" s="565">
        <v>5885047</v>
      </c>
      <c r="U35" s="564">
        <v>256892544</v>
      </c>
      <c r="V35" s="565">
        <v>148303770</v>
      </c>
      <c r="W35" s="564">
        <v>256892544</v>
      </c>
      <c r="X35" s="565">
        <v>148303770</v>
      </c>
      <c r="Y35" s="566">
        <f>+W35+S35+O35+K35</f>
        <v>937769069</v>
      </c>
      <c r="Z35" s="445">
        <f>+X35+T35+P35+L35</f>
        <v>553365554</v>
      </c>
      <c r="AA35" s="223">
        <v>139341916</v>
      </c>
      <c r="AB35" s="223">
        <v>76445547</v>
      </c>
      <c r="AC35" s="560">
        <f>+'Aging Analysis'!C25</f>
        <v>32527763935</v>
      </c>
      <c r="AD35" s="492">
        <f>+C35-AC35</f>
        <v>0</v>
      </c>
      <c r="AE35" s="206"/>
      <c r="AF35" s="206"/>
      <c r="AG35" s="206"/>
      <c r="AH35" s="206"/>
      <c r="AI35" s="206"/>
      <c r="AJ35" s="206"/>
    </row>
    <row r="36" spans="1:36" s="15" customFormat="1" ht="14.25" customHeight="1">
      <c r="A36" s="295"/>
      <c r="B36" s="299" t="s">
        <v>638</v>
      </c>
      <c r="C36" s="439">
        <f t="shared" si="7"/>
        <v>0</v>
      </c>
      <c r="D36" s="445">
        <f t="shared" si="7"/>
        <v>0</v>
      </c>
      <c r="E36" s="564">
        <v>0</v>
      </c>
      <c r="F36" s="565">
        <v>0</v>
      </c>
      <c r="G36" s="564">
        <v>0</v>
      </c>
      <c r="H36" s="565">
        <v>0</v>
      </c>
      <c r="I36" s="564">
        <v>0</v>
      </c>
      <c r="J36" s="565">
        <v>0</v>
      </c>
      <c r="K36" s="564">
        <v>0</v>
      </c>
      <c r="L36" s="565">
        <v>0</v>
      </c>
      <c r="M36" s="564">
        <v>0</v>
      </c>
      <c r="N36" s="565">
        <v>0</v>
      </c>
      <c r="O36" s="564">
        <v>0</v>
      </c>
      <c r="P36" s="565">
        <v>0</v>
      </c>
      <c r="Q36" s="564">
        <v>0</v>
      </c>
      <c r="R36" s="565">
        <v>0</v>
      </c>
      <c r="S36" s="564">
        <v>0</v>
      </c>
      <c r="T36" s="565">
        <v>0</v>
      </c>
      <c r="U36" s="564">
        <v>0</v>
      </c>
      <c r="V36" s="565">
        <v>0</v>
      </c>
      <c r="W36" s="564">
        <v>0</v>
      </c>
      <c r="X36" s="565">
        <v>0</v>
      </c>
      <c r="Y36" s="567">
        <f t="shared" ref="Y36:Y50" si="8">+W36+S36+O36+K36</f>
        <v>0</v>
      </c>
      <c r="Z36" s="445">
        <f t="shared" ref="Z36:Z50" si="9">+X36+T36+P36+L36</f>
        <v>0</v>
      </c>
      <c r="AA36" s="223"/>
      <c r="AB36" s="223"/>
      <c r="AC36" s="516"/>
      <c r="AD36" s="492"/>
      <c r="AE36" s="206"/>
      <c r="AF36" s="206"/>
      <c r="AG36" s="206"/>
      <c r="AH36" s="206"/>
      <c r="AI36" s="206"/>
      <c r="AJ36" s="206"/>
    </row>
    <row r="37" spans="1:36" s="15" customFormat="1" ht="23.25" customHeight="1">
      <c r="A37" s="295">
        <v>15</v>
      </c>
      <c r="B37" s="298" t="s">
        <v>464</v>
      </c>
      <c r="C37" s="439">
        <f t="shared" si="7"/>
        <v>3851399497</v>
      </c>
      <c r="D37" s="445">
        <f t="shared" si="7"/>
        <v>1903991087</v>
      </c>
      <c r="E37" s="564">
        <v>2305356492</v>
      </c>
      <c r="F37" s="565">
        <v>1324434171</v>
      </c>
      <c r="G37" s="564">
        <v>23053565</v>
      </c>
      <c r="H37" s="565">
        <v>0</v>
      </c>
      <c r="I37" s="564">
        <v>1254431709</v>
      </c>
      <c r="J37" s="565">
        <v>564840105</v>
      </c>
      <c r="K37" s="564">
        <v>125443171</v>
      </c>
      <c r="L37" s="565">
        <v>56484011</v>
      </c>
      <c r="M37" s="564">
        <v>3053383</v>
      </c>
      <c r="N37" s="565">
        <v>260868</v>
      </c>
      <c r="O37" s="564">
        <v>763346</v>
      </c>
      <c r="P37" s="565">
        <v>65217</v>
      </c>
      <c r="Q37" s="564">
        <v>15526949</v>
      </c>
      <c r="R37" s="565">
        <v>8828668</v>
      </c>
      <c r="S37" s="564">
        <v>7763475</v>
      </c>
      <c r="T37" s="565">
        <v>4414334</v>
      </c>
      <c r="U37" s="564">
        <v>273030964</v>
      </c>
      <c r="V37" s="565">
        <v>5627275</v>
      </c>
      <c r="W37" s="564">
        <v>273030964</v>
      </c>
      <c r="X37" s="565">
        <v>5627275</v>
      </c>
      <c r="Y37" s="566">
        <f t="shared" si="8"/>
        <v>407000956</v>
      </c>
      <c r="Z37" s="445">
        <f t="shared" si="9"/>
        <v>66590837</v>
      </c>
      <c r="AA37" s="223">
        <v>2916277</v>
      </c>
      <c r="AB37" s="223">
        <v>1209221</v>
      </c>
      <c r="AC37" s="560">
        <f>+'Aging Analysis'!C26</f>
        <v>3851399497</v>
      </c>
      <c r="AD37" s="492">
        <f>+C37-AC37</f>
        <v>0</v>
      </c>
      <c r="AE37" s="206"/>
      <c r="AF37" s="206"/>
      <c r="AG37" s="206"/>
      <c r="AH37" s="206"/>
      <c r="AI37" s="206"/>
      <c r="AJ37" s="206"/>
    </row>
    <row r="38" spans="1:36" s="15" customFormat="1" ht="14.25" customHeight="1">
      <c r="A38" s="295"/>
      <c r="B38" s="299" t="s">
        <v>638</v>
      </c>
      <c r="C38" s="439">
        <f t="shared" si="7"/>
        <v>0</v>
      </c>
      <c r="D38" s="445">
        <f t="shared" si="7"/>
        <v>0</v>
      </c>
      <c r="E38" s="564">
        <v>0</v>
      </c>
      <c r="F38" s="565">
        <v>0</v>
      </c>
      <c r="G38" s="564">
        <v>0</v>
      </c>
      <c r="H38" s="565">
        <v>0</v>
      </c>
      <c r="I38" s="564">
        <v>0</v>
      </c>
      <c r="J38" s="565">
        <v>0</v>
      </c>
      <c r="K38" s="564">
        <v>0</v>
      </c>
      <c r="L38" s="565">
        <v>0</v>
      </c>
      <c r="M38" s="564">
        <v>0</v>
      </c>
      <c r="N38" s="565">
        <v>0</v>
      </c>
      <c r="O38" s="564">
        <v>0</v>
      </c>
      <c r="P38" s="565">
        <v>0</v>
      </c>
      <c r="Q38" s="564">
        <v>0</v>
      </c>
      <c r="R38" s="565">
        <v>0</v>
      </c>
      <c r="S38" s="564">
        <v>0</v>
      </c>
      <c r="T38" s="565">
        <v>0</v>
      </c>
      <c r="U38" s="564">
        <v>0</v>
      </c>
      <c r="V38" s="565">
        <v>0</v>
      </c>
      <c r="W38" s="564">
        <v>0</v>
      </c>
      <c r="X38" s="565">
        <v>0</v>
      </c>
      <c r="Y38" s="567">
        <f t="shared" si="8"/>
        <v>0</v>
      </c>
      <c r="Z38" s="445">
        <f t="shared" si="9"/>
        <v>0</v>
      </c>
      <c r="AA38" s="223"/>
      <c r="AB38" s="223"/>
      <c r="AC38" s="516"/>
      <c r="AD38" s="492"/>
      <c r="AE38" s="206"/>
      <c r="AF38" s="206"/>
      <c r="AG38" s="206"/>
      <c r="AH38" s="206"/>
      <c r="AI38" s="206"/>
      <c r="AJ38" s="206"/>
    </row>
    <row r="39" spans="1:36" s="15" customFormat="1" ht="23.25" customHeight="1">
      <c r="A39" s="295">
        <v>16</v>
      </c>
      <c r="B39" s="298" t="s">
        <v>465</v>
      </c>
      <c r="C39" s="439">
        <f t="shared" si="7"/>
        <v>2880350762</v>
      </c>
      <c r="D39" s="445">
        <f t="shared" si="7"/>
        <v>2580802394</v>
      </c>
      <c r="E39" s="564">
        <v>2642441614</v>
      </c>
      <c r="F39" s="565">
        <v>2353109725</v>
      </c>
      <c r="G39" s="564">
        <v>26424416</v>
      </c>
      <c r="H39" s="565">
        <v>0</v>
      </c>
      <c r="I39" s="564">
        <v>225253213</v>
      </c>
      <c r="J39" s="565">
        <v>221991451</v>
      </c>
      <c r="K39" s="564">
        <v>22525321</v>
      </c>
      <c r="L39" s="565">
        <v>22199145</v>
      </c>
      <c r="M39" s="564">
        <v>3240237</v>
      </c>
      <c r="N39" s="565">
        <v>2725497</v>
      </c>
      <c r="O39" s="564">
        <v>810059</v>
      </c>
      <c r="P39" s="565">
        <v>681374</v>
      </c>
      <c r="Q39" s="564">
        <v>3958673</v>
      </c>
      <c r="R39" s="565">
        <v>1743673</v>
      </c>
      <c r="S39" s="564">
        <v>1979336</v>
      </c>
      <c r="T39" s="565">
        <v>871836</v>
      </c>
      <c r="U39" s="564">
        <v>5457025</v>
      </c>
      <c r="V39" s="565">
        <v>1232048</v>
      </c>
      <c r="W39" s="564">
        <v>5457025</v>
      </c>
      <c r="X39" s="565">
        <v>1232048</v>
      </c>
      <c r="Y39" s="566">
        <f t="shared" si="8"/>
        <v>30771741</v>
      </c>
      <c r="Z39" s="445">
        <f t="shared" si="9"/>
        <v>24984403</v>
      </c>
      <c r="AA39" s="223">
        <v>0</v>
      </c>
      <c r="AB39" s="223">
        <v>1682107</v>
      </c>
      <c r="AC39" s="560">
        <f>+'Aging Analysis'!C27</f>
        <v>2880350762</v>
      </c>
      <c r="AD39" s="492">
        <f>+C39-AC39</f>
        <v>0</v>
      </c>
      <c r="AE39" s="206"/>
      <c r="AF39" s="206"/>
      <c r="AG39" s="206"/>
      <c r="AH39" s="206"/>
      <c r="AI39" s="206"/>
      <c r="AJ39" s="206"/>
    </row>
    <row r="40" spans="1:36" s="15" customFormat="1" ht="14.25" customHeight="1">
      <c r="A40" s="295"/>
      <c r="B40" s="299" t="s">
        <v>638</v>
      </c>
      <c r="C40" s="439">
        <f t="shared" si="7"/>
        <v>0</v>
      </c>
      <c r="D40" s="445">
        <f t="shared" si="7"/>
        <v>0</v>
      </c>
      <c r="E40" s="564">
        <v>0</v>
      </c>
      <c r="F40" s="565">
        <v>0</v>
      </c>
      <c r="G40" s="564">
        <v>0</v>
      </c>
      <c r="H40" s="565">
        <v>0</v>
      </c>
      <c r="I40" s="564">
        <v>0</v>
      </c>
      <c r="J40" s="565">
        <v>0</v>
      </c>
      <c r="K40" s="564">
        <v>0</v>
      </c>
      <c r="L40" s="565">
        <v>0</v>
      </c>
      <c r="M40" s="564">
        <v>0</v>
      </c>
      <c r="N40" s="565">
        <v>0</v>
      </c>
      <c r="O40" s="564">
        <v>0</v>
      </c>
      <c r="P40" s="565">
        <v>0</v>
      </c>
      <c r="Q40" s="564">
        <v>0</v>
      </c>
      <c r="R40" s="565">
        <v>0</v>
      </c>
      <c r="S40" s="564">
        <v>0</v>
      </c>
      <c r="T40" s="565">
        <v>0</v>
      </c>
      <c r="U40" s="564">
        <v>0</v>
      </c>
      <c r="V40" s="565">
        <v>0</v>
      </c>
      <c r="W40" s="564">
        <v>0</v>
      </c>
      <c r="X40" s="565">
        <v>0</v>
      </c>
      <c r="Y40" s="567">
        <f t="shared" si="8"/>
        <v>0</v>
      </c>
      <c r="Z40" s="445">
        <f t="shared" si="9"/>
        <v>0</v>
      </c>
      <c r="AA40" s="223"/>
      <c r="AB40" s="223"/>
      <c r="AC40" s="516"/>
      <c r="AD40" s="492"/>
      <c r="AE40" s="206"/>
      <c r="AF40" s="206"/>
      <c r="AG40" s="206"/>
      <c r="AH40" s="206"/>
      <c r="AI40" s="206"/>
      <c r="AJ40" s="206"/>
    </row>
    <row r="41" spans="1:36" s="15" customFormat="1" ht="23.25" customHeight="1">
      <c r="A41" s="295">
        <v>17</v>
      </c>
      <c r="B41" s="298" t="s">
        <v>466</v>
      </c>
      <c r="C41" s="439">
        <f t="shared" si="7"/>
        <v>2748974520</v>
      </c>
      <c r="D41" s="445">
        <f t="shared" si="7"/>
        <v>1834501735</v>
      </c>
      <c r="E41" s="564">
        <v>1751878748</v>
      </c>
      <c r="F41" s="565">
        <v>1113193201</v>
      </c>
      <c r="G41" s="564">
        <v>17518787</v>
      </c>
      <c r="H41" s="565">
        <v>0</v>
      </c>
      <c r="I41" s="564">
        <v>781861956</v>
      </c>
      <c r="J41" s="565">
        <v>707980389</v>
      </c>
      <c r="K41" s="564">
        <v>78213846</v>
      </c>
      <c r="L41" s="565">
        <v>70798039</v>
      </c>
      <c r="M41" s="564">
        <v>10053338</v>
      </c>
      <c r="N41" s="565">
        <v>855047</v>
      </c>
      <c r="O41" s="564">
        <v>2539085</v>
      </c>
      <c r="P41" s="565">
        <v>213762</v>
      </c>
      <c r="Q41" s="564">
        <v>9809195</v>
      </c>
      <c r="R41" s="565">
        <v>4168128</v>
      </c>
      <c r="S41" s="564">
        <v>4904597</v>
      </c>
      <c r="T41" s="565">
        <v>2084064</v>
      </c>
      <c r="U41" s="564">
        <v>195371283</v>
      </c>
      <c r="V41" s="565">
        <v>8304970</v>
      </c>
      <c r="W41" s="564">
        <v>195371283</v>
      </c>
      <c r="X41" s="565">
        <v>8304970</v>
      </c>
      <c r="Y41" s="566">
        <f t="shared" si="8"/>
        <v>281028811</v>
      </c>
      <c r="Z41" s="445">
        <f t="shared" si="9"/>
        <v>81400835</v>
      </c>
      <c r="AA41" s="223">
        <v>3890246</v>
      </c>
      <c r="AB41" s="223">
        <v>18115910</v>
      </c>
      <c r="AC41" s="560">
        <f>+'Aging Analysis'!C28</f>
        <v>2748974520</v>
      </c>
      <c r="AD41" s="492">
        <f>+C41-AC41</f>
        <v>0</v>
      </c>
      <c r="AE41" s="206"/>
      <c r="AF41" s="206"/>
      <c r="AG41" s="206"/>
      <c r="AH41" s="206"/>
      <c r="AI41" s="206"/>
      <c r="AJ41" s="206"/>
    </row>
    <row r="42" spans="1:36" s="15" customFormat="1" ht="14.25" customHeight="1">
      <c r="A42" s="295"/>
      <c r="B42" s="299" t="s">
        <v>638</v>
      </c>
      <c r="C42" s="439">
        <f t="shared" si="7"/>
        <v>0</v>
      </c>
      <c r="D42" s="445">
        <f t="shared" si="7"/>
        <v>0</v>
      </c>
      <c r="E42" s="564">
        <v>0</v>
      </c>
      <c r="F42" s="565">
        <v>0</v>
      </c>
      <c r="G42" s="564">
        <v>0</v>
      </c>
      <c r="H42" s="565">
        <v>0</v>
      </c>
      <c r="I42" s="564">
        <v>0</v>
      </c>
      <c r="J42" s="565">
        <v>0</v>
      </c>
      <c r="K42" s="564">
        <v>0</v>
      </c>
      <c r="L42" s="565">
        <v>0</v>
      </c>
      <c r="M42" s="564">
        <v>0</v>
      </c>
      <c r="N42" s="565">
        <v>0</v>
      </c>
      <c r="O42" s="564">
        <v>0</v>
      </c>
      <c r="P42" s="565">
        <v>0</v>
      </c>
      <c r="Q42" s="564">
        <v>0</v>
      </c>
      <c r="R42" s="565">
        <v>0</v>
      </c>
      <c r="S42" s="564">
        <v>0</v>
      </c>
      <c r="T42" s="565">
        <v>0</v>
      </c>
      <c r="U42" s="564">
        <v>0</v>
      </c>
      <c r="V42" s="565">
        <v>0</v>
      </c>
      <c r="W42" s="564">
        <v>0</v>
      </c>
      <c r="X42" s="565">
        <v>0</v>
      </c>
      <c r="Y42" s="567">
        <f t="shared" si="8"/>
        <v>0</v>
      </c>
      <c r="Z42" s="445">
        <f t="shared" si="9"/>
        <v>0</v>
      </c>
      <c r="AA42" s="223"/>
      <c r="AB42" s="223"/>
      <c r="AC42" s="516"/>
      <c r="AD42" s="492"/>
      <c r="AE42" s="206"/>
      <c r="AF42" s="206"/>
      <c r="AG42" s="206"/>
      <c r="AH42" s="206"/>
      <c r="AI42" s="206"/>
      <c r="AJ42" s="206"/>
    </row>
    <row r="43" spans="1:36" s="15" customFormat="1" ht="23.25" customHeight="1">
      <c r="A43" s="295">
        <v>18</v>
      </c>
      <c r="B43" s="298" t="s">
        <v>467</v>
      </c>
      <c r="C43" s="439">
        <f t="shared" si="7"/>
        <v>4011542126</v>
      </c>
      <c r="D43" s="445">
        <f t="shared" si="7"/>
        <v>3062197686</v>
      </c>
      <c r="E43" s="564">
        <v>2917566860</v>
      </c>
      <c r="F43" s="565">
        <v>2424478092</v>
      </c>
      <c r="G43" s="564">
        <v>29175669</v>
      </c>
      <c r="H43" s="565">
        <v>0</v>
      </c>
      <c r="I43" s="564">
        <v>700506688</v>
      </c>
      <c r="J43" s="565">
        <v>427650988</v>
      </c>
      <c r="K43" s="564">
        <v>71135464</v>
      </c>
      <c r="L43" s="565">
        <v>42765099</v>
      </c>
      <c r="M43" s="564">
        <v>47877975</v>
      </c>
      <c r="N43" s="565">
        <v>8987052</v>
      </c>
      <c r="O43" s="564">
        <v>12330032</v>
      </c>
      <c r="P43" s="565">
        <v>2246763</v>
      </c>
      <c r="Q43" s="564">
        <v>224581757</v>
      </c>
      <c r="R43" s="565">
        <v>150036005</v>
      </c>
      <c r="S43" s="564">
        <v>112544504</v>
      </c>
      <c r="T43" s="565">
        <v>75018003</v>
      </c>
      <c r="U43" s="564">
        <v>121008846</v>
      </c>
      <c r="V43" s="565">
        <v>51045549</v>
      </c>
      <c r="W43" s="564">
        <v>121008846</v>
      </c>
      <c r="X43" s="565">
        <v>51045549</v>
      </c>
      <c r="Y43" s="566">
        <f t="shared" si="8"/>
        <v>317018846</v>
      </c>
      <c r="Z43" s="445">
        <f t="shared" si="9"/>
        <v>171075414</v>
      </c>
      <c r="AA43" s="223">
        <v>7651744</v>
      </c>
      <c r="AB43" s="223">
        <v>7749895</v>
      </c>
      <c r="AC43" s="560">
        <f>+'Aging Analysis'!C29</f>
        <v>4011542126</v>
      </c>
      <c r="AD43" s="492">
        <f>+C43-AC43</f>
        <v>0</v>
      </c>
      <c r="AE43" s="206"/>
      <c r="AF43" s="206"/>
      <c r="AG43" s="206"/>
      <c r="AH43" s="206"/>
      <c r="AI43" s="206"/>
      <c r="AJ43" s="206"/>
    </row>
    <row r="44" spans="1:36" s="15" customFormat="1" ht="14.25" customHeight="1">
      <c r="A44" s="295"/>
      <c r="B44" s="299" t="s">
        <v>638</v>
      </c>
      <c r="C44" s="439">
        <f t="shared" si="7"/>
        <v>0</v>
      </c>
      <c r="D44" s="445">
        <f t="shared" si="7"/>
        <v>0</v>
      </c>
      <c r="E44" s="564">
        <v>0</v>
      </c>
      <c r="F44" s="565">
        <v>0</v>
      </c>
      <c r="G44" s="564">
        <v>0</v>
      </c>
      <c r="H44" s="565">
        <v>0</v>
      </c>
      <c r="I44" s="564">
        <v>0</v>
      </c>
      <c r="J44" s="565">
        <v>0</v>
      </c>
      <c r="K44" s="564">
        <v>0</v>
      </c>
      <c r="L44" s="565">
        <v>0</v>
      </c>
      <c r="M44" s="564">
        <v>0</v>
      </c>
      <c r="N44" s="565">
        <v>0</v>
      </c>
      <c r="O44" s="564">
        <v>0</v>
      </c>
      <c r="P44" s="565">
        <v>0</v>
      </c>
      <c r="Q44" s="564">
        <v>0</v>
      </c>
      <c r="R44" s="565">
        <v>0</v>
      </c>
      <c r="S44" s="564">
        <v>0</v>
      </c>
      <c r="T44" s="565">
        <v>0</v>
      </c>
      <c r="U44" s="564">
        <v>0</v>
      </c>
      <c r="V44" s="565">
        <v>0</v>
      </c>
      <c r="W44" s="564">
        <v>0</v>
      </c>
      <c r="X44" s="565">
        <v>0</v>
      </c>
      <c r="Y44" s="567">
        <f t="shared" si="8"/>
        <v>0</v>
      </c>
      <c r="Z44" s="445">
        <f t="shared" si="9"/>
        <v>0</v>
      </c>
      <c r="AA44" s="223"/>
      <c r="AB44" s="223"/>
      <c r="AC44" s="516"/>
      <c r="AD44" s="492"/>
      <c r="AE44" s="206"/>
      <c r="AF44" s="206"/>
      <c r="AG44" s="206"/>
      <c r="AH44" s="206"/>
      <c r="AI44" s="206"/>
      <c r="AJ44" s="206"/>
    </row>
    <row r="45" spans="1:36" s="15" customFormat="1" ht="23.25" customHeight="1">
      <c r="A45" s="295">
        <v>19</v>
      </c>
      <c r="B45" s="298" t="s">
        <v>468</v>
      </c>
      <c r="C45" s="439">
        <f t="shared" si="7"/>
        <v>1793348888</v>
      </c>
      <c r="D45" s="445">
        <f t="shared" si="7"/>
        <v>213670558</v>
      </c>
      <c r="E45" s="564">
        <v>743749173</v>
      </c>
      <c r="F45" s="565">
        <v>188059114</v>
      </c>
      <c r="G45" s="564">
        <v>7437492</v>
      </c>
      <c r="H45" s="565">
        <v>0</v>
      </c>
      <c r="I45" s="564">
        <v>1034371217</v>
      </c>
      <c r="J45" s="565">
        <v>25611444</v>
      </c>
      <c r="K45" s="564">
        <v>103437122</v>
      </c>
      <c r="L45" s="565">
        <v>2561144</v>
      </c>
      <c r="M45" s="564">
        <v>565939</v>
      </c>
      <c r="N45" s="565">
        <v>0</v>
      </c>
      <c r="O45" s="564">
        <v>141485</v>
      </c>
      <c r="P45" s="565">
        <v>0</v>
      </c>
      <c r="Q45" s="564">
        <v>0</v>
      </c>
      <c r="R45" s="565">
        <v>0</v>
      </c>
      <c r="S45" s="564">
        <v>0</v>
      </c>
      <c r="T45" s="565">
        <v>0</v>
      </c>
      <c r="U45" s="564">
        <v>14662559</v>
      </c>
      <c r="V45" s="565">
        <v>0</v>
      </c>
      <c r="W45" s="564">
        <v>14662559</v>
      </c>
      <c r="X45" s="565">
        <v>0</v>
      </c>
      <c r="Y45" s="566">
        <f t="shared" si="8"/>
        <v>118241166</v>
      </c>
      <c r="Z45" s="445">
        <f t="shared" si="9"/>
        <v>2561144</v>
      </c>
      <c r="AA45" s="223">
        <v>0</v>
      </c>
      <c r="AB45" s="223">
        <v>0</v>
      </c>
      <c r="AC45" s="560">
        <f>+'Aging Analysis'!C30</f>
        <v>1793348888</v>
      </c>
      <c r="AD45" s="492">
        <f>+C45-AC45</f>
        <v>0</v>
      </c>
      <c r="AE45" s="206"/>
      <c r="AF45" s="206"/>
      <c r="AG45" s="206"/>
      <c r="AH45" s="206"/>
      <c r="AI45" s="206"/>
      <c r="AJ45" s="206"/>
    </row>
    <row r="46" spans="1:36" s="15" customFormat="1" ht="14.25" customHeight="1">
      <c r="A46" s="295"/>
      <c r="B46" s="299" t="s">
        <v>638</v>
      </c>
      <c r="C46" s="439">
        <f t="shared" si="7"/>
        <v>0</v>
      </c>
      <c r="D46" s="445">
        <f t="shared" si="7"/>
        <v>0</v>
      </c>
      <c r="E46" s="564">
        <v>0</v>
      </c>
      <c r="F46" s="565">
        <v>0</v>
      </c>
      <c r="G46" s="564">
        <v>0</v>
      </c>
      <c r="H46" s="565">
        <v>0</v>
      </c>
      <c r="I46" s="564">
        <v>0</v>
      </c>
      <c r="J46" s="565">
        <v>0</v>
      </c>
      <c r="K46" s="564">
        <v>0</v>
      </c>
      <c r="L46" s="565">
        <v>0</v>
      </c>
      <c r="M46" s="564">
        <v>0</v>
      </c>
      <c r="N46" s="565">
        <v>0</v>
      </c>
      <c r="O46" s="564">
        <v>0</v>
      </c>
      <c r="P46" s="565">
        <v>0</v>
      </c>
      <c r="Q46" s="564">
        <v>0</v>
      </c>
      <c r="R46" s="565">
        <v>0</v>
      </c>
      <c r="S46" s="564">
        <v>0</v>
      </c>
      <c r="T46" s="565">
        <v>0</v>
      </c>
      <c r="U46" s="564">
        <v>0</v>
      </c>
      <c r="V46" s="565">
        <v>0</v>
      </c>
      <c r="W46" s="564">
        <v>0</v>
      </c>
      <c r="X46" s="565">
        <v>0</v>
      </c>
      <c r="Y46" s="567">
        <f t="shared" si="8"/>
        <v>0</v>
      </c>
      <c r="Z46" s="445">
        <f t="shared" si="9"/>
        <v>0</v>
      </c>
      <c r="AA46" s="223"/>
      <c r="AB46" s="223"/>
      <c r="AC46" s="516"/>
      <c r="AD46" s="492"/>
      <c r="AE46" s="206"/>
      <c r="AF46" s="206"/>
      <c r="AG46" s="206"/>
      <c r="AH46" s="206"/>
      <c r="AI46" s="206"/>
      <c r="AJ46" s="206"/>
    </row>
    <row r="47" spans="1:36" s="15" customFormat="1" ht="23.25" customHeight="1">
      <c r="A47" s="295">
        <v>20</v>
      </c>
      <c r="B47" s="298" t="s">
        <v>469</v>
      </c>
      <c r="C47" s="439">
        <f t="shared" si="7"/>
        <v>23337550</v>
      </c>
      <c r="D47" s="445">
        <f t="shared" si="7"/>
        <v>15285737</v>
      </c>
      <c r="E47" s="564">
        <v>9950568</v>
      </c>
      <c r="F47" s="565">
        <v>2675720</v>
      </c>
      <c r="G47" s="564">
        <v>99506</v>
      </c>
      <c r="H47" s="565">
        <v>0</v>
      </c>
      <c r="I47" s="564">
        <v>12956338</v>
      </c>
      <c r="J47" s="565">
        <v>12610017</v>
      </c>
      <c r="K47" s="564">
        <v>1295634</v>
      </c>
      <c r="L47" s="565">
        <v>1261002</v>
      </c>
      <c r="M47" s="564">
        <v>0</v>
      </c>
      <c r="N47" s="565">
        <v>0</v>
      </c>
      <c r="O47" s="564">
        <v>0</v>
      </c>
      <c r="P47" s="565">
        <v>0</v>
      </c>
      <c r="Q47" s="564">
        <v>0</v>
      </c>
      <c r="R47" s="565">
        <v>0</v>
      </c>
      <c r="S47" s="564">
        <v>0</v>
      </c>
      <c r="T47" s="565">
        <v>0</v>
      </c>
      <c r="U47" s="564">
        <v>430644</v>
      </c>
      <c r="V47" s="565">
        <v>0</v>
      </c>
      <c r="W47" s="564">
        <v>430644</v>
      </c>
      <c r="X47" s="565">
        <v>0</v>
      </c>
      <c r="Y47" s="566">
        <f t="shared" si="8"/>
        <v>1726278</v>
      </c>
      <c r="Z47" s="445">
        <f t="shared" si="9"/>
        <v>1261002</v>
      </c>
      <c r="AA47" s="223">
        <v>0</v>
      </c>
      <c r="AB47" s="223">
        <v>0</v>
      </c>
      <c r="AC47" s="560">
        <f>+'Aging Analysis'!C31</f>
        <v>23337550</v>
      </c>
      <c r="AD47" s="492">
        <f>+C47-AC47</f>
        <v>0</v>
      </c>
      <c r="AE47" s="206"/>
      <c r="AF47" s="206"/>
      <c r="AG47" s="206"/>
      <c r="AH47" s="206"/>
      <c r="AI47" s="206"/>
      <c r="AJ47" s="206"/>
    </row>
    <row r="48" spans="1:36" s="15" customFormat="1" ht="14.25" customHeight="1">
      <c r="A48" s="295"/>
      <c r="B48" s="299" t="s">
        <v>638</v>
      </c>
      <c r="C48" s="439">
        <f t="shared" si="7"/>
        <v>0</v>
      </c>
      <c r="D48" s="445">
        <f t="shared" si="7"/>
        <v>0</v>
      </c>
      <c r="E48" s="564">
        <v>0</v>
      </c>
      <c r="F48" s="565">
        <v>0</v>
      </c>
      <c r="G48" s="564">
        <v>0</v>
      </c>
      <c r="H48" s="565">
        <v>0</v>
      </c>
      <c r="I48" s="564">
        <v>0</v>
      </c>
      <c r="J48" s="565">
        <v>0</v>
      </c>
      <c r="K48" s="564">
        <v>0</v>
      </c>
      <c r="L48" s="565">
        <v>0</v>
      </c>
      <c r="M48" s="564">
        <v>0</v>
      </c>
      <c r="N48" s="565">
        <v>0</v>
      </c>
      <c r="O48" s="564">
        <v>0</v>
      </c>
      <c r="P48" s="565">
        <v>0</v>
      </c>
      <c r="Q48" s="564">
        <v>0</v>
      </c>
      <c r="R48" s="565">
        <v>0</v>
      </c>
      <c r="S48" s="564">
        <v>0</v>
      </c>
      <c r="T48" s="565">
        <v>0</v>
      </c>
      <c r="U48" s="564">
        <v>0</v>
      </c>
      <c r="V48" s="565">
        <v>0</v>
      </c>
      <c r="W48" s="564">
        <v>0</v>
      </c>
      <c r="X48" s="565">
        <v>0</v>
      </c>
      <c r="Y48" s="567">
        <f t="shared" si="8"/>
        <v>0</v>
      </c>
      <c r="Z48" s="445">
        <f t="shared" si="9"/>
        <v>0</v>
      </c>
      <c r="AA48" s="223"/>
      <c r="AB48" s="223"/>
      <c r="AC48" s="516"/>
      <c r="AD48" s="492"/>
      <c r="AE48" s="206"/>
      <c r="AF48" s="206"/>
      <c r="AG48" s="206"/>
      <c r="AH48" s="206"/>
      <c r="AI48" s="206"/>
      <c r="AJ48" s="206"/>
    </row>
    <row r="49" spans="1:36" s="15" customFormat="1" ht="23.25" customHeight="1">
      <c r="A49" s="295">
        <v>21</v>
      </c>
      <c r="B49" s="298" t="s">
        <v>470</v>
      </c>
      <c r="C49" s="439">
        <f t="shared" si="7"/>
        <v>7392104326</v>
      </c>
      <c r="D49" s="445">
        <f t="shared" si="7"/>
        <v>2742199327</v>
      </c>
      <c r="E49" s="564">
        <v>6261511176</v>
      </c>
      <c r="F49" s="565">
        <v>2129620599</v>
      </c>
      <c r="G49" s="564">
        <v>62615112</v>
      </c>
      <c r="H49" s="565">
        <v>0</v>
      </c>
      <c r="I49" s="564">
        <v>1039015265</v>
      </c>
      <c r="J49" s="565">
        <v>599378595</v>
      </c>
      <c r="K49" s="564">
        <v>103901526</v>
      </c>
      <c r="L49" s="565">
        <v>59937860</v>
      </c>
      <c r="M49" s="564">
        <v>17278340</v>
      </c>
      <c r="N49" s="565">
        <v>4431725</v>
      </c>
      <c r="O49" s="564">
        <v>4319584</v>
      </c>
      <c r="P49" s="565">
        <v>1107932</v>
      </c>
      <c r="Q49" s="564">
        <v>43841094</v>
      </c>
      <c r="R49" s="565">
        <v>4453391</v>
      </c>
      <c r="S49" s="564">
        <v>21920548</v>
      </c>
      <c r="T49" s="565">
        <v>2226696</v>
      </c>
      <c r="U49" s="564">
        <v>30458451</v>
      </c>
      <c r="V49" s="565">
        <v>4315017</v>
      </c>
      <c r="W49" s="564">
        <v>30458451</v>
      </c>
      <c r="X49" s="565">
        <v>4315017</v>
      </c>
      <c r="Y49" s="566">
        <f t="shared" si="8"/>
        <v>160600109</v>
      </c>
      <c r="Z49" s="445">
        <f t="shared" si="9"/>
        <v>67587505</v>
      </c>
      <c r="AA49" s="223">
        <v>0</v>
      </c>
      <c r="AB49" s="223">
        <v>565585</v>
      </c>
      <c r="AC49" s="560">
        <f>+'Aging Analysis'!C32</f>
        <v>7392104326</v>
      </c>
      <c r="AD49" s="492">
        <f>+C49-AC49</f>
        <v>0</v>
      </c>
      <c r="AE49" s="206"/>
      <c r="AF49" s="206"/>
      <c r="AG49" s="206"/>
      <c r="AH49" s="206"/>
      <c r="AI49" s="206"/>
      <c r="AJ49" s="206"/>
    </row>
    <row r="50" spans="1:36" s="15" customFormat="1" ht="14.25" customHeight="1">
      <c r="A50" s="295"/>
      <c r="B50" s="299" t="s">
        <v>638</v>
      </c>
      <c r="C50" s="439">
        <f t="shared" si="7"/>
        <v>0</v>
      </c>
      <c r="D50" s="445">
        <f t="shared" si="7"/>
        <v>0</v>
      </c>
      <c r="E50" s="564">
        <v>0</v>
      </c>
      <c r="F50" s="565">
        <v>0</v>
      </c>
      <c r="G50" s="564">
        <v>0</v>
      </c>
      <c r="H50" s="565">
        <v>0</v>
      </c>
      <c r="I50" s="564">
        <v>0</v>
      </c>
      <c r="J50" s="565">
        <v>0</v>
      </c>
      <c r="K50" s="564">
        <v>0</v>
      </c>
      <c r="L50" s="565">
        <v>0</v>
      </c>
      <c r="M50" s="564">
        <v>0</v>
      </c>
      <c r="N50" s="565">
        <v>0</v>
      </c>
      <c r="O50" s="564">
        <v>0</v>
      </c>
      <c r="P50" s="565">
        <v>0</v>
      </c>
      <c r="Q50" s="564">
        <v>0</v>
      </c>
      <c r="R50" s="565">
        <v>0</v>
      </c>
      <c r="S50" s="564">
        <v>0</v>
      </c>
      <c r="T50" s="565">
        <v>0</v>
      </c>
      <c r="U50" s="564">
        <v>0</v>
      </c>
      <c r="V50" s="565">
        <v>0</v>
      </c>
      <c r="W50" s="564">
        <v>0</v>
      </c>
      <c r="X50" s="565">
        <v>0</v>
      </c>
      <c r="Y50" s="567">
        <f t="shared" si="8"/>
        <v>0</v>
      </c>
      <c r="Z50" s="445">
        <f t="shared" si="9"/>
        <v>0</v>
      </c>
      <c r="AA50" s="223"/>
      <c r="AB50" s="223"/>
      <c r="AC50" s="560"/>
      <c r="AD50" s="492"/>
      <c r="AE50" s="206"/>
      <c r="AF50" s="206"/>
      <c r="AG50" s="206"/>
      <c r="AH50" s="206"/>
      <c r="AI50" s="206"/>
      <c r="AJ50" s="206"/>
    </row>
    <row r="51" spans="1:36" s="15" customFormat="1" ht="23.25" customHeight="1">
      <c r="A51" s="295">
        <v>22</v>
      </c>
      <c r="B51" s="298" t="s">
        <v>395</v>
      </c>
      <c r="C51" s="439">
        <f t="shared" ref="C51" si="10">E51+I51+M51+Q51+U51</f>
        <v>9706748229</v>
      </c>
      <c r="D51" s="445">
        <f t="shared" ref="D51:D52" si="11">F51+J51+N51+R51+V51</f>
        <v>0</v>
      </c>
      <c r="E51" s="564">
        <v>8900894853</v>
      </c>
      <c r="F51" s="565">
        <v>0</v>
      </c>
      <c r="G51" s="564">
        <v>89008949</v>
      </c>
      <c r="H51" s="565">
        <v>0</v>
      </c>
      <c r="I51" s="564">
        <v>534089561</v>
      </c>
      <c r="J51" s="565">
        <v>0</v>
      </c>
      <c r="K51" s="564">
        <v>53411263</v>
      </c>
      <c r="L51" s="565">
        <v>0</v>
      </c>
      <c r="M51" s="564">
        <v>94140521</v>
      </c>
      <c r="N51" s="565">
        <v>0</v>
      </c>
      <c r="O51" s="564">
        <v>23536472</v>
      </c>
      <c r="P51" s="565">
        <v>0</v>
      </c>
      <c r="Q51" s="564">
        <v>146207436</v>
      </c>
      <c r="R51" s="565">
        <v>0</v>
      </c>
      <c r="S51" s="564">
        <v>73109718</v>
      </c>
      <c r="T51" s="565">
        <v>0</v>
      </c>
      <c r="U51" s="564">
        <v>31415858</v>
      </c>
      <c r="V51" s="565">
        <v>0</v>
      </c>
      <c r="W51" s="564">
        <v>31407981</v>
      </c>
      <c r="X51" s="565">
        <v>0</v>
      </c>
      <c r="Y51" s="565">
        <f t="shared" ref="Y51:Y52" si="12">+W51+S51+O51+K51</f>
        <v>181465434</v>
      </c>
      <c r="Z51" s="565">
        <f t="shared" ref="Z51:Z52" si="13">+X51+T51+P51+L51</f>
        <v>0</v>
      </c>
      <c r="AA51" s="568">
        <v>100373685</v>
      </c>
      <c r="AB51" s="565">
        <v>2719295</v>
      </c>
      <c r="AC51" s="560">
        <f>+'Aging Analysis'!C33</f>
        <v>9706748229</v>
      </c>
      <c r="AD51" s="492">
        <f>+C51-AC51</f>
        <v>0</v>
      </c>
      <c r="AE51" s="206"/>
      <c r="AF51" s="206"/>
      <c r="AG51" s="206"/>
      <c r="AH51" s="206"/>
      <c r="AI51" s="206"/>
      <c r="AJ51" s="206"/>
    </row>
    <row r="52" spans="1:36" s="15" customFormat="1" ht="14.25" customHeight="1">
      <c r="A52" s="295"/>
      <c r="B52" s="299" t="s">
        <v>638</v>
      </c>
      <c r="C52" s="439">
        <f t="shared" ref="C52:C54" si="14">E52+I52+M52+Q52+U52</f>
        <v>0</v>
      </c>
      <c r="D52" s="445">
        <f t="shared" si="11"/>
        <v>0</v>
      </c>
      <c r="E52" s="564">
        <v>0</v>
      </c>
      <c r="F52" s="445"/>
      <c r="G52" s="564">
        <v>0</v>
      </c>
      <c r="H52" s="445"/>
      <c r="I52" s="564">
        <v>0</v>
      </c>
      <c r="J52" s="445"/>
      <c r="K52" s="564">
        <v>0</v>
      </c>
      <c r="L52" s="445"/>
      <c r="M52" s="564">
        <v>0</v>
      </c>
      <c r="N52" s="445"/>
      <c r="O52" s="564">
        <v>0</v>
      </c>
      <c r="P52" s="445"/>
      <c r="Q52" s="564">
        <v>0</v>
      </c>
      <c r="R52" s="445"/>
      <c r="S52" s="564">
        <v>0</v>
      </c>
      <c r="T52" s="445"/>
      <c r="U52" s="564">
        <v>0</v>
      </c>
      <c r="V52" s="445"/>
      <c r="W52" s="564">
        <v>0</v>
      </c>
      <c r="X52" s="445"/>
      <c r="Y52" s="567">
        <f t="shared" si="12"/>
        <v>0</v>
      </c>
      <c r="Z52" s="445">
        <f t="shared" si="13"/>
        <v>0</v>
      </c>
      <c r="AA52" s="223"/>
      <c r="AB52" s="223"/>
      <c r="AC52" s="560"/>
      <c r="AD52" s="492"/>
      <c r="AE52" s="206"/>
      <c r="AF52" s="206"/>
      <c r="AG52" s="206"/>
      <c r="AH52" s="206"/>
      <c r="AI52" s="206"/>
      <c r="AJ52" s="206"/>
    </row>
    <row r="53" spans="1:36" s="424" customFormat="1" ht="28.5" customHeight="1">
      <c r="A53" s="423">
        <v>23</v>
      </c>
      <c r="B53" s="423" t="s">
        <v>646</v>
      </c>
      <c r="C53" s="436">
        <f>+C35+C37+C39+C41+C43+C45+C47+C49+C51</f>
        <v>64935569833</v>
      </c>
      <c r="D53" s="436">
        <f t="shared" ref="D53:AB53" si="15">+D35+D37+D39+D41+D43+D45+D47+D49+D51</f>
        <v>39024053370</v>
      </c>
      <c r="E53" s="436">
        <f t="shared" si="15"/>
        <v>51319667488</v>
      </c>
      <c r="F53" s="436">
        <f t="shared" si="15"/>
        <v>32061360522</v>
      </c>
      <c r="G53" s="436">
        <f t="shared" si="15"/>
        <v>511888974</v>
      </c>
      <c r="H53" s="436">
        <f t="shared" si="15"/>
        <v>0</v>
      </c>
      <c r="I53" s="436">
        <f t="shared" si="15"/>
        <v>11973504955</v>
      </c>
      <c r="J53" s="436">
        <f t="shared" si="15"/>
        <v>6541453216</v>
      </c>
      <c r="K53" s="436">
        <f t="shared" si="15"/>
        <v>1198877092</v>
      </c>
      <c r="L53" s="436">
        <f t="shared" si="15"/>
        <v>654145323</v>
      </c>
      <c r="M53" s="436">
        <f t="shared" si="15"/>
        <v>197951703</v>
      </c>
      <c r="N53" s="436">
        <f t="shared" si="15"/>
        <v>21411043</v>
      </c>
      <c r="O53" s="436">
        <f t="shared" si="15"/>
        <v>49906638</v>
      </c>
      <c r="P53" s="436">
        <f t="shared" si="15"/>
        <v>5352762</v>
      </c>
      <c r="Q53" s="436">
        <f t="shared" si="15"/>
        <v>515717513</v>
      </c>
      <c r="R53" s="436">
        <f t="shared" si="15"/>
        <v>180999960</v>
      </c>
      <c r="S53" s="436">
        <f t="shared" si="15"/>
        <v>258118383</v>
      </c>
      <c r="T53" s="436">
        <f t="shared" si="15"/>
        <v>90499980</v>
      </c>
      <c r="U53" s="436">
        <f t="shared" si="15"/>
        <v>928728174</v>
      </c>
      <c r="V53" s="436">
        <f t="shared" si="15"/>
        <v>218828629</v>
      </c>
      <c r="W53" s="436">
        <f t="shared" si="15"/>
        <v>928720297</v>
      </c>
      <c r="X53" s="436">
        <f t="shared" si="15"/>
        <v>218828629</v>
      </c>
      <c r="Y53" s="436">
        <f t="shared" si="15"/>
        <v>2435622410</v>
      </c>
      <c r="Z53" s="436">
        <f t="shared" si="15"/>
        <v>968826694</v>
      </c>
      <c r="AA53" s="436">
        <f t="shared" si="15"/>
        <v>254173868</v>
      </c>
      <c r="AB53" s="436">
        <f t="shared" si="15"/>
        <v>108487560</v>
      </c>
      <c r="AC53" s="563">
        <f>+'Aging Analysis'!C35</f>
        <v>64935569833</v>
      </c>
      <c r="AD53" s="492">
        <f>+C53-AC53</f>
        <v>0</v>
      </c>
    </row>
    <row r="54" spans="1:36" s="15" customFormat="1" ht="23.25" customHeight="1">
      <c r="A54" s="295"/>
      <c r="B54" s="299" t="s">
        <v>638</v>
      </c>
      <c r="C54" s="569">
        <f t="shared" si="14"/>
        <v>0</v>
      </c>
      <c r="D54" s="444">
        <f t="shared" ref="D54:AB54" si="16">+D36+D38+D40+D42+D44+D46+D48+D50+D52</f>
        <v>0</v>
      </c>
      <c r="E54" s="564"/>
      <c r="F54" s="564"/>
      <c r="G54" s="564"/>
      <c r="H54" s="564"/>
      <c r="I54" s="564"/>
      <c r="J54" s="564"/>
      <c r="K54" s="564"/>
      <c r="L54" s="564"/>
      <c r="M54" s="564"/>
      <c r="N54" s="564"/>
      <c r="O54" s="564"/>
      <c r="P54" s="564"/>
      <c r="Q54" s="564"/>
      <c r="R54" s="564"/>
      <c r="S54" s="564"/>
      <c r="T54" s="564"/>
      <c r="U54" s="564"/>
      <c r="V54" s="564"/>
      <c r="W54" s="564"/>
      <c r="X54" s="564"/>
      <c r="Y54" s="443">
        <f t="shared" si="16"/>
        <v>0</v>
      </c>
      <c r="Z54" s="443">
        <f t="shared" si="16"/>
        <v>0</v>
      </c>
      <c r="AA54" s="443">
        <f t="shared" si="16"/>
        <v>0</v>
      </c>
      <c r="AB54" s="443">
        <f t="shared" si="16"/>
        <v>0</v>
      </c>
      <c r="AC54" s="560"/>
      <c r="AD54" s="492"/>
      <c r="AE54" s="206"/>
      <c r="AF54" s="206"/>
      <c r="AG54" s="206"/>
      <c r="AH54" s="206"/>
      <c r="AI54" s="206"/>
      <c r="AJ54" s="206"/>
    </row>
    <row r="55" spans="1:36" s="424" customFormat="1" ht="27.75" customHeight="1">
      <c r="A55" s="423"/>
      <c r="B55" s="423" t="s">
        <v>648</v>
      </c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  <c r="AB55" s="436"/>
      <c r="AC55" s="563"/>
      <c r="AD55" s="492"/>
    </row>
    <row r="56" spans="1:36" s="15" customFormat="1" ht="7.5" customHeight="1">
      <c r="A56" s="14"/>
      <c r="B56" s="14"/>
      <c r="C56" s="443"/>
      <c r="D56" s="444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560"/>
      <c r="AD56" s="492"/>
      <c r="AE56" s="206"/>
      <c r="AF56" s="206"/>
      <c r="AG56" s="206"/>
      <c r="AH56" s="206"/>
      <c r="AI56" s="206"/>
      <c r="AJ56" s="206"/>
    </row>
    <row r="57" spans="1:36" s="15" customFormat="1" ht="21.75" customHeight="1">
      <c r="A57" s="295">
        <v>24</v>
      </c>
      <c r="B57" s="298" t="s">
        <v>649</v>
      </c>
      <c r="C57" s="439">
        <f t="shared" ref="C57:D73" si="17">E57+I57+M57+Q57+U57</f>
        <v>1230020837</v>
      </c>
      <c r="D57" s="440">
        <f t="shared" si="17"/>
        <v>49717727</v>
      </c>
      <c r="E57" s="561">
        <v>1146431710</v>
      </c>
      <c r="F57" s="562">
        <v>45401281</v>
      </c>
      <c r="G57" s="561">
        <v>11072659</v>
      </c>
      <c r="H57" s="562">
        <v>0</v>
      </c>
      <c r="I57" s="561">
        <v>74988980</v>
      </c>
      <c r="J57" s="562">
        <v>4316446</v>
      </c>
      <c r="K57" s="561">
        <v>7526548</v>
      </c>
      <c r="L57" s="562">
        <v>431644</v>
      </c>
      <c r="M57" s="561">
        <v>4182112</v>
      </c>
      <c r="N57" s="562">
        <v>0</v>
      </c>
      <c r="O57" s="561">
        <v>1045528</v>
      </c>
      <c r="P57" s="562">
        <v>0</v>
      </c>
      <c r="Q57" s="561">
        <v>3515677</v>
      </c>
      <c r="R57" s="562">
        <v>0</v>
      </c>
      <c r="S57" s="561">
        <v>1757838</v>
      </c>
      <c r="T57" s="562">
        <v>0</v>
      </c>
      <c r="U57" s="561">
        <v>902358</v>
      </c>
      <c r="V57" s="562">
        <v>0</v>
      </c>
      <c r="W57" s="561">
        <v>902358</v>
      </c>
      <c r="X57" s="562">
        <v>0</v>
      </c>
      <c r="Y57" s="566">
        <f>+W57+S57+O57+K57</f>
        <v>11232272</v>
      </c>
      <c r="Z57" s="440">
        <f>+X57+T57+P57+L57</f>
        <v>431644</v>
      </c>
      <c r="AA57" s="223">
        <v>1260084</v>
      </c>
      <c r="AB57" s="223">
        <v>20161</v>
      </c>
      <c r="AC57" s="560"/>
      <c r="AD57" s="492"/>
      <c r="AE57" s="206"/>
      <c r="AF57" s="206"/>
      <c r="AG57" s="206"/>
      <c r="AH57" s="206"/>
      <c r="AI57" s="206"/>
      <c r="AJ57" s="206"/>
    </row>
    <row r="58" spans="1:36" s="15" customFormat="1" ht="21.75" customHeight="1">
      <c r="A58" s="295">
        <v>25</v>
      </c>
      <c r="B58" s="298" t="s">
        <v>650</v>
      </c>
      <c r="C58" s="439">
        <f t="shared" si="17"/>
        <v>1040003061</v>
      </c>
      <c r="D58" s="440">
        <f t="shared" si="17"/>
        <v>102229752</v>
      </c>
      <c r="E58" s="561">
        <v>879680004</v>
      </c>
      <c r="F58" s="562">
        <v>81936467</v>
      </c>
      <c r="G58" s="561">
        <v>10254993</v>
      </c>
      <c r="H58" s="562">
        <v>0</v>
      </c>
      <c r="I58" s="561">
        <v>122169376</v>
      </c>
      <c r="J58" s="562">
        <v>19623054</v>
      </c>
      <c r="K58" s="561">
        <v>12604791</v>
      </c>
      <c r="L58" s="562">
        <v>1962305</v>
      </c>
      <c r="M58" s="561">
        <v>20680155</v>
      </c>
      <c r="N58" s="562">
        <v>670231</v>
      </c>
      <c r="O58" s="561">
        <v>5170039</v>
      </c>
      <c r="P58" s="562">
        <v>167558</v>
      </c>
      <c r="Q58" s="561">
        <v>11333039</v>
      </c>
      <c r="R58" s="562">
        <v>0</v>
      </c>
      <c r="S58" s="561">
        <v>5666519</v>
      </c>
      <c r="T58" s="562">
        <v>0</v>
      </c>
      <c r="U58" s="561">
        <v>6140487</v>
      </c>
      <c r="V58" s="562">
        <v>0</v>
      </c>
      <c r="W58" s="561">
        <v>6140487</v>
      </c>
      <c r="X58" s="562">
        <v>0</v>
      </c>
      <c r="Y58" s="566">
        <f t="shared" ref="Y58:Z70" si="18">+W58+S58+O58+K58</f>
        <v>29581836</v>
      </c>
      <c r="Z58" s="440">
        <f t="shared" si="18"/>
        <v>2129863</v>
      </c>
      <c r="AA58" s="223">
        <v>11380839</v>
      </c>
      <c r="AB58" s="223">
        <v>1389684</v>
      </c>
      <c r="AC58" s="560"/>
      <c r="AD58" s="492"/>
      <c r="AE58" s="206"/>
      <c r="AF58" s="206"/>
      <c r="AG58" s="206"/>
      <c r="AH58" s="206"/>
      <c r="AI58" s="206"/>
      <c r="AJ58" s="206"/>
    </row>
    <row r="59" spans="1:36" s="15" customFormat="1" ht="21.75" customHeight="1">
      <c r="A59" s="295">
        <v>26</v>
      </c>
      <c r="B59" s="298" t="s">
        <v>651</v>
      </c>
      <c r="C59" s="439">
        <f t="shared" si="17"/>
        <v>1094908440</v>
      </c>
      <c r="D59" s="440">
        <f t="shared" si="17"/>
        <v>578096031</v>
      </c>
      <c r="E59" s="561">
        <v>944191352</v>
      </c>
      <c r="F59" s="562">
        <v>474427413</v>
      </c>
      <c r="G59" s="561">
        <v>11745891</v>
      </c>
      <c r="H59" s="562">
        <v>0</v>
      </c>
      <c r="I59" s="561">
        <v>134683502</v>
      </c>
      <c r="J59" s="562">
        <v>103330370</v>
      </c>
      <c r="K59" s="561">
        <v>13468350</v>
      </c>
      <c r="L59" s="562">
        <v>10333037</v>
      </c>
      <c r="M59" s="561">
        <v>7441732</v>
      </c>
      <c r="N59" s="562">
        <v>338248</v>
      </c>
      <c r="O59" s="561">
        <v>1860433</v>
      </c>
      <c r="P59" s="562">
        <v>84562</v>
      </c>
      <c r="Q59" s="561">
        <v>8435446</v>
      </c>
      <c r="R59" s="562">
        <v>0</v>
      </c>
      <c r="S59" s="561">
        <v>4217723</v>
      </c>
      <c r="T59" s="562">
        <v>0</v>
      </c>
      <c r="U59" s="561">
        <v>156408</v>
      </c>
      <c r="V59" s="562">
        <v>0</v>
      </c>
      <c r="W59" s="561">
        <v>156408</v>
      </c>
      <c r="X59" s="562">
        <v>0</v>
      </c>
      <c r="Y59" s="566">
        <f t="shared" si="18"/>
        <v>19702914</v>
      </c>
      <c r="Z59" s="440">
        <f t="shared" si="18"/>
        <v>10417599</v>
      </c>
      <c r="AA59" s="223">
        <v>1557294</v>
      </c>
      <c r="AB59" s="223">
        <v>597678</v>
      </c>
      <c r="AC59" s="560"/>
      <c r="AD59" s="492"/>
      <c r="AE59" s="206"/>
      <c r="AF59" s="206"/>
      <c r="AG59" s="206"/>
      <c r="AH59" s="206"/>
      <c r="AI59" s="206"/>
      <c r="AJ59" s="206"/>
    </row>
    <row r="60" spans="1:36" s="15" customFormat="1" ht="21.75" customHeight="1">
      <c r="A60" s="295">
        <v>27</v>
      </c>
      <c r="B60" s="298" t="s">
        <v>652</v>
      </c>
      <c r="C60" s="439">
        <f t="shared" si="17"/>
        <v>357522251</v>
      </c>
      <c r="D60" s="440">
        <f t="shared" si="17"/>
        <v>37046095</v>
      </c>
      <c r="E60" s="561">
        <v>326366201</v>
      </c>
      <c r="F60" s="562">
        <v>24417802</v>
      </c>
      <c r="G60" s="561">
        <v>10609211</v>
      </c>
      <c r="H60" s="562">
        <v>0</v>
      </c>
      <c r="I60" s="561">
        <v>26047528</v>
      </c>
      <c r="J60" s="562">
        <v>12628293</v>
      </c>
      <c r="K60" s="561">
        <v>2604753</v>
      </c>
      <c r="L60" s="562">
        <v>1262829</v>
      </c>
      <c r="M60" s="561">
        <v>3477499</v>
      </c>
      <c r="N60" s="562">
        <v>0</v>
      </c>
      <c r="O60" s="561">
        <v>869375</v>
      </c>
      <c r="P60" s="562">
        <v>0</v>
      </c>
      <c r="Q60" s="561">
        <v>1611744</v>
      </c>
      <c r="R60" s="562">
        <v>0</v>
      </c>
      <c r="S60" s="561">
        <v>805872</v>
      </c>
      <c r="T60" s="562">
        <v>0</v>
      </c>
      <c r="U60" s="561">
        <v>19279</v>
      </c>
      <c r="V60" s="562">
        <v>0</v>
      </c>
      <c r="W60" s="561">
        <v>19279</v>
      </c>
      <c r="X60" s="562">
        <v>0</v>
      </c>
      <c r="Y60" s="566">
        <f t="shared" si="18"/>
        <v>4299279</v>
      </c>
      <c r="Z60" s="440">
        <f t="shared" si="18"/>
        <v>1262829</v>
      </c>
      <c r="AA60" s="223">
        <v>276297</v>
      </c>
      <c r="AB60" s="223">
        <v>37442</v>
      </c>
      <c r="AC60" s="560"/>
      <c r="AD60" s="493"/>
      <c r="AE60" s="206"/>
      <c r="AF60" s="206"/>
      <c r="AG60" s="206"/>
      <c r="AH60" s="206"/>
      <c r="AI60" s="206"/>
      <c r="AJ60" s="206"/>
    </row>
    <row r="61" spans="1:36" s="15" customFormat="1" ht="21.75" customHeight="1">
      <c r="A61" s="295">
        <v>28</v>
      </c>
      <c r="B61" s="298" t="s">
        <v>653</v>
      </c>
      <c r="C61" s="439">
        <f t="shared" si="17"/>
        <v>991321042</v>
      </c>
      <c r="D61" s="440">
        <f t="shared" si="17"/>
        <v>212866673</v>
      </c>
      <c r="E61" s="561">
        <v>824093181</v>
      </c>
      <c r="F61" s="562">
        <v>114217286</v>
      </c>
      <c r="G61" s="561">
        <v>14498781</v>
      </c>
      <c r="H61" s="562">
        <v>0</v>
      </c>
      <c r="I61" s="561">
        <v>153936832</v>
      </c>
      <c r="J61" s="562">
        <v>98574830</v>
      </c>
      <c r="K61" s="561">
        <v>15393683</v>
      </c>
      <c r="L61" s="562">
        <v>9857483</v>
      </c>
      <c r="M61" s="561">
        <v>5914088</v>
      </c>
      <c r="N61" s="562">
        <v>74557</v>
      </c>
      <c r="O61" s="561">
        <v>1478522</v>
      </c>
      <c r="P61" s="562">
        <v>18639</v>
      </c>
      <c r="Q61" s="561">
        <v>5049895</v>
      </c>
      <c r="R61" s="562">
        <v>0</v>
      </c>
      <c r="S61" s="561">
        <v>2524948</v>
      </c>
      <c r="T61" s="562">
        <v>0</v>
      </c>
      <c r="U61" s="561">
        <v>2327046</v>
      </c>
      <c r="V61" s="562">
        <v>0</v>
      </c>
      <c r="W61" s="561">
        <v>2327046</v>
      </c>
      <c r="X61" s="562">
        <v>0</v>
      </c>
      <c r="Y61" s="566">
        <f t="shared" si="18"/>
        <v>21724199</v>
      </c>
      <c r="Z61" s="440">
        <f t="shared" si="18"/>
        <v>9876122</v>
      </c>
      <c r="AA61" s="223">
        <v>2669198</v>
      </c>
      <c r="AB61" s="223">
        <v>14222</v>
      </c>
      <c r="AC61" s="560"/>
      <c r="AD61" s="493"/>
      <c r="AE61" s="206"/>
      <c r="AF61" s="206"/>
      <c r="AG61" s="206"/>
      <c r="AH61" s="206"/>
      <c r="AI61" s="206"/>
      <c r="AJ61" s="206"/>
    </row>
    <row r="62" spans="1:36" s="15" customFormat="1" ht="21.75" customHeight="1">
      <c r="A62" s="295">
        <v>29</v>
      </c>
      <c r="B62" s="298" t="s">
        <v>654</v>
      </c>
      <c r="C62" s="439">
        <f t="shared" si="17"/>
        <v>646329009</v>
      </c>
      <c r="D62" s="440">
        <f t="shared" si="17"/>
        <v>189262233</v>
      </c>
      <c r="E62" s="561">
        <v>536152841</v>
      </c>
      <c r="F62" s="562">
        <v>139088612</v>
      </c>
      <c r="G62" s="561">
        <v>11790777</v>
      </c>
      <c r="H62" s="562">
        <v>0</v>
      </c>
      <c r="I62" s="561">
        <v>102933185</v>
      </c>
      <c r="J62" s="562">
        <v>49947689</v>
      </c>
      <c r="K62" s="561">
        <v>10402055</v>
      </c>
      <c r="L62" s="562">
        <v>4994769</v>
      </c>
      <c r="M62" s="561">
        <v>3672592</v>
      </c>
      <c r="N62" s="562">
        <v>225932</v>
      </c>
      <c r="O62" s="561">
        <v>918148</v>
      </c>
      <c r="P62" s="562">
        <v>56483</v>
      </c>
      <c r="Q62" s="561">
        <v>2995588</v>
      </c>
      <c r="R62" s="562">
        <v>0</v>
      </c>
      <c r="S62" s="561">
        <v>1497794</v>
      </c>
      <c r="T62" s="562">
        <v>0</v>
      </c>
      <c r="U62" s="561">
        <v>574803</v>
      </c>
      <c r="V62" s="562">
        <v>0</v>
      </c>
      <c r="W62" s="561">
        <v>574803</v>
      </c>
      <c r="X62" s="562">
        <v>0</v>
      </c>
      <c r="Y62" s="566">
        <f t="shared" si="18"/>
        <v>13392800</v>
      </c>
      <c r="Z62" s="440">
        <f t="shared" si="18"/>
        <v>5051252</v>
      </c>
      <c r="AA62" s="223">
        <v>740135</v>
      </c>
      <c r="AB62" s="223">
        <v>101022</v>
      </c>
      <c r="AC62" s="560"/>
      <c r="AD62" s="493"/>
      <c r="AE62" s="206"/>
      <c r="AF62" s="206"/>
      <c r="AG62" s="206"/>
      <c r="AH62" s="206"/>
      <c r="AI62" s="206"/>
      <c r="AJ62" s="206"/>
    </row>
    <row r="63" spans="1:36" s="15" customFormat="1" ht="21.75" customHeight="1">
      <c r="A63" s="295">
        <v>30</v>
      </c>
      <c r="B63" s="298" t="s">
        <v>655</v>
      </c>
      <c r="C63" s="439">
        <f t="shared" si="17"/>
        <v>570196006</v>
      </c>
      <c r="D63" s="440">
        <f t="shared" si="17"/>
        <v>165012921</v>
      </c>
      <c r="E63" s="561">
        <v>432751376</v>
      </c>
      <c r="F63" s="562">
        <v>58083975</v>
      </c>
      <c r="G63" s="561">
        <v>4925718</v>
      </c>
      <c r="H63" s="562">
        <v>0</v>
      </c>
      <c r="I63" s="561">
        <v>130326462</v>
      </c>
      <c r="J63" s="562">
        <v>104902087</v>
      </c>
      <c r="K63" s="561">
        <v>13054116</v>
      </c>
      <c r="L63" s="562">
        <v>10490209</v>
      </c>
      <c r="M63" s="561">
        <v>2106890</v>
      </c>
      <c r="N63" s="562">
        <v>207450</v>
      </c>
      <c r="O63" s="561">
        <v>526722</v>
      </c>
      <c r="P63" s="562">
        <v>51863</v>
      </c>
      <c r="Q63" s="561">
        <v>4920620</v>
      </c>
      <c r="R63" s="562">
        <v>1819409</v>
      </c>
      <c r="S63" s="561">
        <v>2460310</v>
      </c>
      <c r="T63" s="562">
        <v>909705</v>
      </c>
      <c r="U63" s="561">
        <v>90658</v>
      </c>
      <c r="V63" s="562">
        <v>0</v>
      </c>
      <c r="W63" s="561">
        <v>90658</v>
      </c>
      <c r="X63" s="562">
        <v>0</v>
      </c>
      <c r="Y63" s="566">
        <f t="shared" si="18"/>
        <v>16131806</v>
      </c>
      <c r="Z63" s="440">
        <f t="shared" si="18"/>
        <v>11451777</v>
      </c>
      <c r="AA63" s="223">
        <v>78241224</v>
      </c>
      <c r="AB63" s="223">
        <v>69750011</v>
      </c>
      <c r="AC63" s="560"/>
      <c r="AD63" s="493"/>
      <c r="AE63" s="206"/>
      <c r="AF63" s="206"/>
      <c r="AG63" s="206"/>
      <c r="AH63" s="206"/>
      <c r="AI63" s="206"/>
      <c r="AJ63" s="206"/>
    </row>
    <row r="64" spans="1:36" s="15" customFormat="1" ht="21.75" customHeight="1">
      <c r="A64" s="295">
        <v>31</v>
      </c>
      <c r="B64" s="298" t="s">
        <v>656</v>
      </c>
      <c r="C64" s="439">
        <f t="shared" si="17"/>
        <v>1031951755</v>
      </c>
      <c r="D64" s="440">
        <f t="shared" si="17"/>
        <v>252884226</v>
      </c>
      <c r="E64" s="561">
        <v>909961371</v>
      </c>
      <c r="F64" s="562">
        <v>219901088</v>
      </c>
      <c r="G64" s="561">
        <v>12742160</v>
      </c>
      <c r="H64" s="562">
        <v>0</v>
      </c>
      <c r="I64" s="561">
        <v>110853373</v>
      </c>
      <c r="J64" s="562">
        <v>32983138</v>
      </c>
      <c r="K64" s="561">
        <v>11085337</v>
      </c>
      <c r="L64" s="562">
        <v>3298314</v>
      </c>
      <c r="M64" s="561">
        <v>2798840</v>
      </c>
      <c r="N64" s="562">
        <v>0</v>
      </c>
      <c r="O64" s="561">
        <v>699710</v>
      </c>
      <c r="P64" s="562">
        <v>0</v>
      </c>
      <c r="Q64" s="561">
        <v>6014541</v>
      </c>
      <c r="R64" s="562">
        <v>0</v>
      </c>
      <c r="S64" s="561">
        <v>3007271</v>
      </c>
      <c r="T64" s="562">
        <v>0</v>
      </c>
      <c r="U64" s="561">
        <v>2323630</v>
      </c>
      <c r="V64" s="562">
        <v>0</v>
      </c>
      <c r="W64" s="561">
        <v>2323630</v>
      </c>
      <c r="X64" s="562">
        <v>0</v>
      </c>
      <c r="Y64" s="566">
        <f t="shared" si="18"/>
        <v>17115948</v>
      </c>
      <c r="Z64" s="440">
        <f t="shared" si="18"/>
        <v>3298314</v>
      </c>
      <c r="AA64" s="223">
        <v>3144712</v>
      </c>
      <c r="AB64" s="223">
        <v>5282959</v>
      </c>
      <c r="AC64" s="560"/>
      <c r="AD64" s="493"/>
      <c r="AE64" s="206"/>
      <c r="AF64" s="206"/>
      <c r="AG64" s="206"/>
      <c r="AH64" s="206"/>
      <c r="AI64" s="206"/>
      <c r="AJ64" s="206"/>
    </row>
    <row r="65" spans="1:36" s="15" customFormat="1" ht="21.75" customHeight="1">
      <c r="A65" s="295">
        <v>32</v>
      </c>
      <c r="B65" s="298" t="s">
        <v>657</v>
      </c>
      <c r="C65" s="439">
        <f t="shared" si="17"/>
        <v>972317635</v>
      </c>
      <c r="D65" s="440">
        <f t="shared" si="17"/>
        <v>99739221</v>
      </c>
      <c r="E65" s="561">
        <v>858581338</v>
      </c>
      <c r="F65" s="562">
        <v>62201379</v>
      </c>
      <c r="G65" s="561">
        <v>5848868</v>
      </c>
      <c r="H65" s="562">
        <v>0</v>
      </c>
      <c r="I65" s="561">
        <v>105756530</v>
      </c>
      <c r="J65" s="562">
        <v>37537842</v>
      </c>
      <c r="K65" s="561">
        <v>10582983</v>
      </c>
      <c r="L65" s="562">
        <v>3753784</v>
      </c>
      <c r="M65" s="561">
        <v>2591909</v>
      </c>
      <c r="N65" s="562">
        <v>0</v>
      </c>
      <c r="O65" s="561">
        <v>647977</v>
      </c>
      <c r="P65" s="562">
        <v>0</v>
      </c>
      <c r="Q65" s="561">
        <v>3227608</v>
      </c>
      <c r="R65" s="562">
        <v>0</v>
      </c>
      <c r="S65" s="561">
        <v>1613804</v>
      </c>
      <c r="T65" s="562">
        <v>0</v>
      </c>
      <c r="U65" s="561">
        <v>2160250</v>
      </c>
      <c r="V65" s="562">
        <v>0</v>
      </c>
      <c r="W65" s="561">
        <v>2160250</v>
      </c>
      <c r="X65" s="562">
        <v>0</v>
      </c>
      <c r="Y65" s="566">
        <f t="shared" si="18"/>
        <v>15005014</v>
      </c>
      <c r="Z65" s="440">
        <f t="shared" si="18"/>
        <v>3753784</v>
      </c>
      <c r="AA65" s="223">
        <v>1580982</v>
      </c>
      <c r="AB65" s="223">
        <v>352923</v>
      </c>
      <c r="AC65" s="560"/>
      <c r="AD65" s="493"/>
      <c r="AE65" s="206"/>
      <c r="AF65" s="206"/>
      <c r="AG65" s="206"/>
      <c r="AH65" s="206"/>
      <c r="AI65" s="206"/>
      <c r="AJ65" s="206"/>
    </row>
    <row r="66" spans="1:36" s="15" customFormat="1" ht="21.75" customHeight="1">
      <c r="A66" s="295">
        <v>33</v>
      </c>
      <c r="B66" s="298" t="s">
        <v>658</v>
      </c>
      <c r="C66" s="439">
        <f t="shared" si="17"/>
        <v>314115351</v>
      </c>
      <c r="D66" s="440">
        <f t="shared" si="17"/>
        <v>32567304</v>
      </c>
      <c r="E66" s="561">
        <v>284201474</v>
      </c>
      <c r="F66" s="562">
        <v>25759047</v>
      </c>
      <c r="G66" s="561">
        <v>18700461</v>
      </c>
      <c r="H66" s="562">
        <v>0</v>
      </c>
      <c r="I66" s="561">
        <v>24886090</v>
      </c>
      <c r="J66" s="562">
        <v>6808257</v>
      </c>
      <c r="K66" s="561">
        <v>2490364</v>
      </c>
      <c r="L66" s="562">
        <v>680826</v>
      </c>
      <c r="M66" s="561">
        <v>2081385</v>
      </c>
      <c r="N66" s="562">
        <v>0</v>
      </c>
      <c r="O66" s="561">
        <v>520346</v>
      </c>
      <c r="P66" s="562">
        <v>0</v>
      </c>
      <c r="Q66" s="561">
        <v>2647137</v>
      </c>
      <c r="R66" s="562">
        <v>0</v>
      </c>
      <c r="S66" s="561">
        <v>1323569</v>
      </c>
      <c r="T66" s="562">
        <v>0</v>
      </c>
      <c r="U66" s="561">
        <v>299265</v>
      </c>
      <c r="V66" s="562">
        <v>0</v>
      </c>
      <c r="W66" s="561">
        <v>299265</v>
      </c>
      <c r="X66" s="562">
        <v>0</v>
      </c>
      <c r="Y66" s="566">
        <f t="shared" si="18"/>
        <v>4633544</v>
      </c>
      <c r="Z66" s="440">
        <f t="shared" si="18"/>
        <v>680826</v>
      </c>
      <c r="AA66" s="223">
        <v>2174637</v>
      </c>
      <c r="AB66" s="223">
        <v>1503439</v>
      </c>
      <c r="AC66" s="560"/>
      <c r="AD66" s="493"/>
      <c r="AE66" s="206"/>
      <c r="AF66" s="206"/>
      <c r="AG66" s="206"/>
      <c r="AH66" s="206"/>
      <c r="AI66" s="206"/>
      <c r="AJ66" s="206"/>
    </row>
    <row r="67" spans="1:36" s="15" customFormat="1" ht="21.75" customHeight="1">
      <c r="A67" s="295">
        <v>34</v>
      </c>
      <c r="B67" s="298" t="s">
        <v>659</v>
      </c>
      <c r="C67" s="439">
        <f>E67+I67+M67+Q67+U67</f>
        <v>52989586704</v>
      </c>
      <c r="D67" s="440">
        <f t="shared" si="17"/>
        <v>36693802082</v>
      </c>
      <c r="E67" s="561">
        <v>41199411358</v>
      </c>
      <c r="F67" s="562">
        <v>30474245579</v>
      </c>
      <c r="G67" s="561">
        <v>356457663</v>
      </c>
      <c r="H67" s="562">
        <v>0</v>
      </c>
      <c r="I67" s="561">
        <v>10363050997</v>
      </c>
      <c r="J67" s="562">
        <v>5809060607</v>
      </c>
      <c r="K67" s="561">
        <v>1037003652</v>
      </c>
      <c r="L67" s="562">
        <v>580906062</v>
      </c>
      <c r="M67" s="561">
        <v>100070090</v>
      </c>
      <c r="N67" s="562">
        <v>14124408</v>
      </c>
      <c r="O67" s="561">
        <v>25434893</v>
      </c>
      <c r="P67" s="562">
        <v>3531103</v>
      </c>
      <c r="Q67" s="561">
        <v>420895304</v>
      </c>
      <c r="R67" s="562">
        <v>178909746</v>
      </c>
      <c r="S67" s="561">
        <v>210701277</v>
      </c>
      <c r="T67" s="562">
        <v>89454872</v>
      </c>
      <c r="U67" s="561">
        <v>906158955</v>
      </c>
      <c r="V67" s="562">
        <v>217461742</v>
      </c>
      <c r="W67" s="561">
        <v>906151078</v>
      </c>
      <c r="X67" s="562">
        <v>217461742</v>
      </c>
      <c r="Y67" s="566">
        <f>+W67+S67+O67+K67</f>
        <v>2179290900</v>
      </c>
      <c r="Z67" s="440">
        <f>+X67+T67+P67+L67</f>
        <v>891353779</v>
      </c>
      <c r="AA67" s="223">
        <v>54318099</v>
      </c>
      <c r="AB67" s="223">
        <v>26605558</v>
      </c>
      <c r="AC67" s="560"/>
      <c r="AD67" s="493"/>
      <c r="AE67" s="206"/>
      <c r="AF67" s="206"/>
      <c r="AG67" s="206"/>
      <c r="AH67" s="206"/>
      <c r="AI67" s="206"/>
      <c r="AJ67" s="206"/>
    </row>
    <row r="68" spans="1:36" s="15" customFormat="1" ht="21.75" customHeight="1">
      <c r="A68" s="295">
        <v>35</v>
      </c>
      <c r="B68" s="298" t="s">
        <v>660</v>
      </c>
      <c r="C68" s="439">
        <f t="shared" si="17"/>
        <v>1465638933</v>
      </c>
      <c r="D68" s="440">
        <f t="shared" si="17"/>
        <v>290207147</v>
      </c>
      <c r="E68" s="561">
        <v>1203683049</v>
      </c>
      <c r="F68" s="562">
        <v>143224308</v>
      </c>
      <c r="G68" s="561">
        <v>23872359</v>
      </c>
      <c r="H68" s="562">
        <v>0</v>
      </c>
      <c r="I68" s="561">
        <v>216886818</v>
      </c>
      <c r="J68" s="562">
        <v>144580174</v>
      </c>
      <c r="K68" s="561">
        <v>21770559</v>
      </c>
      <c r="L68" s="562">
        <v>14458018</v>
      </c>
      <c r="M68" s="561">
        <v>19251058</v>
      </c>
      <c r="N68" s="562">
        <v>2402665</v>
      </c>
      <c r="O68" s="561">
        <v>4812765</v>
      </c>
      <c r="P68" s="562">
        <v>600666</v>
      </c>
      <c r="Q68" s="561">
        <v>23833850</v>
      </c>
      <c r="R68" s="562">
        <v>0</v>
      </c>
      <c r="S68" s="561">
        <v>11916925</v>
      </c>
      <c r="T68" s="562">
        <v>0</v>
      </c>
      <c r="U68" s="561">
        <v>1984158</v>
      </c>
      <c r="V68" s="562">
        <v>0</v>
      </c>
      <c r="W68" s="561">
        <v>1984158</v>
      </c>
      <c r="X68" s="562">
        <v>0</v>
      </c>
      <c r="Y68" s="566">
        <f t="shared" si="18"/>
        <v>40484407</v>
      </c>
      <c r="Z68" s="440">
        <f t="shared" si="18"/>
        <v>15058684</v>
      </c>
      <c r="AA68" s="223">
        <v>74758441</v>
      </c>
      <c r="AB68" s="223">
        <v>34761</v>
      </c>
      <c r="AC68" s="560"/>
      <c r="AD68" s="493"/>
      <c r="AE68" s="206"/>
      <c r="AF68" s="206"/>
      <c r="AG68" s="206"/>
      <c r="AH68" s="206"/>
      <c r="AI68" s="206"/>
      <c r="AJ68" s="206"/>
    </row>
    <row r="69" spans="1:36" s="15" customFormat="1" ht="21.75" customHeight="1">
      <c r="A69" s="295">
        <v>36</v>
      </c>
      <c r="B69" s="298" t="s">
        <v>661</v>
      </c>
      <c r="C69" s="439">
        <f t="shared" si="17"/>
        <v>1488927329</v>
      </c>
      <c r="D69" s="440">
        <f t="shared" si="17"/>
        <v>182321288</v>
      </c>
      <c r="E69" s="561">
        <v>1216138938</v>
      </c>
      <c r="F69" s="562">
        <v>70920728</v>
      </c>
      <c r="G69" s="561">
        <v>12354706</v>
      </c>
      <c r="H69" s="562">
        <v>0</v>
      </c>
      <c r="I69" s="561">
        <v>228421182</v>
      </c>
      <c r="J69" s="562">
        <v>106395316</v>
      </c>
      <c r="K69" s="561">
        <v>22844426</v>
      </c>
      <c r="L69" s="562">
        <v>10639532</v>
      </c>
      <c r="M69" s="561">
        <v>20210318</v>
      </c>
      <c r="N69" s="562">
        <v>3367552</v>
      </c>
      <c r="O69" s="561">
        <v>5053921</v>
      </c>
      <c r="P69" s="562">
        <v>841888</v>
      </c>
      <c r="Q69" s="561">
        <v>18820643</v>
      </c>
      <c r="R69" s="562">
        <v>270805</v>
      </c>
      <c r="S69" s="561">
        <v>9416322</v>
      </c>
      <c r="T69" s="562">
        <v>135403</v>
      </c>
      <c r="U69" s="561">
        <v>5336248</v>
      </c>
      <c r="V69" s="562">
        <v>1366887</v>
      </c>
      <c r="W69" s="561">
        <v>5336248</v>
      </c>
      <c r="X69" s="562">
        <v>1366887</v>
      </c>
      <c r="Y69" s="566">
        <f t="shared" si="18"/>
        <v>42650917</v>
      </c>
      <c r="Z69" s="440">
        <f t="shared" si="18"/>
        <v>12983710</v>
      </c>
      <c r="AA69" s="223">
        <v>20756506</v>
      </c>
      <c r="AB69" s="223">
        <v>1376498</v>
      </c>
      <c r="AC69" s="560"/>
      <c r="AD69" s="493"/>
      <c r="AE69" s="206"/>
      <c r="AF69" s="206"/>
      <c r="AG69" s="206"/>
      <c r="AH69" s="206"/>
      <c r="AI69" s="206"/>
      <c r="AJ69" s="206"/>
    </row>
    <row r="70" spans="1:36" s="15" customFormat="1" ht="21.75" customHeight="1">
      <c r="A70" s="295">
        <v>37</v>
      </c>
      <c r="B70" s="298" t="s">
        <v>662</v>
      </c>
      <c r="C70" s="439">
        <f t="shared" si="17"/>
        <v>742731480</v>
      </c>
      <c r="D70" s="440">
        <f t="shared" si="17"/>
        <v>138300670</v>
      </c>
      <c r="E70" s="561">
        <v>558023295</v>
      </c>
      <c r="F70" s="562">
        <v>127535557</v>
      </c>
      <c r="G70" s="561">
        <v>7014727</v>
      </c>
      <c r="H70" s="562">
        <v>0</v>
      </c>
      <c r="I70" s="561">
        <v>178564100</v>
      </c>
      <c r="J70" s="562">
        <v>10765113</v>
      </c>
      <c r="K70" s="561">
        <v>18045475</v>
      </c>
      <c r="L70" s="562">
        <v>1076511</v>
      </c>
      <c r="M70" s="561">
        <v>3473035</v>
      </c>
      <c r="N70" s="562">
        <v>0</v>
      </c>
      <c r="O70" s="561">
        <v>868259</v>
      </c>
      <c r="P70" s="562">
        <v>0</v>
      </c>
      <c r="Q70" s="561">
        <v>2416421</v>
      </c>
      <c r="R70" s="562">
        <v>0</v>
      </c>
      <c r="S70" s="561">
        <v>1208211</v>
      </c>
      <c r="T70" s="562">
        <v>0</v>
      </c>
      <c r="U70" s="561">
        <v>254629</v>
      </c>
      <c r="V70" s="562">
        <v>0</v>
      </c>
      <c r="W70" s="561">
        <v>254629</v>
      </c>
      <c r="X70" s="562">
        <v>0</v>
      </c>
      <c r="Y70" s="566">
        <f t="shared" si="18"/>
        <v>20376574</v>
      </c>
      <c r="Z70" s="440">
        <f t="shared" si="18"/>
        <v>1076511</v>
      </c>
      <c r="AA70" s="223">
        <v>1315420</v>
      </c>
      <c r="AB70" s="223">
        <v>1421202</v>
      </c>
      <c r="AC70" s="560"/>
      <c r="AD70" s="493"/>
      <c r="AE70" s="206"/>
      <c r="AF70" s="206"/>
      <c r="AG70" s="206"/>
      <c r="AH70" s="206"/>
      <c r="AI70" s="206"/>
      <c r="AJ70" s="206"/>
    </row>
    <row r="71" spans="1:36" s="424" customFormat="1" ht="28.5" customHeight="1">
      <c r="A71" s="423">
        <v>38</v>
      </c>
      <c r="B71" s="423" t="s">
        <v>646</v>
      </c>
      <c r="C71" s="436">
        <f t="shared" ref="C71:AB71" si="19">SUM(C57:C70)</f>
        <v>64935569833</v>
      </c>
      <c r="D71" s="436">
        <f t="shared" si="19"/>
        <v>39024053370</v>
      </c>
      <c r="E71" s="436">
        <f t="shared" si="19"/>
        <v>51319667488</v>
      </c>
      <c r="F71" s="436">
        <f t="shared" si="19"/>
        <v>32061360522</v>
      </c>
      <c r="G71" s="436">
        <f t="shared" si="19"/>
        <v>511888974</v>
      </c>
      <c r="H71" s="436">
        <f t="shared" si="19"/>
        <v>0</v>
      </c>
      <c r="I71" s="436">
        <f t="shared" si="19"/>
        <v>11973504955</v>
      </c>
      <c r="J71" s="436">
        <f t="shared" si="19"/>
        <v>6541453216</v>
      </c>
      <c r="K71" s="436">
        <f t="shared" si="19"/>
        <v>1198877092</v>
      </c>
      <c r="L71" s="436">
        <f t="shared" si="19"/>
        <v>654145323</v>
      </c>
      <c r="M71" s="436">
        <f t="shared" si="19"/>
        <v>197951703</v>
      </c>
      <c r="N71" s="436">
        <f t="shared" si="19"/>
        <v>21411043</v>
      </c>
      <c r="O71" s="436">
        <f t="shared" si="19"/>
        <v>49906638</v>
      </c>
      <c r="P71" s="436">
        <f t="shared" si="19"/>
        <v>5352762</v>
      </c>
      <c r="Q71" s="436">
        <f t="shared" si="19"/>
        <v>515717513</v>
      </c>
      <c r="R71" s="436">
        <f t="shared" si="19"/>
        <v>180999960</v>
      </c>
      <c r="S71" s="436">
        <f t="shared" si="19"/>
        <v>258118383</v>
      </c>
      <c r="T71" s="436">
        <f t="shared" si="19"/>
        <v>90499980</v>
      </c>
      <c r="U71" s="436">
        <f t="shared" si="19"/>
        <v>928728174</v>
      </c>
      <c r="V71" s="436">
        <f t="shared" si="19"/>
        <v>218828629</v>
      </c>
      <c r="W71" s="436">
        <f t="shared" si="19"/>
        <v>928720297</v>
      </c>
      <c r="X71" s="436">
        <f t="shared" si="19"/>
        <v>218828629</v>
      </c>
      <c r="Y71" s="436">
        <f t="shared" si="19"/>
        <v>2435622410</v>
      </c>
      <c r="Z71" s="436">
        <f t="shared" si="19"/>
        <v>968826694</v>
      </c>
      <c r="AA71" s="436">
        <f t="shared" si="19"/>
        <v>254173868</v>
      </c>
      <c r="AB71" s="436">
        <f t="shared" si="19"/>
        <v>108487560</v>
      </c>
      <c r="AC71" s="563">
        <f>+'Loans Receivable'!C85</f>
        <v>64935569833</v>
      </c>
      <c r="AD71" s="492">
        <f>+C71-AC71</f>
        <v>0</v>
      </c>
    </row>
    <row r="72" spans="1:36" s="15" customFormat="1" ht="21.75" customHeight="1">
      <c r="A72" s="295">
        <v>39</v>
      </c>
      <c r="B72" s="298" t="s">
        <v>663</v>
      </c>
      <c r="C72" s="439">
        <f t="shared" ref="C72" si="20">E72+I72+M72+Q72+U72</f>
        <v>31154156370</v>
      </c>
      <c r="D72" s="440">
        <f t="shared" si="17"/>
        <v>0</v>
      </c>
      <c r="E72" s="561">
        <f>'Asset quality'!D12+'Asset quality'!D15+'Asset quality'!D17+'Asset quality'!D19+'Asset quality'!D47+'Asset quality'!D48+'Asset quality'!D49+'Asset quality'!D50+'Asset quality'!D53+'Asset quality'!D54+'Asset quality'!D58+'Asset quality'!D60+'Asset quality'!D62</f>
        <v>28452260756</v>
      </c>
      <c r="F72" s="562"/>
      <c r="G72" s="561">
        <f>'Asset quality'!P12+'Asset quality'!P15+'Asset quality'!P17+'Asset quality'!P19+'Asset quality'!P47+'Asset quality'!P48+'Asset quality'!P49+'Asset quality'!P50+'Asset quality'!P53+'Asset quality'!P54+'Asset quality'!P58+'Asset quality'!P60+'Asset quality'!P62</f>
        <v>208053233</v>
      </c>
      <c r="H72" s="562"/>
      <c r="I72" s="561">
        <f>'Asset quality'!E12+'Asset quality'!E15+'Asset quality'!E17+'Asset quality'!E19+'Asset quality'!E47+'Asset quality'!E48+'Asset quality'!E49+'Asset quality'!E50+'Asset quality'!E53+'Asset quality'!E54+'Asset quality'!E58+'Asset quality'!E60+'Asset quality'!E62</f>
        <v>1519947491</v>
      </c>
      <c r="J72" s="562"/>
      <c r="K72" s="561">
        <f>'Asset quality'!Q12+'Asset quality'!Q15+'Asset quality'!Q17+'Asset quality'!Q19+'Asset quality'!Q47+'Asset quality'!Q48+'Asset quality'!Q49+'Asset quality'!Q50+'Asset quality'!Q53+'Asset quality'!Q54+'Asset quality'!Q58+'Asset quality'!Q60+'Asset quality'!Q62</f>
        <v>280504177</v>
      </c>
      <c r="L72" s="562"/>
      <c r="M72" s="561">
        <f>'Asset quality'!F12+'Asset quality'!F15+'Asset quality'!F17+'Asset quality'!F19+'Asset quality'!F47+'Asset quality'!F48+'Asset quality'!F49+'Asset quality'!F50+'Asset quality'!F53+'Asset quality'!F54+'Asset quality'!F58+'Asset quality'!F60+'Asset quality'!F62</f>
        <v>58393937</v>
      </c>
      <c r="N72" s="562"/>
      <c r="O72" s="561">
        <f>'Asset quality'!R12+'Asset quality'!R15+'Asset quality'!R17+'Asset quality'!R19+'Asset quality'!R47+'Asset quality'!R48+'Asset quality'!R49+'Asset quality'!R50+'Asset quality'!R53+'Asset quality'!R54+'Asset quality'!R58+'Asset quality'!R60+'Asset quality'!R62</f>
        <v>10085490</v>
      </c>
      <c r="P72" s="562"/>
      <c r="Q72" s="561">
        <f>'Asset quality'!G12+'Asset quality'!G15+'Asset quality'!G17+'Asset quality'!G19+'Asset quality'!G47+'Asset quality'!G48+'Asset quality'!G49+'Asset quality'!G50+'Asset quality'!G53+'Asset quality'!G54+'Asset quality'!G58+'Asset quality'!G60+'Asset quality'!G62</f>
        <v>98112182</v>
      </c>
      <c r="R72" s="562"/>
      <c r="S72" s="561">
        <f>'Asset quality'!S12+'Asset quality'!S15+'Asset quality'!S17+'Asset quality'!S19+'Asset quality'!S47+'Asset quality'!S48+'Asset quality'!S49+'Asset quality'!S50+'Asset quality'!S53+'Asset quality'!S54+'Asset quality'!S58+'Asset quality'!S60+'Asset quality'!S62</f>
        <v>75561137</v>
      </c>
      <c r="T72" s="562"/>
      <c r="U72" s="561">
        <f>'Asset quality'!H12+'Asset quality'!H15+'Asset quality'!H17+'Asset quality'!H19+'Asset quality'!H47+'Asset quality'!H48+'Asset quality'!H49+'Asset quality'!H50+'Asset quality'!H53+'Asset quality'!H54+'Asset quality'!H58+'Asset quality'!H60+'Asset quality'!H62</f>
        <v>1025442004</v>
      </c>
      <c r="V72" s="562"/>
      <c r="W72" s="561">
        <f>'Asset quality'!T12+'Asset quality'!T15+'Asset quality'!T17+'Asset quality'!T19+'Asset quality'!T47+'Asset quality'!T48+'Asset quality'!T49+'Asset quality'!T50+'Asset quality'!T53+'Asset quality'!T54+'Asset quality'!T58+'Asset quality'!T60+'Asset quality'!T62</f>
        <v>595858145</v>
      </c>
      <c r="X72" s="562"/>
      <c r="Y72" s="566">
        <f t="shared" ref="Y72:Z72" si="21">+W72+S72+O72+K72</f>
        <v>962008949</v>
      </c>
      <c r="Z72" s="440">
        <f t="shared" si="21"/>
        <v>0</v>
      </c>
      <c r="AA72" s="223"/>
      <c r="AB72" s="223"/>
      <c r="AC72" s="560"/>
      <c r="AD72" s="493"/>
      <c r="AE72" s="206"/>
      <c r="AF72" s="206"/>
      <c r="AG72" s="206"/>
      <c r="AH72" s="206"/>
      <c r="AI72" s="206"/>
      <c r="AJ72" s="206"/>
    </row>
    <row r="73" spans="1:36" s="15" customFormat="1" ht="21.75" customHeight="1">
      <c r="A73" s="295"/>
      <c r="B73" s="298" t="s">
        <v>638</v>
      </c>
      <c r="C73" s="439">
        <f t="shared" ref="C73" si="22">E73+I73+M73+Q73+U73</f>
        <v>0</v>
      </c>
      <c r="D73" s="440">
        <f t="shared" si="17"/>
        <v>0</v>
      </c>
      <c r="E73" s="561"/>
      <c r="F73" s="562"/>
      <c r="G73" s="561"/>
      <c r="H73" s="562"/>
      <c r="I73" s="561"/>
      <c r="J73" s="562"/>
      <c r="K73" s="561"/>
      <c r="L73" s="562"/>
      <c r="M73" s="561"/>
      <c r="N73" s="562"/>
      <c r="O73" s="561"/>
      <c r="P73" s="562"/>
      <c r="Q73" s="561"/>
      <c r="R73" s="562"/>
      <c r="S73" s="561"/>
      <c r="T73" s="562"/>
      <c r="U73" s="561"/>
      <c r="V73" s="562"/>
      <c r="W73" s="561"/>
      <c r="X73" s="562"/>
      <c r="Y73" s="566">
        <f t="shared" ref="Y73" si="23">+W73+S73+O73+K73</f>
        <v>0</v>
      </c>
      <c r="Z73" s="440">
        <f t="shared" ref="Z73" si="24">+X73+T73+P73+L73</f>
        <v>0</v>
      </c>
      <c r="AA73" s="223"/>
      <c r="AB73" s="223"/>
      <c r="AC73" s="560"/>
      <c r="AD73" s="493"/>
      <c r="AE73" s="206"/>
      <c r="AF73" s="206"/>
      <c r="AG73" s="206"/>
      <c r="AH73" s="206"/>
      <c r="AI73" s="206"/>
      <c r="AJ73" s="206"/>
    </row>
    <row r="74" spans="1:36" s="424" customFormat="1" ht="28.5" customHeight="1">
      <c r="A74" s="423">
        <v>40</v>
      </c>
      <c r="B74" s="423" t="s">
        <v>664</v>
      </c>
      <c r="C74" s="436">
        <f t="shared" ref="C74:AB74" si="25">+C53+C72</f>
        <v>96089726203</v>
      </c>
      <c r="D74" s="436">
        <f t="shared" si="25"/>
        <v>39024053370</v>
      </c>
      <c r="E74" s="436">
        <f t="shared" si="25"/>
        <v>79771928244</v>
      </c>
      <c r="F74" s="436">
        <f t="shared" si="25"/>
        <v>32061360522</v>
      </c>
      <c r="G74" s="436">
        <f>+G53+G72</f>
        <v>719942207</v>
      </c>
      <c r="H74" s="436">
        <f>+H53+H72</f>
        <v>0</v>
      </c>
      <c r="I74" s="436">
        <f t="shared" si="25"/>
        <v>13493452446</v>
      </c>
      <c r="J74" s="436">
        <f t="shared" si="25"/>
        <v>6541453216</v>
      </c>
      <c r="K74" s="436">
        <f t="shared" si="25"/>
        <v>1479381269</v>
      </c>
      <c r="L74" s="436">
        <f t="shared" si="25"/>
        <v>654145323</v>
      </c>
      <c r="M74" s="436">
        <f t="shared" si="25"/>
        <v>256345640</v>
      </c>
      <c r="N74" s="436">
        <f t="shared" si="25"/>
        <v>21411043</v>
      </c>
      <c r="O74" s="436">
        <f t="shared" si="25"/>
        <v>59992128</v>
      </c>
      <c r="P74" s="436">
        <f t="shared" si="25"/>
        <v>5352762</v>
      </c>
      <c r="Q74" s="436">
        <f t="shared" si="25"/>
        <v>613829695</v>
      </c>
      <c r="R74" s="436">
        <f t="shared" si="25"/>
        <v>180999960</v>
      </c>
      <c r="S74" s="436">
        <f t="shared" si="25"/>
        <v>333679520</v>
      </c>
      <c r="T74" s="436">
        <f t="shared" si="25"/>
        <v>90499980</v>
      </c>
      <c r="U74" s="436">
        <f t="shared" si="25"/>
        <v>1954170178</v>
      </c>
      <c r="V74" s="436">
        <f t="shared" si="25"/>
        <v>218828629</v>
      </c>
      <c r="W74" s="436">
        <f t="shared" si="25"/>
        <v>1524578442</v>
      </c>
      <c r="X74" s="436">
        <f t="shared" si="25"/>
        <v>218828629</v>
      </c>
      <c r="Y74" s="436">
        <f t="shared" si="25"/>
        <v>3397631359</v>
      </c>
      <c r="Z74" s="436">
        <f t="shared" si="25"/>
        <v>968826694</v>
      </c>
      <c r="AA74" s="436">
        <f t="shared" si="25"/>
        <v>254173868</v>
      </c>
      <c r="AB74" s="436">
        <f t="shared" si="25"/>
        <v>108487560</v>
      </c>
      <c r="AC74" s="563"/>
      <c r="AD74" s="492"/>
    </row>
    <row r="75" spans="1:36" ht="18">
      <c r="C75" s="452"/>
      <c r="D75" s="452"/>
      <c r="E75" s="452"/>
      <c r="F75" s="452"/>
      <c r="G75" s="452"/>
      <c r="H75" s="452"/>
      <c r="I75" s="452"/>
      <c r="J75" s="452"/>
      <c r="K75" s="452"/>
      <c r="L75" s="452"/>
      <c r="M75" s="452"/>
      <c r="N75" s="452"/>
      <c r="O75" s="452"/>
      <c r="P75" s="452"/>
      <c r="Q75" s="452"/>
      <c r="R75" s="452"/>
      <c r="S75" s="452"/>
      <c r="T75" s="452"/>
      <c r="U75" s="452"/>
      <c r="V75" s="452"/>
      <c r="W75" s="452"/>
      <c r="X75" s="452"/>
      <c r="Y75" s="452"/>
      <c r="Z75" s="452"/>
      <c r="AA75" s="452"/>
      <c r="AB75" s="452"/>
      <c r="AC75" s="525"/>
      <c r="AD75" s="494"/>
    </row>
    <row r="76" spans="1:36" ht="15" customHeight="1">
      <c r="B76" s="174" t="s">
        <v>756</v>
      </c>
      <c r="C76" s="452"/>
      <c r="D76" s="452"/>
      <c r="E76" s="452"/>
      <c r="F76" s="525"/>
      <c r="G76" s="525"/>
      <c r="H76" s="525"/>
      <c r="I76" s="525"/>
      <c r="J76" s="525"/>
      <c r="K76" s="525"/>
      <c r="L76" s="525"/>
      <c r="M76" s="525"/>
      <c r="N76" s="452"/>
      <c r="O76" s="452"/>
      <c r="P76" s="452"/>
      <c r="Q76" s="452"/>
      <c r="R76" s="452"/>
      <c r="S76" s="452"/>
      <c r="T76" s="452"/>
      <c r="U76" s="452"/>
      <c r="V76" s="452"/>
      <c r="W76" s="452"/>
      <c r="X76" s="452"/>
      <c r="Y76" s="452"/>
      <c r="Z76" s="452"/>
      <c r="AA76" s="452"/>
      <c r="AB76" s="452"/>
      <c r="AC76" s="452"/>
      <c r="AD76" s="495"/>
      <c r="AE76" s="28"/>
      <c r="AF76" s="28"/>
      <c r="AG76" s="28"/>
      <c r="AH76" s="28"/>
      <c r="AI76" s="28"/>
      <c r="AJ76" s="28"/>
    </row>
    <row r="77" spans="1:36" ht="11.25" customHeight="1">
      <c r="B77" s="174"/>
      <c r="C77" s="452"/>
      <c r="D77" s="452"/>
      <c r="E77" s="452"/>
      <c r="F77" s="525"/>
      <c r="G77" s="525"/>
      <c r="H77" s="525"/>
      <c r="I77" s="525"/>
      <c r="J77" s="525"/>
      <c r="K77" s="525"/>
      <c r="L77" s="525"/>
      <c r="M77" s="525"/>
      <c r="N77" s="452"/>
      <c r="O77" s="452"/>
      <c r="P77" s="452"/>
      <c r="Q77" s="452"/>
      <c r="R77" s="452"/>
      <c r="S77" s="452"/>
      <c r="T77" s="452"/>
      <c r="U77" s="452"/>
      <c r="V77" s="452"/>
      <c r="W77" s="452"/>
      <c r="X77" s="452"/>
      <c r="Y77" s="452"/>
      <c r="Z77" s="452"/>
      <c r="AA77" s="452"/>
      <c r="AB77" s="452"/>
      <c r="AC77" s="452"/>
      <c r="AD77" s="495"/>
      <c r="AE77" s="28"/>
      <c r="AF77" s="28"/>
      <c r="AG77" s="28"/>
      <c r="AH77" s="28"/>
      <c r="AI77" s="28"/>
      <c r="AJ77" s="28"/>
    </row>
    <row r="78" spans="1:36" ht="15" customHeight="1">
      <c r="B78" s="174" t="s">
        <v>757</v>
      </c>
      <c r="C78" s="452"/>
      <c r="D78" s="452"/>
      <c r="E78" s="452"/>
      <c r="F78" s="525"/>
      <c r="G78" s="525"/>
      <c r="H78" s="525"/>
      <c r="I78" s="525"/>
      <c r="J78" s="525"/>
      <c r="K78" s="525"/>
      <c r="L78" s="525"/>
      <c r="M78" s="525"/>
      <c r="N78" s="452"/>
      <c r="O78" s="452"/>
      <c r="P78" s="452"/>
      <c r="Q78" s="452"/>
      <c r="R78" s="452"/>
      <c r="S78" s="452"/>
      <c r="T78" s="452"/>
      <c r="U78" s="452"/>
      <c r="V78" s="452"/>
      <c r="W78" s="452"/>
      <c r="X78" s="452"/>
      <c r="Y78" s="452"/>
      <c r="Z78" s="452"/>
      <c r="AA78" s="452"/>
      <c r="AB78" s="452"/>
      <c r="AC78" s="452"/>
      <c r="AD78" s="495"/>
      <c r="AE78" s="28"/>
      <c r="AF78" s="28"/>
      <c r="AG78" s="28"/>
      <c r="AH78" s="28"/>
      <c r="AI78" s="28"/>
      <c r="AJ78" s="28"/>
    </row>
    <row r="79" spans="1:36" ht="18">
      <c r="B79" s="174"/>
      <c r="C79" s="452"/>
      <c r="D79" s="452"/>
      <c r="E79" s="452"/>
      <c r="F79" s="452"/>
      <c r="G79" s="452"/>
      <c r="H79" s="452"/>
      <c r="I79" s="452"/>
      <c r="J79" s="452"/>
      <c r="K79" s="452"/>
      <c r="L79" s="452"/>
      <c r="M79" s="452"/>
      <c r="N79" s="452"/>
      <c r="O79" s="452"/>
      <c r="P79" s="452"/>
      <c r="Q79" s="452"/>
      <c r="R79" s="452"/>
      <c r="S79" s="452"/>
      <c r="T79" s="452"/>
      <c r="U79" s="452"/>
      <c r="V79" s="452"/>
      <c r="W79" s="452"/>
      <c r="X79" s="452"/>
      <c r="Y79" s="452"/>
      <c r="Z79" s="452"/>
      <c r="AA79" s="452"/>
      <c r="AB79" s="452"/>
      <c r="AC79" s="525"/>
      <c r="AD79" s="494"/>
    </row>
    <row r="80" spans="1:36" ht="18">
      <c r="C80" s="452"/>
      <c r="D80" s="452"/>
      <c r="E80" s="452">
        <f>SUM('Asset quality'!D20:D46)+'Asset quality'!D16</f>
        <v>51319667488</v>
      </c>
      <c r="F80" s="452"/>
      <c r="G80" s="452">
        <f>SUM('Asset quality'!P20:P46)+'Asset quality'!P16</f>
        <v>511888974</v>
      </c>
      <c r="H80" s="452"/>
      <c r="I80" s="452">
        <f>SUM('Asset quality'!E20:E46)+'Asset quality'!E16</f>
        <v>11973504955</v>
      </c>
      <c r="J80" s="452"/>
      <c r="K80" s="452">
        <f>SUM('Asset quality'!Q20:Q46)+'Asset quality'!Q16</f>
        <v>1198877092</v>
      </c>
      <c r="L80" s="452"/>
      <c r="M80" s="452">
        <f>SUM('Asset quality'!F20:F46)+'Asset quality'!F16</f>
        <v>197951703</v>
      </c>
      <c r="N80" s="452"/>
      <c r="O80" s="452">
        <f>SUM('Asset quality'!R20:R46)+'Asset quality'!R16</f>
        <v>49906638</v>
      </c>
      <c r="P80" s="452"/>
      <c r="Q80" s="452">
        <f>SUM('Asset quality'!G20:G46)+'Asset quality'!G16</f>
        <v>515717513</v>
      </c>
      <c r="R80" s="452"/>
      <c r="S80" s="452">
        <f>SUM('Asset quality'!S20:S46)+'Asset quality'!S16</f>
        <v>258118383</v>
      </c>
      <c r="T80" s="452"/>
      <c r="U80" s="452">
        <f>SUM('Asset quality'!H20:H46)+'Asset quality'!H16</f>
        <v>928728174</v>
      </c>
      <c r="V80" s="452"/>
      <c r="W80" s="452">
        <f>SUM('Asset quality'!T20:T46)+'Asset quality'!T16</f>
        <v>928720297</v>
      </c>
      <c r="X80" s="452"/>
      <c r="Y80" s="452">
        <f>+W80+S80+O80+K80</f>
        <v>2435622410</v>
      </c>
      <c r="Z80" s="452"/>
      <c r="AA80" s="452"/>
      <c r="AB80" s="452"/>
      <c r="AC80" s="525"/>
      <c r="AD80" s="494"/>
    </row>
    <row r="81" spans="3:36" ht="18">
      <c r="C81" s="452"/>
      <c r="D81" s="452"/>
      <c r="E81" s="452"/>
      <c r="F81" s="452"/>
      <c r="G81" s="452">
        <f>+'Asset quality'!P9+'Asset quality'!P62</f>
        <v>719942207</v>
      </c>
      <c r="H81" s="452"/>
      <c r="I81" s="452"/>
      <c r="J81" s="452"/>
      <c r="K81" s="452">
        <f>+'Asset quality'!Q9+'Asset quality'!Q62</f>
        <v>1479381269</v>
      </c>
      <c r="L81" s="452"/>
      <c r="M81" s="452"/>
      <c r="N81" s="452"/>
      <c r="O81" s="452">
        <f>+'Asset quality'!R9+'Asset quality'!R62</f>
        <v>59992128</v>
      </c>
      <c r="P81" s="452"/>
      <c r="Q81" s="452"/>
      <c r="R81" s="452"/>
      <c r="S81" s="452">
        <f>+'Asset quality'!S9+'Asset quality'!S62</f>
        <v>333679520</v>
      </c>
      <c r="T81" s="452"/>
      <c r="U81" s="452"/>
      <c r="V81" s="452"/>
      <c r="W81" s="452">
        <f>+'Asset quality'!T9+'Asset quality'!T62</f>
        <v>1524578442</v>
      </c>
      <c r="X81" s="452"/>
      <c r="Y81" s="452">
        <f>+W81+S81+O81+K81</f>
        <v>3397631359</v>
      </c>
      <c r="Z81" s="452"/>
      <c r="AA81" s="452"/>
      <c r="AB81" s="452"/>
      <c r="AC81" s="525"/>
      <c r="AD81" s="494"/>
    </row>
    <row r="82" spans="3:36">
      <c r="E82" s="300">
        <f>+E80-E53</f>
        <v>0</v>
      </c>
      <c r="F82" s="300"/>
      <c r="G82" s="300">
        <f>+G80-G53</f>
        <v>0</v>
      </c>
      <c r="I82" s="300">
        <f>+I80-I53</f>
        <v>0</v>
      </c>
      <c r="K82" s="300">
        <f>+K80-K53</f>
        <v>0</v>
      </c>
      <c r="M82" s="300">
        <f>+M80-M53</f>
        <v>0</v>
      </c>
      <c r="O82" s="300">
        <f>+O80-O53</f>
        <v>0</v>
      </c>
      <c r="Q82" s="300">
        <f>+Q80-Q53</f>
        <v>0</v>
      </c>
      <c r="S82" s="300">
        <f>+S80-S53</f>
        <v>0</v>
      </c>
      <c r="U82" s="300">
        <f>+U80-U53</f>
        <v>0</v>
      </c>
      <c r="W82" s="300">
        <f>+W80-W53</f>
        <v>0</v>
      </c>
      <c r="Y82" s="300">
        <f>+Y80-Y53</f>
        <v>0</v>
      </c>
    </row>
    <row r="83" spans="3:36">
      <c r="E83" s="301"/>
      <c r="F83" s="300"/>
      <c r="G83" s="420">
        <f>+G81-G74</f>
        <v>0</v>
      </c>
      <c r="I83" s="300"/>
      <c r="K83" s="300">
        <f>+K81-K74</f>
        <v>0</v>
      </c>
      <c r="M83" s="300"/>
      <c r="O83" s="300">
        <f>+O81-O74</f>
        <v>0</v>
      </c>
      <c r="Q83" s="300"/>
      <c r="S83" s="300">
        <f>+S81-S74</f>
        <v>0</v>
      </c>
      <c r="U83" s="300"/>
      <c r="W83" s="300">
        <f>+W81-W74</f>
        <v>0</v>
      </c>
      <c r="Y83" s="300">
        <f>+Y81-Y74</f>
        <v>0</v>
      </c>
    </row>
    <row r="84" spans="3:36">
      <c r="AC84" s="28"/>
      <c r="AD84" s="28"/>
      <c r="AE84" s="28"/>
      <c r="AF84" s="28"/>
      <c r="AG84" s="28"/>
      <c r="AH84" s="28"/>
      <c r="AI84" s="28"/>
      <c r="AJ84" s="28"/>
    </row>
    <row r="87" spans="3:36" ht="79.5" customHeight="1"/>
  </sheetData>
  <sheetProtection password="CACA" sheet="1" objects="1" scenarios="1"/>
  <mergeCells count="1">
    <mergeCell ref="U3:V3"/>
  </mergeCells>
  <phoneticPr fontId="16" type="noConversion"/>
  <conditionalFormatting sqref="C7">
    <cfRule type="cellIs" dxfId="238" priority="40" operator="notEqual">
      <formula>AC7</formula>
    </cfRule>
  </conditionalFormatting>
  <conditionalFormatting sqref="C9">
    <cfRule type="cellIs" dxfId="237" priority="38" operator="notEqual">
      <formula>AC9</formula>
    </cfRule>
  </conditionalFormatting>
  <conditionalFormatting sqref="C11">
    <cfRule type="cellIs" dxfId="236" priority="36" operator="notEqual">
      <formula>AC11</formula>
    </cfRule>
  </conditionalFormatting>
  <conditionalFormatting sqref="C13">
    <cfRule type="cellIs" dxfId="235" priority="34" operator="notEqual">
      <formula>AC13</formula>
    </cfRule>
  </conditionalFormatting>
  <conditionalFormatting sqref="C15">
    <cfRule type="cellIs" dxfId="234" priority="32" operator="notEqual">
      <formula>AC15</formula>
    </cfRule>
  </conditionalFormatting>
  <conditionalFormatting sqref="C17">
    <cfRule type="cellIs" dxfId="233" priority="30" operator="notEqual">
      <formula>AC17</formula>
    </cfRule>
  </conditionalFormatting>
  <conditionalFormatting sqref="C19">
    <cfRule type="cellIs" dxfId="232" priority="28" operator="notEqual">
      <formula>AC19</formula>
    </cfRule>
  </conditionalFormatting>
  <conditionalFormatting sqref="C21">
    <cfRule type="cellIs" dxfId="231" priority="26" operator="notEqual">
      <formula>AC21</formula>
    </cfRule>
  </conditionalFormatting>
  <conditionalFormatting sqref="C23">
    <cfRule type="cellIs" dxfId="230" priority="24" operator="notEqual">
      <formula>AC23</formula>
    </cfRule>
  </conditionalFormatting>
  <conditionalFormatting sqref="C25">
    <cfRule type="cellIs" dxfId="229" priority="22" operator="notEqual">
      <formula>AC25</formula>
    </cfRule>
  </conditionalFormatting>
  <conditionalFormatting sqref="C27">
    <cfRule type="cellIs" dxfId="228" priority="20" operator="notEqual">
      <formula>AC27</formula>
    </cfRule>
  </conditionalFormatting>
  <conditionalFormatting sqref="C29">
    <cfRule type="cellIs" dxfId="227" priority="18" operator="notEqual">
      <formula>AC29</formula>
    </cfRule>
  </conditionalFormatting>
  <conditionalFormatting sqref="C31">
    <cfRule type="cellIs" dxfId="226" priority="43" operator="notEqual">
      <formula>AC31</formula>
    </cfRule>
  </conditionalFormatting>
  <conditionalFormatting sqref="C35">
    <cfRule type="cellIs" dxfId="225" priority="16" operator="notEqual">
      <formula>AC35</formula>
    </cfRule>
  </conditionalFormatting>
  <conditionalFormatting sqref="C37 C39 C41 C43 C45 C47 C49 C51">
    <cfRule type="cellIs" dxfId="224" priority="14" operator="notEqual">
      <formula>AC37</formula>
    </cfRule>
  </conditionalFormatting>
  <conditionalFormatting sqref="C53">
    <cfRule type="cellIs" dxfId="223" priority="42" operator="notEqual">
      <formula>AC53</formula>
    </cfRule>
  </conditionalFormatting>
  <conditionalFormatting sqref="C71">
    <cfRule type="cellIs" dxfId="222" priority="41" operator="notEqual">
      <formula>AC71</formula>
    </cfRule>
  </conditionalFormatting>
  <conditionalFormatting sqref="D31">
    <cfRule type="cellIs" dxfId="221" priority="218" operator="notEqual">
      <formula>$D$53</formula>
    </cfRule>
  </conditionalFormatting>
  <conditionalFormatting sqref="D32">
    <cfRule type="cellIs" dxfId="220" priority="191" operator="notEqual">
      <formula>$D$54</formula>
    </cfRule>
  </conditionalFormatting>
  <conditionalFormatting sqref="D53">
    <cfRule type="cellIs" dxfId="219" priority="622" operator="notEqual">
      <formula>$D$71</formula>
    </cfRule>
  </conditionalFormatting>
  <conditionalFormatting sqref="E31">
    <cfRule type="cellIs" dxfId="218" priority="217" operator="notEqual">
      <formula>$E$53</formula>
    </cfRule>
  </conditionalFormatting>
  <conditionalFormatting sqref="E32">
    <cfRule type="cellIs" dxfId="217" priority="163" operator="notEqual">
      <formula>$E$54</formula>
    </cfRule>
  </conditionalFormatting>
  <conditionalFormatting sqref="E51">
    <cfRule type="cellIs" dxfId="216" priority="13" operator="notEqual">
      <formula>E13</formula>
    </cfRule>
  </conditionalFormatting>
  <conditionalFormatting sqref="E53">
    <cfRule type="cellIs" dxfId="215" priority="618" operator="notEqual">
      <formula>$E$71</formula>
    </cfRule>
  </conditionalFormatting>
  <conditionalFormatting sqref="E71">
    <cfRule type="cellIs" dxfId="214" priority="75" operator="notEqual">
      <formula>$E$80</formula>
    </cfRule>
    <cfRule type="cellIs" dxfId="213" priority="112" operator="notEqual">
      <formula>$E$31</formula>
    </cfRule>
  </conditionalFormatting>
  <conditionalFormatting sqref="F31">
    <cfRule type="cellIs" dxfId="212" priority="216" operator="notEqual">
      <formula>$F$53</formula>
    </cfRule>
  </conditionalFormatting>
  <conditionalFormatting sqref="F32">
    <cfRule type="cellIs" dxfId="211" priority="162" operator="notEqual">
      <formula>$F$54</formula>
    </cfRule>
  </conditionalFormatting>
  <conditionalFormatting sqref="F53">
    <cfRule type="cellIs" dxfId="210" priority="623" operator="notEqual">
      <formula>$F$71</formula>
    </cfRule>
  </conditionalFormatting>
  <conditionalFormatting sqref="G31">
    <cfRule type="cellIs" dxfId="209" priority="215" operator="notEqual">
      <formula>$G$53</formula>
    </cfRule>
  </conditionalFormatting>
  <conditionalFormatting sqref="G32">
    <cfRule type="cellIs" dxfId="208" priority="161" operator="notEqual">
      <formula>$G$54</formula>
    </cfRule>
  </conditionalFormatting>
  <conditionalFormatting sqref="G51">
    <cfRule type="cellIs" dxfId="207" priority="12" operator="notEqual">
      <formula>G13</formula>
    </cfRule>
  </conditionalFormatting>
  <conditionalFormatting sqref="G53">
    <cfRule type="cellIs" dxfId="206" priority="612" operator="notEqual">
      <formula>$G$71</formula>
    </cfRule>
  </conditionalFormatting>
  <conditionalFormatting sqref="G71">
    <cfRule type="cellIs" dxfId="205" priority="118" operator="notEqual">
      <formula>$G$31</formula>
    </cfRule>
    <cfRule type="cellIs" dxfId="204" priority="85" operator="notEqual">
      <formula>$G$80</formula>
    </cfRule>
  </conditionalFormatting>
  <conditionalFormatting sqref="G74">
    <cfRule type="cellIs" dxfId="203" priority="156" operator="notEqual">
      <formula>$G$81</formula>
    </cfRule>
    <cfRule type="cellIs" dxfId="202" priority="91" operator="notEqual">
      <formula>$G$81</formula>
    </cfRule>
  </conditionalFormatting>
  <conditionalFormatting sqref="H31">
    <cfRule type="cellIs" dxfId="201" priority="214" operator="notEqual">
      <formula>$H$53</formula>
    </cfRule>
  </conditionalFormatting>
  <conditionalFormatting sqref="H32">
    <cfRule type="cellIs" dxfId="200" priority="159" operator="notEqual">
      <formula>$H$50</formula>
    </cfRule>
  </conditionalFormatting>
  <conditionalFormatting sqref="H53">
    <cfRule type="cellIs" dxfId="199" priority="107" operator="notEqual">
      <formula>H71</formula>
    </cfRule>
  </conditionalFormatting>
  <conditionalFormatting sqref="I31">
    <cfRule type="cellIs" dxfId="198" priority="213" operator="notEqual">
      <formula>$I$53</formula>
    </cfRule>
  </conditionalFormatting>
  <conditionalFormatting sqref="I32">
    <cfRule type="cellIs" dxfId="197" priority="181" operator="notEqual">
      <formula>$I$54</formula>
    </cfRule>
  </conditionalFormatting>
  <conditionalFormatting sqref="I51">
    <cfRule type="cellIs" dxfId="196" priority="11" operator="notEqual">
      <formula>I13</formula>
    </cfRule>
  </conditionalFormatting>
  <conditionalFormatting sqref="I53">
    <cfRule type="cellIs" dxfId="195" priority="624" operator="notEqual">
      <formula>$I$71</formula>
    </cfRule>
  </conditionalFormatting>
  <conditionalFormatting sqref="I71">
    <cfRule type="cellIs" dxfId="194" priority="84" operator="notEqual">
      <formula>$I$80</formula>
    </cfRule>
  </conditionalFormatting>
  <conditionalFormatting sqref="J31">
    <cfRule type="cellIs" dxfId="193" priority="211" operator="notEqual">
      <formula>$J$53</formula>
    </cfRule>
  </conditionalFormatting>
  <conditionalFormatting sqref="J32">
    <cfRule type="cellIs" dxfId="192" priority="180" operator="notEqual">
      <formula>$J$54</formula>
    </cfRule>
  </conditionalFormatting>
  <conditionalFormatting sqref="J53">
    <cfRule type="cellIs" dxfId="191" priority="625" operator="notEqual">
      <formula>$J$71</formula>
    </cfRule>
  </conditionalFormatting>
  <conditionalFormatting sqref="J71">
    <cfRule type="cellIs" dxfId="190" priority="106" operator="notEqual">
      <formula>$J$31</formula>
    </cfRule>
  </conditionalFormatting>
  <conditionalFormatting sqref="K31">
    <cfRule type="cellIs" dxfId="189" priority="210" operator="notEqual">
      <formula>$K$53</formula>
    </cfRule>
  </conditionalFormatting>
  <conditionalFormatting sqref="K32">
    <cfRule type="cellIs" dxfId="188" priority="179" operator="notEqual">
      <formula>$K$54</formula>
    </cfRule>
  </conditionalFormatting>
  <conditionalFormatting sqref="K51">
    <cfRule type="cellIs" dxfId="187" priority="10" operator="notEqual">
      <formula>K13</formula>
    </cfRule>
  </conditionalFormatting>
  <conditionalFormatting sqref="K53">
    <cfRule type="cellIs" dxfId="186" priority="613" operator="notEqual">
      <formula>$K$71</formula>
    </cfRule>
  </conditionalFormatting>
  <conditionalFormatting sqref="K71">
    <cfRule type="cellIs" dxfId="185" priority="117" operator="notEqual">
      <formula>$K$31</formula>
    </cfRule>
    <cfRule type="cellIs" dxfId="184" priority="83" operator="notEqual">
      <formula>$K$80</formula>
    </cfRule>
  </conditionalFormatting>
  <conditionalFormatting sqref="K74">
    <cfRule type="cellIs" dxfId="183" priority="90" operator="notEqual">
      <formula>$K$81</formula>
    </cfRule>
    <cfRule type="cellIs" dxfId="182" priority="154" operator="notEqual">
      <formula>$K$81</formula>
    </cfRule>
  </conditionalFormatting>
  <conditionalFormatting sqref="L31">
    <cfRule type="cellIs" dxfId="181" priority="209" operator="notEqual">
      <formula>$L$53</formula>
    </cfRule>
  </conditionalFormatting>
  <conditionalFormatting sqref="L32">
    <cfRule type="cellIs" dxfId="180" priority="178" operator="notEqual">
      <formula>$L$54</formula>
    </cfRule>
  </conditionalFormatting>
  <conditionalFormatting sqref="L53">
    <cfRule type="cellIs" dxfId="179" priority="626" operator="notEqual">
      <formula>$L$71</formula>
    </cfRule>
  </conditionalFormatting>
  <conditionalFormatting sqref="M31">
    <cfRule type="cellIs" dxfId="178" priority="207" operator="notEqual">
      <formula>$M$53</formula>
    </cfRule>
  </conditionalFormatting>
  <conditionalFormatting sqref="M32">
    <cfRule type="cellIs" dxfId="177" priority="177" operator="notEqual">
      <formula>$M$54</formula>
    </cfRule>
  </conditionalFormatting>
  <conditionalFormatting sqref="M51">
    <cfRule type="cellIs" dxfId="176" priority="9" operator="notEqual">
      <formula>M13</formula>
    </cfRule>
  </conditionalFormatting>
  <conditionalFormatting sqref="M53">
    <cfRule type="cellIs" dxfId="175" priority="619" operator="notEqual">
      <formula>$M$71</formula>
    </cfRule>
  </conditionalFormatting>
  <conditionalFormatting sqref="M71">
    <cfRule type="cellIs" dxfId="174" priority="110" operator="notEqual">
      <formula>$M$31</formula>
    </cfRule>
    <cfRule type="cellIs" dxfId="173" priority="82" operator="notEqual">
      <formula>$M$80</formula>
    </cfRule>
  </conditionalFormatting>
  <conditionalFormatting sqref="N31">
    <cfRule type="cellIs" dxfId="172" priority="206" operator="notEqual">
      <formula>$N$53</formula>
    </cfRule>
  </conditionalFormatting>
  <conditionalFormatting sqref="N32">
    <cfRule type="cellIs" dxfId="171" priority="176" operator="notEqual">
      <formula>$N$54</formula>
    </cfRule>
  </conditionalFormatting>
  <conditionalFormatting sqref="N53">
    <cfRule type="cellIs" dxfId="170" priority="627" operator="notEqual">
      <formula>$N$71</formula>
    </cfRule>
  </conditionalFormatting>
  <conditionalFormatting sqref="O31">
    <cfRule type="cellIs" dxfId="169" priority="205" operator="notEqual">
      <formula>$O$53</formula>
    </cfRule>
  </conditionalFormatting>
  <conditionalFormatting sqref="O32">
    <cfRule type="cellIs" dxfId="168" priority="175" operator="notEqual">
      <formula>$O$54</formula>
    </cfRule>
  </conditionalFormatting>
  <conditionalFormatting sqref="O51">
    <cfRule type="cellIs" dxfId="167" priority="8" operator="notEqual">
      <formula>O13</formula>
    </cfRule>
  </conditionalFormatting>
  <conditionalFormatting sqref="O53">
    <cfRule type="cellIs" dxfId="166" priority="617" operator="notEqual">
      <formula>$O$71</formula>
    </cfRule>
  </conditionalFormatting>
  <conditionalFormatting sqref="O71">
    <cfRule type="cellIs" dxfId="165" priority="81" operator="notEqual">
      <formula>$O$80</formula>
    </cfRule>
    <cfRule type="cellIs" dxfId="164" priority="113" operator="notEqual">
      <formula>$O$31</formula>
    </cfRule>
  </conditionalFormatting>
  <conditionalFormatting sqref="O74">
    <cfRule type="cellIs" dxfId="163" priority="89" operator="notEqual">
      <formula>$O$81</formula>
    </cfRule>
    <cfRule type="cellIs" dxfId="162" priority="143" operator="notEqual">
      <formula>$O$81</formula>
    </cfRule>
  </conditionalFormatting>
  <conditionalFormatting sqref="P31">
    <cfRule type="cellIs" dxfId="161" priority="204" operator="notEqual">
      <formula>$P$53</formula>
    </cfRule>
  </conditionalFormatting>
  <conditionalFormatting sqref="P32">
    <cfRule type="cellIs" dxfId="160" priority="174" operator="notEqual">
      <formula>$P$54</formula>
    </cfRule>
  </conditionalFormatting>
  <conditionalFormatting sqref="P53">
    <cfRule type="cellIs" dxfId="159" priority="628" operator="notEqual">
      <formula>$P$71</formula>
    </cfRule>
  </conditionalFormatting>
  <conditionalFormatting sqref="Q31">
    <cfRule type="cellIs" dxfId="158" priority="202" operator="notEqual">
      <formula>$Q$53</formula>
    </cfRule>
  </conditionalFormatting>
  <conditionalFormatting sqref="Q32">
    <cfRule type="cellIs" dxfId="157" priority="173" operator="notEqual">
      <formula>$Q$54</formula>
    </cfRule>
  </conditionalFormatting>
  <conditionalFormatting sqref="Q51">
    <cfRule type="cellIs" dxfId="156" priority="7" operator="notEqual">
      <formula>Q13</formula>
    </cfRule>
  </conditionalFormatting>
  <conditionalFormatting sqref="Q53">
    <cfRule type="cellIs" dxfId="155" priority="620" operator="notEqual">
      <formula>$Q$71</formula>
    </cfRule>
  </conditionalFormatting>
  <conditionalFormatting sqref="Q71">
    <cfRule type="cellIs" dxfId="154" priority="109" operator="notEqual">
      <formula>$Q$31</formula>
    </cfRule>
    <cfRule type="cellIs" dxfId="153" priority="80" operator="notEqual">
      <formula>$Q$80</formula>
    </cfRule>
  </conditionalFormatting>
  <conditionalFormatting sqref="R31">
    <cfRule type="cellIs" dxfId="152" priority="201" operator="notEqual">
      <formula>$R$53</formula>
    </cfRule>
  </conditionalFormatting>
  <conditionalFormatting sqref="R32">
    <cfRule type="cellIs" dxfId="151" priority="172" operator="notEqual">
      <formula>$R$54</formula>
    </cfRule>
  </conditionalFormatting>
  <conditionalFormatting sqref="R53">
    <cfRule type="cellIs" dxfId="150" priority="629" operator="notEqual">
      <formula>$R$71</formula>
    </cfRule>
  </conditionalFormatting>
  <conditionalFormatting sqref="S31">
    <cfRule type="cellIs" dxfId="149" priority="200" operator="notEqual">
      <formula>$S$53</formula>
    </cfRule>
  </conditionalFormatting>
  <conditionalFormatting sqref="S32">
    <cfRule type="cellIs" dxfId="148" priority="171" operator="notEqual">
      <formula>$S$54</formula>
    </cfRule>
  </conditionalFormatting>
  <conditionalFormatting sqref="S51">
    <cfRule type="cellIs" dxfId="147" priority="6" operator="notEqual">
      <formula>S13</formula>
    </cfRule>
  </conditionalFormatting>
  <conditionalFormatting sqref="S53">
    <cfRule type="cellIs" dxfId="146" priority="614" operator="notEqual">
      <formula>$S$71</formula>
    </cfRule>
  </conditionalFormatting>
  <conditionalFormatting sqref="S71">
    <cfRule type="cellIs" dxfId="145" priority="79" operator="notEqual">
      <formula>$S$80</formula>
    </cfRule>
    <cfRule type="cellIs" dxfId="144" priority="116" operator="notEqual">
      <formula>$S$31</formula>
    </cfRule>
  </conditionalFormatting>
  <conditionalFormatting sqref="S74">
    <cfRule type="cellIs" dxfId="143" priority="150" operator="notEqual">
      <formula>$S$81</formula>
    </cfRule>
    <cfRule type="cellIs" dxfId="142" priority="88" operator="notEqual">
      <formula>$S$81</formula>
    </cfRule>
  </conditionalFormatting>
  <conditionalFormatting sqref="T31">
    <cfRule type="cellIs" dxfId="141" priority="199" operator="notEqual">
      <formula>$T$53</formula>
    </cfRule>
  </conditionalFormatting>
  <conditionalFormatting sqref="T32">
    <cfRule type="cellIs" dxfId="140" priority="170" operator="notEqual">
      <formula>$T$54</formula>
    </cfRule>
  </conditionalFormatting>
  <conditionalFormatting sqref="T53">
    <cfRule type="cellIs" dxfId="139" priority="630" operator="notEqual">
      <formula>$T$71</formula>
    </cfRule>
  </conditionalFormatting>
  <conditionalFormatting sqref="U31">
    <cfRule type="cellIs" dxfId="138" priority="198" operator="notEqual">
      <formula>$U$53</formula>
    </cfRule>
  </conditionalFormatting>
  <conditionalFormatting sqref="U32">
    <cfRule type="cellIs" dxfId="137" priority="169" operator="notEqual">
      <formula>$U$54</formula>
    </cfRule>
  </conditionalFormatting>
  <conditionalFormatting sqref="U51">
    <cfRule type="cellIs" dxfId="136" priority="5" operator="notEqual">
      <formula>U13</formula>
    </cfRule>
  </conditionalFormatting>
  <conditionalFormatting sqref="U53">
    <cfRule type="cellIs" dxfId="135" priority="621" operator="notEqual">
      <formula>$U$71</formula>
    </cfRule>
  </conditionalFormatting>
  <conditionalFormatting sqref="U71">
    <cfRule type="cellIs" dxfId="134" priority="108" operator="notEqual">
      <formula>$U$31</formula>
    </cfRule>
    <cfRule type="cellIs" dxfId="133" priority="78" operator="notEqual">
      <formula>$U$80</formula>
    </cfRule>
  </conditionalFormatting>
  <conditionalFormatting sqref="V31">
    <cfRule type="cellIs" dxfId="132" priority="197" operator="notEqual">
      <formula>$V$53</formula>
    </cfRule>
  </conditionalFormatting>
  <conditionalFormatting sqref="V32">
    <cfRule type="cellIs" dxfId="131" priority="168" operator="notEqual">
      <formula>$V$54</formula>
    </cfRule>
  </conditionalFormatting>
  <conditionalFormatting sqref="V53">
    <cfRule type="cellIs" dxfId="130" priority="631" operator="notEqual">
      <formula>$V$71</formula>
    </cfRule>
  </conditionalFormatting>
  <conditionalFormatting sqref="W31">
    <cfRule type="cellIs" dxfId="129" priority="196" operator="notEqual">
      <formula>$W$53</formula>
    </cfRule>
  </conditionalFormatting>
  <conditionalFormatting sqref="W32">
    <cfRule type="cellIs" dxfId="128" priority="167" operator="notEqual">
      <formula>$W$54</formula>
    </cfRule>
  </conditionalFormatting>
  <conditionalFormatting sqref="W51">
    <cfRule type="cellIs" dxfId="127" priority="4" operator="notEqual">
      <formula>W13</formula>
    </cfRule>
  </conditionalFormatting>
  <conditionalFormatting sqref="W53">
    <cfRule type="cellIs" dxfId="126" priority="615" operator="notEqual">
      <formula>$W$71</formula>
    </cfRule>
  </conditionalFormatting>
  <conditionalFormatting sqref="W71">
    <cfRule type="cellIs" dxfId="125" priority="115" operator="notEqual">
      <formula>$W$31</formula>
    </cfRule>
    <cfRule type="cellIs" dxfId="124" priority="77" operator="notEqual">
      <formula>$W$80</formula>
    </cfRule>
  </conditionalFormatting>
  <conditionalFormatting sqref="W74">
    <cfRule type="cellIs" dxfId="123" priority="87" operator="notEqual">
      <formula>$W$81</formula>
    </cfRule>
    <cfRule type="cellIs" dxfId="122" priority="148" operator="notEqual">
      <formula>$W$81</formula>
    </cfRule>
  </conditionalFormatting>
  <conditionalFormatting sqref="X31">
    <cfRule type="cellIs" dxfId="121" priority="195" operator="notEqual">
      <formula>$X$53</formula>
    </cfRule>
  </conditionalFormatting>
  <conditionalFormatting sqref="X32">
    <cfRule type="cellIs" dxfId="120" priority="166" operator="notEqual">
      <formula>$X$54</formula>
    </cfRule>
  </conditionalFormatting>
  <conditionalFormatting sqref="X53">
    <cfRule type="cellIs" dxfId="119" priority="632" operator="notEqual">
      <formula>$X$71</formula>
    </cfRule>
  </conditionalFormatting>
  <conditionalFormatting sqref="Y31">
    <cfRule type="cellIs" dxfId="118" priority="194" operator="notEqual">
      <formula>$Y$53</formula>
    </cfRule>
  </conditionalFormatting>
  <conditionalFormatting sqref="Y32">
    <cfRule type="cellIs" dxfId="117" priority="165" operator="notEqual">
      <formula>$Y$54</formula>
    </cfRule>
  </conditionalFormatting>
  <conditionalFormatting sqref="Y53">
    <cfRule type="cellIs" dxfId="116" priority="616" operator="notEqual">
      <formula>$Y$71</formula>
    </cfRule>
  </conditionalFormatting>
  <conditionalFormatting sqref="Y71">
    <cfRule type="cellIs" dxfId="115" priority="114" operator="notEqual">
      <formula>$Y$31</formula>
    </cfRule>
    <cfRule type="cellIs" dxfId="114" priority="76" operator="notEqual">
      <formula>$Y$80</formula>
    </cfRule>
  </conditionalFormatting>
  <conditionalFormatting sqref="Y74">
    <cfRule type="cellIs" dxfId="113" priority="86" operator="notEqual">
      <formula>$Y$81</formula>
    </cfRule>
    <cfRule type="cellIs" dxfId="112" priority="145" operator="notEqual">
      <formula>$Y$81</formula>
    </cfRule>
  </conditionalFormatting>
  <conditionalFormatting sqref="Y51:Z51">
    <cfRule type="cellIs" dxfId="111" priority="2" operator="notEqual">
      <formula>Y13</formula>
    </cfRule>
  </conditionalFormatting>
  <conditionalFormatting sqref="Z53">
    <cfRule type="cellIs" dxfId="110" priority="52" operator="notEqual">
      <formula>$Z$71</formula>
    </cfRule>
  </conditionalFormatting>
  <conditionalFormatting sqref="Z32:AB32">
    <cfRule type="cellIs" dxfId="109" priority="164" operator="notEqual">
      <formula>$Z$54</formula>
    </cfRule>
  </conditionalFormatting>
  <conditionalFormatting sqref="AA31">
    <cfRule type="cellIs" dxfId="108" priority="53" operator="notEqual">
      <formula>$AA$53</formula>
    </cfRule>
  </conditionalFormatting>
  <conditionalFormatting sqref="AA53">
    <cfRule type="cellIs" dxfId="107" priority="51" operator="notEqual">
      <formula>$AA$71</formula>
    </cfRule>
  </conditionalFormatting>
  <conditionalFormatting sqref="AB31">
    <cfRule type="cellIs" dxfId="106" priority="50" operator="notEqual">
      <formula>$AB$53</formula>
    </cfRule>
  </conditionalFormatting>
  <conditionalFormatting sqref="AB51">
    <cfRule type="cellIs" dxfId="105" priority="1" operator="notEqual">
      <formula>AB13</formula>
    </cfRule>
  </conditionalFormatting>
  <conditionalFormatting sqref="AB53">
    <cfRule type="cellIs" dxfId="104" priority="633" operator="notEqual">
      <formula>$AB$71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29" orientation="landscape" r:id="rId1"/>
  <headerFooter alignWithMargins="0"/>
  <ignoredErrors>
    <ignoredError sqref="C71:AC71 C74:AC77 C72:D72 Y72:Z72 AC72 C73:L73 AC73 O73:Z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pageSetUpPr fitToPage="1"/>
  </sheetPr>
  <dimension ref="A1:BC94"/>
  <sheetViews>
    <sheetView view="pageBreakPreview" zoomScale="85" zoomScaleNormal="62" zoomScaleSheetLayoutView="85" workbookViewId="0">
      <pane xSplit="2" ySplit="6" topLeftCell="AI58" activePane="bottomRight" state="frozen"/>
      <selection activeCell="J79" sqref="J79"/>
      <selection pane="topRight" activeCell="J79" sqref="J79"/>
      <selection pane="bottomLeft" activeCell="J79" sqref="J79"/>
      <selection pane="bottomRight" activeCell="J65" sqref="J65"/>
    </sheetView>
  </sheetViews>
  <sheetFormatPr defaultColWidth="9.42578125" defaultRowHeight="12.75"/>
  <cols>
    <col min="1" max="1" width="5" style="28" customWidth="1"/>
    <col min="2" max="2" width="47.42578125" style="28" customWidth="1"/>
    <col min="3" max="3" width="17.28515625" style="28" customWidth="1"/>
    <col min="4" max="4" width="16.85546875" style="28" customWidth="1"/>
    <col min="5" max="6" width="18.28515625" style="28" customWidth="1"/>
    <col min="7" max="8" width="15.42578125" style="28" customWidth="1"/>
    <col min="9" max="9" width="12.28515625" style="28" customWidth="1"/>
    <col min="10" max="11" width="18.28515625" style="28" customWidth="1"/>
    <col min="12" max="13" width="15.42578125" style="28" customWidth="1"/>
    <col min="14" max="14" width="13.28515625" style="28" customWidth="1"/>
    <col min="15" max="16" width="15.42578125" style="28" customWidth="1"/>
    <col min="17" max="17" width="14.28515625" style="28" customWidth="1"/>
    <col min="18" max="19" width="18.28515625" style="28" customWidth="1"/>
    <col min="20" max="21" width="15.42578125" style="28" customWidth="1"/>
    <col min="22" max="22" width="13.7109375" style="28" customWidth="1"/>
    <col min="23" max="24" width="15.42578125" style="28" customWidth="1"/>
    <col min="25" max="25" width="12.7109375" style="28" customWidth="1"/>
    <col min="26" max="27" width="18.28515625" style="28" customWidth="1"/>
    <col min="28" max="29" width="15.42578125" style="28" customWidth="1"/>
    <col min="30" max="30" width="13.7109375" style="28" customWidth="1"/>
    <col min="31" max="32" width="15.42578125" style="28" customWidth="1"/>
    <col min="33" max="33" width="13.7109375" style="28" customWidth="1"/>
    <col min="34" max="35" width="18.28515625" style="28" customWidth="1"/>
    <col min="36" max="37" width="15.42578125" style="28" customWidth="1"/>
    <col min="38" max="38" width="13.7109375" style="28" customWidth="1"/>
    <col min="39" max="40" width="15.42578125" style="28" customWidth="1"/>
    <col min="41" max="41" width="14.42578125" style="28" customWidth="1"/>
    <col min="42" max="43" width="15.42578125" style="28" customWidth="1"/>
    <col min="44" max="44" width="17.140625" style="28" customWidth="1"/>
    <col min="45" max="46" width="15.42578125" style="28" customWidth="1"/>
    <col min="47" max="47" width="14.42578125" style="28" customWidth="1"/>
    <col min="48" max="48" width="15.5703125" style="157" customWidth="1"/>
    <col min="49" max="49" width="14.7109375" style="157" customWidth="1"/>
    <col min="50" max="55" width="9.42578125" style="157"/>
    <col min="56" max="16384" width="9.42578125" style="28"/>
  </cols>
  <sheetData>
    <row r="1" spans="1:55" ht="21" customHeight="1">
      <c r="A1" s="291" t="s">
        <v>779</v>
      </c>
      <c r="B1" s="198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K1" s="193"/>
      <c r="AL1" s="193"/>
      <c r="AM1" s="193"/>
      <c r="AN1" s="193"/>
      <c r="AO1" s="193"/>
      <c r="AP1" s="193"/>
      <c r="AQ1" s="193"/>
      <c r="AR1" s="193"/>
      <c r="AS1" s="292"/>
      <c r="AT1" s="292" t="s">
        <v>771</v>
      </c>
      <c r="AU1" s="292"/>
    </row>
    <row r="2" spans="1:55" ht="12.75" customHeight="1">
      <c r="A2" s="291"/>
      <c r="B2" s="198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K2" s="193"/>
      <c r="AL2" s="193"/>
      <c r="AM2" s="193"/>
      <c r="AN2" s="193"/>
      <c r="AO2" s="193"/>
      <c r="AP2" s="193"/>
      <c r="AQ2" s="193"/>
      <c r="AR2" s="193"/>
      <c r="AS2" s="292"/>
      <c r="AT2" s="292"/>
      <c r="AU2" s="292"/>
    </row>
    <row r="3" spans="1:55" ht="15.75">
      <c r="A3" s="196"/>
      <c r="B3" s="80" t="str">
        <f>+'Asset quality'!B3</f>
        <v>"Ўзсаноатқурилишбанк" АТБ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681">
        <f>+'Asset quality'!Q3</f>
        <v>46021</v>
      </c>
      <c r="AI3" s="681"/>
      <c r="AJ3" s="79"/>
      <c r="AK3" s="196"/>
      <c r="AL3" s="196"/>
      <c r="AM3" s="196"/>
      <c r="AN3" s="196"/>
      <c r="AO3" s="196"/>
      <c r="AP3" s="196"/>
      <c r="AQ3" s="196"/>
      <c r="AR3" s="196"/>
      <c r="AT3" s="293"/>
      <c r="AU3" s="293" t="str">
        <f>+'Asset quality'!T3</f>
        <v>минг. сўмда</v>
      </c>
    </row>
    <row r="4" spans="1:55" ht="51" customHeight="1">
      <c r="A4" s="682" t="s">
        <v>61</v>
      </c>
      <c r="B4" s="684" t="s">
        <v>282</v>
      </c>
      <c r="C4" s="686" t="s">
        <v>622</v>
      </c>
      <c r="D4" s="686" t="s">
        <v>623</v>
      </c>
      <c r="E4" s="686" t="s">
        <v>624</v>
      </c>
      <c r="F4" s="686" t="s">
        <v>623</v>
      </c>
      <c r="G4" s="688" t="s">
        <v>764</v>
      </c>
      <c r="H4" s="689"/>
      <c r="I4" s="689"/>
      <c r="J4" s="686" t="s">
        <v>625</v>
      </c>
      <c r="K4" s="686" t="s">
        <v>623</v>
      </c>
      <c r="L4" s="688" t="s">
        <v>765</v>
      </c>
      <c r="M4" s="689"/>
      <c r="N4" s="689"/>
      <c r="O4" s="688" t="s">
        <v>623</v>
      </c>
      <c r="P4" s="689"/>
      <c r="Q4" s="689"/>
      <c r="R4" s="686" t="s">
        <v>627</v>
      </c>
      <c r="S4" s="686" t="s">
        <v>623</v>
      </c>
      <c r="T4" s="688" t="s">
        <v>766</v>
      </c>
      <c r="U4" s="689"/>
      <c r="V4" s="689"/>
      <c r="W4" s="688" t="s">
        <v>623</v>
      </c>
      <c r="X4" s="689"/>
      <c r="Y4" s="689"/>
      <c r="Z4" s="686" t="s">
        <v>629</v>
      </c>
      <c r="AA4" s="686" t="s">
        <v>623</v>
      </c>
      <c r="AB4" s="688" t="s">
        <v>767</v>
      </c>
      <c r="AC4" s="689"/>
      <c r="AD4" s="689"/>
      <c r="AE4" s="688" t="s">
        <v>623</v>
      </c>
      <c r="AF4" s="689"/>
      <c r="AG4" s="689"/>
      <c r="AH4" s="686" t="s">
        <v>631</v>
      </c>
      <c r="AI4" s="686" t="s">
        <v>623</v>
      </c>
      <c r="AJ4" s="688" t="s">
        <v>768</v>
      </c>
      <c r="AK4" s="689"/>
      <c r="AL4" s="689"/>
      <c r="AM4" s="688" t="s">
        <v>623</v>
      </c>
      <c r="AN4" s="689"/>
      <c r="AO4" s="689"/>
      <c r="AP4" s="688" t="s">
        <v>633</v>
      </c>
      <c r="AQ4" s="689"/>
      <c r="AR4" s="689"/>
      <c r="AS4" s="688" t="s">
        <v>623</v>
      </c>
      <c r="AT4" s="689"/>
      <c r="AU4" s="689"/>
    </row>
    <row r="5" spans="1:55" ht="51" customHeight="1">
      <c r="A5" s="683"/>
      <c r="B5" s="685"/>
      <c r="C5" s="687"/>
      <c r="D5" s="687"/>
      <c r="E5" s="687"/>
      <c r="F5" s="687"/>
      <c r="G5" s="14" t="s">
        <v>769</v>
      </c>
      <c r="H5" s="14" t="s">
        <v>770</v>
      </c>
      <c r="I5" s="14" t="s">
        <v>460</v>
      </c>
      <c r="J5" s="687"/>
      <c r="K5" s="687"/>
      <c r="L5" s="14" t="s">
        <v>769</v>
      </c>
      <c r="M5" s="14" t="s">
        <v>770</v>
      </c>
      <c r="N5" s="14" t="s">
        <v>460</v>
      </c>
      <c r="O5" s="14" t="s">
        <v>769</v>
      </c>
      <c r="P5" s="14" t="s">
        <v>770</v>
      </c>
      <c r="Q5" s="14" t="s">
        <v>460</v>
      </c>
      <c r="R5" s="687"/>
      <c r="S5" s="687"/>
      <c r="T5" s="14" t="s">
        <v>769</v>
      </c>
      <c r="U5" s="14" t="s">
        <v>770</v>
      </c>
      <c r="V5" s="14" t="s">
        <v>460</v>
      </c>
      <c r="W5" s="14" t="s">
        <v>769</v>
      </c>
      <c r="X5" s="14" t="s">
        <v>770</v>
      </c>
      <c r="Y5" s="14" t="s">
        <v>460</v>
      </c>
      <c r="Z5" s="687"/>
      <c r="AA5" s="687"/>
      <c r="AB5" s="14" t="s">
        <v>769</v>
      </c>
      <c r="AC5" s="14" t="s">
        <v>770</v>
      </c>
      <c r="AD5" s="14" t="s">
        <v>460</v>
      </c>
      <c r="AE5" s="14" t="s">
        <v>769</v>
      </c>
      <c r="AF5" s="14" t="s">
        <v>770</v>
      </c>
      <c r="AG5" s="14" t="s">
        <v>460</v>
      </c>
      <c r="AH5" s="687"/>
      <c r="AI5" s="687"/>
      <c r="AJ5" s="14" t="s">
        <v>769</v>
      </c>
      <c r="AK5" s="14" t="s">
        <v>770</v>
      </c>
      <c r="AL5" s="14" t="s">
        <v>460</v>
      </c>
      <c r="AM5" s="14" t="s">
        <v>769</v>
      </c>
      <c r="AN5" s="14" t="s">
        <v>770</v>
      </c>
      <c r="AO5" s="14" t="s">
        <v>460</v>
      </c>
      <c r="AP5" s="14" t="s">
        <v>769</v>
      </c>
      <c r="AQ5" s="14" t="s">
        <v>770</v>
      </c>
      <c r="AR5" s="14" t="s">
        <v>460</v>
      </c>
      <c r="AS5" s="14" t="s">
        <v>769</v>
      </c>
      <c r="AT5" s="14" t="s">
        <v>770</v>
      </c>
      <c r="AU5" s="14" t="s">
        <v>460</v>
      </c>
    </row>
    <row r="6" spans="1:55" s="424" customFormat="1" ht="27.75" customHeight="1">
      <c r="A6" s="423"/>
      <c r="B6" s="423" t="s">
        <v>636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C6" s="423"/>
      <c r="AD6" s="423"/>
      <c r="AE6" s="423"/>
      <c r="AF6" s="423"/>
      <c r="AG6" s="423"/>
      <c r="AH6" s="423"/>
      <c r="AI6" s="423"/>
      <c r="AJ6" s="423"/>
      <c r="AK6" s="423"/>
      <c r="AL6" s="423"/>
      <c r="AM6" s="423"/>
      <c r="AN6" s="423"/>
      <c r="AO6" s="423"/>
      <c r="AP6" s="423"/>
      <c r="AQ6" s="423"/>
      <c r="AR6" s="423"/>
      <c r="AS6" s="423"/>
      <c r="AT6" s="423"/>
      <c r="AU6" s="423"/>
    </row>
    <row r="7" spans="1:55" s="15" customFormat="1" ht="23.25" customHeight="1">
      <c r="A7" s="295">
        <v>1</v>
      </c>
      <c r="B7" s="130" t="s">
        <v>637</v>
      </c>
      <c r="C7" s="439">
        <f>+'Asset Classification'!C7</f>
        <v>0</v>
      </c>
      <c r="D7" s="440">
        <f>+'Asset Classification'!D7</f>
        <v>0</v>
      </c>
      <c r="E7" s="440">
        <f>+'Asset Classification'!E7</f>
        <v>0</v>
      </c>
      <c r="F7" s="440">
        <f>+'Asset Classification'!F7</f>
        <v>0</v>
      </c>
      <c r="G7" s="440">
        <f>+'Asset Classification'!G7</f>
        <v>0</v>
      </c>
      <c r="H7" s="440">
        <f>+E7*1%</f>
        <v>0</v>
      </c>
      <c r="I7" s="440">
        <f>+G7-H7</f>
        <v>0</v>
      </c>
      <c r="J7" s="440">
        <f>+'Asset Classification'!I7</f>
        <v>0</v>
      </c>
      <c r="K7" s="440">
        <f>+'Asset Classification'!J7</f>
        <v>0</v>
      </c>
      <c r="L7" s="440">
        <f>+'Asset Classification'!K7</f>
        <v>0</v>
      </c>
      <c r="M7" s="440">
        <f>+J7*10%</f>
        <v>0</v>
      </c>
      <c r="N7" s="440">
        <f>+L7-M7</f>
        <v>0</v>
      </c>
      <c r="O7" s="440">
        <f>+'Asset Classification'!L7</f>
        <v>0</v>
      </c>
      <c r="P7" s="440">
        <f>+K7*10%</f>
        <v>0</v>
      </c>
      <c r="Q7" s="440">
        <f>+O7-P7</f>
        <v>0</v>
      </c>
      <c r="R7" s="440">
        <f>+'Asset Classification'!M7</f>
        <v>0</v>
      </c>
      <c r="S7" s="440">
        <f>+'Asset Classification'!N7</f>
        <v>0</v>
      </c>
      <c r="T7" s="440">
        <f>+'Asset Classification'!O7</f>
        <v>0</v>
      </c>
      <c r="U7" s="440">
        <f>+R7*25%</f>
        <v>0</v>
      </c>
      <c r="V7" s="440">
        <f>+T7-U7</f>
        <v>0</v>
      </c>
      <c r="W7" s="440">
        <f>+'Asset Classification'!P7</f>
        <v>0</v>
      </c>
      <c r="X7" s="440">
        <f>+S7*25%</f>
        <v>0</v>
      </c>
      <c r="Y7" s="440">
        <f>+W7-X7</f>
        <v>0</v>
      </c>
      <c r="Z7" s="440">
        <f>+'Asset Classification'!Q7</f>
        <v>0</v>
      </c>
      <c r="AA7" s="440">
        <f>+'Asset Classification'!R7</f>
        <v>0</v>
      </c>
      <c r="AB7" s="440">
        <f>+'Asset Classification'!S7</f>
        <v>0</v>
      </c>
      <c r="AC7" s="440">
        <f>+Z7*50%</f>
        <v>0</v>
      </c>
      <c r="AD7" s="440">
        <f>+AB7-AC7</f>
        <v>0</v>
      </c>
      <c r="AE7" s="440">
        <f>+'Asset Classification'!T7</f>
        <v>0</v>
      </c>
      <c r="AF7" s="440">
        <f>+AA7*50%</f>
        <v>0</v>
      </c>
      <c r="AG7" s="440">
        <f>+AE7-AF7</f>
        <v>0</v>
      </c>
      <c r="AH7" s="440">
        <f>+'Asset Classification'!U7</f>
        <v>0</v>
      </c>
      <c r="AI7" s="440">
        <f>+'Asset Classification'!V7</f>
        <v>0</v>
      </c>
      <c r="AJ7" s="440">
        <f>+'Asset Classification'!W7</f>
        <v>0</v>
      </c>
      <c r="AK7" s="440">
        <f>+AH7*100%</f>
        <v>0</v>
      </c>
      <c r="AL7" s="440">
        <f>+AJ7-AK7</f>
        <v>0</v>
      </c>
      <c r="AM7" s="440">
        <f>+'Asset Classification'!X7</f>
        <v>0</v>
      </c>
      <c r="AN7" s="440">
        <f>+AI7*100%</f>
        <v>0</v>
      </c>
      <c r="AO7" s="440">
        <f>+AM7-AN7</f>
        <v>0</v>
      </c>
      <c r="AP7" s="435">
        <f>+L7+T7+AB7+AJ7</f>
        <v>0</v>
      </c>
      <c r="AQ7" s="435">
        <f>+M7+U7+AC7+AK7</f>
        <v>0</v>
      </c>
      <c r="AR7" s="435">
        <f>+AP7-AQ7</f>
        <v>0</v>
      </c>
      <c r="AS7" s="440">
        <f t="shared" ref="AS7:AT30" si="0">+O7+W7+AE7+AM7</f>
        <v>0</v>
      </c>
      <c r="AT7" s="440">
        <f t="shared" si="0"/>
        <v>0</v>
      </c>
      <c r="AU7" s="440">
        <f>+AS7-AT7</f>
        <v>0</v>
      </c>
      <c r="AV7" s="208">
        <f>+'Aging Analysis'!C9</f>
        <v>0</v>
      </c>
      <c r="AW7" s="206"/>
      <c r="AX7" s="206"/>
      <c r="AY7" s="206"/>
      <c r="AZ7" s="206"/>
      <c r="BA7" s="206"/>
      <c r="BB7" s="206"/>
      <c r="BC7" s="206"/>
    </row>
    <row r="8" spans="1:55" s="15" customFormat="1" ht="14.25" customHeight="1">
      <c r="A8" s="295"/>
      <c r="B8" s="297" t="s">
        <v>638</v>
      </c>
      <c r="C8" s="439">
        <f>+'Asset Classification'!C8</f>
        <v>0</v>
      </c>
      <c r="D8" s="440">
        <f>+'Asset Classification'!D8</f>
        <v>0</v>
      </c>
      <c r="E8" s="441">
        <f>+'Asset Classification'!E8</f>
        <v>0</v>
      </c>
      <c r="F8" s="440">
        <f>+'Asset Classification'!F8</f>
        <v>0</v>
      </c>
      <c r="G8" s="441">
        <f>+'Asset Classification'!G8</f>
        <v>0</v>
      </c>
      <c r="H8" s="440">
        <f t="shared" ref="H8:H30" si="1">+E8*1%</f>
        <v>0</v>
      </c>
      <c r="I8" s="440">
        <f t="shared" ref="I8:I30" si="2">+G8-H8</f>
        <v>0</v>
      </c>
      <c r="J8" s="441">
        <f>+'Asset Classification'!I8</f>
        <v>0</v>
      </c>
      <c r="K8" s="440">
        <f>+'Asset Classification'!J8</f>
        <v>0</v>
      </c>
      <c r="L8" s="441">
        <f>+'Asset Classification'!K8</f>
        <v>0</v>
      </c>
      <c r="M8" s="440">
        <f t="shared" ref="M8:M30" si="3">+J8*10%</f>
        <v>0</v>
      </c>
      <c r="N8" s="440">
        <f t="shared" ref="N8:N30" si="4">+L8-M8</f>
        <v>0</v>
      </c>
      <c r="O8" s="440">
        <f>+'Asset Classification'!L8</f>
        <v>0</v>
      </c>
      <c r="P8" s="440">
        <f t="shared" ref="P8:P30" si="5">+K8*10%</f>
        <v>0</v>
      </c>
      <c r="Q8" s="440">
        <f t="shared" ref="Q8:Q30" si="6">+O8-P8</f>
        <v>0</v>
      </c>
      <c r="R8" s="441">
        <f>+'Asset Classification'!M8</f>
        <v>0</v>
      </c>
      <c r="S8" s="440">
        <f>+'Asset Classification'!N8</f>
        <v>0</v>
      </c>
      <c r="T8" s="441">
        <f>+'Asset Classification'!O8</f>
        <v>0</v>
      </c>
      <c r="U8" s="440">
        <f t="shared" ref="U8:U30" si="7">+R8*25%</f>
        <v>0</v>
      </c>
      <c r="V8" s="440">
        <f t="shared" ref="V8:V30" si="8">+T8-U8</f>
        <v>0</v>
      </c>
      <c r="W8" s="440">
        <f>+'Asset Classification'!P8</f>
        <v>0</v>
      </c>
      <c r="X8" s="440">
        <f t="shared" ref="X8:X30" si="9">+S8*25%</f>
        <v>0</v>
      </c>
      <c r="Y8" s="440">
        <f t="shared" ref="Y8:Y30" si="10">+W8-X8</f>
        <v>0</v>
      </c>
      <c r="Z8" s="441">
        <f>+'Asset Classification'!Q8</f>
        <v>0</v>
      </c>
      <c r="AA8" s="440">
        <f>+'Asset Classification'!R8</f>
        <v>0</v>
      </c>
      <c r="AB8" s="441">
        <f>+'Asset Classification'!S8</f>
        <v>0</v>
      </c>
      <c r="AC8" s="440">
        <f t="shared" ref="AC8:AC30" si="11">+Z8*50%</f>
        <v>0</v>
      </c>
      <c r="AD8" s="440">
        <f t="shared" ref="AD8:AD30" si="12">+AB8-AC8</f>
        <v>0</v>
      </c>
      <c r="AE8" s="440">
        <f>+'Asset Classification'!T8</f>
        <v>0</v>
      </c>
      <c r="AF8" s="440">
        <f t="shared" ref="AF8:AF30" si="13">+AA8*50%</f>
        <v>0</v>
      </c>
      <c r="AG8" s="440">
        <f t="shared" ref="AG8:AG30" si="14">+AE8-AF8</f>
        <v>0</v>
      </c>
      <c r="AH8" s="441">
        <f>+'Asset Classification'!U8</f>
        <v>0</v>
      </c>
      <c r="AI8" s="440">
        <f>+'Asset Classification'!V8</f>
        <v>0</v>
      </c>
      <c r="AJ8" s="441">
        <f>+'Asset Classification'!W8</f>
        <v>0</v>
      </c>
      <c r="AK8" s="440">
        <f t="shared" ref="AK8:AK30" si="15">+AH8*100%</f>
        <v>0</v>
      </c>
      <c r="AL8" s="440">
        <f t="shared" ref="AL8:AL30" si="16">+AJ8-AK8</f>
        <v>0</v>
      </c>
      <c r="AM8" s="440">
        <f>+'Asset Classification'!X8</f>
        <v>0</v>
      </c>
      <c r="AN8" s="440">
        <f t="shared" ref="AN8:AN30" si="17">+AI8*100%</f>
        <v>0</v>
      </c>
      <c r="AO8" s="440">
        <f t="shared" ref="AO8:AO30" si="18">+AM8-AN8</f>
        <v>0</v>
      </c>
      <c r="AP8" s="435">
        <f t="shared" ref="AP8:AQ30" si="19">+L8+T8+AB8+AJ8</f>
        <v>0</v>
      </c>
      <c r="AQ8" s="435">
        <f t="shared" si="19"/>
        <v>0</v>
      </c>
      <c r="AR8" s="435">
        <f t="shared" ref="AR8:AR30" si="20">+AP8-AQ8</f>
        <v>0</v>
      </c>
      <c r="AS8" s="440">
        <f t="shared" si="0"/>
        <v>0</v>
      </c>
      <c r="AT8" s="440">
        <f t="shared" si="0"/>
        <v>0</v>
      </c>
      <c r="AU8" s="440">
        <f t="shared" ref="AU8:AU30" si="21">+AS8-AT8</f>
        <v>0</v>
      </c>
      <c r="AW8" s="206"/>
      <c r="AX8" s="206"/>
      <c r="AY8" s="206"/>
      <c r="AZ8" s="206"/>
      <c r="BA8" s="206"/>
      <c r="BB8" s="206"/>
      <c r="BC8" s="206"/>
    </row>
    <row r="9" spans="1:55" s="15" customFormat="1" ht="23.25" customHeight="1">
      <c r="A9" s="295">
        <v>2</v>
      </c>
      <c r="B9" s="130" t="s">
        <v>639</v>
      </c>
      <c r="C9" s="439">
        <f>+'Asset Classification'!C9</f>
        <v>0</v>
      </c>
      <c r="D9" s="440">
        <f>+'Asset Classification'!D9</f>
        <v>0</v>
      </c>
      <c r="E9" s="441">
        <f>+'Asset Classification'!E9</f>
        <v>0</v>
      </c>
      <c r="F9" s="440">
        <f>+'Asset Classification'!F9</f>
        <v>0</v>
      </c>
      <c r="G9" s="441">
        <f>+'Asset Classification'!G9</f>
        <v>0</v>
      </c>
      <c r="H9" s="440">
        <f t="shared" si="1"/>
        <v>0</v>
      </c>
      <c r="I9" s="440">
        <f t="shared" si="2"/>
        <v>0</v>
      </c>
      <c r="J9" s="441">
        <f>+'Asset Classification'!I9</f>
        <v>0</v>
      </c>
      <c r="K9" s="440">
        <f>+'Asset Classification'!J9</f>
        <v>0</v>
      </c>
      <c r="L9" s="441">
        <f>+'Asset Classification'!K9</f>
        <v>0</v>
      </c>
      <c r="M9" s="440">
        <f t="shared" si="3"/>
        <v>0</v>
      </c>
      <c r="N9" s="440">
        <f t="shared" si="4"/>
        <v>0</v>
      </c>
      <c r="O9" s="440">
        <f>+'Asset Classification'!L9</f>
        <v>0</v>
      </c>
      <c r="P9" s="440">
        <f t="shared" si="5"/>
        <v>0</v>
      </c>
      <c r="Q9" s="440">
        <f t="shared" si="6"/>
        <v>0</v>
      </c>
      <c r="R9" s="441">
        <f>+'Asset Classification'!M9</f>
        <v>0</v>
      </c>
      <c r="S9" s="440">
        <f>+'Asset Classification'!N9</f>
        <v>0</v>
      </c>
      <c r="T9" s="441">
        <f>+'Asset Classification'!O9</f>
        <v>0</v>
      </c>
      <c r="U9" s="440">
        <f t="shared" si="7"/>
        <v>0</v>
      </c>
      <c r="V9" s="440">
        <f t="shared" si="8"/>
        <v>0</v>
      </c>
      <c r="W9" s="440">
        <f>+'Asset Classification'!P9</f>
        <v>0</v>
      </c>
      <c r="X9" s="440">
        <f t="shared" si="9"/>
        <v>0</v>
      </c>
      <c r="Y9" s="440">
        <f t="shared" si="10"/>
        <v>0</v>
      </c>
      <c r="Z9" s="441">
        <f>+'Asset Classification'!Q9</f>
        <v>0</v>
      </c>
      <c r="AA9" s="440">
        <f>+'Asset Classification'!R9</f>
        <v>0</v>
      </c>
      <c r="AB9" s="441">
        <f>+'Asset Classification'!S9</f>
        <v>0</v>
      </c>
      <c r="AC9" s="440">
        <f t="shared" si="11"/>
        <v>0</v>
      </c>
      <c r="AD9" s="440">
        <f t="shared" si="12"/>
        <v>0</v>
      </c>
      <c r="AE9" s="440">
        <f>+'Asset Classification'!T9</f>
        <v>0</v>
      </c>
      <c r="AF9" s="440">
        <f t="shared" si="13"/>
        <v>0</v>
      </c>
      <c r="AG9" s="440">
        <f t="shared" si="14"/>
        <v>0</v>
      </c>
      <c r="AH9" s="441">
        <f>+'Asset Classification'!U9</f>
        <v>0</v>
      </c>
      <c r="AI9" s="440">
        <f>+'Asset Classification'!V9</f>
        <v>0</v>
      </c>
      <c r="AJ9" s="441">
        <f>+'Asset Classification'!W9</f>
        <v>0</v>
      </c>
      <c r="AK9" s="440">
        <f t="shared" si="15"/>
        <v>0</v>
      </c>
      <c r="AL9" s="440">
        <f t="shared" si="16"/>
        <v>0</v>
      </c>
      <c r="AM9" s="440">
        <f>+'Asset Classification'!X9</f>
        <v>0</v>
      </c>
      <c r="AN9" s="440">
        <f t="shared" si="17"/>
        <v>0</v>
      </c>
      <c r="AO9" s="440">
        <f t="shared" si="18"/>
        <v>0</v>
      </c>
      <c r="AP9" s="435">
        <f t="shared" si="19"/>
        <v>0</v>
      </c>
      <c r="AQ9" s="435">
        <f t="shared" si="19"/>
        <v>0</v>
      </c>
      <c r="AR9" s="435">
        <f t="shared" si="20"/>
        <v>0</v>
      </c>
      <c r="AS9" s="440">
        <f t="shared" si="0"/>
        <v>0</v>
      </c>
      <c r="AT9" s="440">
        <f t="shared" si="0"/>
        <v>0</v>
      </c>
      <c r="AU9" s="440">
        <f t="shared" si="21"/>
        <v>0</v>
      </c>
      <c r="AV9" s="208">
        <f>+'Aging Analysis'!C10</f>
        <v>0</v>
      </c>
      <c r="AW9" s="206"/>
      <c r="AX9" s="206"/>
      <c r="AY9" s="206"/>
      <c r="AZ9" s="206"/>
      <c r="BA9" s="206"/>
      <c r="BB9" s="206"/>
      <c r="BC9" s="206"/>
    </row>
    <row r="10" spans="1:55" s="15" customFormat="1" ht="14.25" customHeight="1">
      <c r="A10" s="295"/>
      <c r="B10" s="297" t="s">
        <v>638</v>
      </c>
      <c r="C10" s="439">
        <f>+'Asset Classification'!C10</f>
        <v>0</v>
      </c>
      <c r="D10" s="440">
        <f>+'Asset Classification'!D10</f>
        <v>0</v>
      </c>
      <c r="E10" s="441">
        <f>+'Asset Classification'!E10</f>
        <v>0</v>
      </c>
      <c r="F10" s="440">
        <f>+'Asset Classification'!F10</f>
        <v>0</v>
      </c>
      <c r="G10" s="441">
        <f>+'Asset Classification'!G10</f>
        <v>0</v>
      </c>
      <c r="H10" s="440">
        <f t="shared" si="1"/>
        <v>0</v>
      </c>
      <c r="I10" s="440">
        <f t="shared" si="2"/>
        <v>0</v>
      </c>
      <c r="J10" s="441">
        <f>+'Asset Classification'!I10</f>
        <v>0</v>
      </c>
      <c r="K10" s="440">
        <f>+'Asset Classification'!J10</f>
        <v>0</v>
      </c>
      <c r="L10" s="441">
        <f>+'Asset Classification'!K10</f>
        <v>0</v>
      </c>
      <c r="M10" s="440">
        <f t="shared" si="3"/>
        <v>0</v>
      </c>
      <c r="N10" s="440">
        <f t="shared" si="4"/>
        <v>0</v>
      </c>
      <c r="O10" s="440">
        <f>+'Asset Classification'!L10</f>
        <v>0</v>
      </c>
      <c r="P10" s="440">
        <f t="shared" si="5"/>
        <v>0</v>
      </c>
      <c r="Q10" s="440">
        <f t="shared" si="6"/>
        <v>0</v>
      </c>
      <c r="R10" s="441">
        <f>+'Asset Classification'!M10</f>
        <v>0</v>
      </c>
      <c r="S10" s="440">
        <f>+'Asset Classification'!N10</f>
        <v>0</v>
      </c>
      <c r="T10" s="441">
        <f>+'Asset Classification'!O10</f>
        <v>0</v>
      </c>
      <c r="U10" s="440">
        <f t="shared" si="7"/>
        <v>0</v>
      </c>
      <c r="V10" s="440">
        <f t="shared" si="8"/>
        <v>0</v>
      </c>
      <c r="W10" s="440">
        <f>+'Asset Classification'!P10</f>
        <v>0</v>
      </c>
      <c r="X10" s="440">
        <f t="shared" si="9"/>
        <v>0</v>
      </c>
      <c r="Y10" s="440">
        <f t="shared" si="10"/>
        <v>0</v>
      </c>
      <c r="Z10" s="441">
        <f>+'Asset Classification'!Q10</f>
        <v>0</v>
      </c>
      <c r="AA10" s="440">
        <f>+'Asset Classification'!R10</f>
        <v>0</v>
      </c>
      <c r="AB10" s="441">
        <f>+'Asset Classification'!S10</f>
        <v>0</v>
      </c>
      <c r="AC10" s="440">
        <f t="shared" si="11"/>
        <v>0</v>
      </c>
      <c r="AD10" s="440">
        <f t="shared" si="12"/>
        <v>0</v>
      </c>
      <c r="AE10" s="440">
        <f>+'Asset Classification'!T10</f>
        <v>0</v>
      </c>
      <c r="AF10" s="440">
        <f t="shared" si="13"/>
        <v>0</v>
      </c>
      <c r="AG10" s="440">
        <f t="shared" si="14"/>
        <v>0</v>
      </c>
      <c r="AH10" s="441">
        <f>+'Asset Classification'!U10</f>
        <v>0</v>
      </c>
      <c r="AI10" s="440">
        <f>+'Asset Classification'!V10</f>
        <v>0</v>
      </c>
      <c r="AJ10" s="441">
        <f>+'Asset Classification'!W10</f>
        <v>0</v>
      </c>
      <c r="AK10" s="440">
        <f t="shared" si="15"/>
        <v>0</v>
      </c>
      <c r="AL10" s="440">
        <f t="shared" si="16"/>
        <v>0</v>
      </c>
      <c r="AM10" s="440">
        <f>+'Asset Classification'!X10</f>
        <v>0</v>
      </c>
      <c r="AN10" s="440">
        <f t="shared" si="17"/>
        <v>0</v>
      </c>
      <c r="AO10" s="440">
        <f t="shared" si="18"/>
        <v>0</v>
      </c>
      <c r="AP10" s="435">
        <f t="shared" si="19"/>
        <v>0</v>
      </c>
      <c r="AQ10" s="435">
        <f t="shared" si="19"/>
        <v>0</v>
      </c>
      <c r="AR10" s="435">
        <f t="shared" si="20"/>
        <v>0</v>
      </c>
      <c r="AS10" s="440">
        <f t="shared" si="0"/>
        <v>0</v>
      </c>
      <c r="AT10" s="440">
        <f t="shared" si="0"/>
        <v>0</v>
      </c>
      <c r="AU10" s="440">
        <f t="shared" si="21"/>
        <v>0</v>
      </c>
      <c r="AW10" s="206"/>
      <c r="AX10" s="206"/>
      <c r="AY10" s="206"/>
      <c r="AZ10" s="206"/>
      <c r="BA10" s="206"/>
      <c r="BB10" s="206"/>
      <c r="BC10" s="206"/>
    </row>
    <row r="11" spans="1:55" s="15" customFormat="1" ht="23.25" customHeight="1">
      <c r="A11" s="295">
        <v>3</v>
      </c>
      <c r="B11" s="130" t="s">
        <v>394</v>
      </c>
      <c r="C11" s="439">
        <f>+'Asset Classification'!C11</f>
        <v>0</v>
      </c>
      <c r="D11" s="440">
        <f>+'Asset Classification'!D11</f>
        <v>0</v>
      </c>
      <c r="E11" s="441">
        <f>+'Asset Classification'!E11</f>
        <v>0</v>
      </c>
      <c r="F11" s="440">
        <f>+'Asset Classification'!F11</f>
        <v>0</v>
      </c>
      <c r="G11" s="441">
        <f>+'Asset Classification'!G11</f>
        <v>0</v>
      </c>
      <c r="H11" s="440">
        <f t="shared" si="1"/>
        <v>0</v>
      </c>
      <c r="I11" s="440">
        <f t="shared" si="2"/>
        <v>0</v>
      </c>
      <c r="J11" s="441">
        <f>+'Asset Classification'!I11</f>
        <v>0</v>
      </c>
      <c r="K11" s="440">
        <f>+'Asset Classification'!J11</f>
        <v>0</v>
      </c>
      <c r="L11" s="441">
        <f>+'Asset Classification'!K11</f>
        <v>0</v>
      </c>
      <c r="M11" s="440">
        <f t="shared" si="3"/>
        <v>0</v>
      </c>
      <c r="N11" s="440">
        <f t="shared" si="4"/>
        <v>0</v>
      </c>
      <c r="O11" s="440">
        <f>+'Asset Classification'!L11</f>
        <v>0</v>
      </c>
      <c r="P11" s="440">
        <f t="shared" si="5"/>
        <v>0</v>
      </c>
      <c r="Q11" s="440">
        <f t="shared" si="6"/>
        <v>0</v>
      </c>
      <c r="R11" s="441">
        <f>+'Asset Classification'!M11</f>
        <v>0</v>
      </c>
      <c r="S11" s="440">
        <f>+'Asset Classification'!N11</f>
        <v>0</v>
      </c>
      <c r="T11" s="441">
        <f>+'Asset Classification'!O11</f>
        <v>0</v>
      </c>
      <c r="U11" s="440">
        <f t="shared" si="7"/>
        <v>0</v>
      </c>
      <c r="V11" s="440">
        <f t="shared" si="8"/>
        <v>0</v>
      </c>
      <c r="W11" s="440">
        <f>+'Asset Classification'!P11</f>
        <v>0</v>
      </c>
      <c r="X11" s="440">
        <f t="shared" si="9"/>
        <v>0</v>
      </c>
      <c r="Y11" s="440">
        <f t="shared" si="10"/>
        <v>0</v>
      </c>
      <c r="Z11" s="441">
        <f>+'Asset Classification'!Q11</f>
        <v>0</v>
      </c>
      <c r="AA11" s="440">
        <f>+'Asset Classification'!R11</f>
        <v>0</v>
      </c>
      <c r="AB11" s="441">
        <f>+'Asset Classification'!S11</f>
        <v>0</v>
      </c>
      <c r="AC11" s="440">
        <f t="shared" si="11"/>
        <v>0</v>
      </c>
      <c r="AD11" s="440">
        <f t="shared" si="12"/>
        <v>0</v>
      </c>
      <c r="AE11" s="440">
        <f>+'Asset Classification'!T11</f>
        <v>0</v>
      </c>
      <c r="AF11" s="440">
        <f t="shared" si="13"/>
        <v>0</v>
      </c>
      <c r="AG11" s="440">
        <f t="shared" si="14"/>
        <v>0</v>
      </c>
      <c r="AH11" s="441">
        <f>+'Asset Classification'!U11</f>
        <v>0</v>
      </c>
      <c r="AI11" s="440">
        <f>+'Asset Classification'!V11</f>
        <v>0</v>
      </c>
      <c r="AJ11" s="441">
        <f>+'Asset Classification'!W11</f>
        <v>0</v>
      </c>
      <c r="AK11" s="440">
        <f t="shared" si="15"/>
        <v>0</v>
      </c>
      <c r="AL11" s="440">
        <f t="shared" si="16"/>
        <v>0</v>
      </c>
      <c r="AM11" s="440">
        <f>+'Asset Classification'!X11</f>
        <v>0</v>
      </c>
      <c r="AN11" s="440">
        <f t="shared" si="17"/>
        <v>0</v>
      </c>
      <c r="AO11" s="440">
        <f t="shared" si="18"/>
        <v>0</v>
      </c>
      <c r="AP11" s="435">
        <f t="shared" si="19"/>
        <v>0</v>
      </c>
      <c r="AQ11" s="435">
        <f t="shared" si="19"/>
        <v>0</v>
      </c>
      <c r="AR11" s="435">
        <f t="shared" si="20"/>
        <v>0</v>
      </c>
      <c r="AS11" s="440">
        <f t="shared" si="0"/>
        <v>0</v>
      </c>
      <c r="AT11" s="440">
        <f t="shared" si="0"/>
        <v>0</v>
      </c>
      <c r="AU11" s="440">
        <f t="shared" si="21"/>
        <v>0</v>
      </c>
      <c r="AV11" s="208">
        <f>+'Aging Analysis'!C11</f>
        <v>0</v>
      </c>
      <c r="AW11" s="206"/>
      <c r="AX11" s="206"/>
      <c r="AY11" s="206"/>
      <c r="AZ11" s="206"/>
      <c r="BA11" s="206"/>
      <c r="BB11" s="206"/>
      <c r="BC11" s="206"/>
    </row>
    <row r="12" spans="1:55" s="15" customFormat="1" ht="14.25" customHeight="1">
      <c r="A12" s="295"/>
      <c r="B12" s="297" t="s">
        <v>638</v>
      </c>
      <c r="C12" s="439">
        <f>+'Asset Classification'!C12</f>
        <v>0</v>
      </c>
      <c r="D12" s="440">
        <f>+'Asset Classification'!D12</f>
        <v>0</v>
      </c>
      <c r="E12" s="441">
        <f>+'Asset Classification'!E12</f>
        <v>0</v>
      </c>
      <c r="F12" s="440">
        <f>+'Asset Classification'!F12</f>
        <v>0</v>
      </c>
      <c r="G12" s="441">
        <f>+'Asset Classification'!G12</f>
        <v>0</v>
      </c>
      <c r="H12" s="440">
        <f t="shared" si="1"/>
        <v>0</v>
      </c>
      <c r="I12" s="440">
        <f t="shared" si="2"/>
        <v>0</v>
      </c>
      <c r="J12" s="441">
        <f>+'Asset Classification'!I12</f>
        <v>0</v>
      </c>
      <c r="K12" s="440">
        <f>+'Asset Classification'!J12</f>
        <v>0</v>
      </c>
      <c r="L12" s="441">
        <f>+'Asset Classification'!K12</f>
        <v>0</v>
      </c>
      <c r="M12" s="440">
        <f t="shared" si="3"/>
        <v>0</v>
      </c>
      <c r="N12" s="440">
        <f t="shared" si="4"/>
        <v>0</v>
      </c>
      <c r="O12" s="440">
        <f>+'Asset Classification'!L12</f>
        <v>0</v>
      </c>
      <c r="P12" s="440">
        <f t="shared" si="5"/>
        <v>0</v>
      </c>
      <c r="Q12" s="440">
        <f t="shared" si="6"/>
        <v>0</v>
      </c>
      <c r="R12" s="441">
        <f>+'Asset Classification'!M12</f>
        <v>0</v>
      </c>
      <c r="S12" s="440">
        <f>+'Asset Classification'!N12</f>
        <v>0</v>
      </c>
      <c r="T12" s="441">
        <f>+'Asset Classification'!O12</f>
        <v>0</v>
      </c>
      <c r="U12" s="440">
        <f t="shared" si="7"/>
        <v>0</v>
      </c>
      <c r="V12" s="440">
        <f t="shared" si="8"/>
        <v>0</v>
      </c>
      <c r="W12" s="440">
        <f>+'Asset Classification'!P12</f>
        <v>0</v>
      </c>
      <c r="X12" s="440">
        <f t="shared" si="9"/>
        <v>0</v>
      </c>
      <c r="Y12" s="440">
        <f t="shared" si="10"/>
        <v>0</v>
      </c>
      <c r="Z12" s="441">
        <f>+'Asset Classification'!Q12</f>
        <v>0</v>
      </c>
      <c r="AA12" s="440">
        <f>+'Asset Classification'!R12</f>
        <v>0</v>
      </c>
      <c r="AB12" s="441">
        <f>+'Asset Classification'!S12</f>
        <v>0</v>
      </c>
      <c r="AC12" s="440">
        <f t="shared" si="11"/>
        <v>0</v>
      </c>
      <c r="AD12" s="440">
        <f t="shared" si="12"/>
        <v>0</v>
      </c>
      <c r="AE12" s="440">
        <f>+'Asset Classification'!T12</f>
        <v>0</v>
      </c>
      <c r="AF12" s="440">
        <f t="shared" si="13"/>
        <v>0</v>
      </c>
      <c r="AG12" s="440">
        <f t="shared" si="14"/>
        <v>0</v>
      </c>
      <c r="AH12" s="441">
        <f>+'Asset Classification'!U12</f>
        <v>0</v>
      </c>
      <c r="AI12" s="440">
        <f>+'Asset Classification'!V12</f>
        <v>0</v>
      </c>
      <c r="AJ12" s="441">
        <f>+'Asset Classification'!W12</f>
        <v>0</v>
      </c>
      <c r="AK12" s="440">
        <f t="shared" si="15"/>
        <v>0</v>
      </c>
      <c r="AL12" s="440">
        <f t="shared" si="16"/>
        <v>0</v>
      </c>
      <c r="AM12" s="440">
        <f>+'Asset Classification'!X12</f>
        <v>0</v>
      </c>
      <c r="AN12" s="440">
        <f t="shared" si="17"/>
        <v>0</v>
      </c>
      <c r="AO12" s="440">
        <f t="shared" si="18"/>
        <v>0</v>
      </c>
      <c r="AP12" s="435">
        <f t="shared" si="19"/>
        <v>0</v>
      </c>
      <c r="AQ12" s="435">
        <f t="shared" si="19"/>
        <v>0</v>
      </c>
      <c r="AR12" s="435">
        <f t="shared" si="20"/>
        <v>0</v>
      </c>
      <c r="AS12" s="440">
        <f t="shared" si="0"/>
        <v>0</v>
      </c>
      <c r="AT12" s="440">
        <f t="shared" si="0"/>
        <v>0</v>
      </c>
      <c r="AU12" s="440">
        <f t="shared" si="21"/>
        <v>0</v>
      </c>
      <c r="AW12" s="206"/>
      <c r="AX12" s="206"/>
      <c r="AY12" s="206"/>
      <c r="AZ12" s="206"/>
      <c r="BA12" s="206"/>
      <c r="BB12" s="206"/>
      <c r="BC12" s="206"/>
    </row>
    <row r="13" spans="1:55" s="15" customFormat="1" ht="23.25" customHeight="1">
      <c r="A13" s="295">
        <v>4</v>
      </c>
      <c r="B13" s="130" t="s">
        <v>395</v>
      </c>
      <c r="C13" s="439">
        <f>+'Asset Classification'!C13</f>
        <v>9706748229</v>
      </c>
      <c r="D13" s="440">
        <f>+'Asset Classification'!D13</f>
        <v>0</v>
      </c>
      <c r="E13" s="441">
        <f>+'Asset Classification'!E13</f>
        <v>8900894853</v>
      </c>
      <c r="F13" s="440">
        <f>+'Asset Classification'!F13</f>
        <v>0</v>
      </c>
      <c r="G13" s="441">
        <f>+'Asset Classification'!G13</f>
        <v>89008949</v>
      </c>
      <c r="H13" s="440">
        <f t="shared" si="1"/>
        <v>89008948.530000001</v>
      </c>
      <c r="I13" s="440">
        <f t="shared" si="2"/>
        <v>0.4699999988079071</v>
      </c>
      <c r="J13" s="441">
        <f>+'Asset Classification'!I13</f>
        <v>534089561</v>
      </c>
      <c r="K13" s="440">
        <f>+'Asset Classification'!J13</f>
        <v>0</v>
      </c>
      <c r="L13" s="441">
        <f>+'Asset Classification'!K13</f>
        <v>53411263</v>
      </c>
      <c r="M13" s="440">
        <f t="shared" si="3"/>
        <v>53408956.100000001</v>
      </c>
      <c r="N13" s="440">
        <f t="shared" si="4"/>
        <v>2306.8999999985099</v>
      </c>
      <c r="O13" s="440">
        <f>+'Asset Classification'!L13</f>
        <v>0</v>
      </c>
      <c r="P13" s="440">
        <f t="shared" si="5"/>
        <v>0</v>
      </c>
      <c r="Q13" s="440">
        <f t="shared" si="6"/>
        <v>0</v>
      </c>
      <c r="R13" s="441">
        <f>+'Asset Classification'!M13</f>
        <v>94140521</v>
      </c>
      <c r="S13" s="440">
        <f>+'Asset Classification'!N13</f>
        <v>0</v>
      </c>
      <c r="T13" s="441">
        <f>+'Asset Classification'!O13</f>
        <v>23536472</v>
      </c>
      <c r="U13" s="440">
        <f t="shared" si="7"/>
        <v>23535130.25</v>
      </c>
      <c r="V13" s="440">
        <f t="shared" si="8"/>
        <v>1341.75</v>
      </c>
      <c r="W13" s="440">
        <f>+'Asset Classification'!P13</f>
        <v>0</v>
      </c>
      <c r="X13" s="440">
        <f t="shared" si="9"/>
        <v>0</v>
      </c>
      <c r="Y13" s="440">
        <f t="shared" si="10"/>
        <v>0</v>
      </c>
      <c r="Z13" s="441">
        <f>+'Asset Classification'!Q13</f>
        <v>146207436</v>
      </c>
      <c r="AA13" s="440">
        <f>+'Asset Classification'!R13</f>
        <v>0</v>
      </c>
      <c r="AB13" s="441">
        <f>+'Asset Classification'!S13</f>
        <v>73109718</v>
      </c>
      <c r="AC13" s="440">
        <f t="shared" si="11"/>
        <v>73103718</v>
      </c>
      <c r="AD13" s="440">
        <f t="shared" si="12"/>
        <v>6000</v>
      </c>
      <c r="AE13" s="440">
        <f>+'Asset Classification'!T13</f>
        <v>0</v>
      </c>
      <c r="AF13" s="440">
        <f t="shared" si="13"/>
        <v>0</v>
      </c>
      <c r="AG13" s="440">
        <f t="shared" si="14"/>
        <v>0</v>
      </c>
      <c r="AH13" s="441">
        <f>+'Asset Classification'!U13</f>
        <v>31415858</v>
      </c>
      <c r="AI13" s="440">
        <f>+'Asset Classification'!V13</f>
        <v>0</v>
      </c>
      <c r="AJ13" s="441">
        <f>+'Asset Classification'!W13</f>
        <v>31407981</v>
      </c>
      <c r="AK13" s="440">
        <f t="shared" si="15"/>
        <v>31415858</v>
      </c>
      <c r="AL13" s="440">
        <f t="shared" si="16"/>
        <v>-7877</v>
      </c>
      <c r="AM13" s="440">
        <f>+'Asset Classification'!X13</f>
        <v>0</v>
      </c>
      <c r="AN13" s="440">
        <f t="shared" si="17"/>
        <v>0</v>
      </c>
      <c r="AO13" s="440">
        <f t="shared" si="18"/>
        <v>0</v>
      </c>
      <c r="AP13" s="435">
        <f t="shared" si="19"/>
        <v>181465434</v>
      </c>
      <c r="AQ13" s="435">
        <f t="shared" si="19"/>
        <v>181463662.34999999</v>
      </c>
      <c r="AR13" s="435">
        <f t="shared" si="20"/>
        <v>1771.6500000059605</v>
      </c>
      <c r="AS13" s="440">
        <f t="shared" si="0"/>
        <v>0</v>
      </c>
      <c r="AT13" s="440">
        <f t="shared" si="0"/>
        <v>0</v>
      </c>
      <c r="AU13" s="440">
        <f t="shared" si="21"/>
        <v>0</v>
      </c>
      <c r="AV13" s="208">
        <f>+'Aging Analysis'!C12</f>
        <v>9706748229</v>
      </c>
      <c r="AW13" s="206"/>
      <c r="AX13" s="206"/>
      <c r="AY13" s="206"/>
      <c r="AZ13" s="206"/>
      <c r="BA13" s="206"/>
      <c r="BB13" s="206"/>
      <c r="BC13" s="206"/>
    </row>
    <row r="14" spans="1:55" s="15" customFormat="1" ht="14.25" customHeight="1">
      <c r="A14" s="295"/>
      <c r="B14" s="297" t="s">
        <v>638</v>
      </c>
      <c r="C14" s="439">
        <f>+'Asset Classification'!C14</f>
        <v>0</v>
      </c>
      <c r="D14" s="440">
        <f>+'Asset Classification'!D14</f>
        <v>0</v>
      </c>
      <c r="E14" s="441">
        <f>+'Asset Classification'!E14</f>
        <v>0</v>
      </c>
      <c r="F14" s="440">
        <f>+'Asset Classification'!F14</f>
        <v>0</v>
      </c>
      <c r="G14" s="441">
        <f>+'Asset Classification'!G14</f>
        <v>0</v>
      </c>
      <c r="H14" s="440">
        <f t="shared" si="1"/>
        <v>0</v>
      </c>
      <c r="I14" s="440">
        <f t="shared" si="2"/>
        <v>0</v>
      </c>
      <c r="J14" s="441">
        <f>+'Asset Classification'!I14</f>
        <v>0</v>
      </c>
      <c r="K14" s="440">
        <f>+'Asset Classification'!J14</f>
        <v>0</v>
      </c>
      <c r="L14" s="441">
        <f>+'Asset Classification'!K14</f>
        <v>0</v>
      </c>
      <c r="M14" s="440">
        <f t="shared" si="3"/>
        <v>0</v>
      </c>
      <c r="N14" s="440">
        <f t="shared" si="4"/>
        <v>0</v>
      </c>
      <c r="O14" s="440">
        <f>+'Asset Classification'!L14</f>
        <v>0</v>
      </c>
      <c r="P14" s="440">
        <f t="shared" si="5"/>
        <v>0</v>
      </c>
      <c r="Q14" s="440">
        <f t="shared" si="6"/>
        <v>0</v>
      </c>
      <c r="R14" s="441">
        <f>+'Asset Classification'!M14</f>
        <v>0</v>
      </c>
      <c r="S14" s="440">
        <f>+'Asset Classification'!N14</f>
        <v>0</v>
      </c>
      <c r="T14" s="441">
        <f>+'Asset Classification'!O14</f>
        <v>0</v>
      </c>
      <c r="U14" s="440">
        <f t="shared" si="7"/>
        <v>0</v>
      </c>
      <c r="V14" s="440">
        <f t="shared" si="8"/>
        <v>0</v>
      </c>
      <c r="W14" s="440">
        <f>+'Asset Classification'!P14</f>
        <v>0</v>
      </c>
      <c r="X14" s="440">
        <f t="shared" si="9"/>
        <v>0</v>
      </c>
      <c r="Y14" s="440">
        <f t="shared" si="10"/>
        <v>0</v>
      </c>
      <c r="Z14" s="441">
        <f>+'Asset Classification'!Q14</f>
        <v>0</v>
      </c>
      <c r="AA14" s="440">
        <f>+'Asset Classification'!R14</f>
        <v>0</v>
      </c>
      <c r="AB14" s="441">
        <f>+'Asset Classification'!S14</f>
        <v>0</v>
      </c>
      <c r="AC14" s="440">
        <f t="shared" si="11"/>
        <v>0</v>
      </c>
      <c r="AD14" s="440">
        <f t="shared" si="12"/>
        <v>0</v>
      </c>
      <c r="AE14" s="440">
        <f>+'Asset Classification'!T14</f>
        <v>0</v>
      </c>
      <c r="AF14" s="440">
        <f t="shared" si="13"/>
        <v>0</v>
      </c>
      <c r="AG14" s="440">
        <f t="shared" si="14"/>
        <v>0</v>
      </c>
      <c r="AH14" s="441">
        <f>+'Asset Classification'!U14</f>
        <v>0</v>
      </c>
      <c r="AI14" s="440">
        <f>+'Asset Classification'!V14</f>
        <v>0</v>
      </c>
      <c r="AJ14" s="441">
        <f>+'Asset Classification'!W14</f>
        <v>0</v>
      </c>
      <c r="AK14" s="440">
        <f t="shared" si="15"/>
        <v>0</v>
      </c>
      <c r="AL14" s="440">
        <f t="shared" si="16"/>
        <v>0</v>
      </c>
      <c r="AM14" s="440">
        <f>+'Asset Classification'!X14</f>
        <v>0</v>
      </c>
      <c r="AN14" s="440">
        <f t="shared" si="17"/>
        <v>0</v>
      </c>
      <c r="AO14" s="440">
        <f t="shared" si="18"/>
        <v>0</v>
      </c>
      <c r="AP14" s="435">
        <f t="shared" si="19"/>
        <v>0</v>
      </c>
      <c r="AQ14" s="435">
        <f t="shared" si="19"/>
        <v>0</v>
      </c>
      <c r="AR14" s="435">
        <f t="shared" si="20"/>
        <v>0</v>
      </c>
      <c r="AS14" s="440">
        <f t="shared" si="0"/>
        <v>0</v>
      </c>
      <c r="AT14" s="440">
        <f t="shared" si="0"/>
        <v>0</v>
      </c>
      <c r="AU14" s="440">
        <f t="shared" si="21"/>
        <v>0</v>
      </c>
      <c r="AW14" s="206"/>
      <c r="AX14" s="206"/>
      <c r="AY14" s="206"/>
      <c r="AZ14" s="206"/>
      <c r="BA14" s="206"/>
      <c r="BB14" s="206"/>
      <c r="BC14" s="206"/>
    </row>
    <row r="15" spans="1:55" s="15" customFormat="1" ht="23.25" customHeight="1">
      <c r="A15" s="295">
        <v>5</v>
      </c>
      <c r="B15" s="130" t="s">
        <v>640</v>
      </c>
      <c r="C15" s="439">
        <f>+'Asset Classification'!C15</f>
        <v>12813996196</v>
      </c>
      <c r="D15" s="440">
        <f>+'Asset Classification'!D15</f>
        <v>8020986178</v>
      </c>
      <c r="E15" s="441">
        <f>+'Asset Classification'!E15</f>
        <v>10096267167</v>
      </c>
      <c r="F15" s="440">
        <f>+'Asset Classification'!F15</f>
        <v>7541171165</v>
      </c>
      <c r="G15" s="441">
        <f>+'Asset Classification'!G15</f>
        <v>98421975</v>
      </c>
      <c r="H15" s="440">
        <f t="shared" si="1"/>
        <v>100962671.67</v>
      </c>
      <c r="I15" s="440">
        <f t="shared" si="2"/>
        <v>-2540696.6700000018</v>
      </c>
      <c r="J15" s="441">
        <f>+'Asset Classification'!I15</f>
        <v>2706744176</v>
      </c>
      <c r="K15" s="440">
        <f>+'Asset Classification'!J15</f>
        <v>479815013</v>
      </c>
      <c r="L15" s="441">
        <f>+'Asset Classification'!K15</f>
        <v>270674418</v>
      </c>
      <c r="M15" s="440">
        <f t="shared" si="3"/>
        <v>270674417.60000002</v>
      </c>
      <c r="N15" s="440">
        <f t="shared" si="4"/>
        <v>0.39999997615814209</v>
      </c>
      <c r="O15" s="440">
        <f>+'Asset Classification'!L15</f>
        <v>47981501</v>
      </c>
      <c r="P15" s="440">
        <f t="shared" si="5"/>
        <v>47981501.300000004</v>
      </c>
      <c r="Q15" s="440">
        <f t="shared" si="6"/>
        <v>-0.30000000447034836</v>
      </c>
      <c r="R15" s="441">
        <f>+'Asset Classification'!M15</f>
        <v>0</v>
      </c>
      <c r="S15" s="440">
        <f>+'Asset Classification'!N15</f>
        <v>0</v>
      </c>
      <c r="T15" s="441">
        <f>+'Asset Classification'!O15</f>
        <v>0</v>
      </c>
      <c r="U15" s="440">
        <f t="shared" si="7"/>
        <v>0</v>
      </c>
      <c r="V15" s="440">
        <f t="shared" si="8"/>
        <v>0</v>
      </c>
      <c r="W15" s="440">
        <f>+'Asset Classification'!P15</f>
        <v>0</v>
      </c>
      <c r="X15" s="440">
        <f t="shared" si="9"/>
        <v>0</v>
      </c>
      <c r="Y15" s="440">
        <f t="shared" si="10"/>
        <v>0</v>
      </c>
      <c r="Z15" s="441">
        <f>+'Asset Classification'!Q15</f>
        <v>0</v>
      </c>
      <c r="AA15" s="440">
        <f>+'Asset Classification'!R15</f>
        <v>0</v>
      </c>
      <c r="AB15" s="441">
        <f>+'Asset Classification'!S15</f>
        <v>0</v>
      </c>
      <c r="AC15" s="440">
        <f t="shared" si="11"/>
        <v>0</v>
      </c>
      <c r="AD15" s="440">
        <f t="shared" si="12"/>
        <v>0</v>
      </c>
      <c r="AE15" s="440">
        <f>+'Asset Classification'!T15</f>
        <v>0</v>
      </c>
      <c r="AF15" s="440">
        <f t="shared" si="13"/>
        <v>0</v>
      </c>
      <c r="AG15" s="440">
        <f t="shared" si="14"/>
        <v>0</v>
      </c>
      <c r="AH15" s="441">
        <f>+'Asset Classification'!U15</f>
        <v>10984853</v>
      </c>
      <c r="AI15" s="440">
        <f>+'Asset Classification'!V15</f>
        <v>0</v>
      </c>
      <c r="AJ15" s="441">
        <f>+'Asset Classification'!W15</f>
        <v>10984853</v>
      </c>
      <c r="AK15" s="440">
        <f t="shared" si="15"/>
        <v>10984853</v>
      </c>
      <c r="AL15" s="440">
        <f t="shared" si="16"/>
        <v>0</v>
      </c>
      <c r="AM15" s="440">
        <f>+'Asset Classification'!X15</f>
        <v>0</v>
      </c>
      <c r="AN15" s="440">
        <f t="shared" si="17"/>
        <v>0</v>
      </c>
      <c r="AO15" s="440">
        <f t="shared" si="18"/>
        <v>0</v>
      </c>
      <c r="AP15" s="435">
        <f t="shared" si="19"/>
        <v>281659271</v>
      </c>
      <c r="AQ15" s="435">
        <f t="shared" si="19"/>
        <v>281659270.60000002</v>
      </c>
      <c r="AR15" s="435">
        <f t="shared" si="20"/>
        <v>0.39999997615814209</v>
      </c>
      <c r="AS15" s="440">
        <f t="shared" si="0"/>
        <v>47981501</v>
      </c>
      <c r="AT15" s="440">
        <f t="shared" si="0"/>
        <v>47981501.300000004</v>
      </c>
      <c r="AU15" s="440">
        <f t="shared" si="21"/>
        <v>-0.30000000447034836</v>
      </c>
      <c r="AV15" s="208">
        <f>+'Aging Analysis'!C13</f>
        <v>12813996196</v>
      </c>
      <c r="AW15" s="206"/>
      <c r="AX15" s="206"/>
      <c r="AY15" s="206"/>
      <c r="AZ15" s="206"/>
      <c r="BA15" s="206"/>
      <c r="BB15" s="206"/>
      <c r="BC15" s="206"/>
    </row>
    <row r="16" spans="1:55" s="15" customFormat="1" ht="14.25" customHeight="1">
      <c r="A16" s="295"/>
      <c r="B16" s="297" t="s">
        <v>638</v>
      </c>
      <c r="C16" s="439">
        <f>+'Asset Classification'!C16</f>
        <v>0</v>
      </c>
      <c r="D16" s="440">
        <f>+'Asset Classification'!D16</f>
        <v>0</v>
      </c>
      <c r="E16" s="441">
        <f>+'Asset Classification'!E16</f>
        <v>0</v>
      </c>
      <c r="F16" s="440">
        <f>+'Asset Classification'!F16</f>
        <v>0</v>
      </c>
      <c r="G16" s="441">
        <f>+'Asset Classification'!G16</f>
        <v>0</v>
      </c>
      <c r="H16" s="440">
        <f t="shared" si="1"/>
        <v>0</v>
      </c>
      <c r="I16" s="440">
        <f t="shared" si="2"/>
        <v>0</v>
      </c>
      <c r="J16" s="441">
        <f>+'Asset Classification'!I16</f>
        <v>0</v>
      </c>
      <c r="K16" s="440">
        <f>+'Asset Classification'!J16</f>
        <v>0</v>
      </c>
      <c r="L16" s="441">
        <f>+'Asset Classification'!K16</f>
        <v>0</v>
      </c>
      <c r="M16" s="440">
        <f t="shared" si="3"/>
        <v>0</v>
      </c>
      <c r="N16" s="440">
        <f t="shared" si="4"/>
        <v>0</v>
      </c>
      <c r="O16" s="440">
        <f>+'Asset Classification'!L16</f>
        <v>0</v>
      </c>
      <c r="P16" s="440">
        <f t="shared" si="5"/>
        <v>0</v>
      </c>
      <c r="Q16" s="440">
        <f t="shared" si="6"/>
        <v>0</v>
      </c>
      <c r="R16" s="441">
        <f>+'Asset Classification'!M16</f>
        <v>0</v>
      </c>
      <c r="S16" s="440">
        <f>+'Asset Classification'!N16</f>
        <v>0</v>
      </c>
      <c r="T16" s="441">
        <f>+'Asset Classification'!O16</f>
        <v>0</v>
      </c>
      <c r="U16" s="440">
        <f t="shared" si="7"/>
        <v>0</v>
      </c>
      <c r="V16" s="440">
        <f t="shared" si="8"/>
        <v>0</v>
      </c>
      <c r="W16" s="440">
        <f>+'Asset Classification'!P16</f>
        <v>0</v>
      </c>
      <c r="X16" s="440">
        <f t="shared" si="9"/>
        <v>0</v>
      </c>
      <c r="Y16" s="440">
        <f t="shared" si="10"/>
        <v>0</v>
      </c>
      <c r="Z16" s="441">
        <f>+'Asset Classification'!Q16</f>
        <v>0</v>
      </c>
      <c r="AA16" s="440">
        <f>+'Asset Classification'!R16</f>
        <v>0</v>
      </c>
      <c r="AB16" s="441">
        <f>+'Asset Classification'!S16</f>
        <v>0</v>
      </c>
      <c r="AC16" s="440">
        <f t="shared" si="11"/>
        <v>0</v>
      </c>
      <c r="AD16" s="440">
        <f t="shared" si="12"/>
        <v>0</v>
      </c>
      <c r="AE16" s="440">
        <f>+'Asset Classification'!T16</f>
        <v>0</v>
      </c>
      <c r="AF16" s="440">
        <f t="shared" si="13"/>
        <v>0</v>
      </c>
      <c r="AG16" s="440">
        <f t="shared" si="14"/>
        <v>0</v>
      </c>
      <c r="AH16" s="441">
        <f>+'Asset Classification'!U16</f>
        <v>0</v>
      </c>
      <c r="AI16" s="440">
        <f>+'Asset Classification'!V16</f>
        <v>0</v>
      </c>
      <c r="AJ16" s="441">
        <f>+'Asset Classification'!W16</f>
        <v>0</v>
      </c>
      <c r="AK16" s="440">
        <f t="shared" si="15"/>
        <v>0</v>
      </c>
      <c r="AL16" s="440">
        <f t="shared" si="16"/>
        <v>0</v>
      </c>
      <c r="AM16" s="440">
        <f>+'Asset Classification'!X16</f>
        <v>0</v>
      </c>
      <c r="AN16" s="440">
        <f t="shared" si="17"/>
        <v>0</v>
      </c>
      <c r="AO16" s="440">
        <f t="shared" si="18"/>
        <v>0</v>
      </c>
      <c r="AP16" s="435">
        <f t="shared" si="19"/>
        <v>0</v>
      </c>
      <c r="AQ16" s="435">
        <f t="shared" si="19"/>
        <v>0</v>
      </c>
      <c r="AR16" s="435">
        <f t="shared" si="20"/>
        <v>0</v>
      </c>
      <c r="AS16" s="440">
        <f t="shared" si="0"/>
        <v>0</v>
      </c>
      <c r="AT16" s="440">
        <f t="shared" si="0"/>
        <v>0</v>
      </c>
      <c r="AU16" s="440">
        <f t="shared" si="21"/>
        <v>0</v>
      </c>
      <c r="AW16" s="206"/>
      <c r="AX16" s="206"/>
      <c r="AY16" s="206"/>
      <c r="AZ16" s="206"/>
      <c r="BA16" s="206"/>
      <c r="BB16" s="206"/>
      <c r="BC16" s="206"/>
    </row>
    <row r="17" spans="1:55" s="15" customFormat="1" ht="23.25" customHeight="1">
      <c r="A17" s="295">
        <v>6</v>
      </c>
      <c r="B17" s="130" t="s">
        <v>397</v>
      </c>
      <c r="C17" s="439">
        <f>+'Asset Classification'!C17</f>
        <v>9759069887</v>
      </c>
      <c r="D17" s="440">
        <f>+'Asset Classification'!D17</f>
        <v>7349678047</v>
      </c>
      <c r="E17" s="441">
        <f>+'Asset Classification'!E17</f>
        <v>8810965778</v>
      </c>
      <c r="F17" s="440">
        <f>+'Asset Classification'!F17</f>
        <v>6510874630</v>
      </c>
      <c r="G17" s="441">
        <f>+'Asset Classification'!G17</f>
        <v>88109295</v>
      </c>
      <c r="H17" s="440">
        <f t="shared" si="1"/>
        <v>88109657.780000001</v>
      </c>
      <c r="I17" s="440">
        <f t="shared" si="2"/>
        <v>-362.78000000119209</v>
      </c>
      <c r="J17" s="441">
        <f>+'Asset Classification'!I17</f>
        <v>938524491</v>
      </c>
      <c r="K17" s="440">
        <f>+'Asset Classification'!J17</f>
        <v>838803417</v>
      </c>
      <c r="L17" s="441">
        <f>+'Asset Classification'!K17</f>
        <v>93852449</v>
      </c>
      <c r="M17" s="440">
        <f t="shared" si="3"/>
        <v>93852449.100000009</v>
      </c>
      <c r="N17" s="440">
        <f t="shared" si="4"/>
        <v>-0.10000000894069672</v>
      </c>
      <c r="O17" s="440">
        <f>+'Asset Classification'!L17</f>
        <v>83880342</v>
      </c>
      <c r="P17" s="440">
        <f t="shared" si="5"/>
        <v>83880341.700000003</v>
      </c>
      <c r="Q17" s="440">
        <f t="shared" si="6"/>
        <v>0.29999999701976776</v>
      </c>
      <c r="R17" s="441">
        <f>+'Asset Classification'!M17</f>
        <v>9405114</v>
      </c>
      <c r="S17" s="440">
        <f>+'Asset Classification'!N17</f>
        <v>0</v>
      </c>
      <c r="T17" s="441">
        <f>+'Asset Classification'!O17</f>
        <v>2351279</v>
      </c>
      <c r="U17" s="440">
        <f t="shared" si="7"/>
        <v>2351278.5</v>
      </c>
      <c r="V17" s="440">
        <f t="shared" si="8"/>
        <v>0.5</v>
      </c>
      <c r="W17" s="440">
        <f>+'Asset Classification'!P17</f>
        <v>0</v>
      </c>
      <c r="X17" s="440">
        <f t="shared" si="9"/>
        <v>0</v>
      </c>
      <c r="Y17" s="440">
        <f t="shared" si="10"/>
        <v>0</v>
      </c>
      <c r="Z17" s="441">
        <f>+'Asset Classification'!Q17</f>
        <v>27702</v>
      </c>
      <c r="AA17" s="440">
        <f>+'Asset Classification'!R17</f>
        <v>0</v>
      </c>
      <c r="AB17" s="441">
        <f>+'Asset Classification'!S17</f>
        <v>13851</v>
      </c>
      <c r="AC17" s="440">
        <f t="shared" si="11"/>
        <v>13851</v>
      </c>
      <c r="AD17" s="440">
        <f t="shared" si="12"/>
        <v>0</v>
      </c>
      <c r="AE17" s="440">
        <f>+'Asset Classification'!T17</f>
        <v>0</v>
      </c>
      <c r="AF17" s="440">
        <f t="shared" si="13"/>
        <v>0</v>
      </c>
      <c r="AG17" s="440">
        <f t="shared" si="14"/>
        <v>0</v>
      </c>
      <c r="AH17" s="441">
        <f>+'Asset Classification'!U17</f>
        <v>146802</v>
      </c>
      <c r="AI17" s="440">
        <f>+'Asset Classification'!V17</f>
        <v>0</v>
      </c>
      <c r="AJ17" s="441">
        <f>+'Asset Classification'!W17</f>
        <v>146802</v>
      </c>
      <c r="AK17" s="440">
        <f t="shared" si="15"/>
        <v>146802</v>
      </c>
      <c r="AL17" s="440">
        <f t="shared" si="16"/>
        <v>0</v>
      </c>
      <c r="AM17" s="440">
        <f>+'Asset Classification'!X17</f>
        <v>0</v>
      </c>
      <c r="AN17" s="440">
        <f t="shared" si="17"/>
        <v>0</v>
      </c>
      <c r="AO17" s="440">
        <f t="shared" si="18"/>
        <v>0</v>
      </c>
      <c r="AP17" s="435">
        <f t="shared" si="19"/>
        <v>96364381</v>
      </c>
      <c r="AQ17" s="435">
        <f t="shared" si="19"/>
        <v>96364380.600000009</v>
      </c>
      <c r="AR17" s="435">
        <f t="shared" si="20"/>
        <v>0.39999999105930328</v>
      </c>
      <c r="AS17" s="440">
        <f t="shared" si="0"/>
        <v>83880342</v>
      </c>
      <c r="AT17" s="440">
        <f t="shared" si="0"/>
        <v>83880341.700000003</v>
      </c>
      <c r="AU17" s="440">
        <f t="shared" si="21"/>
        <v>0.29999999701976776</v>
      </c>
      <c r="AV17" s="208">
        <f>+'Aging Analysis'!C14</f>
        <v>9759069887</v>
      </c>
      <c r="AW17" s="206"/>
      <c r="AX17" s="206"/>
      <c r="AY17" s="206"/>
      <c r="AZ17" s="206"/>
      <c r="BA17" s="206"/>
      <c r="BB17" s="206"/>
      <c r="BC17" s="206"/>
    </row>
    <row r="18" spans="1:55" s="15" customFormat="1" ht="14.25" customHeight="1">
      <c r="A18" s="295"/>
      <c r="B18" s="297" t="s">
        <v>638</v>
      </c>
      <c r="C18" s="439">
        <f>+'Asset Classification'!C18</f>
        <v>0</v>
      </c>
      <c r="D18" s="440">
        <f>+'Asset Classification'!D18</f>
        <v>0</v>
      </c>
      <c r="E18" s="441">
        <f>+'Asset Classification'!E18</f>
        <v>0</v>
      </c>
      <c r="F18" s="440">
        <f>+'Asset Classification'!F18</f>
        <v>0</v>
      </c>
      <c r="G18" s="441">
        <f>+'Asset Classification'!G18</f>
        <v>0</v>
      </c>
      <c r="H18" s="440">
        <f t="shared" si="1"/>
        <v>0</v>
      </c>
      <c r="I18" s="440">
        <f t="shared" si="2"/>
        <v>0</v>
      </c>
      <c r="J18" s="441">
        <f>+'Asset Classification'!I18</f>
        <v>0</v>
      </c>
      <c r="K18" s="440">
        <f>+'Asset Classification'!J18</f>
        <v>0</v>
      </c>
      <c r="L18" s="441">
        <f>+'Asset Classification'!K18</f>
        <v>0</v>
      </c>
      <c r="M18" s="440">
        <f t="shared" si="3"/>
        <v>0</v>
      </c>
      <c r="N18" s="440">
        <f t="shared" si="4"/>
        <v>0</v>
      </c>
      <c r="O18" s="440">
        <f>+'Asset Classification'!L18</f>
        <v>0</v>
      </c>
      <c r="P18" s="440">
        <f t="shared" si="5"/>
        <v>0</v>
      </c>
      <c r="Q18" s="440">
        <f t="shared" si="6"/>
        <v>0</v>
      </c>
      <c r="R18" s="441">
        <f>+'Asset Classification'!M18</f>
        <v>0</v>
      </c>
      <c r="S18" s="440">
        <f>+'Asset Classification'!N18</f>
        <v>0</v>
      </c>
      <c r="T18" s="441">
        <f>+'Asset Classification'!O18</f>
        <v>0</v>
      </c>
      <c r="U18" s="440">
        <f t="shared" si="7"/>
        <v>0</v>
      </c>
      <c r="V18" s="440">
        <f t="shared" si="8"/>
        <v>0</v>
      </c>
      <c r="W18" s="440">
        <f>+'Asset Classification'!P18</f>
        <v>0</v>
      </c>
      <c r="X18" s="440">
        <f t="shared" si="9"/>
        <v>0</v>
      </c>
      <c r="Y18" s="440">
        <f t="shared" si="10"/>
        <v>0</v>
      </c>
      <c r="Z18" s="441">
        <f>+'Asset Classification'!Q18</f>
        <v>0</v>
      </c>
      <c r="AA18" s="440">
        <f>+'Asset Classification'!R18</f>
        <v>0</v>
      </c>
      <c r="AB18" s="441">
        <f>+'Asset Classification'!S18</f>
        <v>0</v>
      </c>
      <c r="AC18" s="440">
        <f t="shared" si="11"/>
        <v>0</v>
      </c>
      <c r="AD18" s="440">
        <f t="shared" si="12"/>
        <v>0</v>
      </c>
      <c r="AE18" s="440">
        <f>+'Asset Classification'!T18</f>
        <v>0</v>
      </c>
      <c r="AF18" s="440">
        <f t="shared" si="13"/>
        <v>0</v>
      </c>
      <c r="AG18" s="440">
        <f t="shared" si="14"/>
        <v>0</v>
      </c>
      <c r="AH18" s="441">
        <f>+'Asset Classification'!U18</f>
        <v>0</v>
      </c>
      <c r="AI18" s="440">
        <f>+'Asset Classification'!V18</f>
        <v>0</v>
      </c>
      <c r="AJ18" s="441">
        <f>+'Asset Classification'!W18</f>
        <v>0</v>
      </c>
      <c r="AK18" s="440">
        <f t="shared" si="15"/>
        <v>0</v>
      </c>
      <c r="AL18" s="440">
        <f t="shared" si="16"/>
        <v>0</v>
      </c>
      <c r="AM18" s="440">
        <f>+'Asset Classification'!X18</f>
        <v>0</v>
      </c>
      <c r="AN18" s="440">
        <f t="shared" si="17"/>
        <v>0</v>
      </c>
      <c r="AO18" s="440">
        <f t="shared" si="18"/>
        <v>0</v>
      </c>
      <c r="AP18" s="435">
        <f t="shared" si="19"/>
        <v>0</v>
      </c>
      <c r="AQ18" s="435">
        <f t="shared" si="19"/>
        <v>0</v>
      </c>
      <c r="AR18" s="435">
        <f t="shared" si="20"/>
        <v>0</v>
      </c>
      <c r="AS18" s="440">
        <f t="shared" si="0"/>
        <v>0</v>
      </c>
      <c r="AT18" s="440">
        <f t="shared" si="0"/>
        <v>0</v>
      </c>
      <c r="AU18" s="440">
        <f t="shared" si="21"/>
        <v>0</v>
      </c>
      <c r="AW18" s="206"/>
      <c r="AX18" s="206"/>
      <c r="AY18" s="206"/>
      <c r="AZ18" s="206"/>
      <c r="BA18" s="206"/>
      <c r="BB18" s="206"/>
      <c r="BC18" s="206"/>
    </row>
    <row r="19" spans="1:55" s="15" customFormat="1" ht="23.25" customHeight="1">
      <c r="A19" s="295">
        <v>7</v>
      </c>
      <c r="B19" s="130" t="s">
        <v>398</v>
      </c>
      <c r="C19" s="439">
        <f>+'Asset Classification'!C19</f>
        <v>32532347335</v>
      </c>
      <c r="D19" s="440">
        <f>+'Asset Classification'!D19</f>
        <v>23580570578</v>
      </c>
      <c r="E19" s="441">
        <f>+'Asset Classification'!E19</f>
        <v>23440218775</v>
      </c>
      <c r="F19" s="440">
        <f>+'Asset Classification'!F19</f>
        <v>17979954570</v>
      </c>
      <c r="G19" s="441">
        <f>+'Asset Classification'!G19</f>
        <v>235636455</v>
      </c>
      <c r="H19" s="440">
        <f t="shared" si="1"/>
        <v>234402187.75</v>
      </c>
      <c r="I19" s="440">
        <f t="shared" si="2"/>
        <v>1234267.25</v>
      </c>
      <c r="J19" s="441">
        <f>+'Asset Classification'!I19</f>
        <v>7747200513</v>
      </c>
      <c r="K19" s="440">
        <f>+'Asset Classification'!J19</f>
        <v>5179376376</v>
      </c>
      <c r="L19" s="441">
        <f>+'Asset Classification'!K19</f>
        <v>776244341</v>
      </c>
      <c r="M19" s="440">
        <f t="shared" si="3"/>
        <v>774720051.30000007</v>
      </c>
      <c r="N19" s="440">
        <f t="shared" si="4"/>
        <v>1524289.6999999285</v>
      </c>
      <c r="O19" s="440">
        <f>+'Asset Classification'!L19</f>
        <v>517937639</v>
      </c>
      <c r="P19" s="440">
        <f t="shared" si="5"/>
        <v>517937637.60000002</v>
      </c>
      <c r="Q19" s="440">
        <f t="shared" si="6"/>
        <v>1.3999999761581421</v>
      </c>
      <c r="R19" s="441">
        <f>+'Asset Classification'!M19</f>
        <v>94406068</v>
      </c>
      <c r="S19" s="440">
        <f>+'Asset Classification'!N19</f>
        <v>21411043</v>
      </c>
      <c r="T19" s="441">
        <f>+'Asset Classification'!O19</f>
        <v>24018887</v>
      </c>
      <c r="U19" s="440">
        <f t="shared" si="7"/>
        <v>23601517</v>
      </c>
      <c r="V19" s="440">
        <f t="shared" si="8"/>
        <v>417370</v>
      </c>
      <c r="W19" s="440">
        <f>+'Asset Classification'!P19</f>
        <v>5352762</v>
      </c>
      <c r="X19" s="440">
        <f t="shared" si="9"/>
        <v>5352760.75</v>
      </c>
      <c r="Y19" s="440">
        <f t="shared" si="10"/>
        <v>1.25</v>
      </c>
      <c r="Z19" s="441">
        <f>+'Asset Classification'!Q19</f>
        <v>368862332</v>
      </c>
      <c r="AA19" s="440">
        <f>+'Asset Classification'!R19</f>
        <v>180999960</v>
      </c>
      <c r="AB19" s="441">
        <f>+'Asset Classification'!S19</f>
        <v>184684793</v>
      </c>
      <c r="AC19" s="440">
        <f t="shared" si="11"/>
        <v>184431166</v>
      </c>
      <c r="AD19" s="440">
        <f t="shared" si="12"/>
        <v>253627</v>
      </c>
      <c r="AE19" s="440">
        <f>+'Asset Classification'!T19</f>
        <v>90499980</v>
      </c>
      <c r="AF19" s="440">
        <f t="shared" si="13"/>
        <v>90499980</v>
      </c>
      <c r="AG19" s="440">
        <f t="shared" si="14"/>
        <v>0</v>
      </c>
      <c r="AH19" s="441">
        <f>+'Asset Classification'!U19</f>
        <v>881659647</v>
      </c>
      <c r="AI19" s="440">
        <f>+'Asset Classification'!V19</f>
        <v>218828629</v>
      </c>
      <c r="AJ19" s="441">
        <f>+'Asset Classification'!W19</f>
        <v>881659647</v>
      </c>
      <c r="AK19" s="440">
        <f t="shared" si="15"/>
        <v>881659647</v>
      </c>
      <c r="AL19" s="440">
        <f t="shared" si="16"/>
        <v>0</v>
      </c>
      <c r="AM19" s="440">
        <f>+'Asset Classification'!X19</f>
        <v>218828629</v>
      </c>
      <c r="AN19" s="440">
        <f t="shared" si="17"/>
        <v>218828629</v>
      </c>
      <c r="AO19" s="440">
        <f t="shared" si="18"/>
        <v>0</v>
      </c>
      <c r="AP19" s="435">
        <f t="shared" si="19"/>
        <v>1866607668</v>
      </c>
      <c r="AQ19" s="435">
        <f t="shared" si="19"/>
        <v>1864412381.3000002</v>
      </c>
      <c r="AR19" s="435">
        <f t="shared" si="20"/>
        <v>2195286.6999998093</v>
      </c>
      <c r="AS19" s="440">
        <f t="shared" si="0"/>
        <v>832619010</v>
      </c>
      <c r="AT19" s="440">
        <f t="shared" si="0"/>
        <v>832619007.35000002</v>
      </c>
      <c r="AU19" s="440">
        <f t="shared" si="21"/>
        <v>2.6499999761581421</v>
      </c>
      <c r="AV19" s="208">
        <f>+'Aging Analysis'!C15</f>
        <v>32532347335</v>
      </c>
      <c r="AW19" s="206"/>
      <c r="AX19" s="206"/>
      <c r="AY19" s="206"/>
      <c r="AZ19" s="206"/>
      <c r="BA19" s="206"/>
      <c r="BB19" s="206"/>
      <c r="BC19" s="206"/>
    </row>
    <row r="20" spans="1:55" s="15" customFormat="1" ht="14.25" customHeight="1">
      <c r="A20" s="295"/>
      <c r="B20" s="297" t="s">
        <v>638</v>
      </c>
      <c r="C20" s="439">
        <f>+'Asset Classification'!C20</f>
        <v>0</v>
      </c>
      <c r="D20" s="440">
        <f>+'Asset Classification'!D20</f>
        <v>0</v>
      </c>
      <c r="E20" s="441">
        <f>+'Asset Classification'!E20</f>
        <v>0</v>
      </c>
      <c r="F20" s="440">
        <f>+'Asset Classification'!F20</f>
        <v>0</v>
      </c>
      <c r="G20" s="441">
        <f>+'Asset Classification'!G20</f>
        <v>0</v>
      </c>
      <c r="H20" s="440">
        <f t="shared" si="1"/>
        <v>0</v>
      </c>
      <c r="I20" s="440">
        <f t="shared" si="2"/>
        <v>0</v>
      </c>
      <c r="J20" s="441">
        <f>+'Asset Classification'!I20</f>
        <v>0</v>
      </c>
      <c r="K20" s="440">
        <f>+'Asset Classification'!J20</f>
        <v>0</v>
      </c>
      <c r="L20" s="441">
        <f>+'Asset Classification'!K20</f>
        <v>0</v>
      </c>
      <c r="M20" s="440">
        <f t="shared" si="3"/>
        <v>0</v>
      </c>
      <c r="N20" s="440">
        <f t="shared" si="4"/>
        <v>0</v>
      </c>
      <c r="O20" s="440">
        <f>+'Asset Classification'!L20</f>
        <v>0</v>
      </c>
      <c r="P20" s="440">
        <f t="shared" si="5"/>
        <v>0</v>
      </c>
      <c r="Q20" s="440">
        <f t="shared" si="6"/>
        <v>0</v>
      </c>
      <c r="R20" s="441">
        <f>+'Asset Classification'!M20</f>
        <v>0</v>
      </c>
      <c r="S20" s="440">
        <f>+'Asset Classification'!N20</f>
        <v>0</v>
      </c>
      <c r="T20" s="441">
        <f>+'Asset Classification'!O20</f>
        <v>0</v>
      </c>
      <c r="U20" s="440">
        <f t="shared" si="7"/>
        <v>0</v>
      </c>
      <c r="V20" s="440">
        <f t="shared" si="8"/>
        <v>0</v>
      </c>
      <c r="W20" s="440">
        <f>+'Asset Classification'!P20</f>
        <v>0</v>
      </c>
      <c r="X20" s="440">
        <f t="shared" si="9"/>
        <v>0</v>
      </c>
      <c r="Y20" s="440">
        <f t="shared" si="10"/>
        <v>0</v>
      </c>
      <c r="Z20" s="441">
        <f>+'Asset Classification'!Q20</f>
        <v>0</v>
      </c>
      <c r="AA20" s="440">
        <f>+'Asset Classification'!R20</f>
        <v>0</v>
      </c>
      <c r="AB20" s="441">
        <f>+'Asset Classification'!S20</f>
        <v>0</v>
      </c>
      <c r="AC20" s="440">
        <f t="shared" si="11"/>
        <v>0</v>
      </c>
      <c r="AD20" s="440">
        <f t="shared" si="12"/>
        <v>0</v>
      </c>
      <c r="AE20" s="440">
        <f>+'Asset Classification'!T20</f>
        <v>0</v>
      </c>
      <c r="AF20" s="440">
        <f t="shared" si="13"/>
        <v>0</v>
      </c>
      <c r="AG20" s="440">
        <f t="shared" si="14"/>
        <v>0</v>
      </c>
      <c r="AH20" s="441">
        <f>+'Asset Classification'!U20</f>
        <v>0</v>
      </c>
      <c r="AI20" s="440">
        <f>+'Asset Classification'!V20</f>
        <v>0</v>
      </c>
      <c r="AJ20" s="441">
        <f>+'Asset Classification'!W20</f>
        <v>0</v>
      </c>
      <c r="AK20" s="440">
        <f t="shared" si="15"/>
        <v>0</v>
      </c>
      <c r="AL20" s="440">
        <f t="shared" si="16"/>
        <v>0</v>
      </c>
      <c r="AM20" s="440">
        <f>+'Asset Classification'!X20</f>
        <v>0</v>
      </c>
      <c r="AN20" s="440">
        <f t="shared" si="17"/>
        <v>0</v>
      </c>
      <c r="AO20" s="440">
        <f t="shared" si="18"/>
        <v>0</v>
      </c>
      <c r="AP20" s="435">
        <f t="shared" si="19"/>
        <v>0</v>
      </c>
      <c r="AQ20" s="435">
        <f t="shared" si="19"/>
        <v>0</v>
      </c>
      <c r="AR20" s="435">
        <f t="shared" si="20"/>
        <v>0</v>
      </c>
      <c r="AS20" s="440">
        <f t="shared" si="0"/>
        <v>0</v>
      </c>
      <c r="AT20" s="440">
        <f t="shared" si="0"/>
        <v>0</v>
      </c>
      <c r="AU20" s="440">
        <f t="shared" si="21"/>
        <v>0</v>
      </c>
      <c r="AW20" s="206"/>
      <c r="AX20" s="206"/>
      <c r="AY20" s="206"/>
      <c r="AZ20" s="206"/>
      <c r="BA20" s="206"/>
      <c r="BB20" s="206"/>
      <c r="BC20" s="206"/>
    </row>
    <row r="21" spans="1:55" s="15" customFormat="1" ht="23.25" customHeight="1">
      <c r="A21" s="295">
        <v>8</v>
      </c>
      <c r="B21" s="130" t="s">
        <v>641</v>
      </c>
      <c r="C21" s="439">
        <f>+'Asset Classification'!C21</f>
        <v>88243247</v>
      </c>
      <c r="D21" s="440">
        <f>+'Asset Classification'!D21</f>
        <v>72388287</v>
      </c>
      <c r="E21" s="441">
        <f>+'Asset Classification'!E21</f>
        <v>36717456</v>
      </c>
      <c r="F21" s="440">
        <f>+'Asset Classification'!F21</f>
        <v>29360157</v>
      </c>
      <c r="G21" s="441">
        <f>+'Asset Classification'!G21</f>
        <v>366265</v>
      </c>
      <c r="H21" s="440">
        <f t="shared" si="1"/>
        <v>367174.56</v>
      </c>
      <c r="I21" s="440">
        <f t="shared" si="2"/>
        <v>-909.55999999999767</v>
      </c>
      <c r="J21" s="441">
        <f>+'Asset Classification'!I21</f>
        <v>46515934</v>
      </c>
      <c r="K21" s="440">
        <f>+'Asset Classification'!J21</f>
        <v>43028130</v>
      </c>
      <c r="L21" s="441">
        <f>+'Asset Classification'!K21</f>
        <v>4651593</v>
      </c>
      <c r="M21" s="440">
        <f t="shared" si="3"/>
        <v>4651593.4000000004</v>
      </c>
      <c r="N21" s="440">
        <f t="shared" si="4"/>
        <v>-0.40000000037252903</v>
      </c>
      <c r="O21" s="440">
        <f>+'Asset Classification'!L21</f>
        <v>4302813</v>
      </c>
      <c r="P21" s="440">
        <f t="shared" si="5"/>
        <v>4302813</v>
      </c>
      <c r="Q21" s="440">
        <f t="shared" si="6"/>
        <v>0</v>
      </c>
      <c r="R21" s="441">
        <f>+'Asset Classification'!M21</f>
        <v>0</v>
      </c>
      <c r="S21" s="440">
        <f>+'Asset Classification'!N21</f>
        <v>0</v>
      </c>
      <c r="T21" s="441">
        <f>+'Asset Classification'!O21</f>
        <v>0</v>
      </c>
      <c r="U21" s="440">
        <f t="shared" si="7"/>
        <v>0</v>
      </c>
      <c r="V21" s="440">
        <f t="shared" si="8"/>
        <v>0</v>
      </c>
      <c r="W21" s="440">
        <f>+'Asset Classification'!P21</f>
        <v>0</v>
      </c>
      <c r="X21" s="440">
        <f t="shared" si="9"/>
        <v>0</v>
      </c>
      <c r="Y21" s="440">
        <f t="shared" si="10"/>
        <v>0</v>
      </c>
      <c r="Z21" s="441">
        <f>+'Asset Classification'!Q21</f>
        <v>620043</v>
      </c>
      <c r="AA21" s="440">
        <f>+'Asset Classification'!R21</f>
        <v>0</v>
      </c>
      <c r="AB21" s="441">
        <f>+'Asset Classification'!S21</f>
        <v>310021</v>
      </c>
      <c r="AC21" s="440">
        <f t="shared" si="11"/>
        <v>310021.5</v>
      </c>
      <c r="AD21" s="440">
        <f t="shared" si="12"/>
        <v>-0.5</v>
      </c>
      <c r="AE21" s="440">
        <f>+'Asset Classification'!T21</f>
        <v>0</v>
      </c>
      <c r="AF21" s="440">
        <f t="shared" si="13"/>
        <v>0</v>
      </c>
      <c r="AG21" s="440">
        <f t="shared" si="14"/>
        <v>0</v>
      </c>
      <c r="AH21" s="441">
        <f>+'Asset Classification'!U21</f>
        <v>4389814</v>
      </c>
      <c r="AI21" s="440">
        <f>+'Asset Classification'!V21</f>
        <v>0</v>
      </c>
      <c r="AJ21" s="441">
        <f>+'Asset Classification'!W21</f>
        <v>4389814</v>
      </c>
      <c r="AK21" s="440">
        <f t="shared" si="15"/>
        <v>4389814</v>
      </c>
      <c r="AL21" s="440">
        <f t="shared" si="16"/>
        <v>0</v>
      </c>
      <c r="AM21" s="440">
        <f>+'Asset Classification'!X21</f>
        <v>0</v>
      </c>
      <c r="AN21" s="440">
        <f t="shared" si="17"/>
        <v>0</v>
      </c>
      <c r="AO21" s="440">
        <f t="shared" si="18"/>
        <v>0</v>
      </c>
      <c r="AP21" s="435">
        <f t="shared" si="19"/>
        <v>9351428</v>
      </c>
      <c r="AQ21" s="435">
        <f t="shared" si="19"/>
        <v>9351428.9000000004</v>
      </c>
      <c r="AR21" s="435">
        <f t="shared" si="20"/>
        <v>-0.90000000037252903</v>
      </c>
      <c r="AS21" s="440">
        <f t="shared" si="0"/>
        <v>4302813</v>
      </c>
      <c r="AT21" s="440">
        <f t="shared" si="0"/>
        <v>4302813</v>
      </c>
      <c r="AU21" s="440">
        <f t="shared" si="21"/>
        <v>0</v>
      </c>
      <c r="AV21" s="208">
        <f>+'Aging Analysis'!C16</f>
        <v>88243247</v>
      </c>
      <c r="AW21" s="206"/>
      <c r="AX21" s="206"/>
      <c r="AY21" s="206"/>
      <c r="AZ21" s="206"/>
      <c r="BA21" s="206"/>
      <c r="BB21" s="206"/>
      <c r="BC21" s="206"/>
    </row>
    <row r="22" spans="1:55" s="15" customFormat="1" ht="14.25" customHeight="1">
      <c r="A22" s="295"/>
      <c r="B22" s="297" t="s">
        <v>638</v>
      </c>
      <c r="C22" s="439">
        <f>+'Asset Classification'!C22</f>
        <v>0</v>
      </c>
      <c r="D22" s="440">
        <f>+'Asset Classification'!D22</f>
        <v>0</v>
      </c>
      <c r="E22" s="441">
        <f>+'Asset Classification'!E22</f>
        <v>0</v>
      </c>
      <c r="F22" s="440">
        <f>+'Asset Classification'!F22</f>
        <v>0</v>
      </c>
      <c r="G22" s="441">
        <f>+'Asset Classification'!G22</f>
        <v>0</v>
      </c>
      <c r="H22" s="440">
        <f t="shared" si="1"/>
        <v>0</v>
      </c>
      <c r="I22" s="440">
        <f t="shared" si="2"/>
        <v>0</v>
      </c>
      <c r="J22" s="441">
        <f>+'Asset Classification'!I22</f>
        <v>0</v>
      </c>
      <c r="K22" s="440">
        <f>+'Asset Classification'!J22</f>
        <v>0</v>
      </c>
      <c r="L22" s="441">
        <f>+'Asset Classification'!K22</f>
        <v>0</v>
      </c>
      <c r="M22" s="440">
        <f t="shared" si="3"/>
        <v>0</v>
      </c>
      <c r="N22" s="440">
        <f t="shared" si="4"/>
        <v>0</v>
      </c>
      <c r="O22" s="440">
        <f>+'Asset Classification'!L22</f>
        <v>0</v>
      </c>
      <c r="P22" s="440">
        <f t="shared" si="5"/>
        <v>0</v>
      </c>
      <c r="Q22" s="440">
        <f t="shared" si="6"/>
        <v>0</v>
      </c>
      <c r="R22" s="441">
        <f>+'Asset Classification'!M22</f>
        <v>0</v>
      </c>
      <c r="S22" s="440">
        <f>+'Asset Classification'!N22</f>
        <v>0</v>
      </c>
      <c r="T22" s="441">
        <f>+'Asset Classification'!O22</f>
        <v>0</v>
      </c>
      <c r="U22" s="440">
        <f t="shared" si="7"/>
        <v>0</v>
      </c>
      <c r="V22" s="440">
        <f t="shared" si="8"/>
        <v>0</v>
      </c>
      <c r="W22" s="440">
        <f>+'Asset Classification'!P22</f>
        <v>0</v>
      </c>
      <c r="X22" s="440">
        <f t="shared" si="9"/>
        <v>0</v>
      </c>
      <c r="Y22" s="440">
        <f t="shared" si="10"/>
        <v>0</v>
      </c>
      <c r="Z22" s="441">
        <f>+'Asset Classification'!Q22</f>
        <v>0</v>
      </c>
      <c r="AA22" s="440">
        <f>+'Asset Classification'!R22</f>
        <v>0</v>
      </c>
      <c r="AB22" s="441">
        <f>+'Asset Classification'!S22</f>
        <v>0</v>
      </c>
      <c r="AC22" s="440">
        <f t="shared" si="11"/>
        <v>0</v>
      </c>
      <c r="AD22" s="440">
        <f t="shared" si="12"/>
        <v>0</v>
      </c>
      <c r="AE22" s="440">
        <f>+'Asset Classification'!T22</f>
        <v>0</v>
      </c>
      <c r="AF22" s="440">
        <f t="shared" si="13"/>
        <v>0</v>
      </c>
      <c r="AG22" s="440">
        <f t="shared" si="14"/>
        <v>0</v>
      </c>
      <c r="AH22" s="441">
        <f>+'Asset Classification'!U22</f>
        <v>0</v>
      </c>
      <c r="AI22" s="440">
        <f>+'Asset Classification'!V22</f>
        <v>0</v>
      </c>
      <c r="AJ22" s="441">
        <f>+'Asset Classification'!W22</f>
        <v>0</v>
      </c>
      <c r="AK22" s="440">
        <f t="shared" si="15"/>
        <v>0</v>
      </c>
      <c r="AL22" s="440">
        <f t="shared" si="16"/>
        <v>0</v>
      </c>
      <c r="AM22" s="440">
        <f>+'Asset Classification'!X22</f>
        <v>0</v>
      </c>
      <c r="AN22" s="440">
        <f t="shared" si="17"/>
        <v>0</v>
      </c>
      <c r="AO22" s="440">
        <f t="shared" si="18"/>
        <v>0</v>
      </c>
      <c r="AP22" s="435">
        <f t="shared" si="19"/>
        <v>0</v>
      </c>
      <c r="AQ22" s="435">
        <f t="shared" si="19"/>
        <v>0</v>
      </c>
      <c r="AR22" s="435">
        <f t="shared" si="20"/>
        <v>0</v>
      </c>
      <c r="AS22" s="440">
        <f t="shared" si="0"/>
        <v>0</v>
      </c>
      <c r="AT22" s="440">
        <f t="shared" si="0"/>
        <v>0</v>
      </c>
      <c r="AU22" s="440">
        <f t="shared" si="21"/>
        <v>0</v>
      </c>
      <c r="AW22" s="206"/>
      <c r="AX22" s="206"/>
      <c r="AY22" s="206"/>
      <c r="AZ22" s="206"/>
      <c r="BA22" s="206"/>
      <c r="BB22" s="206"/>
      <c r="BC22" s="206"/>
    </row>
    <row r="23" spans="1:55" s="15" customFormat="1" ht="23.25" customHeight="1">
      <c r="A23" s="295">
        <v>9</v>
      </c>
      <c r="B23" s="130" t="s">
        <v>642</v>
      </c>
      <c r="C23" s="439">
        <f>+'Asset Classification'!C23</f>
        <v>33541698</v>
      </c>
      <c r="D23" s="440">
        <f>+'Asset Classification'!D23</f>
        <v>0</v>
      </c>
      <c r="E23" s="441">
        <f>+'Asset Classification'!E23</f>
        <v>33541698</v>
      </c>
      <c r="F23" s="440">
        <f>+'Asset Classification'!F23</f>
        <v>0</v>
      </c>
      <c r="G23" s="441">
        <f>+'Asset Classification'!G23</f>
        <v>335417</v>
      </c>
      <c r="H23" s="440">
        <f t="shared" si="1"/>
        <v>335416.98</v>
      </c>
      <c r="I23" s="440">
        <f t="shared" si="2"/>
        <v>2.0000000018626451E-2</v>
      </c>
      <c r="J23" s="441">
        <f>+'Asset Classification'!I23</f>
        <v>0</v>
      </c>
      <c r="K23" s="440">
        <f>+'Asset Classification'!J23</f>
        <v>0</v>
      </c>
      <c r="L23" s="441">
        <f>+'Asset Classification'!K23</f>
        <v>0</v>
      </c>
      <c r="M23" s="440">
        <f t="shared" si="3"/>
        <v>0</v>
      </c>
      <c r="N23" s="440">
        <f t="shared" si="4"/>
        <v>0</v>
      </c>
      <c r="O23" s="440">
        <f>+'Asset Classification'!L23</f>
        <v>0</v>
      </c>
      <c r="P23" s="440">
        <f t="shared" si="5"/>
        <v>0</v>
      </c>
      <c r="Q23" s="440">
        <f t="shared" si="6"/>
        <v>0</v>
      </c>
      <c r="R23" s="441">
        <f>+'Asset Classification'!M23</f>
        <v>0</v>
      </c>
      <c r="S23" s="440">
        <f>+'Asset Classification'!N23</f>
        <v>0</v>
      </c>
      <c r="T23" s="441">
        <f>+'Asset Classification'!O23</f>
        <v>0</v>
      </c>
      <c r="U23" s="440">
        <f t="shared" si="7"/>
        <v>0</v>
      </c>
      <c r="V23" s="440">
        <f t="shared" si="8"/>
        <v>0</v>
      </c>
      <c r="W23" s="440">
        <f>+'Asset Classification'!P23</f>
        <v>0</v>
      </c>
      <c r="X23" s="440">
        <f t="shared" si="9"/>
        <v>0</v>
      </c>
      <c r="Y23" s="440">
        <f t="shared" si="10"/>
        <v>0</v>
      </c>
      <c r="Z23" s="441">
        <f>+'Asset Classification'!Q23</f>
        <v>0</v>
      </c>
      <c r="AA23" s="440">
        <f>+'Asset Classification'!R23</f>
        <v>0</v>
      </c>
      <c r="AB23" s="441">
        <f>+'Asset Classification'!S23</f>
        <v>0</v>
      </c>
      <c r="AC23" s="440">
        <f t="shared" si="11"/>
        <v>0</v>
      </c>
      <c r="AD23" s="440">
        <f t="shared" si="12"/>
        <v>0</v>
      </c>
      <c r="AE23" s="440">
        <f>+'Asset Classification'!T23</f>
        <v>0</v>
      </c>
      <c r="AF23" s="440">
        <f t="shared" si="13"/>
        <v>0</v>
      </c>
      <c r="AG23" s="440">
        <f t="shared" si="14"/>
        <v>0</v>
      </c>
      <c r="AH23" s="441">
        <f>+'Asset Classification'!U23</f>
        <v>0</v>
      </c>
      <c r="AI23" s="440">
        <f>+'Asset Classification'!V23</f>
        <v>0</v>
      </c>
      <c r="AJ23" s="441">
        <f>+'Asset Classification'!W23</f>
        <v>0</v>
      </c>
      <c r="AK23" s="440">
        <f t="shared" si="15"/>
        <v>0</v>
      </c>
      <c r="AL23" s="440">
        <f t="shared" si="16"/>
        <v>0</v>
      </c>
      <c r="AM23" s="440">
        <f>+'Asset Classification'!X23</f>
        <v>0</v>
      </c>
      <c r="AN23" s="440">
        <f t="shared" si="17"/>
        <v>0</v>
      </c>
      <c r="AO23" s="440">
        <f t="shared" si="18"/>
        <v>0</v>
      </c>
      <c r="AP23" s="435">
        <f t="shared" si="19"/>
        <v>0</v>
      </c>
      <c r="AQ23" s="435">
        <f t="shared" si="19"/>
        <v>0</v>
      </c>
      <c r="AR23" s="435">
        <f t="shared" si="20"/>
        <v>0</v>
      </c>
      <c r="AS23" s="440">
        <f t="shared" si="0"/>
        <v>0</v>
      </c>
      <c r="AT23" s="440">
        <f t="shared" si="0"/>
        <v>0</v>
      </c>
      <c r="AU23" s="440">
        <f t="shared" si="21"/>
        <v>0</v>
      </c>
      <c r="AV23" s="208">
        <f>+'Aging Analysis'!C17</f>
        <v>33541698</v>
      </c>
      <c r="AW23" s="206"/>
      <c r="AX23" s="206"/>
      <c r="AY23" s="206"/>
      <c r="AZ23" s="206"/>
      <c r="BA23" s="206"/>
      <c r="BB23" s="206"/>
      <c r="BC23" s="206"/>
    </row>
    <row r="24" spans="1:55" s="15" customFormat="1" ht="14.25" customHeight="1">
      <c r="A24" s="295"/>
      <c r="B24" s="297" t="s">
        <v>638</v>
      </c>
      <c r="C24" s="439">
        <f>+'Asset Classification'!C24</f>
        <v>0</v>
      </c>
      <c r="D24" s="440">
        <f>+'Asset Classification'!D24</f>
        <v>0</v>
      </c>
      <c r="E24" s="441">
        <f>+'Asset Classification'!E24</f>
        <v>0</v>
      </c>
      <c r="F24" s="440">
        <f>+'Asset Classification'!F24</f>
        <v>0</v>
      </c>
      <c r="G24" s="441">
        <f>+'Asset Classification'!G24</f>
        <v>0</v>
      </c>
      <c r="H24" s="440">
        <f t="shared" si="1"/>
        <v>0</v>
      </c>
      <c r="I24" s="440">
        <f t="shared" si="2"/>
        <v>0</v>
      </c>
      <c r="J24" s="441">
        <f>+'Asset Classification'!I24</f>
        <v>0</v>
      </c>
      <c r="K24" s="440">
        <f>+'Asset Classification'!J24</f>
        <v>0</v>
      </c>
      <c r="L24" s="441">
        <f>+'Asset Classification'!K24</f>
        <v>0</v>
      </c>
      <c r="M24" s="440">
        <f t="shared" si="3"/>
        <v>0</v>
      </c>
      <c r="N24" s="440">
        <f t="shared" si="4"/>
        <v>0</v>
      </c>
      <c r="O24" s="440">
        <f>+'Asset Classification'!L24</f>
        <v>0</v>
      </c>
      <c r="P24" s="440">
        <f t="shared" si="5"/>
        <v>0</v>
      </c>
      <c r="Q24" s="440">
        <f t="shared" si="6"/>
        <v>0</v>
      </c>
      <c r="R24" s="441">
        <f>+'Asset Classification'!M24</f>
        <v>0</v>
      </c>
      <c r="S24" s="440">
        <f>+'Asset Classification'!N24</f>
        <v>0</v>
      </c>
      <c r="T24" s="441">
        <f>+'Asset Classification'!O24</f>
        <v>0</v>
      </c>
      <c r="U24" s="440">
        <f t="shared" si="7"/>
        <v>0</v>
      </c>
      <c r="V24" s="440">
        <f t="shared" si="8"/>
        <v>0</v>
      </c>
      <c r="W24" s="440">
        <f>+'Asset Classification'!P24</f>
        <v>0</v>
      </c>
      <c r="X24" s="440">
        <f t="shared" si="9"/>
        <v>0</v>
      </c>
      <c r="Y24" s="440">
        <f t="shared" si="10"/>
        <v>0</v>
      </c>
      <c r="Z24" s="441">
        <f>+'Asset Classification'!Q24</f>
        <v>0</v>
      </c>
      <c r="AA24" s="440">
        <f>+'Asset Classification'!R24</f>
        <v>0</v>
      </c>
      <c r="AB24" s="441">
        <f>+'Asset Classification'!S24</f>
        <v>0</v>
      </c>
      <c r="AC24" s="440">
        <f t="shared" si="11"/>
        <v>0</v>
      </c>
      <c r="AD24" s="440">
        <f t="shared" si="12"/>
        <v>0</v>
      </c>
      <c r="AE24" s="440">
        <f>+'Asset Classification'!T24</f>
        <v>0</v>
      </c>
      <c r="AF24" s="440">
        <f t="shared" si="13"/>
        <v>0</v>
      </c>
      <c r="AG24" s="440">
        <f t="shared" si="14"/>
        <v>0</v>
      </c>
      <c r="AH24" s="441">
        <f>+'Asset Classification'!U24</f>
        <v>0</v>
      </c>
      <c r="AI24" s="440">
        <f>+'Asset Classification'!V24</f>
        <v>0</v>
      </c>
      <c r="AJ24" s="441">
        <f>+'Asset Classification'!W24</f>
        <v>0</v>
      </c>
      <c r="AK24" s="440">
        <f t="shared" si="15"/>
        <v>0</v>
      </c>
      <c r="AL24" s="440">
        <f t="shared" si="16"/>
        <v>0</v>
      </c>
      <c r="AM24" s="440">
        <f>+'Asset Classification'!X24</f>
        <v>0</v>
      </c>
      <c r="AN24" s="440">
        <f t="shared" si="17"/>
        <v>0</v>
      </c>
      <c r="AO24" s="440">
        <f t="shared" si="18"/>
        <v>0</v>
      </c>
      <c r="AP24" s="435">
        <f t="shared" si="19"/>
        <v>0</v>
      </c>
      <c r="AQ24" s="435">
        <f t="shared" si="19"/>
        <v>0</v>
      </c>
      <c r="AR24" s="435">
        <f t="shared" si="20"/>
        <v>0</v>
      </c>
      <c r="AS24" s="440">
        <f t="shared" si="0"/>
        <v>0</v>
      </c>
      <c r="AT24" s="440">
        <f t="shared" si="0"/>
        <v>0</v>
      </c>
      <c r="AU24" s="440">
        <f t="shared" si="21"/>
        <v>0</v>
      </c>
      <c r="AW24" s="206"/>
      <c r="AX24" s="206"/>
      <c r="AY24" s="206"/>
      <c r="AZ24" s="206"/>
      <c r="BA24" s="206"/>
      <c r="BB24" s="206"/>
      <c r="BC24" s="206"/>
    </row>
    <row r="25" spans="1:55" s="15" customFormat="1" ht="23.25" customHeight="1">
      <c r="A25" s="295">
        <v>10</v>
      </c>
      <c r="B25" s="130" t="s">
        <v>643</v>
      </c>
      <c r="C25" s="439">
        <f>+'Asset Classification'!C25</f>
        <v>1623241</v>
      </c>
      <c r="D25" s="440">
        <f>+'Asset Classification'!D25</f>
        <v>430280</v>
      </c>
      <c r="E25" s="441">
        <f>+'Asset Classification'!E25</f>
        <v>1061761</v>
      </c>
      <c r="F25" s="440">
        <f>+'Asset Classification'!F25</f>
        <v>0</v>
      </c>
      <c r="G25" s="441">
        <f>+'Asset Classification'!G25</f>
        <v>10618</v>
      </c>
      <c r="H25" s="440">
        <f t="shared" si="1"/>
        <v>10617.61</v>
      </c>
      <c r="I25" s="440">
        <f t="shared" si="2"/>
        <v>0.38999999999941792</v>
      </c>
      <c r="J25" s="441">
        <f>+'Asset Classification'!I25</f>
        <v>430280</v>
      </c>
      <c r="K25" s="440">
        <f>+'Asset Classification'!J25</f>
        <v>430280</v>
      </c>
      <c r="L25" s="441">
        <f>+'Asset Classification'!K25</f>
        <v>43028</v>
      </c>
      <c r="M25" s="440">
        <f t="shared" si="3"/>
        <v>43028</v>
      </c>
      <c r="N25" s="440">
        <f t="shared" si="4"/>
        <v>0</v>
      </c>
      <c r="O25" s="440">
        <f>+'Asset Classification'!L25</f>
        <v>43028</v>
      </c>
      <c r="P25" s="440">
        <f t="shared" si="5"/>
        <v>43028</v>
      </c>
      <c r="Q25" s="440">
        <f t="shared" si="6"/>
        <v>0</v>
      </c>
      <c r="R25" s="441">
        <f>+'Asset Classification'!M25</f>
        <v>0</v>
      </c>
      <c r="S25" s="440">
        <f>+'Asset Classification'!N25</f>
        <v>0</v>
      </c>
      <c r="T25" s="441">
        <f>+'Asset Classification'!O25</f>
        <v>0</v>
      </c>
      <c r="U25" s="440">
        <f t="shared" si="7"/>
        <v>0</v>
      </c>
      <c r="V25" s="440">
        <f t="shared" si="8"/>
        <v>0</v>
      </c>
      <c r="W25" s="440">
        <f>+'Asset Classification'!P25</f>
        <v>0</v>
      </c>
      <c r="X25" s="440">
        <f t="shared" si="9"/>
        <v>0</v>
      </c>
      <c r="Y25" s="440">
        <f t="shared" si="10"/>
        <v>0</v>
      </c>
      <c r="Z25" s="441">
        <f>+'Asset Classification'!Q25</f>
        <v>0</v>
      </c>
      <c r="AA25" s="440">
        <f>+'Asset Classification'!R25</f>
        <v>0</v>
      </c>
      <c r="AB25" s="441">
        <f>+'Asset Classification'!S25</f>
        <v>0</v>
      </c>
      <c r="AC25" s="440">
        <f t="shared" si="11"/>
        <v>0</v>
      </c>
      <c r="AD25" s="440">
        <f t="shared" si="12"/>
        <v>0</v>
      </c>
      <c r="AE25" s="440">
        <f>+'Asset Classification'!T25</f>
        <v>0</v>
      </c>
      <c r="AF25" s="440">
        <f t="shared" si="13"/>
        <v>0</v>
      </c>
      <c r="AG25" s="440">
        <f t="shared" si="14"/>
        <v>0</v>
      </c>
      <c r="AH25" s="441">
        <f>+'Asset Classification'!U25</f>
        <v>131200</v>
      </c>
      <c r="AI25" s="440">
        <f>+'Asset Classification'!V25</f>
        <v>0</v>
      </c>
      <c r="AJ25" s="441">
        <f>+'Asset Classification'!W25</f>
        <v>131200</v>
      </c>
      <c r="AK25" s="440">
        <f t="shared" si="15"/>
        <v>131200</v>
      </c>
      <c r="AL25" s="440">
        <f t="shared" si="16"/>
        <v>0</v>
      </c>
      <c r="AM25" s="440">
        <f>+'Asset Classification'!X25</f>
        <v>0</v>
      </c>
      <c r="AN25" s="440">
        <f t="shared" si="17"/>
        <v>0</v>
      </c>
      <c r="AO25" s="440">
        <f t="shared" si="18"/>
        <v>0</v>
      </c>
      <c r="AP25" s="435">
        <f t="shared" si="19"/>
        <v>174228</v>
      </c>
      <c r="AQ25" s="435">
        <f t="shared" si="19"/>
        <v>174228</v>
      </c>
      <c r="AR25" s="435">
        <f t="shared" si="20"/>
        <v>0</v>
      </c>
      <c r="AS25" s="440">
        <f t="shared" si="0"/>
        <v>43028</v>
      </c>
      <c r="AT25" s="440">
        <f t="shared" si="0"/>
        <v>43028</v>
      </c>
      <c r="AU25" s="440">
        <f t="shared" si="21"/>
        <v>0</v>
      </c>
      <c r="AV25" s="208">
        <f>+'Aging Analysis'!C18</f>
        <v>1623241</v>
      </c>
      <c r="AW25" s="206"/>
      <c r="AX25" s="206"/>
      <c r="AY25" s="206"/>
      <c r="AZ25" s="206"/>
      <c r="BA25" s="206"/>
      <c r="BB25" s="206"/>
      <c r="BC25" s="206"/>
    </row>
    <row r="26" spans="1:55" s="15" customFormat="1" ht="14.25" customHeight="1">
      <c r="A26" s="295"/>
      <c r="B26" s="297" t="s">
        <v>638</v>
      </c>
      <c r="C26" s="439">
        <f>+'Asset Classification'!C26</f>
        <v>0</v>
      </c>
      <c r="D26" s="440">
        <f>+'Asset Classification'!D26</f>
        <v>0</v>
      </c>
      <c r="E26" s="441">
        <f>+'Asset Classification'!E26</f>
        <v>0</v>
      </c>
      <c r="F26" s="440">
        <f>+'Asset Classification'!F26</f>
        <v>0</v>
      </c>
      <c r="G26" s="441">
        <f>+'Asset Classification'!G26</f>
        <v>0</v>
      </c>
      <c r="H26" s="440">
        <f t="shared" si="1"/>
        <v>0</v>
      </c>
      <c r="I26" s="440">
        <f t="shared" si="2"/>
        <v>0</v>
      </c>
      <c r="J26" s="441">
        <f>+'Asset Classification'!I26</f>
        <v>0</v>
      </c>
      <c r="K26" s="440">
        <f>+'Asset Classification'!J26</f>
        <v>0</v>
      </c>
      <c r="L26" s="441">
        <f>+'Asset Classification'!K26</f>
        <v>0</v>
      </c>
      <c r="M26" s="440">
        <f t="shared" si="3"/>
        <v>0</v>
      </c>
      <c r="N26" s="440">
        <f t="shared" si="4"/>
        <v>0</v>
      </c>
      <c r="O26" s="440">
        <f>+'Asset Classification'!L26</f>
        <v>0</v>
      </c>
      <c r="P26" s="440">
        <f t="shared" si="5"/>
        <v>0</v>
      </c>
      <c r="Q26" s="440">
        <f t="shared" si="6"/>
        <v>0</v>
      </c>
      <c r="R26" s="441">
        <f>+'Asset Classification'!M26</f>
        <v>0</v>
      </c>
      <c r="S26" s="440">
        <f>+'Asset Classification'!N26</f>
        <v>0</v>
      </c>
      <c r="T26" s="441">
        <f>+'Asset Classification'!O26</f>
        <v>0</v>
      </c>
      <c r="U26" s="440">
        <f t="shared" si="7"/>
        <v>0</v>
      </c>
      <c r="V26" s="440">
        <f t="shared" si="8"/>
        <v>0</v>
      </c>
      <c r="W26" s="440">
        <f>+'Asset Classification'!P26</f>
        <v>0</v>
      </c>
      <c r="X26" s="440">
        <f t="shared" si="9"/>
        <v>0</v>
      </c>
      <c r="Y26" s="440">
        <f t="shared" si="10"/>
        <v>0</v>
      </c>
      <c r="Z26" s="441">
        <f>+'Asset Classification'!Q26</f>
        <v>0</v>
      </c>
      <c r="AA26" s="440">
        <f>+'Asset Classification'!R26</f>
        <v>0</v>
      </c>
      <c r="AB26" s="441">
        <f>+'Asset Classification'!S26</f>
        <v>0</v>
      </c>
      <c r="AC26" s="440">
        <f t="shared" si="11"/>
        <v>0</v>
      </c>
      <c r="AD26" s="440">
        <f t="shared" si="12"/>
        <v>0</v>
      </c>
      <c r="AE26" s="440">
        <f>+'Asset Classification'!T26</f>
        <v>0</v>
      </c>
      <c r="AF26" s="440">
        <f t="shared" si="13"/>
        <v>0</v>
      </c>
      <c r="AG26" s="440">
        <f t="shared" si="14"/>
        <v>0</v>
      </c>
      <c r="AH26" s="441">
        <f>+'Asset Classification'!U26</f>
        <v>0</v>
      </c>
      <c r="AI26" s="440">
        <f>+'Asset Classification'!V26</f>
        <v>0</v>
      </c>
      <c r="AJ26" s="441">
        <f>+'Asset Classification'!W26</f>
        <v>0</v>
      </c>
      <c r="AK26" s="440">
        <f t="shared" si="15"/>
        <v>0</v>
      </c>
      <c r="AL26" s="440">
        <f t="shared" si="16"/>
        <v>0</v>
      </c>
      <c r="AM26" s="440">
        <f>+'Asset Classification'!X26</f>
        <v>0</v>
      </c>
      <c r="AN26" s="440">
        <f t="shared" si="17"/>
        <v>0</v>
      </c>
      <c r="AO26" s="440">
        <f t="shared" si="18"/>
        <v>0</v>
      </c>
      <c r="AP26" s="435">
        <f t="shared" si="19"/>
        <v>0</v>
      </c>
      <c r="AQ26" s="435">
        <f t="shared" si="19"/>
        <v>0</v>
      </c>
      <c r="AR26" s="435">
        <f t="shared" si="20"/>
        <v>0</v>
      </c>
      <c r="AS26" s="440">
        <f t="shared" si="0"/>
        <v>0</v>
      </c>
      <c r="AT26" s="440">
        <f t="shared" si="0"/>
        <v>0</v>
      </c>
      <c r="AU26" s="440">
        <f t="shared" si="21"/>
        <v>0</v>
      </c>
      <c r="AW26" s="206"/>
      <c r="AX26" s="206"/>
      <c r="AY26" s="206"/>
      <c r="AZ26" s="206"/>
      <c r="BA26" s="206"/>
      <c r="BB26" s="206"/>
      <c r="BC26" s="206"/>
    </row>
    <row r="27" spans="1:55" s="15" customFormat="1" ht="23.25" customHeight="1">
      <c r="A27" s="295">
        <v>11</v>
      </c>
      <c r="B27" s="130" t="s">
        <v>644</v>
      </c>
      <c r="C27" s="439">
        <f>+'Asset Classification'!C27</f>
        <v>0</v>
      </c>
      <c r="D27" s="440">
        <f>+'Asset Classification'!D27</f>
        <v>0</v>
      </c>
      <c r="E27" s="441">
        <f>+'Asset Classification'!E27</f>
        <v>0</v>
      </c>
      <c r="F27" s="440">
        <f>+'Asset Classification'!F27</f>
        <v>0</v>
      </c>
      <c r="G27" s="441">
        <f>+'Asset Classification'!G27</f>
        <v>0</v>
      </c>
      <c r="H27" s="440">
        <f t="shared" si="1"/>
        <v>0</v>
      </c>
      <c r="I27" s="440">
        <f t="shared" si="2"/>
        <v>0</v>
      </c>
      <c r="J27" s="441">
        <f>+'Asset Classification'!I27</f>
        <v>0</v>
      </c>
      <c r="K27" s="440">
        <f>+'Asset Classification'!J27</f>
        <v>0</v>
      </c>
      <c r="L27" s="441">
        <f>+'Asset Classification'!K27</f>
        <v>0</v>
      </c>
      <c r="M27" s="440">
        <f t="shared" si="3"/>
        <v>0</v>
      </c>
      <c r="N27" s="440">
        <f t="shared" si="4"/>
        <v>0</v>
      </c>
      <c r="O27" s="440">
        <f>+'Asset Classification'!L27</f>
        <v>0</v>
      </c>
      <c r="P27" s="440">
        <f t="shared" si="5"/>
        <v>0</v>
      </c>
      <c r="Q27" s="440">
        <f t="shared" si="6"/>
        <v>0</v>
      </c>
      <c r="R27" s="441">
        <f>+'Asset Classification'!M27</f>
        <v>0</v>
      </c>
      <c r="S27" s="440">
        <f>+'Asset Classification'!N27</f>
        <v>0</v>
      </c>
      <c r="T27" s="441">
        <f>+'Asset Classification'!O27</f>
        <v>0</v>
      </c>
      <c r="U27" s="440">
        <f t="shared" si="7"/>
        <v>0</v>
      </c>
      <c r="V27" s="440">
        <f t="shared" si="8"/>
        <v>0</v>
      </c>
      <c r="W27" s="440">
        <f>+'Asset Classification'!P27</f>
        <v>0</v>
      </c>
      <c r="X27" s="440">
        <f t="shared" si="9"/>
        <v>0</v>
      </c>
      <c r="Y27" s="440">
        <f t="shared" si="10"/>
        <v>0</v>
      </c>
      <c r="Z27" s="441">
        <f>+'Asset Classification'!Q27</f>
        <v>0</v>
      </c>
      <c r="AA27" s="440">
        <f>+'Asset Classification'!R27</f>
        <v>0</v>
      </c>
      <c r="AB27" s="441">
        <f>+'Asset Classification'!S27</f>
        <v>0</v>
      </c>
      <c r="AC27" s="440">
        <f t="shared" si="11"/>
        <v>0</v>
      </c>
      <c r="AD27" s="440">
        <f t="shared" si="12"/>
        <v>0</v>
      </c>
      <c r="AE27" s="440">
        <f>+'Asset Classification'!T27</f>
        <v>0</v>
      </c>
      <c r="AF27" s="440">
        <f t="shared" si="13"/>
        <v>0</v>
      </c>
      <c r="AG27" s="440">
        <f t="shared" si="14"/>
        <v>0</v>
      </c>
      <c r="AH27" s="441">
        <f>+'Asset Classification'!U27</f>
        <v>0</v>
      </c>
      <c r="AI27" s="440">
        <f>+'Asset Classification'!V27</f>
        <v>0</v>
      </c>
      <c r="AJ27" s="441">
        <f>+'Asset Classification'!W27</f>
        <v>0</v>
      </c>
      <c r="AK27" s="440">
        <f t="shared" si="15"/>
        <v>0</v>
      </c>
      <c r="AL27" s="440">
        <f t="shared" si="16"/>
        <v>0</v>
      </c>
      <c r="AM27" s="440">
        <f>+'Asset Classification'!X27</f>
        <v>0</v>
      </c>
      <c r="AN27" s="440">
        <f t="shared" si="17"/>
        <v>0</v>
      </c>
      <c r="AO27" s="440">
        <f t="shared" si="18"/>
        <v>0</v>
      </c>
      <c r="AP27" s="435">
        <f t="shared" si="19"/>
        <v>0</v>
      </c>
      <c r="AQ27" s="435">
        <f t="shared" si="19"/>
        <v>0</v>
      </c>
      <c r="AR27" s="435">
        <f t="shared" si="20"/>
        <v>0</v>
      </c>
      <c r="AS27" s="440">
        <f t="shared" si="0"/>
        <v>0</v>
      </c>
      <c r="AT27" s="440">
        <f t="shared" si="0"/>
        <v>0</v>
      </c>
      <c r="AU27" s="440">
        <f t="shared" si="21"/>
        <v>0</v>
      </c>
      <c r="AV27" s="208">
        <f>+'Aging Analysis'!C19</f>
        <v>0</v>
      </c>
      <c r="AW27" s="206"/>
      <c r="AX27" s="206"/>
      <c r="AY27" s="206"/>
      <c r="AZ27" s="206"/>
      <c r="BA27" s="206"/>
      <c r="BB27" s="206"/>
      <c r="BC27" s="206"/>
    </row>
    <row r="28" spans="1:55" s="15" customFormat="1" ht="14.25" customHeight="1">
      <c r="A28" s="295"/>
      <c r="B28" s="297" t="s">
        <v>638</v>
      </c>
      <c r="C28" s="439">
        <f>+'Asset Classification'!C28</f>
        <v>0</v>
      </c>
      <c r="D28" s="440">
        <f>+'Asset Classification'!D28</f>
        <v>0</v>
      </c>
      <c r="E28" s="441">
        <f>+'Asset Classification'!E28</f>
        <v>0</v>
      </c>
      <c r="F28" s="440">
        <f>+'Asset Classification'!F28</f>
        <v>0</v>
      </c>
      <c r="G28" s="441">
        <f>+'Asset Classification'!G28</f>
        <v>0</v>
      </c>
      <c r="H28" s="440">
        <f t="shared" si="1"/>
        <v>0</v>
      </c>
      <c r="I28" s="440">
        <f t="shared" si="2"/>
        <v>0</v>
      </c>
      <c r="J28" s="441">
        <f>+'Asset Classification'!I28</f>
        <v>0</v>
      </c>
      <c r="K28" s="440">
        <f>+'Asset Classification'!J28</f>
        <v>0</v>
      </c>
      <c r="L28" s="441">
        <f>+'Asset Classification'!K28</f>
        <v>0</v>
      </c>
      <c r="M28" s="440">
        <f t="shared" si="3"/>
        <v>0</v>
      </c>
      <c r="N28" s="440">
        <f t="shared" si="4"/>
        <v>0</v>
      </c>
      <c r="O28" s="440">
        <f>+'Asset Classification'!L28</f>
        <v>0</v>
      </c>
      <c r="P28" s="440">
        <f t="shared" si="5"/>
        <v>0</v>
      </c>
      <c r="Q28" s="440">
        <f t="shared" si="6"/>
        <v>0</v>
      </c>
      <c r="R28" s="441">
        <f>+'Asset Classification'!M28</f>
        <v>0</v>
      </c>
      <c r="S28" s="440">
        <f>+'Asset Classification'!N28</f>
        <v>0</v>
      </c>
      <c r="T28" s="441">
        <f>+'Asset Classification'!O28</f>
        <v>0</v>
      </c>
      <c r="U28" s="440">
        <f t="shared" si="7"/>
        <v>0</v>
      </c>
      <c r="V28" s="440">
        <f t="shared" si="8"/>
        <v>0</v>
      </c>
      <c r="W28" s="440">
        <f>+'Asset Classification'!P28</f>
        <v>0</v>
      </c>
      <c r="X28" s="440">
        <f t="shared" si="9"/>
        <v>0</v>
      </c>
      <c r="Y28" s="440">
        <f t="shared" si="10"/>
        <v>0</v>
      </c>
      <c r="Z28" s="441">
        <f>+'Asset Classification'!Q28</f>
        <v>0</v>
      </c>
      <c r="AA28" s="440">
        <f>+'Asset Classification'!R28</f>
        <v>0</v>
      </c>
      <c r="AB28" s="441">
        <f>+'Asset Classification'!S28</f>
        <v>0</v>
      </c>
      <c r="AC28" s="440">
        <f t="shared" si="11"/>
        <v>0</v>
      </c>
      <c r="AD28" s="440">
        <f t="shared" si="12"/>
        <v>0</v>
      </c>
      <c r="AE28" s="440">
        <f>+'Asset Classification'!T28</f>
        <v>0</v>
      </c>
      <c r="AF28" s="440">
        <f t="shared" si="13"/>
        <v>0</v>
      </c>
      <c r="AG28" s="440">
        <f t="shared" si="14"/>
        <v>0</v>
      </c>
      <c r="AH28" s="441">
        <f>+'Asset Classification'!U28</f>
        <v>0</v>
      </c>
      <c r="AI28" s="440">
        <f>+'Asset Classification'!V28</f>
        <v>0</v>
      </c>
      <c r="AJ28" s="441">
        <f>+'Asset Classification'!W28</f>
        <v>0</v>
      </c>
      <c r="AK28" s="440">
        <f t="shared" si="15"/>
        <v>0</v>
      </c>
      <c r="AL28" s="440">
        <f t="shared" si="16"/>
        <v>0</v>
      </c>
      <c r="AM28" s="440">
        <f>+'Asset Classification'!X28</f>
        <v>0</v>
      </c>
      <c r="AN28" s="440">
        <f t="shared" si="17"/>
        <v>0</v>
      </c>
      <c r="AO28" s="440">
        <f t="shared" si="18"/>
        <v>0</v>
      </c>
      <c r="AP28" s="435">
        <f t="shared" si="19"/>
        <v>0</v>
      </c>
      <c r="AQ28" s="435">
        <f t="shared" si="19"/>
        <v>0</v>
      </c>
      <c r="AR28" s="435">
        <f t="shared" si="20"/>
        <v>0</v>
      </c>
      <c r="AS28" s="440">
        <f t="shared" si="0"/>
        <v>0</v>
      </c>
      <c r="AT28" s="440">
        <f t="shared" si="0"/>
        <v>0</v>
      </c>
      <c r="AU28" s="440">
        <f t="shared" si="21"/>
        <v>0</v>
      </c>
      <c r="AW28" s="206"/>
      <c r="AX28" s="206"/>
      <c r="AY28" s="206"/>
      <c r="AZ28" s="206"/>
      <c r="BA28" s="206"/>
      <c r="BB28" s="206"/>
      <c r="BC28" s="206"/>
    </row>
    <row r="29" spans="1:55" s="15" customFormat="1" ht="23.25" customHeight="1">
      <c r="A29" s="295">
        <v>12</v>
      </c>
      <c r="B29" s="130" t="s">
        <v>645</v>
      </c>
      <c r="C29" s="439">
        <f>+'Asset Classification'!C29</f>
        <v>0</v>
      </c>
      <c r="D29" s="440">
        <f>+'Asset Classification'!D29</f>
        <v>0</v>
      </c>
      <c r="E29" s="441">
        <f>+'Asset Classification'!E29</f>
        <v>0</v>
      </c>
      <c r="F29" s="440">
        <f>+'Asset Classification'!F29</f>
        <v>0</v>
      </c>
      <c r="G29" s="441">
        <f>+'Asset Classification'!G29</f>
        <v>0</v>
      </c>
      <c r="H29" s="440">
        <f t="shared" si="1"/>
        <v>0</v>
      </c>
      <c r="I29" s="440">
        <f t="shared" si="2"/>
        <v>0</v>
      </c>
      <c r="J29" s="441">
        <f>+'Asset Classification'!I29</f>
        <v>0</v>
      </c>
      <c r="K29" s="440">
        <f>+'Asset Classification'!J29</f>
        <v>0</v>
      </c>
      <c r="L29" s="441">
        <f>+'Asset Classification'!K29</f>
        <v>0</v>
      </c>
      <c r="M29" s="440">
        <f t="shared" si="3"/>
        <v>0</v>
      </c>
      <c r="N29" s="440">
        <f t="shared" si="4"/>
        <v>0</v>
      </c>
      <c r="O29" s="440">
        <f>+'Asset Classification'!L29</f>
        <v>0</v>
      </c>
      <c r="P29" s="440">
        <f t="shared" si="5"/>
        <v>0</v>
      </c>
      <c r="Q29" s="440">
        <f t="shared" si="6"/>
        <v>0</v>
      </c>
      <c r="R29" s="441">
        <f>+'Asset Classification'!M29</f>
        <v>0</v>
      </c>
      <c r="S29" s="440">
        <f>+'Asset Classification'!N29</f>
        <v>0</v>
      </c>
      <c r="T29" s="441">
        <f>+'Asset Classification'!O29</f>
        <v>0</v>
      </c>
      <c r="U29" s="440">
        <f t="shared" si="7"/>
        <v>0</v>
      </c>
      <c r="V29" s="440">
        <f t="shared" si="8"/>
        <v>0</v>
      </c>
      <c r="W29" s="440">
        <f>+'Asset Classification'!P29</f>
        <v>0</v>
      </c>
      <c r="X29" s="440">
        <f t="shared" si="9"/>
        <v>0</v>
      </c>
      <c r="Y29" s="440">
        <f t="shared" si="10"/>
        <v>0</v>
      </c>
      <c r="Z29" s="441">
        <f>+'Asset Classification'!Q29</f>
        <v>0</v>
      </c>
      <c r="AA29" s="440">
        <f>+'Asset Classification'!R29</f>
        <v>0</v>
      </c>
      <c r="AB29" s="441">
        <f>+'Asset Classification'!S29</f>
        <v>0</v>
      </c>
      <c r="AC29" s="440">
        <f t="shared" si="11"/>
        <v>0</v>
      </c>
      <c r="AD29" s="440">
        <f t="shared" si="12"/>
        <v>0</v>
      </c>
      <c r="AE29" s="440">
        <f>+'Asset Classification'!T29</f>
        <v>0</v>
      </c>
      <c r="AF29" s="440">
        <f t="shared" si="13"/>
        <v>0</v>
      </c>
      <c r="AG29" s="440">
        <f t="shared" si="14"/>
        <v>0</v>
      </c>
      <c r="AH29" s="441">
        <f>+'Asset Classification'!U29</f>
        <v>0</v>
      </c>
      <c r="AI29" s="440">
        <f>+'Asset Classification'!V29</f>
        <v>0</v>
      </c>
      <c r="AJ29" s="441">
        <f>+'Asset Classification'!W29</f>
        <v>0</v>
      </c>
      <c r="AK29" s="440">
        <f t="shared" si="15"/>
        <v>0</v>
      </c>
      <c r="AL29" s="440">
        <f t="shared" si="16"/>
        <v>0</v>
      </c>
      <c r="AM29" s="440">
        <f>+'Asset Classification'!X29</f>
        <v>0</v>
      </c>
      <c r="AN29" s="440">
        <f t="shared" si="17"/>
        <v>0</v>
      </c>
      <c r="AO29" s="440">
        <f t="shared" si="18"/>
        <v>0</v>
      </c>
      <c r="AP29" s="435">
        <f t="shared" si="19"/>
        <v>0</v>
      </c>
      <c r="AQ29" s="435">
        <f t="shared" si="19"/>
        <v>0</v>
      </c>
      <c r="AR29" s="435">
        <f t="shared" si="20"/>
        <v>0</v>
      </c>
      <c r="AS29" s="440">
        <f t="shared" si="0"/>
        <v>0</v>
      </c>
      <c r="AT29" s="440">
        <f t="shared" si="0"/>
        <v>0</v>
      </c>
      <c r="AU29" s="440">
        <f t="shared" si="21"/>
        <v>0</v>
      </c>
      <c r="AV29" s="208">
        <f>+'Aging Analysis'!C20</f>
        <v>0</v>
      </c>
      <c r="AW29" s="206"/>
      <c r="AX29" s="206"/>
      <c r="AY29" s="206"/>
      <c r="AZ29" s="206"/>
      <c r="BA29" s="206"/>
      <c r="BB29" s="206"/>
      <c r="BC29" s="206"/>
    </row>
    <row r="30" spans="1:55" s="15" customFormat="1" ht="14.25" customHeight="1">
      <c r="A30" s="295"/>
      <c r="B30" s="297" t="s">
        <v>638</v>
      </c>
      <c r="C30" s="439">
        <f>+'Asset Classification'!C30</f>
        <v>0</v>
      </c>
      <c r="D30" s="440">
        <f>+'Asset Classification'!D30</f>
        <v>0</v>
      </c>
      <c r="E30" s="441">
        <f>+'Asset Classification'!E30</f>
        <v>0</v>
      </c>
      <c r="F30" s="440">
        <f>+'Asset Classification'!F30</f>
        <v>0</v>
      </c>
      <c r="G30" s="441">
        <f>+'Asset Classification'!G30</f>
        <v>0</v>
      </c>
      <c r="H30" s="440">
        <f t="shared" si="1"/>
        <v>0</v>
      </c>
      <c r="I30" s="440">
        <f t="shared" si="2"/>
        <v>0</v>
      </c>
      <c r="J30" s="441">
        <f>+'Asset Classification'!I30</f>
        <v>0</v>
      </c>
      <c r="K30" s="440">
        <f>+'Asset Classification'!J30</f>
        <v>0</v>
      </c>
      <c r="L30" s="441">
        <f>+'Asset Classification'!K30</f>
        <v>0</v>
      </c>
      <c r="M30" s="440">
        <f t="shared" si="3"/>
        <v>0</v>
      </c>
      <c r="N30" s="440">
        <f t="shared" si="4"/>
        <v>0</v>
      </c>
      <c r="O30" s="440">
        <f>+'Asset Classification'!L30</f>
        <v>0</v>
      </c>
      <c r="P30" s="440">
        <f t="shared" si="5"/>
        <v>0</v>
      </c>
      <c r="Q30" s="440">
        <f t="shared" si="6"/>
        <v>0</v>
      </c>
      <c r="R30" s="441">
        <f>+'Asset Classification'!M30</f>
        <v>0</v>
      </c>
      <c r="S30" s="440">
        <f>+'Asset Classification'!N30</f>
        <v>0</v>
      </c>
      <c r="T30" s="441">
        <f>+'Asset Classification'!O30</f>
        <v>0</v>
      </c>
      <c r="U30" s="440">
        <f t="shared" si="7"/>
        <v>0</v>
      </c>
      <c r="V30" s="440">
        <f t="shared" si="8"/>
        <v>0</v>
      </c>
      <c r="W30" s="440">
        <f>+'Asset Classification'!P30</f>
        <v>0</v>
      </c>
      <c r="X30" s="440">
        <f t="shared" si="9"/>
        <v>0</v>
      </c>
      <c r="Y30" s="440">
        <f t="shared" si="10"/>
        <v>0</v>
      </c>
      <c r="Z30" s="441">
        <f>+'Asset Classification'!Q30</f>
        <v>0</v>
      </c>
      <c r="AA30" s="440">
        <f>+'Asset Classification'!R30</f>
        <v>0</v>
      </c>
      <c r="AB30" s="441">
        <f>+'Asset Classification'!S30</f>
        <v>0</v>
      </c>
      <c r="AC30" s="440">
        <f t="shared" si="11"/>
        <v>0</v>
      </c>
      <c r="AD30" s="440">
        <f t="shared" si="12"/>
        <v>0</v>
      </c>
      <c r="AE30" s="440">
        <f>+'Asset Classification'!T30</f>
        <v>0</v>
      </c>
      <c r="AF30" s="440">
        <f t="shared" si="13"/>
        <v>0</v>
      </c>
      <c r="AG30" s="440">
        <f t="shared" si="14"/>
        <v>0</v>
      </c>
      <c r="AH30" s="441">
        <f>+'Asset Classification'!U30</f>
        <v>0</v>
      </c>
      <c r="AI30" s="440">
        <f>+'Asset Classification'!V30</f>
        <v>0</v>
      </c>
      <c r="AJ30" s="441">
        <f>+'Asset Classification'!W30</f>
        <v>0</v>
      </c>
      <c r="AK30" s="440">
        <f t="shared" si="15"/>
        <v>0</v>
      </c>
      <c r="AL30" s="440">
        <f t="shared" si="16"/>
        <v>0</v>
      </c>
      <c r="AM30" s="440">
        <f>+'Asset Classification'!X30</f>
        <v>0</v>
      </c>
      <c r="AN30" s="440">
        <f t="shared" si="17"/>
        <v>0</v>
      </c>
      <c r="AO30" s="440">
        <f t="shared" si="18"/>
        <v>0</v>
      </c>
      <c r="AP30" s="435">
        <f t="shared" si="19"/>
        <v>0</v>
      </c>
      <c r="AQ30" s="435">
        <f t="shared" si="19"/>
        <v>0</v>
      </c>
      <c r="AR30" s="435">
        <f t="shared" si="20"/>
        <v>0</v>
      </c>
      <c r="AS30" s="440">
        <f t="shared" si="0"/>
        <v>0</v>
      </c>
      <c r="AT30" s="440">
        <f t="shared" si="0"/>
        <v>0</v>
      </c>
      <c r="AU30" s="440">
        <f t="shared" si="21"/>
        <v>0</v>
      </c>
      <c r="AV30" s="206"/>
      <c r="AW30" s="206"/>
      <c r="AX30" s="206"/>
      <c r="AY30" s="206"/>
      <c r="AZ30" s="206"/>
      <c r="BA30" s="206"/>
      <c r="BB30" s="206"/>
      <c r="BC30" s="206"/>
    </row>
    <row r="31" spans="1:55" s="424" customFormat="1" ht="28.5" customHeight="1">
      <c r="A31" s="423">
        <v>13</v>
      </c>
      <c r="B31" s="423" t="s">
        <v>646</v>
      </c>
      <c r="C31" s="436">
        <f>+'Asset Classification'!C31</f>
        <v>64935569833</v>
      </c>
      <c r="D31" s="436">
        <f>+'Asset Classification'!D31</f>
        <v>39024053370</v>
      </c>
      <c r="E31" s="436">
        <f>+'Asset Classification'!E31</f>
        <v>51319667488</v>
      </c>
      <c r="F31" s="436">
        <f>+'Asset Classification'!F31</f>
        <v>32061360522</v>
      </c>
      <c r="G31" s="436">
        <f>+'Asset Classification'!G31</f>
        <v>511888974</v>
      </c>
      <c r="H31" s="436">
        <f t="shared" ref="H31:I31" si="22">+H7+H9+H11+H13+H15+H17+H19+H21+H23+H25+H27+H29</f>
        <v>513196674.88000005</v>
      </c>
      <c r="I31" s="436">
        <f t="shared" si="22"/>
        <v>-1307700.8800000043</v>
      </c>
      <c r="J31" s="436">
        <f>+'Asset Classification'!I31</f>
        <v>11973504955</v>
      </c>
      <c r="K31" s="436">
        <f>+'Asset Classification'!J31</f>
        <v>6541453216</v>
      </c>
      <c r="L31" s="436">
        <f>+'Asset Classification'!K31</f>
        <v>1198877092</v>
      </c>
      <c r="M31" s="436">
        <f t="shared" ref="M31:N31" si="23">+M7+M9+M11+M13+M15+M17+M19+M21+M23+M25+M27+M29</f>
        <v>1197350495.5000002</v>
      </c>
      <c r="N31" s="436">
        <f t="shared" si="23"/>
        <v>1526596.4999998938</v>
      </c>
      <c r="O31" s="436">
        <f>+'Asset Classification'!L31</f>
        <v>654145323</v>
      </c>
      <c r="P31" s="436">
        <f t="shared" ref="P31:Q31" si="24">+P7+P9+P11+P13+P15+P17+P19+P21+P23+P25+P27+P29</f>
        <v>654145321.60000002</v>
      </c>
      <c r="Q31" s="436">
        <f t="shared" si="24"/>
        <v>1.3999999687075615</v>
      </c>
      <c r="R31" s="436">
        <f>+'Asset Classification'!M31</f>
        <v>197951703</v>
      </c>
      <c r="S31" s="436">
        <f>+'Asset Classification'!N31</f>
        <v>21411043</v>
      </c>
      <c r="T31" s="436">
        <f>+'Asset Classification'!O31</f>
        <v>49906638</v>
      </c>
      <c r="U31" s="436">
        <f t="shared" ref="U31:V31" si="25">+U7+U9+U11+U13+U15+U17+U19+U21+U23+U25+U27+U29</f>
        <v>49487925.75</v>
      </c>
      <c r="V31" s="436">
        <f t="shared" si="25"/>
        <v>418712.25</v>
      </c>
      <c r="W31" s="436">
        <f>+'Asset Classification'!P31</f>
        <v>5352762</v>
      </c>
      <c r="X31" s="436">
        <f t="shared" ref="X31:Y31" si="26">+X7+X9+X11+X13+X15+X17+X19+X21+X23+X25+X27+X29</f>
        <v>5352760.75</v>
      </c>
      <c r="Y31" s="436">
        <f t="shared" si="26"/>
        <v>1.25</v>
      </c>
      <c r="Z31" s="436">
        <f>+'Asset Classification'!Q31</f>
        <v>515717513</v>
      </c>
      <c r="AA31" s="436">
        <f>+'Asset Classification'!R31</f>
        <v>180999960</v>
      </c>
      <c r="AB31" s="436">
        <f>+'Asset Classification'!S31</f>
        <v>258118383</v>
      </c>
      <c r="AC31" s="436">
        <f t="shared" ref="AC31:AD31" si="27">+AC7+AC9+AC11+AC13+AC15+AC17+AC19+AC21+AC23+AC25+AC27+AC29</f>
        <v>257858756.5</v>
      </c>
      <c r="AD31" s="436">
        <f t="shared" si="27"/>
        <v>259626.5</v>
      </c>
      <c r="AE31" s="436">
        <f>+'Asset Classification'!T31</f>
        <v>90499980</v>
      </c>
      <c r="AF31" s="436">
        <f t="shared" ref="AF31:AG31" si="28">+AF7+AF9+AF11+AF13+AF15+AF17+AF19+AF21+AF23+AF25+AF27+AF29</f>
        <v>90499980</v>
      </c>
      <c r="AG31" s="436">
        <f t="shared" si="28"/>
        <v>0</v>
      </c>
      <c r="AH31" s="436">
        <f>+'Asset Classification'!U31</f>
        <v>928728174</v>
      </c>
      <c r="AI31" s="436">
        <f>+'Asset Classification'!V31</f>
        <v>218828629</v>
      </c>
      <c r="AJ31" s="436">
        <f>+'Asset Classification'!W31</f>
        <v>928720297</v>
      </c>
      <c r="AK31" s="436">
        <f t="shared" ref="AK31:AL31" si="29">+AK7+AK9+AK11+AK13+AK15+AK17+AK19+AK21+AK23+AK25+AK27+AK29</f>
        <v>928728174</v>
      </c>
      <c r="AL31" s="436">
        <f t="shared" si="29"/>
        <v>-7877</v>
      </c>
      <c r="AM31" s="436">
        <f>+'Asset Classification'!X31</f>
        <v>218828629</v>
      </c>
      <c r="AN31" s="436">
        <f t="shared" ref="AN31:AU31" si="30">+AN7+AN9+AN11+AN13+AN15+AN17+AN19+AN21+AN23+AN25+AN27+AN29</f>
        <v>218828629</v>
      </c>
      <c r="AO31" s="436">
        <f t="shared" si="30"/>
        <v>0</v>
      </c>
      <c r="AP31" s="436">
        <f t="shared" si="30"/>
        <v>2435622410</v>
      </c>
      <c r="AQ31" s="436">
        <f t="shared" si="30"/>
        <v>2433425351.7500005</v>
      </c>
      <c r="AR31" s="436">
        <f t="shared" si="30"/>
        <v>2197058.2499997821</v>
      </c>
      <c r="AS31" s="436">
        <f t="shared" si="30"/>
        <v>968826694</v>
      </c>
      <c r="AT31" s="436">
        <f t="shared" si="30"/>
        <v>968826691.35000002</v>
      </c>
      <c r="AU31" s="436">
        <f t="shared" si="30"/>
        <v>2.6499999687075615</v>
      </c>
      <c r="AV31" s="442">
        <f>+'Loans Receivable'!C85</f>
        <v>64935569833</v>
      </c>
    </row>
    <row r="32" spans="1:55" s="15" customFormat="1" ht="13.5" customHeight="1">
      <c r="A32" s="295"/>
      <c r="B32" s="299" t="s">
        <v>638</v>
      </c>
      <c r="C32" s="439">
        <f>+'Asset Classification'!C32</f>
        <v>0</v>
      </c>
      <c r="D32" s="440">
        <f>+'Asset Classification'!D32</f>
        <v>0</v>
      </c>
      <c r="E32" s="441">
        <f>+'Asset Classification'!E32</f>
        <v>0</v>
      </c>
      <c r="F32" s="440">
        <f>+'Asset Classification'!F32</f>
        <v>0</v>
      </c>
      <c r="G32" s="441">
        <f>+'Asset Classification'!G32</f>
        <v>0</v>
      </c>
      <c r="H32" s="440">
        <f t="shared" ref="H32" si="31">+E32*1%</f>
        <v>0</v>
      </c>
      <c r="I32" s="440">
        <f t="shared" ref="I32" si="32">+G32-H32</f>
        <v>0</v>
      </c>
      <c r="J32" s="441">
        <f>+'Asset Classification'!I32</f>
        <v>0</v>
      </c>
      <c r="K32" s="440">
        <f>+'Asset Classification'!J32</f>
        <v>0</v>
      </c>
      <c r="L32" s="441">
        <f>+'Asset Classification'!K32</f>
        <v>0</v>
      </c>
      <c r="M32" s="440">
        <f t="shared" ref="M32" si="33">+J32*10%</f>
        <v>0</v>
      </c>
      <c r="N32" s="440">
        <f t="shared" ref="N32" si="34">+L32-M32</f>
        <v>0</v>
      </c>
      <c r="O32" s="440">
        <f>+'Asset Classification'!L32</f>
        <v>0</v>
      </c>
      <c r="P32" s="440">
        <f t="shared" ref="P32" si="35">+K32*10%</f>
        <v>0</v>
      </c>
      <c r="Q32" s="440">
        <f t="shared" ref="Q32" si="36">+O32-P32</f>
        <v>0</v>
      </c>
      <c r="R32" s="441">
        <f>+'Asset Classification'!M32</f>
        <v>0</v>
      </c>
      <c r="S32" s="440">
        <f>+'Asset Classification'!N32</f>
        <v>0</v>
      </c>
      <c r="T32" s="441">
        <f>+'Asset Classification'!O32</f>
        <v>0</v>
      </c>
      <c r="U32" s="440">
        <f t="shared" ref="U32" si="37">+R32*25%</f>
        <v>0</v>
      </c>
      <c r="V32" s="440">
        <f t="shared" ref="V32" si="38">+T32-U32</f>
        <v>0</v>
      </c>
      <c r="W32" s="440">
        <f>+'Asset Classification'!P32</f>
        <v>0</v>
      </c>
      <c r="X32" s="440">
        <f t="shared" ref="X32" si="39">+S32*25%</f>
        <v>0</v>
      </c>
      <c r="Y32" s="440">
        <f t="shared" ref="Y32" si="40">+W32-X32</f>
        <v>0</v>
      </c>
      <c r="Z32" s="441">
        <f>+'Asset Classification'!Q32</f>
        <v>0</v>
      </c>
      <c r="AA32" s="440">
        <f>+'Asset Classification'!R32</f>
        <v>0</v>
      </c>
      <c r="AB32" s="441">
        <f>+'Asset Classification'!S32</f>
        <v>0</v>
      </c>
      <c r="AC32" s="440">
        <f t="shared" ref="AC32" si="41">+Z32*50%</f>
        <v>0</v>
      </c>
      <c r="AD32" s="440">
        <f t="shared" ref="AD32" si="42">+AB32-AC32</f>
        <v>0</v>
      </c>
      <c r="AE32" s="440">
        <f>+'Asset Classification'!T32</f>
        <v>0</v>
      </c>
      <c r="AF32" s="440">
        <f t="shared" ref="AF32" si="43">+AA32*50%</f>
        <v>0</v>
      </c>
      <c r="AG32" s="440">
        <f t="shared" ref="AG32" si="44">+AE32-AF32</f>
        <v>0</v>
      </c>
      <c r="AH32" s="441">
        <f>+'Asset Classification'!U32</f>
        <v>0</v>
      </c>
      <c r="AI32" s="440">
        <f>+'Asset Classification'!V32</f>
        <v>0</v>
      </c>
      <c r="AJ32" s="441">
        <f>+'Asset Classification'!W32</f>
        <v>0</v>
      </c>
      <c r="AK32" s="440">
        <f t="shared" ref="AK32" si="45">+AH32*100%</f>
        <v>0</v>
      </c>
      <c r="AL32" s="440">
        <f t="shared" ref="AL32" si="46">+AJ32-AK32</f>
        <v>0</v>
      </c>
      <c r="AM32" s="440">
        <f>+'Asset Classification'!X32</f>
        <v>0</v>
      </c>
      <c r="AN32" s="440">
        <f t="shared" ref="AN32" si="47">+AI32*100%</f>
        <v>0</v>
      </c>
      <c r="AO32" s="440">
        <f t="shared" ref="AO32" si="48">+AM32-AN32</f>
        <v>0</v>
      </c>
      <c r="AP32" s="435">
        <f t="shared" ref="AP32" si="49">+L32+T32+AB32+AJ32</f>
        <v>0</v>
      </c>
      <c r="AQ32" s="435">
        <f t="shared" ref="AQ32" si="50">+M32+U32+AC32+AK32</f>
        <v>0</v>
      </c>
      <c r="AR32" s="435">
        <f t="shared" ref="AR32" si="51">+AP32-AQ32</f>
        <v>0</v>
      </c>
      <c r="AS32" s="440">
        <f t="shared" ref="AS32" si="52">+O32+W32+AE32+AM32</f>
        <v>0</v>
      </c>
      <c r="AT32" s="440">
        <f t="shared" ref="AT32" si="53">+P32+X32+AF32+AN32</f>
        <v>0</v>
      </c>
      <c r="AU32" s="440">
        <f t="shared" ref="AU32" si="54">+AS32-AT32</f>
        <v>0</v>
      </c>
      <c r="AV32" s="206"/>
      <c r="AW32" s="206"/>
      <c r="AX32" s="206"/>
      <c r="AY32" s="206"/>
      <c r="AZ32" s="206"/>
      <c r="BA32" s="206"/>
      <c r="BB32" s="206"/>
      <c r="BC32" s="206"/>
    </row>
    <row r="33" spans="1:55" s="424" customFormat="1" ht="27.75" customHeight="1">
      <c r="A33" s="423"/>
      <c r="B33" s="423" t="s">
        <v>647</v>
      </c>
      <c r="C33" s="436"/>
      <c r="D33" s="436"/>
      <c r="E33" s="436"/>
      <c r="F33" s="436"/>
      <c r="G33" s="436"/>
      <c r="H33" s="436"/>
      <c r="I33" s="436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  <c r="AB33" s="436"/>
      <c r="AC33" s="436"/>
      <c r="AD33" s="436"/>
      <c r="AE33" s="436"/>
      <c r="AF33" s="436"/>
      <c r="AG33" s="436"/>
      <c r="AH33" s="436"/>
      <c r="AI33" s="436"/>
      <c r="AJ33" s="436"/>
      <c r="AK33" s="436"/>
      <c r="AL33" s="436"/>
      <c r="AM33" s="436"/>
      <c r="AN33" s="436"/>
      <c r="AO33" s="436"/>
      <c r="AP33" s="436"/>
      <c r="AQ33" s="436"/>
      <c r="AR33" s="436"/>
      <c r="AS33" s="436"/>
      <c r="AT33" s="436"/>
      <c r="AU33" s="436"/>
    </row>
    <row r="34" spans="1:55" s="15" customFormat="1" ht="7.5" customHeight="1">
      <c r="A34" s="14"/>
      <c r="B34" s="14"/>
      <c r="C34" s="443"/>
      <c r="D34" s="444"/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Z34" s="443"/>
      <c r="AA34" s="443"/>
      <c r="AB34" s="443"/>
      <c r="AC34" s="443"/>
      <c r="AD34" s="443"/>
      <c r="AE34" s="443"/>
      <c r="AF34" s="443"/>
      <c r="AG34" s="443"/>
      <c r="AH34" s="443"/>
      <c r="AI34" s="443"/>
      <c r="AJ34" s="443"/>
      <c r="AK34" s="443"/>
      <c r="AL34" s="443"/>
      <c r="AM34" s="443"/>
      <c r="AN34" s="443"/>
      <c r="AO34" s="443"/>
      <c r="AP34" s="443"/>
      <c r="AQ34" s="443"/>
      <c r="AR34" s="443"/>
      <c r="AS34" s="443"/>
      <c r="AT34" s="443"/>
      <c r="AU34" s="443"/>
      <c r="AV34" s="206"/>
      <c r="AW34" s="206"/>
      <c r="AX34" s="206"/>
      <c r="AY34" s="206"/>
      <c r="AZ34" s="206"/>
      <c r="BA34" s="206"/>
      <c r="BB34" s="206"/>
      <c r="BC34" s="206"/>
    </row>
    <row r="35" spans="1:55" s="15" customFormat="1" ht="23.25" customHeight="1">
      <c r="A35" s="295">
        <v>14</v>
      </c>
      <c r="B35" s="298" t="s">
        <v>463</v>
      </c>
      <c r="C35" s="439">
        <f>+'Asset Classification'!C35</f>
        <v>32527763935</v>
      </c>
      <c r="D35" s="445">
        <f>+'Asset Classification'!D35</f>
        <v>26671404846</v>
      </c>
      <c r="E35" s="443">
        <f>+'Asset Classification'!E35</f>
        <v>25786318004</v>
      </c>
      <c r="F35" s="445">
        <f>+'Asset Classification'!F35</f>
        <v>22525789900</v>
      </c>
      <c r="G35" s="443">
        <f>+'Asset Classification'!G35</f>
        <v>256555478</v>
      </c>
      <c r="H35" s="440">
        <f t="shared" ref="H35:H52" si="55">+E35*1%</f>
        <v>257863180.03999999</v>
      </c>
      <c r="I35" s="440">
        <f t="shared" ref="I35:I52" si="56">+G35-H35</f>
        <v>-1307702.0399999917</v>
      </c>
      <c r="J35" s="443">
        <f>+'Asset Classification'!I35</f>
        <v>6391019008</v>
      </c>
      <c r="K35" s="445">
        <f>+'Asset Classification'!J35</f>
        <v>3981390227</v>
      </c>
      <c r="L35" s="443">
        <f>+'Asset Classification'!K35</f>
        <v>639513745</v>
      </c>
      <c r="M35" s="440">
        <f t="shared" ref="M35:M52" si="57">+J35*10%</f>
        <v>639101900.80000007</v>
      </c>
      <c r="N35" s="440">
        <f t="shared" ref="N35:N52" si="58">+L35-M35</f>
        <v>411844.19999992847</v>
      </c>
      <c r="O35" s="445">
        <f>+'Asset Classification'!L35</f>
        <v>398139023</v>
      </c>
      <c r="P35" s="440">
        <f t="shared" ref="P35:P52" si="59">+K35*10%</f>
        <v>398139022.70000005</v>
      </c>
      <c r="Q35" s="440">
        <f t="shared" ref="Q35:Q52" si="60">+O35-P35</f>
        <v>0.29999995231628418</v>
      </c>
      <c r="R35" s="443">
        <f>+'Asset Classification'!M35</f>
        <v>21741970</v>
      </c>
      <c r="S35" s="445">
        <f>+'Asset Classification'!N35</f>
        <v>4150854</v>
      </c>
      <c r="T35" s="443">
        <f>+'Asset Classification'!O35</f>
        <v>5466575</v>
      </c>
      <c r="U35" s="440">
        <f t="shared" ref="U35:U52" si="61">+R35*25%</f>
        <v>5435492.5</v>
      </c>
      <c r="V35" s="440">
        <f t="shared" ref="V35:V52" si="62">+T35-U35</f>
        <v>31082.5</v>
      </c>
      <c r="W35" s="445">
        <f>+'Asset Classification'!P35</f>
        <v>1037714</v>
      </c>
      <c r="X35" s="440">
        <f t="shared" ref="X35:X52" si="63">+S35*25%</f>
        <v>1037713.5</v>
      </c>
      <c r="Y35" s="440">
        <f t="shared" ref="Y35:Y52" si="64">+W35-X35</f>
        <v>0.5</v>
      </c>
      <c r="Z35" s="443">
        <f>+'Asset Classification'!Q35</f>
        <v>71792409</v>
      </c>
      <c r="AA35" s="445">
        <f>+'Asset Classification'!R35</f>
        <v>11770095</v>
      </c>
      <c r="AB35" s="443">
        <f>+'Asset Classification'!S35</f>
        <v>35896205</v>
      </c>
      <c r="AC35" s="440">
        <f t="shared" ref="AC35:AC52" si="65">+Z35*50%</f>
        <v>35896204.5</v>
      </c>
      <c r="AD35" s="440">
        <f t="shared" ref="AD35:AD52" si="66">+AB35-AC35</f>
        <v>0.5</v>
      </c>
      <c r="AE35" s="445">
        <f>+'Asset Classification'!T35</f>
        <v>5885047</v>
      </c>
      <c r="AF35" s="440">
        <f t="shared" ref="AF35:AF52" si="67">+AA35*50%</f>
        <v>5885047.5</v>
      </c>
      <c r="AG35" s="440">
        <f t="shared" ref="AG35:AG52" si="68">+AE35-AF35</f>
        <v>-0.5</v>
      </c>
      <c r="AH35" s="443">
        <f>+'Asset Classification'!U35</f>
        <v>256892544</v>
      </c>
      <c r="AI35" s="445">
        <f>+'Asset Classification'!V35</f>
        <v>148303770</v>
      </c>
      <c r="AJ35" s="443">
        <f>+'Asset Classification'!W35</f>
        <v>256892544</v>
      </c>
      <c r="AK35" s="440">
        <f t="shared" ref="AK35:AK52" si="69">+AH35*100%</f>
        <v>256892544</v>
      </c>
      <c r="AL35" s="440">
        <f t="shared" ref="AL35:AL52" si="70">+AJ35-AK35</f>
        <v>0</v>
      </c>
      <c r="AM35" s="445">
        <f>+'Asset Classification'!X35</f>
        <v>148303770</v>
      </c>
      <c r="AN35" s="440">
        <f t="shared" ref="AN35:AN52" si="71">+AI35*100%</f>
        <v>148303770</v>
      </c>
      <c r="AO35" s="440">
        <f t="shared" ref="AO35:AO52" si="72">+AM35-AN35</f>
        <v>0</v>
      </c>
      <c r="AP35" s="435">
        <f t="shared" ref="AP35:AQ52" si="73">+L35+T35+AB35+AJ35</f>
        <v>937769069</v>
      </c>
      <c r="AQ35" s="435">
        <f t="shared" si="73"/>
        <v>937326141.80000007</v>
      </c>
      <c r="AR35" s="435">
        <f t="shared" ref="AR35:AR52" si="74">+AP35-AQ35</f>
        <v>442927.19999992847</v>
      </c>
      <c r="AS35" s="440">
        <f t="shared" ref="AS35:AT52" si="75">+O35+W35+AE35+AM35</f>
        <v>553365554</v>
      </c>
      <c r="AT35" s="440">
        <f t="shared" si="75"/>
        <v>553365553.70000005</v>
      </c>
      <c r="AU35" s="440">
        <f t="shared" ref="AU35:AU52" si="76">+AS35-AT35</f>
        <v>0.29999995231628418</v>
      </c>
      <c r="AV35" s="208">
        <f>+'Aging Analysis'!C25</f>
        <v>32527763935</v>
      </c>
      <c r="AW35" s="206"/>
      <c r="AX35" s="206"/>
      <c r="AY35" s="206"/>
      <c r="AZ35" s="206"/>
      <c r="BA35" s="206"/>
      <c r="BB35" s="206"/>
      <c r="BC35" s="206"/>
    </row>
    <row r="36" spans="1:55" s="15" customFormat="1" ht="14.25" customHeight="1">
      <c r="A36" s="295"/>
      <c r="B36" s="299" t="s">
        <v>638</v>
      </c>
      <c r="C36" s="439">
        <f>+'Asset Classification'!C36</f>
        <v>0</v>
      </c>
      <c r="D36" s="445">
        <f>+'Asset Classification'!D36</f>
        <v>0</v>
      </c>
      <c r="E36" s="443">
        <f>+'Asset Classification'!E36</f>
        <v>0</v>
      </c>
      <c r="F36" s="445">
        <f>+'Asset Classification'!F36</f>
        <v>0</v>
      </c>
      <c r="G36" s="443">
        <f>+'Asset Classification'!G36</f>
        <v>0</v>
      </c>
      <c r="H36" s="440">
        <f t="shared" si="55"/>
        <v>0</v>
      </c>
      <c r="I36" s="440">
        <f t="shared" si="56"/>
        <v>0</v>
      </c>
      <c r="J36" s="443">
        <f>+'Asset Classification'!I36</f>
        <v>0</v>
      </c>
      <c r="K36" s="445">
        <f>+'Asset Classification'!J36</f>
        <v>0</v>
      </c>
      <c r="L36" s="443">
        <f>+'Asset Classification'!K36</f>
        <v>0</v>
      </c>
      <c r="M36" s="440">
        <f t="shared" si="57"/>
        <v>0</v>
      </c>
      <c r="N36" s="440">
        <f t="shared" si="58"/>
        <v>0</v>
      </c>
      <c r="O36" s="445">
        <f>+'Asset Classification'!L36</f>
        <v>0</v>
      </c>
      <c r="P36" s="440">
        <f t="shared" si="59"/>
        <v>0</v>
      </c>
      <c r="Q36" s="440">
        <f t="shared" si="60"/>
        <v>0</v>
      </c>
      <c r="R36" s="443">
        <f>+'Asset Classification'!M36</f>
        <v>0</v>
      </c>
      <c r="S36" s="445">
        <f>+'Asset Classification'!N36</f>
        <v>0</v>
      </c>
      <c r="T36" s="443">
        <f>+'Asset Classification'!O36</f>
        <v>0</v>
      </c>
      <c r="U36" s="440">
        <f t="shared" si="61"/>
        <v>0</v>
      </c>
      <c r="V36" s="440">
        <f t="shared" si="62"/>
        <v>0</v>
      </c>
      <c r="W36" s="445">
        <f>+'Asset Classification'!P36</f>
        <v>0</v>
      </c>
      <c r="X36" s="440">
        <f t="shared" si="63"/>
        <v>0</v>
      </c>
      <c r="Y36" s="440">
        <f t="shared" si="64"/>
        <v>0</v>
      </c>
      <c r="Z36" s="443">
        <f>+'Asset Classification'!Q36</f>
        <v>0</v>
      </c>
      <c r="AA36" s="445">
        <f>+'Asset Classification'!R36</f>
        <v>0</v>
      </c>
      <c r="AB36" s="443">
        <f>+'Asset Classification'!S36</f>
        <v>0</v>
      </c>
      <c r="AC36" s="440">
        <f t="shared" si="65"/>
        <v>0</v>
      </c>
      <c r="AD36" s="440">
        <f t="shared" si="66"/>
        <v>0</v>
      </c>
      <c r="AE36" s="445">
        <f>+'Asset Classification'!T36</f>
        <v>0</v>
      </c>
      <c r="AF36" s="440">
        <f t="shared" si="67"/>
        <v>0</v>
      </c>
      <c r="AG36" s="440">
        <f t="shared" si="68"/>
        <v>0</v>
      </c>
      <c r="AH36" s="443">
        <f>+'Asset Classification'!U36</f>
        <v>0</v>
      </c>
      <c r="AI36" s="445">
        <f>+'Asset Classification'!V36</f>
        <v>0</v>
      </c>
      <c r="AJ36" s="443">
        <f>+'Asset Classification'!W36</f>
        <v>0</v>
      </c>
      <c r="AK36" s="440">
        <f t="shared" si="69"/>
        <v>0</v>
      </c>
      <c r="AL36" s="440">
        <f t="shared" si="70"/>
        <v>0</v>
      </c>
      <c r="AM36" s="445">
        <f>+'Asset Classification'!X36</f>
        <v>0</v>
      </c>
      <c r="AN36" s="440">
        <f t="shared" si="71"/>
        <v>0</v>
      </c>
      <c r="AO36" s="440">
        <f t="shared" si="72"/>
        <v>0</v>
      </c>
      <c r="AP36" s="435">
        <f t="shared" si="73"/>
        <v>0</v>
      </c>
      <c r="AQ36" s="435">
        <f t="shared" si="73"/>
        <v>0</v>
      </c>
      <c r="AR36" s="435">
        <f t="shared" si="74"/>
        <v>0</v>
      </c>
      <c r="AS36" s="440">
        <f t="shared" si="75"/>
        <v>0</v>
      </c>
      <c r="AT36" s="440">
        <f t="shared" si="75"/>
        <v>0</v>
      </c>
      <c r="AU36" s="440">
        <f t="shared" si="76"/>
        <v>0</v>
      </c>
      <c r="AW36" s="206"/>
      <c r="AX36" s="206"/>
      <c r="AY36" s="206"/>
      <c r="AZ36" s="206"/>
      <c r="BA36" s="206"/>
      <c r="BB36" s="206"/>
      <c r="BC36" s="206"/>
    </row>
    <row r="37" spans="1:55" s="15" customFormat="1" ht="23.25" customHeight="1">
      <c r="A37" s="295">
        <v>15</v>
      </c>
      <c r="B37" s="298" t="s">
        <v>464</v>
      </c>
      <c r="C37" s="439">
        <f>+'Asset Classification'!C37</f>
        <v>3851399497</v>
      </c>
      <c r="D37" s="445">
        <f>+'Asset Classification'!D37</f>
        <v>1903991087</v>
      </c>
      <c r="E37" s="443">
        <f>+'Asset Classification'!E37</f>
        <v>2305356492</v>
      </c>
      <c r="F37" s="445">
        <f>+'Asset Classification'!F37</f>
        <v>1324434171</v>
      </c>
      <c r="G37" s="443">
        <f>+'Asset Classification'!G37</f>
        <v>23053565</v>
      </c>
      <c r="H37" s="440">
        <f t="shared" si="55"/>
        <v>23053564.920000002</v>
      </c>
      <c r="I37" s="440">
        <f t="shared" si="56"/>
        <v>7.9999998211860657E-2</v>
      </c>
      <c r="J37" s="443">
        <f>+'Asset Classification'!I37</f>
        <v>1254431709</v>
      </c>
      <c r="K37" s="445">
        <f>+'Asset Classification'!J37</f>
        <v>564840105</v>
      </c>
      <c r="L37" s="443">
        <f>+'Asset Classification'!K37</f>
        <v>125443171</v>
      </c>
      <c r="M37" s="440">
        <f t="shared" si="57"/>
        <v>125443170.90000001</v>
      </c>
      <c r="N37" s="440">
        <f t="shared" si="58"/>
        <v>9.9999994039535522E-2</v>
      </c>
      <c r="O37" s="445">
        <f>+'Asset Classification'!L37</f>
        <v>56484011</v>
      </c>
      <c r="P37" s="440">
        <f t="shared" si="59"/>
        <v>56484010.5</v>
      </c>
      <c r="Q37" s="440">
        <f t="shared" si="60"/>
        <v>0.5</v>
      </c>
      <c r="R37" s="443">
        <f>+'Asset Classification'!M37</f>
        <v>3053383</v>
      </c>
      <c r="S37" s="445">
        <f>+'Asset Classification'!N37</f>
        <v>260868</v>
      </c>
      <c r="T37" s="443">
        <f>+'Asset Classification'!O37</f>
        <v>763346</v>
      </c>
      <c r="U37" s="440">
        <f t="shared" si="61"/>
        <v>763345.75</v>
      </c>
      <c r="V37" s="440">
        <f t="shared" si="62"/>
        <v>0.25</v>
      </c>
      <c r="W37" s="445">
        <f>+'Asset Classification'!P37</f>
        <v>65217</v>
      </c>
      <c r="X37" s="440">
        <f t="shared" si="63"/>
        <v>65217</v>
      </c>
      <c r="Y37" s="440">
        <f t="shared" si="64"/>
        <v>0</v>
      </c>
      <c r="Z37" s="443">
        <f>+'Asset Classification'!Q37</f>
        <v>15526949</v>
      </c>
      <c r="AA37" s="445">
        <f>+'Asset Classification'!R37</f>
        <v>8828668</v>
      </c>
      <c r="AB37" s="443">
        <f>+'Asset Classification'!S37</f>
        <v>7763475</v>
      </c>
      <c r="AC37" s="440">
        <f t="shared" si="65"/>
        <v>7763474.5</v>
      </c>
      <c r="AD37" s="440">
        <f t="shared" si="66"/>
        <v>0.5</v>
      </c>
      <c r="AE37" s="445">
        <f>+'Asset Classification'!T37</f>
        <v>4414334</v>
      </c>
      <c r="AF37" s="440">
        <f t="shared" si="67"/>
        <v>4414334</v>
      </c>
      <c r="AG37" s="440">
        <f t="shared" si="68"/>
        <v>0</v>
      </c>
      <c r="AH37" s="443">
        <f>+'Asset Classification'!U37</f>
        <v>273030964</v>
      </c>
      <c r="AI37" s="445">
        <f>+'Asset Classification'!V37</f>
        <v>5627275</v>
      </c>
      <c r="AJ37" s="443">
        <f>+'Asset Classification'!W37</f>
        <v>273030964</v>
      </c>
      <c r="AK37" s="440">
        <f t="shared" si="69"/>
        <v>273030964</v>
      </c>
      <c r="AL37" s="440">
        <f t="shared" si="70"/>
        <v>0</v>
      </c>
      <c r="AM37" s="445">
        <f>+'Asset Classification'!X37</f>
        <v>5627275</v>
      </c>
      <c r="AN37" s="440">
        <f t="shared" si="71"/>
        <v>5627275</v>
      </c>
      <c r="AO37" s="440">
        <f t="shared" si="72"/>
        <v>0</v>
      </c>
      <c r="AP37" s="435">
        <f t="shared" si="73"/>
        <v>407000956</v>
      </c>
      <c r="AQ37" s="435">
        <f t="shared" si="73"/>
        <v>407000955.14999998</v>
      </c>
      <c r="AR37" s="435">
        <f t="shared" si="74"/>
        <v>0.85000002384185791</v>
      </c>
      <c r="AS37" s="440">
        <f t="shared" si="75"/>
        <v>66590837</v>
      </c>
      <c r="AT37" s="440">
        <f t="shared" si="75"/>
        <v>66590836.5</v>
      </c>
      <c r="AU37" s="440">
        <f t="shared" si="76"/>
        <v>0.5</v>
      </c>
      <c r="AV37" s="208">
        <f>+'Aging Analysis'!C26</f>
        <v>3851399497</v>
      </c>
      <c r="AW37" s="206"/>
      <c r="AX37" s="206"/>
      <c r="AY37" s="206"/>
      <c r="AZ37" s="206"/>
      <c r="BA37" s="206"/>
      <c r="BB37" s="206"/>
      <c r="BC37" s="206"/>
    </row>
    <row r="38" spans="1:55" s="15" customFormat="1" ht="14.25" customHeight="1">
      <c r="A38" s="295"/>
      <c r="B38" s="299" t="s">
        <v>638</v>
      </c>
      <c r="C38" s="439">
        <f>+'Asset Classification'!C38</f>
        <v>0</v>
      </c>
      <c r="D38" s="445">
        <f>+'Asset Classification'!D38</f>
        <v>0</v>
      </c>
      <c r="E38" s="443">
        <f>+'Asset Classification'!E38</f>
        <v>0</v>
      </c>
      <c r="F38" s="445">
        <f>+'Asset Classification'!F38</f>
        <v>0</v>
      </c>
      <c r="G38" s="443">
        <f>+'Asset Classification'!G38</f>
        <v>0</v>
      </c>
      <c r="H38" s="440">
        <f t="shared" si="55"/>
        <v>0</v>
      </c>
      <c r="I38" s="440">
        <f t="shared" si="56"/>
        <v>0</v>
      </c>
      <c r="J38" s="443">
        <f>+'Asset Classification'!I38</f>
        <v>0</v>
      </c>
      <c r="K38" s="445">
        <f>+'Asset Classification'!J38</f>
        <v>0</v>
      </c>
      <c r="L38" s="443">
        <f>+'Asset Classification'!K38</f>
        <v>0</v>
      </c>
      <c r="M38" s="440">
        <f t="shared" si="57"/>
        <v>0</v>
      </c>
      <c r="N38" s="440">
        <f t="shared" si="58"/>
        <v>0</v>
      </c>
      <c r="O38" s="445">
        <f>+'Asset Classification'!L38</f>
        <v>0</v>
      </c>
      <c r="P38" s="440">
        <f t="shared" si="59"/>
        <v>0</v>
      </c>
      <c r="Q38" s="440">
        <f t="shared" si="60"/>
        <v>0</v>
      </c>
      <c r="R38" s="443">
        <f>+'Asset Classification'!M38</f>
        <v>0</v>
      </c>
      <c r="S38" s="445">
        <f>+'Asset Classification'!N38</f>
        <v>0</v>
      </c>
      <c r="T38" s="443">
        <f>+'Asset Classification'!O38</f>
        <v>0</v>
      </c>
      <c r="U38" s="440">
        <f t="shared" si="61"/>
        <v>0</v>
      </c>
      <c r="V38" s="440">
        <f t="shared" si="62"/>
        <v>0</v>
      </c>
      <c r="W38" s="445">
        <f>+'Asset Classification'!P38</f>
        <v>0</v>
      </c>
      <c r="X38" s="440">
        <f t="shared" si="63"/>
        <v>0</v>
      </c>
      <c r="Y38" s="440">
        <f t="shared" si="64"/>
        <v>0</v>
      </c>
      <c r="Z38" s="443">
        <f>+'Asset Classification'!Q38</f>
        <v>0</v>
      </c>
      <c r="AA38" s="445">
        <f>+'Asset Classification'!R38</f>
        <v>0</v>
      </c>
      <c r="AB38" s="443">
        <f>+'Asset Classification'!S38</f>
        <v>0</v>
      </c>
      <c r="AC38" s="440">
        <f t="shared" si="65"/>
        <v>0</v>
      </c>
      <c r="AD38" s="440">
        <f t="shared" si="66"/>
        <v>0</v>
      </c>
      <c r="AE38" s="445">
        <f>+'Asset Classification'!T38</f>
        <v>0</v>
      </c>
      <c r="AF38" s="440">
        <f t="shared" si="67"/>
        <v>0</v>
      </c>
      <c r="AG38" s="440">
        <f t="shared" si="68"/>
        <v>0</v>
      </c>
      <c r="AH38" s="443">
        <f>+'Asset Classification'!U38</f>
        <v>0</v>
      </c>
      <c r="AI38" s="445">
        <f>+'Asset Classification'!V38</f>
        <v>0</v>
      </c>
      <c r="AJ38" s="443">
        <f>+'Asset Classification'!W38</f>
        <v>0</v>
      </c>
      <c r="AK38" s="440">
        <f t="shared" si="69"/>
        <v>0</v>
      </c>
      <c r="AL38" s="440">
        <f t="shared" si="70"/>
        <v>0</v>
      </c>
      <c r="AM38" s="445">
        <f>+'Asset Classification'!X38</f>
        <v>0</v>
      </c>
      <c r="AN38" s="440">
        <f t="shared" si="71"/>
        <v>0</v>
      </c>
      <c r="AO38" s="440">
        <f t="shared" si="72"/>
        <v>0</v>
      </c>
      <c r="AP38" s="435">
        <f t="shared" si="73"/>
        <v>0</v>
      </c>
      <c r="AQ38" s="435">
        <f t="shared" si="73"/>
        <v>0</v>
      </c>
      <c r="AR38" s="435">
        <f t="shared" si="74"/>
        <v>0</v>
      </c>
      <c r="AS38" s="440">
        <f t="shared" si="75"/>
        <v>0</v>
      </c>
      <c r="AT38" s="440">
        <f t="shared" si="75"/>
        <v>0</v>
      </c>
      <c r="AU38" s="440">
        <f t="shared" si="76"/>
        <v>0</v>
      </c>
      <c r="AW38" s="206"/>
      <c r="AX38" s="206"/>
      <c r="AY38" s="206"/>
      <c r="AZ38" s="206"/>
      <c r="BA38" s="206"/>
      <c r="BB38" s="206"/>
      <c r="BC38" s="206"/>
    </row>
    <row r="39" spans="1:55" s="15" customFormat="1" ht="23.25" customHeight="1">
      <c r="A39" s="295">
        <v>16</v>
      </c>
      <c r="B39" s="298" t="s">
        <v>465</v>
      </c>
      <c r="C39" s="439">
        <f>+'Asset Classification'!C39</f>
        <v>2880350762</v>
      </c>
      <c r="D39" s="445">
        <f>+'Asset Classification'!D39</f>
        <v>2580802394</v>
      </c>
      <c r="E39" s="443">
        <f>+'Asset Classification'!E39</f>
        <v>2642441614</v>
      </c>
      <c r="F39" s="445">
        <f>+'Asset Classification'!F39</f>
        <v>2353109725</v>
      </c>
      <c r="G39" s="443">
        <f>+'Asset Classification'!G39</f>
        <v>26424416</v>
      </c>
      <c r="H39" s="440">
        <f t="shared" si="55"/>
        <v>26424416.140000001</v>
      </c>
      <c r="I39" s="440">
        <f t="shared" si="56"/>
        <v>-0.14000000059604645</v>
      </c>
      <c r="J39" s="443">
        <f>+'Asset Classification'!I39</f>
        <v>225253213</v>
      </c>
      <c r="K39" s="445">
        <f>+'Asset Classification'!J39</f>
        <v>221991451</v>
      </c>
      <c r="L39" s="443">
        <f>+'Asset Classification'!K39</f>
        <v>22525321</v>
      </c>
      <c r="M39" s="440">
        <f t="shared" si="57"/>
        <v>22525321.300000001</v>
      </c>
      <c r="N39" s="440">
        <f t="shared" si="58"/>
        <v>-0.30000000074505806</v>
      </c>
      <c r="O39" s="445">
        <f>+'Asset Classification'!L39</f>
        <v>22199145</v>
      </c>
      <c r="P39" s="440">
        <f t="shared" si="59"/>
        <v>22199145.100000001</v>
      </c>
      <c r="Q39" s="440">
        <f t="shared" si="60"/>
        <v>-0.10000000149011612</v>
      </c>
      <c r="R39" s="443">
        <f>+'Asset Classification'!M39</f>
        <v>3240237</v>
      </c>
      <c r="S39" s="445">
        <f>+'Asset Classification'!N39</f>
        <v>2725497</v>
      </c>
      <c r="T39" s="443">
        <f>+'Asset Classification'!O39</f>
        <v>810059</v>
      </c>
      <c r="U39" s="440">
        <f t="shared" si="61"/>
        <v>810059.25</v>
      </c>
      <c r="V39" s="440">
        <f t="shared" si="62"/>
        <v>-0.25</v>
      </c>
      <c r="W39" s="445">
        <f>+'Asset Classification'!P39</f>
        <v>681374</v>
      </c>
      <c r="X39" s="440">
        <f t="shared" si="63"/>
        <v>681374.25</v>
      </c>
      <c r="Y39" s="440">
        <f t="shared" si="64"/>
        <v>-0.25</v>
      </c>
      <c r="Z39" s="443">
        <f>+'Asset Classification'!Q39</f>
        <v>3958673</v>
      </c>
      <c r="AA39" s="445">
        <f>+'Asset Classification'!R39</f>
        <v>1743673</v>
      </c>
      <c r="AB39" s="443">
        <f>+'Asset Classification'!S39</f>
        <v>1979336</v>
      </c>
      <c r="AC39" s="440">
        <f t="shared" si="65"/>
        <v>1979336.5</v>
      </c>
      <c r="AD39" s="440">
        <f t="shared" si="66"/>
        <v>-0.5</v>
      </c>
      <c r="AE39" s="445">
        <f>+'Asset Classification'!T39</f>
        <v>871836</v>
      </c>
      <c r="AF39" s="440">
        <f t="shared" si="67"/>
        <v>871836.5</v>
      </c>
      <c r="AG39" s="440">
        <f t="shared" si="68"/>
        <v>-0.5</v>
      </c>
      <c r="AH39" s="443">
        <f>+'Asset Classification'!U39</f>
        <v>5457025</v>
      </c>
      <c r="AI39" s="445">
        <f>+'Asset Classification'!V39</f>
        <v>1232048</v>
      </c>
      <c r="AJ39" s="443">
        <f>+'Asset Classification'!W39</f>
        <v>5457025</v>
      </c>
      <c r="AK39" s="440">
        <f t="shared" si="69"/>
        <v>5457025</v>
      </c>
      <c r="AL39" s="440">
        <f t="shared" si="70"/>
        <v>0</v>
      </c>
      <c r="AM39" s="445">
        <f>+'Asset Classification'!X39</f>
        <v>1232048</v>
      </c>
      <c r="AN39" s="440">
        <f t="shared" si="71"/>
        <v>1232048</v>
      </c>
      <c r="AO39" s="440">
        <f t="shared" si="72"/>
        <v>0</v>
      </c>
      <c r="AP39" s="435">
        <f t="shared" si="73"/>
        <v>30771741</v>
      </c>
      <c r="AQ39" s="435">
        <f t="shared" si="73"/>
        <v>30771742.050000001</v>
      </c>
      <c r="AR39" s="435">
        <f t="shared" si="74"/>
        <v>-1.0500000007450581</v>
      </c>
      <c r="AS39" s="440">
        <f t="shared" si="75"/>
        <v>24984403</v>
      </c>
      <c r="AT39" s="440">
        <f t="shared" si="75"/>
        <v>24984403.850000001</v>
      </c>
      <c r="AU39" s="440">
        <f t="shared" si="76"/>
        <v>-0.85000000149011612</v>
      </c>
      <c r="AV39" s="208">
        <f>+'Aging Analysis'!C27</f>
        <v>2880350762</v>
      </c>
      <c r="AW39" s="206"/>
      <c r="AX39" s="206"/>
      <c r="AY39" s="206"/>
      <c r="AZ39" s="206"/>
      <c r="BA39" s="206"/>
      <c r="BB39" s="206"/>
      <c r="BC39" s="206"/>
    </row>
    <row r="40" spans="1:55" s="15" customFormat="1" ht="14.25" customHeight="1">
      <c r="A40" s="295"/>
      <c r="B40" s="299" t="s">
        <v>638</v>
      </c>
      <c r="C40" s="439">
        <f>+'Asset Classification'!C40</f>
        <v>0</v>
      </c>
      <c r="D40" s="445">
        <f>+'Asset Classification'!D40</f>
        <v>0</v>
      </c>
      <c r="E40" s="443">
        <f>+'Asset Classification'!E40</f>
        <v>0</v>
      </c>
      <c r="F40" s="445">
        <f>+'Asset Classification'!F40</f>
        <v>0</v>
      </c>
      <c r="G40" s="443">
        <f>+'Asset Classification'!G40</f>
        <v>0</v>
      </c>
      <c r="H40" s="440">
        <f t="shared" si="55"/>
        <v>0</v>
      </c>
      <c r="I40" s="440">
        <f t="shared" si="56"/>
        <v>0</v>
      </c>
      <c r="J40" s="443">
        <f>+'Asset Classification'!I40</f>
        <v>0</v>
      </c>
      <c r="K40" s="445">
        <f>+'Asset Classification'!J40</f>
        <v>0</v>
      </c>
      <c r="L40" s="443">
        <f>+'Asset Classification'!K40</f>
        <v>0</v>
      </c>
      <c r="M40" s="440">
        <f t="shared" si="57"/>
        <v>0</v>
      </c>
      <c r="N40" s="440">
        <f t="shared" si="58"/>
        <v>0</v>
      </c>
      <c r="O40" s="445">
        <f>+'Asset Classification'!L40</f>
        <v>0</v>
      </c>
      <c r="P40" s="440">
        <f t="shared" si="59"/>
        <v>0</v>
      </c>
      <c r="Q40" s="440">
        <f t="shared" si="60"/>
        <v>0</v>
      </c>
      <c r="R40" s="443">
        <f>+'Asset Classification'!M40</f>
        <v>0</v>
      </c>
      <c r="S40" s="445">
        <f>+'Asset Classification'!N40</f>
        <v>0</v>
      </c>
      <c r="T40" s="443">
        <f>+'Asset Classification'!O40</f>
        <v>0</v>
      </c>
      <c r="U40" s="440">
        <f t="shared" si="61"/>
        <v>0</v>
      </c>
      <c r="V40" s="440">
        <f t="shared" si="62"/>
        <v>0</v>
      </c>
      <c r="W40" s="445">
        <f>+'Asset Classification'!P40</f>
        <v>0</v>
      </c>
      <c r="X40" s="440">
        <f t="shared" si="63"/>
        <v>0</v>
      </c>
      <c r="Y40" s="440">
        <f t="shared" si="64"/>
        <v>0</v>
      </c>
      <c r="Z40" s="443">
        <f>+'Asset Classification'!Q40</f>
        <v>0</v>
      </c>
      <c r="AA40" s="445">
        <f>+'Asset Classification'!R40</f>
        <v>0</v>
      </c>
      <c r="AB40" s="443">
        <f>+'Asset Classification'!S40</f>
        <v>0</v>
      </c>
      <c r="AC40" s="440">
        <f t="shared" si="65"/>
        <v>0</v>
      </c>
      <c r="AD40" s="440">
        <f t="shared" si="66"/>
        <v>0</v>
      </c>
      <c r="AE40" s="445">
        <f>+'Asset Classification'!T40</f>
        <v>0</v>
      </c>
      <c r="AF40" s="440">
        <f t="shared" si="67"/>
        <v>0</v>
      </c>
      <c r="AG40" s="440">
        <f t="shared" si="68"/>
        <v>0</v>
      </c>
      <c r="AH40" s="443">
        <f>+'Asset Classification'!U40</f>
        <v>0</v>
      </c>
      <c r="AI40" s="445">
        <f>+'Asset Classification'!V40</f>
        <v>0</v>
      </c>
      <c r="AJ40" s="443">
        <f>+'Asset Classification'!W40</f>
        <v>0</v>
      </c>
      <c r="AK40" s="440">
        <f t="shared" si="69"/>
        <v>0</v>
      </c>
      <c r="AL40" s="440">
        <f t="shared" si="70"/>
        <v>0</v>
      </c>
      <c r="AM40" s="445">
        <f>+'Asset Classification'!X40</f>
        <v>0</v>
      </c>
      <c r="AN40" s="440">
        <f t="shared" si="71"/>
        <v>0</v>
      </c>
      <c r="AO40" s="440">
        <f t="shared" si="72"/>
        <v>0</v>
      </c>
      <c r="AP40" s="435">
        <f t="shared" si="73"/>
        <v>0</v>
      </c>
      <c r="AQ40" s="435">
        <f t="shared" si="73"/>
        <v>0</v>
      </c>
      <c r="AR40" s="435">
        <f t="shared" si="74"/>
        <v>0</v>
      </c>
      <c r="AS40" s="440">
        <f t="shared" si="75"/>
        <v>0</v>
      </c>
      <c r="AT40" s="440">
        <f t="shared" si="75"/>
        <v>0</v>
      </c>
      <c r="AU40" s="440">
        <f t="shared" si="76"/>
        <v>0</v>
      </c>
      <c r="AW40" s="206"/>
      <c r="AX40" s="206"/>
      <c r="AY40" s="206"/>
      <c r="AZ40" s="206"/>
      <c r="BA40" s="206"/>
      <c r="BB40" s="206"/>
      <c r="BC40" s="206"/>
    </row>
    <row r="41" spans="1:55" s="15" customFormat="1" ht="23.25" customHeight="1">
      <c r="A41" s="295">
        <v>17</v>
      </c>
      <c r="B41" s="298" t="s">
        <v>466</v>
      </c>
      <c r="C41" s="439">
        <f>+'Asset Classification'!C41</f>
        <v>2748974520</v>
      </c>
      <c r="D41" s="445">
        <f>+'Asset Classification'!D41</f>
        <v>1834501735</v>
      </c>
      <c r="E41" s="443">
        <f>+'Asset Classification'!E41</f>
        <v>1751878748</v>
      </c>
      <c r="F41" s="445">
        <f>+'Asset Classification'!F41</f>
        <v>1113193201</v>
      </c>
      <c r="G41" s="443">
        <f>+'Asset Classification'!G41</f>
        <v>17518787</v>
      </c>
      <c r="H41" s="440">
        <f t="shared" si="55"/>
        <v>17518787.48</v>
      </c>
      <c r="I41" s="440">
        <f t="shared" si="56"/>
        <v>-0.48000000044703484</v>
      </c>
      <c r="J41" s="443">
        <f>+'Asset Classification'!I41</f>
        <v>781861956</v>
      </c>
      <c r="K41" s="445">
        <f>+'Asset Classification'!J41</f>
        <v>707980389</v>
      </c>
      <c r="L41" s="443">
        <f>+'Asset Classification'!K41</f>
        <v>78213846</v>
      </c>
      <c r="M41" s="440">
        <f t="shared" si="57"/>
        <v>78186195.600000009</v>
      </c>
      <c r="N41" s="440">
        <f t="shared" si="58"/>
        <v>27650.399999991059</v>
      </c>
      <c r="O41" s="445">
        <f>+'Asset Classification'!L41</f>
        <v>70798039</v>
      </c>
      <c r="P41" s="440">
        <f t="shared" si="59"/>
        <v>70798038.900000006</v>
      </c>
      <c r="Q41" s="440">
        <f t="shared" si="60"/>
        <v>9.9999994039535522E-2</v>
      </c>
      <c r="R41" s="443">
        <f>+'Asset Classification'!M41</f>
        <v>10053338</v>
      </c>
      <c r="S41" s="445">
        <f>+'Asset Classification'!N41</f>
        <v>855047</v>
      </c>
      <c r="T41" s="443">
        <f>+'Asset Classification'!O41</f>
        <v>2539085</v>
      </c>
      <c r="U41" s="440">
        <f t="shared" si="61"/>
        <v>2513334.5</v>
      </c>
      <c r="V41" s="440">
        <f t="shared" si="62"/>
        <v>25750.5</v>
      </c>
      <c r="W41" s="445">
        <f>+'Asset Classification'!P41</f>
        <v>213762</v>
      </c>
      <c r="X41" s="440">
        <f t="shared" si="63"/>
        <v>213761.75</v>
      </c>
      <c r="Y41" s="440">
        <f t="shared" si="64"/>
        <v>0.25</v>
      </c>
      <c r="Z41" s="443">
        <f>+'Asset Classification'!Q41</f>
        <v>9809195</v>
      </c>
      <c r="AA41" s="445">
        <f>+'Asset Classification'!R41</f>
        <v>4168128</v>
      </c>
      <c r="AB41" s="443">
        <f>+'Asset Classification'!S41</f>
        <v>4904597</v>
      </c>
      <c r="AC41" s="440">
        <f t="shared" si="65"/>
        <v>4904597.5</v>
      </c>
      <c r="AD41" s="440">
        <f t="shared" si="66"/>
        <v>-0.5</v>
      </c>
      <c r="AE41" s="445">
        <f>+'Asset Classification'!T41</f>
        <v>2084064</v>
      </c>
      <c r="AF41" s="440">
        <f t="shared" si="67"/>
        <v>2084064</v>
      </c>
      <c r="AG41" s="440">
        <f t="shared" si="68"/>
        <v>0</v>
      </c>
      <c r="AH41" s="443">
        <f>+'Asset Classification'!U41</f>
        <v>195371283</v>
      </c>
      <c r="AI41" s="445">
        <f>+'Asset Classification'!V41</f>
        <v>8304970</v>
      </c>
      <c r="AJ41" s="443">
        <f>+'Asset Classification'!W41</f>
        <v>195371283</v>
      </c>
      <c r="AK41" s="440">
        <f t="shared" si="69"/>
        <v>195371283</v>
      </c>
      <c r="AL41" s="440">
        <f t="shared" si="70"/>
        <v>0</v>
      </c>
      <c r="AM41" s="445">
        <f>+'Asset Classification'!X41</f>
        <v>8304970</v>
      </c>
      <c r="AN41" s="440">
        <f t="shared" si="71"/>
        <v>8304970</v>
      </c>
      <c r="AO41" s="440">
        <f t="shared" si="72"/>
        <v>0</v>
      </c>
      <c r="AP41" s="435">
        <f t="shared" si="73"/>
        <v>281028811</v>
      </c>
      <c r="AQ41" s="435">
        <f t="shared" si="73"/>
        <v>280975410.60000002</v>
      </c>
      <c r="AR41" s="435">
        <f t="shared" si="74"/>
        <v>53400.399999976158</v>
      </c>
      <c r="AS41" s="440">
        <f t="shared" si="75"/>
        <v>81400835</v>
      </c>
      <c r="AT41" s="440">
        <f t="shared" si="75"/>
        <v>81400834.650000006</v>
      </c>
      <c r="AU41" s="440">
        <f t="shared" si="76"/>
        <v>0.34999999403953552</v>
      </c>
      <c r="AV41" s="208">
        <f>+'Aging Analysis'!C28</f>
        <v>2748974520</v>
      </c>
      <c r="AW41" s="206"/>
      <c r="AX41" s="206"/>
      <c r="AY41" s="206"/>
      <c r="AZ41" s="206"/>
      <c r="BA41" s="206"/>
      <c r="BB41" s="206"/>
      <c r="BC41" s="206"/>
    </row>
    <row r="42" spans="1:55" s="15" customFormat="1" ht="14.25" customHeight="1">
      <c r="A42" s="295"/>
      <c r="B42" s="299" t="s">
        <v>638</v>
      </c>
      <c r="C42" s="439">
        <f>+'Asset Classification'!C42</f>
        <v>0</v>
      </c>
      <c r="D42" s="445">
        <f>+'Asset Classification'!D42</f>
        <v>0</v>
      </c>
      <c r="E42" s="443">
        <f>+'Asset Classification'!E42</f>
        <v>0</v>
      </c>
      <c r="F42" s="445">
        <f>+'Asset Classification'!F42</f>
        <v>0</v>
      </c>
      <c r="G42" s="443">
        <f>+'Asset Classification'!G42</f>
        <v>0</v>
      </c>
      <c r="H42" s="440">
        <f t="shared" si="55"/>
        <v>0</v>
      </c>
      <c r="I42" s="440">
        <f t="shared" si="56"/>
        <v>0</v>
      </c>
      <c r="J42" s="443">
        <f>+'Asset Classification'!I42</f>
        <v>0</v>
      </c>
      <c r="K42" s="445">
        <f>+'Asset Classification'!J42</f>
        <v>0</v>
      </c>
      <c r="L42" s="443">
        <f>+'Asset Classification'!K42</f>
        <v>0</v>
      </c>
      <c r="M42" s="440">
        <f t="shared" si="57"/>
        <v>0</v>
      </c>
      <c r="N42" s="440">
        <f t="shared" si="58"/>
        <v>0</v>
      </c>
      <c r="O42" s="445">
        <f>+'Asset Classification'!L42</f>
        <v>0</v>
      </c>
      <c r="P42" s="440">
        <f t="shared" si="59"/>
        <v>0</v>
      </c>
      <c r="Q42" s="440">
        <f t="shared" si="60"/>
        <v>0</v>
      </c>
      <c r="R42" s="443">
        <f>+'Asset Classification'!M42</f>
        <v>0</v>
      </c>
      <c r="S42" s="445">
        <f>+'Asset Classification'!N42</f>
        <v>0</v>
      </c>
      <c r="T42" s="443">
        <f>+'Asset Classification'!O42</f>
        <v>0</v>
      </c>
      <c r="U42" s="440">
        <f t="shared" si="61"/>
        <v>0</v>
      </c>
      <c r="V42" s="440">
        <f t="shared" si="62"/>
        <v>0</v>
      </c>
      <c r="W42" s="445">
        <f>+'Asset Classification'!P42</f>
        <v>0</v>
      </c>
      <c r="X42" s="440">
        <f t="shared" si="63"/>
        <v>0</v>
      </c>
      <c r="Y42" s="440">
        <f t="shared" si="64"/>
        <v>0</v>
      </c>
      <c r="Z42" s="443">
        <f>+'Asset Classification'!Q42</f>
        <v>0</v>
      </c>
      <c r="AA42" s="445">
        <f>+'Asset Classification'!R42</f>
        <v>0</v>
      </c>
      <c r="AB42" s="443">
        <f>+'Asset Classification'!S42</f>
        <v>0</v>
      </c>
      <c r="AC42" s="440">
        <f t="shared" si="65"/>
        <v>0</v>
      </c>
      <c r="AD42" s="440">
        <f t="shared" si="66"/>
        <v>0</v>
      </c>
      <c r="AE42" s="445">
        <f>+'Asset Classification'!T42</f>
        <v>0</v>
      </c>
      <c r="AF42" s="440">
        <f t="shared" si="67"/>
        <v>0</v>
      </c>
      <c r="AG42" s="440">
        <f t="shared" si="68"/>
        <v>0</v>
      </c>
      <c r="AH42" s="443">
        <f>+'Asset Classification'!U42</f>
        <v>0</v>
      </c>
      <c r="AI42" s="445">
        <f>+'Asset Classification'!V42</f>
        <v>0</v>
      </c>
      <c r="AJ42" s="443">
        <f>+'Asset Classification'!W42</f>
        <v>0</v>
      </c>
      <c r="AK42" s="440">
        <f t="shared" si="69"/>
        <v>0</v>
      </c>
      <c r="AL42" s="440">
        <f t="shared" si="70"/>
        <v>0</v>
      </c>
      <c r="AM42" s="445">
        <f>+'Asset Classification'!X42</f>
        <v>0</v>
      </c>
      <c r="AN42" s="440">
        <f t="shared" si="71"/>
        <v>0</v>
      </c>
      <c r="AO42" s="440">
        <f t="shared" si="72"/>
        <v>0</v>
      </c>
      <c r="AP42" s="435">
        <f t="shared" si="73"/>
        <v>0</v>
      </c>
      <c r="AQ42" s="435">
        <f t="shared" si="73"/>
        <v>0</v>
      </c>
      <c r="AR42" s="435">
        <f t="shared" si="74"/>
        <v>0</v>
      </c>
      <c r="AS42" s="440">
        <f t="shared" si="75"/>
        <v>0</v>
      </c>
      <c r="AT42" s="440">
        <f t="shared" si="75"/>
        <v>0</v>
      </c>
      <c r="AU42" s="440">
        <f t="shared" si="76"/>
        <v>0</v>
      </c>
      <c r="AW42" s="206"/>
      <c r="AX42" s="206"/>
      <c r="AY42" s="206"/>
      <c r="AZ42" s="206"/>
      <c r="BA42" s="206"/>
      <c r="BB42" s="206"/>
      <c r="BC42" s="206"/>
    </row>
    <row r="43" spans="1:55" s="15" customFormat="1" ht="23.25" customHeight="1">
      <c r="A43" s="295">
        <v>18</v>
      </c>
      <c r="B43" s="298" t="s">
        <v>467</v>
      </c>
      <c r="C43" s="439">
        <f>+'Asset Classification'!C43</f>
        <v>4011542126</v>
      </c>
      <c r="D43" s="445">
        <f>+'Asset Classification'!D43</f>
        <v>3062197686</v>
      </c>
      <c r="E43" s="443">
        <f>+'Asset Classification'!E43</f>
        <v>2917566860</v>
      </c>
      <c r="F43" s="445">
        <f>+'Asset Classification'!F43</f>
        <v>2424478092</v>
      </c>
      <c r="G43" s="443">
        <f>+'Asset Classification'!G43</f>
        <v>29175669</v>
      </c>
      <c r="H43" s="440">
        <f t="shared" si="55"/>
        <v>29175668.600000001</v>
      </c>
      <c r="I43" s="440">
        <f t="shared" si="56"/>
        <v>0.39999999850988388</v>
      </c>
      <c r="J43" s="443">
        <f>+'Asset Classification'!I43</f>
        <v>700506688</v>
      </c>
      <c r="K43" s="445">
        <f>+'Asset Classification'!J43</f>
        <v>427650988</v>
      </c>
      <c r="L43" s="443">
        <f>+'Asset Classification'!K43</f>
        <v>71135464</v>
      </c>
      <c r="M43" s="440">
        <f t="shared" si="57"/>
        <v>70050668.799999997</v>
      </c>
      <c r="N43" s="440">
        <f t="shared" si="58"/>
        <v>1084795.200000003</v>
      </c>
      <c r="O43" s="445">
        <f>+'Asset Classification'!L43</f>
        <v>42765099</v>
      </c>
      <c r="P43" s="440">
        <f t="shared" si="59"/>
        <v>42765098.800000004</v>
      </c>
      <c r="Q43" s="440">
        <f t="shared" si="60"/>
        <v>0.19999999552965164</v>
      </c>
      <c r="R43" s="443">
        <f>+'Asset Classification'!M43</f>
        <v>47877975</v>
      </c>
      <c r="S43" s="445">
        <f>+'Asset Classification'!N43</f>
        <v>8987052</v>
      </c>
      <c r="T43" s="443">
        <f>+'Asset Classification'!O43</f>
        <v>12330032</v>
      </c>
      <c r="U43" s="440">
        <f t="shared" si="61"/>
        <v>11969493.75</v>
      </c>
      <c r="V43" s="440">
        <f t="shared" si="62"/>
        <v>360538.25</v>
      </c>
      <c r="W43" s="445">
        <f>+'Asset Classification'!P43</f>
        <v>2246763</v>
      </c>
      <c r="X43" s="440">
        <f t="shared" si="63"/>
        <v>2246763</v>
      </c>
      <c r="Y43" s="440">
        <f t="shared" si="64"/>
        <v>0</v>
      </c>
      <c r="Z43" s="443">
        <f>+'Asset Classification'!Q43</f>
        <v>224581757</v>
      </c>
      <c r="AA43" s="445">
        <f>+'Asset Classification'!R43</f>
        <v>150036005</v>
      </c>
      <c r="AB43" s="443">
        <f>+'Asset Classification'!S43</f>
        <v>112544504</v>
      </c>
      <c r="AC43" s="440">
        <f t="shared" si="65"/>
        <v>112290878.5</v>
      </c>
      <c r="AD43" s="440">
        <f t="shared" si="66"/>
        <v>253625.5</v>
      </c>
      <c r="AE43" s="445">
        <f>+'Asset Classification'!T43</f>
        <v>75018003</v>
      </c>
      <c r="AF43" s="440">
        <f t="shared" si="67"/>
        <v>75018002.5</v>
      </c>
      <c r="AG43" s="440">
        <f t="shared" si="68"/>
        <v>0.5</v>
      </c>
      <c r="AH43" s="443">
        <f>+'Asset Classification'!U43</f>
        <v>121008846</v>
      </c>
      <c r="AI43" s="445">
        <f>+'Asset Classification'!V43</f>
        <v>51045549</v>
      </c>
      <c r="AJ43" s="443">
        <f>+'Asset Classification'!W43</f>
        <v>121008846</v>
      </c>
      <c r="AK43" s="440">
        <f t="shared" si="69"/>
        <v>121008846</v>
      </c>
      <c r="AL43" s="440">
        <f t="shared" si="70"/>
        <v>0</v>
      </c>
      <c r="AM43" s="445">
        <f>+'Asset Classification'!X43</f>
        <v>51045549</v>
      </c>
      <c r="AN43" s="440">
        <f t="shared" si="71"/>
        <v>51045549</v>
      </c>
      <c r="AO43" s="440">
        <f t="shared" si="72"/>
        <v>0</v>
      </c>
      <c r="AP43" s="435">
        <f t="shared" si="73"/>
        <v>317018846</v>
      </c>
      <c r="AQ43" s="435">
        <f t="shared" si="73"/>
        <v>315319887.05000001</v>
      </c>
      <c r="AR43" s="435">
        <f t="shared" si="74"/>
        <v>1698958.9499999881</v>
      </c>
      <c r="AS43" s="440">
        <f t="shared" si="75"/>
        <v>171075414</v>
      </c>
      <c r="AT43" s="440">
        <f t="shared" si="75"/>
        <v>171075413.30000001</v>
      </c>
      <c r="AU43" s="440">
        <f t="shared" si="76"/>
        <v>0.69999998807907104</v>
      </c>
      <c r="AV43" s="208">
        <f>+'Aging Analysis'!C29</f>
        <v>4011542126</v>
      </c>
      <c r="AW43" s="206"/>
      <c r="AX43" s="206"/>
      <c r="AY43" s="206"/>
      <c r="AZ43" s="206"/>
      <c r="BA43" s="206"/>
      <c r="BB43" s="206"/>
      <c r="BC43" s="206"/>
    </row>
    <row r="44" spans="1:55" s="15" customFormat="1" ht="14.25" customHeight="1">
      <c r="A44" s="295"/>
      <c r="B44" s="299" t="s">
        <v>638</v>
      </c>
      <c r="C44" s="439">
        <f>+'Asset Classification'!C44</f>
        <v>0</v>
      </c>
      <c r="D44" s="445">
        <f>+'Asset Classification'!D44</f>
        <v>0</v>
      </c>
      <c r="E44" s="443">
        <f>+'Asset Classification'!E44</f>
        <v>0</v>
      </c>
      <c r="F44" s="445">
        <f>+'Asset Classification'!F44</f>
        <v>0</v>
      </c>
      <c r="G44" s="443">
        <f>+'Asset Classification'!G44</f>
        <v>0</v>
      </c>
      <c r="H44" s="440">
        <f t="shared" si="55"/>
        <v>0</v>
      </c>
      <c r="I44" s="440">
        <f t="shared" si="56"/>
        <v>0</v>
      </c>
      <c r="J44" s="443">
        <f>+'Asset Classification'!I44</f>
        <v>0</v>
      </c>
      <c r="K44" s="445">
        <f>+'Asset Classification'!J44</f>
        <v>0</v>
      </c>
      <c r="L44" s="443">
        <f>+'Asset Classification'!K44</f>
        <v>0</v>
      </c>
      <c r="M44" s="440">
        <f t="shared" si="57"/>
        <v>0</v>
      </c>
      <c r="N44" s="440">
        <f t="shared" si="58"/>
        <v>0</v>
      </c>
      <c r="O44" s="445">
        <f>+'Asset Classification'!L44</f>
        <v>0</v>
      </c>
      <c r="P44" s="440">
        <f t="shared" si="59"/>
        <v>0</v>
      </c>
      <c r="Q44" s="440">
        <f t="shared" si="60"/>
        <v>0</v>
      </c>
      <c r="R44" s="443">
        <f>+'Asset Classification'!M44</f>
        <v>0</v>
      </c>
      <c r="S44" s="445">
        <f>+'Asset Classification'!N44</f>
        <v>0</v>
      </c>
      <c r="T44" s="443">
        <f>+'Asset Classification'!O44</f>
        <v>0</v>
      </c>
      <c r="U44" s="440">
        <f t="shared" si="61"/>
        <v>0</v>
      </c>
      <c r="V44" s="440">
        <f t="shared" si="62"/>
        <v>0</v>
      </c>
      <c r="W44" s="445">
        <f>+'Asset Classification'!P44</f>
        <v>0</v>
      </c>
      <c r="X44" s="440">
        <f t="shared" si="63"/>
        <v>0</v>
      </c>
      <c r="Y44" s="440">
        <f t="shared" si="64"/>
        <v>0</v>
      </c>
      <c r="Z44" s="443">
        <f>+'Asset Classification'!Q44</f>
        <v>0</v>
      </c>
      <c r="AA44" s="445">
        <f>+'Asset Classification'!R44</f>
        <v>0</v>
      </c>
      <c r="AB44" s="443">
        <f>+'Asset Classification'!S44</f>
        <v>0</v>
      </c>
      <c r="AC44" s="440">
        <f t="shared" si="65"/>
        <v>0</v>
      </c>
      <c r="AD44" s="440">
        <f t="shared" si="66"/>
        <v>0</v>
      </c>
      <c r="AE44" s="445">
        <f>+'Asset Classification'!T44</f>
        <v>0</v>
      </c>
      <c r="AF44" s="440">
        <f t="shared" si="67"/>
        <v>0</v>
      </c>
      <c r="AG44" s="440">
        <f t="shared" si="68"/>
        <v>0</v>
      </c>
      <c r="AH44" s="443">
        <f>+'Asset Classification'!U44</f>
        <v>0</v>
      </c>
      <c r="AI44" s="445">
        <f>+'Asset Classification'!V44</f>
        <v>0</v>
      </c>
      <c r="AJ44" s="443">
        <f>+'Asset Classification'!W44</f>
        <v>0</v>
      </c>
      <c r="AK44" s="440">
        <f t="shared" si="69"/>
        <v>0</v>
      </c>
      <c r="AL44" s="440">
        <f t="shared" si="70"/>
        <v>0</v>
      </c>
      <c r="AM44" s="445">
        <f>+'Asset Classification'!X44</f>
        <v>0</v>
      </c>
      <c r="AN44" s="440">
        <f t="shared" si="71"/>
        <v>0</v>
      </c>
      <c r="AO44" s="440">
        <f t="shared" si="72"/>
        <v>0</v>
      </c>
      <c r="AP44" s="435">
        <f t="shared" si="73"/>
        <v>0</v>
      </c>
      <c r="AQ44" s="435">
        <f t="shared" si="73"/>
        <v>0</v>
      </c>
      <c r="AR44" s="435">
        <f t="shared" si="74"/>
        <v>0</v>
      </c>
      <c r="AS44" s="440">
        <f t="shared" si="75"/>
        <v>0</v>
      </c>
      <c r="AT44" s="440">
        <f t="shared" si="75"/>
        <v>0</v>
      </c>
      <c r="AU44" s="440">
        <f t="shared" si="76"/>
        <v>0</v>
      </c>
      <c r="AW44" s="206"/>
      <c r="AX44" s="206"/>
      <c r="AY44" s="206"/>
      <c r="AZ44" s="206"/>
      <c r="BA44" s="206"/>
      <c r="BB44" s="206"/>
      <c r="BC44" s="206"/>
    </row>
    <row r="45" spans="1:55" s="15" customFormat="1" ht="23.25" customHeight="1">
      <c r="A45" s="295">
        <v>19</v>
      </c>
      <c r="B45" s="298" t="s">
        <v>468</v>
      </c>
      <c r="C45" s="439">
        <f>+'Asset Classification'!C45</f>
        <v>1793348888</v>
      </c>
      <c r="D45" s="445">
        <f>+'Asset Classification'!D45</f>
        <v>213670558</v>
      </c>
      <c r="E45" s="443">
        <f>+'Asset Classification'!E45</f>
        <v>743749173</v>
      </c>
      <c r="F45" s="445">
        <f>+'Asset Classification'!F45</f>
        <v>188059114</v>
      </c>
      <c r="G45" s="443">
        <f>+'Asset Classification'!G45</f>
        <v>7437492</v>
      </c>
      <c r="H45" s="440">
        <f t="shared" si="55"/>
        <v>7437491.7300000004</v>
      </c>
      <c r="I45" s="440">
        <f t="shared" si="56"/>
        <v>0.26999999955296516</v>
      </c>
      <c r="J45" s="443">
        <f>+'Asset Classification'!I45</f>
        <v>1034371217</v>
      </c>
      <c r="K45" s="445">
        <f>+'Asset Classification'!J45</f>
        <v>25611444</v>
      </c>
      <c r="L45" s="443">
        <f>+'Asset Classification'!K45</f>
        <v>103437122</v>
      </c>
      <c r="M45" s="440">
        <f t="shared" si="57"/>
        <v>103437121.7</v>
      </c>
      <c r="N45" s="440">
        <f t="shared" si="58"/>
        <v>0.29999999701976776</v>
      </c>
      <c r="O45" s="445">
        <f>+'Asset Classification'!L45</f>
        <v>2561144</v>
      </c>
      <c r="P45" s="440">
        <f t="shared" si="59"/>
        <v>2561144.4000000004</v>
      </c>
      <c r="Q45" s="440">
        <f t="shared" si="60"/>
        <v>-0.40000000037252903</v>
      </c>
      <c r="R45" s="443">
        <f>+'Asset Classification'!M45</f>
        <v>565939</v>
      </c>
      <c r="S45" s="445">
        <f>+'Asset Classification'!N45</f>
        <v>0</v>
      </c>
      <c r="T45" s="443">
        <f>+'Asset Classification'!O45</f>
        <v>141485</v>
      </c>
      <c r="U45" s="440">
        <f t="shared" si="61"/>
        <v>141484.75</v>
      </c>
      <c r="V45" s="440">
        <f t="shared" si="62"/>
        <v>0.25</v>
      </c>
      <c r="W45" s="445">
        <f>+'Asset Classification'!P45</f>
        <v>0</v>
      </c>
      <c r="X45" s="440">
        <f t="shared" si="63"/>
        <v>0</v>
      </c>
      <c r="Y45" s="440">
        <f t="shared" si="64"/>
        <v>0</v>
      </c>
      <c r="Z45" s="443">
        <f>+'Asset Classification'!Q45</f>
        <v>0</v>
      </c>
      <c r="AA45" s="445">
        <f>+'Asset Classification'!R45</f>
        <v>0</v>
      </c>
      <c r="AB45" s="443">
        <f>+'Asset Classification'!S45</f>
        <v>0</v>
      </c>
      <c r="AC45" s="440">
        <f t="shared" si="65"/>
        <v>0</v>
      </c>
      <c r="AD45" s="440">
        <f t="shared" si="66"/>
        <v>0</v>
      </c>
      <c r="AE45" s="445">
        <f>+'Asset Classification'!T45</f>
        <v>0</v>
      </c>
      <c r="AF45" s="440">
        <f t="shared" si="67"/>
        <v>0</v>
      </c>
      <c r="AG45" s="440">
        <f t="shared" si="68"/>
        <v>0</v>
      </c>
      <c r="AH45" s="443">
        <f>+'Asset Classification'!U45</f>
        <v>14662559</v>
      </c>
      <c r="AI45" s="445">
        <f>+'Asset Classification'!V45</f>
        <v>0</v>
      </c>
      <c r="AJ45" s="443">
        <f>+'Asset Classification'!W45</f>
        <v>14662559</v>
      </c>
      <c r="AK45" s="440">
        <f t="shared" si="69"/>
        <v>14662559</v>
      </c>
      <c r="AL45" s="440">
        <f t="shared" si="70"/>
        <v>0</v>
      </c>
      <c r="AM45" s="445">
        <f>+'Asset Classification'!X45</f>
        <v>0</v>
      </c>
      <c r="AN45" s="440">
        <f t="shared" si="71"/>
        <v>0</v>
      </c>
      <c r="AO45" s="440">
        <f t="shared" si="72"/>
        <v>0</v>
      </c>
      <c r="AP45" s="435">
        <f t="shared" si="73"/>
        <v>118241166</v>
      </c>
      <c r="AQ45" s="435">
        <f t="shared" si="73"/>
        <v>118241165.45</v>
      </c>
      <c r="AR45" s="435">
        <f t="shared" si="74"/>
        <v>0.54999999701976776</v>
      </c>
      <c r="AS45" s="440">
        <f t="shared" si="75"/>
        <v>2561144</v>
      </c>
      <c r="AT45" s="440">
        <f t="shared" si="75"/>
        <v>2561144.4000000004</v>
      </c>
      <c r="AU45" s="440">
        <f t="shared" si="76"/>
        <v>-0.40000000037252903</v>
      </c>
      <c r="AV45" s="208">
        <f>+'Aging Analysis'!C30</f>
        <v>1793348888</v>
      </c>
      <c r="AW45" s="206"/>
      <c r="AX45" s="206"/>
      <c r="AY45" s="206"/>
      <c r="AZ45" s="206"/>
      <c r="BA45" s="206"/>
      <c r="BB45" s="206"/>
      <c r="BC45" s="206"/>
    </row>
    <row r="46" spans="1:55" s="15" customFormat="1" ht="14.25" customHeight="1">
      <c r="A46" s="295"/>
      <c r="B46" s="299" t="s">
        <v>638</v>
      </c>
      <c r="C46" s="439">
        <f>+'Asset Classification'!C46</f>
        <v>0</v>
      </c>
      <c r="D46" s="445">
        <f>+'Asset Classification'!D46</f>
        <v>0</v>
      </c>
      <c r="E46" s="443">
        <f>+'Asset Classification'!E46</f>
        <v>0</v>
      </c>
      <c r="F46" s="445">
        <f>+'Asset Classification'!F46</f>
        <v>0</v>
      </c>
      <c r="G46" s="443">
        <f>+'Asset Classification'!G46</f>
        <v>0</v>
      </c>
      <c r="H46" s="440">
        <f t="shared" si="55"/>
        <v>0</v>
      </c>
      <c r="I46" s="440">
        <f t="shared" si="56"/>
        <v>0</v>
      </c>
      <c r="J46" s="443">
        <f>+'Asset Classification'!I46</f>
        <v>0</v>
      </c>
      <c r="K46" s="445">
        <f>+'Asset Classification'!J46</f>
        <v>0</v>
      </c>
      <c r="L46" s="443">
        <f>+'Asset Classification'!K46</f>
        <v>0</v>
      </c>
      <c r="M46" s="440">
        <f t="shared" si="57"/>
        <v>0</v>
      </c>
      <c r="N46" s="440">
        <f t="shared" si="58"/>
        <v>0</v>
      </c>
      <c r="O46" s="445">
        <f>+'Asset Classification'!L46</f>
        <v>0</v>
      </c>
      <c r="P46" s="440">
        <f t="shared" si="59"/>
        <v>0</v>
      </c>
      <c r="Q46" s="440">
        <f t="shared" si="60"/>
        <v>0</v>
      </c>
      <c r="R46" s="443">
        <f>+'Asset Classification'!M46</f>
        <v>0</v>
      </c>
      <c r="S46" s="445">
        <f>+'Asset Classification'!N46</f>
        <v>0</v>
      </c>
      <c r="T46" s="443">
        <f>+'Asset Classification'!O46</f>
        <v>0</v>
      </c>
      <c r="U46" s="440">
        <f t="shared" si="61"/>
        <v>0</v>
      </c>
      <c r="V46" s="440">
        <f t="shared" si="62"/>
        <v>0</v>
      </c>
      <c r="W46" s="445">
        <f>+'Asset Classification'!P46</f>
        <v>0</v>
      </c>
      <c r="X46" s="440">
        <f t="shared" si="63"/>
        <v>0</v>
      </c>
      <c r="Y46" s="440">
        <f t="shared" si="64"/>
        <v>0</v>
      </c>
      <c r="Z46" s="443">
        <f>+'Asset Classification'!Q46</f>
        <v>0</v>
      </c>
      <c r="AA46" s="445">
        <f>+'Asset Classification'!R46</f>
        <v>0</v>
      </c>
      <c r="AB46" s="443">
        <f>+'Asset Classification'!S46</f>
        <v>0</v>
      </c>
      <c r="AC46" s="440">
        <f t="shared" si="65"/>
        <v>0</v>
      </c>
      <c r="AD46" s="440">
        <f t="shared" si="66"/>
        <v>0</v>
      </c>
      <c r="AE46" s="445">
        <f>+'Asset Classification'!T46</f>
        <v>0</v>
      </c>
      <c r="AF46" s="440">
        <f t="shared" si="67"/>
        <v>0</v>
      </c>
      <c r="AG46" s="440">
        <f t="shared" si="68"/>
        <v>0</v>
      </c>
      <c r="AH46" s="443">
        <f>+'Asset Classification'!U46</f>
        <v>0</v>
      </c>
      <c r="AI46" s="445">
        <f>+'Asset Classification'!V46</f>
        <v>0</v>
      </c>
      <c r="AJ46" s="443">
        <f>+'Asset Classification'!W46</f>
        <v>0</v>
      </c>
      <c r="AK46" s="440">
        <f t="shared" si="69"/>
        <v>0</v>
      </c>
      <c r="AL46" s="440">
        <f t="shared" si="70"/>
        <v>0</v>
      </c>
      <c r="AM46" s="445">
        <f>+'Asset Classification'!X46</f>
        <v>0</v>
      </c>
      <c r="AN46" s="440">
        <f t="shared" si="71"/>
        <v>0</v>
      </c>
      <c r="AO46" s="440">
        <f t="shared" si="72"/>
        <v>0</v>
      </c>
      <c r="AP46" s="435">
        <f t="shared" si="73"/>
        <v>0</v>
      </c>
      <c r="AQ46" s="435">
        <f t="shared" si="73"/>
        <v>0</v>
      </c>
      <c r="AR46" s="435">
        <f t="shared" si="74"/>
        <v>0</v>
      </c>
      <c r="AS46" s="440">
        <f t="shared" si="75"/>
        <v>0</v>
      </c>
      <c r="AT46" s="440">
        <f t="shared" si="75"/>
        <v>0</v>
      </c>
      <c r="AU46" s="440">
        <f t="shared" si="76"/>
        <v>0</v>
      </c>
      <c r="AW46" s="206"/>
      <c r="AX46" s="206"/>
      <c r="AY46" s="206"/>
      <c r="AZ46" s="206"/>
      <c r="BA46" s="206"/>
      <c r="BB46" s="206"/>
      <c r="BC46" s="206"/>
    </row>
    <row r="47" spans="1:55" s="15" customFormat="1" ht="23.25" customHeight="1">
      <c r="A47" s="295">
        <v>20</v>
      </c>
      <c r="B47" s="298" t="s">
        <v>469</v>
      </c>
      <c r="C47" s="439">
        <f>+'Asset Classification'!C47</f>
        <v>23337550</v>
      </c>
      <c r="D47" s="445">
        <f>+'Asset Classification'!D47</f>
        <v>15285737</v>
      </c>
      <c r="E47" s="443">
        <f>+'Asset Classification'!E47</f>
        <v>9950568</v>
      </c>
      <c r="F47" s="445">
        <f>+'Asset Classification'!F47</f>
        <v>2675720</v>
      </c>
      <c r="G47" s="443">
        <f>+'Asset Classification'!G47</f>
        <v>99506</v>
      </c>
      <c r="H47" s="440">
        <f t="shared" si="55"/>
        <v>99505.680000000008</v>
      </c>
      <c r="I47" s="440">
        <f t="shared" si="56"/>
        <v>0.319999999992433</v>
      </c>
      <c r="J47" s="443">
        <f>+'Asset Classification'!I47</f>
        <v>12956338</v>
      </c>
      <c r="K47" s="445">
        <f>+'Asset Classification'!J47</f>
        <v>12610017</v>
      </c>
      <c r="L47" s="443">
        <f>+'Asset Classification'!K47</f>
        <v>1295634</v>
      </c>
      <c r="M47" s="440">
        <f t="shared" si="57"/>
        <v>1295633.8</v>
      </c>
      <c r="N47" s="440">
        <f t="shared" si="58"/>
        <v>0.19999999995343387</v>
      </c>
      <c r="O47" s="445">
        <f>+'Asset Classification'!L47</f>
        <v>1261002</v>
      </c>
      <c r="P47" s="440">
        <f t="shared" si="59"/>
        <v>1261001.7000000002</v>
      </c>
      <c r="Q47" s="440">
        <f t="shared" si="60"/>
        <v>0.29999999981373549</v>
      </c>
      <c r="R47" s="443">
        <f>+'Asset Classification'!M47</f>
        <v>0</v>
      </c>
      <c r="S47" s="445">
        <f>+'Asset Classification'!N47</f>
        <v>0</v>
      </c>
      <c r="T47" s="443">
        <f>+'Asset Classification'!O47</f>
        <v>0</v>
      </c>
      <c r="U47" s="440">
        <f t="shared" si="61"/>
        <v>0</v>
      </c>
      <c r="V47" s="440">
        <f t="shared" si="62"/>
        <v>0</v>
      </c>
      <c r="W47" s="445">
        <f>+'Asset Classification'!P47</f>
        <v>0</v>
      </c>
      <c r="X47" s="440">
        <f t="shared" si="63"/>
        <v>0</v>
      </c>
      <c r="Y47" s="440">
        <f t="shared" si="64"/>
        <v>0</v>
      </c>
      <c r="Z47" s="443">
        <f>+'Asset Classification'!Q47</f>
        <v>0</v>
      </c>
      <c r="AA47" s="445">
        <f>+'Asset Classification'!R47</f>
        <v>0</v>
      </c>
      <c r="AB47" s="443">
        <f>+'Asset Classification'!S47</f>
        <v>0</v>
      </c>
      <c r="AC47" s="440">
        <f t="shared" si="65"/>
        <v>0</v>
      </c>
      <c r="AD47" s="440">
        <f t="shared" si="66"/>
        <v>0</v>
      </c>
      <c r="AE47" s="445">
        <f>+'Asset Classification'!T47</f>
        <v>0</v>
      </c>
      <c r="AF47" s="440">
        <f t="shared" si="67"/>
        <v>0</v>
      </c>
      <c r="AG47" s="440">
        <f t="shared" si="68"/>
        <v>0</v>
      </c>
      <c r="AH47" s="443">
        <f>+'Asset Classification'!U47</f>
        <v>430644</v>
      </c>
      <c r="AI47" s="445">
        <f>+'Asset Classification'!V47</f>
        <v>0</v>
      </c>
      <c r="AJ47" s="443">
        <f>+'Asset Classification'!W47</f>
        <v>430644</v>
      </c>
      <c r="AK47" s="440">
        <f t="shared" si="69"/>
        <v>430644</v>
      </c>
      <c r="AL47" s="440">
        <f t="shared" si="70"/>
        <v>0</v>
      </c>
      <c r="AM47" s="445">
        <f>+'Asset Classification'!X47</f>
        <v>0</v>
      </c>
      <c r="AN47" s="440">
        <f t="shared" si="71"/>
        <v>0</v>
      </c>
      <c r="AO47" s="440">
        <f t="shared" si="72"/>
        <v>0</v>
      </c>
      <c r="AP47" s="435">
        <f t="shared" si="73"/>
        <v>1726278</v>
      </c>
      <c r="AQ47" s="435">
        <f t="shared" si="73"/>
        <v>1726277.8</v>
      </c>
      <c r="AR47" s="435">
        <f t="shared" si="74"/>
        <v>0.19999999995343387</v>
      </c>
      <c r="AS47" s="440">
        <f t="shared" si="75"/>
        <v>1261002</v>
      </c>
      <c r="AT47" s="440">
        <f t="shared" si="75"/>
        <v>1261001.7000000002</v>
      </c>
      <c r="AU47" s="440">
        <f t="shared" si="76"/>
        <v>0.29999999981373549</v>
      </c>
      <c r="AV47" s="208">
        <f>+'Aging Analysis'!C31</f>
        <v>23337550</v>
      </c>
      <c r="AW47" s="206"/>
      <c r="AX47" s="206"/>
      <c r="AY47" s="206"/>
      <c r="AZ47" s="206"/>
      <c r="BA47" s="206"/>
      <c r="BB47" s="206"/>
      <c r="BC47" s="206"/>
    </row>
    <row r="48" spans="1:55" s="15" customFormat="1" ht="14.25" customHeight="1">
      <c r="A48" s="295"/>
      <c r="B48" s="299" t="s">
        <v>638</v>
      </c>
      <c r="C48" s="439">
        <f>+'Asset Classification'!C48</f>
        <v>0</v>
      </c>
      <c r="D48" s="445">
        <f>+'Asset Classification'!D48</f>
        <v>0</v>
      </c>
      <c r="E48" s="443">
        <f>+'Asset Classification'!E48</f>
        <v>0</v>
      </c>
      <c r="F48" s="445">
        <f>+'Asset Classification'!F48</f>
        <v>0</v>
      </c>
      <c r="G48" s="443">
        <f>+'Asset Classification'!G48</f>
        <v>0</v>
      </c>
      <c r="H48" s="440">
        <f t="shared" si="55"/>
        <v>0</v>
      </c>
      <c r="I48" s="440">
        <f t="shared" si="56"/>
        <v>0</v>
      </c>
      <c r="J48" s="443">
        <f>+'Asset Classification'!I48</f>
        <v>0</v>
      </c>
      <c r="K48" s="445">
        <f>+'Asset Classification'!J48</f>
        <v>0</v>
      </c>
      <c r="L48" s="443">
        <f>+'Asset Classification'!K48</f>
        <v>0</v>
      </c>
      <c r="M48" s="440">
        <f t="shared" si="57"/>
        <v>0</v>
      </c>
      <c r="N48" s="440">
        <f t="shared" si="58"/>
        <v>0</v>
      </c>
      <c r="O48" s="445">
        <f>+'Asset Classification'!L48</f>
        <v>0</v>
      </c>
      <c r="P48" s="440">
        <f t="shared" si="59"/>
        <v>0</v>
      </c>
      <c r="Q48" s="440">
        <f t="shared" si="60"/>
        <v>0</v>
      </c>
      <c r="R48" s="443">
        <f>+'Asset Classification'!M48</f>
        <v>0</v>
      </c>
      <c r="S48" s="445">
        <f>+'Asset Classification'!N48</f>
        <v>0</v>
      </c>
      <c r="T48" s="443">
        <f>+'Asset Classification'!O48</f>
        <v>0</v>
      </c>
      <c r="U48" s="440">
        <f t="shared" si="61"/>
        <v>0</v>
      </c>
      <c r="V48" s="440">
        <f t="shared" si="62"/>
        <v>0</v>
      </c>
      <c r="W48" s="445">
        <f>+'Asset Classification'!P48</f>
        <v>0</v>
      </c>
      <c r="X48" s="440">
        <f t="shared" si="63"/>
        <v>0</v>
      </c>
      <c r="Y48" s="440">
        <f t="shared" si="64"/>
        <v>0</v>
      </c>
      <c r="Z48" s="443">
        <f>+'Asset Classification'!Q48</f>
        <v>0</v>
      </c>
      <c r="AA48" s="445">
        <f>+'Asset Classification'!R48</f>
        <v>0</v>
      </c>
      <c r="AB48" s="443">
        <f>+'Asset Classification'!S48</f>
        <v>0</v>
      </c>
      <c r="AC48" s="440">
        <f t="shared" si="65"/>
        <v>0</v>
      </c>
      <c r="AD48" s="440">
        <f t="shared" si="66"/>
        <v>0</v>
      </c>
      <c r="AE48" s="445">
        <f>+'Asset Classification'!T48</f>
        <v>0</v>
      </c>
      <c r="AF48" s="440">
        <f t="shared" si="67"/>
        <v>0</v>
      </c>
      <c r="AG48" s="440">
        <f t="shared" si="68"/>
        <v>0</v>
      </c>
      <c r="AH48" s="443">
        <f>+'Asset Classification'!U48</f>
        <v>0</v>
      </c>
      <c r="AI48" s="445">
        <f>+'Asset Classification'!V48</f>
        <v>0</v>
      </c>
      <c r="AJ48" s="443">
        <f>+'Asset Classification'!W48</f>
        <v>0</v>
      </c>
      <c r="AK48" s="440">
        <f t="shared" si="69"/>
        <v>0</v>
      </c>
      <c r="AL48" s="440">
        <f t="shared" si="70"/>
        <v>0</v>
      </c>
      <c r="AM48" s="445">
        <f>+'Asset Classification'!X48</f>
        <v>0</v>
      </c>
      <c r="AN48" s="440">
        <f t="shared" si="71"/>
        <v>0</v>
      </c>
      <c r="AO48" s="440">
        <f t="shared" si="72"/>
        <v>0</v>
      </c>
      <c r="AP48" s="435">
        <f t="shared" si="73"/>
        <v>0</v>
      </c>
      <c r="AQ48" s="435">
        <f t="shared" si="73"/>
        <v>0</v>
      </c>
      <c r="AR48" s="435">
        <f t="shared" si="74"/>
        <v>0</v>
      </c>
      <c r="AS48" s="440">
        <f t="shared" si="75"/>
        <v>0</v>
      </c>
      <c r="AT48" s="440">
        <f t="shared" si="75"/>
        <v>0</v>
      </c>
      <c r="AU48" s="440">
        <f t="shared" si="76"/>
        <v>0</v>
      </c>
      <c r="AW48" s="206"/>
      <c r="AX48" s="206"/>
      <c r="AY48" s="206"/>
      <c r="AZ48" s="206"/>
      <c r="BA48" s="206"/>
      <c r="BB48" s="206"/>
      <c r="BC48" s="206"/>
    </row>
    <row r="49" spans="1:55" s="15" customFormat="1" ht="23.25" customHeight="1">
      <c r="A49" s="295">
        <v>21</v>
      </c>
      <c r="B49" s="298" t="s">
        <v>470</v>
      </c>
      <c r="C49" s="439">
        <f>+'Asset Classification'!C49</f>
        <v>7392104326</v>
      </c>
      <c r="D49" s="445">
        <f>+'Asset Classification'!D49</f>
        <v>2742199327</v>
      </c>
      <c r="E49" s="443">
        <f>+'Asset Classification'!E49</f>
        <v>6261511176</v>
      </c>
      <c r="F49" s="445">
        <f>+'Asset Classification'!F49</f>
        <v>2129620599</v>
      </c>
      <c r="G49" s="443">
        <f>+'Asset Classification'!G49</f>
        <v>62615112</v>
      </c>
      <c r="H49" s="440">
        <f t="shared" si="55"/>
        <v>62615111.759999998</v>
      </c>
      <c r="I49" s="440">
        <f t="shared" si="56"/>
        <v>0.24000000208616257</v>
      </c>
      <c r="J49" s="443">
        <f>+'Asset Classification'!I49</f>
        <v>1039015265</v>
      </c>
      <c r="K49" s="445">
        <f>+'Asset Classification'!J49</f>
        <v>599378595</v>
      </c>
      <c r="L49" s="443">
        <f>+'Asset Classification'!K49</f>
        <v>103901526</v>
      </c>
      <c r="M49" s="440">
        <f t="shared" si="57"/>
        <v>103901526.5</v>
      </c>
      <c r="N49" s="440">
        <f t="shared" si="58"/>
        <v>-0.5</v>
      </c>
      <c r="O49" s="445">
        <f>+'Asset Classification'!L49</f>
        <v>59937860</v>
      </c>
      <c r="P49" s="440">
        <f t="shared" si="59"/>
        <v>59937859.5</v>
      </c>
      <c r="Q49" s="440">
        <f t="shared" si="60"/>
        <v>0.5</v>
      </c>
      <c r="R49" s="443">
        <f>+'Asset Classification'!M49</f>
        <v>17278340</v>
      </c>
      <c r="S49" s="445">
        <f>+'Asset Classification'!N49</f>
        <v>4431725</v>
      </c>
      <c r="T49" s="443">
        <f>+'Asset Classification'!O49</f>
        <v>4319584</v>
      </c>
      <c r="U49" s="440">
        <f t="shared" si="61"/>
        <v>4319585</v>
      </c>
      <c r="V49" s="440">
        <f t="shared" si="62"/>
        <v>-1</v>
      </c>
      <c r="W49" s="445">
        <f>+'Asset Classification'!P49</f>
        <v>1107932</v>
      </c>
      <c r="X49" s="440">
        <f t="shared" si="63"/>
        <v>1107931.25</v>
      </c>
      <c r="Y49" s="440">
        <f t="shared" si="64"/>
        <v>0.75</v>
      </c>
      <c r="Z49" s="443">
        <f>+'Asset Classification'!Q49</f>
        <v>43841094</v>
      </c>
      <c r="AA49" s="445">
        <f>+'Asset Classification'!R49</f>
        <v>4453391</v>
      </c>
      <c r="AB49" s="443">
        <f>+'Asset Classification'!S49</f>
        <v>21920548</v>
      </c>
      <c r="AC49" s="440">
        <f t="shared" si="65"/>
        <v>21920547</v>
      </c>
      <c r="AD49" s="440">
        <f t="shared" si="66"/>
        <v>1</v>
      </c>
      <c r="AE49" s="445">
        <f>+'Asset Classification'!T49</f>
        <v>2226696</v>
      </c>
      <c r="AF49" s="440">
        <f t="shared" si="67"/>
        <v>2226695.5</v>
      </c>
      <c r="AG49" s="440">
        <f t="shared" si="68"/>
        <v>0.5</v>
      </c>
      <c r="AH49" s="443">
        <f>+'Asset Classification'!U49</f>
        <v>30458451</v>
      </c>
      <c r="AI49" s="445">
        <f>+'Asset Classification'!V49</f>
        <v>4315017</v>
      </c>
      <c r="AJ49" s="443">
        <f>+'Asset Classification'!W49</f>
        <v>30458451</v>
      </c>
      <c r="AK49" s="440">
        <f t="shared" si="69"/>
        <v>30458451</v>
      </c>
      <c r="AL49" s="440">
        <f t="shared" si="70"/>
        <v>0</v>
      </c>
      <c r="AM49" s="445">
        <f>+'Asset Classification'!X49</f>
        <v>4315017</v>
      </c>
      <c r="AN49" s="440">
        <f t="shared" si="71"/>
        <v>4315017</v>
      </c>
      <c r="AO49" s="440">
        <f t="shared" si="72"/>
        <v>0</v>
      </c>
      <c r="AP49" s="435">
        <f t="shared" si="73"/>
        <v>160600109</v>
      </c>
      <c r="AQ49" s="435">
        <f t="shared" si="73"/>
        <v>160600109.5</v>
      </c>
      <c r="AR49" s="435">
        <f t="shared" si="74"/>
        <v>-0.5</v>
      </c>
      <c r="AS49" s="440">
        <f t="shared" si="75"/>
        <v>67587505</v>
      </c>
      <c r="AT49" s="440">
        <f t="shared" si="75"/>
        <v>67587503.25</v>
      </c>
      <c r="AU49" s="440">
        <f t="shared" si="76"/>
        <v>1.75</v>
      </c>
      <c r="AV49" s="208">
        <f>+'Aging Analysis'!C32</f>
        <v>7392104326</v>
      </c>
      <c r="AW49" s="206"/>
      <c r="AX49" s="206"/>
      <c r="AY49" s="206"/>
      <c r="AZ49" s="206"/>
      <c r="BA49" s="206"/>
      <c r="BB49" s="206"/>
      <c r="BC49" s="206"/>
    </row>
    <row r="50" spans="1:55" s="15" customFormat="1" ht="14.25" customHeight="1">
      <c r="A50" s="295"/>
      <c r="B50" s="299" t="s">
        <v>638</v>
      </c>
      <c r="C50" s="439">
        <f>+'Asset Classification'!C50</f>
        <v>0</v>
      </c>
      <c r="D50" s="445">
        <f>+'Asset Classification'!D50</f>
        <v>0</v>
      </c>
      <c r="E50" s="443">
        <f>+'Asset Classification'!E50</f>
        <v>0</v>
      </c>
      <c r="F50" s="445">
        <f>+'Asset Classification'!F50</f>
        <v>0</v>
      </c>
      <c r="G50" s="443">
        <f>+'Asset Classification'!G50</f>
        <v>0</v>
      </c>
      <c r="H50" s="440">
        <f t="shared" si="55"/>
        <v>0</v>
      </c>
      <c r="I50" s="440">
        <f t="shared" si="56"/>
        <v>0</v>
      </c>
      <c r="J50" s="443">
        <f>+'Asset Classification'!I50</f>
        <v>0</v>
      </c>
      <c r="K50" s="445">
        <f>+'Asset Classification'!J50</f>
        <v>0</v>
      </c>
      <c r="L50" s="443">
        <f>+'Asset Classification'!K50</f>
        <v>0</v>
      </c>
      <c r="M50" s="440">
        <f t="shared" si="57"/>
        <v>0</v>
      </c>
      <c r="N50" s="440">
        <f t="shared" si="58"/>
        <v>0</v>
      </c>
      <c r="O50" s="445">
        <f>+'Asset Classification'!L50</f>
        <v>0</v>
      </c>
      <c r="P50" s="440">
        <f t="shared" si="59"/>
        <v>0</v>
      </c>
      <c r="Q50" s="440">
        <f t="shared" si="60"/>
        <v>0</v>
      </c>
      <c r="R50" s="443">
        <f>+'Asset Classification'!M50</f>
        <v>0</v>
      </c>
      <c r="S50" s="445">
        <f>+'Asset Classification'!N50</f>
        <v>0</v>
      </c>
      <c r="T50" s="443">
        <f>+'Asset Classification'!O50</f>
        <v>0</v>
      </c>
      <c r="U50" s="440">
        <f t="shared" si="61"/>
        <v>0</v>
      </c>
      <c r="V50" s="440">
        <f t="shared" si="62"/>
        <v>0</v>
      </c>
      <c r="W50" s="445">
        <f>+'Asset Classification'!P50</f>
        <v>0</v>
      </c>
      <c r="X50" s="440">
        <f t="shared" si="63"/>
        <v>0</v>
      </c>
      <c r="Y50" s="440">
        <f t="shared" si="64"/>
        <v>0</v>
      </c>
      <c r="Z50" s="443">
        <f>+'Asset Classification'!Q50</f>
        <v>0</v>
      </c>
      <c r="AA50" s="445">
        <f>+'Asset Classification'!R50</f>
        <v>0</v>
      </c>
      <c r="AB50" s="443">
        <f>+'Asset Classification'!S50</f>
        <v>0</v>
      </c>
      <c r="AC50" s="440">
        <f t="shared" si="65"/>
        <v>0</v>
      </c>
      <c r="AD50" s="440">
        <f t="shared" si="66"/>
        <v>0</v>
      </c>
      <c r="AE50" s="445">
        <f>+'Asset Classification'!T50</f>
        <v>0</v>
      </c>
      <c r="AF50" s="440">
        <f t="shared" si="67"/>
        <v>0</v>
      </c>
      <c r="AG50" s="440">
        <f t="shared" si="68"/>
        <v>0</v>
      </c>
      <c r="AH50" s="443">
        <f>+'Asset Classification'!U50</f>
        <v>0</v>
      </c>
      <c r="AI50" s="445">
        <f>+'Asset Classification'!V50</f>
        <v>0</v>
      </c>
      <c r="AJ50" s="443">
        <f>+'Asset Classification'!W50</f>
        <v>0</v>
      </c>
      <c r="AK50" s="440">
        <f t="shared" si="69"/>
        <v>0</v>
      </c>
      <c r="AL50" s="440">
        <f t="shared" si="70"/>
        <v>0</v>
      </c>
      <c r="AM50" s="445">
        <f>+'Asset Classification'!X50</f>
        <v>0</v>
      </c>
      <c r="AN50" s="440">
        <f t="shared" si="71"/>
        <v>0</v>
      </c>
      <c r="AO50" s="440">
        <f t="shared" si="72"/>
        <v>0</v>
      </c>
      <c r="AP50" s="435">
        <f t="shared" si="73"/>
        <v>0</v>
      </c>
      <c r="AQ50" s="435">
        <f t="shared" si="73"/>
        <v>0</v>
      </c>
      <c r="AR50" s="435">
        <f t="shared" si="74"/>
        <v>0</v>
      </c>
      <c r="AS50" s="440">
        <f t="shared" si="75"/>
        <v>0</v>
      </c>
      <c r="AT50" s="440">
        <f t="shared" si="75"/>
        <v>0</v>
      </c>
      <c r="AU50" s="440">
        <f t="shared" si="76"/>
        <v>0</v>
      </c>
      <c r="AV50" s="206"/>
      <c r="AW50" s="206"/>
      <c r="AX50" s="206"/>
      <c r="AY50" s="206"/>
      <c r="AZ50" s="206"/>
      <c r="BA50" s="206"/>
      <c r="BB50" s="206"/>
      <c r="BC50" s="206"/>
    </row>
    <row r="51" spans="1:55" s="15" customFormat="1" ht="23.25" customHeight="1">
      <c r="A51" s="295">
        <v>22</v>
      </c>
      <c r="B51" s="298" t="s">
        <v>395</v>
      </c>
      <c r="C51" s="439">
        <f>+'Asset Classification'!C51</f>
        <v>9706748229</v>
      </c>
      <c r="D51" s="445">
        <f>+'Asset Classification'!D51</f>
        <v>0</v>
      </c>
      <c r="E51" s="443">
        <f>+'Asset Classification'!E51</f>
        <v>8900894853</v>
      </c>
      <c r="F51" s="445">
        <f>+'Asset Classification'!F51</f>
        <v>0</v>
      </c>
      <c r="G51" s="443">
        <f>+'Asset Classification'!G51</f>
        <v>89008949</v>
      </c>
      <c r="H51" s="440">
        <f t="shared" si="55"/>
        <v>89008948.530000001</v>
      </c>
      <c r="I51" s="440">
        <f t="shared" si="56"/>
        <v>0.4699999988079071</v>
      </c>
      <c r="J51" s="443">
        <f>+'Asset Classification'!I51</f>
        <v>534089561</v>
      </c>
      <c r="K51" s="445">
        <f>+'Asset Classification'!J51</f>
        <v>0</v>
      </c>
      <c r="L51" s="443">
        <f>+'Asset Classification'!K51</f>
        <v>53411263</v>
      </c>
      <c r="M51" s="440">
        <f t="shared" si="57"/>
        <v>53408956.100000001</v>
      </c>
      <c r="N51" s="440">
        <f t="shared" si="58"/>
        <v>2306.8999999985099</v>
      </c>
      <c r="O51" s="445">
        <f>+'Asset Classification'!L51</f>
        <v>0</v>
      </c>
      <c r="P51" s="440">
        <f t="shared" si="59"/>
        <v>0</v>
      </c>
      <c r="Q51" s="440">
        <f t="shared" si="60"/>
        <v>0</v>
      </c>
      <c r="R51" s="443">
        <f>+'Asset Classification'!M51</f>
        <v>94140521</v>
      </c>
      <c r="S51" s="445">
        <f>+'Asset Classification'!N51</f>
        <v>0</v>
      </c>
      <c r="T51" s="443">
        <f>+'Asset Classification'!O51</f>
        <v>23536472</v>
      </c>
      <c r="U51" s="440">
        <f t="shared" si="61"/>
        <v>23535130.25</v>
      </c>
      <c r="V51" s="440">
        <f t="shared" si="62"/>
        <v>1341.75</v>
      </c>
      <c r="W51" s="445">
        <f>+'Asset Classification'!P51</f>
        <v>0</v>
      </c>
      <c r="X51" s="440">
        <f t="shared" si="63"/>
        <v>0</v>
      </c>
      <c r="Y51" s="440">
        <f t="shared" si="64"/>
        <v>0</v>
      </c>
      <c r="Z51" s="443">
        <f>+'Asset Classification'!Q51</f>
        <v>146207436</v>
      </c>
      <c r="AA51" s="445">
        <f>+'Asset Classification'!R51</f>
        <v>0</v>
      </c>
      <c r="AB51" s="443">
        <f>+'Asset Classification'!S51</f>
        <v>73109718</v>
      </c>
      <c r="AC51" s="440">
        <f t="shared" si="65"/>
        <v>73103718</v>
      </c>
      <c r="AD51" s="440">
        <f t="shared" si="66"/>
        <v>6000</v>
      </c>
      <c r="AE51" s="445">
        <f>+'Asset Classification'!T51</f>
        <v>0</v>
      </c>
      <c r="AF51" s="440">
        <f t="shared" si="67"/>
        <v>0</v>
      </c>
      <c r="AG51" s="440">
        <f t="shared" si="68"/>
        <v>0</v>
      </c>
      <c r="AH51" s="443">
        <f>+'Asset Classification'!U51</f>
        <v>31415858</v>
      </c>
      <c r="AI51" s="445">
        <f>+'Asset Classification'!V51</f>
        <v>0</v>
      </c>
      <c r="AJ51" s="443">
        <f>+'Asset Classification'!W51</f>
        <v>31407981</v>
      </c>
      <c r="AK51" s="440">
        <f t="shared" si="69"/>
        <v>31415858</v>
      </c>
      <c r="AL51" s="440">
        <f t="shared" si="70"/>
        <v>-7877</v>
      </c>
      <c r="AM51" s="445">
        <f>+'Asset Classification'!X51</f>
        <v>0</v>
      </c>
      <c r="AN51" s="440">
        <f t="shared" si="71"/>
        <v>0</v>
      </c>
      <c r="AO51" s="440">
        <f t="shared" si="72"/>
        <v>0</v>
      </c>
      <c r="AP51" s="435">
        <f t="shared" si="73"/>
        <v>181465434</v>
      </c>
      <c r="AQ51" s="435">
        <f t="shared" si="73"/>
        <v>181463662.34999999</v>
      </c>
      <c r="AR51" s="435">
        <f t="shared" si="74"/>
        <v>1771.6500000059605</v>
      </c>
      <c r="AS51" s="440">
        <f t="shared" si="75"/>
        <v>0</v>
      </c>
      <c r="AT51" s="440">
        <f t="shared" si="75"/>
        <v>0</v>
      </c>
      <c r="AU51" s="440">
        <f t="shared" si="76"/>
        <v>0</v>
      </c>
      <c r="AV51" s="208">
        <f>+'Aging Analysis'!C33</f>
        <v>9706748229</v>
      </c>
      <c r="AW51" s="206"/>
      <c r="AX51" s="206"/>
      <c r="AY51" s="206"/>
      <c r="AZ51" s="206"/>
      <c r="BA51" s="206"/>
      <c r="BB51" s="206"/>
      <c r="BC51" s="206"/>
    </row>
    <row r="52" spans="1:55" s="15" customFormat="1" ht="14.25" customHeight="1">
      <c r="A52" s="295"/>
      <c r="B52" s="299" t="s">
        <v>638</v>
      </c>
      <c r="C52" s="439">
        <f>+'Asset Classification'!C52</f>
        <v>0</v>
      </c>
      <c r="D52" s="445">
        <f>+'Asset Classification'!D52</f>
        <v>0</v>
      </c>
      <c r="E52" s="443">
        <f>+'Asset Classification'!E52</f>
        <v>0</v>
      </c>
      <c r="F52" s="445">
        <f>+'Asset Classification'!F52</f>
        <v>0</v>
      </c>
      <c r="G52" s="443">
        <f>+'Asset Classification'!G52</f>
        <v>0</v>
      </c>
      <c r="H52" s="440">
        <f t="shared" si="55"/>
        <v>0</v>
      </c>
      <c r="I52" s="440">
        <f t="shared" si="56"/>
        <v>0</v>
      </c>
      <c r="J52" s="443">
        <f>+'Asset Classification'!I52</f>
        <v>0</v>
      </c>
      <c r="K52" s="445">
        <f>+'Asset Classification'!J52</f>
        <v>0</v>
      </c>
      <c r="L52" s="443">
        <f>+'Asset Classification'!K52</f>
        <v>0</v>
      </c>
      <c r="M52" s="440">
        <f t="shared" si="57"/>
        <v>0</v>
      </c>
      <c r="N52" s="440">
        <f t="shared" si="58"/>
        <v>0</v>
      </c>
      <c r="O52" s="445">
        <f>+'Asset Classification'!L52</f>
        <v>0</v>
      </c>
      <c r="P52" s="440">
        <f t="shared" si="59"/>
        <v>0</v>
      </c>
      <c r="Q52" s="440">
        <f t="shared" si="60"/>
        <v>0</v>
      </c>
      <c r="R52" s="443">
        <f>+'Asset Classification'!M52</f>
        <v>0</v>
      </c>
      <c r="S52" s="445">
        <f>+'Asset Classification'!N52</f>
        <v>0</v>
      </c>
      <c r="T52" s="443">
        <f>+'Asset Classification'!O52</f>
        <v>0</v>
      </c>
      <c r="U52" s="440">
        <f t="shared" si="61"/>
        <v>0</v>
      </c>
      <c r="V52" s="440">
        <f t="shared" si="62"/>
        <v>0</v>
      </c>
      <c r="W52" s="445">
        <f>+'Asset Classification'!P52</f>
        <v>0</v>
      </c>
      <c r="X52" s="440">
        <f t="shared" si="63"/>
        <v>0</v>
      </c>
      <c r="Y52" s="440">
        <f t="shared" si="64"/>
        <v>0</v>
      </c>
      <c r="Z52" s="443">
        <f>+'Asset Classification'!Q52</f>
        <v>0</v>
      </c>
      <c r="AA52" s="445">
        <f>+'Asset Classification'!R52</f>
        <v>0</v>
      </c>
      <c r="AB52" s="443">
        <f>+'Asset Classification'!S52</f>
        <v>0</v>
      </c>
      <c r="AC52" s="440">
        <f t="shared" si="65"/>
        <v>0</v>
      </c>
      <c r="AD52" s="440">
        <f t="shared" si="66"/>
        <v>0</v>
      </c>
      <c r="AE52" s="445">
        <f>+'Asset Classification'!T52</f>
        <v>0</v>
      </c>
      <c r="AF52" s="440">
        <f t="shared" si="67"/>
        <v>0</v>
      </c>
      <c r="AG52" s="440">
        <f t="shared" si="68"/>
        <v>0</v>
      </c>
      <c r="AH52" s="443">
        <f>+'Asset Classification'!U52</f>
        <v>0</v>
      </c>
      <c r="AI52" s="445">
        <f>+'Asset Classification'!V52</f>
        <v>0</v>
      </c>
      <c r="AJ52" s="443">
        <f>+'Asset Classification'!W52</f>
        <v>0</v>
      </c>
      <c r="AK52" s="440">
        <f t="shared" si="69"/>
        <v>0</v>
      </c>
      <c r="AL52" s="440">
        <f t="shared" si="70"/>
        <v>0</v>
      </c>
      <c r="AM52" s="445">
        <f>+'Asset Classification'!X52</f>
        <v>0</v>
      </c>
      <c r="AN52" s="440">
        <f t="shared" si="71"/>
        <v>0</v>
      </c>
      <c r="AO52" s="440">
        <f t="shared" si="72"/>
        <v>0</v>
      </c>
      <c r="AP52" s="435">
        <f t="shared" si="73"/>
        <v>0</v>
      </c>
      <c r="AQ52" s="435">
        <f t="shared" si="73"/>
        <v>0</v>
      </c>
      <c r="AR52" s="435">
        <f t="shared" si="74"/>
        <v>0</v>
      </c>
      <c r="AS52" s="440">
        <f t="shared" si="75"/>
        <v>0</v>
      </c>
      <c r="AT52" s="440">
        <f t="shared" si="75"/>
        <v>0</v>
      </c>
      <c r="AU52" s="440">
        <f t="shared" si="76"/>
        <v>0</v>
      </c>
      <c r="AV52" s="206"/>
      <c r="AW52" s="206"/>
      <c r="AX52" s="206"/>
      <c r="AY52" s="206"/>
      <c r="AZ52" s="206"/>
      <c r="BA52" s="206"/>
      <c r="BB52" s="206"/>
      <c r="BC52" s="206"/>
    </row>
    <row r="53" spans="1:55" s="424" customFormat="1" ht="28.5" customHeight="1">
      <c r="A53" s="423">
        <v>23</v>
      </c>
      <c r="B53" s="423" t="s">
        <v>646</v>
      </c>
      <c r="C53" s="436">
        <f>+'Asset Classification'!C53</f>
        <v>64935569833</v>
      </c>
      <c r="D53" s="436">
        <f>+'Asset Classification'!D53</f>
        <v>39024053370</v>
      </c>
      <c r="E53" s="436">
        <f>+'Asset Classification'!E53</f>
        <v>51319667488</v>
      </c>
      <c r="F53" s="436">
        <f>+'Asset Classification'!F53</f>
        <v>32061360522</v>
      </c>
      <c r="G53" s="436">
        <f>+'Asset Classification'!G53</f>
        <v>511888974</v>
      </c>
      <c r="H53" s="436">
        <f t="shared" ref="H53:I53" si="77">+H35+H37+H39+H41+H43+H45+H47+H49+H51</f>
        <v>513196674.88</v>
      </c>
      <c r="I53" s="436">
        <f t="shared" si="77"/>
        <v>-1307700.8799999955</v>
      </c>
      <c r="J53" s="436">
        <f>+'Asset Classification'!I53</f>
        <v>11973504955</v>
      </c>
      <c r="K53" s="436">
        <f>+'Asset Classification'!J53</f>
        <v>6541453216</v>
      </c>
      <c r="L53" s="436">
        <f>+'Asset Classification'!K53</f>
        <v>1198877092</v>
      </c>
      <c r="M53" s="436">
        <f t="shared" ref="M53:N53" si="78">+M35+M37+M39+M41+M43+M45+M47+M49+M51</f>
        <v>1197350495.5</v>
      </c>
      <c r="N53" s="436">
        <f t="shared" si="78"/>
        <v>1526596.4999999113</v>
      </c>
      <c r="O53" s="436">
        <f>+'Asset Classification'!L53</f>
        <v>654145323</v>
      </c>
      <c r="P53" s="436">
        <f t="shared" ref="P53:Q53" si="79">+P35+P37+P39+P41+P43+P45+P47+P49+P51</f>
        <v>654145321.60000002</v>
      </c>
      <c r="Q53" s="436">
        <f t="shared" si="79"/>
        <v>1.3999999398365617</v>
      </c>
      <c r="R53" s="436">
        <f>+'Asset Classification'!M53</f>
        <v>197951703</v>
      </c>
      <c r="S53" s="436">
        <f>+'Asset Classification'!N53</f>
        <v>21411043</v>
      </c>
      <c r="T53" s="436">
        <f>+'Asset Classification'!O53</f>
        <v>49906638</v>
      </c>
      <c r="U53" s="436">
        <f t="shared" ref="U53:V53" si="80">+U35+U37+U39+U41+U43+U45+U47+U49+U51</f>
        <v>49487925.75</v>
      </c>
      <c r="V53" s="436">
        <f t="shared" si="80"/>
        <v>418712.25</v>
      </c>
      <c r="W53" s="436">
        <f>+'Asset Classification'!P53</f>
        <v>5352762</v>
      </c>
      <c r="X53" s="436">
        <f t="shared" ref="X53:Y53" si="81">+X35+X37+X39+X41+X43+X45+X47+X49+X51</f>
        <v>5352760.75</v>
      </c>
      <c r="Y53" s="436">
        <f t="shared" si="81"/>
        <v>1.25</v>
      </c>
      <c r="Z53" s="436">
        <f>+'Asset Classification'!Q53</f>
        <v>515717513</v>
      </c>
      <c r="AA53" s="436">
        <f>+'Asset Classification'!R53</f>
        <v>180999960</v>
      </c>
      <c r="AB53" s="436">
        <f>+'Asset Classification'!S53</f>
        <v>258118383</v>
      </c>
      <c r="AC53" s="436">
        <f t="shared" ref="AC53:AG53" si="82">+AC35+AC37+AC39+AC41+AC43+AC45+AC47+AC49+AC51</f>
        <v>257858756.5</v>
      </c>
      <c r="AD53" s="436">
        <f t="shared" si="82"/>
        <v>259626.5</v>
      </c>
      <c r="AE53" s="436">
        <f>+'Asset Classification'!T53</f>
        <v>90499980</v>
      </c>
      <c r="AF53" s="436">
        <f t="shared" si="82"/>
        <v>90499980</v>
      </c>
      <c r="AG53" s="436">
        <f t="shared" si="82"/>
        <v>0</v>
      </c>
      <c r="AH53" s="436">
        <f>+'Asset Classification'!U53</f>
        <v>928728174</v>
      </c>
      <c r="AI53" s="436">
        <f>+'Asset Classification'!V53</f>
        <v>218828629</v>
      </c>
      <c r="AJ53" s="436">
        <f>+'Asset Classification'!W53</f>
        <v>928720297</v>
      </c>
      <c r="AK53" s="436">
        <f t="shared" ref="AK53:AL53" si="83">+AK35+AK37+AK39+AK41+AK43+AK45+AK47+AK49+AK51</f>
        <v>928728174</v>
      </c>
      <c r="AL53" s="436">
        <f t="shared" si="83"/>
        <v>-7877</v>
      </c>
      <c r="AM53" s="436">
        <f>+'Asset Classification'!X53</f>
        <v>218828629</v>
      </c>
      <c r="AN53" s="436">
        <f t="shared" ref="AN53:AU53" si="84">+AN35+AN37+AN39+AN41+AN43+AN45+AN47+AN49+AN51</f>
        <v>218828629</v>
      </c>
      <c r="AO53" s="436">
        <f t="shared" si="84"/>
        <v>0</v>
      </c>
      <c r="AP53" s="436">
        <f t="shared" si="84"/>
        <v>2435622410</v>
      </c>
      <c r="AQ53" s="436">
        <f t="shared" si="84"/>
        <v>2433425351.7499995</v>
      </c>
      <c r="AR53" s="436">
        <f t="shared" si="84"/>
        <v>2197058.249999919</v>
      </c>
      <c r="AS53" s="436">
        <f t="shared" si="84"/>
        <v>968826694</v>
      </c>
      <c r="AT53" s="436">
        <f t="shared" si="84"/>
        <v>968826691.35000002</v>
      </c>
      <c r="AU53" s="436">
        <f t="shared" si="84"/>
        <v>2.6499999323859811</v>
      </c>
      <c r="AV53" s="442">
        <f>+'Aging Analysis'!C35</f>
        <v>64935569833</v>
      </c>
    </row>
    <row r="54" spans="1:55" s="15" customFormat="1" ht="23.25" customHeight="1">
      <c r="A54" s="295"/>
      <c r="B54" s="299" t="s">
        <v>638</v>
      </c>
      <c r="C54" s="439">
        <f>+'Asset Classification'!C54</f>
        <v>0</v>
      </c>
      <c r="D54" s="445">
        <f>+'Asset Classification'!D54</f>
        <v>0</v>
      </c>
      <c r="E54" s="443">
        <f>+'Asset Classification'!E54</f>
        <v>0</v>
      </c>
      <c r="F54" s="445">
        <f>+'Asset Classification'!F54</f>
        <v>0</v>
      </c>
      <c r="G54" s="443">
        <f>+'Asset Classification'!G54</f>
        <v>0</v>
      </c>
      <c r="H54" s="440">
        <f t="shared" ref="H54" si="85">+E54*1%</f>
        <v>0</v>
      </c>
      <c r="I54" s="440">
        <f t="shared" ref="I54" si="86">+G54-H54</f>
        <v>0</v>
      </c>
      <c r="J54" s="443">
        <f>+'Asset Classification'!I54</f>
        <v>0</v>
      </c>
      <c r="K54" s="445">
        <f>+'Asset Classification'!J54</f>
        <v>0</v>
      </c>
      <c r="L54" s="443">
        <f>+'Asset Classification'!K54</f>
        <v>0</v>
      </c>
      <c r="M54" s="440">
        <f t="shared" ref="M54" si="87">+J54*10%</f>
        <v>0</v>
      </c>
      <c r="N54" s="440">
        <f t="shared" ref="N54" si="88">+L54-M54</f>
        <v>0</v>
      </c>
      <c r="O54" s="445">
        <f>+'Asset Classification'!L54</f>
        <v>0</v>
      </c>
      <c r="P54" s="440">
        <f t="shared" ref="P54" si="89">+K54*10%</f>
        <v>0</v>
      </c>
      <c r="Q54" s="440">
        <f t="shared" ref="Q54" si="90">+O54-P54</f>
        <v>0</v>
      </c>
      <c r="R54" s="443">
        <f>+'Asset Classification'!M54</f>
        <v>0</v>
      </c>
      <c r="S54" s="445">
        <f>+'Asset Classification'!N54</f>
        <v>0</v>
      </c>
      <c r="T54" s="443">
        <f>+'Asset Classification'!O54</f>
        <v>0</v>
      </c>
      <c r="U54" s="440">
        <f t="shared" ref="U54" si="91">+R54*25%</f>
        <v>0</v>
      </c>
      <c r="V54" s="440">
        <f t="shared" ref="V54" si="92">+T54-U54</f>
        <v>0</v>
      </c>
      <c r="W54" s="445">
        <f>+'Asset Classification'!P54</f>
        <v>0</v>
      </c>
      <c r="X54" s="440">
        <f t="shared" ref="X54" si="93">+S54*25%</f>
        <v>0</v>
      </c>
      <c r="Y54" s="440">
        <f t="shared" ref="Y54" si="94">+W54-X54</f>
        <v>0</v>
      </c>
      <c r="Z54" s="443">
        <f>+'Asset Classification'!Q54</f>
        <v>0</v>
      </c>
      <c r="AA54" s="445">
        <f>+'Asset Classification'!R54</f>
        <v>0</v>
      </c>
      <c r="AB54" s="443">
        <f>+'Asset Classification'!S54</f>
        <v>0</v>
      </c>
      <c r="AC54" s="440">
        <f t="shared" ref="AC54" si="95">+Z54*50%</f>
        <v>0</v>
      </c>
      <c r="AD54" s="440">
        <f t="shared" ref="AD54" si="96">+AB54-AC54</f>
        <v>0</v>
      </c>
      <c r="AE54" s="445">
        <f>+'Asset Classification'!T54</f>
        <v>0</v>
      </c>
      <c r="AF54" s="440">
        <f t="shared" ref="AF54" si="97">+AA54*50%</f>
        <v>0</v>
      </c>
      <c r="AG54" s="440">
        <f t="shared" ref="AG54" si="98">+AE54-AF54</f>
        <v>0</v>
      </c>
      <c r="AH54" s="443">
        <f>+'Asset Classification'!U54</f>
        <v>0</v>
      </c>
      <c r="AI54" s="445">
        <f>+'Asset Classification'!V54</f>
        <v>0</v>
      </c>
      <c r="AJ54" s="443">
        <f>+'Asset Classification'!W54</f>
        <v>0</v>
      </c>
      <c r="AK54" s="440">
        <f t="shared" ref="AK54" si="99">+AH54*100%</f>
        <v>0</v>
      </c>
      <c r="AL54" s="440">
        <f t="shared" ref="AL54" si="100">+AJ54-AK54</f>
        <v>0</v>
      </c>
      <c r="AM54" s="445">
        <f>+'Asset Classification'!X54</f>
        <v>0</v>
      </c>
      <c r="AN54" s="440">
        <f t="shared" ref="AN54" si="101">+AI54*100%</f>
        <v>0</v>
      </c>
      <c r="AO54" s="440">
        <f t="shared" ref="AO54" si="102">+AM54-AN54</f>
        <v>0</v>
      </c>
      <c r="AP54" s="435">
        <f t="shared" ref="AP54" si="103">+L54+T54+AB54+AJ54</f>
        <v>0</v>
      </c>
      <c r="AQ54" s="435">
        <f t="shared" ref="AQ54" si="104">+M54+U54+AC54+AK54</f>
        <v>0</v>
      </c>
      <c r="AR54" s="435">
        <f t="shared" ref="AR54" si="105">+AP54-AQ54</f>
        <v>0</v>
      </c>
      <c r="AS54" s="440">
        <f t="shared" ref="AS54" si="106">+O54+W54+AE54+AM54</f>
        <v>0</v>
      </c>
      <c r="AT54" s="440">
        <f t="shared" ref="AT54" si="107">+P54+X54+AF54+AN54</f>
        <v>0</v>
      </c>
      <c r="AU54" s="440">
        <f t="shared" ref="AU54" si="108">+AS54-AT54</f>
        <v>0</v>
      </c>
      <c r="AV54" s="206"/>
      <c r="AW54" s="206"/>
      <c r="AX54" s="206"/>
      <c r="AY54" s="206"/>
      <c r="AZ54" s="206"/>
      <c r="BA54" s="206"/>
      <c r="BB54" s="206"/>
      <c r="BC54" s="206"/>
    </row>
    <row r="55" spans="1:55" s="424" customFormat="1" ht="27.75" customHeight="1">
      <c r="A55" s="423"/>
      <c r="B55" s="423" t="s">
        <v>648</v>
      </c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  <c r="AB55" s="436"/>
      <c r="AC55" s="436"/>
      <c r="AD55" s="436"/>
      <c r="AE55" s="436"/>
      <c r="AF55" s="436"/>
      <c r="AG55" s="436"/>
      <c r="AH55" s="436"/>
      <c r="AI55" s="436"/>
      <c r="AJ55" s="436"/>
      <c r="AK55" s="436"/>
      <c r="AL55" s="436"/>
      <c r="AM55" s="436"/>
      <c r="AN55" s="436"/>
      <c r="AO55" s="436"/>
      <c r="AP55" s="436"/>
      <c r="AQ55" s="436"/>
      <c r="AR55" s="436"/>
      <c r="AS55" s="436"/>
      <c r="AT55" s="436"/>
      <c r="AU55" s="436"/>
    </row>
    <row r="56" spans="1:55" s="15" customFormat="1" ht="7.5" customHeight="1">
      <c r="A56" s="14"/>
      <c r="B56" s="14"/>
      <c r="C56" s="443"/>
      <c r="D56" s="444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443"/>
      <c r="AD56" s="443"/>
      <c r="AE56" s="443"/>
      <c r="AF56" s="443"/>
      <c r="AG56" s="443"/>
      <c r="AH56" s="443"/>
      <c r="AI56" s="443"/>
      <c r="AJ56" s="443"/>
      <c r="AK56" s="443"/>
      <c r="AL56" s="443"/>
      <c r="AM56" s="443"/>
      <c r="AN56" s="443"/>
      <c r="AO56" s="443"/>
      <c r="AP56" s="443"/>
      <c r="AQ56" s="443"/>
      <c r="AR56" s="443"/>
      <c r="AS56" s="443"/>
      <c r="AT56" s="443"/>
      <c r="AU56" s="443"/>
      <c r="AV56" s="206"/>
      <c r="AW56" s="206"/>
      <c r="AX56" s="206"/>
      <c r="AY56" s="206"/>
      <c r="AZ56" s="206"/>
      <c r="BA56" s="206"/>
      <c r="BB56" s="206"/>
      <c r="BC56" s="206"/>
    </row>
    <row r="57" spans="1:55" s="15" customFormat="1" ht="21.75" customHeight="1">
      <c r="A57" s="295">
        <v>24</v>
      </c>
      <c r="B57" s="298" t="s">
        <v>649</v>
      </c>
      <c r="C57" s="439">
        <f>+'Asset Classification'!C57</f>
        <v>1230020837</v>
      </c>
      <c r="D57" s="440">
        <f>+'Asset Classification'!D57</f>
        <v>49717727</v>
      </c>
      <c r="E57" s="441">
        <f>+'Asset Classification'!E57</f>
        <v>1146431710</v>
      </c>
      <c r="F57" s="440">
        <f>+'Asset Classification'!F57</f>
        <v>45401281</v>
      </c>
      <c r="G57" s="441">
        <f>+'Asset Classification'!G57</f>
        <v>11072659</v>
      </c>
      <c r="H57" s="440">
        <f t="shared" ref="H57:H70" si="109">+E57*1%</f>
        <v>11464317.1</v>
      </c>
      <c r="I57" s="440">
        <f t="shared" ref="I57:I70" si="110">+G57-H57</f>
        <v>-391658.09999999963</v>
      </c>
      <c r="J57" s="441">
        <f>+'Asset Classification'!I57</f>
        <v>74988980</v>
      </c>
      <c r="K57" s="440">
        <f>+'Asset Classification'!J57</f>
        <v>4316446</v>
      </c>
      <c r="L57" s="441">
        <f>+'Asset Classification'!K57</f>
        <v>7526548</v>
      </c>
      <c r="M57" s="440">
        <f t="shared" ref="M57:M70" si="111">+J57*10%</f>
        <v>7498898</v>
      </c>
      <c r="N57" s="440">
        <f t="shared" ref="N57:N70" si="112">+L57-M57</f>
        <v>27650</v>
      </c>
      <c r="O57" s="440">
        <f>+'Asset Classification'!L57</f>
        <v>431644</v>
      </c>
      <c r="P57" s="440">
        <f t="shared" ref="P57:P70" si="113">+K57*10%</f>
        <v>431644.60000000003</v>
      </c>
      <c r="Q57" s="440">
        <f t="shared" ref="Q57:Q70" si="114">+O57-P57</f>
        <v>-0.6000000000349246</v>
      </c>
      <c r="R57" s="441">
        <f>+'Asset Classification'!M57</f>
        <v>4182112</v>
      </c>
      <c r="S57" s="440">
        <f>+'Asset Classification'!N57</f>
        <v>0</v>
      </c>
      <c r="T57" s="441">
        <f>+'Asset Classification'!O57</f>
        <v>1045528</v>
      </c>
      <c r="U57" s="440">
        <f t="shared" ref="U57:U70" si="115">+R57*25%</f>
        <v>1045528</v>
      </c>
      <c r="V57" s="440">
        <f t="shared" ref="V57:V70" si="116">+T57-U57</f>
        <v>0</v>
      </c>
      <c r="W57" s="440">
        <f>+'Asset Classification'!P57</f>
        <v>0</v>
      </c>
      <c r="X57" s="440">
        <f t="shared" ref="X57:X70" si="117">+S57*25%</f>
        <v>0</v>
      </c>
      <c r="Y57" s="440">
        <f t="shared" ref="Y57:Y70" si="118">+W57-X57</f>
        <v>0</v>
      </c>
      <c r="Z57" s="441">
        <f>+'Asset Classification'!Q57</f>
        <v>3515677</v>
      </c>
      <c r="AA57" s="440">
        <f>+'Asset Classification'!R57</f>
        <v>0</v>
      </c>
      <c r="AB57" s="441">
        <f>+'Asset Classification'!S57</f>
        <v>1757838</v>
      </c>
      <c r="AC57" s="440">
        <f t="shared" ref="AC57:AC70" si="119">+Z57*50%</f>
        <v>1757838.5</v>
      </c>
      <c r="AD57" s="440">
        <f t="shared" ref="AD57:AD70" si="120">+AB57-AC57</f>
        <v>-0.5</v>
      </c>
      <c r="AE57" s="440">
        <f>+'Asset Classification'!T57</f>
        <v>0</v>
      </c>
      <c r="AF57" s="440">
        <f t="shared" ref="AF57:AF70" si="121">+AA57*50%</f>
        <v>0</v>
      </c>
      <c r="AG57" s="440">
        <f t="shared" ref="AG57:AG70" si="122">+AE57-AF57</f>
        <v>0</v>
      </c>
      <c r="AH57" s="441">
        <f>+'Asset Classification'!U57</f>
        <v>902358</v>
      </c>
      <c r="AI57" s="440">
        <f>+'Asset Classification'!V57</f>
        <v>0</v>
      </c>
      <c r="AJ57" s="441">
        <f>+'Asset Classification'!W57</f>
        <v>902358</v>
      </c>
      <c r="AK57" s="440">
        <f t="shared" ref="AK57:AK70" si="123">+AH57*100%</f>
        <v>902358</v>
      </c>
      <c r="AL57" s="440">
        <f t="shared" ref="AL57:AL70" si="124">+AJ57-AK57</f>
        <v>0</v>
      </c>
      <c r="AM57" s="440">
        <f>+'Asset Classification'!X57</f>
        <v>0</v>
      </c>
      <c r="AN57" s="440">
        <f t="shared" ref="AN57:AN70" si="125">+AI57*100%</f>
        <v>0</v>
      </c>
      <c r="AO57" s="440">
        <f t="shared" ref="AO57:AO70" si="126">+AM57-AN57</f>
        <v>0</v>
      </c>
      <c r="AP57" s="435">
        <f t="shared" ref="AP57:AQ70" si="127">+L57+T57+AB57+AJ57</f>
        <v>11232272</v>
      </c>
      <c r="AQ57" s="435">
        <f t="shared" si="127"/>
        <v>11204622.5</v>
      </c>
      <c r="AR57" s="435">
        <f t="shared" ref="AR57:AR70" si="128">+AP57-AQ57</f>
        <v>27649.5</v>
      </c>
      <c r="AS57" s="440">
        <f t="shared" ref="AS57:AT70" si="129">+O57+W57+AE57+AM57</f>
        <v>431644</v>
      </c>
      <c r="AT57" s="440">
        <f t="shared" si="129"/>
        <v>431644.60000000003</v>
      </c>
      <c r="AU57" s="440">
        <f t="shared" ref="AU57:AU70" si="130">+AS57-AT57</f>
        <v>-0.6000000000349246</v>
      </c>
      <c r="AV57" s="206"/>
      <c r="AW57" s="206"/>
      <c r="AX57" s="206"/>
      <c r="AY57" s="206"/>
      <c r="AZ57" s="206"/>
      <c r="BA57" s="206"/>
      <c r="BB57" s="206"/>
      <c r="BC57" s="206"/>
    </row>
    <row r="58" spans="1:55" s="15" customFormat="1" ht="21.75" customHeight="1">
      <c r="A58" s="295">
        <v>25</v>
      </c>
      <c r="B58" s="298" t="s">
        <v>650</v>
      </c>
      <c r="C58" s="439">
        <f>+'Asset Classification'!C58</f>
        <v>1040003061</v>
      </c>
      <c r="D58" s="440">
        <f>+'Asset Classification'!D58</f>
        <v>102229752</v>
      </c>
      <c r="E58" s="441">
        <f>+'Asset Classification'!E58</f>
        <v>879680004</v>
      </c>
      <c r="F58" s="440">
        <f>+'Asset Classification'!F58</f>
        <v>81936467</v>
      </c>
      <c r="G58" s="441">
        <f>+'Asset Classification'!G58</f>
        <v>10254993</v>
      </c>
      <c r="H58" s="440">
        <f t="shared" si="109"/>
        <v>8796800.040000001</v>
      </c>
      <c r="I58" s="440">
        <f t="shared" si="110"/>
        <v>1458192.959999999</v>
      </c>
      <c r="J58" s="441">
        <f>+'Asset Classification'!I58</f>
        <v>122169376</v>
      </c>
      <c r="K58" s="440">
        <f>+'Asset Classification'!J58</f>
        <v>19623054</v>
      </c>
      <c r="L58" s="441">
        <f>+'Asset Classification'!K58</f>
        <v>12604791</v>
      </c>
      <c r="M58" s="440">
        <f t="shared" si="111"/>
        <v>12216937.600000001</v>
      </c>
      <c r="N58" s="440">
        <f t="shared" si="112"/>
        <v>387853.39999999851</v>
      </c>
      <c r="O58" s="440">
        <f>+'Asset Classification'!L58</f>
        <v>1962305</v>
      </c>
      <c r="P58" s="440">
        <f t="shared" si="113"/>
        <v>1962305.4000000001</v>
      </c>
      <c r="Q58" s="440">
        <f t="shared" si="114"/>
        <v>-0.40000000013969839</v>
      </c>
      <c r="R58" s="441">
        <f>+'Asset Classification'!M58</f>
        <v>20680155</v>
      </c>
      <c r="S58" s="440">
        <f>+'Asset Classification'!N58</f>
        <v>670231</v>
      </c>
      <c r="T58" s="441">
        <f>+'Asset Classification'!O58</f>
        <v>5170039</v>
      </c>
      <c r="U58" s="440">
        <f t="shared" si="115"/>
        <v>5170038.75</v>
      </c>
      <c r="V58" s="440">
        <f t="shared" si="116"/>
        <v>0.25</v>
      </c>
      <c r="W58" s="440">
        <f>+'Asset Classification'!P58</f>
        <v>167558</v>
      </c>
      <c r="X58" s="440">
        <f t="shared" si="117"/>
        <v>167557.75</v>
      </c>
      <c r="Y58" s="440">
        <f t="shared" si="118"/>
        <v>0.25</v>
      </c>
      <c r="Z58" s="441">
        <f>+'Asset Classification'!Q58</f>
        <v>11333039</v>
      </c>
      <c r="AA58" s="440">
        <f>+'Asset Classification'!R58</f>
        <v>0</v>
      </c>
      <c r="AB58" s="441">
        <f>+'Asset Classification'!S58</f>
        <v>5666519</v>
      </c>
      <c r="AC58" s="440">
        <f t="shared" si="119"/>
        <v>5666519.5</v>
      </c>
      <c r="AD58" s="440">
        <f t="shared" si="120"/>
        <v>-0.5</v>
      </c>
      <c r="AE58" s="440">
        <f>+'Asset Classification'!T58</f>
        <v>0</v>
      </c>
      <c r="AF58" s="440">
        <f t="shared" si="121"/>
        <v>0</v>
      </c>
      <c r="AG58" s="440">
        <f t="shared" si="122"/>
        <v>0</v>
      </c>
      <c r="AH58" s="441">
        <f>+'Asset Classification'!U58</f>
        <v>6140487</v>
      </c>
      <c r="AI58" s="440">
        <f>+'Asset Classification'!V58</f>
        <v>0</v>
      </c>
      <c r="AJ58" s="441">
        <f>+'Asset Classification'!W58</f>
        <v>6140487</v>
      </c>
      <c r="AK58" s="440">
        <f t="shared" si="123"/>
        <v>6140487</v>
      </c>
      <c r="AL58" s="440">
        <f t="shared" si="124"/>
        <v>0</v>
      </c>
      <c r="AM58" s="440">
        <f>+'Asset Classification'!X58</f>
        <v>0</v>
      </c>
      <c r="AN58" s="440">
        <f t="shared" si="125"/>
        <v>0</v>
      </c>
      <c r="AO58" s="440">
        <f t="shared" si="126"/>
        <v>0</v>
      </c>
      <c r="AP58" s="435">
        <f t="shared" si="127"/>
        <v>29581836</v>
      </c>
      <c r="AQ58" s="435">
        <f t="shared" si="127"/>
        <v>29193982.850000001</v>
      </c>
      <c r="AR58" s="435">
        <f t="shared" si="128"/>
        <v>387853.14999999851</v>
      </c>
      <c r="AS58" s="440">
        <f t="shared" si="129"/>
        <v>2129863</v>
      </c>
      <c r="AT58" s="440">
        <f t="shared" si="129"/>
        <v>2129863.1500000004</v>
      </c>
      <c r="AU58" s="440">
        <f t="shared" si="130"/>
        <v>-0.15000000037252903</v>
      </c>
      <c r="AV58" s="206"/>
      <c r="AW58" s="206"/>
      <c r="AX58" s="206"/>
      <c r="AY58" s="206"/>
      <c r="AZ58" s="206"/>
      <c r="BA58" s="206"/>
      <c r="BB58" s="206"/>
      <c r="BC58" s="206"/>
    </row>
    <row r="59" spans="1:55" s="15" customFormat="1" ht="21.75" customHeight="1">
      <c r="A59" s="295">
        <v>26</v>
      </c>
      <c r="B59" s="298" t="s">
        <v>651</v>
      </c>
      <c r="C59" s="439">
        <f>+'Asset Classification'!C59</f>
        <v>1094908440</v>
      </c>
      <c r="D59" s="440">
        <f>+'Asset Classification'!D59</f>
        <v>578096031</v>
      </c>
      <c r="E59" s="441">
        <f>+'Asset Classification'!E59</f>
        <v>944191352</v>
      </c>
      <c r="F59" s="440">
        <f>+'Asset Classification'!F59</f>
        <v>474427413</v>
      </c>
      <c r="G59" s="441">
        <f>+'Asset Classification'!G59</f>
        <v>11745891</v>
      </c>
      <c r="H59" s="440">
        <f t="shared" si="109"/>
        <v>9441913.5199999996</v>
      </c>
      <c r="I59" s="440">
        <f t="shared" si="110"/>
        <v>2303977.4800000004</v>
      </c>
      <c r="J59" s="441">
        <f>+'Asset Classification'!I59</f>
        <v>134683502</v>
      </c>
      <c r="K59" s="440">
        <f>+'Asset Classification'!J59</f>
        <v>103330370</v>
      </c>
      <c r="L59" s="441">
        <f>+'Asset Classification'!K59</f>
        <v>13468350</v>
      </c>
      <c r="M59" s="440">
        <f t="shared" si="111"/>
        <v>13468350.200000001</v>
      </c>
      <c r="N59" s="440">
        <f t="shared" si="112"/>
        <v>-0.20000000111758709</v>
      </c>
      <c r="O59" s="440">
        <f>+'Asset Classification'!L59</f>
        <v>10333037</v>
      </c>
      <c r="P59" s="440">
        <f t="shared" si="113"/>
        <v>10333037</v>
      </c>
      <c r="Q59" s="440">
        <f t="shared" si="114"/>
        <v>0</v>
      </c>
      <c r="R59" s="441">
        <f>+'Asset Classification'!M59</f>
        <v>7441732</v>
      </c>
      <c r="S59" s="440">
        <f>+'Asset Classification'!N59</f>
        <v>338248</v>
      </c>
      <c r="T59" s="441">
        <f>+'Asset Classification'!O59</f>
        <v>1860433</v>
      </c>
      <c r="U59" s="440">
        <f t="shared" si="115"/>
        <v>1860433</v>
      </c>
      <c r="V59" s="440">
        <f t="shared" si="116"/>
        <v>0</v>
      </c>
      <c r="W59" s="440">
        <f>+'Asset Classification'!P59</f>
        <v>84562</v>
      </c>
      <c r="X59" s="440">
        <f t="shared" si="117"/>
        <v>84562</v>
      </c>
      <c r="Y59" s="440">
        <f t="shared" si="118"/>
        <v>0</v>
      </c>
      <c r="Z59" s="441">
        <f>+'Asset Classification'!Q59</f>
        <v>8435446</v>
      </c>
      <c r="AA59" s="440">
        <f>+'Asset Classification'!R59</f>
        <v>0</v>
      </c>
      <c r="AB59" s="441">
        <f>+'Asset Classification'!S59</f>
        <v>4217723</v>
      </c>
      <c r="AC59" s="440">
        <f t="shared" si="119"/>
        <v>4217723</v>
      </c>
      <c r="AD59" s="440">
        <f t="shared" si="120"/>
        <v>0</v>
      </c>
      <c r="AE59" s="440">
        <f>+'Asset Classification'!T59</f>
        <v>0</v>
      </c>
      <c r="AF59" s="440">
        <f t="shared" si="121"/>
        <v>0</v>
      </c>
      <c r="AG59" s="440">
        <f t="shared" si="122"/>
        <v>0</v>
      </c>
      <c r="AH59" s="441">
        <f>+'Asset Classification'!U59</f>
        <v>156408</v>
      </c>
      <c r="AI59" s="440">
        <f>+'Asset Classification'!V59</f>
        <v>0</v>
      </c>
      <c r="AJ59" s="441">
        <f>+'Asset Classification'!W59</f>
        <v>156408</v>
      </c>
      <c r="AK59" s="440">
        <f t="shared" si="123"/>
        <v>156408</v>
      </c>
      <c r="AL59" s="440">
        <f t="shared" si="124"/>
        <v>0</v>
      </c>
      <c r="AM59" s="440">
        <f>+'Asset Classification'!X59</f>
        <v>0</v>
      </c>
      <c r="AN59" s="440">
        <f t="shared" si="125"/>
        <v>0</v>
      </c>
      <c r="AO59" s="440">
        <f t="shared" si="126"/>
        <v>0</v>
      </c>
      <c r="AP59" s="435">
        <f t="shared" si="127"/>
        <v>19702914</v>
      </c>
      <c r="AQ59" s="435">
        <f t="shared" si="127"/>
        <v>19702914.200000003</v>
      </c>
      <c r="AR59" s="435">
        <f t="shared" si="128"/>
        <v>-0.20000000298023224</v>
      </c>
      <c r="AS59" s="440">
        <f t="shared" si="129"/>
        <v>10417599</v>
      </c>
      <c r="AT59" s="440">
        <f t="shared" si="129"/>
        <v>10417599</v>
      </c>
      <c r="AU59" s="440">
        <f t="shared" si="130"/>
        <v>0</v>
      </c>
      <c r="AV59" s="206"/>
      <c r="AW59" s="206"/>
      <c r="AX59" s="206"/>
      <c r="AY59" s="206"/>
      <c r="AZ59" s="206"/>
      <c r="BA59" s="206"/>
      <c r="BB59" s="206"/>
      <c r="BC59" s="206"/>
    </row>
    <row r="60" spans="1:55" s="15" customFormat="1" ht="21.75" customHeight="1">
      <c r="A60" s="295">
        <v>27</v>
      </c>
      <c r="B60" s="298" t="s">
        <v>652</v>
      </c>
      <c r="C60" s="439">
        <f>+'Asset Classification'!C60</f>
        <v>357522251</v>
      </c>
      <c r="D60" s="440">
        <f>+'Asset Classification'!D60</f>
        <v>37046095</v>
      </c>
      <c r="E60" s="441">
        <f>+'Asset Classification'!E60</f>
        <v>326366201</v>
      </c>
      <c r="F60" s="440">
        <f>+'Asset Classification'!F60</f>
        <v>24417802</v>
      </c>
      <c r="G60" s="441">
        <f>+'Asset Classification'!G60</f>
        <v>10609211</v>
      </c>
      <c r="H60" s="440">
        <f t="shared" si="109"/>
        <v>3263662.0100000002</v>
      </c>
      <c r="I60" s="440">
        <f t="shared" si="110"/>
        <v>7345548.9900000002</v>
      </c>
      <c r="J60" s="441">
        <f>+'Asset Classification'!I60</f>
        <v>26047528</v>
      </c>
      <c r="K60" s="440">
        <f>+'Asset Classification'!J60</f>
        <v>12628293</v>
      </c>
      <c r="L60" s="441">
        <f>+'Asset Classification'!K60</f>
        <v>2604753</v>
      </c>
      <c r="M60" s="440">
        <f t="shared" si="111"/>
        <v>2604752.8000000003</v>
      </c>
      <c r="N60" s="440">
        <f t="shared" si="112"/>
        <v>0.19999999972060323</v>
      </c>
      <c r="O60" s="440">
        <f>+'Asset Classification'!L60</f>
        <v>1262829</v>
      </c>
      <c r="P60" s="440">
        <f t="shared" si="113"/>
        <v>1262829.3</v>
      </c>
      <c r="Q60" s="440">
        <f t="shared" si="114"/>
        <v>-0.30000000004656613</v>
      </c>
      <c r="R60" s="441">
        <f>+'Asset Classification'!M60</f>
        <v>3477499</v>
      </c>
      <c r="S60" s="440">
        <f>+'Asset Classification'!N60</f>
        <v>0</v>
      </c>
      <c r="T60" s="441">
        <f>+'Asset Classification'!O60</f>
        <v>869375</v>
      </c>
      <c r="U60" s="440">
        <f t="shared" si="115"/>
        <v>869374.75</v>
      </c>
      <c r="V60" s="440">
        <f t="shared" si="116"/>
        <v>0.25</v>
      </c>
      <c r="W60" s="440">
        <f>+'Asset Classification'!P60</f>
        <v>0</v>
      </c>
      <c r="X60" s="440">
        <f t="shared" si="117"/>
        <v>0</v>
      </c>
      <c r="Y60" s="440">
        <f t="shared" si="118"/>
        <v>0</v>
      </c>
      <c r="Z60" s="441">
        <f>+'Asset Classification'!Q60</f>
        <v>1611744</v>
      </c>
      <c r="AA60" s="440">
        <f>+'Asset Classification'!R60</f>
        <v>0</v>
      </c>
      <c r="AB60" s="441">
        <f>+'Asset Classification'!S60</f>
        <v>805872</v>
      </c>
      <c r="AC60" s="440">
        <f t="shared" si="119"/>
        <v>805872</v>
      </c>
      <c r="AD60" s="440">
        <f t="shared" si="120"/>
        <v>0</v>
      </c>
      <c r="AE60" s="440">
        <f>+'Asset Classification'!T60</f>
        <v>0</v>
      </c>
      <c r="AF60" s="440">
        <f t="shared" si="121"/>
        <v>0</v>
      </c>
      <c r="AG60" s="440">
        <f t="shared" si="122"/>
        <v>0</v>
      </c>
      <c r="AH60" s="441">
        <f>+'Asset Classification'!U60</f>
        <v>19279</v>
      </c>
      <c r="AI60" s="440">
        <f>+'Asset Classification'!V60</f>
        <v>0</v>
      </c>
      <c r="AJ60" s="441">
        <f>+'Asset Classification'!W60</f>
        <v>19279</v>
      </c>
      <c r="AK60" s="440">
        <f t="shared" si="123"/>
        <v>19279</v>
      </c>
      <c r="AL60" s="440">
        <f t="shared" si="124"/>
        <v>0</v>
      </c>
      <c r="AM60" s="440">
        <f>+'Asset Classification'!X60</f>
        <v>0</v>
      </c>
      <c r="AN60" s="440">
        <f t="shared" si="125"/>
        <v>0</v>
      </c>
      <c r="AO60" s="440">
        <f t="shared" si="126"/>
        <v>0</v>
      </c>
      <c r="AP60" s="435">
        <f t="shared" si="127"/>
        <v>4299279</v>
      </c>
      <c r="AQ60" s="435">
        <f t="shared" si="127"/>
        <v>4299278.5500000007</v>
      </c>
      <c r="AR60" s="435">
        <f t="shared" si="128"/>
        <v>0.44999999925494194</v>
      </c>
      <c r="AS60" s="440">
        <f t="shared" si="129"/>
        <v>1262829</v>
      </c>
      <c r="AT60" s="440">
        <f t="shared" si="129"/>
        <v>1262829.3</v>
      </c>
      <c r="AU60" s="440">
        <f t="shared" si="130"/>
        <v>-0.30000000004656613</v>
      </c>
      <c r="AV60" s="206"/>
      <c r="AW60" s="206"/>
      <c r="AX60" s="206"/>
      <c r="AY60" s="206"/>
      <c r="AZ60" s="206"/>
      <c r="BA60" s="206"/>
      <c r="BB60" s="206"/>
      <c r="BC60" s="206"/>
    </row>
    <row r="61" spans="1:55" s="15" customFormat="1" ht="21.75" customHeight="1">
      <c r="A61" s="295">
        <v>28</v>
      </c>
      <c r="B61" s="298" t="s">
        <v>653</v>
      </c>
      <c r="C61" s="439">
        <f>+'Asset Classification'!C61</f>
        <v>991321042</v>
      </c>
      <c r="D61" s="440">
        <f>+'Asset Classification'!D61</f>
        <v>212866673</v>
      </c>
      <c r="E61" s="441">
        <f>+'Asset Classification'!E61</f>
        <v>824093181</v>
      </c>
      <c r="F61" s="440">
        <f>+'Asset Classification'!F61</f>
        <v>114217286</v>
      </c>
      <c r="G61" s="441">
        <f>+'Asset Classification'!G61</f>
        <v>14498781</v>
      </c>
      <c r="H61" s="440">
        <f t="shared" si="109"/>
        <v>8240931.8100000005</v>
      </c>
      <c r="I61" s="440">
        <f t="shared" si="110"/>
        <v>6257849.1899999995</v>
      </c>
      <c r="J61" s="441">
        <f>+'Asset Classification'!I61</f>
        <v>153936832</v>
      </c>
      <c r="K61" s="440">
        <f>+'Asset Classification'!J61</f>
        <v>98574830</v>
      </c>
      <c r="L61" s="441">
        <f>+'Asset Classification'!K61</f>
        <v>15393683</v>
      </c>
      <c r="M61" s="440">
        <f t="shared" si="111"/>
        <v>15393683.200000001</v>
      </c>
      <c r="N61" s="440">
        <f t="shared" si="112"/>
        <v>-0.20000000111758709</v>
      </c>
      <c r="O61" s="440">
        <f>+'Asset Classification'!L61</f>
        <v>9857483</v>
      </c>
      <c r="P61" s="440">
        <f t="shared" si="113"/>
        <v>9857483</v>
      </c>
      <c r="Q61" s="440">
        <f t="shared" si="114"/>
        <v>0</v>
      </c>
      <c r="R61" s="441">
        <f>+'Asset Classification'!M61</f>
        <v>5914088</v>
      </c>
      <c r="S61" s="440">
        <f>+'Asset Classification'!N61</f>
        <v>74557</v>
      </c>
      <c r="T61" s="441">
        <f>+'Asset Classification'!O61</f>
        <v>1478522</v>
      </c>
      <c r="U61" s="440">
        <f t="shared" si="115"/>
        <v>1478522</v>
      </c>
      <c r="V61" s="440">
        <f t="shared" si="116"/>
        <v>0</v>
      </c>
      <c r="W61" s="440">
        <f>+'Asset Classification'!P61</f>
        <v>18639</v>
      </c>
      <c r="X61" s="440">
        <f t="shared" si="117"/>
        <v>18639.25</v>
      </c>
      <c r="Y61" s="440">
        <f t="shared" si="118"/>
        <v>-0.25</v>
      </c>
      <c r="Z61" s="441">
        <f>+'Asset Classification'!Q61</f>
        <v>5049895</v>
      </c>
      <c r="AA61" s="440">
        <f>+'Asset Classification'!R61</f>
        <v>0</v>
      </c>
      <c r="AB61" s="441">
        <f>+'Asset Classification'!S61</f>
        <v>2524948</v>
      </c>
      <c r="AC61" s="440">
        <f t="shared" si="119"/>
        <v>2524947.5</v>
      </c>
      <c r="AD61" s="440">
        <f t="shared" si="120"/>
        <v>0.5</v>
      </c>
      <c r="AE61" s="440">
        <f>+'Asset Classification'!T61</f>
        <v>0</v>
      </c>
      <c r="AF61" s="440">
        <f t="shared" si="121"/>
        <v>0</v>
      </c>
      <c r="AG61" s="440">
        <f t="shared" si="122"/>
        <v>0</v>
      </c>
      <c r="AH61" s="441">
        <f>+'Asset Classification'!U61</f>
        <v>2327046</v>
      </c>
      <c r="AI61" s="440">
        <f>+'Asset Classification'!V61</f>
        <v>0</v>
      </c>
      <c r="AJ61" s="441">
        <f>+'Asset Classification'!W61</f>
        <v>2327046</v>
      </c>
      <c r="AK61" s="440">
        <f t="shared" si="123"/>
        <v>2327046</v>
      </c>
      <c r="AL61" s="440">
        <f t="shared" si="124"/>
        <v>0</v>
      </c>
      <c r="AM61" s="440">
        <f>+'Asset Classification'!X61</f>
        <v>0</v>
      </c>
      <c r="AN61" s="440">
        <f t="shared" si="125"/>
        <v>0</v>
      </c>
      <c r="AO61" s="440">
        <f t="shared" si="126"/>
        <v>0</v>
      </c>
      <c r="AP61" s="435">
        <f t="shared" si="127"/>
        <v>21724199</v>
      </c>
      <c r="AQ61" s="435">
        <f t="shared" si="127"/>
        <v>21724198.700000003</v>
      </c>
      <c r="AR61" s="435">
        <f t="shared" si="128"/>
        <v>0.29999999701976776</v>
      </c>
      <c r="AS61" s="440">
        <f t="shared" si="129"/>
        <v>9876122</v>
      </c>
      <c r="AT61" s="440">
        <f t="shared" si="129"/>
        <v>9876122.25</v>
      </c>
      <c r="AU61" s="440">
        <f t="shared" si="130"/>
        <v>-0.25</v>
      </c>
      <c r="AV61" s="206"/>
      <c r="AW61" s="206"/>
      <c r="AX61" s="206"/>
      <c r="AY61" s="206"/>
      <c r="AZ61" s="206"/>
      <c r="BA61" s="206"/>
      <c r="BB61" s="206"/>
      <c r="BC61" s="206"/>
    </row>
    <row r="62" spans="1:55" s="15" customFormat="1" ht="21.75" customHeight="1">
      <c r="A62" s="295">
        <v>29</v>
      </c>
      <c r="B62" s="298" t="s">
        <v>654</v>
      </c>
      <c r="C62" s="439">
        <f>+'Asset Classification'!C62</f>
        <v>646329009</v>
      </c>
      <c r="D62" s="440">
        <f>+'Asset Classification'!D62</f>
        <v>189262233</v>
      </c>
      <c r="E62" s="441">
        <f>+'Asset Classification'!E62</f>
        <v>536152841</v>
      </c>
      <c r="F62" s="440">
        <f>+'Asset Classification'!F62</f>
        <v>139088612</v>
      </c>
      <c r="G62" s="441">
        <f>+'Asset Classification'!G62</f>
        <v>11790777</v>
      </c>
      <c r="H62" s="440">
        <f t="shared" si="109"/>
        <v>5361528.41</v>
      </c>
      <c r="I62" s="440">
        <f t="shared" si="110"/>
        <v>6429248.5899999999</v>
      </c>
      <c r="J62" s="441">
        <f>+'Asset Classification'!I62</f>
        <v>102933185</v>
      </c>
      <c r="K62" s="440">
        <f>+'Asset Classification'!J62</f>
        <v>49947689</v>
      </c>
      <c r="L62" s="441">
        <f>+'Asset Classification'!K62</f>
        <v>10402055</v>
      </c>
      <c r="M62" s="440">
        <f t="shared" si="111"/>
        <v>10293318.5</v>
      </c>
      <c r="N62" s="440">
        <f t="shared" si="112"/>
        <v>108736.5</v>
      </c>
      <c r="O62" s="440">
        <f>+'Asset Classification'!L62</f>
        <v>4994769</v>
      </c>
      <c r="P62" s="440">
        <f t="shared" si="113"/>
        <v>4994768.9000000004</v>
      </c>
      <c r="Q62" s="440">
        <f t="shared" si="114"/>
        <v>9.999999962747097E-2</v>
      </c>
      <c r="R62" s="441">
        <f>+'Asset Classification'!M62</f>
        <v>3672592</v>
      </c>
      <c r="S62" s="440">
        <f>+'Asset Classification'!N62</f>
        <v>225932</v>
      </c>
      <c r="T62" s="441">
        <f>+'Asset Classification'!O62</f>
        <v>918148</v>
      </c>
      <c r="U62" s="440">
        <f t="shared" si="115"/>
        <v>918148</v>
      </c>
      <c r="V62" s="440">
        <f t="shared" si="116"/>
        <v>0</v>
      </c>
      <c r="W62" s="440">
        <f>+'Asset Classification'!P62</f>
        <v>56483</v>
      </c>
      <c r="X62" s="440">
        <f t="shared" si="117"/>
        <v>56483</v>
      </c>
      <c r="Y62" s="440">
        <f t="shared" si="118"/>
        <v>0</v>
      </c>
      <c r="Z62" s="441">
        <f>+'Asset Classification'!Q62</f>
        <v>2995588</v>
      </c>
      <c r="AA62" s="440">
        <f>+'Asset Classification'!R62</f>
        <v>0</v>
      </c>
      <c r="AB62" s="441">
        <f>+'Asset Classification'!S62</f>
        <v>1497794</v>
      </c>
      <c r="AC62" s="440">
        <f t="shared" si="119"/>
        <v>1497794</v>
      </c>
      <c r="AD62" s="440">
        <f t="shared" si="120"/>
        <v>0</v>
      </c>
      <c r="AE62" s="440">
        <f>+'Asset Classification'!T62</f>
        <v>0</v>
      </c>
      <c r="AF62" s="440">
        <f t="shared" si="121"/>
        <v>0</v>
      </c>
      <c r="AG62" s="440">
        <f t="shared" si="122"/>
        <v>0</v>
      </c>
      <c r="AH62" s="441">
        <f>+'Asset Classification'!U62</f>
        <v>574803</v>
      </c>
      <c r="AI62" s="440">
        <f>+'Asset Classification'!V62</f>
        <v>0</v>
      </c>
      <c r="AJ62" s="441">
        <f>+'Asset Classification'!W62</f>
        <v>574803</v>
      </c>
      <c r="AK62" s="440">
        <f t="shared" si="123"/>
        <v>574803</v>
      </c>
      <c r="AL62" s="440">
        <f t="shared" si="124"/>
        <v>0</v>
      </c>
      <c r="AM62" s="440">
        <f>+'Asset Classification'!X62</f>
        <v>0</v>
      </c>
      <c r="AN62" s="440">
        <f t="shared" si="125"/>
        <v>0</v>
      </c>
      <c r="AO62" s="440">
        <f t="shared" si="126"/>
        <v>0</v>
      </c>
      <c r="AP62" s="435">
        <f t="shared" si="127"/>
        <v>13392800</v>
      </c>
      <c r="AQ62" s="435">
        <f t="shared" si="127"/>
        <v>13284063.5</v>
      </c>
      <c r="AR62" s="435">
        <f t="shared" si="128"/>
        <v>108736.5</v>
      </c>
      <c r="AS62" s="440">
        <f t="shared" si="129"/>
        <v>5051252</v>
      </c>
      <c r="AT62" s="440">
        <f t="shared" si="129"/>
        <v>5051251.9000000004</v>
      </c>
      <c r="AU62" s="440">
        <f t="shared" si="130"/>
        <v>9.999999962747097E-2</v>
      </c>
      <c r="AV62" s="206"/>
      <c r="AW62" s="206"/>
      <c r="AX62" s="206"/>
      <c r="AY62" s="206"/>
      <c r="AZ62" s="206"/>
      <c r="BA62" s="206"/>
      <c r="BB62" s="206"/>
      <c r="BC62" s="206"/>
    </row>
    <row r="63" spans="1:55" s="15" customFormat="1" ht="21.75" customHeight="1">
      <c r="A63" s="295">
        <v>30</v>
      </c>
      <c r="B63" s="298" t="s">
        <v>655</v>
      </c>
      <c r="C63" s="439">
        <f>+'Asset Classification'!C63</f>
        <v>570196006</v>
      </c>
      <c r="D63" s="440">
        <f>+'Asset Classification'!D63</f>
        <v>165012921</v>
      </c>
      <c r="E63" s="441">
        <f>+'Asset Classification'!E63</f>
        <v>432751376</v>
      </c>
      <c r="F63" s="440">
        <f>+'Asset Classification'!F63</f>
        <v>58083975</v>
      </c>
      <c r="G63" s="441">
        <f>+'Asset Classification'!G63</f>
        <v>4925718</v>
      </c>
      <c r="H63" s="440">
        <f t="shared" si="109"/>
        <v>4327513.76</v>
      </c>
      <c r="I63" s="440">
        <f t="shared" si="110"/>
        <v>598204.24000000022</v>
      </c>
      <c r="J63" s="441">
        <f>+'Asset Classification'!I63</f>
        <v>130326462</v>
      </c>
      <c r="K63" s="440">
        <f>+'Asset Classification'!J63</f>
        <v>104902087</v>
      </c>
      <c r="L63" s="441">
        <f>+'Asset Classification'!K63</f>
        <v>13054116</v>
      </c>
      <c r="M63" s="440">
        <f t="shared" si="111"/>
        <v>13032646.200000001</v>
      </c>
      <c r="N63" s="440">
        <f t="shared" si="112"/>
        <v>21469.799999998882</v>
      </c>
      <c r="O63" s="440">
        <f>+'Asset Classification'!L63</f>
        <v>10490209</v>
      </c>
      <c r="P63" s="440">
        <f t="shared" si="113"/>
        <v>10490208.700000001</v>
      </c>
      <c r="Q63" s="440">
        <f t="shared" si="114"/>
        <v>0.29999999888241291</v>
      </c>
      <c r="R63" s="441">
        <f>+'Asset Classification'!M63</f>
        <v>2106890</v>
      </c>
      <c r="S63" s="440">
        <f>+'Asset Classification'!N63</f>
        <v>207450</v>
      </c>
      <c r="T63" s="441">
        <f>+'Asset Classification'!O63</f>
        <v>526722</v>
      </c>
      <c r="U63" s="440">
        <f t="shared" si="115"/>
        <v>526722.5</v>
      </c>
      <c r="V63" s="440">
        <f t="shared" si="116"/>
        <v>-0.5</v>
      </c>
      <c r="W63" s="440">
        <f>+'Asset Classification'!P63</f>
        <v>51863</v>
      </c>
      <c r="X63" s="440">
        <f t="shared" si="117"/>
        <v>51862.5</v>
      </c>
      <c r="Y63" s="440">
        <f t="shared" si="118"/>
        <v>0.5</v>
      </c>
      <c r="Z63" s="441">
        <f>+'Asset Classification'!Q63</f>
        <v>4920620</v>
      </c>
      <c r="AA63" s="440">
        <f>+'Asset Classification'!R63</f>
        <v>1819409</v>
      </c>
      <c r="AB63" s="441">
        <f>+'Asset Classification'!S63</f>
        <v>2460310</v>
      </c>
      <c r="AC63" s="440">
        <f t="shared" si="119"/>
        <v>2460310</v>
      </c>
      <c r="AD63" s="440">
        <f t="shared" si="120"/>
        <v>0</v>
      </c>
      <c r="AE63" s="440">
        <f>+'Asset Classification'!T63</f>
        <v>909705</v>
      </c>
      <c r="AF63" s="440">
        <f t="shared" si="121"/>
        <v>909704.5</v>
      </c>
      <c r="AG63" s="440">
        <f t="shared" si="122"/>
        <v>0.5</v>
      </c>
      <c r="AH63" s="441">
        <f>+'Asset Classification'!U63</f>
        <v>90658</v>
      </c>
      <c r="AI63" s="440">
        <f>+'Asset Classification'!V63</f>
        <v>0</v>
      </c>
      <c r="AJ63" s="441">
        <f>+'Asset Classification'!W63</f>
        <v>90658</v>
      </c>
      <c r="AK63" s="440">
        <f t="shared" si="123"/>
        <v>90658</v>
      </c>
      <c r="AL63" s="440">
        <f t="shared" si="124"/>
        <v>0</v>
      </c>
      <c r="AM63" s="440">
        <f>+'Asset Classification'!X63</f>
        <v>0</v>
      </c>
      <c r="AN63" s="440">
        <f t="shared" si="125"/>
        <v>0</v>
      </c>
      <c r="AO63" s="440">
        <f t="shared" si="126"/>
        <v>0</v>
      </c>
      <c r="AP63" s="435">
        <f t="shared" si="127"/>
        <v>16131806</v>
      </c>
      <c r="AQ63" s="435">
        <f t="shared" si="127"/>
        <v>16110336.700000001</v>
      </c>
      <c r="AR63" s="435">
        <f t="shared" si="128"/>
        <v>21469.299999998882</v>
      </c>
      <c r="AS63" s="440">
        <f t="shared" si="129"/>
        <v>11451777</v>
      </c>
      <c r="AT63" s="440">
        <f t="shared" si="129"/>
        <v>11451775.700000001</v>
      </c>
      <c r="AU63" s="440">
        <f t="shared" si="130"/>
        <v>1.2999999988824129</v>
      </c>
      <c r="AV63" s="206"/>
      <c r="AW63" s="206"/>
      <c r="AX63" s="206"/>
      <c r="AY63" s="206"/>
      <c r="AZ63" s="206"/>
      <c r="BA63" s="206"/>
      <c r="BB63" s="206"/>
      <c r="BC63" s="206"/>
    </row>
    <row r="64" spans="1:55" s="15" customFormat="1" ht="21.75" customHeight="1">
      <c r="A64" s="295">
        <v>31</v>
      </c>
      <c r="B64" s="298" t="s">
        <v>656</v>
      </c>
      <c r="C64" s="439">
        <f>+'Asset Classification'!C64</f>
        <v>1031951755</v>
      </c>
      <c r="D64" s="440">
        <f>+'Asset Classification'!D64</f>
        <v>252884226</v>
      </c>
      <c r="E64" s="441">
        <f>+'Asset Classification'!E64</f>
        <v>909961371</v>
      </c>
      <c r="F64" s="440">
        <f>+'Asset Classification'!F64</f>
        <v>219901088</v>
      </c>
      <c r="G64" s="441">
        <f>+'Asset Classification'!G64</f>
        <v>12742160</v>
      </c>
      <c r="H64" s="440">
        <f t="shared" si="109"/>
        <v>9099613.7100000009</v>
      </c>
      <c r="I64" s="440">
        <f t="shared" si="110"/>
        <v>3642546.2899999991</v>
      </c>
      <c r="J64" s="441">
        <f>+'Asset Classification'!I64</f>
        <v>110853373</v>
      </c>
      <c r="K64" s="440">
        <f>+'Asset Classification'!J64</f>
        <v>32983138</v>
      </c>
      <c r="L64" s="441">
        <f>+'Asset Classification'!K64</f>
        <v>11085337</v>
      </c>
      <c r="M64" s="440">
        <f t="shared" si="111"/>
        <v>11085337.300000001</v>
      </c>
      <c r="N64" s="440">
        <f t="shared" si="112"/>
        <v>-0.30000000074505806</v>
      </c>
      <c r="O64" s="440">
        <f>+'Asset Classification'!L64</f>
        <v>3298314</v>
      </c>
      <c r="P64" s="440">
        <f t="shared" si="113"/>
        <v>3298313.8000000003</v>
      </c>
      <c r="Q64" s="440">
        <f t="shared" si="114"/>
        <v>0.19999999972060323</v>
      </c>
      <c r="R64" s="441">
        <f>+'Asset Classification'!M64</f>
        <v>2798840</v>
      </c>
      <c r="S64" s="440">
        <f>+'Asset Classification'!N64</f>
        <v>0</v>
      </c>
      <c r="T64" s="441">
        <f>+'Asset Classification'!O64</f>
        <v>699710</v>
      </c>
      <c r="U64" s="440">
        <f t="shared" si="115"/>
        <v>699710</v>
      </c>
      <c r="V64" s="440">
        <f t="shared" si="116"/>
        <v>0</v>
      </c>
      <c r="W64" s="440">
        <f>+'Asset Classification'!P64</f>
        <v>0</v>
      </c>
      <c r="X64" s="440">
        <f t="shared" si="117"/>
        <v>0</v>
      </c>
      <c r="Y64" s="440">
        <f t="shared" si="118"/>
        <v>0</v>
      </c>
      <c r="Z64" s="441">
        <f>+'Asset Classification'!Q64</f>
        <v>6014541</v>
      </c>
      <c r="AA64" s="440">
        <f>+'Asset Classification'!R64</f>
        <v>0</v>
      </c>
      <c r="AB64" s="441">
        <f>+'Asset Classification'!S64</f>
        <v>3007271</v>
      </c>
      <c r="AC64" s="440">
        <f t="shared" si="119"/>
        <v>3007270.5</v>
      </c>
      <c r="AD64" s="440">
        <f t="shared" si="120"/>
        <v>0.5</v>
      </c>
      <c r="AE64" s="440">
        <f>+'Asset Classification'!T64</f>
        <v>0</v>
      </c>
      <c r="AF64" s="440">
        <f t="shared" si="121"/>
        <v>0</v>
      </c>
      <c r="AG64" s="440">
        <f t="shared" si="122"/>
        <v>0</v>
      </c>
      <c r="AH64" s="441">
        <f>+'Asset Classification'!U64</f>
        <v>2323630</v>
      </c>
      <c r="AI64" s="440">
        <f>+'Asset Classification'!V64</f>
        <v>0</v>
      </c>
      <c r="AJ64" s="441">
        <f>+'Asset Classification'!W64</f>
        <v>2323630</v>
      </c>
      <c r="AK64" s="440">
        <f t="shared" si="123"/>
        <v>2323630</v>
      </c>
      <c r="AL64" s="440">
        <f t="shared" si="124"/>
        <v>0</v>
      </c>
      <c r="AM64" s="440">
        <f>+'Asset Classification'!X64</f>
        <v>0</v>
      </c>
      <c r="AN64" s="440">
        <f t="shared" si="125"/>
        <v>0</v>
      </c>
      <c r="AO64" s="440">
        <f t="shared" si="126"/>
        <v>0</v>
      </c>
      <c r="AP64" s="435">
        <f t="shared" si="127"/>
        <v>17115948</v>
      </c>
      <c r="AQ64" s="435">
        <f t="shared" si="127"/>
        <v>17115947.800000001</v>
      </c>
      <c r="AR64" s="435">
        <f t="shared" si="128"/>
        <v>0.19999999925494194</v>
      </c>
      <c r="AS64" s="440">
        <f t="shared" si="129"/>
        <v>3298314</v>
      </c>
      <c r="AT64" s="440">
        <f t="shared" si="129"/>
        <v>3298313.8000000003</v>
      </c>
      <c r="AU64" s="440">
        <f t="shared" si="130"/>
        <v>0.19999999972060323</v>
      </c>
      <c r="AV64" s="206"/>
      <c r="AW64" s="206"/>
      <c r="AX64" s="206"/>
      <c r="AY64" s="206"/>
      <c r="AZ64" s="206"/>
      <c r="BA64" s="206"/>
      <c r="BB64" s="206"/>
      <c r="BC64" s="206"/>
    </row>
    <row r="65" spans="1:55" s="15" customFormat="1" ht="21.75" customHeight="1">
      <c r="A65" s="295">
        <v>32</v>
      </c>
      <c r="B65" s="298" t="s">
        <v>657</v>
      </c>
      <c r="C65" s="439">
        <f>+'Asset Classification'!C65</f>
        <v>972317635</v>
      </c>
      <c r="D65" s="440">
        <f>+'Asset Classification'!D65</f>
        <v>99739221</v>
      </c>
      <c r="E65" s="441">
        <f>+'Asset Classification'!E65</f>
        <v>858581338</v>
      </c>
      <c r="F65" s="440">
        <f>+'Asset Classification'!F65</f>
        <v>62201379</v>
      </c>
      <c r="G65" s="441">
        <f>+'Asset Classification'!G65</f>
        <v>5848868</v>
      </c>
      <c r="H65" s="440">
        <f t="shared" si="109"/>
        <v>8585813.3800000008</v>
      </c>
      <c r="I65" s="440">
        <f t="shared" si="110"/>
        <v>-2736945.3800000008</v>
      </c>
      <c r="J65" s="441">
        <f>+'Asset Classification'!I65</f>
        <v>105756530</v>
      </c>
      <c r="K65" s="440">
        <f>+'Asset Classification'!J65</f>
        <v>37537842</v>
      </c>
      <c r="L65" s="441">
        <f>+'Asset Classification'!K65</f>
        <v>10582983</v>
      </c>
      <c r="M65" s="440">
        <f t="shared" si="111"/>
        <v>10575653</v>
      </c>
      <c r="N65" s="440">
        <f t="shared" si="112"/>
        <v>7330</v>
      </c>
      <c r="O65" s="440">
        <f>+'Asset Classification'!L65</f>
        <v>3753784</v>
      </c>
      <c r="P65" s="440">
        <f t="shared" si="113"/>
        <v>3753784.2</v>
      </c>
      <c r="Q65" s="440">
        <f t="shared" si="114"/>
        <v>-0.20000000018626451</v>
      </c>
      <c r="R65" s="441">
        <f>+'Asset Classification'!M65</f>
        <v>2591909</v>
      </c>
      <c r="S65" s="440">
        <f>+'Asset Classification'!N65</f>
        <v>0</v>
      </c>
      <c r="T65" s="441">
        <f>+'Asset Classification'!O65</f>
        <v>647977</v>
      </c>
      <c r="U65" s="440">
        <f t="shared" si="115"/>
        <v>647977.25</v>
      </c>
      <c r="V65" s="440">
        <f t="shared" si="116"/>
        <v>-0.25</v>
      </c>
      <c r="W65" s="440">
        <f>+'Asset Classification'!P65</f>
        <v>0</v>
      </c>
      <c r="X65" s="440">
        <f t="shared" si="117"/>
        <v>0</v>
      </c>
      <c r="Y65" s="440">
        <f t="shared" si="118"/>
        <v>0</v>
      </c>
      <c r="Z65" s="441">
        <f>+'Asset Classification'!Q65</f>
        <v>3227608</v>
      </c>
      <c r="AA65" s="440">
        <f>+'Asset Classification'!R65</f>
        <v>0</v>
      </c>
      <c r="AB65" s="441">
        <f>+'Asset Classification'!S65</f>
        <v>1613804</v>
      </c>
      <c r="AC65" s="440">
        <f t="shared" si="119"/>
        <v>1613804</v>
      </c>
      <c r="AD65" s="440">
        <f t="shared" si="120"/>
        <v>0</v>
      </c>
      <c r="AE65" s="440">
        <f>+'Asset Classification'!T65</f>
        <v>0</v>
      </c>
      <c r="AF65" s="440">
        <f t="shared" si="121"/>
        <v>0</v>
      </c>
      <c r="AG65" s="440">
        <f t="shared" si="122"/>
        <v>0</v>
      </c>
      <c r="AH65" s="441">
        <f>+'Asset Classification'!U65</f>
        <v>2160250</v>
      </c>
      <c r="AI65" s="440">
        <f>+'Asset Classification'!V65</f>
        <v>0</v>
      </c>
      <c r="AJ65" s="441">
        <f>+'Asset Classification'!W65</f>
        <v>2160250</v>
      </c>
      <c r="AK65" s="440">
        <f t="shared" si="123"/>
        <v>2160250</v>
      </c>
      <c r="AL65" s="440">
        <f t="shared" si="124"/>
        <v>0</v>
      </c>
      <c r="AM65" s="440">
        <f>+'Asset Classification'!X65</f>
        <v>0</v>
      </c>
      <c r="AN65" s="440">
        <f t="shared" si="125"/>
        <v>0</v>
      </c>
      <c r="AO65" s="440">
        <f t="shared" si="126"/>
        <v>0</v>
      </c>
      <c r="AP65" s="435">
        <f t="shared" si="127"/>
        <v>15005014</v>
      </c>
      <c r="AQ65" s="435">
        <f t="shared" si="127"/>
        <v>14997684.25</v>
      </c>
      <c r="AR65" s="435">
        <f t="shared" si="128"/>
        <v>7329.75</v>
      </c>
      <c r="AS65" s="440">
        <f t="shared" si="129"/>
        <v>3753784</v>
      </c>
      <c r="AT65" s="440">
        <f t="shared" si="129"/>
        <v>3753784.2</v>
      </c>
      <c r="AU65" s="440">
        <f t="shared" si="130"/>
        <v>-0.20000000018626451</v>
      </c>
      <c r="AV65" s="206"/>
      <c r="AW65" s="206"/>
      <c r="AX65" s="206"/>
      <c r="AY65" s="206"/>
      <c r="AZ65" s="206"/>
      <c r="BA65" s="206"/>
      <c r="BB65" s="206"/>
      <c r="BC65" s="206"/>
    </row>
    <row r="66" spans="1:55" s="15" customFormat="1" ht="21.75" customHeight="1">
      <c r="A66" s="295">
        <v>33</v>
      </c>
      <c r="B66" s="298" t="s">
        <v>658</v>
      </c>
      <c r="C66" s="439">
        <f>+'Asset Classification'!C66</f>
        <v>314115351</v>
      </c>
      <c r="D66" s="440">
        <f>+'Asset Classification'!D66</f>
        <v>32567304</v>
      </c>
      <c r="E66" s="441">
        <f>+'Asset Classification'!E66</f>
        <v>284201474</v>
      </c>
      <c r="F66" s="440">
        <f>+'Asset Classification'!F66</f>
        <v>25759047</v>
      </c>
      <c r="G66" s="441">
        <f>+'Asset Classification'!G66</f>
        <v>18700461</v>
      </c>
      <c r="H66" s="440">
        <f t="shared" si="109"/>
        <v>2842014.74</v>
      </c>
      <c r="I66" s="440">
        <f t="shared" si="110"/>
        <v>15858446.26</v>
      </c>
      <c r="J66" s="441">
        <f>+'Asset Classification'!I66</f>
        <v>24886090</v>
      </c>
      <c r="K66" s="440">
        <f>+'Asset Classification'!J66</f>
        <v>6808257</v>
      </c>
      <c r="L66" s="441">
        <f>+'Asset Classification'!K66</f>
        <v>2490364</v>
      </c>
      <c r="M66" s="440">
        <f t="shared" si="111"/>
        <v>2488609</v>
      </c>
      <c r="N66" s="440">
        <f t="shared" si="112"/>
        <v>1755</v>
      </c>
      <c r="O66" s="440">
        <f>+'Asset Classification'!L66</f>
        <v>680826</v>
      </c>
      <c r="P66" s="440">
        <f t="shared" si="113"/>
        <v>680825.70000000007</v>
      </c>
      <c r="Q66" s="440">
        <f t="shared" si="114"/>
        <v>0.29999999993015081</v>
      </c>
      <c r="R66" s="441">
        <f>+'Asset Classification'!M66</f>
        <v>2081385</v>
      </c>
      <c r="S66" s="440">
        <f>+'Asset Classification'!N66</f>
        <v>0</v>
      </c>
      <c r="T66" s="441">
        <f>+'Asset Classification'!O66</f>
        <v>520346</v>
      </c>
      <c r="U66" s="440">
        <f t="shared" si="115"/>
        <v>520346.25</v>
      </c>
      <c r="V66" s="440">
        <f t="shared" si="116"/>
        <v>-0.25</v>
      </c>
      <c r="W66" s="440">
        <f>+'Asset Classification'!P66</f>
        <v>0</v>
      </c>
      <c r="X66" s="440">
        <f t="shared" si="117"/>
        <v>0</v>
      </c>
      <c r="Y66" s="440">
        <f t="shared" si="118"/>
        <v>0</v>
      </c>
      <c r="Z66" s="441">
        <f>+'Asset Classification'!Q66</f>
        <v>2647137</v>
      </c>
      <c r="AA66" s="440">
        <f>+'Asset Classification'!R66</f>
        <v>0</v>
      </c>
      <c r="AB66" s="441">
        <f>+'Asset Classification'!S66</f>
        <v>1323569</v>
      </c>
      <c r="AC66" s="440">
        <f t="shared" si="119"/>
        <v>1323568.5</v>
      </c>
      <c r="AD66" s="440">
        <f t="shared" si="120"/>
        <v>0.5</v>
      </c>
      <c r="AE66" s="440">
        <f>+'Asset Classification'!T66</f>
        <v>0</v>
      </c>
      <c r="AF66" s="440">
        <f t="shared" si="121"/>
        <v>0</v>
      </c>
      <c r="AG66" s="440">
        <f t="shared" si="122"/>
        <v>0</v>
      </c>
      <c r="AH66" s="441">
        <f>+'Asset Classification'!U66</f>
        <v>299265</v>
      </c>
      <c r="AI66" s="440">
        <f>+'Asset Classification'!V66</f>
        <v>0</v>
      </c>
      <c r="AJ66" s="441">
        <f>+'Asset Classification'!W66</f>
        <v>299265</v>
      </c>
      <c r="AK66" s="440">
        <f t="shared" si="123"/>
        <v>299265</v>
      </c>
      <c r="AL66" s="440">
        <f t="shared" si="124"/>
        <v>0</v>
      </c>
      <c r="AM66" s="440">
        <f>+'Asset Classification'!X66</f>
        <v>0</v>
      </c>
      <c r="AN66" s="440">
        <f t="shared" si="125"/>
        <v>0</v>
      </c>
      <c r="AO66" s="440">
        <f t="shared" si="126"/>
        <v>0</v>
      </c>
      <c r="AP66" s="435">
        <f t="shared" si="127"/>
        <v>4633544</v>
      </c>
      <c r="AQ66" s="435">
        <f t="shared" si="127"/>
        <v>4631788.75</v>
      </c>
      <c r="AR66" s="435">
        <f t="shared" si="128"/>
        <v>1755.25</v>
      </c>
      <c r="AS66" s="440">
        <f t="shared" si="129"/>
        <v>680826</v>
      </c>
      <c r="AT66" s="440">
        <f t="shared" si="129"/>
        <v>680825.70000000007</v>
      </c>
      <c r="AU66" s="440">
        <f t="shared" si="130"/>
        <v>0.29999999993015081</v>
      </c>
      <c r="AV66" s="206"/>
      <c r="AW66" s="206"/>
      <c r="AX66" s="206"/>
      <c r="AY66" s="206"/>
      <c r="AZ66" s="206"/>
      <c r="BA66" s="206"/>
      <c r="BB66" s="206"/>
      <c r="BC66" s="206"/>
    </row>
    <row r="67" spans="1:55" s="15" customFormat="1" ht="21.75" customHeight="1">
      <c r="A67" s="295">
        <v>34</v>
      </c>
      <c r="B67" s="298" t="s">
        <v>659</v>
      </c>
      <c r="C67" s="439">
        <f>+'Asset Classification'!C67</f>
        <v>52989586704</v>
      </c>
      <c r="D67" s="440">
        <f>+'Asset Classification'!D67</f>
        <v>36693802082</v>
      </c>
      <c r="E67" s="441">
        <f>+'Asset Classification'!E67</f>
        <v>41199411358</v>
      </c>
      <c r="F67" s="440">
        <f>+'Asset Classification'!F67</f>
        <v>30474245579</v>
      </c>
      <c r="G67" s="441">
        <f>+'Asset Classification'!G67</f>
        <v>356457663</v>
      </c>
      <c r="H67" s="440">
        <f t="shared" si="109"/>
        <v>411994113.57999998</v>
      </c>
      <c r="I67" s="440">
        <f t="shared" si="110"/>
        <v>-55536450.579999983</v>
      </c>
      <c r="J67" s="441">
        <f>+'Asset Classification'!I67</f>
        <v>10363050997</v>
      </c>
      <c r="K67" s="440">
        <f>+'Asset Classification'!J67</f>
        <v>5809060607</v>
      </c>
      <c r="L67" s="441">
        <f>+'Asset Classification'!K67</f>
        <v>1037003652</v>
      </c>
      <c r="M67" s="440">
        <f t="shared" si="111"/>
        <v>1036305099.7</v>
      </c>
      <c r="N67" s="440">
        <f t="shared" si="112"/>
        <v>698552.29999995232</v>
      </c>
      <c r="O67" s="440">
        <f>+'Asset Classification'!L67</f>
        <v>580906062</v>
      </c>
      <c r="P67" s="440">
        <f t="shared" si="113"/>
        <v>580906060.70000005</v>
      </c>
      <c r="Q67" s="440">
        <f t="shared" si="114"/>
        <v>1.2999999523162842</v>
      </c>
      <c r="R67" s="441">
        <f>+'Asset Classification'!M67</f>
        <v>100070090</v>
      </c>
      <c r="S67" s="440">
        <f>+'Asset Classification'!N67</f>
        <v>14124408</v>
      </c>
      <c r="T67" s="441">
        <f>+'Asset Classification'!O67</f>
        <v>25434893</v>
      </c>
      <c r="U67" s="440">
        <f t="shared" si="115"/>
        <v>25017522.5</v>
      </c>
      <c r="V67" s="440">
        <f t="shared" si="116"/>
        <v>417370.5</v>
      </c>
      <c r="W67" s="440">
        <f>+'Asset Classification'!P67</f>
        <v>3531103</v>
      </c>
      <c r="X67" s="440">
        <f t="shared" si="117"/>
        <v>3531102</v>
      </c>
      <c r="Y67" s="440">
        <f t="shared" si="118"/>
        <v>1</v>
      </c>
      <c r="Z67" s="441">
        <f>+'Asset Classification'!Q67</f>
        <v>420895304</v>
      </c>
      <c r="AA67" s="440">
        <f>+'Asset Classification'!R67</f>
        <v>178909746</v>
      </c>
      <c r="AB67" s="441">
        <f>+'Asset Classification'!S67</f>
        <v>210701277</v>
      </c>
      <c r="AC67" s="440">
        <f t="shared" si="119"/>
        <v>210447652</v>
      </c>
      <c r="AD67" s="440">
        <f t="shared" si="120"/>
        <v>253625</v>
      </c>
      <c r="AE67" s="440">
        <f>+'Asset Classification'!T67</f>
        <v>89454872</v>
      </c>
      <c r="AF67" s="440">
        <f t="shared" si="121"/>
        <v>89454873</v>
      </c>
      <c r="AG67" s="440">
        <f t="shared" si="122"/>
        <v>-1</v>
      </c>
      <c r="AH67" s="441">
        <f>+'Asset Classification'!U67</f>
        <v>906158955</v>
      </c>
      <c r="AI67" s="440">
        <f>+'Asset Classification'!V67</f>
        <v>217461742</v>
      </c>
      <c r="AJ67" s="441">
        <f>+'Asset Classification'!W67</f>
        <v>906151078</v>
      </c>
      <c r="AK67" s="440">
        <f t="shared" si="123"/>
        <v>906158955</v>
      </c>
      <c r="AL67" s="440">
        <f t="shared" si="124"/>
        <v>-7877</v>
      </c>
      <c r="AM67" s="440">
        <f>+'Asset Classification'!X67</f>
        <v>217461742</v>
      </c>
      <c r="AN67" s="440">
        <f t="shared" si="125"/>
        <v>217461742</v>
      </c>
      <c r="AO67" s="440">
        <f t="shared" si="126"/>
        <v>0</v>
      </c>
      <c r="AP67" s="435">
        <f t="shared" si="127"/>
        <v>2179290900</v>
      </c>
      <c r="AQ67" s="435">
        <f t="shared" si="127"/>
        <v>2177929229.1999998</v>
      </c>
      <c r="AR67" s="435">
        <f t="shared" si="128"/>
        <v>1361670.8000001907</v>
      </c>
      <c r="AS67" s="440">
        <f t="shared" si="129"/>
        <v>891353779</v>
      </c>
      <c r="AT67" s="440">
        <f t="shared" si="129"/>
        <v>891353777.70000005</v>
      </c>
      <c r="AU67" s="440">
        <f t="shared" si="130"/>
        <v>1.2999999523162842</v>
      </c>
      <c r="AV67" s="206"/>
      <c r="AW67" s="206"/>
      <c r="AX67" s="206"/>
      <c r="AY67" s="206"/>
      <c r="AZ67" s="206"/>
      <c r="BA67" s="206"/>
      <c r="BB67" s="206"/>
      <c r="BC67" s="206"/>
    </row>
    <row r="68" spans="1:55" s="15" customFormat="1" ht="21.75" customHeight="1">
      <c r="A68" s="295">
        <v>35</v>
      </c>
      <c r="B68" s="298" t="s">
        <v>660</v>
      </c>
      <c r="C68" s="439">
        <f>+'Asset Classification'!C68</f>
        <v>1465638933</v>
      </c>
      <c r="D68" s="440">
        <f>+'Asset Classification'!D68</f>
        <v>290207147</v>
      </c>
      <c r="E68" s="441">
        <f>+'Asset Classification'!E68</f>
        <v>1203683049</v>
      </c>
      <c r="F68" s="440">
        <f>+'Asset Classification'!F68</f>
        <v>143224308</v>
      </c>
      <c r="G68" s="441">
        <f>+'Asset Classification'!G68</f>
        <v>23872359</v>
      </c>
      <c r="H68" s="440">
        <f t="shared" si="109"/>
        <v>12036830.49</v>
      </c>
      <c r="I68" s="440">
        <f t="shared" si="110"/>
        <v>11835528.51</v>
      </c>
      <c r="J68" s="441">
        <f>+'Asset Classification'!I68</f>
        <v>216886818</v>
      </c>
      <c r="K68" s="440">
        <f>+'Asset Classification'!J68</f>
        <v>144580174</v>
      </c>
      <c r="L68" s="441">
        <f>+'Asset Classification'!K68</f>
        <v>21770559</v>
      </c>
      <c r="M68" s="440">
        <f t="shared" si="111"/>
        <v>21688681.800000001</v>
      </c>
      <c r="N68" s="440">
        <f t="shared" si="112"/>
        <v>81877.199999999255</v>
      </c>
      <c r="O68" s="440">
        <f>+'Asset Classification'!L68</f>
        <v>14458018</v>
      </c>
      <c r="P68" s="440">
        <f t="shared" si="113"/>
        <v>14458017.4</v>
      </c>
      <c r="Q68" s="440">
        <f t="shared" si="114"/>
        <v>0.59999999962747097</v>
      </c>
      <c r="R68" s="441">
        <f>+'Asset Classification'!M68</f>
        <v>19251058</v>
      </c>
      <c r="S68" s="440">
        <f>+'Asset Classification'!N68</f>
        <v>2402665</v>
      </c>
      <c r="T68" s="441">
        <f>+'Asset Classification'!O68</f>
        <v>4812765</v>
      </c>
      <c r="U68" s="440">
        <f t="shared" si="115"/>
        <v>4812764.5</v>
      </c>
      <c r="V68" s="440">
        <f t="shared" si="116"/>
        <v>0.5</v>
      </c>
      <c r="W68" s="440">
        <f>+'Asset Classification'!P68</f>
        <v>600666</v>
      </c>
      <c r="X68" s="440">
        <f t="shared" si="117"/>
        <v>600666.25</v>
      </c>
      <c r="Y68" s="440">
        <f t="shared" si="118"/>
        <v>-0.25</v>
      </c>
      <c r="Z68" s="441">
        <f>+'Asset Classification'!Q68</f>
        <v>23833850</v>
      </c>
      <c r="AA68" s="440">
        <f>+'Asset Classification'!R68</f>
        <v>0</v>
      </c>
      <c r="AB68" s="441">
        <f>+'Asset Classification'!S68</f>
        <v>11916925</v>
      </c>
      <c r="AC68" s="440">
        <f t="shared" si="119"/>
        <v>11916925</v>
      </c>
      <c r="AD68" s="440">
        <f t="shared" si="120"/>
        <v>0</v>
      </c>
      <c r="AE68" s="440">
        <f>+'Asset Classification'!T68</f>
        <v>0</v>
      </c>
      <c r="AF68" s="440">
        <f t="shared" si="121"/>
        <v>0</v>
      </c>
      <c r="AG68" s="440">
        <f t="shared" si="122"/>
        <v>0</v>
      </c>
      <c r="AH68" s="441">
        <f>+'Asset Classification'!U68</f>
        <v>1984158</v>
      </c>
      <c r="AI68" s="440">
        <f>+'Asset Classification'!V68</f>
        <v>0</v>
      </c>
      <c r="AJ68" s="441">
        <f>+'Asset Classification'!W68</f>
        <v>1984158</v>
      </c>
      <c r="AK68" s="440">
        <f t="shared" si="123"/>
        <v>1984158</v>
      </c>
      <c r="AL68" s="440">
        <f t="shared" si="124"/>
        <v>0</v>
      </c>
      <c r="AM68" s="440">
        <f>+'Asset Classification'!X68</f>
        <v>0</v>
      </c>
      <c r="AN68" s="440">
        <f t="shared" si="125"/>
        <v>0</v>
      </c>
      <c r="AO68" s="440">
        <f t="shared" si="126"/>
        <v>0</v>
      </c>
      <c r="AP68" s="435">
        <f t="shared" si="127"/>
        <v>40484407</v>
      </c>
      <c r="AQ68" s="435">
        <f t="shared" si="127"/>
        <v>40402529.299999997</v>
      </c>
      <c r="AR68" s="435">
        <f t="shared" si="128"/>
        <v>81877.70000000298</v>
      </c>
      <c r="AS68" s="440">
        <f t="shared" si="129"/>
        <v>15058684</v>
      </c>
      <c r="AT68" s="440">
        <f t="shared" si="129"/>
        <v>15058683.65</v>
      </c>
      <c r="AU68" s="440">
        <f t="shared" si="130"/>
        <v>0.34999999962747097</v>
      </c>
      <c r="AV68" s="206"/>
      <c r="AW68" s="206"/>
      <c r="AX68" s="206"/>
      <c r="AY68" s="206"/>
      <c r="AZ68" s="206"/>
      <c r="BA68" s="206"/>
      <c r="BB68" s="206"/>
      <c r="BC68" s="206"/>
    </row>
    <row r="69" spans="1:55" s="15" customFormat="1" ht="21.75" customHeight="1">
      <c r="A69" s="295">
        <v>36</v>
      </c>
      <c r="B69" s="298" t="s">
        <v>661</v>
      </c>
      <c r="C69" s="439">
        <f>+'Asset Classification'!C69</f>
        <v>1488927329</v>
      </c>
      <c r="D69" s="440">
        <f>+'Asset Classification'!D69</f>
        <v>182321288</v>
      </c>
      <c r="E69" s="441">
        <f>+'Asset Classification'!E69</f>
        <v>1216138938</v>
      </c>
      <c r="F69" s="440">
        <f>+'Asset Classification'!F69</f>
        <v>70920728</v>
      </c>
      <c r="G69" s="441">
        <f>+'Asset Classification'!G69</f>
        <v>12354706</v>
      </c>
      <c r="H69" s="440">
        <f t="shared" si="109"/>
        <v>12161389.380000001</v>
      </c>
      <c r="I69" s="440">
        <f t="shared" si="110"/>
        <v>193316.61999999918</v>
      </c>
      <c r="J69" s="441">
        <f>+'Asset Classification'!I69</f>
        <v>228421182</v>
      </c>
      <c r="K69" s="440">
        <f>+'Asset Classification'!J69</f>
        <v>106395316</v>
      </c>
      <c r="L69" s="441">
        <f>+'Asset Classification'!K69</f>
        <v>22844426</v>
      </c>
      <c r="M69" s="440">
        <f t="shared" si="111"/>
        <v>22842118.200000003</v>
      </c>
      <c r="N69" s="440">
        <f t="shared" si="112"/>
        <v>2307.7999999970198</v>
      </c>
      <c r="O69" s="440">
        <f>+'Asset Classification'!L69</f>
        <v>10639532</v>
      </c>
      <c r="P69" s="440">
        <f t="shared" si="113"/>
        <v>10639531.600000001</v>
      </c>
      <c r="Q69" s="440">
        <f t="shared" si="114"/>
        <v>0.39999999850988388</v>
      </c>
      <c r="R69" s="441">
        <f>+'Asset Classification'!M69</f>
        <v>20210318</v>
      </c>
      <c r="S69" s="440">
        <f>+'Asset Classification'!N69</f>
        <v>3367552</v>
      </c>
      <c r="T69" s="441">
        <f>+'Asset Classification'!O69</f>
        <v>5053921</v>
      </c>
      <c r="U69" s="440">
        <f t="shared" si="115"/>
        <v>5052579.5</v>
      </c>
      <c r="V69" s="440">
        <f t="shared" si="116"/>
        <v>1341.5</v>
      </c>
      <c r="W69" s="440">
        <f>+'Asset Classification'!P69</f>
        <v>841888</v>
      </c>
      <c r="X69" s="440">
        <f t="shared" si="117"/>
        <v>841888</v>
      </c>
      <c r="Y69" s="440">
        <f t="shared" si="118"/>
        <v>0</v>
      </c>
      <c r="Z69" s="441">
        <f>+'Asset Classification'!Q69</f>
        <v>18820643</v>
      </c>
      <c r="AA69" s="440">
        <f>+'Asset Classification'!R69</f>
        <v>270805</v>
      </c>
      <c r="AB69" s="441">
        <f>+'Asset Classification'!S69</f>
        <v>9416322</v>
      </c>
      <c r="AC69" s="440">
        <f t="shared" si="119"/>
        <v>9410321.5</v>
      </c>
      <c r="AD69" s="440">
        <f t="shared" si="120"/>
        <v>6000.5</v>
      </c>
      <c r="AE69" s="440">
        <f>+'Asset Classification'!T69</f>
        <v>135403</v>
      </c>
      <c r="AF69" s="440">
        <f t="shared" si="121"/>
        <v>135402.5</v>
      </c>
      <c r="AG69" s="440">
        <f t="shared" si="122"/>
        <v>0.5</v>
      </c>
      <c r="AH69" s="441">
        <f>+'Asset Classification'!U69</f>
        <v>5336248</v>
      </c>
      <c r="AI69" s="440">
        <f>+'Asset Classification'!V69</f>
        <v>1366887</v>
      </c>
      <c r="AJ69" s="441">
        <f>+'Asset Classification'!W69</f>
        <v>5336248</v>
      </c>
      <c r="AK69" s="440">
        <f t="shared" si="123"/>
        <v>5336248</v>
      </c>
      <c r="AL69" s="440">
        <f t="shared" si="124"/>
        <v>0</v>
      </c>
      <c r="AM69" s="440">
        <f>+'Asset Classification'!X69</f>
        <v>1366887</v>
      </c>
      <c r="AN69" s="440">
        <f t="shared" si="125"/>
        <v>1366887</v>
      </c>
      <c r="AO69" s="440">
        <f t="shared" si="126"/>
        <v>0</v>
      </c>
      <c r="AP69" s="435">
        <f t="shared" si="127"/>
        <v>42650917</v>
      </c>
      <c r="AQ69" s="435">
        <f t="shared" si="127"/>
        <v>42641267.200000003</v>
      </c>
      <c r="AR69" s="435">
        <f t="shared" si="128"/>
        <v>9649.7999999970198</v>
      </c>
      <c r="AS69" s="440">
        <f t="shared" si="129"/>
        <v>12983710</v>
      </c>
      <c r="AT69" s="440">
        <f t="shared" si="129"/>
        <v>12983709.100000001</v>
      </c>
      <c r="AU69" s="440">
        <f t="shared" si="130"/>
        <v>0.89999999850988388</v>
      </c>
      <c r="AV69" s="206"/>
      <c r="AW69" s="206"/>
      <c r="AX69" s="206"/>
      <c r="AY69" s="206"/>
      <c r="AZ69" s="206"/>
      <c r="BA69" s="206"/>
      <c r="BB69" s="206"/>
      <c r="BC69" s="206"/>
    </row>
    <row r="70" spans="1:55" s="15" customFormat="1" ht="21.75" customHeight="1">
      <c r="A70" s="295">
        <v>37</v>
      </c>
      <c r="B70" s="298" t="s">
        <v>662</v>
      </c>
      <c r="C70" s="439">
        <f>+'Asset Classification'!C70</f>
        <v>742731480</v>
      </c>
      <c r="D70" s="440">
        <f>+'Asset Classification'!D70</f>
        <v>138300670</v>
      </c>
      <c r="E70" s="441">
        <f>+'Asset Classification'!E70</f>
        <v>558023295</v>
      </c>
      <c r="F70" s="440">
        <f>+'Asset Classification'!F70</f>
        <v>127535557</v>
      </c>
      <c r="G70" s="441">
        <f>+'Asset Classification'!G70</f>
        <v>7014727</v>
      </c>
      <c r="H70" s="440">
        <f t="shared" si="109"/>
        <v>5580232.9500000002</v>
      </c>
      <c r="I70" s="440">
        <f t="shared" si="110"/>
        <v>1434494.0499999998</v>
      </c>
      <c r="J70" s="441">
        <f>+'Asset Classification'!I70</f>
        <v>178564100</v>
      </c>
      <c r="K70" s="440">
        <f>+'Asset Classification'!J70</f>
        <v>10765113</v>
      </c>
      <c r="L70" s="441">
        <f>+'Asset Classification'!K70</f>
        <v>18045475</v>
      </c>
      <c r="M70" s="440">
        <f t="shared" si="111"/>
        <v>17856410</v>
      </c>
      <c r="N70" s="440">
        <f t="shared" si="112"/>
        <v>189065</v>
      </c>
      <c r="O70" s="440">
        <f>+'Asset Classification'!L70</f>
        <v>1076511</v>
      </c>
      <c r="P70" s="440">
        <f t="shared" si="113"/>
        <v>1076511.3</v>
      </c>
      <c r="Q70" s="440">
        <f t="shared" si="114"/>
        <v>-0.30000000004656613</v>
      </c>
      <c r="R70" s="441">
        <f>+'Asset Classification'!M70</f>
        <v>3473035</v>
      </c>
      <c r="S70" s="440">
        <f>+'Asset Classification'!N70</f>
        <v>0</v>
      </c>
      <c r="T70" s="441">
        <f>+'Asset Classification'!O70</f>
        <v>868259</v>
      </c>
      <c r="U70" s="440">
        <f t="shared" si="115"/>
        <v>868258.75</v>
      </c>
      <c r="V70" s="440">
        <f t="shared" si="116"/>
        <v>0.25</v>
      </c>
      <c r="W70" s="440">
        <f>+'Asset Classification'!P70</f>
        <v>0</v>
      </c>
      <c r="X70" s="440">
        <f t="shared" si="117"/>
        <v>0</v>
      </c>
      <c r="Y70" s="440">
        <f t="shared" si="118"/>
        <v>0</v>
      </c>
      <c r="Z70" s="441">
        <f>+'Asset Classification'!Q70</f>
        <v>2416421</v>
      </c>
      <c r="AA70" s="440">
        <f>+'Asset Classification'!R70</f>
        <v>0</v>
      </c>
      <c r="AB70" s="441">
        <f>+'Asset Classification'!S70</f>
        <v>1208211</v>
      </c>
      <c r="AC70" s="440">
        <f t="shared" si="119"/>
        <v>1208210.5</v>
      </c>
      <c r="AD70" s="440">
        <f t="shared" si="120"/>
        <v>0.5</v>
      </c>
      <c r="AE70" s="440">
        <f>+'Asset Classification'!T70</f>
        <v>0</v>
      </c>
      <c r="AF70" s="440">
        <f t="shared" si="121"/>
        <v>0</v>
      </c>
      <c r="AG70" s="440">
        <f t="shared" si="122"/>
        <v>0</v>
      </c>
      <c r="AH70" s="441">
        <f>+'Asset Classification'!U70</f>
        <v>254629</v>
      </c>
      <c r="AI70" s="440">
        <f>+'Asset Classification'!V70</f>
        <v>0</v>
      </c>
      <c r="AJ70" s="441">
        <f>+'Asset Classification'!W70</f>
        <v>254629</v>
      </c>
      <c r="AK70" s="440">
        <f t="shared" si="123"/>
        <v>254629</v>
      </c>
      <c r="AL70" s="440">
        <f t="shared" si="124"/>
        <v>0</v>
      </c>
      <c r="AM70" s="440">
        <f>+'Asset Classification'!X70</f>
        <v>0</v>
      </c>
      <c r="AN70" s="440">
        <f t="shared" si="125"/>
        <v>0</v>
      </c>
      <c r="AO70" s="440">
        <f t="shared" si="126"/>
        <v>0</v>
      </c>
      <c r="AP70" s="435">
        <f t="shared" si="127"/>
        <v>20376574</v>
      </c>
      <c r="AQ70" s="435">
        <f t="shared" si="127"/>
        <v>20187508.25</v>
      </c>
      <c r="AR70" s="435">
        <f t="shared" si="128"/>
        <v>189065.75</v>
      </c>
      <c r="AS70" s="440">
        <f t="shared" si="129"/>
        <v>1076511</v>
      </c>
      <c r="AT70" s="440">
        <f t="shared" si="129"/>
        <v>1076511.3</v>
      </c>
      <c r="AU70" s="440">
        <f t="shared" si="130"/>
        <v>-0.30000000004656613</v>
      </c>
      <c r="AV70" s="206"/>
      <c r="AW70" s="206"/>
      <c r="AX70" s="206"/>
      <c r="AY70" s="206"/>
      <c r="AZ70" s="206"/>
      <c r="BA70" s="206"/>
      <c r="BB70" s="206"/>
      <c r="BC70" s="206"/>
    </row>
    <row r="71" spans="1:55" s="424" customFormat="1" ht="28.5" customHeight="1">
      <c r="A71" s="423">
        <v>38</v>
      </c>
      <c r="B71" s="423" t="s">
        <v>646</v>
      </c>
      <c r="C71" s="436">
        <f>+'Asset Classification'!C71</f>
        <v>64935569833</v>
      </c>
      <c r="D71" s="436">
        <f>+'Asset Classification'!D71</f>
        <v>39024053370</v>
      </c>
      <c r="E71" s="436">
        <f>+'Asset Classification'!E71</f>
        <v>51319667488</v>
      </c>
      <c r="F71" s="436">
        <f>+'Asset Classification'!F71</f>
        <v>32061360522</v>
      </c>
      <c r="G71" s="436">
        <f>+'Asset Classification'!G71</f>
        <v>511888974</v>
      </c>
      <c r="H71" s="436">
        <f t="shared" ref="H71:I71" si="131">SUM(H57:H70)</f>
        <v>513196674.87999994</v>
      </c>
      <c r="I71" s="436">
        <f t="shared" si="131"/>
        <v>-1307700.8799999887</v>
      </c>
      <c r="J71" s="436">
        <f>+'Asset Classification'!I71</f>
        <v>11973504955</v>
      </c>
      <c r="K71" s="436">
        <f>+'Asset Classification'!J71</f>
        <v>6541453216</v>
      </c>
      <c r="L71" s="436">
        <f>+'Asset Classification'!K71</f>
        <v>1198877092</v>
      </c>
      <c r="M71" s="436">
        <f t="shared" ref="M71:N71" si="132">SUM(M57:M70)</f>
        <v>1197350495.5</v>
      </c>
      <c r="N71" s="436">
        <f t="shared" si="132"/>
        <v>1526596.4999999427</v>
      </c>
      <c r="O71" s="436">
        <f>+'Asset Classification'!L71</f>
        <v>654145323</v>
      </c>
      <c r="P71" s="436">
        <f t="shared" ref="P71:Q71" si="133">SUM(P57:P70)</f>
        <v>654145321.60000002</v>
      </c>
      <c r="Q71" s="436">
        <f t="shared" si="133"/>
        <v>1.3999999481602572</v>
      </c>
      <c r="R71" s="436">
        <f>+'Asset Classification'!M71</f>
        <v>197951703</v>
      </c>
      <c r="S71" s="436">
        <f>+'Asset Classification'!N71</f>
        <v>21411043</v>
      </c>
      <c r="T71" s="436">
        <f>+'Asset Classification'!O71</f>
        <v>49906638</v>
      </c>
      <c r="U71" s="436">
        <f t="shared" ref="U71:Y71" si="134">SUM(U57:U70)</f>
        <v>49487925.75</v>
      </c>
      <c r="V71" s="436">
        <f t="shared" si="134"/>
        <v>418712.25</v>
      </c>
      <c r="W71" s="436">
        <f>+'Asset Classification'!P71</f>
        <v>5352762</v>
      </c>
      <c r="X71" s="436">
        <f t="shared" si="134"/>
        <v>5352760.75</v>
      </c>
      <c r="Y71" s="436">
        <f t="shared" si="134"/>
        <v>1.25</v>
      </c>
      <c r="Z71" s="436">
        <f>+'Asset Classification'!Q71</f>
        <v>515717513</v>
      </c>
      <c r="AA71" s="436">
        <f>+'Asset Classification'!R71</f>
        <v>180999960</v>
      </c>
      <c r="AB71" s="436">
        <f>+'Asset Classification'!S71</f>
        <v>258118383</v>
      </c>
      <c r="AC71" s="436">
        <f t="shared" ref="AC71:AD71" si="135">SUM(AC57:AC70)</f>
        <v>257858756.5</v>
      </c>
      <c r="AD71" s="436">
        <f t="shared" si="135"/>
        <v>259626.5</v>
      </c>
      <c r="AE71" s="436">
        <f>+'Asset Classification'!T71</f>
        <v>90499980</v>
      </c>
      <c r="AF71" s="436">
        <f t="shared" ref="AF71:AG71" si="136">SUM(AF57:AF70)</f>
        <v>90499980</v>
      </c>
      <c r="AG71" s="436">
        <f t="shared" si="136"/>
        <v>0</v>
      </c>
      <c r="AH71" s="436">
        <f>+'Asset Classification'!U71</f>
        <v>928728174</v>
      </c>
      <c r="AI71" s="436">
        <f>+'Asset Classification'!V71</f>
        <v>218828629</v>
      </c>
      <c r="AJ71" s="436">
        <f>+'Asset Classification'!W71</f>
        <v>928720297</v>
      </c>
      <c r="AK71" s="436">
        <f t="shared" ref="AK71:AL71" si="137">SUM(AK57:AK70)</f>
        <v>928728174</v>
      </c>
      <c r="AL71" s="436">
        <f t="shared" si="137"/>
        <v>-7877</v>
      </c>
      <c r="AM71" s="436">
        <f>+'Asset Classification'!X71</f>
        <v>218828629</v>
      </c>
      <c r="AN71" s="436">
        <f t="shared" ref="AN71:AU71" si="138">SUM(AN57:AN70)</f>
        <v>218828629</v>
      </c>
      <c r="AO71" s="436">
        <f t="shared" si="138"/>
        <v>0</v>
      </c>
      <c r="AP71" s="436">
        <f t="shared" si="138"/>
        <v>2435622410</v>
      </c>
      <c r="AQ71" s="436">
        <f t="shared" si="138"/>
        <v>2433425351.75</v>
      </c>
      <c r="AR71" s="436">
        <f t="shared" si="138"/>
        <v>2197058.2500001807</v>
      </c>
      <c r="AS71" s="436">
        <f t="shared" si="138"/>
        <v>968826694</v>
      </c>
      <c r="AT71" s="436">
        <f t="shared" si="138"/>
        <v>968826691.35000002</v>
      </c>
      <c r="AU71" s="436">
        <f t="shared" si="138"/>
        <v>2.6499999479274265</v>
      </c>
      <c r="AV71" s="442">
        <f>+'Loans Receivable'!C85</f>
        <v>64935569833</v>
      </c>
    </row>
    <row r="72" spans="1:55" s="15" customFormat="1" ht="21.75" customHeight="1">
      <c r="A72" s="295">
        <v>39</v>
      </c>
      <c r="B72" s="298" t="s">
        <v>663</v>
      </c>
      <c r="C72" s="439">
        <f>+'Asset Classification'!C72</f>
        <v>31154156370</v>
      </c>
      <c r="D72" s="440">
        <f>+'Asset Classification'!D72</f>
        <v>0</v>
      </c>
      <c r="E72" s="441">
        <f>+'Asset Classification'!E72</f>
        <v>28452260756</v>
      </c>
      <c r="F72" s="440">
        <f>+'Asset Classification'!F72</f>
        <v>0</v>
      </c>
      <c r="G72" s="441">
        <f>+'Asset Classification'!G72</f>
        <v>208053233</v>
      </c>
      <c r="H72" s="440">
        <f t="shared" ref="H72:H73" si="139">+E72*1%</f>
        <v>284522607.56</v>
      </c>
      <c r="I72" s="440">
        <f t="shared" ref="I72:I73" si="140">+G72-H72</f>
        <v>-76469374.560000002</v>
      </c>
      <c r="J72" s="441">
        <f>+'Asset Classification'!I72</f>
        <v>1519947491</v>
      </c>
      <c r="K72" s="440">
        <f>+'Asset Classification'!J72</f>
        <v>0</v>
      </c>
      <c r="L72" s="441">
        <f>+'Asset Classification'!K72</f>
        <v>280504177</v>
      </c>
      <c r="M72" s="440">
        <f t="shared" ref="M72:M73" si="141">+J72*10%</f>
        <v>151994749.09999999</v>
      </c>
      <c r="N72" s="440">
        <f t="shared" ref="N72:N73" si="142">+L72-M72</f>
        <v>128509427.90000001</v>
      </c>
      <c r="O72" s="440">
        <f>+'Asset Classification'!L72</f>
        <v>0</v>
      </c>
      <c r="P72" s="440">
        <f t="shared" ref="P72:P73" si="143">+K72*10%</f>
        <v>0</v>
      </c>
      <c r="Q72" s="440">
        <f t="shared" ref="Q72:Q73" si="144">+O72-P72</f>
        <v>0</v>
      </c>
      <c r="R72" s="441">
        <f>+'Asset Classification'!M72</f>
        <v>58393937</v>
      </c>
      <c r="S72" s="440">
        <f>+'Asset Classification'!N72</f>
        <v>0</v>
      </c>
      <c r="T72" s="441">
        <f>+'Asset Classification'!O72</f>
        <v>10085490</v>
      </c>
      <c r="U72" s="440">
        <f t="shared" ref="U72:U73" si="145">+R72*25%</f>
        <v>14598484.25</v>
      </c>
      <c r="V72" s="440">
        <f t="shared" ref="V72:V73" si="146">+T72-U72</f>
        <v>-4512994.25</v>
      </c>
      <c r="W72" s="440">
        <f>+'Asset Classification'!P72</f>
        <v>0</v>
      </c>
      <c r="X72" s="440">
        <f t="shared" ref="X72:X73" si="147">+S72*25%</f>
        <v>0</v>
      </c>
      <c r="Y72" s="440">
        <f t="shared" ref="Y72:Y73" si="148">+W72-X72</f>
        <v>0</v>
      </c>
      <c r="Z72" s="441">
        <f>+'Asset Classification'!Q72</f>
        <v>98112182</v>
      </c>
      <c r="AA72" s="440">
        <f>+'Asset Classification'!R72</f>
        <v>0</v>
      </c>
      <c r="AB72" s="441">
        <f>+'Asset Classification'!S72</f>
        <v>75561137</v>
      </c>
      <c r="AC72" s="440">
        <f t="shared" ref="AC72:AC73" si="149">+Z72*50%</f>
        <v>49056091</v>
      </c>
      <c r="AD72" s="440">
        <f t="shared" ref="AD72:AD73" si="150">+AB72-AC72</f>
        <v>26505046</v>
      </c>
      <c r="AE72" s="440">
        <f>+'Asset Classification'!T72</f>
        <v>0</v>
      </c>
      <c r="AF72" s="440">
        <f t="shared" ref="AF72:AF73" si="151">+AA72*50%</f>
        <v>0</v>
      </c>
      <c r="AG72" s="440">
        <f t="shared" ref="AG72:AG73" si="152">+AE72-AF72</f>
        <v>0</v>
      </c>
      <c r="AH72" s="441">
        <f>+'Asset Classification'!U72</f>
        <v>1025442004</v>
      </c>
      <c r="AI72" s="440">
        <f>+'Asset Classification'!V72</f>
        <v>0</v>
      </c>
      <c r="AJ72" s="441">
        <f>+'Asset Classification'!W72</f>
        <v>595858145</v>
      </c>
      <c r="AK72" s="440">
        <f t="shared" ref="AK72:AK73" si="153">+AH72*100%</f>
        <v>1025442004</v>
      </c>
      <c r="AL72" s="440">
        <f t="shared" ref="AL72:AL73" si="154">+AJ72-AK72</f>
        <v>-429583859</v>
      </c>
      <c r="AM72" s="440">
        <f>+'Asset Classification'!X72</f>
        <v>0</v>
      </c>
      <c r="AN72" s="440">
        <f t="shared" ref="AN72:AN73" si="155">+AI72*100%</f>
        <v>0</v>
      </c>
      <c r="AO72" s="440">
        <f t="shared" ref="AO72:AO73" si="156">+AM72-AN72</f>
        <v>0</v>
      </c>
      <c r="AP72" s="435">
        <f t="shared" ref="AP72:AP73" si="157">+L72+T72+AB72+AJ72</f>
        <v>962008949</v>
      </c>
      <c r="AQ72" s="435">
        <f t="shared" ref="AQ72:AQ73" si="158">+M72+U72+AC72+AK72</f>
        <v>1241091328.3499999</v>
      </c>
      <c r="AR72" s="435">
        <f t="shared" ref="AR72:AR73" si="159">+AP72-AQ72</f>
        <v>-279082379.3499999</v>
      </c>
      <c r="AS72" s="440">
        <f t="shared" ref="AS72:AS73" si="160">+O72+W72+AE72+AM72</f>
        <v>0</v>
      </c>
      <c r="AT72" s="440">
        <f t="shared" ref="AT72:AT73" si="161">+P72+X72+AF72+AN72</f>
        <v>0</v>
      </c>
      <c r="AU72" s="440">
        <f t="shared" ref="AU72:AU73" si="162">+AS72-AT72</f>
        <v>0</v>
      </c>
      <c r="AV72" s="206"/>
      <c r="AW72" s="206"/>
      <c r="AX72" s="206"/>
      <c r="AY72" s="206"/>
      <c r="AZ72" s="206"/>
      <c r="BA72" s="206"/>
      <c r="BB72" s="206"/>
      <c r="BC72" s="206"/>
    </row>
    <row r="73" spans="1:55" s="15" customFormat="1" ht="21.75" customHeight="1">
      <c r="A73" s="295"/>
      <c r="B73" s="298" t="s">
        <v>638</v>
      </c>
      <c r="C73" s="439">
        <f>+'Asset Classification'!C73</f>
        <v>0</v>
      </c>
      <c r="D73" s="440">
        <f>+'Asset Classification'!D73</f>
        <v>0</v>
      </c>
      <c r="E73" s="441">
        <f>+'Asset Classification'!E73</f>
        <v>0</v>
      </c>
      <c r="F73" s="440">
        <f>+'Asset Classification'!F73</f>
        <v>0</v>
      </c>
      <c r="G73" s="441">
        <f>+'Asset Classification'!G73</f>
        <v>0</v>
      </c>
      <c r="H73" s="440">
        <f t="shared" si="139"/>
        <v>0</v>
      </c>
      <c r="I73" s="440">
        <f t="shared" si="140"/>
        <v>0</v>
      </c>
      <c r="J73" s="441">
        <f>+'Asset Classification'!I73</f>
        <v>0</v>
      </c>
      <c r="K73" s="440">
        <f>+'Asset Classification'!J73</f>
        <v>0</v>
      </c>
      <c r="L73" s="441">
        <f>+'Asset Classification'!K73</f>
        <v>0</v>
      </c>
      <c r="M73" s="440">
        <f t="shared" si="141"/>
        <v>0</v>
      </c>
      <c r="N73" s="440">
        <f t="shared" si="142"/>
        <v>0</v>
      </c>
      <c r="O73" s="440">
        <f>+'Asset Classification'!L73</f>
        <v>0</v>
      </c>
      <c r="P73" s="440">
        <f t="shared" si="143"/>
        <v>0</v>
      </c>
      <c r="Q73" s="440">
        <f t="shared" si="144"/>
        <v>0</v>
      </c>
      <c r="R73" s="441">
        <f>+'Asset Classification'!M73</f>
        <v>0</v>
      </c>
      <c r="S73" s="440">
        <f>+'Asset Classification'!N73</f>
        <v>0</v>
      </c>
      <c r="T73" s="441">
        <f>+'Asset Classification'!O73</f>
        <v>0</v>
      </c>
      <c r="U73" s="440">
        <f t="shared" si="145"/>
        <v>0</v>
      </c>
      <c r="V73" s="440">
        <f t="shared" si="146"/>
        <v>0</v>
      </c>
      <c r="W73" s="440">
        <f>+'Asset Classification'!P73</f>
        <v>0</v>
      </c>
      <c r="X73" s="440">
        <f t="shared" si="147"/>
        <v>0</v>
      </c>
      <c r="Y73" s="440">
        <f t="shared" si="148"/>
        <v>0</v>
      </c>
      <c r="Z73" s="441">
        <f>+'Asset Classification'!Q73</f>
        <v>0</v>
      </c>
      <c r="AA73" s="440">
        <f>+'Asset Classification'!R73</f>
        <v>0</v>
      </c>
      <c r="AB73" s="441">
        <f>+'Asset Classification'!S73</f>
        <v>0</v>
      </c>
      <c r="AC73" s="440">
        <f t="shared" si="149"/>
        <v>0</v>
      </c>
      <c r="AD73" s="440">
        <f t="shared" si="150"/>
        <v>0</v>
      </c>
      <c r="AE73" s="440">
        <f>+'Asset Classification'!T73</f>
        <v>0</v>
      </c>
      <c r="AF73" s="440">
        <f t="shared" si="151"/>
        <v>0</v>
      </c>
      <c r="AG73" s="440">
        <f t="shared" si="152"/>
        <v>0</v>
      </c>
      <c r="AH73" s="441">
        <f>+'Asset Classification'!U73</f>
        <v>0</v>
      </c>
      <c r="AI73" s="440">
        <f>+'Asset Classification'!V73</f>
        <v>0</v>
      </c>
      <c r="AJ73" s="441">
        <f>+'Asset Classification'!W73</f>
        <v>0</v>
      </c>
      <c r="AK73" s="440">
        <f t="shared" si="153"/>
        <v>0</v>
      </c>
      <c r="AL73" s="440">
        <f t="shared" si="154"/>
        <v>0</v>
      </c>
      <c r="AM73" s="440">
        <f>+'Asset Classification'!X73</f>
        <v>0</v>
      </c>
      <c r="AN73" s="440">
        <f t="shared" si="155"/>
        <v>0</v>
      </c>
      <c r="AO73" s="440">
        <f t="shared" si="156"/>
        <v>0</v>
      </c>
      <c r="AP73" s="435">
        <f t="shared" si="157"/>
        <v>0</v>
      </c>
      <c r="AQ73" s="435">
        <f t="shared" si="158"/>
        <v>0</v>
      </c>
      <c r="AR73" s="435">
        <f t="shared" si="159"/>
        <v>0</v>
      </c>
      <c r="AS73" s="440">
        <f t="shared" si="160"/>
        <v>0</v>
      </c>
      <c r="AT73" s="440">
        <f t="shared" si="161"/>
        <v>0</v>
      </c>
      <c r="AU73" s="440">
        <f t="shared" si="162"/>
        <v>0</v>
      </c>
      <c r="AV73" s="206"/>
      <c r="AW73" s="206"/>
      <c r="AX73" s="206"/>
      <c r="AY73" s="206"/>
      <c r="AZ73" s="206"/>
      <c r="BA73" s="206"/>
      <c r="BB73" s="206"/>
      <c r="BC73" s="206"/>
    </row>
    <row r="74" spans="1:55" s="424" customFormat="1" ht="28.5" customHeight="1">
      <c r="A74" s="423">
        <v>40</v>
      </c>
      <c r="B74" s="423" t="s">
        <v>664</v>
      </c>
      <c r="C74" s="436">
        <f t="shared" ref="C74:AU74" si="163">+C53+C72</f>
        <v>96089726203</v>
      </c>
      <c r="D74" s="436">
        <f t="shared" si="163"/>
        <v>39024053370</v>
      </c>
      <c r="E74" s="436">
        <f t="shared" si="163"/>
        <v>79771928244</v>
      </c>
      <c r="F74" s="436">
        <f t="shared" si="163"/>
        <v>32061360522</v>
      </c>
      <c r="G74" s="436">
        <f t="shared" si="163"/>
        <v>719942207</v>
      </c>
      <c r="H74" s="436">
        <f t="shared" si="163"/>
        <v>797719282.44000006</v>
      </c>
      <c r="I74" s="436">
        <f t="shared" si="163"/>
        <v>-77777075.439999998</v>
      </c>
      <c r="J74" s="436">
        <f t="shared" si="163"/>
        <v>13493452446</v>
      </c>
      <c r="K74" s="436">
        <f t="shared" si="163"/>
        <v>6541453216</v>
      </c>
      <c r="L74" s="436">
        <f t="shared" si="163"/>
        <v>1479381269</v>
      </c>
      <c r="M74" s="436">
        <f t="shared" si="163"/>
        <v>1349345244.5999999</v>
      </c>
      <c r="N74" s="436">
        <f t="shared" si="163"/>
        <v>130036024.39999992</v>
      </c>
      <c r="O74" s="436">
        <f t="shared" si="163"/>
        <v>654145323</v>
      </c>
      <c r="P74" s="436">
        <f t="shared" si="163"/>
        <v>654145321.60000002</v>
      </c>
      <c r="Q74" s="436">
        <f t="shared" si="163"/>
        <v>1.3999999398365617</v>
      </c>
      <c r="R74" s="436">
        <f t="shared" si="163"/>
        <v>256345640</v>
      </c>
      <c r="S74" s="436">
        <f t="shared" si="163"/>
        <v>21411043</v>
      </c>
      <c r="T74" s="436">
        <f t="shared" si="163"/>
        <v>59992128</v>
      </c>
      <c r="U74" s="436">
        <f t="shared" si="163"/>
        <v>64086410</v>
      </c>
      <c r="V74" s="436">
        <f t="shared" si="163"/>
        <v>-4094282</v>
      </c>
      <c r="W74" s="436">
        <f t="shared" si="163"/>
        <v>5352762</v>
      </c>
      <c r="X74" s="436">
        <f t="shared" si="163"/>
        <v>5352760.75</v>
      </c>
      <c r="Y74" s="436">
        <f t="shared" ref="Y74" si="164">+Y53+Y72</f>
        <v>1.25</v>
      </c>
      <c r="Z74" s="436">
        <f t="shared" si="163"/>
        <v>613829695</v>
      </c>
      <c r="AA74" s="436">
        <f t="shared" si="163"/>
        <v>180999960</v>
      </c>
      <c r="AB74" s="436">
        <f t="shared" si="163"/>
        <v>333679520</v>
      </c>
      <c r="AC74" s="436">
        <f t="shared" si="163"/>
        <v>306914847.5</v>
      </c>
      <c r="AD74" s="436">
        <f t="shared" si="163"/>
        <v>26764672.5</v>
      </c>
      <c r="AE74" s="436">
        <f t="shared" si="163"/>
        <v>90499980</v>
      </c>
      <c r="AF74" s="436">
        <f t="shared" si="163"/>
        <v>90499980</v>
      </c>
      <c r="AG74" s="436">
        <f t="shared" si="163"/>
        <v>0</v>
      </c>
      <c r="AH74" s="436">
        <f t="shared" si="163"/>
        <v>1954170178</v>
      </c>
      <c r="AI74" s="436">
        <f t="shared" si="163"/>
        <v>218828629</v>
      </c>
      <c r="AJ74" s="436">
        <f t="shared" si="163"/>
        <v>1524578442</v>
      </c>
      <c r="AK74" s="436">
        <f t="shared" si="163"/>
        <v>1954170178</v>
      </c>
      <c r="AL74" s="436">
        <f t="shared" si="163"/>
        <v>-429591736</v>
      </c>
      <c r="AM74" s="436">
        <f t="shared" si="163"/>
        <v>218828629</v>
      </c>
      <c r="AN74" s="436">
        <f t="shared" si="163"/>
        <v>218828629</v>
      </c>
      <c r="AO74" s="436">
        <f t="shared" si="163"/>
        <v>0</v>
      </c>
      <c r="AP74" s="436">
        <f t="shared" si="163"/>
        <v>3397631359</v>
      </c>
      <c r="AQ74" s="436">
        <f t="shared" si="163"/>
        <v>3674516680.0999994</v>
      </c>
      <c r="AR74" s="436">
        <f t="shared" si="163"/>
        <v>-276885321.09999996</v>
      </c>
      <c r="AS74" s="436">
        <f t="shared" si="163"/>
        <v>968826694</v>
      </c>
      <c r="AT74" s="436">
        <f t="shared" si="163"/>
        <v>968826691.35000002</v>
      </c>
      <c r="AU74" s="436">
        <f t="shared" si="163"/>
        <v>2.6499999323859811</v>
      </c>
    </row>
    <row r="75" spans="1:55">
      <c r="C75" s="437">
        <f>+C31-C53</f>
        <v>0</v>
      </c>
      <c r="D75" s="437">
        <f>+D31-D53</f>
        <v>0</v>
      </c>
      <c r="E75" s="437">
        <f>+E31-E53</f>
        <v>0</v>
      </c>
      <c r="F75" s="437">
        <f t="shared" ref="F75:AU75" si="165">+F31-F53</f>
        <v>0</v>
      </c>
      <c r="G75" s="437">
        <f t="shared" si="165"/>
        <v>0</v>
      </c>
      <c r="H75" s="437">
        <f t="shared" si="165"/>
        <v>0</v>
      </c>
      <c r="I75" s="437"/>
      <c r="J75" s="437">
        <f t="shared" si="165"/>
        <v>0</v>
      </c>
      <c r="K75" s="437">
        <f t="shared" si="165"/>
        <v>0</v>
      </c>
      <c r="L75" s="437">
        <f t="shared" si="165"/>
        <v>0</v>
      </c>
      <c r="M75" s="437">
        <f t="shared" si="165"/>
        <v>0</v>
      </c>
      <c r="N75" s="437"/>
      <c r="O75" s="437">
        <f t="shared" si="165"/>
        <v>0</v>
      </c>
      <c r="P75" s="437">
        <f t="shared" si="165"/>
        <v>0</v>
      </c>
      <c r="Q75" s="437"/>
      <c r="R75" s="437">
        <f t="shared" si="165"/>
        <v>0</v>
      </c>
      <c r="S75" s="437">
        <f t="shared" si="165"/>
        <v>0</v>
      </c>
      <c r="T75" s="437">
        <f t="shared" si="165"/>
        <v>0</v>
      </c>
      <c r="U75" s="437">
        <f t="shared" si="165"/>
        <v>0</v>
      </c>
      <c r="V75" s="437"/>
      <c r="W75" s="437">
        <f t="shared" si="165"/>
        <v>0</v>
      </c>
      <c r="X75" s="437">
        <f t="shared" si="165"/>
        <v>0</v>
      </c>
      <c r="Y75" s="437"/>
      <c r="Z75" s="437">
        <f t="shared" si="165"/>
        <v>0</v>
      </c>
      <c r="AA75" s="437">
        <f t="shared" si="165"/>
        <v>0</v>
      </c>
      <c r="AB75" s="437">
        <f t="shared" si="165"/>
        <v>0</v>
      </c>
      <c r="AC75" s="437">
        <f t="shared" si="165"/>
        <v>0</v>
      </c>
      <c r="AD75" s="437"/>
      <c r="AE75" s="437">
        <f t="shared" si="165"/>
        <v>0</v>
      </c>
      <c r="AF75" s="437">
        <f t="shared" si="165"/>
        <v>0</v>
      </c>
      <c r="AG75" s="437"/>
      <c r="AH75" s="437">
        <f t="shared" si="165"/>
        <v>0</v>
      </c>
      <c r="AI75" s="437">
        <f t="shared" si="165"/>
        <v>0</v>
      </c>
      <c r="AJ75" s="437">
        <f t="shared" si="165"/>
        <v>0</v>
      </c>
      <c r="AK75" s="437">
        <f t="shared" si="165"/>
        <v>0</v>
      </c>
      <c r="AL75" s="437"/>
      <c r="AM75" s="437">
        <f t="shared" si="165"/>
        <v>0</v>
      </c>
      <c r="AN75" s="437">
        <f t="shared" si="165"/>
        <v>0</v>
      </c>
      <c r="AO75" s="437"/>
      <c r="AP75" s="437">
        <f t="shared" si="165"/>
        <v>0</v>
      </c>
      <c r="AQ75" s="437">
        <f t="shared" si="165"/>
        <v>0</v>
      </c>
      <c r="AR75" s="437">
        <f t="shared" si="165"/>
        <v>-1.3690441846847534E-7</v>
      </c>
      <c r="AS75" s="437">
        <f t="shared" si="165"/>
        <v>0</v>
      </c>
      <c r="AT75" s="437">
        <f t="shared" si="165"/>
        <v>0</v>
      </c>
      <c r="AU75" s="437">
        <f t="shared" si="165"/>
        <v>3.6321580410003662E-8</v>
      </c>
    </row>
    <row r="76" spans="1:55" ht="15" customHeight="1">
      <c r="B76" s="174" t="s">
        <v>756</v>
      </c>
      <c r="C76" s="437">
        <f>+C31-C71</f>
        <v>0</v>
      </c>
      <c r="D76" s="437">
        <f>+D31-D71</f>
        <v>0</v>
      </c>
      <c r="E76" s="437">
        <f>+E31-E71</f>
        <v>0</v>
      </c>
      <c r="F76" s="437">
        <f t="shared" ref="F76:AU76" si="166">+F31-F71</f>
        <v>0</v>
      </c>
      <c r="G76" s="437">
        <f t="shared" si="166"/>
        <v>0</v>
      </c>
      <c r="H76" s="437">
        <f t="shared" si="166"/>
        <v>0</v>
      </c>
      <c r="I76" s="437"/>
      <c r="J76" s="437">
        <f t="shared" si="166"/>
        <v>0</v>
      </c>
      <c r="K76" s="437">
        <f t="shared" si="166"/>
        <v>0</v>
      </c>
      <c r="L76" s="437">
        <f t="shared" si="166"/>
        <v>0</v>
      </c>
      <c r="M76" s="437">
        <f t="shared" si="166"/>
        <v>0</v>
      </c>
      <c r="N76" s="437"/>
      <c r="O76" s="437">
        <f t="shared" si="166"/>
        <v>0</v>
      </c>
      <c r="P76" s="437">
        <f t="shared" si="166"/>
        <v>0</v>
      </c>
      <c r="Q76" s="437"/>
      <c r="R76" s="437">
        <f t="shared" si="166"/>
        <v>0</v>
      </c>
      <c r="S76" s="437">
        <f t="shared" si="166"/>
        <v>0</v>
      </c>
      <c r="T76" s="437">
        <f t="shared" si="166"/>
        <v>0</v>
      </c>
      <c r="U76" s="437">
        <f t="shared" si="166"/>
        <v>0</v>
      </c>
      <c r="V76" s="437"/>
      <c r="W76" s="437">
        <f t="shared" si="166"/>
        <v>0</v>
      </c>
      <c r="X76" s="437">
        <f t="shared" si="166"/>
        <v>0</v>
      </c>
      <c r="Y76" s="437"/>
      <c r="Z76" s="437">
        <f t="shared" si="166"/>
        <v>0</v>
      </c>
      <c r="AA76" s="437">
        <f t="shared" si="166"/>
        <v>0</v>
      </c>
      <c r="AB76" s="437">
        <f t="shared" si="166"/>
        <v>0</v>
      </c>
      <c r="AC76" s="437">
        <f t="shared" si="166"/>
        <v>0</v>
      </c>
      <c r="AD76" s="437"/>
      <c r="AE76" s="437">
        <f t="shared" si="166"/>
        <v>0</v>
      </c>
      <c r="AF76" s="437">
        <f t="shared" si="166"/>
        <v>0</v>
      </c>
      <c r="AG76" s="437"/>
      <c r="AH76" s="437">
        <f t="shared" si="166"/>
        <v>0</v>
      </c>
      <c r="AI76" s="437">
        <f t="shared" si="166"/>
        <v>0</v>
      </c>
      <c r="AJ76" s="437">
        <f t="shared" si="166"/>
        <v>0</v>
      </c>
      <c r="AK76" s="437">
        <f t="shared" si="166"/>
        <v>0</v>
      </c>
      <c r="AL76" s="437"/>
      <c r="AM76" s="437">
        <f t="shared" si="166"/>
        <v>0</v>
      </c>
      <c r="AN76" s="437">
        <f t="shared" si="166"/>
        <v>0</v>
      </c>
      <c r="AO76" s="437"/>
      <c r="AP76" s="437">
        <f t="shared" si="166"/>
        <v>0</v>
      </c>
      <c r="AQ76" s="437">
        <f t="shared" si="166"/>
        <v>0</v>
      </c>
      <c r="AR76" s="437">
        <f t="shared" si="166"/>
        <v>-3.986060619354248E-7</v>
      </c>
      <c r="AS76" s="437">
        <f t="shared" si="166"/>
        <v>0</v>
      </c>
      <c r="AT76" s="437">
        <f t="shared" si="166"/>
        <v>0</v>
      </c>
      <c r="AU76" s="437">
        <f t="shared" si="166"/>
        <v>2.0780134946107864E-8</v>
      </c>
      <c r="AV76" s="28"/>
      <c r="AW76" s="28"/>
      <c r="AX76" s="28"/>
      <c r="AY76" s="28"/>
      <c r="AZ76" s="28"/>
      <c r="BA76" s="28"/>
      <c r="BB76" s="28"/>
      <c r="BC76" s="28"/>
    </row>
    <row r="77" spans="1:55" ht="11.25" customHeight="1">
      <c r="B77" s="174"/>
      <c r="C77" s="438">
        <f>+C53-C71</f>
        <v>0</v>
      </c>
      <c r="D77" s="438">
        <f>+D53-D71</f>
        <v>0</v>
      </c>
      <c r="E77" s="438">
        <f>+E53-E71</f>
        <v>0</v>
      </c>
      <c r="F77" s="438">
        <f t="shared" ref="F77:AU77" si="167">+F53-F71</f>
        <v>0</v>
      </c>
      <c r="G77" s="438">
        <f t="shared" si="167"/>
        <v>0</v>
      </c>
      <c r="H77" s="438">
        <f t="shared" si="167"/>
        <v>0</v>
      </c>
      <c r="I77" s="438"/>
      <c r="J77" s="438">
        <f t="shared" si="167"/>
        <v>0</v>
      </c>
      <c r="K77" s="438">
        <f t="shared" si="167"/>
        <v>0</v>
      </c>
      <c r="L77" s="438">
        <f t="shared" si="167"/>
        <v>0</v>
      </c>
      <c r="M77" s="438">
        <f t="shared" si="167"/>
        <v>0</v>
      </c>
      <c r="N77" s="438"/>
      <c r="O77" s="438">
        <f t="shared" si="167"/>
        <v>0</v>
      </c>
      <c r="P77" s="438">
        <f t="shared" si="167"/>
        <v>0</v>
      </c>
      <c r="Q77" s="438"/>
      <c r="R77" s="438">
        <f t="shared" si="167"/>
        <v>0</v>
      </c>
      <c r="S77" s="438">
        <f t="shared" si="167"/>
        <v>0</v>
      </c>
      <c r="T77" s="438">
        <f t="shared" si="167"/>
        <v>0</v>
      </c>
      <c r="U77" s="438">
        <f t="shared" si="167"/>
        <v>0</v>
      </c>
      <c r="V77" s="438"/>
      <c r="W77" s="438">
        <f t="shared" si="167"/>
        <v>0</v>
      </c>
      <c r="X77" s="438">
        <f t="shared" si="167"/>
        <v>0</v>
      </c>
      <c r="Y77" s="438"/>
      <c r="Z77" s="438">
        <f t="shared" si="167"/>
        <v>0</v>
      </c>
      <c r="AA77" s="438">
        <f t="shared" si="167"/>
        <v>0</v>
      </c>
      <c r="AB77" s="438">
        <f t="shared" si="167"/>
        <v>0</v>
      </c>
      <c r="AC77" s="438">
        <f t="shared" si="167"/>
        <v>0</v>
      </c>
      <c r="AD77" s="438"/>
      <c r="AE77" s="438">
        <f t="shared" si="167"/>
        <v>0</v>
      </c>
      <c r="AF77" s="438">
        <f t="shared" si="167"/>
        <v>0</v>
      </c>
      <c r="AG77" s="438"/>
      <c r="AH77" s="438">
        <f t="shared" si="167"/>
        <v>0</v>
      </c>
      <c r="AI77" s="438">
        <f t="shared" si="167"/>
        <v>0</v>
      </c>
      <c r="AJ77" s="438">
        <f t="shared" si="167"/>
        <v>0</v>
      </c>
      <c r="AK77" s="438">
        <f t="shared" si="167"/>
        <v>0</v>
      </c>
      <c r="AL77" s="438"/>
      <c r="AM77" s="438">
        <f t="shared" si="167"/>
        <v>0</v>
      </c>
      <c r="AN77" s="438">
        <f t="shared" si="167"/>
        <v>0</v>
      </c>
      <c r="AO77" s="438"/>
      <c r="AP77" s="438">
        <f t="shared" si="167"/>
        <v>0</v>
      </c>
      <c r="AQ77" s="438">
        <f t="shared" si="167"/>
        <v>0</v>
      </c>
      <c r="AR77" s="438">
        <f t="shared" si="167"/>
        <v>-2.6170164346694946E-7</v>
      </c>
      <c r="AS77" s="438">
        <f t="shared" si="167"/>
        <v>0</v>
      </c>
      <c r="AT77" s="438">
        <f t="shared" si="167"/>
        <v>0</v>
      </c>
      <c r="AU77" s="438">
        <f t="shared" si="167"/>
        <v>-1.5541445463895798E-8</v>
      </c>
      <c r="AV77" s="28"/>
      <c r="AW77" s="28"/>
      <c r="AX77" s="28"/>
      <c r="AY77" s="28"/>
      <c r="AZ77" s="28"/>
      <c r="BA77" s="28"/>
      <c r="BB77" s="28"/>
      <c r="BC77" s="28"/>
    </row>
    <row r="78" spans="1:55" ht="15" customHeight="1">
      <c r="B78" s="174" t="s">
        <v>757</v>
      </c>
      <c r="C78" s="452"/>
      <c r="D78" s="452"/>
      <c r="E78" s="452"/>
      <c r="F78" s="452"/>
      <c r="G78" s="452"/>
      <c r="H78" s="452"/>
      <c r="I78" s="452"/>
      <c r="J78" s="452"/>
      <c r="K78" s="452"/>
      <c r="L78" s="452"/>
      <c r="M78" s="452"/>
      <c r="N78" s="452"/>
      <c r="O78" s="452"/>
      <c r="P78" s="452"/>
      <c r="Q78" s="452"/>
      <c r="R78" s="452"/>
      <c r="S78" s="452"/>
      <c r="T78" s="452"/>
      <c r="U78" s="452"/>
      <c r="V78" s="452"/>
      <c r="W78" s="452"/>
      <c r="X78" s="452"/>
      <c r="Y78" s="452"/>
      <c r="Z78" s="452"/>
      <c r="AA78" s="452"/>
      <c r="AB78" s="452"/>
      <c r="AC78" s="452"/>
      <c r="AD78" s="452"/>
      <c r="AE78" s="452"/>
      <c r="AF78" s="452"/>
      <c r="AG78" s="452"/>
      <c r="AH78" s="452"/>
      <c r="AI78" s="452"/>
      <c r="AJ78" s="452"/>
      <c r="AK78" s="452"/>
      <c r="AL78" s="452"/>
      <c r="AM78" s="452"/>
      <c r="AN78" s="452"/>
      <c r="AO78" s="452"/>
      <c r="AP78" s="452"/>
      <c r="AQ78" s="452"/>
      <c r="AR78" s="452"/>
      <c r="AS78" s="452"/>
      <c r="AT78" s="452"/>
      <c r="AU78" s="452"/>
      <c r="AV78" s="28"/>
      <c r="AW78" s="28"/>
      <c r="AX78" s="28"/>
      <c r="AY78" s="28"/>
      <c r="AZ78" s="28"/>
      <c r="BA78" s="28"/>
      <c r="BB78" s="28"/>
      <c r="BC78" s="28"/>
    </row>
    <row r="79" spans="1:55">
      <c r="B79" s="174"/>
      <c r="C79" s="448"/>
      <c r="D79" s="448"/>
      <c r="E79" s="448"/>
      <c r="F79" s="448"/>
      <c r="G79" s="448"/>
      <c r="H79" s="448"/>
      <c r="I79" s="448"/>
      <c r="J79" s="448"/>
      <c r="K79" s="448"/>
      <c r="L79" s="448"/>
      <c r="M79" s="448"/>
      <c r="N79" s="448"/>
      <c r="O79" s="448"/>
      <c r="P79" s="448"/>
      <c r="Q79" s="448"/>
      <c r="R79" s="448"/>
      <c r="S79" s="448"/>
      <c r="T79" s="448"/>
      <c r="U79" s="448"/>
      <c r="V79" s="448"/>
      <c r="W79" s="448"/>
      <c r="X79" s="448"/>
      <c r="Y79" s="448"/>
      <c r="Z79" s="448"/>
      <c r="AA79" s="448"/>
      <c r="AB79" s="448"/>
      <c r="AC79" s="448"/>
      <c r="AD79" s="448"/>
      <c r="AE79" s="448"/>
      <c r="AF79" s="448"/>
      <c r="AG79" s="448"/>
      <c r="AH79" s="448"/>
      <c r="AI79" s="448"/>
      <c r="AJ79" s="448"/>
      <c r="AK79" s="448"/>
      <c r="AL79" s="448"/>
      <c r="AM79" s="448"/>
      <c r="AN79" s="448"/>
      <c r="AO79" s="448"/>
      <c r="AP79" s="448"/>
      <c r="AQ79" s="448"/>
      <c r="AR79" s="448"/>
      <c r="AS79" s="448"/>
      <c r="AT79" s="448"/>
      <c r="AU79" s="448"/>
      <c r="AV79" s="449"/>
    </row>
    <row r="80" spans="1:55">
      <c r="C80" s="450">
        <f>+'Asset Classification'!C71</f>
        <v>64935569833</v>
      </c>
      <c r="D80" s="450">
        <f>+'Asset Classification'!D71</f>
        <v>39024053370</v>
      </c>
      <c r="E80" s="450">
        <f>+'Asset Classification'!E71</f>
        <v>51319667488</v>
      </c>
      <c r="F80" s="450">
        <f>+'Asset Classification'!F71</f>
        <v>32061360522</v>
      </c>
      <c r="G80" s="450">
        <f>+'Asset Classification'!G71</f>
        <v>511888974</v>
      </c>
      <c r="H80" s="450"/>
      <c r="I80" s="448"/>
      <c r="J80" s="450">
        <f>+'Asset Classification'!I71</f>
        <v>11973504955</v>
      </c>
      <c r="K80" s="450">
        <f>+'Asset Classification'!J71</f>
        <v>6541453216</v>
      </c>
      <c r="L80" s="450">
        <f>+'Asset Classification'!K71</f>
        <v>1198877092</v>
      </c>
      <c r="M80" s="448"/>
      <c r="N80" s="448"/>
      <c r="O80" s="450">
        <f>+'Asset Classification'!L71</f>
        <v>654145323</v>
      </c>
      <c r="P80" s="448"/>
      <c r="Q80" s="448"/>
      <c r="R80" s="450">
        <f>+'Asset Classification'!M71</f>
        <v>197951703</v>
      </c>
      <c r="S80" s="450">
        <f>+'Asset Classification'!N71</f>
        <v>21411043</v>
      </c>
      <c r="T80" s="450">
        <f>+'Asset Classification'!O71</f>
        <v>49906638</v>
      </c>
      <c r="U80" s="448"/>
      <c r="V80" s="448"/>
      <c r="W80" s="450">
        <f>+'Asset Classification'!P71</f>
        <v>5352762</v>
      </c>
      <c r="X80" s="448"/>
      <c r="Y80" s="448"/>
      <c r="Z80" s="450">
        <f>+'Asset Classification'!Q71</f>
        <v>515717513</v>
      </c>
      <c r="AA80" s="450">
        <f>+'Asset Classification'!R71</f>
        <v>180999960</v>
      </c>
      <c r="AB80" s="450">
        <f>+'Asset Classification'!S71</f>
        <v>258118383</v>
      </c>
      <c r="AC80" s="448"/>
      <c r="AD80" s="448"/>
      <c r="AE80" s="450">
        <f>+'Asset Classification'!T71</f>
        <v>90499980</v>
      </c>
      <c r="AF80" s="448"/>
      <c r="AG80" s="448"/>
      <c r="AH80" s="450">
        <f>+'Asset Classification'!U71</f>
        <v>928728174</v>
      </c>
      <c r="AI80" s="450">
        <f>+'Asset Classification'!V71</f>
        <v>218828629</v>
      </c>
      <c r="AJ80" s="450">
        <f>+'Asset Classification'!W71</f>
        <v>928720297</v>
      </c>
      <c r="AK80" s="448"/>
      <c r="AL80" s="448"/>
      <c r="AM80" s="450">
        <f>+'Asset Classification'!X71</f>
        <v>218828629</v>
      </c>
      <c r="AN80" s="448"/>
      <c r="AO80" s="448"/>
      <c r="AP80" s="450">
        <f>+'Asset Classification'!Y71</f>
        <v>2435622410</v>
      </c>
      <c r="AQ80" s="448"/>
      <c r="AR80" s="448"/>
      <c r="AS80" s="450">
        <f>+'Asset Classification'!Z71</f>
        <v>968826694</v>
      </c>
      <c r="AT80" s="448"/>
      <c r="AU80" s="448"/>
      <c r="AV80" s="448"/>
      <c r="AW80" s="28"/>
      <c r="AX80" s="28"/>
      <c r="AY80" s="28"/>
    </row>
    <row r="81" spans="3:55">
      <c r="C81" s="451">
        <f>+C80-C71</f>
        <v>0</v>
      </c>
      <c r="D81" s="451">
        <f t="shared" ref="D81:G81" si="168">+D80-D71</f>
        <v>0</v>
      </c>
      <c r="E81" s="451">
        <f t="shared" si="168"/>
        <v>0</v>
      </c>
      <c r="F81" s="451">
        <f t="shared" si="168"/>
        <v>0</v>
      </c>
      <c r="G81" s="451">
        <f t="shared" si="168"/>
        <v>0</v>
      </c>
      <c r="H81" s="451"/>
      <c r="I81" s="448"/>
      <c r="J81" s="451">
        <f t="shared" ref="J81:L81" si="169">+J80-J71</f>
        <v>0</v>
      </c>
      <c r="K81" s="451">
        <f t="shared" si="169"/>
        <v>0</v>
      </c>
      <c r="L81" s="451">
        <f t="shared" si="169"/>
        <v>0</v>
      </c>
      <c r="M81" s="448"/>
      <c r="N81" s="448"/>
      <c r="O81" s="451">
        <f t="shared" ref="O81" si="170">+O80-O71</f>
        <v>0</v>
      </c>
      <c r="P81" s="448"/>
      <c r="Q81" s="448"/>
      <c r="R81" s="451">
        <f t="shared" ref="R81" si="171">+R80-R71</f>
        <v>0</v>
      </c>
      <c r="S81" s="451">
        <f t="shared" ref="S81" si="172">+S80-S71</f>
        <v>0</v>
      </c>
      <c r="T81" s="451">
        <f t="shared" ref="T81" si="173">+T80-T71</f>
        <v>0</v>
      </c>
      <c r="U81" s="448"/>
      <c r="V81" s="448"/>
      <c r="W81" s="451">
        <f t="shared" ref="W81" si="174">+W80-W71</f>
        <v>0</v>
      </c>
      <c r="X81" s="448"/>
      <c r="Y81" s="448"/>
      <c r="Z81" s="451">
        <f t="shared" ref="Z81" si="175">+Z80-Z71</f>
        <v>0</v>
      </c>
      <c r="AA81" s="451">
        <f t="shared" ref="AA81" si="176">+AA80-AA71</f>
        <v>0</v>
      </c>
      <c r="AB81" s="451">
        <f t="shared" ref="AB81" si="177">+AB80-AB71</f>
        <v>0</v>
      </c>
      <c r="AC81" s="448"/>
      <c r="AD81" s="448"/>
      <c r="AE81" s="451">
        <f t="shared" ref="AE81" si="178">+AE80-AE71</f>
        <v>0</v>
      </c>
      <c r="AF81" s="448"/>
      <c r="AG81" s="448"/>
      <c r="AH81" s="451">
        <f t="shared" ref="AH81" si="179">+AH80-AH71</f>
        <v>0</v>
      </c>
      <c r="AI81" s="451">
        <f t="shared" ref="AI81" si="180">+AI80-AI71</f>
        <v>0</v>
      </c>
      <c r="AJ81" s="451">
        <f t="shared" ref="AJ81" si="181">+AJ80-AJ71</f>
        <v>0</v>
      </c>
      <c r="AK81" s="448"/>
      <c r="AL81" s="448"/>
      <c r="AM81" s="451">
        <f t="shared" ref="AM81" si="182">+AM80-AM71</f>
        <v>0</v>
      </c>
      <c r="AN81" s="448"/>
      <c r="AO81" s="448"/>
      <c r="AP81" s="451">
        <f t="shared" ref="AP81" si="183">+AP80-AP71</f>
        <v>0</v>
      </c>
      <c r="AQ81" s="448"/>
      <c r="AR81" s="448"/>
      <c r="AS81" s="451">
        <f t="shared" ref="AS81" si="184">+AS80-AS71</f>
        <v>0</v>
      </c>
      <c r="AT81" s="448"/>
      <c r="AU81" s="448"/>
      <c r="AV81" s="449"/>
    </row>
    <row r="82" spans="3:55">
      <c r="C82" s="448"/>
      <c r="D82" s="448"/>
      <c r="E82" s="448"/>
      <c r="F82" s="448"/>
      <c r="G82" s="448"/>
      <c r="H82" s="448"/>
      <c r="I82" s="448"/>
      <c r="J82" s="448"/>
      <c r="K82" s="448"/>
      <c r="L82" s="448"/>
      <c r="M82" s="448"/>
      <c r="N82" s="448"/>
      <c r="O82" s="448"/>
      <c r="P82" s="448"/>
      <c r="Q82" s="448"/>
      <c r="R82" s="448"/>
      <c r="S82" s="448"/>
      <c r="T82" s="448"/>
      <c r="U82" s="448"/>
      <c r="V82" s="448"/>
      <c r="W82" s="448"/>
      <c r="X82" s="448"/>
      <c r="Y82" s="448"/>
      <c r="Z82" s="448"/>
      <c r="AA82" s="448"/>
      <c r="AB82" s="448"/>
      <c r="AC82" s="448"/>
      <c r="AD82" s="448"/>
      <c r="AE82" s="448"/>
      <c r="AF82" s="448"/>
      <c r="AG82" s="448"/>
      <c r="AH82" s="448"/>
      <c r="AI82" s="448"/>
      <c r="AJ82" s="448"/>
      <c r="AK82" s="448"/>
      <c r="AL82" s="448"/>
      <c r="AM82" s="448"/>
      <c r="AN82" s="448"/>
      <c r="AO82" s="448"/>
      <c r="AP82" s="448"/>
      <c r="AQ82" s="448"/>
      <c r="AR82" s="448"/>
      <c r="AS82" s="448"/>
      <c r="AT82" s="451"/>
      <c r="AU82" s="448"/>
      <c r="AV82" s="448"/>
      <c r="AW82" s="28"/>
      <c r="AX82" s="28"/>
      <c r="AY82" s="28"/>
    </row>
    <row r="83" spans="3:55">
      <c r="C83" s="450">
        <f>+'Asset Classification'!C72</f>
        <v>31154156370</v>
      </c>
      <c r="D83" s="450">
        <f>+'Asset Classification'!D72</f>
        <v>0</v>
      </c>
      <c r="E83" s="450">
        <f>+'Asset Classification'!E72</f>
        <v>28452260756</v>
      </c>
      <c r="F83" s="450">
        <f>+'Asset Classification'!F72</f>
        <v>0</v>
      </c>
      <c r="G83" s="450">
        <f>+'Asset Classification'!G72</f>
        <v>208053233</v>
      </c>
      <c r="H83" s="450"/>
      <c r="I83" s="448"/>
      <c r="J83" s="450">
        <f>+'Asset Classification'!I72</f>
        <v>1519947491</v>
      </c>
      <c r="K83" s="450">
        <f>+'Asset Classification'!J72</f>
        <v>0</v>
      </c>
      <c r="L83" s="450">
        <f>+'Asset Classification'!K72</f>
        <v>280504177</v>
      </c>
      <c r="M83" s="448"/>
      <c r="N83" s="448"/>
      <c r="O83" s="450">
        <f>+'Asset Classification'!L72</f>
        <v>0</v>
      </c>
      <c r="P83" s="448"/>
      <c r="Q83" s="448"/>
      <c r="R83" s="450">
        <f>+'Asset Classification'!M72</f>
        <v>58393937</v>
      </c>
      <c r="S83" s="450">
        <f>+'Asset Classification'!N72</f>
        <v>0</v>
      </c>
      <c r="T83" s="450">
        <f>+'Asset Classification'!O72</f>
        <v>10085490</v>
      </c>
      <c r="U83" s="448"/>
      <c r="V83" s="448"/>
      <c r="W83" s="450">
        <f>+'Asset Classification'!P72</f>
        <v>0</v>
      </c>
      <c r="X83" s="448"/>
      <c r="Y83" s="448"/>
      <c r="Z83" s="450">
        <f>+'Asset Classification'!Q72</f>
        <v>98112182</v>
      </c>
      <c r="AA83" s="450">
        <f>+'Asset Classification'!R72</f>
        <v>0</v>
      </c>
      <c r="AB83" s="450">
        <f>+'Asset Classification'!S72</f>
        <v>75561137</v>
      </c>
      <c r="AC83" s="448"/>
      <c r="AD83" s="448"/>
      <c r="AE83" s="450">
        <f>+'Asset Classification'!T72</f>
        <v>0</v>
      </c>
      <c r="AF83" s="448"/>
      <c r="AG83" s="448"/>
      <c r="AH83" s="450">
        <f>+'Asset Classification'!U72</f>
        <v>1025442004</v>
      </c>
      <c r="AI83" s="450">
        <f>+'Asset Classification'!V72</f>
        <v>0</v>
      </c>
      <c r="AJ83" s="450">
        <f>+'Asset Classification'!W72</f>
        <v>595858145</v>
      </c>
      <c r="AK83" s="448"/>
      <c r="AL83" s="448"/>
      <c r="AM83" s="450">
        <f>+'Asset Classification'!X72</f>
        <v>0</v>
      </c>
      <c r="AN83" s="448"/>
      <c r="AO83" s="448"/>
      <c r="AP83" s="450">
        <f>+'Asset Classification'!Y72</f>
        <v>962008949</v>
      </c>
      <c r="AQ83" s="448"/>
      <c r="AR83" s="448"/>
      <c r="AS83" s="450">
        <f>+'Asset Classification'!Z72</f>
        <v>0</v>
      </c>
      <c r="AT83" s="448"/>
      <c r="AU83" s="448"/>
      <c r="AV83" s="449"/>
    </row>
    <row r="84" spans="3:55">
      <c r="C84" s="451">
        <f>+C83-C72</f>
        <v>0</v>
      </c>
      <c r="D84" s="451">
        <f>+D83-D72</f>
        <v>0</v>
      </c>
      <c r="E84" s="451">
        <f>+E83-E72</f>
        <v>0</v>
      </c>
      <c r="F84" s="451">
        <f>+F83-F72</f>
        <v>0</v>
      </c>
      <c r="G84" s="451">
        <f>+G83-G72</f>
        <v>0</v>
      </c>
      <c r="H84" s="451"/>
      <c r="I84" s="448"/>
      <c r="J84" s="451">
        <f>+J83-J72</f>
        <v>0</v>
      </c>
      <c r="K84" s="451">
        <f>+K83-K72</f>
        <v>0</v>
      </c>
      <c r="L84" s="451">
        <f>+L83-L72</f>
        <v>0</v>
      </c>
      <c r="M84" s="448"/>
      <c r="N84" s="448"/>
      <c r="O84" s="451">
        <f>+O83-O72</f>
        <v>0</v>
      </c>
      <c r="P84" s="448"/>
      <c r="Q84" s="448"/>
      <c r="R84" s="451">
        <f>+R83-R72</f>
        <v>0</v>
      </c>
      <c r="S84" s="451">
        <f>+S83-S72</f>
        <v>0</v>
      </c>
      <c r="T84" s="451">
        <f>+T83-T72</f>
        <v>0</v>
      </c>
      <c r="U84" s="448"/>
      <c r="V84" s="448"/>
      <c r="W84" s="451">
        <f>+W83-W72</f>
        <v>0</v>
      </c>
      <c r="X84" s="448"/>
      <c r="Y84" s="448"/>
      <c r="Z84" s="451">
        <f>+Z83-Z72</f>
        <v>0</v>
      </c>
      <c r="AA84" s="451">
        <f>+AA83-AA72</f>
        <v>0</v>
      </c>
      <c r="AB84" s="451">
        <f>+AB83-AB72</f>
        <v>0</v>
      </c>
      <c r="AC84" s="448"/>
      <c r="AD84" s="448"/>
      <c r="AE84" s="451">
        <f>+AE83-AE72</f>
        <v>0</v>
      </c>
      <c r="AF84" s="448"/>
      <c r="AG84" s="448"/>
      <c r="AH84" s="451">
        <f>+AH83-AH72</f>
        <v>0</v>
      </c>
      <c r="AI84" s="451">
        <f>+AI83-AI72</f>
        <v>0</v>
      </c>
      <c r="AJ84" s="451">
        <f>+AJ83-AJ72</f>
        <v>0</v>
      </c>
      <c r="AK84" s="448"/>
      <c r="AL84" s="448"/>
      <c r="AM84" s="451">
        <f>+AM83-AM72</f>
        <v>0</v>
      </c>
      <c r="AN84" s="448"/>
      <c r="AO84" s="448"/>
      <c r="AP84" s="451">
        <f>+AP83-AP72</f>
        <v>0</v>
      </c>
      <c r="AQ84" s="448"/>
      <c r="AR84" s="448"/>
      <c r="AS84" s="451">
        <f>+AS83-AS72</f>
        <v>0</v>
      </c>
      <c r="AT84" s="448"/>
      <c r="AU84" s="448"/>
      <c r="AV84" s="448"/>
      <c r="AW84" s="28"/>
      <c r="AX84" s="28"/>
      <c r="AY84" s="28"/>
      <c r="AZ84" s="28"/>
      <c r="BA84" s="28"/>
      <c r="BB84" s="28"/>
      <c r="BC84" s="28"/>
    </row>
    <row r="85" spans="3:55">
      <c r="C85" s="448"/>
      <c r="D85" s="448"/>
      <c r="E85" s="448"/>
      <c r="F85" s="448"/>
      <c r="G85" s="448"/>
      <c r="H85" s="448"/>
      <c r="I85" s="448"/>
      <c r="J85" s="448"/>
      <c r="K85" s="448"/>
      <c r="L85" s="448"/>
      <c r="M85" s="448"/>
      <c r="N85" s="448"/>
      <c r="O85" s="448"/>
      <c r="P85" s="448"/>
      <c r="Q85" s="448"/>
      <c r="R85" s="448"/>
      <c r="S85" s="448"/>
      <c r="T85" s="448"/>
      <c r="U85" s="448"/>
      <c r="V85" s="448"/>
      <c r="W85" s="448"/>
      <c r="X85" s="448"/>
      <c r="Y85" s="448"/>
      <c r="Z85" s="448"/>
      <c r="AA85" s="448"/>
      <c r="AB85" s="448"/>
      <c r="AC85" s="448"/>
      <c r="AD85" s="448"/>
      <c r="AE85" s="448"/>
      <c r="AF85" s="448"/>
      <c r="AG85" s="448"/>
      <c r="AH85" s="448"/>
      <c r="AI85" s="448"/>
      <c r="AJ85" s="448"/>
      <c r="AK85" s="448"/>
      <c r="AL85" s="448"/>
      <c r="AM85" s="448"/>
      <c r="AN85" s="448"/>
      <c r="AO85" s="448"/>
      <c r="AP85" s="448"/>
      <c r="AQ85" s="448"/>
      <c r="AR85" s="448"/>
      <c r="AS85" s="448"/>
      <c r="AT85" s="448"/>
      <c r="AU85" s="448"/>
      <c r="AV85" s="449"/>
    </row>
    <row r="86" spans="3:55">
      <c r="C86" s="450">
        <f>+'Asset Classification'!C74</f>
        <v>96089726203</v>
      </c>
      <c r="D86" s="450">
        <f>+'Asset Classification'!D74</f>
        <v>39024053370</v>
      </c>
      <c r="E86" s="450">
        <f>+'Asset Classification'!E74</f>
        <v>79771928244</v>
      </c>
      <c r="F86" s="450">
        <f>+'Asset Classification'!F74</f>
        <v>32061360522</v>
      </c>
      <c r="G86" s="450">
        <f>+'Asset Classification'!G74</f>
        <v>719942207</v>
      </c>
      <c r="H86" s="450"/>
      <c r="I86" s="448"/>
      <c r="J86" s="450">
        <f>+'Asset Classification'!I74</f>
        <v>13493452446</v>
      </c>
      <c r="K86" s="450">
        <f>+'Asset Classification'!J74</f>
        <v>6541453216</v>
      </c>
      <c r="L86" s="450">
        <f>+'Asset Classification'!K74</f>
        <v>1479381269</v>
      </c>
      <c r="M86" s="448"/>
      <c r="N86" s="448"/>
      <c r="O86" s="450">
        <f>+'Asset Classification'!L74</f>
        <v>654145323</v>
      </c>
      <c r="P86" s="448"/>
      <c r="Q86" s="448"/>
      <c r="R86" s="450">
        <f>+'Asset Classification'!M74</f>
        <v>256345640</v>
      </c>
      <c r="S86" s="450">
        <f>+'Asset Classification'!N74</f>
        <v>21411043</v>
      </c>
      <c r="T86" s="450">
        <f>+'Asset Classification'!O74</f>
        <v>59992128</v>
      </c>
      <c r="U86" s="448"/>
      <c r="V86" s="448"/>
      <c r="W86" s="450">
        <f>+'Asset Classification'!P74</f>
        <v>5352762</v>
      </c>
      <c r="X86" s="448"/>
      <c r="Y86" s="448"/>
      <c r="Z86" s="450">
        <f>+'Asset Classification'!Q74</f>
        <v>613829695</v>
      </c>
      <c r="AA86" s="450">
        <f>+'Asset Classification'!R74</f>
        <v>180999960</v>
      </c>
      <c r="AB86" s="450">
        <f>+'Asset Classification'!S74</f>
        <v>333679520</v>
      </c>
      <c r="AC86" s="448"/>
      <c r="AD86" s="448"/>
      <c r="AE86" s="450">
        <f>+'Asset Classification'!T74</f>
        <v>90499980</v>
      </c>
      <c r="AF86" s="448"/>
      <c r="AG86" s="448"/>
      <c r="AH86" s="450">
        <f>+'Asset Classification'!U74</f>
        <v>1954170178</v>
      </c>
      <c r="AI86" s="450">
        <f>+'Asset Classification'!V74</f>
        <v>218828629</v>
      </c>
      <c r="AJ86" s="450">
        <f>+'Asset Classification'!W74</f>
        <v>1524578442</v>
      </c>
      <c r="AK86" s="448"/>
      <c r="AL86" s="448"/>
      <c r="AM86" s="450">
        <f>+'Asset Classification'!X74</f>
        <v>218828629</v>
      </c>
      <c r="AN86" s="448"/>
      <c r="AO86" s="448"/>
      <c r="AP86" s="450">
        <f>+'Asset Classification'!Y74</f>
        <v>3397631359</v>
      </c>
      <c r="AQ86" s="448"/>
      <c r="AR86" s="448"/>
      <c r="AS86" s="450">
        <f>+'Asset Classification'!Z74</f>
        <v>968826694</v>
      </c>
      <c r="AT86" s="448"/>
      <c r="AU86" s="448"/>
      <c r="AV86" s="449"/>
    </row>
    <row r="87" spans="3:55">
      <c r="C87" s="451">
        <f>+C86-C74</f>
        <v>0</v>
      </c>
      <c r="D87" s="451">
        <f>+D86-D74</f>
        <v>0</v>
      </c>
      <c r="E87" s="451">
        <f>+E86-E74</f>
        <v>0</v>
      </c>
      <c r="F87" s="451">
        <f>+F86-F74</f>
        <v>0</v>
      </c>
      <c r="G87" s="451">
        <f>+G86-G74</f>
        <v>0</v>
      </c>
      <c r="H87" s="451"/>
      <c r="I87" s="448"/>
      <c r="J87" s="451">
        <f>+J86-J74</f>
        <v>0</v>
      </c>
      <c r="K87" s="451">
        <f>+K86-K74</f>
        <v>0</v>
      </c>
      <c r="L87" s="451">
        <f>+L86-L74</f>
        <v>0</v>
      </c>
      <c r="M87" s="448"/>
      <c r="N87" s="448"/>
      <c r="O87" s="451">
        <f>+O86-O74</f>
        <v>0</v>
      </c>
      <c r="P87" s="448"/>
      <c r="Q87" s="448"/>
      <c r="R87" s="451">
        <f>+R86-R74</f>
        <v>0</v>
      </c>
      <c r="S87" s="451">
        <f>+S86-S74</f>
        <v>0</v>
      </c>
      <c r="T87" s="451">
        <f>+T86-T74</f>
        <v>0</v>
      </c>
      <c r="U87" s="448"/>
      <c r="V87" s="448"/>
      <c r="W87" s="451">
        <f>+W86-W74</f>
        <v>0</v>
      </c>
      <c r="X87" s="448"/>
      <c r="Y87" s="448"/>
      <c r="Z87" s="451">
        <f>+Z86-Z74</f>
        <v>0</v>
      </c>
      <c r="AA87" s="451">
        <f>+AA86-AA74</f>
        <v>0</v>
      </c>
      <c r="AB87" s="451">
        <f>+AB86-AB74</f>
        <v>0</v>
      </c>
      <c r="AC87" s="448"/>
      <c r="AD87" s="448"/>
      <c r="AE87" s="451">
        <f>+AE86-AE74</f>
        <v>0</v>
      </c>
      <c r="AF87" s="448"/>
      <c r="AG87" s="448"/>
      <c r="AH87" s="451">
        <f>+AH86-AH74</f>
        <v>0</v>
      </c>
      <c r="AI87" s="451">
        <f>+AI86-AI74</f>
        <v>0</v>
      </c>
      <c r="AJ87" s="451">
        <f>+AJ86-AJ74</f>
        <v>0</v>
      </c>
      <c r="AK87" s="448"/>
      <c r="AL87" s="448"/>
      <c r="AM87" s="451">
        <f>+AM86-AM74</f>
        <v>0</v>
      </c>
      <c r="AN87" s="448"/>
      <c r="AO87" s="448"/>
      <c r="AP87" s="451">
        <f>+AP86-AP74</f>
        <v>0</v>
      </c>
      <c r="AQ87" s="448"/>
      <c r="AR87" s="448"/>
      <c r="AS87" s="451">
        <f>+AS86-AS74</f>
        <v>0</v>
      </c>
      <c r="AT87" s="448"/>
      <c r="AU87" s="448"/>
      <c r="AV87" s="449"/>
    </row>
    <row r="88" spans="3:55">
      <c r="C88" s="448"/>
      <c r="D88" s="448"/>
      <c r="E88" s="448"/>
      <c r="F88" s="448"/>
      <c r="G88" s="448"/>
      <c r="H88" s="448"/>
      <c r="I88" s="448"/>
      <c r="J88" s="448"/>
      <c r="K88" s="448"/>
      <c r="L88" s="448"/>
      <c r="M88" s="448"/>
      <c r="N88" s="448"/>
      <c r="O88" s="448"/>
      <c r="P88" s="448"/>
      <c r="Q88" s="448"/>
      <c r="R88" s="448"/>
      <c r="S88" s="448"/>
      <c r="T88" s="448"/>
      <c r="U88" s="448"/>
      <c r="V88" s="448"/>
      <c r="W88" s="448"/>
      <c r="X88" s="448"/>
      <c r="Y88" s="448"/>
      <c r="Z88" s="448"/>
      <c r="AA88" s="448"/>
      <c r="AB88" s="448"/>
      <c r="AC88" s="448"/>
      <c r="AD88" s="448"/>
      <c r="AE88" s="448"/>
      <c r="AF88" s="448"/>
      <c r="AG88" s="448"/>
      <c r="AH88" s="448"/>
      <c r="AI88" s="448"/>
      <c r="AJ88" s="448"/>
      <c r="AK88" s="448"/>
      <c r="AL88" s="448"/>
      <c r="AM88" s="448"/>
      <c r="AN88" s="448"/>
      <c r="AO88" s="448"/>
      <c r="AP88" s="448"/>
      <c r="AQ88" s="448"/>
      <c r="AR88" s="448"/>
      <c r="AS88" s="448"/>
      <c r="AT88" s="448"/>
      <c r="AU88" s="448"/>
      <c r="AV88" s="449"/>
    </row>
    <row r="89" spans="3:55">
      <c r="C89" s="448"/>
      <c r="D89" s="448"/>
      <c r="E89" s="448"/>
      <c r="F89" s="448"/>
      <c r="G89" s="448"/>
      <c r="H89" s="448"/>
      <c r="I89" s="448"/>
      <c r="J89" s="448"/>
      <c r="K89" s="448"/>
      <c r="L89" s="448"/>
      <c r="M89" s="448"/>
      <c r="N89" s="448"/>
      <c r="O89" s="448"/>
      <c r="P89" s="448"/>
      <c r="Q89" s="448"/>
      <c r="R89" s="448"/>
      <c r="S89" s="448"/>
      <c r="T89" s="448"/>
      <c r="U89" s="448"/>
      <c r="V89" s="448"/>
      <c r="W89" s="448"/>
      <c r="X89" s="448"/>
      <c r="Y89" s="448"/>
      <c r="Z89" s="448"/>
      <c r="AA89" s="448"/>
      <c r="AB89" s="448"/>
      <c r="AC89" s="448"/>
      <c r="AD89" s="448"/>
      <c r="AE89" s="448"/>
      <c r="AF89" s="448"/>
      <c r="AG89" s="448"/>
      <c r="AH89" s="448"/>
      <c r="AI89" s="448"/>
      <c r="AJ89" s="448"/>
      <c r="AK89" s="448"/>
      <c r="AL89" s="448"/>
      <c r="AM89" s="448"/>
      <c r="AN89" s="448"/>
      <c r="AO89" s="448"/>
      <c r="AP89" s="448"/>
      <c r="AQ89" s="448"/>
      <c r="AR89" s="448"/>
      <c r="AS89" s="448"/>
      <c r="AT89" s="448"/>
      <c r="AU89" s="448"/>
      <c r="AV89" s="449"/>
    </row>
    <row r="90" spans="3:55">
      <c r="C90" s="448"/>
      <c r="D90" s="448"/>
      <c r="E90" s="448"/>
      <c r="F90" s="448"/>
      <c r="G90" s="448"/>
      <c r="H90" s="448"/>
      <c r="I90" s="448"/>
      <c r="J90" s="448"/>
      <c r="K90" s="448"/>
      <c r="L90" s="448"/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48"/>
      <c r="X90" s="448"/>
      <c r="Y90" s="448"/>
      <c r="Z90" s="448"/>
      <c r="AA90" s="448"/>
      <c r="AB90" s="448"/>
      <c r="AC90" s="448"/>
      <c r="AD90" s="448"/>
      <c r="AE90" s="448"/>
      <c r="AF90" s="448"/>
      <c r="AG90" s="448"/>
      <c r="AH90" s="448"/>
      <c r="AI90" s="448"/>
      <c r="AJ90" s="448"/>
      <c r="AK90" s="448"/>
      <c r="AL90" s="448"/>
      <c r="AM90" s="448"/>
      <c r="AN90" s="448"/>
      <c r="AO90" s="448"/>
      <c r="AP90" s="448"/>
      <c r="AQ90" s="448"/>
      <c r="AR90" s="448"/>
      <c r="AS90" s="448"/>
      <c r="AT90" s="448"/>
      <c r="AU90" s="448"/>
      <c r="AV90" s="449"/>
    </row>
    <row r="91" spans="3:55">
      <c r="C91" s="448"/>
      <c r="D91" s="448"/>
      <c r="E91" s="448"/>
      <c r="F91" s="448"/>
      <c r="G91" s="448"/>
      <c r="H91" s="448"/>
      <c r="I91" s="448"/>
      <c r="J91" s="448"/>
      <c r="K91" s="448"/>
      <c r="L91" s="448"/>
      <c r="M91" s="448"/>
      <c r="N91" s="448"/>
      <c r="O91" s="448"/>
      <c r="P91" s="448"/>
      <c r="Q91" s="448"/>
      <c r="R91" s="448"/>
      <c r="S91" s="448"/>
      <c r="T91" s="448"/>
      <c r="U91" s="448"/>
      <c r="V91" s="448"/>
      <c r="W91" s="448"/>
      <c r="X91" s="448"/>
      <c r="Y91" s="448"/>
      <c r="Z91" s="448"/>
      <c r="AA91" s="448"/>
      <c r="AB91" s="448"/>
      <c r="AC91" s="448"/>
      <c r="AD91" s="448"/>
      <c r="AE91" s="448"/>
      <c r="AF91" s="448"/>
      <c r="AG91" s="448"/>
      <c r="AH91" s="448"/>
      <c r="AI91" s="448"/>
      <c r="AJ91" s="448"/>
      <c r="AK91" s="448"/>
      <c r="AL91" s="448"/>
      <c r="AM91" s="448"/>
      <c r="AN91" s="448"/>
      <c r="AO91" s="448"/>
      <c r="AP91" s="448"/>
      <c r="AQ91" s="448"/>
      <c r="AR91" s="448"/>
      <c r="AS91" s="448"/>
      <c r="AT91" s="448"/>
      <c r="AU91" s="448"/>
      <c r="AV91" s="449"/>
    </row>
    <row r="92" spans="3:55">
      <c r="C92" s="448"/>
      <c r="D92" s="448"/>
      <c r="E92" s="448"/>
      <c r="F92" s="448"/>
      <c r="G92" s="448"/>
      <c r="H92" s="448"/>
      <c r="I92" s="448"/>
      <c r="J92" s="448"/>
      <c r="K92" s="448"/>
      <c r="L92" s="448"/>
      <c r="M92" s="448"/>
      <c r="N92" s="448"/>
      <c r="O92" s="448"/>
      <c r="P92" s="448"/>
      <c r="Q92" s="448"/>
      <c r="R92" s="448"/>
      <c r="S92" s="448"/>
      <c r="T92" s="448"/>
      <c r="U92" s="448"/>
      <c r="V92" s="448"/>
      <c r="W92" s="448"/>
      <c r="X92" s="448"/>
      <c r="Y92" s="448"/>
      <c r="Z92" s="448"/>
      <c r="AA92" s="448"/>
      <c r="AB92" s="448"/>
      <c r="AC92" s="448"/>
      <c r="AD92" s="448"/>
      <c r="AE92" s="448"/>
      <c r="AF92" s="448"/>
      <c r="AG92" s="448"/>
      <c r="AH92" s="448"/>
      <c r="AI92" s="448"/>
      <c r="AJ92" s="448"/>
      <c r="AK92" s="448"/>
      <c r="AL92" s="448"/>
      <c r="AM92" s="448"/>
      <c r="AN92" s="448"/>
      <c r="AO92" s="448"/>
      <c r="AP92" s="448"/>
      <c r="AQ92" s="448"/>
      <c r="AR92" s="448"/>
      <c r="AS92" s="448"/>
      <c r="AT92" s="448"/>
      <c r="AU92" s="448"/>
      <c r="AV92" s="449"/>
    </row>
    <row r="93" spans="3:55">
      <c r="C93" s="448"/>
      <c r="D93" s="448"/>
      <c r="E93" s="448"/>
      <c r="F93" s="448"/>
      <c r="G93" s="448"/>
      <c r="H93" s="448"/>
      <c r="I93" s="448"/>
      <c r="J93" s="448"/>
      <c r="K93" s="448"/>
      <c r="L93" s="448"/>
      <c r="M93" s="448"/>
      <c r="N93" s="448"/>
      <c r="O93" s="448"/>
      <c r="P93" s="448"/>
      <c r="Q93" s="448"/>
      <c r="R93" s="448"/>
      <c r="S93" s="448"/>
      <c r="T93" s="448"/>
      <c r="U93" s="448"/>
      <c r="V93" s="448"/>
      <c r="W93" s="448"/>
      <c r="X93" s="448"/>
      <c r="Y93" s="448"/>
      <c r="Z93" s="448"/>
      <c r="AA93" s="448"/>
      <c r="AB93" s="448"/>
      <c r="AC93" s="448"/>
      <c r="AD93" s="448"/>
      <c r="AE93" s="448"/>
      <c r="AF93" s="448"/>
      <c r="AG93" s="448"/>
      <c r="AH93" s="448"/>
      <c r="AI93" s="448"/>
      <c r="AJ93" s="448"/>
      <c r="AK93" s="448"/>
      <c r="AL93" s="448"/>
      <c r="AM93" s="448"/>
      <c r="AN93" s="448"/>
      <c r="AO93" s="448"/>
      <c r="AP93" s="448"/>
      <c r="AQ93" s="448"/>
      <c r="AR93" s="448"/>
      <c r="AS93" s="448"/>
      <c r="AT93" s="448"/>
      <c r="AU93" s="448"/>
      <c r="AV93" s="449"/>
    </row>
    <row r="94" spans="3:55">
      <c r="C94" s="448"/>
      <c r="D94" s="448"/>
      <c r="E94" s="448"/>
      <c r="F94" s="448"/>
      <c r="G94" s="448"/>
      <c r="H94" s="448"/>
      <c r="I94" s="448"/>
      <c r="J94" s="448"/>
      <c r="K94" s="448"/>
      <c r="L94" s="448"/>
      <c r="M94" s="448"/>
      <c r="N94" s="448"/>
      <c r="O94" s="448"/>
      <c r="P94" s="448"/>
      <c r="Q94" s="448"/>
      <c r="R94" s="448"/>
      <c r="S94" s="448"/>
      <c r="T94" s="448"/>
      <c r="U94" s="448"/>
      <c r="V94" s="448"/>
      <c r="W94" s="448"/>
      <c r="X94" s="448"/>
      <c r="Y94" s="448"/>
      <c r="Z94" s="448"/>
      <c r="AA94" s="448"/>
      <c r="AB94" s="448"/>
      <c r="AC94" s="448"/>
      <c r="AD94" s="448"/>
      <c r="AE94" s="448"/>
      <c r="AF94" s="448"/>
      <c r="AG94" s="448"/>
      <c r="AH94" s="448"/>
      <c r="AI94" s="448"/>
      <c r="AJ94" s="448"/>
      <c r="AK94" s="448"/>
      <c r="AL94" s="448"/>
      <c r="AM94" s="448"/>
      <c r="AN94" s="448"/>
      <c r="AO94" s="448"/>
      <c r="AP94" s="448"/>
      <c r="AQ94" s="448"/>
      <c r="AR94" s="448"/>
      <c r="AS94" s="448"/>
      <c r="AT94" s="448"/>
      <c r="AU94" s="448"/>
      <c r="AV94" s="449"/>
    </row>
  </sheetData>
  <sheetProtection password="CACA" sheet="1" objects="1" scenarios="1"/>
  <mergeCells count="26"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</mergeCells>
  <conditionalFormatting sqref="C7">
    <cfRule type="cellIs" dxfId="103" priority="10" operator="notEqual">
      <formula>AV7</formula>
    </cfRule>
  </conditionalFormatting>
  <conditionalFormatting sqref="C31">
    <cfRule type="cellIs" dxfId="102" priority="9" operator="notEqual">
      <formula>AV31</formula>
    </cfRule>
  </conditionalFormatting>
  <conditionalFormatting sqref="C53">
    <cfRule type="cellIs" dxfId="101" priority="8" operator="notEqual">
      <formula>AV53</formula>
    </cfRule>
  </conditionalFormatting>
  <conditionalFormatting sqref="D53">
    <cfRule type="cellIs" dxfId="100" priority="68" operator="notEqual">
      <formula>$D$71</formula>
    </cfRule>
  </conditionalFormatting>
  <conditionalFormatting sqref="E53">
    <cfRule type="cellIs" dxfId="99" priority="67" operator="notEqual">
      <formula>$E$71</formula>
    </cfRule>
  </conditionalFormatting>
  <conditionalFormatting sqref="F53">
    <cfRule type="cellIs" dxfId="98" priority="69" operator="notEqual">
      <formula>$F$71</formula>
    </cfRule>
  </conditionalFormatting>
  <conditionalFormatting sqref="G53">
    <cfRule type="cellIs" dxfId="97" priority="66" operator="notEqual">
      <formula>$G$71</formula>
    </cfRule>
  </conditionalFormatting>
  <conditionalFormatting sqref="O53">
    <cfRule type="cellIs" dxfId="96" priority="70" operator="notEqual">
      <formula>$O$71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 xr:uid="{00000000-0002-0000-0700-000000000000}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73 AT83:AU83 AU82 AT80:AU80 AR79:AU79 AR75:AU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">
    <pageSetUpPr fitToPage="1"/>
  </sheetPr>
  <dimension ref="A1:AA131"/>
  <sheetViews>
    <sheetView view="pageBreakPreview" zoomScale="70" zoomScaleNormal="40" zoomScaleSheetLayoutView="70" workbookViewId="0">
      <selection activeCell="I9" sqref="I9:X40"/>
    </sheetView>
  </sheetViews>
  <sheetFormatPr defaultRowHeight="12.75"/>
  <cols>
    <col min="1" max="1" width="5.140625" style="28" customWidth="1"/>
    <col min="2" max="2" width="43.42578125" style="28" customWidth="1"/>
    <col min="3" max="3" width="14.140625" style="28" customWidth="1"/>
    <col min="4" max="6" width="10.140625" style="28" customWidth="1"/>
    <col min="7" max="7" width="17.28515625" style="28" customWidth="1"/>
    <col min="8" max="8" width="14.28515625" style="28" customWidth="1"/>
    <col min="9" max="10" width="17.28515625" style="28" customWidth="1"/>
    <col min="11" max="19" width="13.85546875" style="28" customWidth="1"/>
    <col min="20" max="20" width="8.28515625" style="28" customWidth="1"/>
    <col min="21" max="21" width="8.140625" style="28" customWidth="1"/>
    <col min="22" max="22" width="17.28515625" style="28" customWidth="1"/>
    <col min="23" max="23" width="9.85546875" style="28" customWidth="1"/>
    <col min="24" max="24" width="15.140625" style="28" customWidth="1"/>
    <col min="25" max="25" width="13.28515625" style="28" customWidth="1"/>
    <col min="26" max="26" width="14.7109375" style="28" customWidth="1"/>
    <col min="27" max="27" width="26.140625" style="302" customWidth="1"/>
    <col min="28" max="16384" width="9.140625" style="28"/>
  </cols>
  <sheetData>
    <row r="1" spans="1:27" ht="20.25">
      <c r="A1" s="701" t="s">
        <v>422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1"/>
      <c r="W1" s="701"/>
      <c r="Y1" s="292" t="s">
        <v>423</v>
      </c>
    </row>
    <row r="2" spans="1:27">
      <c r="A2" s="220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Q2" s="194"/>
      <c r="R2" s="194"/>
      <c r="S2" s="194"/>
      <c r="T2" s="194"/>
    </row>
    <row r="3" spans="1:27" ht="15.75">
      <c r="A3" s="196"/>
      <c r="B3" s="80" t="str">
        <f>+'Asset quality'!B3</f>
        <v>"Ўзсаноатқурилишбанк" АТБ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705"/>
      <c r="O3" s="705"/>
      <c r="P3" s="705"/>
      <c r="Q3" s="196"/>
      <c r="R3" s="196"/>
      <c r="T3" s="194"/>
      <c r="U3" s="690">
        <f>+'Asset quality'!Q3</f>
        <v>46021</v>
      </c>
      <c r="V3" s="690"/>
      <c r="W3" s="234"/>
      <c r="Y3" s="700" t="str">
        <f>+'Asset quality'!T3</f>
        <v>минг. сўмда</v>
      </c>
      <c r="Z3" s="700"/>
    </row>
    <row r="4" spans="1:27" ht="27.75" customHeight="1">
      <c r="A4" s="702" t="s">
        <v>61</v>
      </c>
      <c r="B4" s="702" t="s">
        <v>424</v>
      </c>
      <c r="C4" s="691" t="s">
        <v>425</v>
      </c>
      <c r="D4" s="691" t="s">
        <v>426</v>
      </c>
      <c r="E4" s="691" t="s">
        <v>427</v>
      </c>
      <c r="F4" s="691" t="s">
        <v>428</v>
      </c>
      <c r="G4" s="691" t="s">
        <v>429</v>
      </c>
      <c r="H4" s="694" t="s">
        <v>332</v>
      </c>
      <c r="I4" s="695"/>
      <c r="J4" s="695"/>
      <c r="K4" s="695"/>
      <c r="L4" s="695"/>
      <c r="M4" s="695"/>
      <c r="N4" s="695"/>
      <c r="O4" s="695"/>
      <c r="P4" s="695"/>
      <c r="Q4" s="695"/>
      <c r="R4" s="695"/>
      <c r="S4" s="696"/>
      <c r="T4" s="691" t="s">
        <v>430</v>
      </c>
      <c r="U4" s="708" t="s">
        <v>431</v>
      </c>
      <c r="V4" s="709"/>
      <c r="W4" s="691" t="s">
        <v>432</v>
      </c>
      <c r="X4" s="691" t="s">
        <v>433</v>
      </c>
      <c r="Y4" s="691" t="s">
        <v>434</v>
      </c>
      <c r="Z4" s="691" t="s">
        <v>435</v>
      </c>
    </row>
    <row r="5" spans="1:27" ht="27.75" customHeight="1">
      <c r="A5" s="703"/>
      <c r="B5" s="703"/>
      <c r="C5" s="692"/>
      <c r="D5" s="692"/>
      <c r="E5" s="692"/>
      <c r="F5" s="692"/>
      <c r="G5" s="692"/>
      <c r="H5" s="694" t="s">
        <v>436</v>
      </c>
      <c r="I5" s="695"/>
      <c r="J5" s="695"/>
      <c r="K5" s="696"/>
      <c r="L5" s="694" t="s">
        <v>437</v>
      </c>
      <c r="M5" s="695"/>
      <c r="N5" s="695"/>
      <c r="O5" s="695"/>
      <c r="P5" s="695"/>
      <c r="Q5" s="695"/>
      <c r="R5" s="695"/>
      <c r="S5" s="696"/>
      <c r="T5" s="692"/>
      <c r="U5" s="710"/>
      <c r="V5" s="711"/>
      <c r="W5" s="692"/>
      <c r="X5" s="692"/>
      <c r="Y5" s="692"/>
      <c r="Z5" s="692"/>
    </row>
    <row r="6" spans="1:27" ht="108.75" customHeight="1">
      <c r="A6" s="703"/>
      <c r="B6" s="703"/>
      <c r="C6" s="692"/>
      <c r="D6" s="692"/>
      <c r="E6" s="692"/>
      <c r="F6" s="692"/>
      <c r="G6" s="692"/>
      <c r="H6" s="691" t="s">
        <v>438</v>
      </c>
      <c r="I6" s="691" t="s">
        <v>439</v>
      </c>
      <c r="J6" s="691" t="s">
        <v>440</v>
      </c>
      <c r="K6" s="691" t="s">
        <v>441</v>
      </c>
      <c r="L6" s="697" t="s">
        <v>442</v>
      </c>
      <c r="M6" s="698"/>
      <c r="N6" s="697" t="s">
        <v>443</v>
      </c>
      <c r="O6" s="698"/>
      <c r="P6" s="697" t="s">
        <v>444</v>
      </c>
      <c r="Q6" s="698"/>
      <c r="R6" s="697" t="s">
        <v>445</v>
      </c>
      <c r="S6" s="698"/>
      <c r="T6" s="692"/>
      <c r="U6" s="691" t="s">
        <v>446</v>
      </c>
      <c r="V6" s="691" t="s">
        <v>163</v>
      </c>
      <c r="W6" s="692"/>
      <c r="X6" s="692"/>
      <c r="Y6" s="692"/>
      <c r="Z6" s="692"/>
    </row>
    <row r="7" spans="1:27" ht="41.25" customHeight="1">
      <c r="A7" s="704"/>
      <c r="B7" s="704"/>
      <c r="C7" s="693"/>
      <c r="D7" s="693"/>
      <c r="E7" s="693"/>
      <c r="F7" s="693"/>
      <c r="G7" s="693"/>
      <c r="H7" s="693"/>
      <c r="I7" s="693"/>
      <c r="J7" s="693"/>
      <c r="K7" s="693"/>
      <c r="L7" s="303" t="s">
        <v>447</v>
      </c>
      <c r="M7" s="303" t="s">
        <v>448</v>
      </c>
      <c r="N7" s="303" t="s">
        <v>447</v>
      </c>
      <c r="O7" s="303" t="s">
        <v>448</v>
      </c>
      <c r="P7" s="303" t="s">
        <v>447</v>
      </c>
      <c r="Q7" s="303" t="s">
        <v>448</v>
      </c>
      <c r="R7" s="303" t="s">
        <v>447</v>
      </c>
      <c r="S7" s="303" t="s">
        <v>448</v>
      </c>
      <c r="T7" s="693"/>
      <c r="U7" s="693"/>
      <c r="V7" s="693"/>
      <c r="W7" s="693"/>
      <c r="X7" s="693"/>
      <c r="Y7" s="693"/>
      <c r="Z7" s="693"/>
    </row>
    <row r="8" spans="1:27" s="219" customFormat="1" ht="15">
      <c r="A8" s="209"/>
      <c r="B8" s="209" t="s">
        <v>78</v>
      </c>
      <c r="C8" s="209" t="s">
        <v>79</v>
      </c>
      <c r="D8" s="209" t="s">
        <v>89</v>
      </c>
      <c r="E8" s="209" t="s">
        <v>80</v>
      </c>
      <c r="F8" s="209" t="s">
        <v>81</v>
      </c>
      <c r="G8" s="209" t="s">
        <v>90</v>
      </c>
      <c r="H8" s="209" t="s">
        <v>226</v>
      </c>
      <c r="I8" s="209" t="s">
        <v>225</v>
      </c>
      <c r="J8" s="209" t="s">
        <v>224</v>
      </c>
      <c r="K8" s="209" t="s">
        <v>223</v>
      </c>
      <c r="L8" s="706" t="s">
        <v>222</v>
      </c>
      <c r="M8" s="707"/>
      <c r="N8" s="706" t="s">
        <v>221</v>
      </c>
      <c r="O8" s="707"/>
      <c r="P8" s="706" t="s">
        <v>220</v>
      </c>
      <c r="Q8" s="707"/>
      <c r="R8" s="706" t="s">
        <v>219</v>
      </c>
      <c r="S8" s="707"/>
      <c r="T8" s="209" t="s">
        <v>82</v>
      </c>
      <c r="U8" s="209" t="s">
        <v>83</v>
      </c>
      <c r="V8" s="209" t="s">
        <v>84</v>
      </c>
      <c r="W8" s="209" t="s">
        <v>85</v>
      </c>
      <c r="X8" s="209" t="s">
        <v>86</v>
      </c>
      <c r="Y8" s="209" t="s">
        <v>87</v>
      </c>
      <c r="Z8" s="209" t="s">
        <v>88</v>
      </c>
      <c r="AA8" s="305"/>
    </row>
    <row r="9" spans="1:27" s="212" customFormat="1">
      <c r="A9" s="426">
        <v>1</v>
      </c>
      <c r="B9" s="427" t="s">
        <v>989</v>
      </c>
      <c r="C9" s="428">
        <v>305678140</v>
      </c>
      <c r="D9" s="428" t="s">
        <v>990</v>
      </c>
      <c r="E9" s="429" t="s">
        <v>859</v>
      </c>
      <c r="F9" s="429">
        <v>1</v>
      </c>
      <c r="G9" s="211">
        <f t="shared" ref="G9:G40" si="0">+H9+I9+J9+K9+M9+O9+Q9+S9</f>
        <v>1025588936</v>
      </c>
      <c r="H9" s="280"/>
      <c r="I9" s="280">
        <v>0</v>
      </c>
      <c r="J9" s="280">
        <v>1025413037</v>
      </c>
      <c r="K9" s="280">
        <v>175899</v>
      </c>
      <c r="L9" s="280">
        <v>0</v>
      </c>
      <c r="M9" s="280">
        <v>0</v>
      </c>
      <c r="N9" s="280">
        <v>0</v>
      </c>
      <c r="O9" s="280">
        <v>0</v>
      </c>
      <c r="P9" s="280">
        <v>0</v>
      </c>
      <c r="Q9" s="428">
        <v>0</v>
      </c>
      <c r="R9" s="428">
        <v>0</v>
      </c>
      <c r="S9" s="216">
        <v>0</v>
      </c>
      <c r="T9" s="428">
        <v>0</v>
      </c>
      <c r="U9" s="428">
        <v>0</v>
      </c>
      <c r="V9" s="428">
        <v>0</v>
      </c>
      <c r="W9" s="306">
        <v>1</v>
      </c>
      <c r="X9" s="428">
        <v>0</v>
      </c>
      <c r="Y9" s="428"/>
      <c r="Z9" s="430">
        <f t="shared" ref="Z9:Z40" si="1">+G9-V9-X9</f>
        <v>1025588936</v>
      </c>
      <c r="AA9" s="307">
        <f t="shared" ref="AA9:AA72" si="2">SUMIF($F$9:$F$88,$F9,$Z$9:$Z$88)</f>
        <v>1025588936</v>
      </c>
    </row>
    <row r="10" spans="1:27" s="212" customFormat="1">
      <c r="A10" s="14">
        <v>2</v>
      </c>
      <c r="B10" s="214" t="s">
        <v>991</v>
      </c>
      <c r="C10" s="216">
        <v>312043730</v>
      </c>
      <c r="D10" s="216"/>
      <c r="E10" s="215" t="s">
        <v>859</v>
      </c>
      <c r="F10" s="215">
        <v>2</v>
      </c>
      <c r="G10" s="211">
        <f t="shared" si="0"/>
        <v>346157660</v>
      </c>
      <c r="H10" s="17"/>
      <c r="I10" s="17">
        <v>319798798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52717725</v>
      </c>
      <c r="Q10" s="216">
        <v>26358862</v>
      </c>
      <c r="R10" s="216">
        <v>0</v>
      </c>
      <c r="S10" s="216">
        <v>0</v>
      </c>
      <c r="T10" s="216">
        <v>0</v>
      </c>
      <c r="U10" s="216">
        <v>0</v>
      </c>
      <c r="V10" s="216">
        <v>0</v>
      </c>
      <c r="W10" s="306">
        <v>2</v>
      </c>
      <c r="X10" s="216">
        <v>0</v>
      </c>
      <c r="Y10" s="216"/>
      <c r="Z10" s="213">
        <f t="shared" si="1"/>
        <v>346157660</v>
      </c>
      <c r="AA10" s="307">
        <f t="shared" si="2"/>
        <v>346157660</v>
      </c>
    </row>
    <row r="11" spans="1:27" s="212" customFormat="1">
      <c r="A11" s="14">
        <v>3</v>
      </c>
      <c r="B11" s="214" t="s">
        <v>992</v>
      </c>
      <c r="C11" s="216">
        <v>311702092</v>
      </c>
      <c r="D11" s="216"/>
      <c r="E11" s="215" t="s">
        <v>859</v>
      </c>
      <c r="F11" s="215">
        <v>3</v>
      </c>
      <c r="G11" s="211">
        <f t="shared" si="0"/>
        <v>160800101</v>
      </c>
      <c r="H11" s="17"/>
      <c r="I11" s="17">
        <v>129220612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63158978</v>
      </c>
      <c r="Q11" s="216">
        <v>31579489</v>
      </c>
      <c r="R11" s="216">
        <v>0</v>
      </c>
      <c r="S11" s="216">
        <v>0</v>
      </c>
      <c r="T11" s="214">
        <v>0</v>
      </c>
      <c r="U11" s="216">
        <v>0</v>
      </c>
      <c r="V11" s="216">
        <v>0</v>
      </c>
      <c r="W11" s="306">
        <v>3</v>
      </c>
      <c r="X11" s="216">
        <v>0</v>
      </c>
      <c r="Y11" s="214"/>
      <c r="Z11" s="213">
        <f t="shared" si="1"/>
        <v>160800101</v>
      </c>
      <c r="AA11" s="307">
        <f t="shared" si="2"/>
        <v>160800101</v>
      </c>
    </row>
    <row r="12" spans="1:27" s="212" customFormat="1">
      <c r="A12" s="14">
        <v>4</v>
      </c>
      <c r="B12" s="214" t="s">
        <v>993</v>
      </c>
      <c r="C12" s="216">
        <v>311974325</v>
      </c>
      <c r="D12" s="216"/>
      <c r="E12" s="215" t="s">
        <v>859</v>
      </c>
      <c r="F12" s="215">
        <v>4</v>
      </c>
      <c r="G12" s="211">
        <f t="shared" si="0"/>
        <v>12578210</v>
      </c>
      <c r="H12" s="17"/>
      <c r="I12" s="17">
        <v>0</v>
      </c>
      <c r="J12" s="17">
        <v>12578210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216">
        <v>0</v>
      </c>
      <c r="R12" s="216">
        <v>0</v>
      </c>
      <c r="S12" s="216">
        <v>0</v>
      </c>
      <c r="T12" s="214">
        <v>0</v>
      </c>
      <c r="U12" s="216">
        <v>0</v>
      </c>
      <c r="V12" s="216">
        <v>0</v>
      </c>
      <c r="W12" s="306">
        <v>4</v>
      </c>
      <c r="X12" s="216">
        <v>0</v>
      </c>
      <c r="Y12" s="214"/>
      <c r="Z12" s="213">
        <f t="shared" si="1"/>
        <v>12578210</v>
      </c>
      <c r="AA12" s="307">
        <f t="shared" si="2"/>
        <v>12578210</v>
      </c>
    </row>
    <row r="13" spans="1:27" s="212" customFormat="1">
      <c r="A13" s="14">
        <v>5</v>
      </c>
      <c r="B13" s="214" t="s">
        <v>994</v>
      </c>
      <c r="C13" s="216">
        <v>311935942</v>
      </c>
      <c r="D13" s="216"/>
      <c r="E13" s="215" t="s">
        <v>859</v>
      </c>
      <c r="F13" s="215">
        <v>5</v>
      </c>
      <c r="G13" s="211">
        <f t="shared" si="0"/>
        <v>12578210</v>
      </c>
      <c r="H13" s="214"/>
      <c r="I13" s="214">
        <v>0</v>
      </c>
      <c r="J13" s="214">
        <v>12578210</v>
      </c>
      <c r="K13" s="17">
        <v>0</v>
      </c>
      <c r="L13" s="214">
        <v>0</v>
      </c>
      <c r="M13" s="17">
        <v>0</v>
      </c>
      <c r="N13" s="17">
        <v>0</v>
      </c>
      <c r="O13" s="17">
        <v>0</v>
      </c>
      <c r="P13" s="17">
        <v>0</v>
      </c>
      <c r="Q13" s="216">
        <v>0</v>
      </c>
      <c r="R13" s="216">
        <v>0</v>
      </c>
      <c r="S13" s="216">
        <v>0</v>
      </c>
      <c r="T13" s="214">
        <v>0</v>
      </c>
      <c r="U13" s="216">
        <v>0</v>
      </c>
      <c r="V13" s="216">
        <v>0</v>
      </c>
      <c r="W13" s="306">
        <v>5</v>
      </c>
      <c r="X13" s="216">
        <v>0</v>
      </c>
      <c r="Y13" s="214"/>
      <c r="Z13" s="213">
        <f t="shared" si="1"/>
        <v>12578210</v>
      </c>
      <c r="AA13" s="307">
        <f t="shared" si="2"/>
        <v>12578210</v>
      </c>
    </row>
    <row r="14" spans="1:27" s="212" customFormat="1">
      <c r="A14" s="14">
        <v>6</v>
      </c>
      <c r="B14" s="214" t="s">
        <v>995</v>
      </c>
      <c r="C14" s="216">
        <v>305880294</v>
      </c>
      <c r="D14" s="216" t="s">
        <v>996</v>
      </c>
      <c r="E14" s="215" t="s">
        <v>859</v>
      </c>
      <c r="F14" s="215">
        <v>6</v>
      </c>
      <c r="G14" s="211">
        <f t="shared" si="0"/>
        <v>84941123</v>
      </c>
      <c r="H14" s="17"/>
      <c r="I14" s="17">
        <v>0</v>
      </c>
      <c r="J14" s="17">
        <v>84936600</v>
      </c>
      <c r="K14" s="17">
        <v>4523</v>
      </c>
      <c r="L14" s="17">
        <v>0</v>
      </c>
      <c r="M14" s="214">
        <v>0</v>
      </c>
      <c r="N14" s="17">
        <v>0</v>
      </c>
      <c r="O14" s="17">
        <v>0</v>
      </c>
      <c r="P14" s="17">
        <v>0</v>
      </c>
      <c r="Q14" s="17">
        <v>0</v>
      </c>
      <c r="R14" s="214">
        <v>0</v>
      </c>
      <c r="S14" s="216">
        <v>0</v>
      </c>
      <c r="T14" s="216">
        <v>0</v>
      </c>
      <c r="U14" s="17">
        <v>0</v>
      </c>
      <c r="V14" s="216">
        <v>0</v>
      </c>
      <c r="W14" s="306">
        <v>1</v>
      </c>
      <c r="X14" s="216">
        <v>0</v>
      </c>
      <c r="Y14" s="216"/>
      <c r="Z14" s="213">
        <f t="shared" si="1"/>
        <v>84941123</v>
      </c>
      <c r="AA14" s="307">
        <f t="shared" si="2"/>
        <v>84941123</v>
      </c>
    </row>
    <row r="15" spans="1:27" s="212" customFormat="1">
      <c r="A15" s="14">
        <v>7</v>
      </c>
      <c r="B15" s="214" t="s">
        <v>997</v>
      </c>
      <c r="C15" s="216">
        <v>311309288</v>
      </c>
      <c r="D15" s="216">
        <v>68202</v>
      </c>
      <c r="E15" s="215" t="s">
        <v>859</v>
      </c>
      <c r="F15" s="215">
        <v>7</v>
      </c>
      <c r="G15" s="211">
        <f t="shared" si="0"/>
        <v>8720869</v>
      </c>
      <c r="H15" s="17"/>
      <c r="I15" s="17">
        <v>0</v>
      </c>
      <c r="J15" s="17">
        <v>2000000</v>
      </c>
      <c r="K15" s="17">
        <v>6720869</v>
      </c>
      <c r="L15" s="17">
        <v>0</v>
      </c>
      <c r="M15" s="214">
        <v>0</v>
      </c>
      <c r="N15" s="17">
        <v>0</v>
      </c>
      <c r="O15" s="17">
        <v>0</v>
      </c>
      <c r="P15" s="17">
        <v>0</v>
      </c>
      <c r="Q15" s="17">
        <v>0</v>
      </c>
      <c r="R15" s="214">
        <v>0</v>
      </c>
      <c r="S15" s="216">
        <v>0</v>
      </c>
      <c r="T15" s="216">
        <v>0</v>
      </c>
      <c r="U15" s="17">
        <v>0</v>
      </c>
      <c r="V15" s="216">
        <v>0</v>
      </c>
      <c r="W15" s="306">
        <v>1</v>
      </c>
      <c r="X15" s="216">
        <v>0</v>
      </c>
      <c r="Y15" s="216"/>
      <c r="Z15" s="213">
        <f t="shared" si="1"/>
        <v>8720869</v>
      </c>
      <c r="AA15" s="307">
        <f t="shared" si="2"/>
        <v>8720869</v>
      </c>
    </row>
    <row r="16" spans="1:27" s="212" customFormat="1">
      <c r="A16" s="14">
        <v>8</v>
      </c>
      <c r="B16" s="214" t="s">
        <v>949</v>
      </c>
      <c r="C16" s="216" t="s">
        <v>954</v>
      </c>
      <c r="D16" s="216">
        <v>0</v>
      </c>
      <c r="E16" s="215" t="s">
        <v>859</v>
      </c>
      <c r="F16" s="215">
        <v>8</v>
      </c>
      <c r="G16" s="211">
        <f t="shared" si="0"/>
        <v>445291</v>
      </c>
      <c r="H16" s="17"/>
      <c r="I16" s="217">
        <v>62676</v>
      </c>
      <c r="J16" s="17">
        <v>0</v>
      </c>
      <c r="K16" s="17">
        <v>358609</v>
      </c>
      <c r="L16" s="17">
        <v>0</v>
      </c>
      <c r="M16" s="214">
        <v>0</v>
      </c>
      <c r="N16" s="17">
        <v>0</v>
      </c>
      <c r="O16" s="17">
        <v>0</v>
      </c>
      <c r="P16" s="17">
        <v>48012</v>
      </c>
      <c r="Q16" s="17">
        <v>24006</v>
      </c>
      <c r="R16" s="214">
        <v>0</v>
      </c>
      <c r="S16" s="216">
        <v>0</v>
      </c>
      <c r="T16" s="216">
        <v>0</v>
      </c>
      <c r="U16" s="17">
        <v>0</v>
      </c>
      <c r="V16" s="216">
        <v>0</v>
      </c>
      <c r="W16" s="306">
        <v>1</v>
      </c>
      <c r="X16" s="216">
        <v>0</v>
      </c>
      <c r="Y16" s="216"/>
      <c r="Z16" s="213">
        <f t="shared" si="1"/>
        <v>445291</v>
      </c>
      <c r="AA16" s="307">
        <f t="shared" si="2"/>
        <v>445291</v>
      </c>
    </row>
    <row r="17" spans="1:27" s="212" customFormat="1">
      <c r="A17" s="14">
        <v>9</v>
      </c>
      <c r="B17" s="214" t="s">
        <v>955</v>
      </c>
      <c r="C17" s="216" t="s">
        <v>956</v>
      </c>
      <c r="D17" s="216"/>
      <c r="E17" s="215" t="s">
        <v>859</v>
      </c>
      <c r="F17" s="215">
        <v>9</v>
      </c>
      <c r="G17" s="211">
        <f t="shared" si="0"/>
        <v>279899</v>
      </c>
      <c r="H17" s="17"/>
      <c r="I17" s="217">
        <v>0</v>
      </c>
      <c r="J17" s="17">
        <v>0</v>
      </c>
      <c r="K17" s="17">
        <v>269899</v>
      </c>
      <c r="L17" s="17">
        <v>0</v>
      </c>
      <c r="M17" s="214">
        <v>0</v>
      </c>
      <c r="N17" s="17">
        <v>0</v>
      </c>
      <c r="O17" s="17">
        <v>0</v>
      </c>
      <c r="P17" s="17">
        <v>50000</v>
      </c>
      <c r="Q17" s="17">
        <v>10000</v>
      </c>
      <c r="R17" s="214">
        <v>0</v>
      </c>
      <c r="S17" s="216">
        <v>0</v>
      </c>
      <c r="T17" s="216">
        <v>0</v>
      </c>
      <c r="U17" s="17">
        <v>0</v>
      </c>
      <c r="V17" s="216">
        <v>0</v>
      </c>
      <c r="W17" s="306">
        <v>1</v>
      </c>
      <c r="X17" s="216">
        <v>0</v>
      </c>
      <c r="Y17" s="216"/>
      <c r="Z17" s="213">
        <f t="shared" si="1"/>
        <v>279899</v>
      </c>
      <c r="AA17" s="307">
        <f t="shared" si="2"/>
        <v>279899</v>
      </c>
    </row>
    <row r="18" spans="1:27" s="212" customFormat="1">
      <c r="A18" s="14">
        <v>10</v>
      </c>
      <c r="B18" s="214" t="s">
        <v>931</v>
      </c>
      <c r="C18" s="216" t="s">
        <v>958</v>
      </c>
      <c r="D18" s="214"/>
      <c r="E18" s="215" t="s">
        <v>859</v>
      </c>
      <c r="F18" s="215">
        <v>10</v>
      </c>
      <c r="G18" s="211">
        <f t="shared" si="0"/>
        <v>6331</v>
      </c>
      <c r="H18" s="17"/>
      <c r="I18" s="17">
        <v>2661</v>
      </c>
      <c r="J18" s="17">
        <v>0</v>
      </c>
      <c r="K18" s="17">
        <v>0</v>
      </c>
      <c r="L18" s="17">
        <v>0</v>
      </c>
      <c r="M18" s="214">
        <v>0</v>
      </c>
      <c r="N18" s="17">
        <v>0</v>
      </c>
      <c r="O18" s="17">
        <v>0</v>
      </c>
      <c r="P18" s="17">
        <v>7339</v>
      </c>
      <c r="Q18" s="17">
        <v>3670</v>
      </c>
      <c r="R18" s="214">
        <v>0</v>
      </c>
      <c r="S18" s="216">
        <v>0</v>
      </c>
      <c r="T18" s="216">
        <v>0</v>
      </c>
      <c r="U18" s="216">
        <v>0</v>
      </c>
      <c r="V18" s="216">
        <v>0</v>
      </c>
      <c r="W18" s="306">
        <v>1</v>
      </c>
      <c r="X18" s="216">
        <v>0</v>
      </c>
      <c r="Y18" s="216"/>
      <c r="Z18" s="213">
        <f t="shared" si="1"/>
        <v>6331</v>
      </c>
      <c r="AA18" s="307">
        <f t="shared" si="2"/>
        <v>6331</v>
      </c>
    </row>
    <row r="19" spans="1:27" s="212" customFormat="1">
      <c r="A19" s="14">
        <v>11</v>
      </c>
      <c r="B19" s="214" t="s">
        <v>998</v>
      </c>
      <c r="C19" s="216" t="s">
        <v>999</v>
      </c>
      <c r="D19" s="214"/>
      <c r="E19" s="215" t="s">
        <v>859</v>
      </c>
      <c r="F19" s="215">
        <v>11</v>
      </c>
      <c r="G19" s="211">
        <f t="shared" si="0"/>
        <v>47500</v>
      </c>
      <c r="H19" s="17"/>
      <c r="I19" s="217">
        <v>0</v>
      </c>
      <c r="J19" s="17">
        <v>0</v>
      </c>
      <c r="K19" s="17">
        <v>0</v>
      </c>
      <c r="L19" s="17">
        <v>0</v>
      </c>
      <c r="M19" s="214">
        <v>0</v>
      </c>
      <c r="N19" s="17">
        <v>0</v>
      </c>
      <c r="O19" s="17">
        <v>0</v>
      </c>
      <c r="P19" s="17">
        <v>95000</v>
      </c>
      <c r="Q19" s="17">
        <v>47500</v>
      </c>
      <c r="R19" s="214">
        <v>0</v>
      </c>
      <c r="S19" s="216">
        <v>0</v>
      </c>
      <c r="T19" s="216">
        <v>0</v>
      </c>
      <c r="U19" s="216">
        <v>0</v>
      </c>
      <c r="V19" s="216">
        <v>0</v>
      </c>
      <c r="W19" s="306">
        <v>1</v>
      </c>
      <c r="X19" s="216">
        <v>0</v>
      </c>
      <c r="Y19" s="216"/>
      <c r="Z19" s="213">
        <f t="shared" si="1"/>
        <v>47500</v>
      </c>
      <c r="AA19" s="307">
        <f t="shared" si="2"/>
        <v>47500</v>
      </c>
    </row>
    <row r="20" spans="1:27" s="212" customFormat="1">
      <c r="A20" s="14">
        <v>12</v>
      </c>
      <c r="B20" s="214" t="s">
        <v>962</v>
      </c>
      <c r="C20" s="216" t="s">
        <v>930</v>
      </c>
      <c r="D20" s="214"/>
      <c r="E20" s="215" t="s">
        <v>859</v>
      </c>
      <c r="F20" s="215">
        <v>12</v>
      </c>
      <c r="G20" s="211">
        <f t="shared" si="0"/>
        <v>20000</v>
      </c>
      <c r="H20" s="17"/>
      <c r="I20" s="217">
        <v>0</v>
      </c>
      <c r="J20" s="17">
        <v>0</v>
      </c>
      <c r="K20" s="17">
        <v>0</v>
      </c>
      <c r="L20" s="17">
        <v>0</v>
      </c>
      <c r="M20" s="214">
        <v>0</v>
      </c>
      <c r="N20" s="17">
        <v>0</v>
      </c>
      <c r="O20" s="17">
        <v>0</v>
      </c>
      <c r="P20" s="17">
        <v>100000</v>
      </c>
      <c r="Q20" s="17">
        <v>20000</v>
      </c>
      <c r="R20" s="214">
        <v>0</v>
      </c>
      <c r="S20" s="216">
        <v>0</v>
      </c>
      <c r="T20" s="216">
        <v>0</v>
      </c>
      <c r="U20" s="216">
        <v>0</v>
      </c>
      <c r="V20" s="216">
        <v>0</v>
      </c>
      <c r="W20" s="306">
        <v>1</v>
      </c>
      <c r="X20" s="216">
        <v>0</v>
      </c>
      <c r="Y20" s="216"/>
      <c r="Z20" s="213">
        <f t="shared" si="1"/>
        <v>20000</v>
      </c>
      <c r="AA20" s="307">
        <f t="shared" si="2"/>
        <v>20000</v>
      </c>
    </row>
    <row r="21" spans="1:27" s="212" customFormat="1">
      <c r="A21" s="14">
        <v>13</v>
      </c>
      <c r="B21" s="214" t="s">
        <v>973</v>
      </c>
      <c r="C21" s="216" t="s">
        <v>959</v>
      </c>
      <c r="D21" s="214"/>
      <c r="E21" s="215" t="s">
        <v>859</v>
      </c>
      <c r="F21" s="215">
        <v>13</v>
      </c>
      <c r="G21" s="211">
        <f t="shared" si="0"/>
        <v>50038</v>
      </c>
      <c r="H21" s="17"/>
      <c r="I21" s="217">
        <v>0</v>
      </c>
      <c r="J21" s="17">
        <v>0</v>
      </c>
      <c r="K21" s="17">
        <v>0</v>
      </c>
      <c r="L21" s="17">
        <v>0</v>
      </c>
      <c r="M21" s="214">
        <v>0</v>
      </c>
      <c r="N21" s="17">
        <v>0</v>
      </c>
      <c r="O21" s="17">
        <v>0</v>
      </c>
      <c r="P21" s="17">
        <v>100075</v>
      </c>
      <c r="Q21" s="17">
        <v>50038</v>
      </c>
      <c r="R21" s="214">
        <v>0</v>
      </c>
      <c r="S21" s="216">
        <v>0</v>
      </c>
      <c r="T21" s="216">
        <v>0</v>
      </c>
      <c r="U21" s="216">
        <v>0</v>
      </c>
      <c r="V21" s="216">
        <v>0</v>
      </c>
      <c r="W21" s="306">
        <v>1</v>
      </c>
      <c r="X21" s="216">
        <v>0</v>
      </c>
      <c r="Y21" s="216"/>
      <c r="Z21" s="213">
        <f t="shared" si="1"/>
        <v>50038</v>
      </c>
      <c r="AA21" s="307">
        <f t="shared" si="2"/>
        <v>50038</v>
      </c>
    </row>
    <row r="22" spans="1:27" s="212" customFormat="1">
      <c r="A22" s="14">
        <v>14</v>
      </c>
      <c r="B22" s="214" t="s">
        <v>974</v>
      </c>
      <c r="C22" s="216" t="s">
        <v>960</v>
      </c>
      <c r="D22" s="214"/>
      <c r="E22" s="215" t="s">
        <v>859</v>
      </c>
      <c r="F22" s="215">
        <v>14</v>
      </c>
      <c r="G22" s="211">
        <f t="shared" si="0"/>
        <v>55582</v>
      </c>
      <c r="H22" s="214"/>
      <c r="I22" s="214">
        <v>11164</v>
      </c>
      <c r="J22" s="214">
        <v>0</v>
      </c>
      <c r="K22" s="214">
        <v>0</v>
      </c>
      <c r="L22" s="214">
        <v>0</v>
      </c>
      <c r="M22" s="214">
        <v>0</v>
      </c>
      <c r="N22" s="17">
        <v>0</v>
      </c>
      <c r="O22" s="17">
        <v>0</v>
      </c>
      <c r="P22" s="17">
        <v>88836</v>
      </c>
      <c r="Q22" s="17">
        <v>44418</v>
      </c>
      <c r="R22" s="214">
        <v>0</v>
      </c>
      <c r="S22" s="216">
        <v>0</v>
      </c>
      <c r="T22" s="216">
        <v>0</v>
      </c>
      <c r="U22" s="216">
        <v>0</v>
      </c>
      <c r="V22" s="216">
        <v>0</v>
      </c>
      <c r="W22" s="306">
        <v>1</v>
      </c>
      <c r="X22" s="216">
        <v>0</v>
      </c>
      <c r="Y22" s="216"/>
      <c r="Z22" s="213">
        <f t="shared" si="1"/>
        <v>55582</v>
      </c>
      <c r="AA22" s="307">
        <f t="shared" si="2"/>
        <v>55582</v>
      </c>
    </row>
    <row r="23" spans="1:27" s="212" customFormat="1">
      <c r="A23" s="14">
        <v>15</v>
      </c>
      <c r="B23" s="214" t="s">
        <v>934</v>
      </c>
      <c r="C23" s="216" t="s">
        <v>965</v>
      </c>
      <c r="D23" s="216"/>
      <c r="E23" s="215" t="s">
        <v>859</v>
      </c>
      <c r="F23" s="215">
        <v>15</v>
      </c>
      <c r="G23" s="211">
        <f t="shared" si="0"/>
        <v>123934</v>
      </c>
      <c r="H23" s="214"/>
      <c r="I23" s="217">
        <v>117034</v>
      </c>
      <c r="J23" s="214">
        <v>0</v>
      </c>
      <c r="K23" s="214">
        <v>0</v>
      </c>
      <c r="L23" s="214">
        <v>0</v>
      </c>
      <c r="M23" s="214">
        <v>0</v>
      </c>
      <c r="N23" s="17">
        <v>0</v>
      </c>
      <c r="O23" s="17">
        <v>0</v>
      </c>
      <c r="P23" s="17">
        <v>34500</v>
      </c>
      <c r="Q23" s="17">
        <v>6900</v>
      </c>
      <c r="R23" s="214">
        <v>0</v>
      </c>
      <c r="S23" s="216">
        <v>0</v>
      </c>
      <c r="T23" s="216">
        <v>0</v>
      </c>
      <c r="U23" s="216">
        <v>0</v>
      </c>
      <c r="V23" s="216">
        <v>0</v>
      </c>
      <c r="W23" s="306">
        <v>1</v>
      </c>
      <c r="X23" s="216">
        <v>0</v>
      </c>
      <c r="Y23" s="216"/>
      <c r="Z23" s="213">
        <f t="shared" si="1"/>
        <v>123934</v>
      </c>
      <c r="AA23" s="307">
        <f t="shared" si="2"/>
        <v>123934</v>
      </c>
    </row>
    <row r="24" spans="1:27" s="212" customFormat="1">
      <c r="A24" s="14">
        <v>16</v>
      </c>
      <c r="B24" s="308" t="s">
        <v>1006</v>
      </c>
      <c r="C24" s="216" t="s">
        <v>977</v>
      </c>
      <c r="D24" s="214"/>
      <c r="E24" s="215" t="s">
        <v>859</v>
      </c>
      <c r="F24" s="215">
        <v>16</v>
      </c>
      <c r="G24" s="211">
        <f t="shared" si="0"/>
        <v>84429</v>
      </c>
      <c r="H24" s="214"/>
      <c r="I24" s="217">
        <v>69227</v>
      </c>
      <c r="J24" s="214">
        <v>0</v>
      </c>
      <c r="K24" s="214">
        <v>0</v>
      </c>
      <c r="L24" s="214">
        <v>0</v>
      </c>
      <c r="M24" s="214">
        <v>0</v>
      </c>
      <c r="N24" s="17">
        <v>0</v>
      </c>
      <c r="O24" s="17">
        <v>0</v>
      </c>
      <c r="P24" s="17">
        <v>30404</v>
      </c>
      <c r="Q24" s="17">
        <v>15202</v>
      </c>
      <c r="R24" s="214">
        <v>0</v>
      </c>
      <c r="S24" s="216">
        <v>0</v>
      </c>
      <c r="T24" s="216">
        <v>0</v>
      </c>
      <c r="U24" s="216">
        <v>0</v>
      </c>
      <c r="V24" s="216">
        <v>0</v>
      </c>
      <c r="W24" s="306">
        <v>1</v>
      </c>
      <c r="X24" s="216">
        <v>0</v>
      </c>
      <c r="Y24" s="216"/>
      <c r="Z24" s="213">
        <f t="shared" si="1"/>
        <v>84429</v>
      </c>
      <c r="AA24" s="307">
        <f t="shared" si="2"/>
        <v>84429</v>
      </c>
    </row>
    <row r="25" spans="1:27" s="212" customFormat="1">
      <c r="A25" s="14">
        <v>17</v>
      </c>
      <c r="B25" s="308" t="s">
        <v>941</v>
      </c>
      <c r="C25" s="216" t="s">
        <v>966</v>
      </c>
      <c r="D25" s="216"/>
      <c r="E25" s="215" t="s">
        <v>859</v>
      </c>
      <c r="F25" s="215">
        <v>17</v>
      </c>
      <c r="G25" s="211">
        <f t="shared" si="0"/>
        <v>50468</v>
      </c>
      <c r="H25" s="214"/>
      <c r="I25" s="214">
        <v>40273</v>
      </c>
      <c r="J25" s="214">
        <v>0</v>
      </c>
      <c r="K25" s="214">
        <v>0</v>
      </c>
      <c r="L25" s="214">
        <v>0</v>
      </c>
      <c r="M25" s="214">
        <v>0</v>
      </c>
      <c r="N25" s="17">
        <v>0</v>
      </c>
      <c r="O25" s="17">
        <v>0</v>
      </c>
      <c r="P25" s="17">
        <v>20389</v>
      </c>
      <c r="Q25" s="17">
        <v>10195</v>
      </c>
      <c r="R25" s="214">
        <v>0</v>
      </c>
      <c r="S25" s="214">
        <v>0</v>
      </c>
      <c r="T25" s="214">
        <v>0</v>
      </c>
      <c r="U25" s="214">
        <v>0</v>
      </c>
      <c r="V25" s="214">
        <v>0</v>
      </c>
      <c r="W25" s="306">
        <v>2</v>
      </c>
      <c r="X25" s="216">
        <v>0</v>
      </c>
      <c r="Y25" s="214"/>
      <c r="Z25" s="213">
        <f t="shared" si="1"/>
        <v>50468</v>
      </c>
      <c r="AA25" s="307">
        <f t="shared" si="2"/>
        <v>50468</v>
      </c>
    </row>
    <row r="26" spans="1:27" s="212" customFormat="1">
      <c r="A26" s="14">
        <v>18</v>
      </c>
      <c r="B26" s="308" t="s">
        <v>980</v>
      </c>
      <c r="C26" s="216" t="s">
        <v>981</v>
      </c>
      <c r="D26" s="214"/>
      <c r="E26" s="215" t="s">
        <v>859</v>
      </c>
      <c r="F26" s="215">
        <v>18</v>
      </c>
      <c r="G26" s="211">
        <f t="shared" si="0"/>
        <v>478979</v>
      </c>
      <c r="H26" s="214"/>
      <c r="I26" s="217">
        <v>459479</v>
      </c>
      <c r="J26" s="214">
        <v>0</v>
      </c>
      <c r="K26" s="214">
        <v>0</v>
      </c>
      <c r="L26" s="214">
        <v>0</v>
      </c>
      <c r="M26" s="214">
        <v>0</v>
      </c>
      <c r="N26" s="17">
        <v>0</v>
      </c>
      <c r="O26" s="17">
        <v>0</v>
      </c>
      <c r="P26" s="17">
        <v>39000</v>
      </c>
      <c r="Q26" s="17">
        <v>19500</v>
      </c>
      <c r="R26" s="214">
        <v>0</v>
      </c>
      <c r="S26" s="214">
        <v>0</v>
      </c>
      <c r="T26" s="214">
        <v>0</v>
      </c>
      <c r="U26" s="214">
        <v>0</v>
      </c>
      <c r="V26" s="214">
        <v>0</v>
      </c>
      <c r="W26" s="306">
        <v>4</v>
      </c>
      <c r="X26" s="216">
        <v>0</v>
      </c>
      <c r="Y26" s="214"/>
      <c r="Z26" s="213">
        <f t="shared" si="1"/>
        <v>478979</v>
      </c>
      <c r="AA26" s="307">
        <f t="shared" si="2"/>
        <v>478979</v>
      </c>
    </row>
    <row r="27" spans="1:27" s="212" customFormat="1">
      <c r="A27" s="14">
        <v>19</v>
      </c>
      <c r="B27" s="308" t="s">
        <v>975</v>
      </c>
      <c r="C27" s="216" t="s">
        <v>976</v>
      </c>
      <c r="D27" s="214"/>
      <c r="E27" s="215" t="s">
        <v>859</v>
      </c>
      <c r="F27" s="215">
        <v>19</v>
      </c>
      <c r="G27" s="211">
        <f t="shared" si="0"/>
        <v>198312</v>
      </c>
      <c r="H27" s="214"/>
      <c r="I27" s="217">
        <v>197480</v>
      </c>
      <c r="J27" s="214">
        <v>0</v>
      </c>
      <c r="K27" s="214">
        <v>0</v>
      </c>
      <c r="L27" s="214">
        <v>0</v>
      </c>
      <c r="M27" s="214">
        <v>0</v>
      </c>
      <c r="N27" s="17">
        <v>0</v>
      </c>
      <c r="O27" s="17">
        <v>0</v>
      </c>
      <c r="P27" s="17">
        <v>4158</v>
      </c>
      <c r="Q27" s="17">
        <v>832</v>
      </c>
      <c r="R27" s="214">
        <v>0</v>
      </c>
      <c r="S27" s="214">
        <v>0</v>
      </c>
      <c r="T27" s="214">
        <v>0</v>
      </c>
      <c r="U27" s="214">
        <v>0</v>
      </c>
      <c r="V27" s="214">
        <v>0</v>
      </c>
      <c r="W27" s="306">
        <v>5</v>
      </c>
      <c r="X27" s="216">
        <v>0</v>
      </c>
      <c r="Y27" s="214"/>
      <c r="Z27" s="213">
        <f t="shared" si="1"/>
        <v>198312</v>
      </c>
      <c r="AA27" s="307">
        <f t="shared" si="2"/>
        <v>198312</v>
      </c>
    </row>
    <row r="28" spans="1:27" s="212" customFormat="1">
      <c r="A28" s="14">
        <v>20</v>
      </c>
      <c r="B28" s="308" t="s">
        <v>943</v>
      </c>
      <c r="C28" s="216" t="s">
        <v>964</v>
      </c>
      <c r="D28" s="214"/>
      <c r="E28" s="215" t="s">
        <v>859</v>
      </c>
      <c r="F28" s="215">
        <v>20</v>
      </c>
      <c r="G28" s="211">
        <f t="shared" si="0"/>
        <v>18000</v>
      </c>
      <c r="H28" s="214"/>
      <c r="I28" s="217">
        <v>6000</v>
      </c>
      <c r="J28" s="214">
        <v>0</v>
      </c>
      <c r="K28" s="214">
        <v>0</v>
      </c>
      <c r="L28" s="214">
        <v>0</v>
      </c>
      <c r="M28" s="214">
        <v>0</v>
      </c>
      <c r="N28" s="17">
        <v>0</v>
      </c>
      <c r="O28" s="17">
        <v>0</v>
      </c>
      <c r="P28" s="17">
        <v>24000</v>
      </c>
      <c r="Q28" s="17">
        <v>12000</v>
      </c>
      <c r="R28" s="214">
        <v>0</v>
      </c>
      <c r="S28" s="214">
        <v>0</v>
      </c>
      <c r="T28" s="214">
        <v>0</v>
      </c>
      <c r="U28" s="214">
        <v>0</v>
      </c>
      <c r="V28" s="214">
        <v>0</v>
      </c>
      <c r="W28" s="306">
        <v>6</v>
      </c>
      <c r="X28" s="216">
        <v>0</v>
      </c>
      <c r="Y28" s="214"/>
      <c r="Z28" s="213">
        <f t="shared" si="1"/>
        <v>18000</v>
      </c>
      <c r="AA28" s="307">
        <f t="shared" si="2"/>
        <v>18000</v>
      </c>
    </row>
    <row r="29" spans="1:27" s="212" customFormat="1">
      <c r="A29" s="14">
        <v>21</v>
      </c>
      <c r="B29" s="308" t="s">
        <v>932</v>
      </c>
      <c r="C29" s="216" t="s">
        <v>963</v>
      </c>
      <c r="D29" s="214"/>
      <c r="E29" s="215" t="s">
        <v>859</v>
      </c>
      <c r="F29" s="215">
        <v>21</v>
      </c>
      <c r="G29" s="211">
        <f t="shared" si="0"/>
        <v>106479</v>
      </c>
      <c r="H29" s="214"/>
      <c r="I29" s="217">
        <v>99322</v>
      </c>
      <c r="J29" s="214">
        <v>0</v>
      </c>
      <c r="K29" s="214">
        <v>0</v>
      </c>
      <c r="L29" s="214">
        <v>0</v>
      </c>
      <c r="M29" s="214">
        <v>0</v>
      </c>
      <c r="N29" s="17">
        <v>0</v>
      </c>
      <c r="O29" s="17">
        <v>0</v>
      </c>
      <c r="P29" s="17">
        <v>35786</v>
      </c>
      <c r="Q29" s="17">
        <v>7157</v>
      </c>
      <c r="R29" s="214">
        <v>0</v>
      </c>
      <c r="S29" s="214">
        <v>0</v>
      </c>
      <c r="T29" s="214">
        <v>0</v>
      </c>
      <c r="U29" s="214">
        <v>0</v>
      </c>
      <c r="V29" s="214">
        <v>0</v>
      </c>
      <c r="W29" s="306">
        <v>7</v>
      </c>
      <c r="X29" s="216">
        <v>0</v>
      </c>
      <c r="Y29" s="214"/>
      <c r="Z29" s="213">
        <f t="shared" si="1"/>
        <v>106479</v>
      </c>
      <c r="AA29" s="307">
        <f t="shared" si="2"/>
        <v>106479</v>
      </c>
    </row>
    <row r="30" spans="1:27" s="212" customFormat="1">
      <c r="A30" s="14">
        <v>22</v>
      </c>
      <c r="B30" s="308" t="s">
        <v>933</v>
      </c>
      <c r="C30" s="216" t="s">
        <v>957</v>
      </c>
      <c r="D30" s="214"/>
      <c r="E30" s="215" t="s">
        <v>859</v>
      </c>
      <c r="F30" s="215">
        <v>22</v>
      </c>
      <c r="G30" s="211">
        <f t="shared" si="0"/>
        <v>41181</v>
      </c>
      <c r="H30" s="214"/>
      <c r="I30" s="217">
        <v>32156</v>
      </c>
      <c r="J30" s="214">
        <v>0</v>
      </c>
      <c r="K30" s="214">
        <v>0</v>
      </c>
      <c r="L30" s="214">
        <v>0</v>
      </c>
      <c r="M30" s="214">
        <v>0</v>
      </c>
      <c r="N30" s="17">
        <v>0</v>
      </c>
      <c r="O30" s="17">
        <v>0</v>
      </c>
      <c r="P30" s="17">
        <v>18050</v>
      </c>
      <c r="Q30" s="17">
        <v>9025</v>
      </c>
      <c r="R30" s="214">
        <v>0</v>
      </c>
      <c r="S30" s="214">
        <v>0</v>
      </c>
      <c r="T30" s="214">
        <v>0</v>
      </c>
      <c r="U30" s="214">
        <v>0</v>
      </c>
      <c r="V30" s="214">
        <v>0</v>
      </c>
      <c r="W30" s="306">
        <v>9</v>
      </c>
      <c r="X30" s="216">
        <v>0</v>
      </c>
      <c r="Y30" s="214"/>
      <c r="Z30" s="213">
        <f t="shared" si="1"/>
        <v>41181</v>
      </c>
      <c r="AA30" s="307">
        <f t="shared" si="2"/>
        <v>41181</v>
      </c>
    </row>
    <row r="31" spans="1:27" s="212" customFormat="1">
      <c r="A31" s="14">
        <v>23</v>
      </c>
      <c r="B31" s="308" t="s">
        <v>937</v>
      </c>
      <c r="C31" s="216" t="s">
        <v>968</v>
      </c>
      <c r="D31" s="214"/>
      <c r="E31" s="215" t="s">
        <v>859</v>
      </c>
      <c r="F31" s="215">
        <v>23</v>
      </c>
      <c r="G31" s="211">
        <f t="shared" si="0"/>
        <v>650440</v>
      </c>
      <c r="H31" s="214"/>
      <c r="I31" s="217">
        <v>647575</v>
      </c>
      <c r="J31" s="214">
        <v>0</v>
      </c>
      <c r="K31" s="21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5729</v>
      </c>
      <c r="Q31" s="214">
        <v>2865</v>
      </c>
      <c r="R31" s="214">
        <v>0</v>
      </c>
      <c r="S31" s="214">
        <v>0</v>
      </c>
      <c r="T31" s="214">
        <v>0</v>
      </c>
      <c r="U31" s="214">
        <v>0</v>
      </c>
      <c r="V31" s="214">
        <v>0</v>
      </c>
      <c r="W31" s="306">
        <v>10</v>
      </c>
      <c r="X31" s="216">
        <v>0</v>
      </c>
      <c r="Y31" s="214"/>
      <c r="Z31" s="213">
        <f t="shared" si="1"/>
        <v>650440</v>
      </c>
      <c r="AA31" s="307">
        <f t="shared" si="2"/>
        <v>650440</v>
      </c>
    </row>
    <row r="32" spans="1:27" s="212" customFormat="1">
      <c r="A32" s="14">
        <v>24</v>
      </c>
      <c r="B32" s="214" t="s">
        <v>938</v>
      </c>
      <c r="C32" s="216" t="s">
        <v>950</v>
      </c>
      <c r="D32" s="214"/>
      <c r="E32" s="215" t="s">
        <v>859</v>
      </c>
      <c r="F32" s="215">
        <v>24</v>
      </c>
      <c r="G32" s="211">
        <f t="shared" si="0"/>
        <v>94860</v>
      </c>
      <c r="H32" s="214"/>
      <c r="I32" s="217">
        <v>88864</v>
      </c>
      <c r="J32" s="214">
        <v>0</v>
      </c>
      <c r="K32" s="214">
        <v>0</v>
      </c>
      <c r="L32" s="214">
        <v>0</v>
      </c>
      <c r="M32" s="214">
        <v>0</v>
      </c>
      <c r="N32" s="17">
        <v>0</v>
      </c>
      <c r="O32" s="17">
        <v>0</v>
      </c>
      <c r="P32" s="17">
        <v>29979</v>
      </c>
      <c r="Q32" s="17">
        <v>5996</v>
      </c>
      <c r="R32" s="214">
        <v>0</v>
      </c>
      <c r="S32" s="214">
        <v>0</v>
      </c>
      <c r="T32" s="214">
        <v>0</v>
      </c>
      <c r="U32" s="214">
        <v>0</v>
      </c>
      <c r="V32" s="214">
        <v>0</v>
      </c>
      <c r="W32" s="306">
        <v>11</v>
      </c>
      <c r="X32" s="216">
        <v>0</v>
      </c>
      <c r="Y32" s="214"/>
      <c r="Z32" s="213">
        <f t="shared" si="1"/>
        <v>94860</v>
      </c>
      <c r="AA32" s="307">
        <f t="shared" si="2"/>
        <v>94860</v>
      </c>
    </row>
    <row r="33" spans="1:27" s="212" customFormat="1">
      <c r="A33" s="14">
        <v>25</v>
      </c>
      <c r="B33" s="308" t="s">
        <v>939</v>
      </c>
      <c r="C33" s="216" t="s">
        <v>951</v>
      </c>
      <c r="D33" s="214"/>
      <c r="E33" s="215" t="s">
        <v>859</v>
      </c>
      <c r="F33" s="215">
        <v>25</v>
      </c>
      <c r="G33" s="211">
        <f t="shared" si="0"/>
        <v>13806</v>
      </c>
      <c r="H33" s="214"/>
      <c r="I33" s="218">
        <v>13105</v>
      </c>
      <c r="J33" s="214">
        <v>0</v>
      </c>
      <c r="K33" s="214">
        <v>0</v>
      </c>
      <c r="L33" s="214">
        <v>0</v>
      </c>
      <c r="M33" s="214">
        <v>0</v>
      </c>
      <c r="N33" s="17">
        <v>0</v>
      </c>
      <c r="O33" s="17">
        <v>0</v>
      </c>
      <c r="P33" s="17">
        <v>1401</v>
      </c>
      <c r="Q33" s="17">
        <v>701</v>
      </c>
      <c r="R33" s="214">
        <v>0</v>
      </c>
      <c r="S33" s="214">
        <v>0</v>
      </c>
      <c r="T33" s="214">
        <v>0</v>
      </c>
      <c r="U33" s="214">
        <v>0</v>
      </c>
      <c r="V33" s="214">
        <v>0</v>
      </c>
      <c r="W33" s="306">
        <v>12</v>
      </c>
      <c r="X33" s="216">
        <v>0</v>
      </c>
      <c r="Y33" s="214"/>
      <c r="Z33" s="213">
        <f t="shared" si="1"/>
        <v>13806</v>
      </c>
      <c r="AA33" s="307">
        <f t="shared" si="2"/>
        <v>13806</v>
      </c>
    </row>
    <row r="34" spans="1:27" s="212" customFormat="1">
      <c r="A34" s="14">
        <v>26</v>
      </c>
      <c r="B34" s="308" t="s">
        <v>982</v>
      </c>
      <c r="C34" s="216" t="s">
        <v>983</v>
      </c>
      <c r="D34" s="214"/>
      <c r="E34" s="215" t="s">
        <v>859</v>
      </c>
      <c r="F34" s="215">
        <v>26</v>
      </c>
      <c r="G34" s="211">
        <f t="shared" si="0"/>
        <v>420330</v>
      </c>
      <c r="H34" s="214"/>
      <c r="I34" s="214">
        <v>420253</v>
      </c>
      <c r="J34" s="214">
        <v>0</v>
      </c>
      <c r="K34" s="214">
        <v>77</v>
      </c>
      <c r="L34" s="214">
        <v>0</v>
      </c>
      <c r="M34" s="214">
        <v>0</v>
      </c>
      <c r="N34" s="17">
        <v>0</v>
      </c>
      <c r="O34" s="17">
        <v>0</v>
      </c>
      <c r="P34" s="17">
        <v>0</v>
      </c>
      <c r="Q34" s="17">
        <v>0</v>
      </c>
      <c r="R34" s="214">
        <v>0</v>
      </c>
      <c r="S34" s="214">
        <v>0</v>
      </c>
      <c r="T34" s="214">
        <v>0</v>
      </c>
      <c r="U34" s="214">
        <v>0</v>
      </c>
      <c r="V34" s="214">
        <v>0</v>
      </c>
      <c r="W34" s="306">
        <v>14</v>
      </c>
      <c r="X34" s="216">
        <v>41069</v>
      </c>
      <c r="Y34" s="214"/>
      <c r="Z34" s="213">
        <f t="shared" si="1"/>
        <v>379261</v>
      </c>
      <c r="AA34" s="307">
        <f t="shared" si="2"/>
        <v>379261</v>
      </c>
    </row>
    <row r="35" spans="1:27" s="212" customFormat="1">
      <c r="A35" s="14">
        <v>27</v>
      </c>
      <c r="B35" s="308" t="s">
        <v>936</v>
      </c>
      <c r="C35" s="216" t="s">
        <v>961</v>
      </c>
      <c r="D35" s="214"/>
      <c r="E35" s="215" t="s">
        <v>859</v>
      </c>
      <c r="F35" s="215">
        <v>27</v>
      </c>
      <c r="G35" s="211">
        <f t="shared" si="0"/>
        <v>317128</v>
      </c>
      <c r="H35" s="214"/>
      <c r="I35" s="217">
        <v>316861</v>
      </c>
      <c r="J35" s="214">
        <v>0</v>
      </c>
      <c r="K35" s="214">
        <v>0</v>
      </c>
      <c r="L35" s="214">
        <v>0</v>
      </c>
      <c r="M35" s="214">
        <v>0</v>
      </c>
      <c r="N35" s="17">
        <v>0</v>
      </c>
      <c r="O35" s="17">
        <v>0</v>
      </c>
      <c r="P35" s="17">
        <v>535</v>
      </c>
      <c r="Q35" s="17">
        <v>267</v>
      </c>
      <c r="R35" s="214">
        <v>0</v>
      </c>
      <c r="S35" s="214">
        <v>0</v>
      </c>
      <c r="T35" s="214">
        <v>0</v>
      </c>
      <c r="U35" s="214">
        <v>0</v>
      </c>
      <c r="V35" s="214">
        <v>0</v>
      </c>
      <c r="W35" s="306">
        <v>16</v>
      </c>
      <c r="X35" s="216">
        <v>0</v>
      </c>
      <c r="Y35" s="214"/>
      <c r="Z35" s="213">
        <f t="shared" si="1"/>
        <v>317128</v>
      </c>
      <c r="AA35" s="307">
        <f t="shared" si="2"/>
        <v>317128</v>
      </c>
    </row>
    <row r="36" spans="1:27" s="212" customFormat="1">
      <c r="A36" s="14">
        <v>28</v>
      </c>
      <c r="B36" s="308" t="s">
        <v>942</v>
      </c>
      <c r="C36" s="216" t="s">
        <v>952</v>
      </c>
      <c r="D36" s="214"/>
      <c r="E36" s="215" t="s">
        <v>859</v>
      </c>
      <c r="F36" s="215">
        <v>28</v>
      </c>
      <c r="G36" s="211">
        <f t="shared" si="0"/>
        <v>1000</v>
      </c>
      <c r="H36" s="214"/>
      <c r="I36" s="217">
        <v>0</v>
      </c>
      <c r="J36" s="214">
        <v>0</v>
      </c>
      <c r="K36" s="214">
        <v>0</v>
      </c>
      <c r="L36" s="214">
        <v>0</v>
      </c>
      <c r="M36" s="214">
        <v>0</v>
      </c>
      <c r="N36" s="17">
        <v>0</v>
      </c>
      <c r="O36" s="17">
        <v>0</v>
      </c>
      <c r="P36" s="17">
        <v>2000</v>
      </c>
      <c r="Q36" s="17">
        <v>1000</v>
      </c>
      <c r="R36" s="214">
        <v>0</v>
      </c>
      <c r="S36" s="214">
        <v>0</v>
      </c>
      <c r="T36" s="214">
        <v>0</v>
      </c>
      <c r="U36" s="214">
        <v>0</v>
      </c>
      <c r="V36" s="214">
        <v>0</v>
      </c>
      <c r="W36" s="306">
        <v>17</v>
      </c>
      <c r="X36" s="216">
        <v>0</v>
      </c>
      <c r="Y36" s="214"/>
      <c r="Z36" s="213">
        <f t="shared" si="1"/>
        <v>1000</v>
      </c>
      <c r="AA36" s="307">
        <f t="shared" si="2"/>
        <v>1000</v>
      </c>
    </row>
    <row r="37" spans="1:27" s="212" customFormat="1">
      <c r="A37" s="14">
        <v>29</v>
      </c>
      <c r="B37" s="214" t="s">
        <v>935</v>
      </c>
      <c r="C37" s="216" t="s">
        <v>967</v>
      </c>
      <c r="D37" s="214"/>
      <c r="E37" s="215" t="s">
        <v>859</v>
      </c>
      <c r="F37" s="215">
        <v>29</v>
      </c>
      <c r="G37" s="211">
        <f t="shared" si="0"/>
        <v>265178</v>
      </c>
      <c r="H37" s="214"/>
      <c r="I37" s="214">
        <v>260830</v>
      </c>
      <c r="J37" s="214">
        <v>0</v>
      </c>
      <c r="K37" s="214">
        <v>0</v>
      </c>
      <c r="L37" s="214">
        <v>0</v>
      </c>
      <c r="M37" s="214">
        <v>0</v>
      </c>
      <c r="N37" s="17">
        <v>0</v>
      </c>
      <c r="O37" s="17">
        <v>0</v>
      </c>
      <c r="P37" s="17">
        <v>8696</v>
      </c>
      <c r="Q37" s="17">
        <v>4348</v>
      </c>
      <c r="R37" s="214">
        <v>0</v>
      </c>
      <c r="S37" s="214">
        <v>0</v>
      </c>
      <c r="T37" s="214">
        <v>0</v>
      </c>
      <c r="U37" s="214">
        <v>0</v>
      </c>
      <c r="V37" s="214">
        <v>0</v>
      </c>
      <c r="W37" s="306">
        <v>18</v>
      </c>
      <c r="X37" s="216">
        <v>0</v>
      </c>
      <c r="Y37" s="214"/>
      <c r="Z37" s="213">
        <f t="shared" si="1"/>
        <v>265178</v>
      </c>
      <c r="AA37" s="307">
        <f t="shared" si="2"/>
        <v>265178</v>
      </c>
    </row>
    <row r="38" spans="1:27" s="212" customFormat="1">
      <c r="A38" s="14">
        <v>30</v>
      </c>
      <c r="B38" s="214" t="s">
        <v>984</v>
      </c>
      <c r="C38" s="216" t="s">
        <v>985</v>
      </c>
      <c r="D38" s="214"/>
      <c r="E38" s="215" t="s">
        <v>859</v>
      </c>
      <c r="F38" s="215">
        <v>30</v>
      </c>
      <c r="G38" s="211">
        <f t="shared" si="0"/>
        <v>37921</v>
      </c>
      <c r="H38" s="214"/>
      <c r="I38" s="214">
        <v>37921</v>
      </c>
      <c r="J38" s="214">
        <v>0</v>
      </c>
      <c r="K38" s="214">
        <v>0</v>
      </c>
      <c r="L38" s="214">
        <v>0</v>
      </c>
      <c r="M38" s="214">
        <v>0</v>
      </c>
      <c r="N38" s="17">
        <v>0</v>
      </c>
      <c r="O38" s="17">
        <v>0</v>
      </c>
      <c r="P38" s="17">
        <v>0</v>
      </c>
      <c r="Q38" s="17">
        <v>0</v>
      </c>
      <c r="R38" s="214">
        <v>0</v>
      </c>
      <c r="S38" s="214">
        <v>0</v>
      </c>
      <c r="T38" s="214">
        <v>0</v>
      </c>
      <c r="U38" s="214">
        <v>0</v>
      </c>
      <c r="V38" s="214">
        <v>0</v>
      </c>
      <c r="W38" s="306">
        <v>19</v>
      </c>
      <c r="X38" s="216">
        <v>0</v>
      </c>
      <c r="Y38" s="214"/>
      <c r="Z38" s="213">
        <f t="shared" si="1"/>
        <v>37921</v>
      </c>
      <c r="AA38" s="307">
        <f t="shared" si="2"/>
        <v>37921</v>
      </c>
    </row>
    <row r="39" spans="1:27" s="212" customFormat="1">
      <c r="A39" s="14">
        <v>31</v>
      </c>
      <c r="B39" s="214" t="s">
        <v>1000</v>
      </c>
      <c r="C39" s="216" t="s">
        <v>969</v>
      </c>
      <c r="D39" s="214"/>
      <c r="E39" s="215" t="s">
        <v>859</v>
      </c>
      <c r="F39" s="215">
        <v>31</v>
      </c>
      <c r="G39" s="211">
        <f t="shared" si="0"/>
        <v>124014</v>
      </c>
      <c r="H39" s="214"/>
      <c r="I39" s="214">
        <v>118012</v>
      </c>
      <c r="J39" s="214">
        <v>0</v>
      </c>
      <c r="K39" s="214">
        <v>0</v>
      </c>
      <c r="L39" s="214">
        <v>0</v>
      </c>
      <c r="M39" s="214">
        <v>0</v>
      </c>
      <c r="N39" s="17">
        <v>0</v>
      </c>
      <c r="O39" s="17">
        <v>0</v>
      </c>
      <c r="P39" s="17">
        <v>30009</v>
      </c>
      <c r="Q39" s="17">
        <v>6002</v>
      </c>
      <c r="R39" s="214">
        <v>0</v>
      </c>
      <c r="S39" s="214">
        <v>0</v>
      </c>
      <c r="T39" s="214">
        <v>0</v>
      </c>
      <c r="U39" s="214">
        <v>0</v>
      </c>
      <c r="V39" s="214">
        <v>0</v>
      </c>
      <c r="W39" s="306">
        <v>20</v>
      </c>
      <c r="X39" s="216">
        <v>0</v>
      </c>
      <c r="Y39" s="214"/>
      <c r="Z39" s="213">
        <f t="shared" si="1"/>
        <v>124014</v>
      </c>
      <c r="AA39" s="307">
        <f t="shared" si="2"/>
        <v>124014</v>
      </c>
    </row>
    <row r="40" spans="1:27" s="212" customFormat="1">
      <c r="A40" s="14">
        <v>32</v>
      </c>
      <c r="B40" s="308" t="s">
        <v>940</v>
      </c>
      <c r="C40" s="216" t="s">
        <v>953</v>
      </c>
      <c r="D40" s="216"/>
      <c r="E40" s="215" t="s">
        <v>859</v>
      </c>
      <c r="F40" s="215">
        <v>32</v>
      </c>
      <c r="G40" s="211">
        <f t="shared" si="0"/>
        <v>50088</v>
      </c>
      <c r="H40" s="214"/>
      <c r="I40" s="217">
        <v>50088</v>
      </c>
      <c r="J40" s="214">
        <v>0</v>
      </c>
      <c r="K40" s="214">
        <v>0</v>
      </c>
      <c r="L40" s="214">
        <v>0</v>
      </c>
      <c r="M40" s="214">
        <v>0</v>
      </c>
      <c r="N40" s="17">
        <v>0</v>
      </c>
      <c r="O40" s="17">
        <v>0</v>
      </c>
      <c r="P40" s="17">
        <v>1</v>
      </c>
      <c r="Q40" s="17">
        <v>0</v>
      </c>
      <c r="R40" s="214">
        <v>0</v>
      </c>
      <c r="S40" s="214">
        <v>0</v>
      </c>
      <c r="T40" s="214">
        <v>0</v>
      </c>
      <c r="U40" s="214">
        <v>0</v>
      </c>
      <c r="V40" s="214">
        <v>0</v>
      </c>
      <c r="W40" s="306">
        <v>21</v>
      </c>
      <c r="X40" s="216">
        <v>0</v>
      </c>
      <c r="Y40" s="214"/>
      <c r="Z40" s="213">
        <f t="shared" si="1"/>
        <v>50088</v>
      </c>
      <c r="AA40" s="307">
        <f t="shared" si="2"/>
        <v>50088</v>
      </c>
    </row>
    <row r="41" spans="1:27" s="212" customFormat="1">
      <c r="A41" s="14">
        <v>33</v>
      </c>
      <c r="B41" s="308"/>
      <c r="C41" s="216"/>
      <c r="D41" s="216"/>
      <c r="E41" s="215"/>
      <c r="F41" s="215"/>
      <c r="G41" s="211">
        <f t="shared" ref="G41:G88" si="3">+H41+I41+J41+K41+M41+O41+Q41+S41</f>
        <v>0</v>
      </c>
      <c r="H41" s="214"/>
      <c r="I41" s="214"/>
      <c r="J41" s="214"/>
      <c r="K41" s="214"/>
      <c r="L41" s="214"/>
      <c r="M41" s="214"/>
      <c r="N41" s="17"/>
      <c r="O41" s="17"/>
      <c r="P41" s="17"/>
      <c r="Q41" s="17"/>
      <c r="R41" s="214"/>
      <c r="S41" s="214"/>
      <c r="T41" s="214"/>
      <c r="U41" s="214"/>
      <c r="V41" s="214"/>
      <c r="W41" s="306"/>
      <c r="X41" s="216"/>
      <c r="Y41" s="214"/>
      <c r="Z41" s="213">
        <f t="shared" ref="Z41:Z88" si="4">+G41-V41-X41</f>
        <v>0</v>
      </c>
      <c r="AA41" s="307">
        <f t="shared" si="2"/>
        <v>0</v>
      </c>
    </row>
    <row r="42" spans="1:27" s="212" customFormat="1">
      <c r="A42" s="14">
        <v>34</v>
      </c>
      <c r="B42" s="308"/>
      <c r="C42" s="216"/>
      <c r="D42" s="216"/>
      <c r="E42" s="215"/>
      <c r="F42" s="215"/>
      <c r="G42" s="211">
        <f t="shared" si="3"/>
        <v>0</v>
      </c>
      <c r="H42" s="214"/>
      <c r="I42" s="214"/>
      <c r="J42" s="214"/>
      <c r="K42" s="214"/>
      <c r="L42" s="214"/>
      <c r="M42" s="214"/>
      <c r="N42" s="17"/>
      <c r="O42" s="17"/>
      <c r="P42" s="17"/>
      <c r="Q42" s="17"/>
      <c r="R42" s="214"/>
      <c r="S42" s="214"/>
      <c r="T42" s="214"/>
      <c r="U42" s="214"/>
      <c r="V42" s="214"/>
      <c r="W42" s="306"/>
      <c r="X42" s="216"/>
      <c r="Y42" s="214"/>
      <c r="Z42" s="213">
        <f t="shared" si="4"/>
        <v>0</v>
      </c>
      <c r="AA42" s="307">
        <f t="shared" si="2"/>
        <v>0</v>
      </c>
    </row>
    <row r="43" spans="1:27" s="212" customFormat="1">
      <c r="A43" s="14">
        <v>35</v>
      </c>
      <c r="B43" s="214"/>
      <c r="C43" s="216"/>
      <c r="D43" s="214"/>
      <c r="E43" s="215"/>
      <c r="F43" s="215"/>
      <c r="G43" s="211">
        <f t="shared" si="3"/>
        <v>0</v>
      </c>
      <c r="H43" s="214"/>
      <c r="I43" s="214"/>
      <c r="J43" s="214"/>
      <c r="K43" s="214"/>
      <c r="L43" s="214"/>
      <c r="M43" s="214"/>
      <c r="N43" s="17"/>
      <c r="O43" s="17"/>
      <c r="P43" s="17"/>
      <c r="Q43" s="17"/>
      <c r="R43" s="214"/>
      <c r="S43" s="214"/>
      <c r="T43" s="214"/>
      <c r="U43" s="214"/>
      <c r="V43" s="214"/>
      <c r="W43" s="306"/>
      <c r="X43" s="214"/>
      <c r="Y43" s="214"/>
      <c r="Z43" s="213">
        <f t="shared" si="4"/>
        <v>0</v>
      </c>
      <c r="AA43" s="307">
        <f t="shared" si="2"/>
        <v>0</v>
      </c>
    </row>
    <row r="44" spans="1:27" s="212" customFormat="1">
      <c r="A44" s="14">
        <v>36</v>
      </c>
      <c r="B44" s="214"/>
      <c r="C44" s="216"/>
      <c r="D44" s="214"/>
      <c r="E44" s="215"/>
      <c r="F44" s="215"/>
      <c r="G44" s="211">
        <f t="shared" si="3"/>
        <v>0</v>
      </c>
      <c r="H44" s="214"/>
      <c r="I44" s="214"/>
      <c r="J44" s="214"/>
      <c r="K44" s="214"/>
      <c r="L44" s="214"/>
      <c r="M44" s="214"/>
      <c r="N44" s="17"/>
      <c r="O44" s="17"/>
      <c r="P44" s="17"/>
      <c r="Q44" s="17"/>
      <c r="R44" s="214"/>
      <c r="S44" s="214"/>
      <c r="T44" s="214"/>
      <c r="U44" s="214"/>
      <c r="V44" s="214"/>
      <c r="W44" s="306"/>
      <c r="X44" s="214"/>
      <c r="Y44" s="214"/>
      <c r="Z44" s="213">
        <f t="shared" si="4"/>
        <v>0</v>
      </c>
      <c r="AA44" s="307">
        <f t="shared" si="2"/>
        <v>0</v>
      </c>
    </row>
    <row r="45" spans="1:27" s="212" customFormat="1">
      <c r="A45" s="14">
        <v>37</v>
      </c>
      <c r="B45" s="214"/>
      <c r="C45" s="216"/>
      <c r="D45" s="214"/>
      <c r="E45" s="215"/>
      <c r="F45" s="215"/>
      <c r="G45" s="211">
        <f t="shared" si="3"/>
        <v>0</v>
      </c>
      <c r="H45" s="214"/>
      <c r="I45" s="214"/>
      <c r="J45" s="214"/>
      <c r="K45" s="214"/>
      <c r="L45" s="214"/>
      <c r="M45" s="214"/>
      <c r="N45" s="17"/>
      <c r="O45" s="17"/>
      <c r="P45" s="17"/>
      <c r="Q45" s="17"/>
      <c r="R45" s="214"/>
      <c r="S45" s="214"/>
      <c r="T45" s="214"/>
      <c r="U45" s="214"/>
      <c r="V45" s="214"/>
      <c r="W45" s="306"/>
      <c r="X45" s="214"/>
      <c r="Y45" s="214"/>
      <c r="Z45" s="213">
        <f t="shared" si="4"/>
        <v>0</v>
      </c>
      <c r="AA45" s="307">
        <f t="shared" si="2"/>
        <v>0</v>
      </c>
    </row>
    <row r="46" spans="1:27" s="212" customFormat="1">
      <c r="A46" s="14">
        <v>38</v>
      </c>
      <c r="B46" s="214"/>
      <c r="C46" s="216"/>
      <c r="D46" s="214"/>
      <c r="E46" s="215"/>
      <c r="F46" s="215"/>
      <c r="G46" s="211">
        <f t="shared" si="3"/>
        <v>0</v>
      </c>
      <c r="H46" s="214"/>
      <c r="I46" s="214"/>
      <c r="J46" s="214"/>
      <c r="K46" s="214"/>
      <c r="L46" s="214"/>
      <c r="M46" s="214"/>
      <c r="N46" s="17"/>
      <c r="O46" s="17"/>
      <c r="P46" s="17"/>
      <c r="Q46" s="17"/>
      <c r="R46" s="214"/>
      <c r="S46" s="214"/>
      <c r="T46" s="214"/>
      <c r="U46" s="214"/>
      <c r="V46" s="214"/>
      <c r="W46" s="306"/>
      <c r="X46" s="214"/>
      <c r="Y46" s="214"/>
      <c r="Z46" s="213">
        <f t="shared" si="4"/>
        <v>0</v>
      </c>
      <c r="AA46" s="307">
        <f t="shared" si="2"/>
        <v>0</v>
      </c>
    </row>
    <row r="47" spans="1:27" s="212" customFormat="1">
      <c r="A47" s="14">
        <v>39</v>
      </c>
      <c r="B47" s="214"/>
      <c r="C47" s="216"/>
      <c r="D47" s="214"/>
      <c r="E47" s="215"/>
      <c r="F47" s="215"/>
      <c r="G47" s="211">
        <f t="shared" ref="G47:G53" si="5">+H47+I47+J47+K47+M47+O47+Q47+S47</f>
        <v>0</v>
      </c>
      <c r="H47" s="214"/>
      <c r="I47" s="214"/>
      <c r="J47" s="214"/>
      <c r="K47" s="214"/>
      <c r="L47" s="214"/>
      <c r="M47" s="214"/>
      <c r="N47" s="17"/>
      <c r="O47" s="17"/>
      <c r="P47" s="17"/>
      <c r="Q47" s="17"/>
      <c r="R47" s="214"/>
      <c r="S47" s="214"/>
      <c r="T47" s="214"/>
      <c r="U47" s="214"/>
      <c r="V47" s="214"/>
      <c r="W47" s="306"/>
      <c r="X47" s="214"/>
      <c r="Y47" s="214"/>
      <c r="Z47" s="213">
        <f t="shared" ref="Z47:Z53" si="6">+G47-V47-X47</f>
        <v>0</v>
      </c>
      <c r="AA47" s="307">
        <f t="shared" si="2"/>
        <v>0</v>
      </c>
    </row>
    <row r="48" spans="1:27" s="212" customFormat="1">
      <c r="A48" s="14">
        <v>40</v>
      </c>
      <c r="B48" s="214"/>
      <c r="C48" s="216"/>
      <c r="D48" s="214"/>
      <c r="E48" s="215"/>
      <c r="F48" s="215"/>
      <c r="G48" s="211">
        <f t="shared" si="5"/>
        <v>0</v>
      </c>
      <c r="H48" s="214"/>
      <c r="I48" s="214"/>
      <c r="J48" s="214"/>
      <c r="K48" s="214"/>
      <c r="L48" s="214"/>
      <c r="M48" s="214"/>
      <c r="N48" s="17"/>
      <c r="O48" s="17"/>
      <c r="P48" s="17"/>
      <c r="Q48" s="17"/>
      <c r="R48" s="214"/>
      <c r="S48" s="214"/>
      <c r="T48" s="214"/>
      <c r="U48" s="214"/>
      <c r="V48" s="214"/>
      <c r="W48" s="306"/>
      <c r="X48" s="214"/>
      <c r="Y48" s="214"/>
      <c r="Z48" s="213">
        <f t="shared" si="6"/>
        <v>0</v>
      </c>
      <c r="AA48" s="307">
        <f t="shared" si="2"/>
        <v>0</v>
      </c>
    </row>
    <row r="49" spans="1:27" s="212" customFormat="1">
      <c r="A49" s="14">
        <v>41</v>
      </c>
      <c r="B49" s="214"/>
      <c r="C49" s="216"/>
      <c r="D49" s="214"/>
      <c r="E49" s="215"/>
      <c r="F49" s="215"/>
      <c r="G49" s="211">
        <f t="shared" si="5"/>
        <v>0</v>
      </c>
      <c r="H49" s="214"/>
      <c r="I49" s="214"/>
      <c r="J49" s="214"/>
      <c r="K49" s="214"/>
      <c r="L49" s="214"/>
      <c r="M49" s="214"/>
      <c r="N49" s="17"/>
      <c r="O49" s="17"/>
      <c r="P49" s="17"/>
      <c r="Q49" s="17"/>
      <c r="R49" s="214"/>
      <c r="S49" s="214"/>
      <c r="T49" s="214"/>
      <c r="U49" s="214"/>
      <c r="V49" s="214"/>
      <c r="W49" s="306"/>
      <c r="X49" s="214"/>
      <c r="Y49" s="214"/>
      <c r="Z49" s="213">
        <f t="shared" si="6"/>
        <v>0</v>
      </c>
      <c r="AA49" s="307">
        <f t="shared" si="2"/>
        <v>0</v>
      </c>
    </row>
    <row r="50" spans="1:27" s="212" customFormat="1">
      <c r="A50" s="14">
        <v>42</v>
      </c>
      <c r="B50" s="214"/>
      <c r="C50" s="216"/>
      <c r="D50" s="214"/>
      <c r="E50" s="215"/>
      <c r="F50" s="215"/>
      <c r="G50" s="211">
        <f t="shared" si="5"/>
        <v>0</v>
      </c>
      <c r="H50" s="214"/>
      <c r="I50" s="214"/>
      <c r="J50" s="214"/>
      <c r="K50" s="214"/>
      <c r="L50" s="214"/>
      <c r="M50" s="214"/>
      <c r="N50" s="17"/>
      <c r="O50" s="17"/>
      <c r="P50" s="17"/>
      <c r="Q50" s="17"/>
      <c r="R50" s="214"/>
      <c r="S50" s="214"/>
      <c r="T50" s="214"/>
      <c r="U50" s="214"/>
      <c r="V50" s="214"/>
      <c r="W50" s="306"/>
      <c r="X50" s="214"/>
      <c r="Y50" s="214"/>
      <c r="Z50" s="213">
        <f t="shared" si="6"/>
        <v>0</v>
      </c>
      <c r="AA50" s="307">
        <f t="shared" si="2"/>
        <v>0</v>
      </c>
    </row>
    <row r="51" spans="1:27" s="212" customFormat="1">
      <c r="A51" s="14">
        <v>43</v>
      </c>
      <c r="B51" s="214"/>
      <c r="C51" s="214"/>
      <c r="D51" s="214"/>
      <c r="E51" s="215"/>
      <c r="F51" s="215"/>
      <c r="G51" s="211">
        <f t="shared" si="5"/>
        <v>0</v>
      </c>
      <c r="H51" s="214"/>
      <c r="I51" s="214"/>
      <c r="J51" s="214"/>
      <c r="K51" s="214"/>
      <c r="L51" s="214"/>
      <c r="M51" s="214"/>
      <c r="N51" s="17"/>
      <c r="O51" s="17"/>
      <c r="P51" s="17"/>
      <c r="Q51" s="17"/>
      <c r="R51" s="214"/>
      <c r="S51" s="214"/>
      <c r="T51" s="214"/>
      <c r="U51" s="214"/>
      <c r="V51" s="214"/>
      <c r="W51" s="214"/>
      <c r="X51" s="214"/>
      <c r="Y51" s="214"/>
      <c r="Z51" s="213">
        <f t="shared" si="6"/>
        <v>0</v>
      </c>
      <c r="AA51" s="307">
        <f t="shared" si="2"/>
        <v>0</v>
      </c>
    </row>
    <row r="52" spans="1:27" s="212" customFormat="1">
      <c r="A52" s="14">
        <v>44</v>
      </c>
      <c r="B52" s="214"/>
      <c r="C52" s="214"/>
      <c r="D52" s="214"/>
      <c r="E52" s="215"/>
      <c r="F52" s="215"/>
      <c r="G52" s="211">
        <f t="shared" si="5"/>
        <v>0</v>
      </c>
      <c r="H52" s="214"/>
      <c r="I52" s="214"/>
      <c r="J52" s="214"/>
      <c r="K52" s="214"/>
      <c r="L52" s="214"/>
      <c r="M52" s="214"/>
      <c r="N52" s="17"/>
      <c r="O52" s="17"/>
      <c r="P52" s="17"/>
      <c r="Q52" s="17"/>
      <c r="R52" s="214"/>
      <c r="S52" s="214"/>
      <c r="T52" s="214"/>
      <c r="U52" s="214"/>
      <c r="V52" s="214"/>
      <c r="W52" s="214"/>
      <c r="X52" s="214"/>
      <c r="Y52" s="214"/>
      <c r="Z52" s="213">
        <f t="shared" si="6"/>
        <v>0</v>
      </c>
      <c r="AA52" s="307">
        <f t="shared" si="2"/>
        <v>0</v>
      </c>
    </row>
    <row r="53" spans="1:27" s="212" customFormat="1">
      <c r="A53" s="14">
        <v>45</v>
      </c>
      <c r="B53" s="214"/>
      <c r="C53" s="214"/>
      <c r="D53" s="214"/>
      <c r="E53" s="215"/>
      <c r="F53" s="215"/>
      <c r="G53" s="211">
        <f t="shared" si="5"/>
        <v>0</v>
      </c>
      <c r="H53" s="214"/>
      <c r="I53" s="214"/>
      <c r="J53" s="214"/>
      <c r="K53" s="214"/>
      <c r="L53" s="214"/>
      <c r="M53" s="214"/>
      <c r="N53" s="17"/>
      <c r="O53" s="17"/>
      <c r="P53" s="17"/>
      <c r="Q53" s="17"/>
      <c r="R53" s="214"/>
      <c r="S53" s="214"/>
      <c r="T53" s="214"/>
      <c r="U53" s="214"/>
      <c r="V53" s="214"/>
      <c r="W53" s="214"/>
      <c r="X53" s="214"/>
      <c r="Y53" s="214"/>
      <c r="Z53" s="213">
        <f t="shared" si="6"/>
        <v>0</v>
      </c>
      <c r="AA53" s="307">
        <f t="shared" si="2"/>
        <v>0</v>
      </c>
    </row>
    <row r="54" spans="1:27" s="212" customFormat="1">
      <c r="A54" s="14">
        <v>46</v>
      </c>
      <c r="B54" s="214"/>
      <c r="C54" s="214"/>
      <c r="D54" s="214"/>
      <c r="E54" s="215"/>
      <c r="F54" s="215"/>
      <c r="G54" s="211">
        <f t="shared" ref="G54:G75" si="7">+H54+I54+J54+K54+M54+O54+Q54+S54</f>
        <v>0</v>
      </c>
      <c r="H54" s="214"/>
      <c r="I54" s="214"/>
      <c r="J54" s="214"/>
      <c r="K54" s="214"/>
      <c r="L54" s="214"/>
      <c r="M54" s="214"/>
      <c r="N54" s="17"/>
      <c r="O54" s="17"/>
      <c r="P54" s="17"/>
      <c r="Q54" s="17"/>
      <c r="R54" s="214"/>
      <c r="S54" s="214"/>
      <c r="T54" s="214"/>
      <c r="U54" s="214"/>
      <c r="V54" s="214"/>
      <c r="W54" s="214"/>
      <c r="X54" s="214"/>
      <c r="Y54" s="214"/>
      <c r="Z54" s="213">
        <f t="shared" ref="Z54:Z75" si="8">+G54-V54-X54</f>
        <v>0</v>
      </c>
      <c r="AA54" s="307">
        <f t="shared" si="2"/>
        <v>0</v>
      </c>
    </row>
    <row r="55" spans="1:27" s="212" customFormat="1">
      <c r="A55" s="14">
        <v>47</v>
      </c>
      <c r="B55" s="214"/>
      <c r="C55" s="214"/>
      <c r="D55" s="214"/>
      <c r="E55" s="215"/>
      <c r="F55" s="215"/>
      <c r="G55" s="211">
        <f t="shared" si="7"/>
        <v>0</v>
      </c>
      <c r="H55" s="214"/>
      <c r="I55" s="214"/>
      <c r="J55" s="214"/>
      <c r="K55" s="214"/>
      <c r="L55" s="214"/>
      <c r="M55" s="214"/>
      <c r="N55" s="17"/>
      <c r="O55" s="17"/>
      <c r="P55" s="17"/>
      <c r="Q55" s="17"/>
      <c r="R55" s="214"/>
      <c r="S55" s="214"/>
      <c r="T55" s="214"/>
      <c r="U55" s="214"/>
      <c r="V55" s="214"/>
      <c r="W55" s="214"/>
      <c r="X55" s="214"/>
      <c r="Y55" s="214"/>
      <c r="Z55" s="213">
        <f t="shared" si="8"/>
        <v>0</v>
      </c>
      <c r="AA55" s="307">
        <f t="shared" si="2"/>
        <v>0</v>
      </c>
    </row>
    <row r="56" spans="1:27" s="212" customFormat="1">
      <c r="A56" s="14">
        <v>48</v>
      </c>
      <c r="B56" s="214"/>
      <c r="C56" s="214"/>
      <c r="D56" s="214"/>
      <c r="E56" s="215"/>
      <c r="F56" s="215"/>
      <c r="G56" s="211">
        <f t="shared" si="7"/>
        <v>0</v>
      </c>
      <c r="H56" s="214"/>
      <c r="I56" s="214"/>
      <c r="J56" s="214"/>
      <c r="K56" s="214"/>
      <c r="L56" s="214"/>
      <c r="M56" s="214"/>
      <c r="N56" s="17"/>
      <c r="O56" s="17"/>
      <c r="P56" s="17"/>
      <c r="Q56" s="17"/>
      <c r="R56" s="214"/>
      <c r="S56" s="214"/>
      <c r="T56" s="214"/>
      <c r="U56" s="214"/>
      <c r="V56" s="214"/>
      <c r="W56" s="214"/>
      <c r="X56" s="214"/>
      <c r="Y56" s="214"/>
      <c r="Z56" s="213">
        <f t="shared" si="8"/>
        <v>0</v>
      </c>
      <c r="AA56" s="307">
        <f t="shared" si="2"/>
        <v>0</v>
      </c>
    </row>
    <row r="57" spans="1:27" s="212" customFormat="1">
      <c r="A57" s="14">
        <v>49</v>
      </c>
      <c r="B57" s="214"/>
      <c r="C57" s="214"/>
      <c r="D57" s="214"/>
      <c r="E57" s="215"/>
      <c r="F57" s="215"/>
      <c r="G57" s="211">
        <f t="shared" si="7"/>
        <v>0</v>
      </c>
      <c r="H57" s="214"/>
      <c r="I57" s="214"/>
      <c r="J57" s="214"/>
      <c r="K57" s="214"/>
      <c r="L57" s="214"/>
      <c r="M57" s="214"/>
      <c r="N57" s="17"/>
      <c r="O57" s="17"/>
      <c r="P57" s="17"/>
      <c r="Q57" s="17"/>
      <c r="R57" s="214"/>
      <c r="S57" s="214"/>
      <c r="T57" s="214"/>
      <c r="U57" s="214"/>
      <c r="V57" s="214"/>
      <c r="W57" s="214"/>
      <c r="X57" s="214"/>
      <c r="Y57" s="214"/>
      <c r="Z57" s="213">
        <f t="shared" si="8"/>
        <v>0</v>
      </c>
      <c r="AA57" s="307">
        <f t="shared" si="2"/>
        <v>0</v>
      </c>
    </row>
    <row r="58" spans="1:27" s="212" customFormat="1">
      <c r="A58" s="14">
        <v>50</v>
      </c>
      <c r="B58" s="214"/>
      <c r="C58" s="214"/>
      <c r="D58" s="214"/>
      <c r="E58" s="215"/>
      <c r="F58" s="215"/>
      <c r="G58" s="211">
        <f t="shared" si="7"/>
        <v>0</v>
      </c>
      <c r="H58" s="214"/>
      <c r="I58" s="214"/>
      <c r="J58" s="214"/>
      <c r="K58" s="214"/>
      <c r="L58" s="214"/>
      <c r="M58" s="214"/>
      <c r="N58" s="17"/>
      <c r="O58" s="17"/>
      <c r="P58" s="17"/>
      <c r="Q58" s="17"/>
      <c r="R58" s="214"/>
      <c r="S58" s="214"/>
      <c r="T58" s="214"/>
      <c r="U58" s="214"/>
      <c r="V58" s="214"/>
      <c r="W58" s="214"/>
      <c r="X58" s="214"/>
      <c r="Y58" s="214"/>
      <c r="Z58" s="213">
        <f t="shared" si="8"/>
        <v>0</v>
      </c>
      <c r="AA58" s="307">
        <f t="shared" si="2"/>
        <v>0</v>
      </c>
    </row>
    <row r="59" spans="1:27" s="212" customFormat="1">
      <c r="A59" s="14">
        <v>51</v>
      </c>
      <c r="B59" s="214"/>
      <c r="C59" s="214"/>
      <c r="D59" s="214"/>
      <c r="E59" s="215"/>
      <c r="F59" s="215"/>
      <c r="G59" s="211">
        <f t="shared" si="7"/>
        <v>0</v>
      </c>
      <c r="H59" s="214"/>
      <c r="I59" s="214"/>
      <c r="J59" s="214"/>
      <c r="K59" s="214"/>
      <c r="L59" s="214"/>
      <c r="M59" s="214"/>
      <c r="N59" s="17"/>
      <c r="O59" s="17"/>
      <c r="P59" s="17"/>
      <c r="Q59" s="17"/>
      <c r="R59" s="214"/>
      <c r="S59" s="214"/>
      <c r="T59" s="214"/>
      <c r="U59" s="214"/>
      <c r="V59" s="214"/>
      <c r="W59" s="214"/>
      <c r="X59" s="214"/>
      <c r="Y59" s="214"/>
      <c r="Z59" s="213">
        <f t="shared" si="8"/>
        <v>0</v>
      </c>
      <c r="AA59" s="307">
        <f t="shared" si="2"/>
        <v>0</v>
      </c>
    </row>
    <row r="60" spans="1:27" s="212" customFormat="1">
      <c r="A60" s="14">
        <v>52</v>
      </c>
      <c r="B60" s="214"/>
      <c r="C60" s="214"/>
      <c r="D60" s="214"/>
      <c r="E60" s="215"/>
      <c r="F60" s="215"/>
      <c r="G60" s="211">
        <f t="shared" si="7"/>
        <v>0</v>
      </c>
      <c r="H60" s="214"/>
      <c r="I60" s="214"/>
      <c r="J60" s="214"/>
      <c r="K60" s="214"/>
      <c r="L60" s="214"/>
      <c r="M60" s="214"/>
      <c r="N60" s="17"/>
      <c r="O60" s="17"/>
      <c r="P60" s="17"/>
      <c r="Q60" s="17"/>
      <c r="R60" s="214"/>
      <c r="S60" s="214"/>
      <c r="T60" s="214"/>
      <c r="U60" s="214"/>
      <c r="V60" s="214"/>
      <c r="W60" s="214"/>
      <c r="X60" s="214"/>
      <c r="Y60" s="214"/>
      <c r="Z60" s="213">
        <f t="shared" si="8"/>
        <v>0</v>
      </c>
      <c r="AA60" s="307">
        <f t="shared" si="2"/>
        <v>0</v>
      </c>
    </row>
    <row r="61" spans="1:27" s="212" customFormat="1">
      <c r="A61" s="14">
        <v>53</v>
      </c>
      <c r="B61" s="214"/>
      <c r="C61" s="214"/>
      <c r="D61" s="214"/>
      <c r="E61" s="215"/>
      <c r="F61" s="215"/>
      <c r="G61" s="211">
        <f t="shared" si="7"/>
        <v>0</v>
      </c>
      <c r="H61" s="214"/>
      <c r="I61" s="214"/>
      <c r="J61" s="214"/>
      <c r="K61" s="214"/>
      <c r="L61" s="214"/>
      <c r="M61" s="214"/>
      <c r="N61" s="17"/>
      <c r="O61" s="17"/>
      <c r="P61" s="17"/>
      <c r="Q61" s="17"/>
      <c r="R61" s="214"/>
      <c r="S61" s="214"/>
      <c r="T61" s="214"/>
      <c r="U61" s="214"/>
      <c r="V61" s="214"/>
      <c r="W61" s="214"/>
      <c r="X61" s="214"/>
      <c r="Y61" s="214"/>
      <c r="Z61" s="213">
        <f t="shared" si="8"/>
        <v>0</v>
      </c>
      <c r="AA61" s="307">
        <f t="shared" si="2"/>
        <v>0</v>
      </c>
    </row>
    <row r="62" spans="1:27" s="212" customFormat="1">
      <c r="A62" s="14">
        <v>54</v>
      </c>
      <c r="B62" s="214"/>
      <c r="C62" s="214"/>
      <c r="D62" s="214"/>
      <c r="E62" s="215"/>
      <c r="F62" s="215"/>
      <c r="G62" s="211">
        <f t="shared" si="7"/>
        <v>0</v>
      </c>
      <c r="H62" s="214"/>
      <c r="I62" s="214"/>
      <c r="J62" s="214"/>
      <c r="K62" s="214"/>
      <c r="L62" s="214"/>
      <c r="M62" s="214"/>
      <c r="N62" s="17"/>
      <c r="O62" s="17"/>
      <c r="P62" s="17"/>
      <c r="Q62" s="17"/>
      <c r="R62" s="214"/>
      <c r="S62" s="214"/>
      <c r="T62" s="214"/>
      <c r="U62" s="214"/>
      <c r="V62" s="214"/>
      <c r="W62" s="214"/>
      <c r="X62" s="214"/>
      <c r="Y62" s="214"/>
      <c r="Z62" s="213">
        <f t="shared" si="8"/>
        <v>0</v>
      </c>
      <c r="AA62" s="307">
        <f t="shared" si="2"/>
        <v>0</v>
      </c>
    </row>
    <row r="63" spans="1:27" s="212" customFormat="1">
      <c r="A63" s="14">
        <v>55</v>
      </c>
      <c r="B63" s="214"/>
      <c r="C63" s="214"/>
      <c r="D63" s="214"/>
      <c r="E63" s="215"/>
      <c r="F63" s="215"/>
      <c r="G63" s="211">
        <f t="shared" si="7"/>
        <v>0</v>
      </c>
      <c r="H63" s="214"/>
      <c r="I63" s="214"/>
      <c r="J63" s="214"/>
      <c r="K63" s="214"/>
      <c r="L63" s="214"/>
      <c r="M63" s="214"/>
      <c r="N63" s="17"/>
      <c r="O63" s="17"/>
      <c r="P63" s="17"/>
      <c r="Q63" s="17"/>
      <c r="R63" s="214"/>
      <c r="S63" s="214"/>
      <c r="T63" s="214"/>
      <c r="U63" s="214"/>
      <c r="V63" s="214"/>
      <c r="W63" s="214"/>
      <c r="X63" s="214"/>
      <c r="Y63" s="214"/>
      <c r="Z63" s="213">
        <f t="shared" si="8"/>
        <v>0</v>
      </c>
      <c r="AA63" s="307">
        <f t="shared" si="2"/>
        <v>0</v>
      </c>
    </row>
    <row r="64" spans="1:27" s="212" customFormat="1">
      <c r="A64" s="14">
        <v>56</v>
      </c>
      <c r="B64" s="214"/>
      <c r="C64" s="214"/>
      <c r="D64" s="214"/>
      <c r="E64" s="215"/>
      <c r="F64" s="215"/>
      <c r="G64" s="211">
        <f t="shared" si="7"/>
        <v>0</v>
      </c>
      <c r="H64" s="214"/>
      <c r="I64" s="214"/>
      <c r="J64" s="214"/>
      <c r="K64" s="214"/>
      <c r="L64" s="214"/>
      <c r="M64" s="214"/>
      <c r="N64" s="17"/>
      <c r="O64" s="17"/>
      <c r="P64" s="17"/>
      <c r="Q64" s="17"/>
      <c r="R64" s="214"/>
      <c r="S64" s="214"/>
      <c r="T64" s="214"/>
      <c r="U64" s="214"/>
      <c r="V64" s="214"/>
      <c r="W64" s="214"/>
      <c r="X64" s="214"/>
      <c r="Y64" s="214"/>
      <c r="Z64" s="213">
        <f t="shared" si="8"/>
        <v>0</v>
      </c>
      <c r="AA64" s="307">
        <f t="shared" si="2"/>
        <v>0</v>
      </c>
    </row>
    <row r="65" spans="1:27" s="212" customFormat="1">
      <c r="A65" s="14">
        <v>57</v>
      </c>
      <c r="B65" s="214"/>
      <c r="C65" s="214"/>
      <c r="D65" s="214"/>
      <c r="E65" s="215"/>
      <c r="F65" s="215"/>
      <c r="G65" s="211">
        <f t="shared" si="7"/>
        <v>0</v>
      </c>
      <c r="H65" s="214"/>
      <c r="I65" s="214"/>
      <c r="J65" s="214"/>
      <c r="K65" s="214"/>
      <c r="L65" s="214"/>
      <c r="M65" s="214"/>
      <c r="N65" s="17"/>
      <c r="O65" s="17"/>
      <c r="P65" s="17"/>
      <c r="Q65" s="17"/>
      <c r="R65" s="214"/>
      <c r="S65" s="214"/>
      <c r="T65" s="214"/>
      <c r="U65" s="214"/>
      <c r="V65" s="214"/>
      <c r="W65" s="214"/>
      <c r="X65" s="214"/>
      <c r="Y65" s="214"/>
      <c r="Z65" s="213">
        <f t="shared" si="8"/>
        <v>0</v>
      </c>
      <c r="AA65" s="307">
        <f t="shared" si="2"/>
        <v>0</v>
      </c>
    </row>
    <row r="66" spans="1:27" s="212" customFormat="1">
      <c r="A66" s="14">
        <v>58</v>
      </c>
      <c r="B66" s="214"/>
      <c r="C66" s="214"/>
      <c r="D66" s="214"/>
      <c r="E66" s="215"/>
      <c r="F66" s="215"/>
      <c r="G66" s="211">
        <f t="shared" si="7"/>
        <v>0</v>
      </c>
      <c r="H66" s="214"/>
      <c r="I66" s="214"/>
      <c r="J66" s="214"/>
      <c r="K66" s="214"/>
      <c r="L66" s="214"/>
      <c r="M66" s="214"/>
      <c r="N66" s="17"/>
      <c r="O66" s="17"/>
      <c r="P66" s="17"/>
      <c r="Q66" s="17"/>
      <c r="R66" s="214"/>
      <c r="S66" s="214"/>
      <c r="T66" s="214"/>
      <c r="U66" s="214"/>
      <c r="V66" s="214"/>
      <c r="W66" s="214"/>
      <c r="X66" s="214"/>
      <c r="Y66" s="214"/>
      <c r="Z66" s="213">
        <f t="shared" si="8"/>
        <v>0</v>
      </c>
      <c r="AA66" s="307">
        <f t="shared" si="2"/>
        <v>0</v>
      </c>
    </row>
    <row r="67" spans="1:27" s="212" customFormat="1">
      <c r="A67" s="14">
        <v>59</v>
      </c>
      <c r="B67" s="214"/>
      <c r="C67" s="214"/>
      <c r="D67" s="214"/>
      <c r="E67" s="215"/>
      <c r="F67" s="215"/>
      <c r="G67" s="211">
        <f t="shared" si="7"/>
        <v>0</v>
      </c>
      <c r="H67" s="214"/>
      <c r="I67" s="214"/>
      <c r="J67" s="214"/>
      <c r="K67" s="214"/>
      <c r="L67" s="214"/>
      <c r="M67" s="214"/>
      <c r="N67" s="17"/>
      <c r="O67" s="17"/>
      <c r="P67" s="17"/>
      <c r="Q67" s="17"/>
      <c r="R67" s="214"/>
      <c r="S67" s="214"/>
      <c r="T67" s="214"/>
      <c r="U67" s="214"/>
      <c r="V67" s="214"/>
      <c r="W67" s="214"/>
      <c r="X67" s="214"/>
      <c r="Y67" s="214"/>
      <c r="Z67" s="213">
        <f t="shared" si="8"/>
        <v>0</v>
      </c>
      <c r="AA67" s="307">
        <f t="shared" si="2"/>
        <v>0</v>
      </c>
    </row>
    <row r="68" spans="1:27" s="212" customFormat="1">
      <c r="A68" s="14">
        <v>60</v>
      </c>
      <c r="B68" s="214"/>
      <c r="C68" s="214"/>
      <c r="D68" s="214"/>
      <c r="E68" s="215"/>
      <c r="F68" s="215"/>
      <c r="G68" s="211">
        <f t="shared" si="7"/>
        <v>0</v>
      </c>
      <c r="H68" s="214"/>
      <c r="I68" s="214"/>
      <c r="J68" s="214"/>
      <c r="K68" s="214"/>
      <c r="L68" s="214"/>
      <c r="M68" s="214"/>
      <c r="N68" s="17"/>
      <c r="O68" s="17"/>
      <c r="P68" s="17"/>
      <c r="Q68" s="17"/>
      <c r="R68" s="214"/>
      <c r="S68" s="214"/>
      <c r="T68" s="214"/>
      <c r="U68" s="214"/>
      <c r="V68" s="214"/>
      <c r="W68" s="214"/>
      <c r="X68" s="214"/>
      <c r="Y68" s="214"/>
      <c r="Z68" s="213">
        <f t="shared" si="8"/>
        <v>0</v>
      </c>
      <c r="AA68" s="307">
        <f t="shared" si="2"/>
        <v>0</v>
      </c>
    </row>
    <row r="69" spans="1:27" s="212" customFormat="1">
      <c r="A69" s="14">
        <v>61</v>
      </c>
      <c r="B69" s="214"/>
      <c r="C69" s="214"/>
      <c r="D69" s="214"/>
      <c r="E69" s="215"/>
      <c r="F69" s="215"/>
      <c r="G69" s="211">
        <f t="shared" si="7"/>
        <v>0</v>
      </c>
      <c r="H69" s="214"/>
      <c r="I69" s="214"/>
      <c r="J69" s="214"/>
      <c r="K69" s="214"/>
      <c r="L69" s="214"/>
      <c r="M69" s="214"/>
      <c r="N69" s="17"/>
      <c r="O69" s="17"/>
      <c r="P69" s="17"/>
      <c r="Q69" s="17"/>
      <c r="R69" s="214"/>
      <c r="S69" s="214"/>
      <c r="T69" s="214"/>
      <c r="U69" s="214"/>
      <c r="V69" s="214"/>
      <c r="W69" s="214"/>
      <c r="X69" s="214"/>
      <c r="Y69" s="214"/>
      <c r="Z69" s="213">
        <f t="shared" si="8"/>
        <v>0</v>
      </c>
      <c r="AA69" s="307">
        <f t="shared" si="2"/>
        <v>0</v>
      </c>
    </row>
    <row r="70" spans="1:27" s="212" customFormat="1">
      <c r="A70" s="14">
        <v>62</v>
      </c>
      <c r="B70" s="214"/>
      <c r="C70" s="214"/>
      <c r="D70" s="214"/>
      <c r="E70" s="215"/>
      <c r="F70" s="215"/>
      <c r="G70" s="211">
        <f t="shared" si="7"/>
        <v>0</v>
      </c>
      <c r="H70" s="214"/>
      <c r="I70" s="214"/>
      <c r="J70" s="214"/>
      <c r="K70" s="214"/>
      <c r="L70" s="214"/>
      <c r="M70" s="214"/>
      <c r="N70" s="17"/>
      <c r="O70" s="17"/>
      <c r="P70" s="17"/>
      <c r="Q70" s="17"/>
      <c r="R70" s="214"/>
      <c r="S70" s="214"/>
      <c r="T70" s="214"/>
      <c r="U70" s="214"/>
      <c r="V70" s="214"/>
      <c r="W70" s="214"/>
      <c r="X70" s="214"/>
      <c r="Y70" s="214"/>
      <c r="Z70" s="213">
        <f t="shared" si="8"/>
        <v>0</v>
      </c>
      <c r="AA70" s="307">
        <f t="shared" si="2"/>
        <v>0</v>
      </c>
    </row>
    <row r="71" spans="1:27" s="212" customFormat="1">
      <c r="A71" s="14">
        <v>63</v>
      </c>
      <c r="B71" s="214"/>
      <c r="C71" s="214"/>
      <c r="D71" s="214"/>
      <c r="E71" s="215"/>
      <c r="F71" s="215"/>
      <c r="G71" s="211">
        <f t="shared" si="7"/>
        <v>0</v>
      </c>
      <c r="H71" s="214"/>
      <c r="I71" s="214"/>
      <c r="J71" s="214"/>
      <c r="K71" s="214"/>
      <c r="L71" s="214"/>
      <c r="M71" s="214"/>
      <c r="N71" s="17"/>
      <c r="O71" s="17"/>
      <c r="P71" s="17"/>
      <c r="Q71" s="17"/>
      <c r="R71" s="214"/>
      <c r="S71" s="214"/>
      <c r="T71" s="214"/>
      <c r="U71" s="214"/>
      <c r="V71" s="214"/>
      <c r="W71" s="214"/>
      <c r="X71" s="214"/>
      <c r="Y71" s="214"/>
      <c r="Z71" s="213">
        <f t="shared" si="8"/>
        <v>0</v>
      </c>
      <c r="AA71" s="307">
        <f t="shared" si="2"/>
        <v>0</v>
      </c>
    </row>
    <row r="72" spans="1:27" s="212" customFormat="1">
      <c r="A72" s="14">
        <v>64</v>
      </c>
      <c r="B72" s="214"/>
      <c r="C72" s="214"/>
      <c r="D72" s="214"/>
      <c r="E72" s="215"/>
      <c r="F72" s="215"/>
      <c r="G72" s="211">
        <f t="shared" si="7"/>
        <v>0</v>
      </c>
      <c r="H72" s="214"/>
      <c r="I72" s="214"/>
      <c r="J72" s="214"/>
      <c r="K72" s="214"/>
      <c r="L72" s="214"/>
      <c r="M72" s="214"/>
      <c r="N72" s="17"/>
      <c r="O72" s="17"/>
      <c r="P72" s="17"/>
      <c r="Q72" s="17"/>
      <c r="R72" s="214"/>
      <c r="S72" s="214"/>
      <c r="T72" s="214"/>
      <c r="U72" s="214"/>
      <c r="V72" s="214"/>
      <c r="W72" s="214"/>
      <c r="X72" s="214"/>
      <c r="Y72" s="214"/>
      <c r="Z72" s="213">
        <f t="shared" si="8"/>
        <v>0</v>
      </c>
      <c r="AA72" s="307">
        <f t="shared" si="2"/>
        <v>0</v>
      </c>
    </row>
    <row r="73" spans="1:27" s="212" customFormat="1">
      <c r="A73" s="14">
        <v>65</v>
      </c>
      <c r="B73" s="214"/>
      <c r="C73" s="214"/>
      <c r="D73" s="214"/>
      <c r="E73" s="215"/>
      <c r="F73" s="215"/>
      <c r="G73" s="211">
        <f t="shared" si="7"/>
        <v>0</v>
      </c>
      <c r="H73" s="214"/>
      <c r="I73" s="214"/>
      <c r="J73" s="214"/>
      <c r="K73" s="214"/>
      <c r="L73" s="214"/>
      <c r="M73" s="214"/>
      <c r="N73" s="17"/>
      <c r="O73" s="17"/>
      <c r="P73" s="17"/>
      <c r="Q73" s="17"/>
      <c r="R73" s="214"/>
      <c r="S73" s="214"/>
      <c r="T73" s="214"/>
      <c r="U73" s="214"/>
      <c r="V73" s="214"/>
      <c r="W73" s="214"/>
      <c r="X73" s="214"/>
      <c r="Y73" s="214"/>
      <c r="Z73" s="213">
        <f t="shared" si="8"/>
        <v>0</v>
      </c>
      <c r="AA73" s="307">
        <f t="shared" ref="AA73:AA88" si="9">SUMIF($F$9:$F$88,$F73,$Z$9:$Z$88)</f>
        <v>0</v>
      </c>
    </row>
    <row r="74" spans="1:27" s="212" customFormat="1">
      <c r="A74" s="14">
        <v>66</v>
      </c>
      <c r="B74" s="214"/>
      <c r="C74" s="214"/>
      <c r="D74" s="214"/>
      <c r="E74" s="215"/>
      <c r="F74" s="215"/>
      <c r="G74" s="211">
        <f t="shared" si="7"/>
        <v>0</v>
      </c>
      <c r="H74" s="214"/>
      <c r="I74" s="214"/>
      <c r="J74" s="214"/>
      <c r="K74" s="214"/>
      <c r="L74" s="214"/>
      <c r="M74" s="214"/>
      <c r="N74" s="17"/>
      <c r="O74" s="17"/>
      <c r="P74" s="17"/>
      <c r="Q74" s="17"/>
      <c r="R74" s="214"/>
      <c r="S74" s="214"/>
      <c r="T74" s="214"/>
      <c r="U74" s="214"/>
      <c r="V74" s="214"/>
      <c r="W74" s="214"/>
      <c r="X74" s="214"/>
      <c r="Y74" s="214"/>
      <c r="Z74" s="213">
        <f t="shared" si="8"/>
        <v>0</v>
      </c>
      <c r="AA74" s="307">
        <f t="shared" si="9"/>
        <v>0</v>
      </c>
    </row>
    <row r="75" spans="1:27" s="212" customFormat="1">
      <c r="A75" s="14">
        <v>67</v>
      </c>
      <c r="B75" s="214"/>
      <c r="C75" s="214"/>
      <c r="D75" s="214"/>
      <c r="E75" s="215"/>
      <c r="F75" s="215"/>
      <c r="G75" s="211">
        <f t="shared" si="7"/>
        <v>0</v>
      </c>
      <c r="H75" s="214"/>
      <c r="I75" s="214"/>
      <c r="J75" s="214"/>
      <c r="K75" s="214"/>
      <c r="L75" s="214"/>
      <c r="M75" s="214"/>
      <c r="N75" s="17"/>
      <c r="O75" s="17"/>
      <c r="P75" s="17"/>
      <c r="Q75" s="17"/>
      <c r="R75" s="214"/>
      <c r="S75" s="214"/>
      <c r="T75" s="214"/>
      <c r="U75" s="214"/>
      <c r="V75" s="214"/>
      <c r="W75" s="214"/>
      <c r="X75" s="214"/>
      <c r="Y75" s="214"/>
      <c r="Z75" s="213">
        <f t="shared" si="8"/>
        <v>0</v>
      </c>
      <c r="AA75" s="307">
        <f t="shared" si="9"/>
        <v>0</v>
      </c>
    </row>
    <row r="76" spans="1:27" s="212" customFormat="1">
      <c r="A76" s="14">
        <v>68</v>
      </c>
      <c r="B76" s="214"/>
      <c r="C76" s="214"/>
      <c r="D76" s="214"/>
      <c r="E76" s="215"/>
      <c r="F76" s="215"/>
      <c r="G76" s="211">
        <f t="shared" si="3"/>
        <v>0</v>
      </c>
      <c r="H76" s="214"/>
      <c r="I76" s="214"/>
      <c r="J76" s="214"/>
      <c r="K76" s="214"/>
      <c r="L76" s="214"/>
      <c r="M76" s="214"/>
      <c r="N76" s="17"/>
      <c r="O76" s="17"/>
      <c r="P76" s="17"/>
      <c r="Q76" s="17"/>
      <c r="R76" s="214"/>
      <c r="S76" s="214"/>
      <c r="T76" s="214"/>
      <c r="U76" s="214"/>
      <c r="V76" s="214"/>
      <c r="W76" s="214"/>
      <c r="X76" s="214"/>
      <c r="Y76" s="214"/>
      <c r="Z76" s="213">
        <f t="shared" si="4"/>
        <v>0</v>
      </c>
      <c r="AA76" s="307">
        <f t="shared" si="9"/>
        <v>0</v>
      </c>
    </row>
    <row r="77" spans="1:27" s="212" customFormat="1">
      <c r="A77" s="14">
        <v>69</v>
      </c>
      <c r="B77" s="214"/>
      <c r="C77" s="214"/>
      <c r="D77" s="214"/>
      <c r="E77" s="215"/>
      <c r="F77" s="215"/>
      <c r="G77" s="211">
        <f t="shared" si="3"/>
        <v>0</v>
      </c>
      <c r="H77" s="214"/>
      <c r="I77" s="214"/>
      <c r="J77" s="214"/>
      <c r="K77" s="214"/>
      <c r="L77" s="214"/>
      <c r="M77" s="214"/>
      <c r="N77" s="17"/>
      <c r="O77" s="17"/>
      <c r="P77" s="17"/>
      <c r="Q77" s="17"/>
      <c r="R77" s="214"/>
      <c r="S77" s="214"/>
      <c r="T77" s="214"/>
      <c r="U77" s="214"/>
      <c r="V77" s="214"/>
      <c r="W77" s="214"/>
      <c r="X77" s="214"/>
      <c r="Y77" s="214"/>
      <c r="Z77" s="213">
        <f t="shared" si="4"/>
        <v>0</v>
      </c>
      <c r="AA77" s="307">
        <f t="shared" si="9"/>
        <v>0</v>
      </c>
    </row>
    <row r="78" spans="1:27" s="212" customFormat="1">
      <c r="A78" s="14">
        <v>70</v>
      </c>
      <c r="B78" s="214"/>
      <c r="C78" s="214"/>
      <c r="D78" s="214"/>
      <c r="E78" s="215"/>
      <c r="F78" s="215"/>
      <c r="G78" s="211">
        <f t="shared" si="3"/>
        <v>0</v>
      </c>
      <c r="H78" s="214"/>
      <c r="I78" s="214"/>
      <c r="J78" s="214"/>
      <c r="K78" s="214"/>
      <c r="L78" s="214"/>
      <c r="M78" s="214"/>
      <c r="N78" s="17"/>
      <c r="O78" s="17"/>
      <c r="P78" s="17"/>
      <c r="Q78" s="17"/>
      <c r="R78" s="214"/>
      <c r="S78" s="214"/>
      <c r="T78" s="214"/>
      <c r="U78" s="214"/>
      <c r="V78" s="214"/>
      <c r="W78" s="214"/>
      <c r="X78" s="214"/>
      <c r="Y78" s="214"/>
      <c r="Z78" s="213">
        <f t="shared" si="4"/>
        <v>0</v>
      </c>
      <c r="AA78" s="307">
        <f t="shared" si="9"/>
        <v>0</v>
      </c>
    </row>
    <row r="79" spans="1:27" s="212" customFormat="1">
      <c r="A79" s="14">
        <v>71</v>
      </c>
      <c r="B79" s="214"/>
      <c r="C79" s="214"/>
      <c r="D79" s="214"/>
      <c r="E79" s="215"/>
      <c r="F79" s="215"/>
      <c r="G79" s="211">
        <f t="shared" si="3"/>
        <v>0</v>
      </c>
      <c r="H79" s="214"/>
      <c r="I79" s="214"/>
      <c r="J79" s="214"/>
      <c r="K79" s="214"/>
      <c r="L79" s="214"/>
      <c r="M79" s="214"/>
      <c r="N79" s="17"/>
      <c r="O79" s="17"/>
      <c r="P79" s="17"/>
      <c r="Q79" s="17"/>
      <c r="R79" s="214"/>
      <c r="S79" s="214"/>
      <c r="T79" s="214"/>
      <c r="U79" s="214"/>
      <c r="V79" s="214"/>
      <c r="W79" s="214"/>
      <c r="X79" s="214"/>
      <c r="Y79" s="214"/>
      <c r="Z79" s="213">
        <f t="shared" si="4"/>
        <v>0</v>
      </c>
      <c r="AA79" s="307">
        <f t="shared" si="9"/>
        <v>0</v>
      </c>
    </row>
    <row r="80" spans="1:27" s="212" customFormat="1">
      <c r="A80" s="14">
        <v>72</v>
      </c>
      <c r="B80" s="214"/>
      <c r="C80" s="214"/>
      <c r="D80" s="214"/>
      <c r="E80" s="215"/>
      <c r="F80" s="215"/>
      <c r="G80" s="211">
        <f t="shared" si="3"/>
        <v>0</v>
      </c>
      <c r="H80" s="214"/>
      <c r="I80" s="214"/>
      <c r="J80" s="214"/>
      <c r="K80" s="214"/>
      <c r="L80" s="214"/>
      <c r="M80" s="214"/>
      <c r="N80" s="17"/>
      <c r="O80" s="17"/>
      <c r="P80" s="17"/>
      <c r="Q80" s="17"/>
      <c r="R80" s="214"/>
      <c r="S80" s="214"/>
      <c r="T80" s="214"/>
      <c r="U80" s="214"/>
      <c r="V80" s="214"/>
      <c r="W80" s="214"/>
      <c r="X80" s="214"/>
      <c r="Y80" s="214"/>
      <c r="Z80" s="213">
        <f t="shared" si="4"/>
        <v>0</v>
      </c>
      <c r="AA80" s="307">
        <f t="shared" si="9"/>
        <v>0</v>
      </c>
    </row>
    <row r="81" spans="1:27" s="212" customFormat="1">
      <c r="A81" s="14">
        <v>73</v>
      </c>
      <c r="B81" s="214"/>
      <c r="C81" s="214"/>
      <c r="D81" s="214"/>
      <c r="E81" s="215"/>
      <c r="F81" s="215"/>
      <c r="G81" s="211">
        <f t="shared" si="3"/>
        <v>0</v>
      </c>
      <c r="H81" s="214"/>
      <c r="I81" s="214"/>
      <c r="J81" s="214"/>
      <c r="K81" s="214"/>
      <c r="L81" s="214"/>
      <c r="M81" s="214"/>
      <c r="N81" s="17"/>
      <c r="O81" s="17"/>
      <c r="P81" s="17"/>
      <c r="Q81" s="17"/>
      <c r="R81" s="214"/>
      <c r="S81" s="214"/>
      <c r="T81" s="214"/>
      <c r="U81" s="214"/>
      <c r="V81" s="214"/>
      <c r="W81" s="214"/>
      <c r="X81" s="214"/>
      <c r="Y81" s="214"/>
      <c r="Z81" s="213">
        <f t="shared" si="4"/>
        <v>0</v>
      </c>
      <c r="AA81" s="307">
        <f t="shared" si="9"/>
        <v>0</v>
      </c>
    </row>
    <row r="82" spans="1:27" s="212" customFormat="1">
      <c r="A82" s="14">
        <v>74</v>
      </c>
      <c r="B82" s="214"/>
      <c r="C82" s="214"/>
      <c r="D82" s="214"/>
      <c r="E82" s="215"/>
      <c r="F82" s="215"/>
      <c r="G82" s="211">
        <f t="shared" si="3"/>
        <v>0</v>
      </c>
      <c r="H82" s="214"/>
      <c r="I82" s="214"/>
      <c r="J82" s="214"/>
      <c r="K82" s="214"/>
      <c r="L82" s="214"/>
      <c r="M82" s="214"/>
      <c r="N82" s="17"/>
      <c r="O82" s="17"/>
      <c r="P82" s="17"/>
      <c r="Q82" s="17"/>
      <c r="R82" s="214"/>
      <c r="S82" s="214"/>
      <c r="T82" s="214"/>
      <c r="U82" s="214"/>
      <c r="V82" s="214"/>
      <c r="W82" s="214"/>
      <c r="X82" s="214"/>
      <c r="Y82" s="214"/>
      <c r="Z82" s="213">
        <f t="shared" si="4"/>
        <v>0</v>
      </c>
      <c r="AA82" s="307">
        <f t="shared" si="9"/>
        <v>0</v>
      </c>
    </row>
    <row r="83" spans="1:27" s="212" customFormat="1">
      <c r="A83" s="14">
        <v>75</v>
      </c>
      <c r="B83" s="214"/>
      <c r="C83" s="214"/>
      <c r="D83" s="214"/>
      <c r="E83" s="215"/>
      <c r="F83" s="215"/>
      <c r="G83" s="211">
        <f t="shared" si="3"/>
        <v>0</v>
      </c>
      <c r="H83" s="214"/>
      <c r="I83" s="214"/>
      <c r="J83" s="214"/>
      <c r="K83" s="214"/>
      <c r="L83" s="214"/>
      <c r="M83" s="214"/>
      <c r="N83" s="17"/>
      <c r="O83" s="17"/>
      <c r="P83" s="17"/>
      <c r="Q83" s="17"/>
      <c r="R83" s="214"/>
      <c r="S83" s="214"/>
      <c r="T83" s="214"/>
      <c r="U83" s="214"/>
      <c r="V83" s="214"/>
      <c r="W83" s="214"/>
      <c r="X83" s="214"/>
      <c r="Y83" s="214"/>
      <c r="Z83" s="213">
        <f t="shared" si="4"/>
        <v>0</v>
      </c>
      <c r="AA83" s="307">
        <f t="shared" si="9"/>
        <v>0</v>
      </c>
    </row>
    <row r="84" spans="1:27" s="212" customFormat="1">
      <c r="A84" s="14">
        <v>76</v>
      </c>
      <c r="B84" s="214"/>
      <c r="C84" s="214"/>
      <c r="D84" s="214"/>
      <c r="E84" s="215"/>
      <c r="F84" s="215"/>
      <c r="G84" s="211">
        <f t="shared" si="3"/>
        <v>0</v>
      </c>
      <c r="H84" s="214"/>
      <c r="I84" s="214"/>
      <c r="J84" s="214"/>
      <c r="K84" s="214"/>
      <c r="L84" s="214"/>
      <c r="M84" s="214"/>
      <c r="N84" s="17"/>
      <c r="O84" s="17"/>
      <c r="P84" s="17"/>
      <c r="Q84" s="17"/>
      <c r="R84" s="214"/>
      <c r="S84" s="214"/>
      <c r="T84" s="214"/>
      <c r="U84" s="214"/>
      <c r="V84" s="214"/>
      <c r="W84" s="214"/>
      <c r="X84" s="214"/>
      <c r="Y84" s="214"/>
      <c r="Z84" s="213">
        <f t="shared" si="4"/>
        <v>0</v>
      </c>
      <c r="AA84" s="307">
        <f t="shared" si="9"/>
        <v>0</v>
      </c>
    </row>
    <row r="85" spans="1:27" s="212" customFormat="1">
      <c r="A85" s="14">
        <v>77</v>
      </c>
      <c r="B85" s="214"/>
      <c r="C85" s="214"/>
      <c r="D85" s="214"/>
      <c r="E85" s="215"/>
      <c r="F85" s="215"/>
      <c r="G85" s="211">
        <f t="shared" si="3"/>
        <v>0</v>
      </c>
      <c r="H85" s="214"/>
      <c r="I85" s="214"/>
      <c r="J85" s="214"/>
      <c r="K85" s="214"/>
      <c r="L85" s="214"/>
      <c r="M85" s="214"/>
      <c r="N85" s="17"/>
      <c r="O85" s="17"/>
      <c r="P85" s="17"/>
      <c r="Q85" s="17"/>
      <c r="R85" s="214"/>
      <c r="S85" s="214"/>
      <c r="T85" s="214"/>
      <c r="U85" s="214"/>
      <c r="V85" s="214"/>
      <c r="W85" s="214"/>
      <c r="X85" s="214"/>
      <c r="Y85" s="214"/>
      <c r="Z85" s="213">
        <f t="shared" si="4"/>
        <v>0</v>
      </c>
      <c r="AA85" s="307">
        <f t="shared" si="9"/>
        <v>0</v>
      </c>
    </row>
    <row r="86" spans="1:27" s="212" customFormat="1">
      <c r="A86" s="14">
        <v>78</v>
      </c>
      <c r="B86" s="214"/>
      <c r="C86" s="214"/>
      <c r="D86" s="214"/>
      <c r="E86" s="215"/>
      <c r="F86" s="215"/>
      <c r="G86" s="211">
        <f t="shared" si="3"/>
        <v>0</v>
      </c>
      <c r="H86" s="214"/>
      <c r="I86" s="214"/>
      <c r="J86" s="214"/>
      <c r="K86" s="214"/>
      <c r="L86" s="214"/>
      <c r="M86" s="214"/>
      <c r="N86" s="17"/>
      <c r="O86" s="17"/>
      <c r="P86" s="17"/>
      <c r="Q86" s="17"/>
      <c r="R86" s="214"/>
      <c r="S86" s="214"/>
      <c r="T86" s="214"/>
      <c r="U86" s="214"/>
      <c r="V86" s="214"/>
      <c r="W86" s="214"/>
      <c r="X86" s="214"/>
      <c r="Y86" s="214"/>
      <c r="Z86" s="213">
        <f t="shared" si="4"/>
        <v>0</v>
      </c>
      <c r="AA86" s="307">
        <f t="shared" si="9"/>
        <v>0</v>
      </c>
    </row>
    <row r="87" spans="1:27" s="212" customFormat="1">
      <c r="A87" s="14">
        <v>79</v>
      </c>
      <c r="B87" s="214"/>
      <c r="C87" s="214"/>
      <c r="D87" s="214"/>
      <c r="E87" s="215"/>
      <c r="F87" s="215"/>
      <c r="G87" s="211">
        <f t="shared" si="3"/>
        <v>0</v>
      </c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3">
        <f t="shared" si="4"/>
        <v>0</v>
      </c>
      <c r="AA87" s="307">
        <f t="shared" si="9"/>
        <v>0</v>
      </c>
    </row>
    <row r="88" spans="1:27" s="212" customFormat="1">
      <c r="A88" s="14">
        <v>80</v>
      </c>
      <c r="B88" s="214"/>
      <c r="C88" s="214"/>
      <c r="D88" s="214"/>
      <c r="E88" s="215"/>
      <c r="F88" s="215"/>
      <c r="G88" s="211">
        <f t="shared" si="3"/>
        <v>0</v>
      </c>
      <c r="H88" s="214"/>
      <c r="I88" s="214"/>
      <c r="J88" s="214"/>
      <c r="K88" s="214"/>
      <c r="L88" s="214"/>
      <c r="M88" s="214"/>
      <c r="N88" s="17"/>
      <c r="O88" s="17"/>
      <c r="P88" s="17"/>
      <c r="Q88" s="17"/>
      <c r="R88" s="214"/>
      <c r="S88" s="214"/>
      <c r="T88" s="214"/>
      <c r="U88" s="214"/>
      <c r="V88" s="214"/>
      <c r="W88" s="214"/>
      <c r="X88" s="214"/>
      <c r="Y88" s="214"/>
      <c r="Z88" s="213">
        <f t="shared" si="4"/>
        <v>0</v>
      </c>
      <c r="AA88" s="307">
        <f t="shared" si="9"/>
        <v>0</v>
      </c>
    </row>
    <row r="89" spans="1:27" s="15" customFormat="1" ht="29.25" customHeight="1">
      <c r="A89" s="712" t="s">
        <v>449</v>
      </c>
      <c r="B89" s="713"/>
      <c r="C89" s="713"/>
      <c r="D89" s="713"/>
      <c r="E89" s="713"/>
      <c r="F89" s="714"/>
      <c r="G89" s="229">
        <f t="shared" ref="G89:T89" si="10">SUM(G9:G88)</f>
        <v>1655346297</v>
      </c>
      <c r="H89" s="229">
        <f t="shared" si="10"/>
        <v>0</v>
      </c>
      <c r="I89" s="229">
        <f t="shared" si="10"/>
        <v>452070391</v>
      </c>
      <c r="J89" s="229">
        <f t="shared" si="10"/>
        <v>1137506057</v>
      </c>
      <c r="K89" s="229">
        <f t="shared" si="10"/>
        <v>7529876</v>
      </c>
      <c r="L89" s="229">
        <f t="shared" si="10"/>
        <v>0</v>
      </c>
      <c r="M89" s="229">
        <f t="shared" si="10"/>
        <v>0</v>
      </c>
      <c r="N89" s="229">
        <f t="shared" si="10"/>
        <v>0</v>
      </c>
      <c r="O89" s="229">
        <f t="shared" si="10"/>
        <v>0</v>
      </c>
      <c r="P89" s="229">
        <f t="shared" si="10"/>
        <v>116650602</v>
      </c>
      <c r="Q89" s="229">
        <f t="shared" si="10"/>
        <v>58239973</v>
      </c>
      <c r="R89" s="229">
        <f t="shared" si="10"/>
        <v>0</v>
      </c>
      <c r="S89" s="229">
        <f t="shared" si="10"/>
        <v>0</v>
      </c>
      <c r="T89" s="229">
        <f t="shared" si="10"/>
        <v>0</v>
      </c>
      <c r="U89" s="230"/>
      <c r="V89" s="229">
        <f>SUM(V9:V88)</f>
        <v>0</v>
      </c>
      <c r="W89" s="230"/>
      <c r="X89" s="229">
        <f>SUM(X9:X88)</f>
        <v>41069</v>
      </c>
      <c r="Y89" s="229">
        <f>SUM(Y9:Y88)</f>
        <v>0</v>
      </c>
      <c r="Z89" s="229">
        <f>SUM(Z9:Z88)</f>
        <v>1655305228</v>
      </c>
      <c r="AA89" s="307"/>
    </row>
    <row r="90" spans="1:27" s="15" customFormat="1" ht="29.25" customHeight="1">
      <c r="A90" s="712" t="s">
        <v>978</v>
      </c>
      <c r="B90" s="713"/>
      <c r="C90" s="713"/>
      <c r="D90" s="713"/>
      <c r="E90" s="713"/>
      <c r="F90" s="714"/>
      <c r="G90" s="229">
        <f>+SUMIF($F$9:$F$88,$AA$90,$G$9:$G$88)</f>
        <v>1025588936</v>
      </c>
      <c r="H90" s="229">
        <f>+SUMIF($F$9:$F$88,$AA$90,$H$9:$H$88)</f>
        <v>0</v>
      </c>
      <c r="I90" s="229">
        <f>+SUMIF($F$9:$F$88,$AA$90,$I$9:$I$88)</f>
        <v>0</v>
      </c>
      <c r="J90" s="229">
        <f>+SUMIF($F$9:$F$88,$AA$90,$J$9:$J$88)</f>
        <v>1025413037</v>
      </c>
      <c r="K90" s="229">
        <f>+SUMIF($F$9:$F$88,$AA$90,$K$9:$K$88)</f>
        <v>175899</v>
      </c>
      <c r="L90" s="229">
        <f>+SUMIF($F$9:$F$88,$AA$90,$L$9:$L$88)</f>
        <v>0</v>
      </c>
      <c r="M90" s="229">
        <f>+SUMIF($F$9:$F$88,$AA$90,$M$9:$M$88)</f>
        <v>0</v>
      </c>
      <c r="N90" s="229">
        <f>+SUMIF($F$9:$F$88,$AA$90,$N$9:$N$88)</f>
        <v>0</v>
      </c>
      <c r="O90" s="229">
        <f>+SUMIF($F$9:$F$88,$AA$90,$O$9:$O$88)</f>
        <v>0</v>
      </c>
      <c r="P90" s="229">
        <f>+SUMIF($F$9:$F$88,$AA$90,$P$9:$P$88)</f>
        <v>0</v>
      </c>
      <c r="Q90" s="229">
        <f>+SUMIF($F$9:$F$88,$AA$90,$Q$9:$Q$88)</f>
        <v>0</v>
      </c>
      <c r="R90" s="229">
        <f>+SUMIF($F$9:$F$88,$AA$90,$R$9:$R$88)</f>
        <v>0</v>
      </c>
      <c r="S90" s="229">
        <f>+SUMIF($F$9:$F$88,$AA$90,$S$9:$S$88)</f>
        <v>0</v>
      </c>
      <c r="T90" s="229">
        <f>+SUMIF($F$9:$F$88,$AA$90,$T$9:$T$88)</f>
        <v>0</v>
      </c>
      <c r="U90" s="230"/>
      <c r="V90" s="229">
        <f>+SUMIF($F$9:$F$88,$AA$90,$V$9:$V$88)</f>
        <v>0</v>
      </c>
      <c r="W90" s="230"/>
      <c r="X90" s="229">
        <f>+SUMIF($F$9:$F$88,$AA$90,$X$9:$X$88)</f>
        <v>0</v>
      </c>
      <c r="Y90" s="229">
        <f>+SUMIF($F$9:$F$88,$AA$90,$Y$9:$Y$88)</f>
        <v>0</v>
      </c>
      <c r="Z90" s="229">
        <f>+MAX(AA9:AA88)</f>
        <v>1025588936</v>
      </c>
      <c r="AA90" s="307">
        <f>INDEX($F$9:$F$88,MATCH($Z90,$AA$9:$AA$88,0))</f>
        <v>1</v>
      </c>
    </row>
    <row r="91" spans="1:27" s="15" customFormat="1">
      <c r="AA91" s="309"/>
    </row>
    <row r="92" spans="1:27" ht="16.5" customHeight="1">
      <c r="B92" s="174" t="s">
        <v>756</v>
      </c>
      <c r="F92" s="157"/>
      <c r="G92" s="157"/>
      <c r="H92" s="157"/>
      <c r="I92" s="157"/>
      <c r="J92" s="157"/>
      <c r="K92" s="157"/>
      <c r="L92" s="157"/>
      <c r="M92" s="157"/>
      <c r="AA92" s="28"/>
    </row>
    <row r="93" spans="1:27" ht="11.25" customHeight="1">
      <c r="B93" s="174"/>
      <c r="F93" s="157"/>
      <c r="G93" s="157"/>
      <c r="H93" s="157"/>
      <c r="I93" s="157"/>
      <c r="J93" s="157"/>
      <c r="K93" s="157"/>
      <c r="L93" s="157"/>
      <c r="M93" s="157"/>
      <c r="AA93" s="28"/>
    </row>
    <row r="94" spans="1:27" ht="16.5" customHeight="1">
      <c r="B94" s="174" t="s">
        <v>757</v>
      </c>
      <c r="F94" s="157"/>
      <c r="G94" s="157"/>
      <c r="H94" s="157"/>
      <c r="I94" s="157"/>
      <c r="J94" s="157"/>
      <c r="K94" s="157"/>
      <c r="L94" s="157"/>
      <c r="M94" s="157"/>
      <c r="AA94" s="28"/>
    </row>
    <row r="95" spans="1:27" s="15" customFormat="1">
      <c r="B95" s="175"/>
      <c r="AA95" s="309"/>
    </row>
    <row r="96" spans="1:27" s="15" customFormat="1">
      <c r="B96" s="175"/>
      <c r="AA96" s="309"/>
    </row>
    <row r="97" spans="2:27" s="15" customFormat="1">
      <c r="B97" s="175"/>
      <c r="AA97" s="309"/>
    </row>
    <row r="98" spans="2:27" s="15" customFormat="1">
      <c r="AA98" s="309"/>
    </row>
    <row r="99" spans="2:27" s="15" customFormat="1" ht="15.75">
      <c r="B99" s="699"/>
      <c r="C99" s="699"/>
      <c r="D99" s="699"/>
      <c r="E99" s="699"/>
      <c r="F99" s="699"/>
      <c r="G99" s="699"/>
      <c r="H99" s="699"/>
      <c r="I99" s="699"/>
      <c r="J99" s="699"/>
      <c r="K99" s="699"/>
      <c r="L99" s="699"/>
      <c r="M99" s="699"/>
      <c r="N99" s="699"/>
      <c r="O99" s="699"/>
      <c r="P99" s="699"/>
      <c r="Q99" s="699"/>
      <c r="R99" s="699"/>
      <c r="S99" s="699"/>
      <c r="T99" s="699"/>
      <c r="AA99" s="309"/>
    </row>
    <row r="100" spans="2:27">
      <c r="AA100" s="310"/>
    </row>
    <row r="101" spans="2:27">
      <c r="AA101" s="310"/>
    </row>
    <row r="102" spans="2:27">
      <c r="AA102" s="310"/>
    </row>
    <row r="103" spans="2:27">
      <c r="AA103" s="310"/>
    </row>
    <row r="104" spans="2:27">
      <c r="AA104" s="310"/>
    </row>
    <row r="105" spans="2:27">
      <c r="AA105" s="310"/>
    </row>
    <row r="106" spans="2:27">
      <c r="AA106" s="310"/>
    </row>
    <row r="107" spans="2:27">
      <c r="AA107" s="310"/>
    </row>
    <row r="108" spans="2:27">
      <c r="AA108" s="310"/>
    </row>
    <row r="109" spans="2:27">
      <c r="AA109" s="310"/>
    </row>
    <row r="110" spans="2:27">
      <c r="AA110" s="310"/>
    </row>
    <row r="111" spans="2:27">
      <c r="AA111" s="310"/>
    </row>
    <row r="112" spans="2:27">
      <c r="AA112" s="310"/>
    </row>
    <row r="113" spans="27:27">
      <c r="AA113" s="310"/>
    </row>
    <row r="114" spans="27:27">
      <c r="AA114" s="310"/>
    </row>
    <row r="115" spans="27:27">
      <c r="AA115" s="310"/>
    </row>
    <row r="116" spans="27:27">
      <c r="AA116" s="310"/>
    </row>
    <row r="117" spans="27:27">
      <c r="AA117" s="310"/>
    </row>
    <row r="118" spans="27:27">
      <c r="AA118" s="310"/>
    </row>
    <row r="119" spans="27:27">
      <c r="AA119" s="310"/>
    </row>
    <row r="120" spans="27:27">
      <c r="AA120" s="310"/>
    </row>
    <row r="121" spans="27:27">
      <c r="AA121" s="310"/>
    </row>
    <row r="122" spans="27:27">
      <c r="AA122" s="310"/>
    </row>
    <row r="123" spans="27:27">
      <c r="AA123" s="310"/>
    </row>
    <row r="124" spans="27:27">
      <c r="AA124" s="310"/>
    </row>
    <row r="125" spans="27:27">
      <c r="AA125" s="310"/>
    </row>
    <row r="126" spans="27:27">
      <c r="AA126" s="310"/>
    </row>
    <row r="127" spans="27:27">
      <c r="AA127" s="310"/>
    </row>
    <row r="128" spans="27:27">
      <c r="AA128" s="310"/>
    </row>
    <row r="129" spans="27:27">
      <c r="AA129" s="310"/>
    </row>
    <row r="130" spans="27:27">
      <c r="AA130" s="310"/>
    </row>
    <row r="131" spans="27:27">
      <c r="AA131" s="310"/>
    </row>
  </sheetData>
  <sheetProtection algorithmName="SHA-512" hashValue="Kb+9mQYvAQDzc1I0k5BI4MA+wRNeFZKi59yYXXty9Tly26nJeRxUgCRr+TiBRAHaYuqpLiAUCYi/KG6PAh8ZWQ==" saltValue="UwWx46A4yBq1hxZXauMaJw==" spinCount="100000" sheet="1" objects="1" scenarios="1"/>
  <mergeCells count="37">
    <mergeCell ref="A89:F89"/>
    <mergeCell ref="A90:F90"/>
    <mergeCell ref="L8:M8"/>
    <mergeCell ref="N8:O8"/>
    <mergeCell ref="P8:Q8"/>
    <mergeCell ref="Z4:Z7"/>
    <mergeCell ref="U6:U7"/>
    <mergeCell ref="V6:V7"/>
    <mergeCell ref="T4:T7"/>
    <mergeCell ref="U4:V5"/>
    <mergeCell ref="W4:W7"/>
    <mergeCell ref="X4:X7"/>
    <mergeCell ref="Y4:Y7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U3:V3"/>
    <mergeCell ref="D4:D7"/>
    <mergeCell ref="E4:E7"/>
    <mergeCell ref="H5:K5"/>
    <mergeCell ref="L5:S5"/>
    <mergeCell ref="H6:H7"/>
    <mergeCell ref="P6:Q6"/>
    <mergeCell ref="R6:S6"/>
  </mergeCells>
  <dataValidations count="1">
    <dataValidation type="date" operator="greaterThan" allowBlank="1" showInputMessage="1" showErrorMessage="1" prompt="Введите дату в формате ЧЧ.ММ.ГГГГ" sqref="Y100:Z129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AA131"/>
  <sheetViews>
    <sheetView view="pageBreakPreview" zoomScale="70" zoomScaleNormal="40" zoomScaleSheetLayoutView="7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Z9" sqref="Z9:Z40"/>
    </sheetView>
  </sheetViews>
  <sheetFormatPr defaultRowHeight="12.75"/>
  <cols>
    <col min="1" max="1" width="5.140625" style="28" customWidth="1"/>
    <col min="2" max="2" width="43.42578125" style="28" customWidth="1"/>
    <col min="3" max="3" width="14.140625" style="28" customWidth="1"/>
    <col min="4" max="6" width="10.140625" style="28" customWidth="1"/>
    <col min="7" max="7" width="16" style="28" customWidth="1"/>
    <col min="8" max="8" width="15.42578125" style="28" customWidth="1"/>
    <col min="9" max="9" width="16" style="28" customWidth="1"/>
    <col min="10" max="10" width="13.85546875" style="28" customWidth="1"/>
    <col min="11" max="11" width="18.28515625" style="28" customWidth="1"/>
    <col min="12" max="19" width="13.85546875" style="28" customWidth="1"/>
    <col min="20" max="20" width="8.28515625" style="28" customWidth="1"/>
    <col min="21" max="21" width="10.140625" style="28" customWidth="1"/>
    <col min="22" max="22" width="14" style="28" customWidth="1"/>
    <col min="23" max="23" width="9.85546875" style="28" customWidth="1"/>
    <col min="24" max="24" width="14" style="28" customWidth="1"/>
    <col min="25" max="25" width="13.28515625" style="28" customWidth="1"/>
    <col min="26" max="26" width="14.7109375" style="28" customWidth="1"/>
    <col min="27" max="27" width="17.42578125" style="302" customWidth="1"/>
    <col min="28" max="16384" width="9.140625" style="28"/>
  </cols>
  <sheetData>
    <row r="1" spans="1:27" ht="20.25">
      <c r="A1" s="701" t="s">
        <v>450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1"/>
      <c r="W1" s="701"/>
      <c r="Y1" s="292" t="s">
        <v>451</v>
      </c>
    </row>
    <row r="2" spans="1:27">
      <c r="A2" s="220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Q2" s="194"/>
      <c r="R2" s="194"/>
      <c r="S2" s="194"/>
      <c r="T2" s="194"/>
    </row>
    <row r="3" spans="1:27" ht="15.75">
      <c r="A3" s="196"/>
      <c r="B3" s="80" t="str">
        <f>+'Asset quality'!B3</f>
        <v>"Ўзсаноатқурилишбанк" АТБ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Q3" s="196"/>
      <c r="R3" s="196"/>
      <c r="T3" s="194"/>
      <c r="U3" s="715">
        <f>+'Asset quality'!Q3</f>
        <v>46021</v>
      </c>
      <c r="V3" s="715"/>
      <c r="W3" s="232"/>
      <c r="Y3" s="700" t="str">
        <f>+'Asset quality'!T3</f>
        <v>минг. сўмда</v>
      </c>
      <c r="Z3" s="700"/>
    </row>
    <row r="4" spans="1:27" ht="27.75" customHeight="1">
      <c r="A4" s="702" t="s">
        <v>61</v>
      </c>
      <c r="B4" s="702" t="s">
        <v>424</v>
      </c>
      <c r="C4" s="691" t="s">
        <v>425</v>
      </c>
      <c r="D4" s="691" t="s">
        <v>426</v>
      </c>
      <c r="E4" s="691" t="s">
        <v>427</v>
      </c>
      <c r="F4" s="691" t="s">
        <v>428</v>
      </c>
      <c r="G4" s="691" t="s">
        <v>429</v>
      </c>
      <c r="H4" s="694" t="s">
        <v>332</v>
      </c>
      <c r="I4" s="695"/>
      <c r="J4" s="695"/>
      <c r="K4" s="695"/>
      <c r="L4" s="695"/>
      <c r="M4" s="695"/>
      <c r="N4" s="695"/>
      <c r="O4" s="695"/>
      <c r="P4" s="695"/>
      <c r="Q4" s="695"/>
      <c r="R4" s="695"/>
      <c r="S4" s="695"/>
      <c r="T4" s="691" t="s">
        <v>430</v>
      </c>
      <c r="U4" s="708" t="s">
        <v>431</v>
      </c>
      <c r="V4" s="709"/>
      <c r="W4" s="691" t="s">
        <v>432</v>
      </c>
      <c r="X4" s="691" t="s">
        <v>433</v>
      </c>
      <c r="Y4" s="691" t="s">
        <v>434</v>
      </c>
      <c r="Z4" s="691" t="s">
        <v>435</v>
      </c>
    </row>
    <row r="5" spans="1:27" ht="27.75" customHeight="1">
      <c r="A5" s="703"/>
      <c r="B5" s="703"/>
      <c r="C5" s="692"/>
      <c r="D5" s="692"/>
      <c r="E5" s="692"/>
      <c r="F5" s="692"/>
      <c r="G5" s="692"/>
      <c r="H5" s="694" t="s">
        <v>436</v>
      </c>
      <c r="I5" s="695"/>
      <c r="J5" s="695"/>
      <c r="K5" s="695"/>
      <c r="L5" s="694" t="s">
        <v>437</v>
      </c>
      <c r="M5" s="695"/>
      <c r="N5" s="695"/>
      <c r="O5" s="695"/>
      <c r="P5" s="695"/>
      <c r="Q5" s="695"/>
      <c r="R5" s="695"/>
      <c r="S5" s="695"/>
      <c r="T5" s="692"/>
      <c r="U5" s="710"/>
      <c r="V5" s="711"/>
      <c r="W5" s="692"/>
      <c r="X5" s="692"/>
      <c r="Y5" s="692"/>
      <c r="Z5" s="692"/>
    </row>
    <row r="6" spans="1:27" ht="108.75" customHeight="1">
      <c r="A6" s="703"/>
      <c r="B6" s="703"/>
      <c r="C6" s="692"/>
      <c r="D6" s="692"/>
      <c r="E6" s="692"/>
      <c r="F6" s="692"/>
      <c r="G6" s="692"/>
      <c r="H6" s="691" t="s">
        <v>438</v>
      </c>
      <c r="I6" s="691" t="s">
        <v>439</v>
      </c>
      <c r="J6" s="691" t="s">
        <v>440</v>
      </c>
      <c r="K6" s="691" t="s">
        <v>441</v>
      </c>
      <c r="L6" s="697" t="s">
        <v>442</v>
      </c>
      <c r="M6" s="698"/>
      <c r="N6" s="697" t="s">
        <v>443</v>
      </c>
      <c r="O6" s="698"/>
      <c r="P6" s="697" t="s">
        <v>444</v>
      </c>
      <c r="Q6" s="698"/>
      <c r="R6" s="697" t="s">
        <v>445</v>
      </c>
      <c r="S6" s="698"/>
      <c r="T6" s="692"/>
      <c r="U6" s="691" t="s">
        <v>446</v>
      </c>
      <c r="V6" s="691" t="s">
        <v>163</v>
      </c>
      <c r="W6" s="692"/>
      <c r="X6" s="692"/>
      <c r="Y6" s="692"/>
      <c r="Z6" s="692"/>
    </row>
    <row r="7" spans="1:27" ht="41.25" customHeight="1">
      <c r="A7" s="704"/>
      <c r="B7" s="704"/>
      <c r="C7" s="693"/>
      <c r="D7" s="693"/>
      <c r="E7" s="693"/>
      <c r="F7" s="693"/>
      <c r="G7" s="693"/>
      <c r="H7" s="693"/>
      <c r="I7" s="693"/>
      <c r="J7" s="693"/>
      <c r="K7" s="693"/>
      <c r="L7" s="303" t="s">
        <v>447</v>
      </c>
      <c r="M7" s="303" t="s">
        <v>448</v>
      </c>
      <c r="N7" s="303" t="s">
        <v>447</v>
      </c>
      <c r="O7" s="303" t="s">
        <v>448</v>
      </c>
      <c r="P7" s="303" t="s">
        <v>447</v>
      </c>
      <c r="Q7" s="303" t="s">
        <v>448</v>
      </c>
      <c r="R7" s="303" t="s">
        <v>447</v>
      </c>
      <c r="S7" s="303" t="s">
        <v>448</v>
      </c>
      <c r="T7" s="693"/>
      <c r="U7" s="693"/>
      <c r="V7" s="693"/>
      <c r="W7" s="693"/>
      <c r="X7" s="693"/>
      <c r="Y7" s="693"/>
      <c r="Z7" s="693"/>
    </row>
    <row r="8" spans="1:27" s="219" customFormat="1" ht="15">
      <c r="A8" s="304"/>
      <c r="B8" s="304" t="s">
        <v>78</v>
      </c>
      <c r="C8" s="304" t="s">
        <v>79</v>
      </c>
      <c r="D8" s="304" t="s">
        <v>89</v>
      </c>
      <c r="E8" s="304" t="s">
        <v>80</v>
      </c>
      <c r="F8" s="304" t="s">
        <v>81</v>
      </c>
      <c r="G8" s="209" t="s">
        <v>90</v>
      </c>
      <c r="H8" s="304" t="s">
        <v>226</v>
      </c>
      <c r="I8" s="304" t="s">
        <v>225</v>
      </c>
      <c r="J8" s="304" t="s">
        <v>224</v>
      </c>
      <c r="K8" s="304" t="s">
        <v>223</v>
      </c>
      <c r="L8" s="706" t="s">
        <v>222</v>
      </c>
      <c r="M8" s="707"/>
      <c r="N8" s="706" t="s">
        <v>221</v>
      </c>
      <c r="O8" s="707"/>
      <c r="P8" s="706" t="s">
        <v>220</v>
      </c>
      <c r="Q8" s="707"/>
      <c r="R8" s="706" t="s">
        <v>219</v>
      </c>
      <c r="S8" s="707"/>
      <c r="T8" s="304" t="s">
        <v>82</v>
      </c>
      <c r="U8" s="304" t="s">
        <v>83</v>
      </c>
      <c r="V8" s="304" t="s">
        <v>84</v>
      </c>
      <c r="W8" s="304" t="s">
        <v>85</v>
      </c>
      <c r="X8" s="304" t="s">
        <v>86</v>
      </c>
      <c r="Y8" s="304" t="s">
        <v>87</v>
      </c>
      <c r="Z8" s="304" t="s">
        <v>88</v>
      </c>
      <c r="AA8" s="305"/>
    </row>
    <row r="9" spans="1:27" s="212" customFormat="1" ht="25.5">
      <c r="A9" s="14">
        <v>1</v>
      </c>
      <c r="B9" s="214" t="s">
        <v>1007</v>
      </c>
      <c r="C9" s="216" t="s">
        <v>907</v>
      </c>
      <c r="D9" s="216" t="s">
        <v>907</v>
      </c>
      <c r="E9" s="215" t="s">
        <v>9</v>
      </c>
      <c r="F9" s="215">
        <v>1</v>
      </c>
      <c r="G9" s="224">
        <f t="shared" ref="G9:G65" si="0">+H9+I9+J9+K9+M9+O9+Q9+S9</f>
        <v>2522297197</v>
      </c>
      <c r="H9" s="222">
        <v>2521664097</v>
      </c>
      <c r="I9" s="222">
        <v>0</v>
      </c>
      <c r="J9" s="222">
        <v>0</v>
      </c>
      <c r="K9" s="222">
        <v>633100</v>
      </c>
      <c r="L9" s="222">
        <v>0</v>
      </c>
      <c r="M9" s="222">
        <v>0</v>
      </c>
      <c r="N9" s="223">
        <v>0</v>
      </c>
      <c r="O9" s="222">
        <v>0</v>
      </c>
      <c r="P9" s="222">
        <v>0</v>
      </c>
      <c r="Q9" s="222">
        <v>0</v>
      </c>
      <c r="R9" s="222">
        <v>0</v>
      </c>
      <c r="S9" s="222">
        <v>0</v>
      </c>
      <c r="T9" s="225"/>
      <c r="U9" s="225">
        <v>0</v>
      </c>
      <c r="V9" s="222">
        <v>2290825365</v>
      </c>
      <c r="W9" s="306"/>
      <c r="X9" s="222">
        <v>0</v>
      </c>
      <c r="Y9" s="222"/>
      <c r="Z9" s="221">
        <f t="shared" ref="Z9:Z65" si="1">+G9-V9-X9</f>
        <v>231471832</v>
      </c>
      <c r="AA9" s="307">
        <f t="shared" ref="AA9:AA40" si="2">SUMIF($F$9:$F$88,$F9,$Z$9:$Z$88)</f>
        <v>231471832</v>
      </c>
    </row>
    <row r="10" spans="1:27" s="212" customFormat="1">
      <c r="A10" s="14">
        <v>2</v>
      </c>
      <c r="B10" s="214" t="s">
        <v>861</v>
      </c>
      <c r="C10" s="216" t="s">
        <v>862</v>
      </c>
      <c r="D10" s="216" t="s">
        <v>863</v>
      </c>
      <c r="E10" s="215" t="s">
        <v>872</v>
      </c>
      <c r="F10" s="215">
        <v>2</v>
      </c>
      <c r="G10" s="224">
        <f t="shared" si="0"/>
        <v>783749955</v>
      </c>
      <c r="H10" s="222">
        <v>0</v>
      </c>
      <c r="I10" s="222">
        <v>783749955</v>
      </c>
      <c r="J10" s="222">
        <v>0</v>
      </c>
      <c r="K10" s="222">
        <v>0</v>
      </c>
      <c r="L10" s="222">
        <v>0</v>
      </c>
      <c r="M10" s="222">
        <v>0</v>
      </c>
      <c r="N10" s="223">
        <v>0</v>
      </c>
      <c r="O10" s="222">
        <v>0</v>
      </c>
      <c r="P10" s="222">
        <v>0</v>
      </c>
      <c r="Q10" s="222">
        <v>0</v>
      </c>
      <c r="R10" s="222">
        <v>0</v>
      </c>
      <c r="S10" s="222">
        <v>0</v>
      </c>
      <c r="T10" s="225"/>
      <c r="U10" s="225">
        <v>3</v>
      </c>
      <c r="V10" s="222">
        <v>610589546</v>
      </c>
      <c r="W10" s="306">
        <v>1</v>
      </c>
      <c r="X10" s="222">
        <v>0</v>
      </c>
      <c r="Y10" s="225"/>
      <c r="Z10" s="221">
        <f t="shared" si="1"/>
        <v>173160409</v>
      </c>
      <c r="AA10" s="307">
        <f t="shared" si="2"/>
        <v>662378866</v>
      </c>
    </row>
    <row r="11" spans="1:27" s="212" customFormat="1">
      <c r="A11" s="14">
        <v>3</v>
      </c>
      <c r="B11" s="214" t="s">
        <v>1008</v>
      </c>
      <c r="C11" s="216" t="s">
        <v>865</v>
      </c>
      <c r="D11" s="216" t="s">
        <v>863</v>
      </c>
      <c r="E11" s="215" t="s">
        <v>866</v>
      </c>
      <c r="F11" s="215">
        <v>2</v>
      </c>
      <c r="G11" s="224">
        <f t="shared" si="0"/>
        <v>626307627</v>
      </c>
      <c r="H11" s="222">
        <v>0</v>
      </c>
      <c r="I11" s="222">
        <v>626307627</v>
      </c>
      <c r="J11" s="222">
        <v>0</v>
      </c>
      <c r="K11" s="222">
        <v>0</v>
      </c>
      <c r="L11" s="222">
        <v>0</v>
      </c>
      <c r="M11" s="222">
        <v>0</v>
      </c>
      <c r="N11" s="223">
        <v>0</v>
      </c>
      <c r="O11" s="222">
        <v>0</v>
      </c>
      <c r="P11" s="222">
        <v>0</v>
      </c>
      <c r="Q11" s="222">
        <v>0</v>
      </c>
      <c r="R11" s="222">
        <v>0</v>
      </c>
      <c r="S11" s="222">
        <v>0</v>
      </c>
      <c r="T11" s="225"/>
      <c r="U11" s="222">
        <v>3</v>
      </c>
      <c r="V11" s="222">
        <v>626307627</v>
      </c>
      <c r="W11" s="306">
        <v>1</v>
      </c>
      <c r="X11" s="222">
        <v>0</v>
      </c>
      <c r="Y11" s="225"/>
      <c r="Z11" s="221">
        <f t="shared" si="1"/>
        <v>0</v>
      </c>
      <c r="AA11" s="307">
        <f t="shared" si="2"/>
        <v>662378866</v>
      </c>
    </row>
    <row r="12" spans="1:27" s="212" customFormat="1">
      <c r="A12" s="14">
        <v>4</v>
      </c>
      <c r="B12" s="214" t="s">
        <v>867</v>
      </c>
      <c r="C12" s="216" t="s">
        <v>868</v>
      </c>
      <c r="D12" s="216" t="s">
        <v>869</v>
      </c>
      <c r="E12" s="215" t="s">
        <v>866</v>
      </c>
      <c r="F12" s="215">
        <v>2</v>
      </c>
      <c r="G12" s="224">
        <f t="shared" si="0"/>
        <v>437331301</v>
      </c>
      <c r="H12" s="222">
        <v>0</v>
      </c>
      <c r="I12" s="222">
        <v>437331301</v>
      </c>
      <c r="J12" s="222">
        <v>0</v>
      </c>
      <c r="K12" s="222">
        <v>0</v>
      </c>
      <c r="L12" s="222">
        <v>0</v>
      </c>
      <c r="M12" s="222">
        <v>0</v>
      </c>
      <c r="N12" s="223">
        <v>0</v>
      </c>
      <c r="O12" s="222">
        <v>0</v>
      </c>
      <c r="P12" s="222">
        <v>0</v>
      </c>
      <c r="Q12" s="222">
        <v>0</v>
      </c>
      <c r="R12" s="222">
        <v>0</v>
      </c>
      <c r="S12" s="222">
        <v>0</v>
      </c>
      <c r="T12" s="225"/>
      <c r="U12" s="222">
        <v>3</v>
      </c>
      <c r="V12" s="222">
        <v>437331301</v>
      </c>
      <c r="W12" s="306">
        <v>1</v>
      </c>
      <c r="X12" s="222">
        <v>0</v>
      </c>
      <c r="Y12" s="222"/>
      <c r="Z12" s="221">
        <f t="shared" si="1"/>
        <v>0</v>
      </c>
      <c r="AA12" s="307">
        <f t="shared" si="2"/>
        <v>662378866</v>
      </c>
    </row>
    <row r="13" spans="1:27" s="212" customFormat="1" ht="25.5">
      <c r="A13" s="14">
        <v>5</v>
      </c>
      <c r="B13" s="214" t="s">
        <v>870</v>
      </c>
      <c r="C13" s="216" t="s">
        <v>871</v>
      </c>
      <c r="D13" s="216" t="s">
        <v>869</v>
      </c>
      <c r="E13" s="215" t="s">
        <v>866</v>
      </c>
      <c r="F13" s="215">
        <v>2</v>
      </c>
      <c r="G13" s="224">
        <f t="shared" si="0"/>
        <v>53885522</v>
      </c>
      <c r="H13" s="222">
        <v>0</v>
      </c>
      <c r="I13" s="222">
        <v>53885522</v>
      </c>
      <c r="J13" s="222">
        <v>0</v>
      </c>
      <c r="K13" s="222">
        <v>0</v>
      </c>
      <c r="L13" s="222">
        <v>0</v>
      </c>
      <c r="M13" s="222">
        <v>0</v>
      </c>
      <c r="N13" s="223">
        <v>0</v>
      </c>
      <c r="O13" s="222">
        <v>0</v>
      </c>
      <c r="P13" s="222">
        <v>0</v>
      </c>
      <c r="Q13" s="222">
        <v>0</v>
      </c>
      <c r="R13" s="222">
        <v>0</v>
      </c>
      <c r="S13" s="222">
        <v>0</v>
      </c>
      <c r="T13" s="225"/>
      <c r="U13" s="222">
        <v>0</v>
      </c>
      <c r="V13" s="222">
        <v>0</v>
      </c>
      <c r="W13" s="306">
        <v>1</v>
      </c>
      <c r="X13" s="222">
        <v>0</v>
      </c>
      <c r="Y13" s="222"/>
      <c r="Z13" s="221">
        <f t="shared" si="1"/>
        <v>53885522</v>
      </c>
      <c r="AA13" s="307">
        <f t="shared" si="2"/>
        <v>662378866</v>
      </c>
    </row>
    <row r="14" spans="1:27" s="212" customFormat="1">
      <c r="A14" s="14">
        <v>6</v>
      </c>
      <c r="B14" s="214" t="s">
        <v>873</v>
      </c>
      <c r="C14" s="216" t="s">
        <v>874</v>
      </c>
      <c r="D14" s="216" t="s">
        <v>863</v>
      </c>
      <c r="E14" s="215" t="s">
        <v>1009</v>
      </c>
      <c r="F14" s="215">
        <v>2</v>
      </c>
      <c r="G14" s="224">
        <f t="shared" si="0"/>
        <v>483689054</v>
      </c>
      <c r="H14" s="222">
        <v>0</v>
      </c>
      <c r="I14" s="222">
        <v>483557302</v>
      </c>
      <c r="J14" s="222">
        <v>0</v>
      </c>
      <c r="K14" s="222">
        <v>0</v>
      </c>
      <c r="L14" s="222">
        <v>0</v>
      </c>
      <c r="M14" s="222">
        <v>0</v>
      </c>
      <c r="N14" s="223">
        <v>0</v>
      </c>
      <c r="O14" s="222">
        <v>0</v>
      </c>
      <c r="P14" s="222">
        <v>658761</v>
      </c>
      <c r="Q14" s="216">
        <v>131752</v>
      </c>
      <c r="R14" s="222">
        <v>0</v>
      </c>
      <c r="S14" s="222">
        <v>0</v>
      </c>
      <c r="T14" s="225"/>
      <c r="U14" s="222">
        <v>0</v>
      </c>
      <c r="V14" s="222">
        <v>0</v>
      </c>
      <c r="W14" s="306">
        <v>2</v>
      </c>
      <c r="X14" s="222">
        <v>48356119</v>
      </c>
      <c r="Y14" s="222"/>
      <c r="Z14" s="221">
        <f t="shared" si="1"/>
        <v>435332935</v>
      </c>
      <c r="AA14" s="307">
        <f t="shared" si="2"/>
        <v>662378866</v>
      </c>
    </row>
    <row r="15" spans="1:27" s="212" customFormat="1">
      <c r="A15" s="14">
        <v>7</v>
      </c>
      <c r="B15" s="214" t="s">
        <v>893</v>
      </c>
      <c r="C15" s="216" t="s">
        <v>894</v>
      </c>
      <c r="D15" s="216" t="s">
        <v>895</v>
      </c>
      <c r="E15" s="215" t="s">
        <v>896</v>
      </c>
      <c r="F15" s="215">
        <v>3</v>
      </c>
      <c r="G15" s="224">
        <f t="shared" si="0"/>
        <v>1470439936</v>
      </c>
      <c r="H15" s="222">
        <v>0</v>
      </c>
      <c r="I15" s="222">
        <v>1470439936</v>
      </c>
      <c r="J15" s="222">
        <v>0</v>
      </c>
      <c r="K15" s="222">
        <v>0</v>
      </c>
      <c r="L15" s="222">
        <v>0</v>
      </c>
      <c r="M15" s="222">
        <v>0</v>
      </c>
      <c r="N15" s="223">
        <v>0</v>
      </c>
      <c r="O15" s="222">
        <v>0</v>
      </c>
      <c r="P15" s="222">
        <v>0</v>
      </c>
      <c r="Q15" s="223">
        <v>0</v>
      </c>
      <c r="R15" s="222">
        <v>0</v>
      </c>
      <c r="S15" s="222">
        <v>0</v>
      </c>
      <c r="T15" s="225"/>
      <c r="U15" s="222">
        <v>0</v>
      </c>
      <c r="V15" s="222">
        <v>0</v>
      </c>
      <c r="W15" s="306">
        <v>1</v>
      </c>
      <c r="X15" s="222">
        <v>0</v>
      </c>
      <c r="Y15" s="222"/>
      <c r="Z15" s="221">
        <f t="shared" si="1"/>
        <v>1470439936</v>
      </c>
      <c r="AA15" s="307">
        <f t="shared" si="2"/>
        <v>2025223486</v>
      </c>
    </row>
    <row r="16" spans="1:27" s="212" customFormat="1">
      <c r="A16" s="14">
        <v>8</v>
      </c>
      <c r="B16" s="214" t="s">
        <v>897</v>
      </c>
      <c r="C16" s="216" t="s">
        <v>898</v>
      </c>
      <c r="D16" s="216" t="s">
        <v>895</v>
      </c>
      <c r="E16" s="215" t="s">
        <v>866</v>
      </c>
      <c r="F16" s="215">
        <v>3</v>
      </c>
      <c r="G16" s="224">
        <f t="shared" si="0"/>
        <v>438233116</v>
      </c>
      <c r="H16" s="222">
        <v>0</v>
      </c>
      <c r="I16" s="222">
        <v>438233116</v>
      </c>
      <c r="J16" s="222">
        <v>0</v>
      </c>
      <c r="K16" s="222">
        <v>0</v>
      </c>
      <c r="L16" s="222">
        <v>0</v>
      </c>
      <c r="M16" s="222">
        <v>0</v>
      </c>
      <c r="N16" s="223">
        <v>0</v>
      </c>
      <c r="O16" s="222">
        <v>0</v>
      </c>
      <c r="P16" s="222">
        <v>0</v>
      </c>
      <c r="Q16" s="223">
        <v>0</v>
      </c>
      <c r="R16" s="222">
        <v>0</v>
      </c>
      <c r="S16" s="222">
        <v>0</v>
      </c>
      <c r="T16" s="225"/>
      <c r="U16" s="222">
        <v>0</v>
      </c>
      <c r="V16" s="222">
        <v>0</v>
      </c>
      <c r="W16" s="306">
        <v>1</v>
      </c>
      <c r="X16" s="222">
        <v>0</v>
      </c>
      <c r="Y16" s="222"/>
      <c r="Z16" s="221">
        <f t="shared" si="1"/>
        <v>438233116</v>
      </c>
      <c r="AA16" s="307">
        <f t="shared" si="2"/>
        <v>2025223486</v>
      </c>
    </row>
    <row r="17" spans="1:27" s="212" customFormat="1">
      <c r="A17" s="14">
        <v>9</v>
      </c>
      <c r="B17" s="214" t="s">
        <v>899</v>
      </c>
      <c r="C17" s="216" t="s">
        <v>900</v>
      </c>
      <c r="D17" s="216" t="s">
        <v>860</v>
      </c>
      <c r="E17" s="215" t="s">
        <v>866</v>
      </c>
      <c r="F17" s="215">
        <v>3</v>
      </c>
      <c r="G17" s="224">
        <f t="shared" si="0"/>
        <v>19100318</v>
      </c>
      <c r="H17" s="222">
        <v>0</v>
      </c>
      <c r="I17" s="222">
        <v>19100318</v>
      </c>
      <c r="J17" s="222">
        <v>0</v>
      </c>
      <c r="K17" s="222">
        <v>0</v>
      </c>
      <c r="L17" s="222">
        <v>0</v>
      </c>
      <c r="M17" s="222">
        <v>0</v>
      </c>
      <c r="N17" s="223">
        <v>0</v>
      </c>
      <c r="O17" s="222">
        <v>0</v>
      </c>
      <c r="P17" s="222">
        <v>0</v>
      </c>
      <c r="Q17" s="223">
        <v>0</v>
      </c>
      <c r="R17" s="222">
        <v>0</v>
      </c>
      <c r="S17" s="222">
        <v>0</v>
      </c>
      <c r="T17" s="225"/>
      <c r="U17" s="222">
        <v>0</v>
      </c>
      <c r="V17" s="222">
        <v>0</v>
      </c>
      <c r="W17" s="306">
        <v>1</v>
      </c>
      <c r="X17" s="222">
        <v>0</v>
      </c>
      <c r="Y17" s="222"/>
      <c r="Z17" s="221">
        <f t="shared" si="1"/>
        <v>19100318</v>
      </c>
      <c r="AA17" s="307">
        <f t="shared" si="2"/>
        <v>2025223486</v>
      </c>
    </row>
    <row r="18" spans="1:27" s="212" customFormat="1">
      <c r="A18" s="14">
        <v>10</v>
      </c>
      <c r="B18" s="214" t="s">
        <v>1001</v>
      </c>
      <c r="C18" s="216" t="s">
        <v>1002</v>
      </c>
      <c r="D18" s="216" t="s">
        <v>860</v>
      </c>
      <c r="E18" s="215" t="s">
        <v>896</v>
      </c>
      <c r="F18" s="215">
        <v>3</v>
      </c>
      <c r="G18" s="224">
        <f t="shared" si="0"/>
        <v>97450116</v>
      </c>
      <c r="H18" s="222">
        <v>0</v>
      </c>
      <c r="I18" s="222">
        <v>97450116</v>
      </c>
      <c r="J18" s="222">
        <v>0</v>
      </c>
      <c r="K18" s="222">
        <v>0</v>
      </c>
      <c r="L18" s="222">
        <v>0</v>
      </c>
      <c r="M18" s="222">
        <v>0</v>
      </c>
      <c r="N18" s="223">
        <v>0</v>
      </c>
      <c r="O18" s="222">
        <v>0</v>
      </c>
      <c r="P18" s="222">
        <v>0</v>
      </c>
      <c r="Q18" s="222">
        <v>0</v>
      </c>
      <c r="R18" s="222">
        <v>0</v>
      </c>
      <c r="S18" s="222">
        <v>0</v>
      </c>
      <c r="T18" s="225"/>
      <c r="U18" s="222">
        <v>0</v>
      </c>
      <c r="V18" s="222">
        <v>0</v>
      </c>
      <c r="W18" s="306">
        <v>1</v>
      </c>
      <c r="X18" s="222">
        <v>0</v>
      </c>
      <c r="Y18" s="222"/>
      <c r="Z18" s="221">
        <f t="shared" si="1"/>
        <v>97450116</v>
      </c>
      <c r="AA18" s="307">
        <f t="shared" si="2"/>
        <v>2025223486</v>
      </c>
    </row>
    <row r="19" spans="1:27" s="212" customFormat="1">
      <c r="A19" s="14">
        <v>11</v>
      </c>
      <c r="B19" s="214" t="s">
        <v>917</v>
      </c>
      <c r="C19" s="216" t="s">
        <v>918</v>
      </c>
      <c r="D19" s="216" t="s">
        <v>919</v>
      </c>
      <c r="E19" s="215" t="s">
        <v>864</v>
      </c>
      <c r="F19" s="215">
        <v>4</v>
      </c>
      <c r="G19" s="224">
        <f t="shared" si="0"/>
        <v>1885722996</v>
      </c>
      <c r="H19" s="222">
        <v>0</v>
      </c>
      <c r="I19" s="222">
        <v>1883650926</v>
      </c>
      <c r="J19" s="222">
        <v>0</v>
      </c>
      <c r="K19" s="222">
        <v>2072070</v>
      </c>
      <c r="L19" s="222">
        <v>0</v>
      </c>
      <c r="M19" s="222">
        <v>0</v>
      </c>
      <c r="N19" s="223">
        <v>0</v>
      </c>
      <c r="O19" s="222">
        <v>0</v>
      </c>
      <c r="P19" s="222">
        <v>0</v>
      </c>
      <c r="Q19" s="222">
        <v>0</v>
      </c>
      <c r="R19" s="222">
        <v>0</v>
      </c>
      <c r="S19" s="222">
        <v>0</v>
      </c>
      <c r="T19" s="225"/>
      <c r="U19" s="222">
        <v>0</v>
      </c>
      <c r="V19" s="222">
        <v>0</v>
      </c>
      <c r="W19" s="306">
        <v>2</v>
      </c>
      <c r="X19" s="222">
        <v>200348644</v>
      </c>
      <c r="Y19" s="222"/>
      <c r="Z19" s="221">
        <f t="shared" si="1"/>
        <v>1685374352</v>
      </c>
      <c r="AA19" s="307">
        <f t="shared" si="2"/>
        <v>1685374352</v>
      </c>
    </row>
    <row r="20" spans="1:27" s="212" customFormat="1">
      <c r="A20" s="14">
        <v>12</v>
      </c>
      <c r="B20" s="214" t="s">
        <v>882</v>
      </c>
      <c r="C20" s="216" t="s">
        <v>883</v>
      </c>
      <c r="D20" s="216" t="s">
        <v>884</v>
      </c>
      <c r="E20" s="215" t="s">
        <v>866</v>
      </c>
      <c r="F20" s="215">
        <v>5</v>
      </c>
      <c r="G20" s="224">
        <f t="shared" si="0"/>
        <v>749813318</v>
      </c>
      <c r="H20" s="222">
        <v>0</v>
      </c>
      <c r="I20" s="222">
        <v>749813318</v>
      </c>
      <c r="J20" s="222">
        <v>0</v>
      </c>
      <c r="K20" s="222">
        <v>0</v>
      </c>
      <c r="L20" s="222">
        <v>0</v>
      </c>
      <c r="M20" s="222">
        <v>0</v>
      </c>
      <c r="N20" s="223">
        <v>0</v>
      </c>
      <c r="O20" s="222">
        <v>0</v>
      </c>
      <c r="P20" s="222">
        <v>0</v>
      </c>
      <c r="Q20" s="222">
        <v>0</v>
      </c>
      <c r="R20" s="222">
        <v>0</v>
      </c>
      <c r="S20" s="222">
        <v>0</v>
      </c>
      <c r="T20" s="225"/>
      <c r="U20" s="222">
        <v>3</v>
      </c>
      <c r="V20" s="222">
        <v>521687877</v>
      </c>
      <c r="W20" s="306">
        <v>1</v>
      </c>
      <c r="X20" s="222">
        <v>0</v>
      </c>
      <c r="Y20" s="222"/>
      <c r="Z20" s="221">
        <f t="shared" si="1"/>
        <v>228125441</v>
      </c>
      <c r="AA20" s="307">
        <f t="shared" si="2"/>
        <v>1304216313</v>
      </c>
    </row>
    <row r="21" spans="1:27" s="212" customFormat="1" ht="25.5">
      <c r="A21" s="14">
        <v>13</v>
      </c>
      <c r="B21" s="214" t="s">
        <v>885</v>
      </c>
      <c r="C21" s="216" t="s">
        <v>886</v>
      </c>
      <c r="D21" s="216" t="s">
        <v>948</v>
      </c>
      <c r="E21" s="215" t="s">
        <v>866</v>
      </c>
      <c r="F21" s="215">
        <v>5</v>
      </c>
      <c r="G21" s="224">
        <f t="shared" si="0"/>
        <v>180705290</v>
      </c>
      <c r="H21" s="222">
        <v>0</v>
      </c>
      <c r="I21" s="222">
        <v>180705290</v>
      </c>
      <c r="J21" s="222">
        <v>0</v>
      </c>
      <c r="K21" s="222">
        <v>0</v>
      </c>
      <c r="L21" s="222">
        <v>0</v>
      </c>
      <c r="M21" s="222">
        <v>0</v>
      </c>
      <c r="N21" s="223">
        <v>0</v>
      </c>
      <c r="O21" s="222">
        <v>0</v>
      </c>
      <c r="P21" s="222">
        <v>0</v>
      </c>
      <c r="Q21" s="216">
        <v>0</v>
      </c>
      <c r="R21" s="222">
        <v>0</v>
      </c>
      <c r="S21" s="222">
        <v>0</v>
      </c>
      <c r="T21" s="225"/>
      <c r="U21" s="222">
        <v>0</v>
      </c>
      <c r="V21" s="222">
        <v>0</v>
      </c>
      <c r="W21" s="306">
        <v>1</v>
      </c>
      <c r="X21" s="222">
        <v>0</v>
      </c>
      <c r="Y21" s="222"/>
      <c r="Z21" s="221">
        <f t="shared" si="1"/>
        <v>180705290</v>
      </c>
      <c r="AA21" s="307">
        <f t="shared" si="2"/>
        <v>1304216313</v>
      </c>
    </row>
    <row r="22" spans="1:27" s="212" customFormat="1">
      <c r="A22" s="14">
        <v>14</v>
      </c>
      <c r="B22" s="214" t="s">
        <v>887</v>
      </c>
      <c r="C22" s="216" t="s">
        <v>888</v>
      </c>
      <c r="D22" s="216" t="s">
        <v>889</v>
      </c>
      <c r="E22" s="215">
        <v>0</v>
      </c>
      <c r="F22" s="215">
        <v>5</v>
      </c>
      <c r="G22" s="224">
        <f t="shared" si="0"/>
        <v>895385582</v>
      </c>
      <c r="H22" s="222">
        <v>0</v>
      </c>
      <c r="I22" s="222">
        <v>894771135</v>
      </c>
      <c r="J22" s="222">
        <v>0</v>
      </c>
      <c r="K22" s="222">
        <v>614447</v>
      </c>
      <c r="L22" s="222">
        <v>0</v>
      </c>
      <c r="M22" s="222">
        <v>0</v>
      </c>
      <c r="N22" s="223">
        <v>0</v>
      </c>
      <c r="O22" s="222">
        <v>0</v>
      </c>
      <c r="P22" s="222">
        <v>0</v>
      </c>
      <c r="Q22" s="223">
        <v>0</v>
      </c>
      <c r="R22" s="222">
        <v>0</v>
      </c>
      <c r="S22" s="222">
        <v>0</v>
      </c>
      <c r="T22" s="225"/>
      <c r="U22" s="222">
        <v>0</v>
      </c>
      <c r="V22" s="222">
        <v>0</v>
      </c>
      <c r="W22" s="306">
        <v>1</v>
      </c>
      <c r="X22" s="222">
        <v>0</v>
      </c>
      <c r="Y22" s="222"/>
      <c r="Z22" s="221">
        <f t="shared" si="1"/>
        <v>895385582</v>
      </c>
      <c r="AA22" s="307">
        <f t="shared" si="2"/>
        <v>1304216313</v>
      </c>
    </row>
    <row r="23" spans="1:27" s="212" customFormat="1">
      <c r="A23" s="14">
        <v>15</v>
      </c>
      <c r="B23" s="214" t="s">
        <v>890</v>
      </c>
      <c r="C23" s="216" t="s">
        <v>891</v>
      </c>
      <c r="D23" s="216" t="s">
        <v>892</v>
      </c>
      <c r="E23" s="215" t="s">
        <v>864</v>
      </c>
      <c r="F23" s="215">
        <v>6</v>
      </c>
      <c r="G23" s="224">
        <f t="shared" si="0"/>
        <v>1559113755</v>
      </c>
      <c r="H23" s="222">
        <v>0</v>
      </c>
      <c r="I23" s="222">
        <v>1559113755</v>
      </c>
      <c r="J23" s="222">
        <v>0</v>
      </c>
      <c r="K23" s="222">
        <v>0</v>
      </c>
      <c r="L23" s="222">
        <v>0</v>
      </c>
      <c r="M23" s="222">
        <v>0</v>
      </c>
      <c r="N23" s="223">
        <v>0</v>
      </c>
      <c r="O23" s="222">
        <v>0</v>
      </c>
      <c r="P23" s="222">
        <v>0</v>
      </c>
      <c r="Q23" s="223">
        <v>0</v>
      </c>
      <c r="R23" s="222">
        <v>0</v>
      </c>
      <c r="S23" s="222">
        <v>0</v>
      </c>
      <c r="T23" s="225"/>
      <c r="U23" s="222">
        <v>6</v>
      </c>
      <c r="V23" s="222">
        <v>517952286</v>
      </c>
      <c r="W23" s="306">
        <v>1</v>
      </c>
      <c r="X23" s="222">
        <v>0</v>
      </c>
      <c r="Y23" s="222"/>
      <c r="Z23" s="221">
        <f t="shared" si="1"/>
        <v>1041161469</v>
      </c>
      <c r="AA23" s="307">
        <f t="shared" si="2"/>
        <v>1242595305</v>
      </c>
    </row>
    <row r="24" spans="1:27" s="212" customFormat="1">
      <c r="A24" s="14">
        <v>16</v>
      </c>
      <c r="B24" s="214" t="s">
        <v>970</v>
      </c>
      <c r="C24" s="216" t="s">
        <v>971</v>
      </c>
      <c r="D24" s="216" t="s">
        <v>972</v>
      </c>
      <c r="E24" s="215" t="s">
        <v>872</v>
      </c>
      <c r="F24" s="215">
        <v>6</v>
      </c>
      <c r="G24" s="224">
        <f t="shared" si="0"/>
        <v>223815373</v>
      </c>
      <c r="H24" s="222">
        <v>0</v>
      </c>
      <c r="I24" s="222">
        <v>223815373</v>
      </c>
      <c r="J24" s="222">
        <v>0</v>
      </c>
      <c r="K24" s="222">
        <v>0</v>
      </c>
      <c r="L24" s="222">
        <v>0</v>
      </c>
      <c r="M24" s="222">
        <v>0</v>
      </c>
      <c r="N24" s="223">
        <v>0</v>
      </c>
      <c r="O24" s="222">
        <v>0</v>
      </c>
      <c r="P24" s="222">
        <v>0</v>
      </c>
      <c r="Q24" s="223">
        <v>0</v>
      </c>
      <c r="R24" s="222">
        <v>0</v>
      </c>
      <c r="S24" s="222">
        <v>0</v>
      </c>
      <c r="T24" s="225"/>
      <c r="U24" s="222">
        <v>3</v>
      </c>
      <c r="V24" s="222">
        <v>0</v>
      </c>
      <c r="W24" s="306">
        <v>2</v>
      </c>
      <c r="X24" s="222">
        <v>22381537</v>
      </c>
      <c r="Y24" s="222"/>
      <c r="Z24" s="221">
        <f t="shared" si="1"/>
        <v>201433836</v>
      </c>
      <c r="AA24" s="307">
        <f t="shared" si="2"/>
        <v>1242595305</v>
      </c>
    </row>
    <row r="25" spans="1:27" s="212" customFormat="1">
      <c r="A25" s="14">
        <v>17</v>
      </c>
      <c r="B25" s="214" t="s">
        <v>912</v>
      </c>
      <c r="C25" s="216" t="s">
        <v>913</v>
      </c>
      <c r="D25" s="216" t="s">
        <v>914</v>
      </c>
      <c r="E25" s="215" t="s">
        <v>864</v>
      </c>
      <c r="F25" s="215">
        <v>7</v>
      </c>
      <c r="G25" s="224">
        <f t="shared" si="0"/>
        <v>1005444095</v>
      </c>
      <c r="H25" s="222">
        <v>0</v>
      </c>
      <c r="I25" s="222">
        <v>1002788482</v>
      </c>
      <c r="J25" s="222">
        <v>0</v>
      </c>
      <c r="K25" s="222">
        <v>2655613</v>
      </c>
      <c r="L25" s="222">
        <v>0</v>
      </c>
      <c r="M25" s="222">
        <v>0</v>
      </c>
      <c r="N25" s="223">
        <v>0</v>
      </c>
      <c r="O25" s="222">
        <v>0</v>
      </c>
      <c r="P25" s="222">
        <v>0</v>
      </c>
      <c r="Q25" s="223">
        <v>0</v>
      </c>
      <c r="R25" s="222">
        <v>0</v>
      </c>
      <c r="S25" s="222">
        <v>0</v>
      </c>
      <c r="T25" s="225"/>
      <c r="U25" s="222">
        <v>0</v>
      </c>
      <c r="V25" s="222">
        <v>0</v>
      </c>
      <c r="W25" s="306">
        <v>1</v>
      </c>
      <c r="X25" s="222">
        <v>0</v>
      </c>
      <c r="Y25" s="222"/>
      <c r="Z25" s="221">
        <f t="shared" si="1"/>
        <v>1005444095</v>
      </c>
      <c r="AA25" s="307">
        <f t="shared" si="2"/>
        <v>1788275983</v>
      </c>
    </row>
    <row r="26" spans="1:27" s="212" customFormat="1">
      <c r="A26" s="14">
        <v>18</v>
      </c>
      <c r="B26" s="214" t="s">
        <v>915</v>
      </c>
      <c r="C26" s="216" t="s">
        <v>916</v>
      </c>
      <c r="D26" s="216" t="s">
        <v>914</v>
      </c>
      <c r="E26" s="215" t="s">
        <v>864</v>
      </c>
      <c r="F26" s="215">
        <v>7</v>
      </c>
      <c r="G26" s="224">
        <f t="shared" si="0"/>
        <v>782831888</v>
      </c>
      <c r="H26" s="222">
        <v>0</v>
      </c>
      <c r="I26" s="222">
        <v>736712539</v>
      </c>
      <c r="J26" s="222">
        <v>0</v>
      </c>
      <c r="K26" s="222">
        <v>423095</v>
      </c>
      <c r="L26" s="222">
        <v>0</v>
      </c>
      <c r="M26" s="222">
        <v>0</v>
      </c>
      <c r="N26" s="223">
        <v>45696254</v>
      </c>
      <c r="O26" s="222">
        <v>45696254</v>
      </c>
      <c r="P26" s="222">
        <v>0</v>
      </c>
      <c r="Q26" s="223">
        <v>0</v>
      </c>
      <c r="R26" s="222">
        <v>0</v>
      </c>
      <c r="S26" s="222">
        <v>0</v>
      </c>
      <c r="T26" s="225"/>
      <c r="U26" s="222">
        <v>0</v>
      </c>
      <c r="V26" s="222">
        <v>0</v>
      </c>
      <c r="W26" s="306">
        <v>1</v>
      </c>
      <c r="X26" s="222">
        <v>0</v>
      </c>
      <c r="Y26" s="222"/>
      <c r="Z26" s="221">
        <f t="shared" si="1"/>
        <v>782831888</v>
      </c>
      <c r="AA26" s="307">
        <f t="shared" si="2"/>
        <v>1788275983</v>
      </c>
    </row>
    <row r="27" spans="1:27" s="212" customFormat="1">
      <c r="A27" s="14">
        <v>19</v>
      </c>
      <c r="B27" s="214" t="s">
        <v>923</v>
      </c>
      <c r="C27" s="216" t="s">
        <v>924</v>
      </c>
      <c r="D27" s="216" t="s">
        <v>925</v>
      </c>
      <c r="E27" s="215" t="s">
        <v>911</v>
      </c>
      <c r="F27" s="215">
        <v>8</v>
      </c>
      <c r="G27" s="224">
        <f t="shared" si="0"/>
        <v>1521306385</v>
      </c>
      <c r="H27" s="222">
        <v>0</v>
      </c>
      <c r="I27" s="222">
        <v>1518705796</v>
      </c>
      <c r="J27" s="222">
        <v>0</v>
      </c>
      <c r="K27" s="222">
        <v>0</v>
      </c>
      <c r="L27" s="222">
        <v>0</v>
      </c>
      <c r="M27" s="222">
        <v>0</v>
      </c>
      <c r="N27" s="223">
        <v>0</v>
      </c>
      <c r="O27" s="222">
        <v>0</v>
      </c>
      <c r="P27" s="222">
        <v>5201178</v>
      </c>
      <c r="Q27" s="223">
        <v>2600589</v>
      </c>
      <c r="R27" s="222">
        <v>0</v>
      </c>
      <c r="S27" s="222">
        <v>0</v>
      </c>
      <c r="T27" s="225"/>
      <c r="U27" s="222">
        <v>0</v>
      </c>
      <c r="V27" s="222">
        <v>0</v>
      </c>
      <c r="W27" s="306">
        <v>1</v>
      </c>
      <c r="X27" s="222">
        <v>0</v>
      </c>
      <c r="Y27" s="222"/>
      <c r="Z27" s="221">
        <f t="shared" si="1"/>
        <v>1521306385</v>
      </c>
      <c r="AA27" s="307">
        <f t="shared" si="2"/>
        <v>1701852624</v>
      </c>
    </row>
    <row r="28" spans="1:27" s="212" customFormat="1">
      <c r="A28" s="14">
        <v>20</v>
      </c>
      <c r="B28" s="214" t="s">
        <v>1003</v>
      </c>
      <c r="C28" s="216" t="s">
        <v>1004</v>
      </c>
      <c r="D28" s="216" t="s">
        <v>1005</v>
      </c>
      <c r="E28" s="215" t="s">
        <v>866</v>
      </c>
      <c r="F28" s="215">
        <v>8</v>
      </c>
      <c r="G28" s="224">
        <f t="shared" si="0"/>
        <v>180546239</v>
      </c>
      <c r="H28" s="222">
        <v>0</v>
      </c>
      <c r="I28" s="222">
        <v>180546239</v>
      </c>
      <c r="J28" s="222">
        <v>0</v>
      </c>
      <c r="K28" s="222">
        <v>0</v>
      </c>
      <c r="L28" s="222">
        <v>0</v>
      </c>
      <c r="M28" s="222">
        <v>0</v>
      </c>
      <c r="N28" s="223">
        <v>0</v>
      </c>
      <c r="O28" s="222">
        <v>0</v>
      </c>
      <c r="P28" s="222">
        <v>0</v>
      </c>
      <c r="Q28" s="223">
        <v>0</v>
      </c>
      <c r="R28" s="222">
        <v>0</v>
      </c>
      <c r="S28" s="222">
        <v>0</v>
      </c>
      <c r="T28" s="225"/>
      <c r="U28" s="222">
        <v>0</v>
      </c>
      <c r="V28" s="222">
        <v>0</v>
      </c>
      <c r="W28" s="306">
        <v>1</v>
      </c>
      <c r="X28" s="222">
        <v>0</v>
      </c>
      <c r="Y28" s="222"/>
      <c r="Z28" s="221">
        <f t="shared" si="1"/>
        <v>180546239</v>
      </c>
      <c r="AA28" s="307">
        <f t="shared" si="2"/>
        <v>1701852624</v>
      </c>
    </row>
    <row r="29" spans="1:27" s="212" customFormat="1">
      <c r="A29" s="14">
        <v>21</v>
      </c>
      <c r="B29" s="214" t="s">
        <v>945</v>
      </c>
      <c r="C29" s="216" t="s">
        <v>946</v>
      </c>
      <c r="D29" s="216" t="s">
        <v>947</v>
      </c>
      <c r="E29" s="215" t="s">
        <v>904</v>
      </c>
      <c r="F29" s="215">
        <v>9</v>
      </c>
      <c r="G29" s="224">
        <f t="shared" si="0"/>
        <v>160800101</v>
      </c>
      <c r="H29" s="222">
        <v>0</v>
      </c>
      <c r="I29" s="222">
        <v>129220612</v>
      </c>
      <c r="J29" s="222">
        <v>0</v>
      </c>
      <c r="K29" s="222">
        <v>0</v>
      </c>
      <c r="L29" s="222">
        <v>0</v>
      </c>
      <c r="M29" s="222">
        <v>0</v>
      </c>
      <c r="N29" s="223">
        <v>0</v>
      </c>
      <c r="O29" s="222">
        <v>0</v>
      </c>
      <c r="P29" s="222">
        <v>63158978</v>
      </c>
      <c r="Q29" s="223">
        <v>31579489</v>
      </c>
      <c r="R29" s="222">
        <v>0</v>
      </c>
      <c r="S29" s="222">
        <v>0</v>
      </c>
      <c r="T29" s="225"/>
      <c r="U29" s="222">
        <v>0</v>
      </c>
      <c r="V29" s="222">
        <v>0</v>
      </c>
      <c r="W29" s="306">
        <v>1</v>
      </c>
      <c r="X29" s="222">
        <v>0</v>
      </c>
      <c r="Y29" s="222"/>
      <c r="Z29" s="221">
        <f t="shared" si="1"/>
        <v>160800101</v>
      </c>
      <c r="AA29" s="307">
        <f t="shared" si="2"/>
        <v>1674464819</v>
      </c>
    </row>
    <row r="30" spans="1:27" s="212" customFormat="1">
      <c r="A30" s="14">
        <v>22</v>
      </c>
      <c r="B30" s="214" t="s">
        <v>920</v>
      </c>
      <c r="C30" s="216" t="s">
        <v>907</v>
      </c>
      <c r="D30" s="216" t="s">
        <v>907</v>
      </c>
      <c r="E30" s="215" t="s">
        <v>9</v>
      </c>
      <c r="F30" s="215">
        <v>9</v>
      </c>
      <c r="G30" s="224">
        <f t="shared" si="0"/>
        <v>1055414037</v>
      </c>
      <c r="H30" s="222">
        <v>0</v>
      </c>
      <c r="I30" s="222">
        <v>0</v>
      </c>
      <c r="J30" s="222">
        <v>1025413037</v>
      </c>
      <c r="K30" s="222">
        <v>30001000</v>
      </c>
      <c r="L30" s="222">
        <v>0</v>
      </c>
      <c r="M30" s="222">
        <v>0</v>
      </c>
      <c r="N30" s="223">
        <v>0</v>
      </c>
      <c r="O30" s="222">
        <v>0</v>
      </c>
      <c r="P30" s="222">
        <v>0</v>
      </c>
      <c r="Q30" s="223">
        <v>0</v>
      </c>
      <c r="R30" s="222">
        <v>0</v>
      </c>
      <c r="S30" s="222">
        <v>0</v>
      </c>
      <c r="T30" s="225"/>
      <c r="U30" s="222">
        <v>0</v>
      </c>
      <c r="V30" s="222">
        <v>0</v>
      </c>
      <c r="W30" s="306"/>
      <c r="X30" s="222">
        <v>0</v>
      </c>
      <c r="Y30" s="222"/>
      <c r="Z30" s="221">
        <f t="shared" si="1"/>
        <v>1055414037</v>
      </c>
      <c r="AA30" s="307">
        <f t="shared" si="2"/>
        <v>1674464819</v>
      </c>
    </row>
    <row r="31" spans="1:27" s="212" customFormat="1">
      <c r="A31" s="14">
        <v>23</v>
      </c>
      <c r="B31" s="214" t="s">
        <v>979</v>
      </c>
      <c r="C31" s="216" t="s">
        <v>986</v>
      </c>
      <c r="D31" s="216" t="s">
        <v>948</v>
      </c>
      <c r="E31" s="215" t="s">
        <v>904</v>
      </c>
      <c r="F31" s="215">
        <v>9</v>
      </c>
      <c r="G31" s="224">
        <f t="shared" si="0"/>
        <v>346157661</v>
      </c>
      <c r="H31" s="222">
        <v>0</v>
      </c>
      <c r="I31" s="222">
        <v>319798798</v>
      </c>
      <c r="J31" s="222">
        <v>0</v>
      </c>
      <c r="K31" s="222">
        <v>0</v>
      </c>
      <c r="L31" s="222">
        <v>0</v>
      </c>
      <c r="M31" s="222">
        <v>0</v>
      </c>
      <c r="N31" s="223">
        <v>0</v>
      </c>
      <c r="O31" s="222">
        <v>0</v>
      </c>
      <c r="P31" s="222">
        <v>52717725</v>
      </c>
      <c r="Q31" s="223">
        <v>26358863</v>
      </c>
      <c r="R31" s="222">
        <v>0</v>
      </c>
      <c r="S31" s="222">
        <v>0</v>
      </c>
      <c r="T31" s="225"/>
      <c r="U31" s="222">
        <v>0</v>
      </c>
      <c r="V31" s="222">
        <v>0</v>
      </c>
      <c r="W31" s="306">
        <v>1</v>
      </c>
      <c r="X31" s="222">
        <v>0</v>
      </c>
      <c r="Y31" s="222"/>
      <c r="Z31" s="221">
        <f t="shared" si="1"/>
        <v>346157661</v>
      </c>
      <c r="AA31" s="307">
        <f t="shared" si="2"/>
        <v>1674464819</v>
      </c>
    </row>
    <row r="32" spans="1:27" s="212" customFormat="1">
      <c r="A32" s="14">
        <v>24</v>
      </c>
      <c r="B32" s="214" t="s">
        <v>987</v>
      </c>
      <c r="C32" s="216" t="s">
        <v>907</v>
      </c>
      <c r="D32" s="216" t="s">
        <v>907</v>
      </c>
      <c r="E32" s="215" t="s">
        <v>9</v>
      </c>
      <c r="F32" s="215">
        <v>9</v>
      </c>
      <c r="G32" s="224">
        <f t="shared" si="0"/>
        <v>12578210</v>
      </c>
      <c r="H32" s="222">
        <v>0</v>
      </c>
      <c r="I32" s="222">
        <v>0</v>
      </c>
      <c r="J32" s="222">
        <v>12578210</v>
      </c>
      <c r="K32" s="222">
        <v>0</v>
      </c>
      <c r="L32" s="222">
        <v>0</v>
      </c>
      <c r="M32" s="222">
        <v>0</v>
      </c>
      <c r="N32" s="223">
        <v>0</v>
      </c>
      <c r="O32" s="222">
        <v>0</v>
      </c>
      <c r="P32" s="222">
        <v>0</v>
      </c>
      <c r="Q32" s="223">
        <v>0</v>
      </c>
      <c r="R32" s="222">
        <v>0</v>
      </c>
      <c r="S32" s="222">
        <v>0</v>
      </c>
      <c r="T32" s="225"/>
      <c r="U32" s="222">
        <v>0</v>
      </c>
      <c r="V32" s="222">
        <v>0</v>
      </c>
      <c r="W32" s="306"/>
      <c r="X32" s="222">
        <v>0</v>
      </c>
      <c r="Y32" s="222"/>
      <c r="Z32" s="221">
        <f t="shared" si="1"/>
        <v>12578210</v>
      </c>
      <c r="AA32" s="307">
        <f t="shared" si="2"/>
        <v>1674464819</v>
      </c>
    </row>
    <row r="33" spans="1:27" s="212" customFormat="1">
      <c r="A33" s="14">
        <v>25</v>
      </c>
      <c r="B33" s="214" t="s">
        <v>988</v>
      </c>
      <c r="C33" s="216" t="s">
        <v>907</v>
      </c>
      <c r="D33" s="216" t="s">
        <v>907</v>
      </c>
      <c r="E33" s="215" t="s">
        <v>9</v>
      </c>
      <c r="F33" s="215">
        <v>9</v>
      </c>
      <c r="G33" s="224">
        <f t="shared" si="0"/>
        <v>12578210</v>
      </c>
      <c r="H33" s="222">
        <v>0</v>
      </c>
      <c r="I33" s="222">
        <v>0</v>
      </c>
      <c r="J33" s="222">
        <v>12578210</v>
      </c>
      <c r="K33" s="222">
        <v>0</v>
      </c>
      <c r="L33" s="222">
        <v>0</v>
      </c>
      <c r="M33" s="222">
        <v>0</v>
      </c>
      <c r="N33" s="223">
        <v>0</v>
      </c>
      <c r="O33" s="222">
        <v>0</v>
      </c>
      <c r="P33" s="222">
        <v>0</v>
      </c>
      <c r="Q33" s="222">
        <v>0</v>
      </c>
      <c r="R33" s="222">
        <v>0</v>
      </c>
      <c r="S33" s="222">
        <v>0</v>
      </c>
      <c r="T33" s="225"/>
      <c r="U33" s="222">
        <v>0</v>
      </c>
      <c r="V33" s="222">
        <v>0</v>
      </c>
      <c r="W33" s="306"/>
      <c r="X33" s="222">
        <v>0</v>
      </c>
      <c r="Y33" s="222"/>
      <c r="Z33" s="221">
        <f t="shared" si="1"/>
        <v>12578210</v>
      </c>
      <c r="AA33" s="307">
        <f t="shared" si="2"/>
        <v>1674464819</v>
      </c>
    </row>
    <row r="34" spans="1:27" s="212" customFormat="1">
      <c r="A34" s="14">
        <v>26</v>
      </c>
      <c r="B34" s="214" t="s">
        <v>921</v>
      </c>
      <c r="C34" s="216" t="s">
        <v>907</v>
      </c>
      <c r="D34" s="216" t="s">
        <v>907</v>
      </c>
      <c r="E34" s="215">
        <v>0</v>
      </c>
      <c r="F34" s="215">
        <v>9</v>
      </c>
      <c r="G34" s="224">
        <f t="shared" ref="G34:G58" si="3">+H34+I34+J34+K34+M34+O34+Q34+S34</f>
        <v>2000000</v>
      </c>
      <c r="H34" s="222">
        <v>0</v>
      </c>
      <c r="I34" s="222">
        <v>0</v>
      </c>
      <c r="J34" s="222">
        <v>2000000</v>
      </c>
      <c r="K34" s="222">
        <v>0</v>
      </c>
      <c r="L34" s="222">
        <v>0</v>
      </c>
      <c r="M34" s="222">
        <v>0</v>
      </c>
      <c r="N34" s="223">
        <v>0</v>
      </c>
      <c r="O34" s="222">
        <v>0</v>
      </c>
      <c r="P34" s="222">
        <v>0</v>
      </c>
      <c r="Q34" s="222">
        <v>0</v>
      </c>
      <c r="R34" s="222">
        <v>0</v>
      </c>
      <c r="S34" s="222">
        <v>0</v>
      </c>
      <c r="T34" s="225"/>
      <c r="U34" s="222">
        <v>0</v>
      </c>
      <c r="V34" s="222">
        <v>0</v>
      </c>
      <c r="W34" s="306"/>
      <c r="X34" s="222">
        <v>0</v>
      </c>
      <c r="Y34" s="222"/>
      <c r="Z34" s="221">
        <f t="shared" ref="Z34:Z58" si="4">+G34-V34-X34</f>
        <v>2000000</v>
      </c>
      <c r="AA34" s="307">
        <f t="shared" si="2"/>
        <v>1674464819</v>
      </c>
    </row>
    <row r="35" spans="1:27" s="212" customFormat="1" ht="25.5">
      <c r="A35" s="14">
        <v>27</v>
      </c>
      <c r="B35" s="214" t="s">
        <v>922</v>
      </c>
      <c r="C35" s="216" t="s">
        <v>907</v>
      </c>
      <c r="D35" s="216" t="s">
        <v>907</v>
      </c>
      <c r="E35" s="215">
        <v>0</v>
      </c>
      <c r="F35" s="215">
        <v>9</v>
      </c>
      <c r="G35" s="224">
        <f t="shared" si="3"/>
        <v>84936600</v>
      </c>
      <c r="H35" s="222">
        <v>0</v>
      </c>
      <c r="I35" s="222">
        <v>0</v>
      </c>
      <c r="J35" s="222">
        <v>84936600</v>
      </c>
      <c r="K35" s="222">
        <v>0</v>
      </c>
      <c r="L35" s="222">
        <v>0</v>
      </c>
      <c r="M35" s="222">
        <v>0</v>
      </c>
      <c r="N35" s="223">
        <v>0</v>
      </c>
      <c r="O35" s="222">
        <v>0</v>
      </c>
      <c r="P35" s="222">
        <v>0</v>
      </c>
      <c r="Q35" s="222">
        <v>0</v>
      </c>
      <c r="R35" s="222">
        <v>0</v>
      </c>
      <c r="S35" s="222">
        <v>0</v>
      </c>
      <c r="T35" s="225"/>
      <c r="U35" s="222">
        <v>0</v>
      </c>
      <c r="V35" s="222">
        <v>0</v>
      </c>
      <c r="W35" s="306"/>
      <c r="X35" s="222">
        <v>0</v>
      </c>
      <c r="Y35" s="222"/>
      <c r="Z35" s="221">
        <f t="shared" si="4"/>
        <v>84936600</v>
      </c>
      <c r="AA35" s="307">
        <f t="shared" si="2"/>
        <v>1674464819</v>
      </c>
    </row>
    <row r="36" spans="1:27" s="212" customFormat="1">
      <c r="A36" s="14">
        <v>28</v>
      </c>
      <c r="B36" s="214" t="s">
        <v>901</v>
      </c>
      <c r="C36" s="216" t="s">
        <v>902</v>
      </c>
      <c r="D36" s="216" t="s">
        <v>903</v>
      </c>
      <c r="E36" s="215" t="s">
        <v>866</v>
      </c>
      <c r="F36" s="215">
        <v>10</v>
      </c>
      <c r="G36" s="224">
        <f t="shared" si="3"/>
        <v>1077723129</v>
      </c>
      <c r="H36" s="222">
        <v>0</v>
      </c>
      <c r="I36" s="222">
        <v>1077723129</v>
      </c>
      <c r="J36" s="222">
        <v>0</v>
      </c>
      <c r="K36" s="222">
        <v>0</v>
      </c>
      <c r="L36" s="222">
        <v>0</v>
      </c>
      <c r="M36" s="222">
        <v>0</v>
      </c>
      <c r="N36" s="223">
        <v>0</v>
      </c>
      <c r="O36" s="222">
        <v>0</v>
      </c>
      <c r="P36" s="222">
        <v>0</v>
      </c>
      <c r="Q36" s="222">
        <v>0</v>
      </c>
      <c r="R36" s="222">
        <v>0</v>
      </c>
      <c r="S36" s="222">
        <v>0</v>
      </c>
      <c r="T36" s="225"/>
      <c r="U36" s="222">
        <v>3</v>
      </c>
      <c r="V36" s="222">
        <v>1077723129</v>
      </c>
      <c r="W36" s="306">
        <v>1</v>
      </c>
      <c r="X36" s="222">
        <v>0</v>
      </c>
      <c r="Y36" s="222"/>
      <c r="Z36" s="221">
        <f t="shared" si="4"/>
        <v>0</v>
      </c>
      <c r="AA36" s="307">
        <f t="shared" si="2"/>
        <v>505506351</v>
      </c>
    </row>
    <row r="37" spans="1:27" s="212" customFormat="1">
      <c r="A37" s="14">
        <v>29</v>
      </c>
      <c r="B37" s="214" t="s">
        <v>905</v>
      </c>
      <c r="C37" s="216" t="s">
        <v>906</v>
      </c>
      <c r="D37" s="216" t="s">
        <v>907</v>
      </c>
      <c r="E37" s="215">
        <v>0</v>
      </c>
      <c r="F37" s="215">
        <v>10</v>
      </c>
      <c r="G37" s="224">
        <f t="shared" si="3"/>
        <v>0</v>
      </c>
      <c r="H37" s="222">
        <v>0</v>
      </c>
      <c r="I37" s="222">
        <v>0</v>
      </c>
      <c r="J37" s="222">
        <v>0</v>
      </c>
      <c r="K37" s="222">
        <v>0</v>
      </c>
      <c r="L37" s="222">
        <v>0</v>
      </c>
      <c r="M37" s="222">
        <v>0</v>
      </c>
      <c r="N37" s="223">
        <v>0</v>
      </c>
      <c r="O37" s="222">
        <v>0</v>
      </c>
      <c r="P37" s="222">
        <v>0</v>
      </c>
      <c r="Q37" s="222">
        <v>0</v>
      </c>
      <c r="R37" s="222">
        <v>0</v>
      </c>
      <c r="S37" s="222">
        <v>0</v>
      </c>
      <c r="T37" s="225"/>
      <c r="U37" s="222">
        <v>0</v>
      </c>
      <c r="V37" s="222">
        <v>0</v>
      </c>
      <c r="W37" s="306"/>
      <c r="X37" s="222">
        <v>0</v>
      </c>
      <c r="Y37" s="222"/>
      <c r="Z37" s="221">
        <f t="shared" si="4"/>
        <v>0</v>
      </c>
      <c r="AA37" s="307">
        <f t="shared" si="2"/>
        <v>505506351</v>
      </c>
    </row>
    <row r="38" spans="1:27" s="212" customFormat="1">
      <c r="A38" s="14">
        <v>30</v>
      </c>
      <c r="B38" s="214" t="s">
        <v>908</v>
      </c>
      <c r="C38" s="216" t="s">
        <v>909</v>
      </c>
      <c r="D38" s="216" t="s">
        <v>910</v>
      </c>
      <c r="E38" s="215" t="s">
        <v>904</v>
      </c>
      <c r="F38" s="215">
        <v>10</v>
      </c>
      <c r="G38" s="224">
        <f t="shared" si="3"/>
        <v>562859795</v>
      </c>
      <c r="H38" s="222">
        <v>0</v>
      </c>
      <c r="I38" s="222">
        <v>562859795</v>
      </c>
      <c r="J38" s="222">
        <v>0</v>
      </c>
      <c r="K38" s="222">
        <v>0</v>
      </c>
      <c r="L38" s="222">
        <v>0</v>
      </c>
      <c r="M38" s="222">
        <v>0</v>
      </c>
      <c r="N38" s="223">
        <v>0</v>
      </c>
      <c r="O38" s="222">
        <v>0</v>
      </c>
      <c r="P38" s="222">
        <v>0</v>
      </c>
      <c r="Q38" s="222">
        <v>0</v>
      </c>
      <c r="R38" s="222">
        <v>0</v>
      </c>
      <c r="S38" s="222">
        <v>0</v>
      </c>
      <c r="T38" s="225"/>
      <c r="U38" s="222">
        <v>0</v>
      </c>
      <c r="V38" s="222">
        <v>0</v>
      </c>
      <c r="W38" s="306">
        <v>2</v>
      </c>
      <c r="X38" s="222">
        <v>57353444</v>
      </c>
      <c r="Y38" s="222"/>
      <c r="Z38" s="221">
        <f t="shared" si="4"/>
        <v>505506351</v>
      </c>
      <c r="AA38" s="307">
        <f t="shared" si="2"/>
        <v>505506351</v>
      </c>
    </row>
    <row r="39" spans="1:27" s="212" customFormat="1">
      <c r="A39" s="14">
        <v>31</v>
      </c>
      <c r="B39" s="214" t="s">
        <v>944</v>
      </c>
      <c r="C39" s="216" t="s">
        <v>875</v>
      </c>
      <c r="D39" s="216" t="s">
        <v>876</v>
      </c>
      <c r="E39" s="215" t="s">
        <v>864</v>
      </c>
      <c r="F39" s="215">
        <v>11</v>
      </c>
      <c r="G39" s="224">
        <f t="shared" si="3"/>
        <v>1406282518</v>
      </c>
      <c r="H39" s="222">
        <v>0</v>
      </c>
      <c r="I39" s="222">
        <v>1406282518</v>
      </c>
      <c r="J39" s="222">
        <v>0</v>
      </c>
      <c r="K39" s="222">
        <v>0</v>
      </c>
      <c r="L39" s="222">
        <v>762465334</v>
      </c>
      <c r="M39" s="222">
        <v>0</v>
      </c>
      <c r="N39" s="223">
        <v>0</v>
      </c>
      <c r="O39" s="222">
        <v>0</v>
      </c>
      <c r="P39" s="222">
        <v>0</v>
      </c>
      <c r="Q39" s="222">
        <v>0</v>
      </c>
      <c r="R39" s="222">
        <v>0</v>
      </c>
      <c r="S39" s="222">
        <v>0</v>
      </c>
      <c r="T39" s="225"/>
      <c r="U39" s="222">
        <v>7</v>
      </c>
      <c r="V39" s="222">
        <v>0</v>
      </c>
      <c r="W39" s="225">
        <v>1</v>
      </c>
      <c r="X39" s="222">
        <v>0</v>
      </c>
      <c r="Y39" s="222"/>
      <c r="Z39" s="221">
        <f t="shared" si="4"/>
        <v>1406282518</v>
      </c>
      <c r="AA39" s="307">
        <f t="shared" si="2"/>
        <v>1570313169</v>
      </c>
    </row>
    <row r="40" spans="1:27" s="212" customFormat="1">
      <c r="A40" s="14">
        <v>32</v>
      </c>
      <c r="B40" s="214" t="s">
        <v>877</v>
      </c>
      <c r="C40" s="216" t="s">
        <v>878</v>
      </c>
      <c r="D40" s="216" t="s">
        <v>879</v>
      </c>
      <c r="E40" s="215" t="s">
        <v>911</v>
      </c>
      <c r="F40" s="215">
        <v>11</v>
      </c>
      <c r="G40" s="224">
        <f t="shared" si="3"/>
        <v>202257934</v>
      </c>
      <c r="H40" s="222">
        <v>0</v>
      </c>
      <c r="I40" s="222">
        <v>200870337</v>
      </c>
      <c r="J40" s="222">
        <v>0</v>
      </c>
      <c r="K40" s="222">
        <v>97</v>
      </c>
      <c r="L40" s="222">
        <v>94368798</v>
      </c>
      <c r="M40" s="222">
        <v>0</v>
      </c>
      <c r="N40" s="223">
        <v>0</v>
      </c>
      <c r="O40" s="222">
        <v>0</v>
      </c>
      <c r="P40" s="222">
        <v>2775000</v>
      </c>
      <c r="Q40" s="222">
        <v>1387500</v>
      </c>
      <c r="R40" s="222">
        <v>0</v>
      </c>
      <c r="S40" s="222">
        <v>0</v>
      </c>
      <c r="T40" s="225"/>
      <c r="U40" s="222">
        <v>7</v>
      </c>
      <c r="V40" s="222">
        <v>38227283</v>
      </c>
      <c r="W40" s="225">
        <v>1</v>
      </c>
      <c r="X40" s="222">
        <v>0</v>
      </c>
      <c r="Y40" s="222"/>
      <c r="Z40" s="221">
        <f t="shared" si="4"/>
        <v>164030651</v>
      </c>
      <c r="AA40" s="307">
        <f t="shared" si="2"/>
        <v>1570313169</v>
      </c>
    </row>
    <row r="41" spans="1:27" s="212" customFormat="1" ht="25.5">
      <c r="A41" s="14">
        <v>33</v>
      </c>
      <c r="B41" s="214" t="s">
        <v>880</v>
      </c>
      <c r="C41" s="216" t="s">
        <v>881</v>
      </c>
      <c r="D41" s="216" t="s">
        <v>907</v>
      </c>
      <c r="E41" s="215"/>
      <c r="F41" s="215">
        <v>11</v>
      </c>
      <c r="G41" s="224">
        <f t="shared" si="3"/>
        <v>0</v>
      </c>
      <c r="H41" s="222">
        <v>0</v>
      </c>
      <c r="I41" s="222">
        <v>0</v>
      </c>
      <c r="J41" s="222">
        <v>0</v>
      </c>
      <c r="K41" s="222">
        <v>0</v>
      </c>
      <c r="L41" s="222">
        <v>0</v>
      </c>
      <c r="M41" s="222">
        <v>0</v>
      </c>
      <c r="N41" s="223">
        <v>0</v>
      </c>
      <c r="O41" s="222">
        <v>0</v>
      </c>
      <c r="P41" s="222">
        <v>0</v>
      </c>
      <c r="Q41" s="223">
        <v>0</v>
      </c>
      <c r="R41" s="222">
        <v>0</v>
      </c>
      <c r="S41" s="222">
        <v>0</v>
      </c>
      <c r="T41" s="225"/>
      <c r="U41" s="222">
        <v>0</v>
      </c>
      <c r="V41" s="222">
        <v>0</v>
      </c>
      <c r="W41" s="225"/>
      <c r="X41" s="222">
        <v>0</v>
      </c>
      <c r="Y41" s="222"/>
      <c r="Z41" s="221">
        <f t="shared" si="4"/>
        <v>0</v>
      </c>
      <c r="AA41" s="307">
        <f t="shared" ref="AA41:AA72" si="5">SUMIF($F$9:$F$88,$F41,$Z$9:$Z$88)</f>
        <v>1570313169</v>
      </c>
    </row>
    <row r="42" spans="1:27" s="212" customFormat="1">
      <c r="A42" s="14">
        <v>34</v>
      </c>
      <c r="B42" s="214"/>
      <c r="C42" s="216"/>
      <c r="D42" s="216"/>
      <c r="E42" s="215"/>
      <c r="F42" s="215"/>
      <c r="G42" s="224">
        <f t="shared" si="3"/>
        <v>0</v>
      </c>
      <c r="H42" s="222"/>
      <c r="I42" s="222"/>
      <c r="J42" s="222"/>
      <c r="K42" s="222"/>
      <c r="L42" s="222"/>
      <c r="M42" s="222"/>
      <c r="N42" s="223"/>
      <c r="O42" s="222"/>
      <c r="P42" s="222"/>
      <c r="Q42" s="223"/>
      <c r="R42" s="222"/>
      <c r="S42" s="222"/>
      <c r="T42" s="225"/>
      <c r="U42" s="222"/>
      <c r="V42" s="222"/>
      <c r="W42" s="225"/>
      <c r="X42" s="222"/>
      <c r="Y42" s="222"/>
      <c r="Z42" s="221">
        <f t="shared" si="4"/>
        <v>0</v>
      </c>
      <c r="AA42" s="307">
        <f t="shared" si="5"/>
        <v>0</v>
      </c>
    </row>
    <row r="43" spans="1:27" s="212" customFormat="1">
      <c r="A43" s="14">
        <v>35</v>
      </c>
      <c r="B43" s="214"/>
      <c r="C43" s="216"/>
      <c r="D43" s="216"/>
      <c r="E43" s="215"/>
      <c r="F43" s="215"/>
      <c r="G43" s="224">
        <f t="shared" si="3"/>
        <v>0</v>
      </c>
      <c r="H43" s="222"/>
      <c r="I43" s="222"/>
      <c r="J43" s="222"/>
      <c r="K43" s="222"/>
      <c r="L43" s="222"/>
      <c r="M43" s="222"/>
      <c r="N43" s="223"/>
      <c r="O43" s="222"/>
      <c r="P43" s="222"/>
      <c r="Q43" s="223"/>
      <c r="R43" s="222"/>
      <c r="S43" s="222"/>
      <c r="T43" s="225"/>
      <c r="U43" s="222"/>
      <c r="V43" s="222"/>
      <c r="W43" s="225"/>
      <c r="X43" s="222"/>
      <c r="Y43" s="222"/>
      <c r="Z43" s="221">
        <f t="shared" si="4"/>
        <v>0</v>
      </c>
      <c r="AA43" s="307">
        <f t="shared" si="5"/>
        <v>0</v>
      </c>
    </row>
    <row r="44" spans="1:27" s="212" customFormat="1">
      <c r="A44" s="14">
        <v>36</v>
      </c>
      <c r="B44" s="214"/>
      <c r="C44" s="216"/>
      <c r="D44" s="216"/>
      <c r="E44" s="215"/>
      <c r="F44" s="215"/>
      <c r="G44" s="224">
        <f t="shared" si="3"/>
        <v>0</v>
      </c>
      <c r="H44" s="222"/>
      <c r="I44" s="222"/>
      <c r="J44" s="222"/>
      <c r="K44" s="222"/>
      <c r="L44" s="222"/>
      <c r="M44" s="222"/>
      <c r="N44" s="223"/>
      <c r="O44" s="222"/>
      <c r="P44" s="222"/>
      <c r="Q44" s="223"/>
      <c r="R44" s="222"/>
      <c r="S44" s="222"/>
      <c r="T44" s="225"/>
      <c r="U44" s="222"/>
      <c r="V44" s="222"/>
      <c r="W44" s="225"/>
      <c r="X44" s="222"/>
      <c r="Y44" s="222"/>
      <c r="Z44" s="221">
        <f t="shared" si="4"/>
        <v>0</v>
      </c>
      <c r="AA44" s="307">
        <f t="shared" si="5"/>
        <v>0</v>
      </c>
    </row>
    <row r="45" spans="1:27" s="212" customFormat="1">
      <c r="A45" s="14">
        <v>37</v>
      </c>
      <c r="B45" s="214"/>
      <c r="C45" s="216"/>
      <c r="D45" s="216"/>
      <c r="E45" s="215"/>
      <c r="F45" s="215"/>
      <c r="G45" s="224">
        <f t="shared" si="3"/>
        <v>0</v>
      </c>
      <c r="H45" s="222"/>
      <c r="I45" s="222"/>
      <c r="J45" s="222"/>
      <c r="K45" s="222"/>
      <c r="L45" s="222"/>
      <c r="M45" s="222"/>
      <c r="N45" s="223"/>
      <c r="O45" s="222"/>
      <c r="P45" s="222"/>
      <c r="Q45" s="223"/>
      <c r="R45" s="222"/>
      <c r="S45" s="222"/>
      <c r="T45" s="225"/>
      <c r="U45" s="222"/>
      <c r="V45" s="222"/>
      <c r="W45" s="225"/>
      <c r="X45" s="222"/>
      <c r="Y45" s="222"/>
      <c r="Z45" s="221">
        <f t="shared" si="4"/>
        <v>0</v>
      </c>
      <c r="AA45" s="307">
        <f t="shared" si="5"/>
        <v>0</v>
      </c>
    </row>
    <row r="46" spans="1:27" s="212" customFormat="1">
      <c r="A46" s="14">
        <v>38</v>
      </c>
      <c r="B46" s="214"/>
      <c r="C46" s="216"/>
      <c r="D46" s="216"/>
      <c r="E46" s="215"/>
      <c r="F46" s="215"/>
      <c r="G46" s="224">
        <f t="shared" si="3"/>
        <v>0</v>
      </c>
      <c r="H46" s="222"/>
      <c r="I46" s="222"/>
      <c r="J46" s="222"/>
      <c r="K46" s="222"/>
      <c r="L46" s="222"/>
      <c r="M46" s="222"/>
      <c r="N46" s="223"/>
      <c r="O46" s="222"/>
      <c r="P46" s="222"/>
      <c r="Q46" s="223"/>
      <c r="R46" s="222"/>
      <c r="S46" s="222"/>
      <c r="T46" s="225"/>
      <c r="U46" s="222"/>
      <c r="V46" s="222"/>
      <c r="W46" s="225"/>
      <c r="X46" s="222"/>
      <c r="Y46" s="222"/>
      <c r="Z46" s="221">
        <f t="shared" si="4"/>
        <v>0</v>
      </c>
      <c r="AA46" s="307">
        <f t="shared" si="5"/>
        <v>0</v>
      </c>
    </row>
    <row r="47" spans="1:27" s="212" customFormat="1">
      <c r="A47" s="14">
        <v>39</v>
      </c>
      <c r="B47" s="214"/>
      <c r="C47" s="214"/>
      <c r="D47" s="216"/>
      <c r="E47" s="216"/>
      <c r="F47" s="215"/>
      <c r="G47" s="224">
        <f t="shared" si="3"/>
        <v>0</v>
      </c>
      <c r="H47" s="222"/>
      <c r="I47" s="222"/>
      <c r="J47" s="222"/>
      <c r="K47" s="222"/>
      <c r="L47" s="222"/>
      <c r="M47" s="222"/>
      <c r="N47" s="223"/>
      <c r="O47" s="222"/>
      <c r="P47" s="222"/>
      <c r="Q47" s="223"/>
      <c r="R47" s="222"/>
      <c r="S47" s="222"/>
      <c r="T47" s="225"/>
      <c r="U47" s="222"/>
      <c r="V47" s="222"/>
      <c r="W47" s="225"/>
      <c r="X47" s="222"/>
      <c r="Y47" s="222"/>
      <c r="Z47" s="221">
        <f t="shared" si="4"/>
        <v>0</v>
      </c>
      <c r="AA47" s="307">
        <f t="shared" si="5"/>
        <v>0</v>
      </c>
    </row>
    <row r="48" spans="1:27" s="212" customFormat="1">
      <c r="A48" s="14">
        <v>40</v>
      </c>
      <c r="B48" s="214"/>
      <c r="C48" s="214"/>
      <c r="D48" s="214"/>
      <c r="E48" s="215"/>
      <c r="F48" s="215"/>
      <c r="G48" s="224">
        <f t="shared" si="3"/>
        <v>0</v>
      </c>
      <c r="H48" s="222"/>
      <c r="I48" s="222"/>
      <c r="J48" s="222"/>
      <c r="K48" s="222"/>
      <c r="L48" s="222"/>
      <c r="M48" s="222"/>
      <c r="N48" s="223"/>
      <c r="O48" s="222"/>
      <c r="P48" s="222"/>
      <c r="Q48" s="223"/>
      <c r="R48" s="222"/>
      <c r="S48" s="222"/>
      <c r="T48" s="225"/>
      <c r="U48" s="222"/>
      <c r="V48" s="222"/>
      <c r="W48" s="225"/>
      <c r="X48" s="222"/>
      <c r="Y48" s="222"/>
      <c r="Z48" s="221">
        <f t="shared" si="4"/>
        <v>0</v>
      </c>
      <c r="AA48" s="307">
        <f t="shared" si="5"/>
        <v>0</v>
      </c>
    </row>
    <row r="49" spans="1:27" s="212" customFormat="1">
      <c r="A49" s="14">
        <v>41</v>
      </c>
      <c r="B49" s="214"/>
      <c r="C49" s="214"/>
      <c r="D49" s="214"/>
      <c r="E49" s="215"/>
      <c r="F49" s="215"/>
      <c r="G49" s="224">
        <f t="shared" si="3"/>
        <v>0</v>
      </c>
      <c r="H49" s="222"/>
      <c r="I49" s="222"/>
      <c r="J49" s="222"/>
      <c r="K49" s="222"/>
      <c r="L49" s="222"/>
      <c r="M49" s="222"/>
      <c r="N49" s="223"/>
      <c r="O49" s="223"/>
      <c r="P49" s="223"/>
      <c r="Q49" s="223"/>
      <c r="R49" s="222"/>
      <c r="S49" s="222"/>
      <c r="T49" s="225"/>
      <c r="U49" s="222"/>
      <c r="V49" s="222"/>
      <c r="W49" s="225"/>
      <c r="X49" s="222"/>
      <c r="Y49" s="222"/>
      <c r="Z49" s="221">
        <f t="shared" si="4"/>
        <v>0</v>
      </c>
      <c r="AA49" s="307">
        <f t="shared" si="5"/>
        <v>0</v>
      </c>
    </row>
    <row r="50" spans="1:27" s="212" customFormat="1">
      <c r="A50" s="14">
        <v>42</v>
      </c>
      <c r="B50" s="214"/>
      <c r="C50" s="214"/>
      <c r="D50" s="214"/>
      <c r="E50" s="215"/>
      <c r="F50" s="215"/>
      <c r="G50" s="224">
        <f t="shared" si="3"/>
        <v>0</v>
      </c>
      <c r="H50" s="222"/>
      <c r="I50" s="222"/>
      <c r="J50" s="222"/>
      <c r="K50" s="222"/>
      <c r="L50" s="222"/>
      <c r="M50" s="222"/>
      <c r="N50" s="223"/>
      <c r="O50" s="223"/>
      <c r="P50" s="223"/>
      <c r="Q50" s="223"/>
      <c r="R50" s="222"/>
      <c r="S50" s="222"/>
      <c r="T50" s="225"/>
      <c r="U50" s="222"/>
      <c r="V50" s="222"/>
      <c r="W50" s="225"/>
      <c r="X50" s="222"/>
      <c r="Y50" s="222"/>
      <c r="Z50" s="221">
        <f t="shared" si="4"/>
        <v>0</v>
      </c>
      <c r="AA50" s="307">
        <f t="shared" si="5"/>
        <v>0</v>
      </c>
    </row>
    <row r="51" spans="1:27" s="212" customFormat="1">
      <c r="A51" s="14">
        <v>43</v>
      </c>
      <c r="B51" s="214"/>
      <c r="C51" s="214"/>
      <c r="D51" s="214"/>
      <c r="E51" s="215"/>
      <c r="F51" s="215"/>
      <c r="G51" s="224">
        <f t="shared" si="3"/>
        <v>0</v>
      </c>
      <c r="H51" s="222"/>
      <c r="I51" s="222"/>
      <c r="J51" s="222"/>
      <c r="K51" s="222"/>
      <c r="L51" s="222"/>
      <c r="M51" s="222"/>
      <c r="N51" s="223"/>
      <c r="O51" s="223"/>
      <c r="P51" s="223"/>
      <c r="Q51" s="223"/>
      <c r="R51" s="222"/>
      <c r="S51" s="222"/>
      <c r="T51" s="225"/>
      <c r="U51" s="222"/>
      <c r="V51" s="222"/>
      <c r="W51" s="222"/>
      <c r="X51" s="222"/>
      <c r="Y51" s="222"/>
      <c r="Z51" s="221">
        <f t="shared" si="4"/>
        <v>0</v>
      </c>
      <c r="AA51" s="307">
        <f t="shared" si="5"/>
        <v>0</v>
      </c>
    </row>
    <row r="52" spans="1:27" s="212" customFormat="1">
      <c r="A52" s="14">
        <v>44</v>
      </c>
      <c r="B52" s="214"/>
      <c r="C52" s="214"/>
      <c r="D52" s="214"/>
      <c r="E52" s="215"/>
      <c r="F52" s="215"/>
      <c r="G52" s="224">
        <f t="shared" si="3"/>
        <v>0</v>
      </c>
      <c r="H52" s="222"/>
      <c r="I52" s="222"/>
      <c r="J52" s="222"/>
      <c r="K52" s="222"/>
      <c r="L52" s="222"/>
      <c r="M52" s="222"/>
      <c r="N52" s="223"/>
      <c r="O52" s="223"/>
      <c r="P52" s="222"/>
      <c r="Q52" s="223"/>
      <c r="R52" s="222"/>
      <c r="S52" s="222"/>
      <c r="T52" s="225"/>
      <c r="U52" s="222"/>
      <c r="V52" s="222"/>
      <c r="W52" s="222"/>
      <c r="X52" s="222"/>
      <c r="Y52" s="222"/>
      <c r="Z52" s="221">
        <f t="shared" si="4"/>
        <v>0</v>
      </c>
      <c r="AA52" s="307">
        <f t="shared" si="5"/>
        <v>0</v>
      </c>
    </row>
    <row r="53" spans="1:27" s="212" customFormat="1">
      <c r="A53" s="14">
        <v>45</v>
      </c>
      <c r="B53" s="214"/>
      <c r="C53" s="214"/>
      <c r="D53" s="214"/>
      <c r="E53" s="215"/>
      <c r="F53" s="215"/>
      <c r="G53" s="224">
        <f t="shared" si="3"/>
        <v>0</v>
      </c>
      <c r="H53" s="222"/>
      <c r="I53" s="222"/>
      <c r="J53" s="222"/>
      <c r="K53" s="222"/>
      <c r="L53" s="222"/>
      <c r="M53" s="222"/>
      <c r="N53" s="223"/>
      <c r="O53" s="223"/>
      <c r="P53" s="222"/>
      <c r="Q53" s="223"/>
      <c r="R53" s="222"/>
      <c r="S53" s="222"/>
      <c r="T53" s="225"/>
      <c r="U53" s="222"/>
      <c r="V53" s="222"/>
      <c r="W53" s="222"/>
      <c r="X53" s="222"/>
      <c r="Y53" s="222"/>
      <c r="Z53" s="221">
        <f t="shared" si="4"/>
        <v>0</v>
      </c>
      <c r="AA53" s="307">
        <f t="shared" si="5"/>
        <v>0</v>
      </c>
    </row>
    <row r="54" spans="1:27" s="212" customFormat="1">
      <c r="A54" s="14">
        <v>46</v>
      </c>
      <c r="B54" s="214"/>
      <c r="C54" s="214"/>
      <c r="D54" s="214"/>
      <c r="E54" s="215"/>
      <c r="F54" s="215"/>
      <c r="G54" s="224">
        <f t="shared" si="3"/>
        <v>0</v>
      </c>
      <c r="H54" s="222"/>
      <c r="I54" s="222"/>
      <c r="J54" s="222"/>
      <c r="K54" s="222"/>
      <c r="L54" s="222"/>
      <c r="M54" s="222"/>
      <c r="N54" s="223"/>
      <c r="O54" s="223"/>
      <c r="P54" s="222"/>
      <c r="Q54" s="223"/>
      <c r="R54" s="222"/>
      <c r="S54" s="222"/>
      <c r="T54" s="225"/>
      <c r="U54" s="222"/>
      <c r="V54" s="222"/>
      <c r="W54" s="222"/>
      <c r="X54" s="222"/>
      <c r="Y54" s="222"/>
      <c r="Z54" s="221">
        <f t="shared" si="4"/>
        <v>0</v>
      </c>
      <c r="AA54" s="307">
        <f t="shared" si="5"/>
        <v>0</v>
      </c>
    </row>
    <row r="55" spans="1:27" s="212" customFormat="1">
      <c r="A55" s="14">
        <v>47</v>
      </c>
      <c r="B55" s="214"/>
      <c r="C55" s="214"/>
      <c r="D55" s="214"/>
      <c r="E55" s="215"/>
      <c r="F55" s="215"/>
      <c r="G55" s="224">
        <f t="shared" si="3"/>
        <v>0</v>
      </c>
      <c r="H55" s="222"/>
      <c r="I55" s="222"/>
      <c r="J55" s="222"/>
      <c r="K55" s="222"/>
      <c r="L55" s="222"/>
      <c r="M55" s="222"/>
      <c r="N55" s="223"/>
      <c r="O55" s="223"/>
      <c r="P55" s="17"/>
      <c r="Q55" s="223"/>
      <c r="R55" s="222"/>
      <c r="S55" s="222"/>
      <c r="T55" s="225"/>
      <c r="U55" s="222"/>
      <c r="V55" s="222"/>
      <c r="W55" s="222"/>
      <c r="X55" s="222"/>
      <c r="Y55" s="222"/>
      <c r="Z55" s="221">
        <f t="shared" si="4"/>
        <v>0</v>
      </c>
      <c r="AA55" s="307">
        <f t="shared" si="5"/>
        <v>0</v>
      </c>
    </row>
    <row r="56" spans="1:27" s="212" customFormat="1">
      <c r="A56" s="14">
        <v>48</v>
      </c>
      <c r="B56" s="214"/>
      <c r="C56" s="214"/>
      <c r="D56" s="214"/>
      <c r="E56" s="215"/>
      <c r="F56" s="215"/>
      <c r="G56" s="224">
        <f t="shared" si="3"/>
        <v>0</v>
      </c>
      <c r="H56" s="222"/>
      <c r="I56" s="222"/>
      <c r="J56" s="222"/>
      <c r="K56" s="222"/>
      <c r="L56" s="222"/>
      <c r="M56" s="222"/>
      <c r="N56" s="223"/>
      <c r="O56" s="223"/>
      <c r="P56" s="223"/>
      <c r="Q56" s="223"/>
      <c r="R56" s="222"/>
      <c r="S56" s="222"/>
      <c r="T56" s="225"/>
      <c r="U56" s="222"/>
      <c r="V56" s="222"/>
      <c r="W56" s="222"/>
      <c r="X56" s="222"/>
      <c r="Y56" s="222"/>
      <c r="Z56" s="221">
        <f t="shared" si="4"/>
        <v>0</v>
      </c>
      <c r="AA56" s="307">
        <f t="shared" si="5"/>
        <v>0</v>
      </c>
    </row>
    <row r="57" spans="1:27" s="212" customFormat="1">
      <c r="A57" s="14">
        <v>49</v>
      </c>
      <c r="B57" s="214"/>
      <c r="C57" s="214"/>
      <c r="D57" s="214"/>
      <c r="E57" s="215"/>
      <c r="F57" s="215"/>
      <c r="G57" s="224">
        <f t="shared" si="3"/>
        <v>0</v>
      </c>
      <c r="H57" s="222"/>
      <c r="I57" s="222"/>
      <c r="J57" s="222"/>
      <c r="K57" s="222"/>
      <c r="L57" s="222"/>
      <c r="M57" s="222"/>
      <c r="N57" s="223"/>
      <c r="O57" s="223"/>
      <c r="P57" s="223"/>
      <c r="Q57" s="223"/>
      <c r="R57" s="222"/>
      <c r="S57" s="222"/>
      <c r="T57" s="225"/>
      <c r="U57" s="222"/>
      <c r="V57" s="222"/>
      <c r="W57" s="222"/>
      <c r="X57" s="222"/>
      <c r="Y57" s="222"/>
      <c r="Z57" s="221">
        <f t="shared" si="4"/>
        <v>0</v>
      </c>
      <c r="AA57" s="307">
        <f t="shared" si="5"/>
        <v>0</v>
      </c>
    </row>
    <row r="58" spans="1:27" s="212" customFormat="1">
      <c r="A58" s="14">
        <v>50</v>
      </c>
      <c r="B58" s="214"/>
      <c r="C58" s="214"/>
      <c r="D58" s="214"/>
      <c r="E58" s="215"/>
      <c r="F58" s="215"/>
      <c r="G58" s="224">
        <f t="shared" si="3"/>
        <v>0</v>
      </c>
      <c r="H58" s="222"/>
      <c r="I58" s="222"/>
      <c r="J58" s="222"/>
      <c r="K58" s="222"/>
      <c r="L58" s="222"/>
      <c r="M58" s="222"/>
      <c r="N58" s="223"/>
      <c r="O58" s="223"/>
      <c r="P58" s="223"/>
      <c r="Q58" s="223"/>
      <c r="R58" s="222"/>
      <c r="S58" s="222"/>
      <c r="T58" s="222"/>
      <c r="U58" s="222"/>
      <c r="V58" s="222"/>
      <c r="W58" s="222"/>
      <c r="X58" s="222"/>
      <c r="Y58" s="222"/>
      <c r="Z58" s="221">
        <f t="shared" si="4"/>
        <v>0</v>
      </c>
      <c r="AA58" s="307">
        <f t="shared" si="5"/>
        <v>0</v>
      </c>
    </row>
    <row r="59" spans="1:27" s="212" customFormat="1">
      <c r="A59" s="14">
        <v>51</v>
      </c>
      <c r="B59" s="214"/>
      <c r="C59" s="216"/>
      <c r="D59" s="216"/>
      <c r="E59" s="215"/>
      <c r="F59" s="215"/>
      <c r="G59" s="224">
        <f t="shared" si="0"/>
        <v>0</v>
      </c>
      <c r="H59" s="222"/>
      <c r="I59" s="222"/>
      <c r="J59" s="222"/>
      <c r="K59" s="222"/>
      <c r="L59" s="222"/>
      <c r="M59" s="222"/>
      <c r="N59" s="223"/>
      <c r="O59" s="222"/>
      <c r="P59" s="222"/>
      <c r="Q59" s="222"/>
      <c r="R59" s="222"/>
      <c r="S59" s="222"/>
      <c r="T59" s="225"/>
      <c r="U59" s="222"/>
      <c r="V59" s="222"/>
      <c r="W59" s="306"/>
      <c r="X59" s="222"/>
      <c r="Y59" s="222"/>
      <c r="Z59" s="221">
        <f t="shared" si="1"/>
        <v>0</v>
      </c>
      <c r="AA59" s="307">
        <f t="shared" si="5"/>
        <v>0</v>
      </c>
    </row>
    <row r="60" spans="1:27" s="212" customFormat="1">
      <c r="A60" s="14">
        <v>52</v>
      </c>
      <c r="B60" s="214"/>
      <c r="C60" s="216"/>
      <c r="D60" s="216"/>
      <c r="E60" s="215"/>
      <c r="F60" s="215"/>
      <c r="G60" s="224">
        <f t="shared" si="0"/>
        <v>0</v>
      </c>
      <c r="H60" s="222"/>
      <c r="I60" s="222"/>
      <c r="J60" s="222"/>
      <c r="K60" s="222"/>
      <c r="L60" s="222"/>
      <c r="M60" s="222"/>
      <c r="N60" s="223"/>
      <c r="O60" s="222"/>
      <c r="P60" s="222"/>
      <c r="Q60" s="222"/>
      <c r="R60" s="222"/>
      <c r="S60" s="222"/>
      <c r="T60" s="225"/>
      <c r="U60" s="222"/>
      <c r="V60" s="222"/>
      <c r="W60" s="306"/>
      <c r="X60" s="222"/>
      <c r="Y60" s="222"/>
      <c r="Z60" s="221">
        <f t="shared" si="1"/>
        <v>0</v>
      </c>
      <c r="AA60" s="307">
        <f t="shared" si="5"/>
        <v>0</v>
      </c>
    </row>
    <row r="61" spans="1:27" s="212" customFormat="1">
      <c r="A61" s="14">
        <v>53</v>
      </c>
      <c r="B61" s="214"/>
      <c r="C61" s="216"/>
      <c r="D61" s="216"/>
      <c r="E61" s="215"/>
      <c r="F61" s="215"/>
      <c r="G61" s="224">
        <f t="shared" si="0"/>
        <v>0</v>
      </c>
      <c r="H61" s="222"/>
      <c r="I61" s="222"/>
      <c r="J61" s="222"/>
      <c r="K61" s="222"/>
      <c r="L61" s="222"/>
      <c r="M61" s="222"/>
      <c r="N61" s="223"/>
      <c r="O61" s="222"/>
      <c r="P61" s="222"/>
      <c r="Q61" s="222"/>
      <c r="R61" s="222"/>
      <c r="S61" s="222"/>
      <c r="T61" s="225"/>
      <c r="U61" s="222"/>
      <c r="V61" s="222"/>
      <c r="W61" s="306"/>
      <c r="X61" s="222"/>
      <c r="Y61" s="222"/>
      <c r="Z61" s="221">
        <f t="shared" si="1"/>
        <v>0</v>
      </c>
      <c r="AA61" s="307">
        <f t="shared" si="5"/>
        <v>0</v>
      </c>
    </row>
    <row r="62" spans="1:27" s="212" customFormat="1">
      <c r="A62" s="14">
        <v>54</v>
      </c>
      <c r="B62" s="214"/>
      <c r="C62" s="216"/>
      <c r="D62" s="216"/>
      <c r="E62" s="215"/>
      <c r="F62" s="215"/>
      <c r="G62" s="224">
        <f t="shared" si="0"/>
        <v>0</v>
      </c>
      <c r="H62" s="222"/>
      <c r="I62" s="222"/>
      <c r="J62" s="222"/>
      <c r="K62" s="222"/>
      <c r="L62" s="222"/>
      <c r="M62" s="222"/>
      <c r="N62" s="223"/>
      <c r="O62" s="222"/>
      <c r="P62" s="222"/>
      <c r="Q62" s="222"/>
      <c r="R62" s="222"/>
      <c r="S62" s="222"/>
      <c r="T62" s="225"/>
      <c r="U62" s="222"/>
      <c r="V62" s="222"/>
      <c r="W62" s="306"/>
      <c r="X62" s="222"/>
      <c r="Y62" s="222"/>
      <c r="Z62" s="221">
        <f t="shared" si="1"/>
        <v>0</v>
      </c>
      <c r="AA62" s="307">
        <f t="shared" si="5"/>
        <v>0</v>
      </c>
    </row>
    <row r="63" spans="1:27" s="212" customFormat="1">
      <c r="A63" s="14">
        <v>55</v>
      </c>
      <c r="B63" s="214"/>
      <c r="C63" s="216"/>
      <c r="D63" s="216"/>
      <c r="E63" s="215"/>
      <c r="F63" s="215"/>
      <c r="G63" s="224">
        <f t="shared" si="0"/>
        <v>0</v>
      </c>
      <c r="H63" s="222"/>
      <c r="I63" s="222"/>
      <c r="J63" s="222"/>
      <c r="K63" s="222"/>
      <c r="L63" s="222"/>
      <c r="M63" s="222"/>
      <c r="N63" s="223"/>
      <c r="O63" s="222"/>
      <c r="P63" s="222"/>
      <c r="Q63" s="222"/>
      <c r="R63" s="222"/>
      <c r="S63" s="222"/>
      <c r="T63" s="225"/>
      <c r="U63" s="222"/>
      <c r="V63" s="222"/>
      <c r="W63" s="306"/>
      <c r="X63" s="222"/>
      <c r="Y63" s="222"/>
      <c r="Z63" s="221">
        <f t="shared" si="1"/>
        <v>0</v>
      </c>
      <c r="AA63" s="307">
        <f t="shared" si="5"/>
        <v>0</v>
      </c>
    </row>
    <row r="64" spans="1:27" s="212" customFormat="1">
      <c r="A64" s="14">
        <v>56</v>
      </c>
      <c r="B64" s="214"/>
      <c r="C64" s="216"/>
      <c r="D64" s="216"/>
      <c r="E64" s="215"/>
      <c r="F64" s="215"/>
      <c r="G64" s="224">
        <f t="shared" si="0"/>
        <v>0</v>
      </c>
      <c r="H64" s="222"/>
      <c r="I64" s="222"/>
      <c r="J64" s="222"/>
      <c r="K64" s="222"/>
      <c r="L64" s="222"/>
      <c r="M64" s="222"/>
      <c r="N64" s="223"/>
      <c r="O64" s="222"/>
      <c r="P64" s="222"/>
      <c r="Q64" s="222"/>
      <c r="R64" s="222"/>
      <c r="S64" s="222"/>
      <c r="T64" s="225"/>
      <c r="U64" s="222"/>
      <c r="V64" s="222"/>
      <c r="W64" s="225"/>
      <c r="X64" s="222"/>
      <c r="Y64" s="222"/>
      <c r="Z64" s="221">
        <f t="shared" si="1"/>
        <v>0</v>
      </c>
      <c r="AA64" s="307">
        <f t="shared" si="5"/>
        <v>0</v>
      </c>
    </row>
    <row r="65" spans="1:27" s="212" customFormat="1">
      <c r="A65" s="14">
        <v>57</v>
      </c>
      <c r="B65" s="214"/>
      <c r="C65" s="216"/>
      <c r="D65" s="216"/>
      <c r="E65" s="215"/>
      <c r="F65" s="215"/>
      <c r="G65" s="224">
        <f t="shared" si="0"/>
        <v>0</v>
      </c>
      <c r="H65" s="222"/>
      <c r="I65" s="222"/>
      <c r="J65" s="222"/>
      <c r="K65" s="222"/>
      <c r="L65" s="222"/>
      <c r="M65" s="222"/>
      <c r="N65" s="223"/>
      <c r="O65" s="222"/>
      <c r="P65" s="222"/>
      <c r="Q65" s="222"/>
      <c r="R65" s="222"/>
      <c r="S65" s="222"/>
      <c r="T65" s="225"/>
      <c r="U65" s="222"/>
      <c r="V65" s="222"/>
      <c r="W65" s="225"/>
      <c r="X65" s="222"/>
      <c r="Y65" s="222"/>
      <c r="Z65" s="221">
        <f t="shared" si="1"/>
        <v>0</v>
      </c>
      <c r="AA65" s="307">
        <f t="shared" si="5"/>
        <v>0</v>
      </c>
    </row>
    <row r="66" spans="1:27" s="212" customFormat="1">
      <c r="A66" s="14">
        <v>58</v>
      </c>
      <c r="B66" s="214"/>
      <c r="C66" s="216"/>
      <c r="D66" s="216"/>
      <c r="E66" s="215"/>
      <c r="F66" s="215"/>
      <c r="G66" s="224">
        <f t="shared" ref="G66:G88" si="6">+H66+I66+J66+K66+M66+O66+Q66+S66</f>
        <v>0</v>
      </c>
      <c r="H66" s="222"/>
      <c r="I66" s="222"/>
      <c r="J66" s="222"/>
      <c r="K66" s="222"/>
      <c r="L66" s="222"/>
      <c r="M66" s="222"/>
      <c r="N66" s="223"/>
      <c r="O66" s="222"/>
      <c r="P66" s="222"/>
      <c r="Q66" s="223"/>
      <c r="R66" s="222"/>
      <c r="S66" s="222"/>
      <c r="T66" s="225"/>
      <c r="U66" s="222"/>
      <c r="V66" s="222"/>
      <c r="W66" s="225"/>
      <c r="X66" s="222"/>
      <c r="Y66" s="222"/>
      <c r="Z66" s="221">
        <f t="shared" ref="Z66:Z88" si="7">+G66-V66-X66</f>
        <v>0</v>
      </c>
      <c r="AA66" s="307">
        <f t="shared" si="5"/>
        <v>0</v>
      </c>
    </row>
    <row r="67" spans="1:27" s="212" customFormat="1">
      <c r="A67" s="14">
        <v>59</v>
      </c>
      <c r="B67" s="214"/>
      <c r="C67" s="216"/>
      <c r="D67" s="216"/>
      <c r="E67" s="215"/>
      <c r="F67" s="215"/>
      <c r="G67" s="224">
        <f t="shared" si="6"/>
        <v>0</v>
      </c>
      <c r="H67" s="222"/>
      <c r="I67" s="222"/>
      <c r="J67" s="222"/>
      <c r="K67" s="222"/>
      <c r="L67" s="222"/>
      <c r="M67" s="222"/>
      <c r="N67" s="223"/>
      <c r="O67" s="222"/>
      <c r="P67" s="222"/>
      <c r="Q67" s="223"/>
      <c r="R67" s="222"/>
      <c r="S67" s="222"/>
      <c r="T67" s="225"/>
      <c r="U67" s="222"/>
      <c r="V67" s="222"/>
      <c r="W67" s="225"/>
      <c r="X67" s="222"/>
      <c r="Y67" s="222"/>
      <c r="Z67" s="221">
        <f t="shared" si="7"/>
        <v>0</v>
      </c>
      <c r="AA67" s="307">
        <f t="shared" si="5"/>
        <v>0</v>
      </c>
    </row>
    <row r="68" spans="1:27" s="212" customFormat="1">
      <c r="A68" s="14">
        <v>60</v>
      </c>
      <c r="B68" s="214"/>
      <c r="C68" s="216"/>
      <c r="D68" s="216"/>
      <c r="E68" s="215"/>
      <c r="F68" s="215"/>
      <c r="G68" s="224">
        <f t="shared" si="6"/>
        <v>0</v>
      </c>
      <c r="H68" s="222"/>
      <c r="I68" s="222"/>
      <c r="J68" s="222"/>
      <c r="K68" s="222"/>
      <c r="L68" s="222"/>
      <c r="M68" s="222"/>
      <c r="N68" s="223"/>
      <c r="O68" s="222"/>
      <c r="P68" s="222"/>
      <c r="Q68" s="223"/>
      <c r="R68" s="222"/>
      <c r="S68" s="222"/>
      <c r="T68" s="225"/>
      <c r="U68" s="222"/>
      <c r="V68" s="222"/>
      <c r="W68" s="225"/>
      <c r="X68" s="222"/>
      <c r="Y68" s="222"/>
      <c r="Z68" s="221">
        <f t="shared" si="7"/>
        <v>0</v>
      </c>
      <c r="AA68" s="307">
        <f t="shared" si="5"/>
        <v>0</v>
      </c>
    </row>
    <row r="69" spans="1:27" s="212" customFormat="1">
      <c r="A69" s="14">
        <v>61</v>
      </c>
      <c r="B69" s="214"/>
      <c r="C69" s="216"/>
      <c r="D69" s="216"/>
      <c r="E69" s="215"/>
      <c r="F69" s="215"/>
      <c r="G69" s="224">
        <f t="shared" si="6"/>
        <v>0</v>
      </c>
      <c r="H69" s="222"/>
      <c r="I69" s="222"/>
      <c r="J69" s="222"/>
      <c r="K69" s="222"/>
      <c r="L69" s="222"/>
      <c r="M69" s="222"/>
      <c r="N69" s="223"/>
      <c r="O69" s="222"/>
      <c r="P69" s="222"/>
      <c r="Q69" s="223"/>
      <c r="R69" s="222"/>
      <c r="S69" s="222"/>
      <c r="T69" s="225"/>
      <c r="U69" s="222"/>
      <c r="V69" s="222"/>
      <c r="W69" s="225"/>
      <c r="X69" s="222"/>
      <c r="Y69" s="222"/>
      <c r="Z69" s="221">
        <f t="shared" si="7"/>
        <v>0</v>
      </c>
      <c r="AA69" s="307">
        <f t="shared" si="5"/>
        <v>0</v>
      </c>
    </row>
    <row r="70" spans="1:27" s="212" customFormat="1">
      <c r="A70" s="14">
        <v>62</v>
      </c>
      <c r="B70" s="214"/>
      <c r="C70" s="216"/>
      <c r="D70" s="216"/>
      <c r="E70" s="215"/>
      <c r="F70" s="215"/>
      <c r="G70" s="224">
        <f t="shared" si="6"/>
        <v>0</v>
      </c>
      <c r="H70" s="222"/>
      <c r="I70" s="222"/>
      <c r="J70" s="222"/>
      <c r="K70" s="222"/>
      <c r="L70" s="222"/>
      <c r="M70" s="222"/>
      <c r="N70" s="223"/>
      <c r="O70" s="222"/>
      <c r="P70" s="222"/>
      <c r="Q70" s="223"/>
      <c r="R70" s="222"/>
      <c r="S70" s="222"/>
      <c r="T70" s="225"/>
      <c r="U70" s="222"/>
      <c r="V70" s="222"/>
      <c r="W70" s="225"/>
      <c r="X70" s="222"/>
      <c r="Y70" s="222"/>
      <c r="Z70" s="221">
        <f t="shared" si="7"/>
        <v>0</v>
      </c>
      <c r="AA70" s="307">
        <f t="shared" si="5"/>
        <v>0</v>
      </c>
    </row>
    <row r="71" spans="1:27" s="212" customFormat="1">
      <c r="A71" s="14">
        <v>63</v>
      </c>
      <c r="B71" s="214"/>
      <c r="C71" s="216"/>
      <c r="D71" s="216"/>
      <c r="E71" s="215"/>
      <c r="F71" s="215"/>
      <c r="G71" s="224">
        <f t="shared" si="6"/>
        <v>0</v>
      </c>
      <c r="H71" s="222"/>
      <c r="I71" s="222"/>
      <c r="J71" s="222"/>
      <c r="K71" s="222"/>
      <c r="L71" s="222"/>
      <c r="M71" s="222"/>
      <c r="N71" s="223"/>
      <c r="O71" s="222"/>
      <c r="P71" s="222"/>
      <c r="Q71" s="223"/>
      <c r="R71" s="222"/>
      <c r="S71" s="222"/>
      <c r="T71" s="225"/>
      <c r="U71" s="222"/>
      <c r="V71" s="222"/>
      <c r="W71" s="225"/>
      <c r="X71" s="222"/>
      <c r="Y71" s="222"/>
      <c r="Z71" s="221">
        <f t="shared" si="7"/>
        <v>0</v>
      </c>
      <c r="AA71" s="307">
        <f t="shared" si="5"/>
        <v>0</v>
      </c>
    </row>
    <row r="72" spans="1:27" s="212" customFormat="1">
      <c r="A72" s="14">
        <v>64</v>
      </c>
      <c r="B72" s="214"/>
      <c r="C72" s="214"/>
      <c r="D72" s="216"/>
      <c r="E72" s="216"/>
      <c r="F72" s="215"/>
      <c r="G72" s="224">
        <f t="shared" si="6"/>
        <v>0</v>
      </c>
      <c r="H72" s="222"/>
      <c r="I72" s="222"/>
      <c r="J72" s="222"/>
      <c r="K72" s="222"/>
      <c r="L72" s="222"/>
      <c r="M72" s="222"/>
      <c r="N72" s="223"/>
      <c r="O72" s="222"/>
      <c r="P72" s="222"/>
      <c r="Q72" s="223"/>
      <c r="R72" s="222"/>
      <c r="S72" s="222"/>
      <c r="T72" s="225"/>
      <c r="U72" s="222"/>
      <c r="V72" s="222"/>
      <c r="W72" s="225"/>
      <c r="X72" s="222"/>
      <c r="Y72" s="222"/>
      <c r="Z72" s="221">
        <f t="shared" si="7"/>
        <v>0</v>
      </c>
      <c r="AA72" s="307">
        <f t="shared" si="5"/>
        <v>0</v>
      </c>
    </row>
    <row r="73" spans="1:27" s="212" customFormat="1">
      <c r="A73" s="14">
        <v>65</v>
      </c>
      <c r="B73" s="214"/>
      <c r="C73" s="214"/>
      <c r="D73" s="214"/>
      <c r="E73" s="215"/>
      <c r="F73" s="215"/>
      <c r="G73" s="224">
        <f t="shared" si="6"/>
        <v>0</v>
      </c>
      <c r="H73" s="222"/>
      <c r="I73" s="222"/>
      <c r="J73" s="222"/>
      <c r="K73" s="222"/>
      <c r="L73" s="222"/>
      <c r="M73" s="222"/>
      <c r="N73" s="223"/>
      <c r="O73" s="222"/>
      <c r="P73" s="222"/>
      <c r="Q73" s="223"/>
      <c r="R73" s="222"/>
      <c r="S73" s="222"/>
      <c r="T73" s="225"/>
      <c r="U73" s="222"/>
      <c r="V73" s="222"/>
      <c r="W73" s="225"/>
      <c r="X73" s="222"/>
      <c r="Y73" s="222"/>
      <c r="Z73" s="221">
        <f t="shared" si="7"/>
        <v>0</v>
      </c>
      <c r="AA73" s="307">
        <f t="shared" ref="AA73:AA88" si="8">SUMIF($F$9:$F$88,$F73,$Z$9:$Z$88)</f>
        <v>0</v>
      </c>
    </row>
    <row r="74" spans="1:27" s="212" customFormat="1">
      <c r="A74" s="14">
        <v>66</v>
      </c>
      <c r="B74" s="214"/>
      <c r="C74" s="214"/>
      <c r="D74" s="214"/>
      <c r="E74" s="215"/>
      <c r="F74" s="215"/>
      <c r="G74" s="224">
        <f t="shared" si="6"/>
        <v>0</v>
      </c>
      <c r="H74" s="222"/>
      <c r="I74" s="222"/>
      <c r="J74" s="222"/>
      <c r="K74" s="222"/>
      <c r="L74" s="222"/>
      <c r="M74" s="222"/>
      <c r="N74" s="223"/>
      <c r="O74" s="223"/>
      <c r="P74" s="223"/>
      <c r="Q74" s="223"/>
      <c r="R74" s="222"/>
      <c r="S74" s="222"/>
      <c r="T74" s="225"/>
      <c r="U74" s="222"/>
      <c r="V74" s="222"/>
      <c r="W74" s="225"/>
      <c r="X74" s="222"/>
      <c r="Y74" s="222"/>
      <c r="Z74" s="221">
        <f t="shared" si="7"/>
        <v>0</v>
      </c>
      <c r="AA74" s="307">
        <f t="shared" si="8"/>
        <v>0</v>
      </c>
    </row>
    <row r="75" spans="1:27" s="212" customFormat="1">
      <c r="A75" s="14">
        <v>67</v>
      </c>
      <c r="B75" s="214"/>
      <c r="C75" s="214"/>
      <c r="D75" s="214"/>
      <c r="E75" s="215"/>
      <c r="F75" s="215"/>
      <c r="G75" s="224">
        <f t="shared" si="6"/>
        <v>0</v>
      </c>
      <c r="H75" s="222"/>
      <c r="I75" s="222"/>
      <c r="J75" s="222"/>
      <c r="K75" s="222"/>
      <c r="L75" s="222"/>
      <c r="M75" s="222"/>
      <c r="N75" s="223"/>
      <c r="O75" s="223"/>
      <c r="P75" s="223"/>
      <c r="Q75" s="223"/>
      <c r="R75" s="222"/>
      <c r="S75" s="222"/>
      <c r="T75" s="225"/>
      <c r="U75" s="222"/>
      <c r="V75" s="222"/>
      <c r="W75" s="225"/>
      <c r="X75" s="222"/>
      <c r="Y75" s="222"/>
      <c r="Z75" s="221">
        <f t="shared" si="7"/>
        <v>0</v>
      </c>
      <c r="AA75" s="307">
        <f t="shared" si="8"/>
        <v>0</v>
      </c>
    </row>
    <row r="76" spans="1:27" s="212" customFormat="1">
      <c r="A76" s="14">
        <v>68</v>
      </c>
      <c r="B76" s="214"/>
      <c r="C76" s="214"/>
      <c r="D76" s="214"/>
      <c r="E76" s="215"/>
      <c r="F76" s="215"/>
      <c r="G76" s="224">
        <f t="shared" si="6"/>
        <v>0</v>
      </c>
      <c r="H76" s="222"/>
      <c r="I76" s="222"/>
      <c r="J76" s="222"/>
      <c r="K76" s="222"/>
      <c r="L76" s="222"/>
      <c r="M76" s="222"/>
      <c r="N76" s="223"/>
      <c r="O76" s="223"/>
      <c r="P76" s="223"/>
      <c r="Q76" s="223"/>
      <c r="R76" s="222"/>
      <c r="S76" s="222"/>
      <c r="T76" s="225"/>
      <c r="U76" s="222"/>
      <c r="V76" s="222"/>
      <c r="W76" s="222"/>
      <c r="X76" s="222"/>
      <c r="Y76" s="222"/>
      <c r="Z76" s="221">
        <f t="shared" si="7"/>
        <v>0</v>
      </c>
      <c r="AA76" s="307">
        <f t="shared" si="8"/>
        <v>0</v>
      </c>
    </row>
    <row r="77" spans="1:27" s="212" customFormat="1">
      <c r="A77" s="14">
        <v>69</v>
      </c>
      <c r="B77" s="214"/>
      <c r="C77" s="214"/>
      <c r="D77" s="214"/>
      <c r="E77" s="215"/>
      <c r="F77" s="215"/>
      <c r="G77" s="224">
        <f t="shared" si="6"/>
        <v>0</v>
      </c>
      <c r="H77" s="222"/>
      <c r="I77" s="222"/>
      <c r="J77" s="222"/>
      <c r="K77" s="222"/>
      <c r="L77" s="222"/>
      <c r="M77" s="222"/>
      <c r="N77" s="223"/>
      <c r="O77" s="223"/>
      <c r="P77" s="222"/>
      <c r="Q77" s="223"/>
      <c r="R77" s="222"/>
      <c r="S77" s="222"/>
      <c r="T77" s="225"/>
      <c r="U77" s="222"/>
      <c r="V77" s="222"/>
      <c r="W77" s="222"/>
      <c r="X77" s="222"/>
      <c r="Y77" s="222"/>
      <c r="Z77" s="221">
        <f t="shared" si="7"/>
        <v>0</v>
      </c>
      <c r="AA77" s="307">
        <f t="shared" si="8"/>
        <v>0</v>
      </c>
    </row>
    <row r="78" spans="1:27" s="212" customFormat="1">
      <c r="A78" s="14">
        <v>70</v>
      </c>
      <c r="B78" s="214"/>
      <c r="C78" s="214"/>
      <c r="D78" s="214"/>
      <c r="E78" s="215"/>
      <c r="F78" s="215"/>
      <c r="G78" s="224">
        <f t="shared" si="6"/>
        <v>0</v>
      </c>
      <c r="H78" s="222"/>
      <c r="I78" s="222"/>
      <c r="J78" s="222"/>
      <c r="K78" s="222"/>
      <c r="L78" s="222"/>
      <c r="M78" s="222"/>
      <c r="N78" s="223"/>
      <c r="O78" s="223"/>
      <c r="P78" s="222"/>
      <c r="Q78" s="223"/>
      <c r="R78" s="222"/>
      <c r="S78" s="222"/>
      <c r="T78" s="225"/>
      <c r="U78" s="222"/>
      <c r="V78" s="222"/>
      <c r="W78" s="222"/>
      <c r="X78" s="222"/>
      <c r="Y78" s="222"/>
      <c r="Z78" s="221">
        <f t="shared" si="7"/>
        <v>0</v>
      </c>
      <c r="AA78" s="307">
        <f t="shared" si="8"/>
        <v>0</v>
      </c>
    </row>
    <row r="79" spans="1:27" s="212" customFormat="1">
      <c r="A79" s="14">
        <v>71</v>
      </c>
      <c r="B79" s="214"/>
      <c r="C79" s="214"/>
      <c r="D79" s="214"/>
      <c r="E79" s="215"/>
      <c r="F79" s="215"/>
      <c r="G79" s="224">
        <f t="shared" si="6"/>
        <v>0</v>
      </c>
      <c r="H79" s="222"/>
      <c r="I79" s="222"/>
      <c r="J79" s="222"/>
      <c r="K79" s="222"/>
      <c r="L79" s="222"/>
      <c r="M79" s="222"/>
      <c r="N79" s="223"/>
      <c r="O79" s="223"/>
      <c r="P79" s="222"/>
      <c r="Q79" s="223"/>
      <c r="R79" s="222"/>
      <c r="S79" s="222"/>
      <c r="T79" s="225"/>
      <c r="U79" s="222"/>
      <c r="V79" s="222"/>
      <c r="W79" s="222"/>
      <c r="X79" s="222"/>
      <c r="Y79" s="222"/>
      <c r="Z79" s="221">
        <f t="shared" si="7"/>
        <v>0</v>
      </c>
      <c r="AA79" s="307">
        <f t="shared" si="8"/>
        <v>0</v>
      </c>
    </row>
    <row r="80" spans="1:27" s="212" customFormat="1">
      <c r="A80" s="14">
        <v>72</v>
      </c>
      <c r="B80" s="214"/>
      <c r="C80" s="214"/>
      <c r="D80" s="214"/>
      <c r="E80" s="215"/>
      <c r="F80" s="215"/>
      <c r="G80" s="224">
        <f t="shared" si="6"/>
        <v>0</v>
      </c>
      <c r="H80" s="222"/>
      <c r="I80" s="222"/>
      <c r="J80" s="222"/>
      <c r="K80" s="222"/>
      <c r="L80" s="222"/>
      <c r="M80" s="222"/>
      <c r="N80" s="223"/>
      <c r="O80" s="223"/>
      <c r="P80" s="17"/>
      <c r="Q80" s="223"/>
      <c r="R80" s="222"/>
      <c r="S80" s="222"/>
      <c r="T80" s="225"/>
      <c r="U80" s="222"/>
      <c r="V80" s="222"/>
      <c r="W80" s="222"/>
      <c r="X80" s="222"/>
      <c r="Y80" s="222"/>
      <c r="Z80" s="221">
        <f t="shared" si="7"/>
        <v>0</v>
      </c>
      <c r="AA80" s="307">
        <f t="shared" si="8"/>
        <v>0</v>
      </c>
    </row>
    <row r="81" spans="1:27" s="212" customFormat="1">
      <c r="A81" s="14">
        <v>73</v>
      </c>
      <c r="B81" s="214"/>
      <c r="C81" s="214"/>
      <c r="D81" s="214"/>
      <c r="E81" s="215"/>
      <c r="F81" s="215"/>
      <c r="G81" s="224">
        <f t="shared" si="6"/>
        <v>0</v>
      </c>
      <c r="H81" s="222"/>
      <c r="I81" s="222"/>
      <c r="J81" s="222"/>
      <c r="K81" s="222"/>
      <c r="L81" s="222"/>
      <c r="M81" s="222"/>
      <c r="N81" s="223"/>
      <c r="O81" s="223"/>
      <c r="P81" s="223"/>
      <c r="Q81" s="223"/>
      <c r="R81" s="222"/>
      <c r="S81" s="222"/>
      <c r="T81" s="225"/>
      <c r="U81" s="222"/>
      <c r="V81" s="222"/>
      <c r="W81" s="222"/>
      <c r="X81" s="222"/>
      <c r="Y81" s="222"/>
      <c r="Z81" s="221">
        <f t="shared" si="7"/>
        <v>0</v>
      </c>
      <c r="AA81" s="307">
        <f t="shared" si="8"/>
        <v>0</v>
      </c>
    </row>
    <row r="82" spans="1:27" s="212" customFormat="1">
      <c r="A82" s="14">
        <v>74</v>
      </c>
      <c r="B82" s="214"/>
      <c r="C82" s="214"/>
      <c r="D82" s="214"/>
      <c r="E82" s="215"/>
      <c r="F82" s="215"/>
      <c r="G82" s="224">
        <f t="shared" si="6"/>
        <v>0</v>
      </c>
      <c r="H82" s="222"/>
      <c r="I82" s="222"/>
      <c r="J82" s="222"/>
      <c r="K82" s="222"/>
      <c r="L82" s="222"/>
      <c r="M82" s="222"/>
      <c r="N82" s="223"/>
      <c r="O82" s="223"/>
      <c r="P82" s="223"/>
      <c r="Q82" s="223"/>
      <c r="R82" s="222"/>
      <c r="S82" s="222"/>
      <c r="T82" s="225"/>
      <c r="U82" s="222"/>
      <c r="V82" s="222"/>
      <c r="W82" s="222"/>
      <c r="X82" s="222"/>
      <c r="Y82" s="222"/>
      <c r="Z82" s="221">
        <f t="shared" si="7"/>
        <v>0</v>
      </c>
      <c r="AA82" s="307">
        <f t="shared" si="8"/>
        <v>0</v>
      </c>
    </row>
    <row r="83" spans="1:27" s="212" customFormat="1">
      <c r="A83" s="14">
        <v>75</v>
      </c>
      <c r="B83" s="214"/>
      <c r="C83" s="214"/>
      <c r="D83" s="214"/>
      <c r="E83" s="215"/>
      <c r="F83" s="215"/>
      <c r="G83" s="224">
        <f t="shared" si="6"/>
        <v>0</v>
      </c>
      <c r="H83" s="222"/>
      <c r="I83" s="222"/>
      <c r="J83" s="222"/>
      <c r="K83" s="222"/>
      <c r="L83" s="222"/>
      <c r="M83" s="222"/>
      <c r="N83" s="223"/>
      <c r="O83" s="223"/>
      <c r="P83" s="223"/>
      <c r="Q83" s="223"/>
      <c r="R83" s="222"/>
      <c r="S83" s="222"/>
      <c r="T83" s="222"/>
      <c r="U83" s="222"/>
      <c r="V83" s="222"/>
      <c r="W83" s="222"/>
      <c r="X83" s="222"/>
      <c r="Y83" s="222"/>
      <c r="Z83" s="221">
        <f t="shared" si="7"/>
        <v>0</v>
      </c>
      <c r="AA83" s="307">
        <f t="shared" si="8"/>
        <v>0</v>
      </c>
    </row>
    <row r="84" spans="1:27" s="212" customFormat="1">
      <c r="A84" s="14">
        <v>76</v>
      </c>
      <c r="B84" s="214"/>
      <c r="C84" s="214"/>
      <c r="D84" s="214"/>
      <c r="E84" s="215"/>
      <c r="F84" s="215"/>
      <c r="G84" s="224">
        <f t="shared" si="6"/>
        <v>0</v>
      </c>
      <c r="H84" s="222"/>
      <c r="I84" s="222"/>
      <c r="J84" s="222"/>
      <c r="K84" s="222"/>
      <c r="L84" s="222"/>
      <c r="M84" s="222"/>
      <c r="N84" s="223"/>
      <c r="O84" s="223"/>
      <c r="P84" s="223"/>
      <c r="Q84" s="223"/>
      <c r="R84" s="222"/>
      <c r="S84" s="222"/>
      <c r="T84" s="222"/>
      <c r="U84" s="222"/>
      <c r="V84" s="222"/>
      <c r="W84" s="222"/>
      <c r="X84" s="222"/>
      <c r="Y84" s="222"/>
      <c r="Z84" s="221">
        <f t="shared" si="7"/>
        <v>0</v>
      </c>
      <c r="AA84" s="307">
        <f t="shared" si="8"/>
        <v>0</v>
      </c>
    </row>
    <row r="85" spans="1:27" s="212" customFormat="1">
      <c r="A85" s="14">
        <v>77</v>
      </c>
      <c r="B85" s="214"/>
      <c r="C85" s="214"/>
      <c r="D85" s="214"/>
      <c r="E85" s="215"/>
      <c r="F85" s="215"/>
      <c r="G85" s="224">
        <f t="shared" si="6"/>
        <v>0</v>
      </c>
      <c r="H85" s="222"/>
      <c r="I85" s="222"/>
      <c r="J85" s="222"/>
      <c r="K85" s="222"/>
      <c r="L85" s="222"/>
      <c r="M85" s="222"/>
      <c r="N85" s="223"/>
      <c r="O85" s="223"/>
      <c r="P85" s="223"/>
      <c r="Q85" s="223"/>
      <c r="R85" s="222"/>
      <c r="S85" s="222"/>
      <c r="T85" s="222"/>
      <c r="U85" s="222"/>
      <c r="V85" s="222"/>
      <c r="W85" s="222"/>
      <c r="X85" s="222"/>
      <c r="Y85" s="222"/>
      <c r="Z85" s="221">
        <f t="shared" si="7"/>
        <v>0</v>
      </c>
      <c r="AA85" s="307">
        <f t="shared" si="8"/>
        <v>0</v>
      </c>
    </row>
    <row r="86" spans="1:27" s="212" customFormat="1">
      <c r="A86" s="14">
        <v>78</v>
      </c>
      <c r="B86" s="214"/>
      <c r="C86" s="214"/>
      <c r="D86" s="214"/>
      <c r="E86" s="215"/>
      <c r="F86" s="215"/>
      <c r="G86" s="224">
        <f t="shared" si="6"/>
        <v>0</v>
      </c>
      <c r="H86" s="222"/>
      <c r="I86" s="222"/>
      <c r="J86" s="222"/>
      <c r="K86" s="222"/>
      <c r="L86" s="222"/>
      <c r="M86" s="222"/>
      <c r="N86" s="223"/>
      <c r="O86" s="223"/>
      <c r="P86" s="223"/>
      <c r="Q86" s="223"/>
      <c r="R86" s="222"/>
      <c r="S86" s="222"/>
      <c r="T86" s="222"/>
      <c r="U86" s="222"/>
      <c r="V86" s="222"/>
      <c r="W86" s="222"/>
      <c r="X86" s="222"/>
      <c r="Y86" s="222"/>
      <c r="Z86" s="221">
        <f t="shared" si="7"/>
        <v>0</v>
      </c>
      <c r="AA86" s="307">
        <f t="shared" si="8"/>
        <v>0</v>
      </c>
    </row>
    <row r="87" spans="1:27" s="212" customFormat="1">
      <c r="A87" s="14">
        <v>79</v>
      </c>
      <c r="B87" s="214"/>
      <c r="C87" s="214"/>
      <c r="D87" s="214"/>
      <c r="E87" s="215"/>
      <c r="F87" s="215"/>
      <c r="G87" s="224">
        <f t="shared" si="6"/>
        <v>0</v>
      </c>
      <c r="H87" s="222"/>
      <c r="I87" s="222"/>
      <c r="J87" s="222"/>
      <c r="K87" s="222"/>
      <c r="L87" s="222"/>
      <c r="M87" s="222"/>
      <c r="N87" s="223"/>
      <c r="O87" s="223"/>
      <c r="P87" s="223"/>
      <c r="Q87" s="223"/>
      <c r="R87" s="222"/>
      <c r="S87" s="222"/>
      <c r="T87" s="222"/>
      <c r="U87" s="222"/>
      <c r="V87" s="222"/>
      <c r="W87" s="222"/>
      <c r="X87" s="222"/>
      <c r="Y87" s="222"/>
      <c r="Z87" s="221">
        <f t="shared" si="7"/>
        <v>0</v>
      </c>
      <c r="AA87" s="307">
        <f t="shared" si="8"/>
        <v>0</v>
      </c>
    </row>
    <row r="88" spans="1:27" s="212" customFormat="1">
      <c r="A88" s="14">
        <v>80</v>
      </c>
      <c r="B88" s="214"/>
      <c r="C88" s="214"/>
      <c r="D88" s="214"/>
      <c r="E88" s="215"/>
      <c r="F88" s="215"/>
      <c r="G88" s="224">
        <f t="shared" si="6"/>
        <v>0</v>
      </c>
      <c r="H88" s="222"/>
      <c r="I88" s="222"/>
      <c r="J88" s="222"/>
      <c r="K88" s="222"/>
      <c r="L88" s="222"/>
      <c r="M88" s="222"/>
      <c r="N88" s="223"/>
      <c r="O88" s="223"/>
      <c r="P88" s="223"/>
      <c r="Q88" s="223"/>
      <c r="R88" s="222"/>
      <c r="S88" s="222"/>
      <c r="T88" s="222"/>
      <c r="U88" s="222"/>
      <c r="V88" s="222"/>
      <c r="W88" s="222"/>
      <c r="X88" s="222"/>
      <c r="Y88" s="222"/>
      <c r="Z88" s="221">
        <f t="shared" si="7"/>
        <v>0</v>
      </c>
      <c r="AA88" s="307">
        <f t="shared" si="8"/>
        <v>0</v>
      </c>
    </row>
    <row r="89" spans="1:27" s="231" customFormat="1" ht="19.5" customHeight="1">
      <c r="A89" s="716" t="s">
        <v>452</v>
      </c>
      <c r="B89" s="717"/>
      <c r="C89" s="717"/>
      <c r="D89" s="717"/>
      <c r="E89" s="717"/>
      <c r="F89" s="718"/>
      <c r="G89" s="211">
        <f>SUM(G9:G88)</f>
        <v>20840757258</v>
      </c>
      <c r="H89" s="211">
        <f t="shared" ref="H89:V89" si="9">SUM(H9:H88)</f>
        <v>2521664097</v>
      </c>
      <c r="I89" s="211">
        <f t="shared" si="9"/>
        <v>17037433235</v>
      </c>
      <c r="J89" s="211">
        <f t="shared" si="9"/>
        <v>1137506057</v>
      </c>
      <c r="K89" s="211">
        <f t="shared" si="9"/>
        <v>36399422</v>
      </c>
      <c r="L89" s="211">
        <f t="shared" si="9"/>
        <v>856834132</v>
      </c>
      <c r="M89" s="211">
        <f t="shared" si="9"/>
        <v>0</v>
      </c>
      <c r="N89" s="211">
        <f t="shared" si="9"/>
        <v>45696254</v>
      </c>
      <c r="O89" s="211">
        <f t="shared" si="9"/>
        <v>45696254</v>
      </c>
      <c r="P89" s="211">
        <f t="shared" si="9"/>
        <v>124511642</v>
      </c>
      <c r="Q89" s="211">
        <f t="shared" si="9"/>
        <v>62058193</v>
      </c>
      <c r="R89" s="211">
        <f t="shared" si="9"/>
        <v>0</v>
      </c>
      <c r="S89" s="211">
        <f t="shared" si="9"/>
        <v>0</v>
      </c>
      <c r="T89" s="211">
        <f t="shared" si="9"/>
        <v>0</v>
      </c>
      <c r="U89" s="228"/>
      <c r="V89" s="211">
        <f t="shared" si="9"/>
        <v>6120644414</v>
      </c>
      <c r="W89" s="228"/>
      <c r="X89" s="211">
        <f t="shared" ref="X89:Z89" si="10">SUM(X9:X88)</f>
        <v>328439744</v>
      </c>
      <c r="Y89" s="211">
        <f t="shared" si="10"/>
        <v>0</v>
      </c>
      <c r="Z89" s="211">
        <f t="shared" si="10"/>
        <v>14391673100</v>
      </c>
      <c r="AA89" s="311"/>
    </row>
    <row r="90" spans="1:27" s="231" customFormat="1" ht="19.5" customHeight="1">
      <c r="A90" s="716" t="s">
        <v>453</v>
      </c>
      <c r="B90" s="717"/>
      <c r="C90" s="717"/>
      <c r="D90" s="717"/>
      <c r="E90" s="717"/>
      <c r="F90" s="718"/>
      <c r="G90" s="211">
        <f>+SUMIF($F$9:$F$88,$AA$90,$G$9:$G$88)</f>
        <v>2025223486</v>
      </c>
      <c r="H90" s="211">
        <f>+SUMIF($F$9:$F$88,$AA$90,$H$9:$H$88)</f>
        <v>0</v>
      </c>
      <c r="I90" s="211">
        <f>+SUMIF($F$9:$F$88,$AA$90,$I$9:$I$88)</f>
        <v>2025223486</v>
      </c>
      <c r="J90" s="211">
        <f>+SUMIF($F$9:$F$88,$AA$90,$J$9:$J$88)</f>
        <v>0</v>
      </c>
      <c r="K90" s="211">
        <f>+SUMIF($F$9:$F$88,$AA$90,$K$9:$K$88)</f>
        <v>0</v>
      </c>
      <c r="L90" s="211">
        <f>+SUMIF($F$9:$F$88,$AA$90,$L$9:$L$88)</f>
        <v>0</v>
      </c>
      <c r="M90" s="211">
        <f>+SUMIF($F$9:$F$88,$AA$90,$M$9:$M$88)</f>
        <v>0</v>
      </c>
      <c r="N90" s="211">
        <f>+SUMIF($F$9:$F$88,$AA$90,$N$9:$N$88)</f>
        <v>0</v>
      </c>
      <c r="O90" s="211">
        <f>+SUMIF($F$9:$F$88,$AA$90,$O$9:$O$88)</f>
        <v>0</v>
      </c>
      <c r="P90" s="211">
        <f>+SUMIF($F$9:$F$88,$AA$90,$P$9:$P$88)</f>
        <v>0</v>
      </c>
      <c r="Q90" s="211">
        <f>+SUMIF($F$9:$F$88,$AA$90,$Q$9:$Q$88)</f>
        <v>0</v>
      </c>
      <c r="R90" s="211">
        <f>+SUMIF($F$9:$F$88,$AA$90,$R$9:$R$88)</f>
        <v>0</v>
      </c>
      <c r="S90" s="211">
        <f>+SUMIF($F$9:$F$88,$AA$90,$S$9:$S$88)</f>
        <v>0</v>
      </c>
      <c r="T90" s="211">
        <f>+SUMIF($F$9:$F$88,$AA$90,$T$9:$T$88)</f>
        <v>0</v>
      </c>
      <c r="U90" s="228"/>
      <c r="V90" s="211">
        <f>+SUMIF($F$9:$F$88,$AA$90,$V$9:$V$88)</f>
        <v>0</v>
      </c>
      <c r="W90" s="228"/>
      <c r="X90" s="211">
        <f>+SUMIF($F$9:$F$88,$AA$90,$X$9:$X$88)</f>
        <v>0</v>
      </c>
      <c r="Y90" s="211">
        <f>+SUMIF($F$9:$F$88,$AA$90,$Y$9:$Y$88)</f>
        <v>0</v>
      </c>
      <c r="Z90" s="211">
        <f>+MAX(AA9:AA88)</f>
        <v>2025223486</v>
      </c>
      <c r="AA90" s="311">
        <f>INDEX($F$9:$F$88,MATCH($Z90,$AA$9:$AA$88,0))</f>
        <v>3</v>
      </c>
    </row>
    <row r="91" spans="1:27" s="15" customFormat="1">
      <c r="AA91" s="309"/>
    </row>
    <row r="92" spans="1:27" ht="15" customHeight="1">
      <c r="B92" s="174" t="s">
        <v>756</v>
      </c>
      <c r="F92" s="157"/>
      <c r="G92" s="157"/>
      <c r="H92" s="157"/>
      <c r="I92" s="157"/>
      <c r="J92" s="157"/>
      <c r="K92" s="157"/>
      <c r="L92" s="157"/>
      <c r="M92" s="157"/>
      <c r="AA92" s="28"/>
    </row>
    <row r="93" spans="1:27" ht="11.25" customHeight="1">
      <c r="B93" s="174"/>
      <c r="F93" s="157"/>
      <c r="G93" s="157"/>
      <c r="H93" s="157"/>
      <c r="I93" s="157"/>
      <c r="J93" s="157"/>
      <c r="K93" s="157"/>
      <c r="L93" s="157"/>
      <c r="M93" s="157"/>
      <c r="AA93" s="28"/>
    </row>
    <row r="94" spans="1:27" ht="15" customHeight="1">
      <c r="B94" s="174" t="s">
        <v>757</v>
      </c>
      <c r="F94" s="157"/>
      <c r="G94" s="157"/>
      <c r="H94" s="157"/>
      <c r="I94" s="157"/>
      <c r="J94" s="157"/>
      <c r="K94" s="157"/>
      <c r="L94" s="157"/>
      <c r="M94" s="157"/>
      <c r="AA94" s="28"/>
    </row>
    <row r="95" spans="1:27" s="15" customFormat="1">
      <c r="B95" s="175"/>
      <c r="AA95" s="309"/>
    </row>
    <row r="96" spans="1:27" s="15" customFormat="1">
      <c r="B96" s="175"/>
      <c r="AA96" s="309"/>
    </row>
    <row r="97" spans="2:27" s="15" customFormat="1">
      <c r="B97" s="175"/>
      <c r="AA97" s="309"/>
    </row>
    <row r="98" spans="2:27" s="15" customFormat="1">
      <c r="AA98" s="309"/>
    </row>
    <row r="99" spans="2:27" s="15" customFormat="1" ht="15.75">
      <c r="B99" s="699"/>
      <c r="C99" s="699"/>
      <c r="D99" s="699"/>
      <c r="E99" s="699"/>
      <c r="F99" s="699"/>
      <c r="G99" s="699"/>
      <c r="H99" s="699"/>
      <c r="I99" s="699"/>
      <c r="J99" s="699"/>
      <c r="K99" s="699"/>
      <c r="L99" s="699"/>
      <c r="M99" s="699"/>
      <c r="N99" s="699"/>
      <c r="O99" s="699"/>
      <c r="P99" s="699"/>
      <c r="Q99" s="699"/>
      <c r="R99" s="699"/>
      <c r="S99" s="699"/>
      <c r="T99" s="699"/>
      <c r="AA99" s="309"/>
    </row>
    <row r="100" spans="2:27">
      <c r="AA100" s="310"/>
    </row>
    <row r="101" spans="2:27">
      <c r="AA101" s="310"/>
    </row>
    <row r="102" spans="2:27">
      <c r="AA102" s="310"/>
    </row>
    <row r="103" spans="2:27">
      <c r="AA103" s="310"/>
    </row>
    <row r="104" spans="2:27">
      <c r="AA104" s="310"/>
    </row>
    <row r="105" spans="2:27">
      <c r="AA105" s="310"/>
    </row>
    <row r="106" spans="2:27">
      <c r="AA106" s="310"/>
    </row>
    <row r="107" spans="2:27">
      <c r="AA107" s="310"/>
    </row>
    <row r="108" spans="2:27">
      <c r="AA108" s="310"/>
    </row>
    <row r="109" spans="2:27">
      <c r="AA109" s="310"/>
    </row>
    <row r="110" spans="2:27">
      <c r="AA110" s="310"/>
    </row>
    <row r="111" spans="2:27">
      <c r="AA111" s="310"/>
    </row>
    <row r="112" spans="2:27">
      <c r="AA112" s="310"/>
    </row>
    <row r="113" spans="27:27">
      <c r="AA113" s="310"/>
    </row>
    <row r="114" spans="27:27">
      <c r="AA114" s="310"/>
    </row>
    <row r="115" spans="27:27">
      <c r="AA115" s="310"/>
    </row>
    <row r="116" spans="27:27">
      <c r="AA116" s="310"/>
    </row>
    <row r="117" spans="27:27">
      <c r="AA117" s="310"/>
    </row>
    <row r="118" spans="27:27">
      <c r="AA118" s="310"/>
    </row>
    <row r="119" spans="27:27">
      <c r="AA119" s="310"/>
    </row>
    <row r="120" spans="27:27">
      <c r="AA120" s="310"/>
    </row>
    <row r="121" spans="27:27">
      <c r="AA121" s="310"/>
    </row>
    <row r="122" spans="27:27">
      <c r="AA122" s="310"/>
    </row>
    <row r="123" spans="27:27">
      <c r="AA123" s="310"/>
    </row>
    <row r="124" spans="27:27">
      <c r="AA124" s="310"/>
    </row>
    <row r="125" spans="27:27">
      <c r="AA125" s="310"/>
    </row>
    <row r="126" spans="27:27">
      <c r="AA126" s="310"/>
    </row>
    <row r="127" spans="27:27">
      <c r="AA127" s="310"/>
    </row>
    <row r="128" spans="27:27">
      <c r="AA128" s="310"/>
    </row>
    <row r="129" spans="27:27">
      <c r="AA129" s="310"/>
    </row>
    <row r="130" spans="27:27">
      <c r="AA130" s="310"/>
    </row>
    <row r="131" spans="27:27">
      <c r="AA131" s="310"/>
    </row>
  </sheetData>
  <sheetProtection password="CACA" sheet="1" objects="1" scenarios="1"/>
  <mergeCells count="36"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  <mergeCell ref="Y3:Z3"/>
    <mergeCell ref="X4:X7"/>
    <mergeCell ref="Y4:Y7"/>
    <mergeCell ref="T4:T7"/>
    <mergeCell ref="Z4:Z7"/>
    <mergeCell ref="U6:U7"/>
    <mergeCell ref="V6:V7"/>
    <mergeCell ref="U3:V3"/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</mergeCells>
  <printOptions horizontalCentered="1"/>
  <pageMargins left="0.15748031496062992" right="0.19685039370078741" top="0.49" bottom="0.19685039370078741" header="0.51181102362204722" footer="0.51181102362204722"/>
  <pageSetup paperSize="9" scale="38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O53"/>
  <sheetViews>
    <sheetView view="pageBreakPreview" zoomScale="85" zoomScaleNormal="75" zoomScaleSheetLayoutView="85" workbookViewId="0">
      <pane xSplit="3" ySplit="8" topLeftCell="D37" activePane="bottomRight" state="frozen"/>
      <selection pane="topRight" activeCell="D1" sqref="D1"/>
      <selection pane="bottomLeft" activeCell="A9" sqref="A9"/>
      <selection pane="bottomRight" activeCell="H8" sqref="H8"/>
    </sheetView>
  </sheetViews>
  <sheetFormatPr defaultColWidth="9.42578125" defaultRowHeight="15"/>
  <cols>
    <col min="1" max="1" width="11" style="122" bestFit="1" customWidth="1"/>
    <col min="2" max="2" width="31" style="6" customWidth="1"/>
    <col min="3" max="3" width="17.28515625" style="6" customWidth="1"/>
    <col min="4" max="9" width="17.42578125" style="6" customWidth="1"/>
    <col min="10" max="10" width="16.28515625" style="6" customWidth="1"/>
    <col min="11" max="11" width="9.42578125" style="6"/>
    <col min="12" max="13" width="18.85546875" style="499" customWidth="1"/>
    <col min="14" max="14" width="18.85546875" style="6" customWidth="1"/>
    <col min="15" max="16384" width="9.42578125" style="6"/>
  </cols>
  <sheetData>
    <row r="1" spans="1:14" s="15" customFormat="1" ht="35.25" customHeight="1">
      <c r="A1" s="719" t="s">
        <v>455</v>
      </c>
      <c r="B1" s="719"/>
      <c r="C1" s="719"/>
      <c r="D1" s="719"/>
      <c r="E1" s="719"/>
      <c r="F1" s="719"/>
      <c r="G1" s="719"/>
      <c r="H1" s="719"/>
      <c r="I1" s="719"/>
      <c r="J1" s="496" t="s">
        <v>454</v>
      </c>
      <c r="L1" s="497"/>
      <c r="M1" s="497"/>
    </row>
    <row r="2" spans="1:14" s="28" customFormat="1" ht="15.75" customHeight="1">
      <c r="A2" s="196"/>
      <c r="B2" s="197"/>
      <c r="C2" s="197"/>
      <c r="E2" s="198"/>
      <c r="L2" s="398"/>
      <c r="M2" s="398"/>
    </row>
    <row r="3" spans="1:14" s="28" customFormat="1" ht="16.5" customHeight="1">
      <c r="A3" s="199" t="s">
        <v>456</v>
      </c>
      <c r="C3" s="199"/>
      <c r="F3" s="200"/>
      <c r="G3" s="715">
        <f>+'Asset quality'!Q3</f>
        <v>46021</v>
      </c>
      <c r="H3" s="715"/>
      <c r="J3" s="227" t="str">
        <f>+'Asset quality'!T3</f>
        <v>минг. сўмда</v>
      </c>
      <c r="L3" s="498"/>
      <c r="M3" s="398"/>
    </row>
    <row r="4" spans="1:14" s="175" customFormat="1" ht="36" customHeight="1">
      <c r="A4" s="720" t="s">
        <v>61</v>
      </c>
      <c r="B4" s="720" t="s">
        <v>457</v>
      </c>
      <c r="C4" s="702" t="str">
        <f>"Ҳисобдан чиқарилган кредитлар, лизинглар ва факторинглар қолдиғи"&amp;" "&amp;DAY(G3)&amp;"."&amp;IF(LEN(MONTH(G3))&lt;2,"0"&amp;MONTH(G3),MONTH(G3))&amp;"."&amp;YEAR(G3)-1&amp;"г"</f>
        <v>Ҳисобдан чиқарилган кредитлар, лизинглар ва факторинглар қолдиғи 30.12.2024г</v>
      </c>
      <c r="D4" s="706" t="s">
        <v>784</v>
      </c>
      <c r="E4" s="723"/>
      <c r="F4" s="723"/>
      <c r="G4" s="723"/>
      <c r="H4" s="723"/>
      <c r="I4" s="707"/>
      <c r="J4" s="702" t="str">
        <f>"Ҳисобдан чиқарилган кредитлар, лизинглар ва факторинглар қолдиғи"&amp;" "&amp;DAY(G3)&amp;"."&amp;IF(LEN(MONTH(G3))&lt;2,"0"&amp;MONTH(G3),MONTH(G3))&amp;"."&amp;YEAR(G3)&amp;"г"</f>
        <v>Ҳисобдан чиқарилган кредитлар, лизинглар ва факторинглар қолдиғи 30.12.2025г</v>
      </c>
      <c r="L4" s="399"/>
      <c r="M4" s="399"/>
    </row>
    <row r="5" spans="1:14" s="175" customFormat="1" ht="33.75" customHeight="1">
      <c r="A5" s="721"/>
      <c r="B5" s="721"/>
      <c r="C5" s="703"/>
      <c r="D5" s="724" t="s">
        <v>458</v>
      </c>
      <c r="E5" s="725"/>
      <c r="F5" s="710" t="s">
        <v>459</v>
      </c>
      <c r="G5" s="726"/>
      <c r="H5" s="710" t="s">
        <v>460</v>
      </c>
      <c r="I5" s="726"/>
      <c r="J5" s="703"/>
      <c r="L5" s="399"/>
      <c r="M5" s="399"/>
      <c r="N5" s="201"/>
    </row>
    <row r="6" spans="1:14" s="175" customFormat="1" ht="44.25" customHeight="1">
      <c r="A6" s="722"/>
      <c r="B6" s="722"/>
      <c r="C6" s="704"/>
      <c r="D6" s="209" t="s">
        <v>232</v>
      </c>
      <c r="E6" s="209" t="s">
        <v>461</v>
      </c>
      <c r="F6" s="209" t="s">
        <v>232</v>
      </c>
      <c r="G6" s="209" t="s">
        <v>461</v>
      </c>
      <c r="H6" s="209" t="s">
        <v>232</v>
      </c>
      <c r="I6" s="209" t="s">
        <v>461</v>
      </c>
      <c r="J6" s="704"/>
      <c r="L6" s="399"/>
      <c r="M6" s="399"/>
    </row>
    <row r="7" spans="1:14" ht="19.5" customHeight="1">
      <c r="A7" s="209"/>
      <c r="B7" s="209" t="s">
        <v>78</v>
      </c>
      <c r="C7" s="209" t="s">
        <v>79</v>
      </c>
      <c r="D7" s="209" t="s">
        <v>89</v>
      </c>
      <c r="E7" s="209" t="s">
        <v>80</v>
      </c>
      <c r="F7" s="209" t="s">
        <v>81</v>
      </c>
      <c r="G7" s="209" t="s">
        <v>90</v>
      </c>
      <c r="H7" s="209" t="s">
        <v>82</v>
      </c>
      <c r="I7" s="209" t="s">
        <v>83</v>
      </c>
      <c r="J7" s="209" t="s">
        <v>84</v>
      </c>
      <c r="M7" s="399"/>
    </row>
    <row r="8" spans="1:14" ht="19.5" customHeight="1">
      <c r="A8" s="209">
        <v>1</v>
      </c>
      <c r="B8" s="209" t="s">
        <v>462</v>
      </c>
      <c r="C8" s="209">
        <f>SUM(C10:C17)</f>
        <v>2273462065</v>
      </c>
      <c r="D8" s="209">
        <f t="shared" ref="D8:J8" si="0">SUM(D10:D17)</f>
        <v>572415861</v>
      </c>
      <c r="E8" s="209">
        <f t="shared" si="0"/>
        <v>261519921</v>
      </c>
      <c r="F8" s="209">
        <f t="shared" si="0"/>
        <v>856487197</v>
      </c>
      <c r="G8" s="209">
        <f t="shared" si="0"/>
        <v>414495742</v>
      </c>
      <c r="H8" s="209">
        <f t="shared" si="0"/>
        <v>-284071336</v>
      </c>
      <c r="I8" s="209">
        <f t="shared" si="0"/>
        <v>-152975820</v>
      </c>
      <c r="J8" s="209">
        <f t="shared" si="0"/>
        <v>1987127137</v>
      </c>
      <c r="L8" s="500">
        <f>+'loans type'!Y27</f>
        <v>1987127137</v>
      </c>
    </row>
    <row r="9" spans="1:14" ht="19.5" customHeight="1">
      <c r="A9" s="312"/>
      <c r="B9" s="313" t="s">
        <v>332</v>
      </c>
      <c r="C9" s="202"/>
      <c r="D9" s="203"/>
      <c r="E9" s="203"/>
      <c r="F9" s="203"/>
      <c r="G9" s="203"/>
      <c r="H9" s="203"/>
      <c r="I9" s="203"/>
      <c r="J9" s="203"/>
      <c r="K9" s="122"/>
    </row>
    <row r="10" spans="1:14" ht="28.5" customHeight="1">
      <c r="A10" s="314" t="s">
        <v>110</v>
      </c>
      <c r="B10" s="202" t="s">
        <v>463</v>
      </c>
      <c r="C10" s="210">
        <v>1429604464</v>
      </c>
      <c r="D10" s="210">
        <v>257292789</v>
      </c>
      <c r="E10" s="210">
        <v>112726165</v>
      </c>
      <c r="F10" s="210">
        <v>316356888</v>
      </c>
      <c r="G10" s="210">
        <v>173312643</v>
      </c>
      <c r="H10" s="210">
        <v>-59064099</v>
      </c>
      <c r="I10" s="210">
        <v>-60586478</v>
      </c>
      <c r="J10" s="210">
        <v>1294383084</v>
      </c>
    </row>
    <row r="11" spans="1:14" ht="28.5" customHeight="1">
      <c r="A11" s="314" t="s">
        <v>111</v>
      </c>
      <c r="B11" s="202" t="s">
        <v>464</v>
      </c>
      <c r="C11" s="210">
        <v>356023492</v>
      </c>
      <c r="D11" s="210">
        <v>54564699</v>
      </c>
      <c r="E11" s="210">
        <v>32194757</v>
      </c>
      <c r="F11" s="210">
        <v>101814013</v>
      </c>
      <c r="G11" s="210">
        <v>96036413</v>
      </c>
      <c r="H11" s="210">
        <v>-47249313</v>
      </c>
      <c r="I11" s="210">
        <v>-63841656</v>
      </c>
      <c r="J11" s="210">
        <v>268376332</v>
      </c>
    </row>
    <row r="12" spans="1:14" ht="28.5" customHeight="1">
      <c r="A12" s="314" t="s">
        <v>112</v>
      </c>
      <c r="B12" s="202" t="s">
        <v>465</v>
      </c>
      <c r="C12" s="210">
        <v>79659260</v>
      </c>
      <c r="D12" s="210">
        <v>16780366</v>
      </c>
      <c r="E12" s="210">
        <v>4847754</v>
      </c>
      <c r="F12" s="210">
        <v>51838253</v>
      </c>
      <c r="G12" s="210">
        <v>39565479</v>
      </c>
      <c r="H12" s="210">
        <v>-35057888</v>
      </c>
      <c r="I12" s="210">
        <v>-34717724</v>
      </c>
      <c r="J12" s="210">
        <v>58095196</v>
      </c>
    </row>
    <row r="13" spans="1:14" ht="28.5" customHeight="1">
      <c r="A13" s="314" t="s">
        <v>116</v>
      </c>
      <c r="B13" s="202" t="s">
        <v>466</v>
      </c>
      <c r="C13" s="210">
        <v>149765514</v>
      </c>
      <c r="D13" s="210">
        <v>22022311</v>
      </c>
      <c r="E13" s="210">
        <v>10531678</v>
      </c>
      <c r="F13" s="210">
        <v>46535414</v>
      </c>
      <c r="G13" s="210">
        <v>19908119</v>
      </c>
      <c r="H13" s="210">
        <v>-24513103</v>
      </c>
      <c r="I13" s="210">
        <v>-9376441</v>
      </c>
      <c r="J13" s="210">
        <v>120569237</v>
      </c>
    </row>
    <row r="14" spans="1:14" ht="28.5" customHeight="1">
      <c r="A14" s="314" t="s">
        <v>117</v>
      </c>
      <c r="B14" s="202" t="s">
        <v>467</v>
      </c>
      <c r="C14" s="210">
        <v>195844757</v>
      </c>
      <c r="D14" s="210">
        <v>49303546</v>
      </c>
      <c r="E14" s="210">
        <v>44144119</v>
      </c>
      <c r="F14" s="210">
        <v>87472766</v>
      </c>
      <c r="G14" s="210">
        <v>78889938</v>
      </c>
      <c r="H14" s="210">
        <v>-38169220</v>
      </c>
      <c r="I14" s="210">
        <v>-34745819</v>
      </c>
      <c r="J14" s="210">
        <v>124131104</v>
      </c>
    </row>
    <row r="15" spans="1:14" ht="28.5" customHeight="1">
      <c r="A15" s="314" t="s">
        <v>146</v>
      </c>
      <c r="B15" s="202" t="s">
        <v>468</v>
      </c>
      <c r="C15" s="210">
        <v>12111024</v>
      </c>
      <c r="D15" s="210">
        <v>553418</v>
      </c>
      <c r="E15" s="210">
        <v>553418</v>
      </c>
      <c r="F15" s="210">
        <v>401254</v>
      </c>
      <c r="G15" s="210">
        <v>401254</v>
      </c>
      <c r="H15" s="210">
        <v>152164</v>
      </c>
      <c r="I15" s="210">
        <v>152164</v>
      </c>
      <c r="J15" s="210">
        <v>11600791</v>
      </c>
    </row>
    <row r="16" spans="1:14" ht="28.5" customHeight="1">
      <c r="A16" s="314" t="s">
        <v>217</v>
      </c>
      <c r="B16" s="202" t="s">
        <v>469</v>
      </c>
      <c r="C16" s="210">
        <v>2135303</v>
      </c>
      <c r="D16" s="210">
        <v>0</v>
      </c>
      <c r="E16" s="210">
        <v>0</v>
      </c>
      <c r="F16" s="210">
        <v>0</v>
      </c>
      <c r="G16" s="210">
        <v>0</v>
      </c>
      <c r="H16" s="210">
        <v>0</v>
      </c>
      <c r="I16" s="210">
        <v>0</v>
      </c>
      <c r="J16" s="210">
        <v>2135303</v>
      </c>
    </row>
    <row r="17" spans="1:15" ht="28.5" customHeight="1">
      <c r="A17" s="314" t="s">
        <v>218</v>
      </c>
      <c r="B17" s="202" t="s">
        <v>470</v>
      </c>
      <c r="C17" s="210">
        <v>48318251</v>
      </c>
      <c r="D17" s="210">
        <v>171898732</v>
      </c>
      <c r="E17" s="210">
        <v>56522030</v>
      </c>
      <c r="F17" s="210">
        <v>252068609</v>
      </c>
      <c r="G17" s="210">
        <v>6381896</v>
      </c>
      <c r="H17" s="210">
        <v>-80169877</v>
      </c>
      <c r="I17" s="210">
        <v>50140134</v>
      </c>
      <c r="J17" s="210">
        <v>107836090</v>
      </c>
    </row>
    <row r="18" spans="1:15" ht="19.5" customHeight="1">
      <c r="A18" s="209">
        <v>2</v>
      </c>
      <c r="B18" s="209" t="s">
        <v>395</v>
      </c>
      <c r="C18" s="209">
        <f>SUM(C20:C24)</f>
        <v>50165788</v>
      </c>
      <c r="D18" s="209">
        <f t="shared" ref="D18:J18" si="1">SUM(D20:D24)</f>
        <v>43738900</v>
      </c>
      <c r="E18" s="209">
        <f t="shared" si="1"/>
        <v>0</v>
      </c>
      <c r="F18" s="209">
        <f t="shared" si="1"/>
        <v>22040934</v>
      </c>
      <c r="G18" s="209">
        <f t="shared" si="1"/>
        <v>0</v>
      </c>
      <c r="H18" s="209">
        <f t="shared" si="1"/>
        <v>21697965</v>
      </c>
      <c r="I18" s="209">
        <f t="shared" si="1"/>
        <v>0</v>
      </c>
      <c r="J18" s="209">
        <f t="shared" si="1"/>
        <v>196799846</v>
      </c>
      <c r="L18" s="500">
        <f>+'loans type'!Y9</f>
        <v>196799846</v>
      </c>
    </row>
    <row r="19" spans="1:15" ht="19.5" customHeight="1">
      <c r="A19" s="121"/>
      <c r="B19" s="313" t="s">
        <v>332</v>
      </c>
      <c r="C19" s="202"/>
      <c r="D19" s="203"/>
      <c r="E19" s="203"/>
      <c r="F19" s="203"/>
      <c r="G19" s="203"/>
      <c r="H19" s="203"/>
      <c r="I19" s="203"/>
      <c r="J19" s="203"/>
    </row>
    <row r="20" spans="1:15" ht="28.5" customHeight="1">
      <c r="A20" s="314" t="s">
        <v>123</v>
      </c>
      <c r="B20" s="202" t="s">
        <v>471</v>
      </c>
      <c r="C20" s="210">
        <v>16788205</v>
      </c>
      <c r="D20" s="210">
        <v>4408064</v>
      </c>
      <c r="E20" s="210">
        <v>0</v>
      </c>
      <c r="F20" s="210">
        <v>4155643</v>
      </c>
      <c r="G20" s="210">
        <v>0</v>
      </c>
      <c r="H20" s="210">
        <v>252421</v>
      </c>
      <c r="I20" s="210">
        <v>0</v>
      </c>
      <c r="J20" s="210">
        <v>31142144</v>
      </c>
    </row>
    <row r="21" spans="1:15" ht="28.5" customHeight="1">
      <c r="A21" s="314" t="s">
        <v>124</v>
      </c>
      <c r="B21" s="202" t="s">
        <v>174</v>
      </c>
      <c r="C21" s="210">
        <v>1764235</v>
      </c>
      <c r="D21" s="210">
        <v>912262</v>
      </c>
      <c r="E21" s="210">
        <v>0</v>
      </c>
      <c r="F21" s="210">
        <v>403437</v>
      </c>
      <c r="G21" s="210">
        <v>0</v>
      </c>
      <c r="H21" s="210">
        <v>508825</v>
      </c>
      <c r="I21" s="210">
        <v>0</v>
      </c>
      <c r="J21" s="210">
        <v>6834793</v>
      </c>
    </row>
    <row r="22" spans="1:15" ht="28.5" customHeight="1">
      <c r="A22" s="314" t="s">
        <v>126</v>
      </c>
      <c r="B22" s="202" t="s">
        <v>472</v>
      </c>
      <c r="C22" s="210">
        <v>18594164</v>
      </c>
      <c r="D22" s="210">
        <v>27392635</v>
      </c>
      <c r="E22" s="210">
        <v>0</v>
      </c>
      <c r="F22" s="210">
        <v>12401300</v>
      </c>
      <c r="G22" s="210">
        <v>0</v>
      </c>
      <c r="H22" s="210">
        <v>14991334</v>
      </c>
      <c r="I22" s="210">
        <v>0</v>
      </c>
      <c r="J22" s="210">
        <v>146592582</v>
      </c>
    </row>
    <row r="23" spans="1:15" ht="28.5" customHeight="1">
      <c r="A23" s="314" t="s">
        <v>128</v>
      </c>
      <c r="B23" s="202" t="s">
        <v>473</v>
      </c>
      <c r="C23" s="210">
        <v>7218146</v>
      </c>
      <c r="D23" s="210">
        <v>5757055</v>
      </c>
      <c r="E23" s="210">
        <v>0</v>
      </c>
      <c r="F23" s="210">
        <v>2868089</v>
      </c>
      <c r="G23" s="210">
        <v>0</v>
      </c>
      <c r="H23" s="210">
        <v>2888966</v>
      </c>
      <c r="I23" s="210">
        <v>0</v>
      </c>
      <c r="J23" s="210">
        <v>6528725</v>
      </c>
    </row>
    <row r="24" spans="1:15" ht="28.5" customHeight="1">
      <c r="A24" s="314" t="s">
        <v>175</v>
      </c>
      <c r="B24" s="202" t="s">
        <v>474</v>
      </c>
      <c r="C24" s="210">
        <v>5801038</v>
      </c>
      <c r="D24" s="210">
        <v>5268884</v>
      </c>
      <c r="E24" s="210">
        <v>0</v>
      </c>
      <c r="F24" s="210">
        <v>2212465</v>
      </c>
      <c r="G24" s="210">
        <v>0</v>
      </c>
      <c r="H24" s="210">
        <v>3056419</v>
      </c>
      <c r="I24" s="210">
        <v>0</v>
      </c>
      <c r="J24" s="210">
        <v>5701602</v>
      </c>
    </row>
    <row r="25" spans="1:15" ht="19.5" customHeight="1">
      <c r="A25" s="209">
        <v>3</v>
      </c>
      <c r="B25" s="209" t="s">
        <v>232</v>
      </c>
      <c r="C25" s="209">
        <f>+C18+C8</f>
        <v>2323627853</v>
      </c>
      <c r="D25" s="209">
        <f t="shared" ref="D25:J25" si="2">+D18+D8</f>
        <v>616154761</v>
      </c>
      <c r="E25" s="209">
        <f t="shared" si="2"/>
        <v>261519921</v>
      </c>
      <c r="F25" s="209">
        <f t="shared" si="2"/>
        <v>878528131</v>
      </c>
      <c r="G25" s="209">
        <f t="shared" si="2"/>
        <v>414495742</v>
      </c>
      <c r="H25" s="209">
        <f t="shared" si="2"/>
        <v>-262373371</v>
      </c>
      <c r="I25" s="209">
        <f t="shared" si="2"/>
        <v>-152975820</v>
      </c>
      <c r="J25" s="209">
        <f t="shared" si="2"/>
        <v>2183926983</v>
      </c>
      <c r="L25" s="501">
        <f>+'loans type'!Y8</f>
        <v>2183926983</v>
      </c>
    </row>
    <row r="26" spans="1:15">
      <c r="B26" s="196"/>
      <c r="C26" s="196"/>
      <c r="D26" s="196"/>
      <c r="E26" s="196"/>
      <c r="F26" s="196"/>
      <c r="G26" s="196"/>
      <c r="H26" s="196"/>
      <c r="I26" s="196"/>
      <c r="J26" s="196"/>
    </row>
    <row r="27" spans="1:15" s="28" customFormat="1" ht="16.5" customHeight="1">
      <c r="A27" s="199" t="s">
        <v>478</v>
      </c>
      <c r="B27" s="199"/>
      <c r="C27" s="199"/>
      <c r="G27" s="204"/>
      <c r="H27" s="192"/>
      <c r="L27" s="499"/>
      <c r="M27" s="398"/>
      <c r="N27" s="20"/>
      <c r="O27" s="20"/>
    </row>
    <row r="28" spans="1:15" s="175" customFormat="1" ht="33.75" customHeight="1">
      <c r="A28" s="727" t="s">
        <v>61</v>
      </c>
      <c r="B28" s="702" t="s">
        <v>457</v>
      </c>
      <c r="C28" s="702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"&amp;DAY(G3)&amp;"."&amp;IF(LEN(MONTH(G3))&lt;2,"0"&amp;MONTH(G3),MONTH(G3))&amp;"."&amp;YEAR(G3)-1&amp;"г"</f>
        <v>Кредитлар, лизинглар ва факторинглар бўйича эҳтимолий йўқотишларга қарши захиралар 30.12.2024г</v>
      </c>
      <c r="D28" s="706" t="s">
        <v>785</v>
      </c>
      <c r="E28" s="723"/>
      <c r="F28" s="723"/>
      <c r="G28" s="707"/>
      <c r="H28" s="702" t="s">
        <v>477</v>
      </c>
      <c r="I28" s="702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"&amp;DAY(G3)&amp;"."&amp;IF(LEN(MONTH(G3))&lt;2,"0"&amp;MONTH(G3),MONTH(G3))&amp;"."&amp;YEAR(G3)&amp;"г"</f>
        <v>Кредитлар, лизинглар ва факторинглар бўйича эҳтимолий йўқотишларга қарши захиралар 30.12.2025г</v>
      </c>
      <c r="L28" s="499"/>
      <c r="M28" s="399"/>
    </row>
    <row r="29" spans="1:15" s="175" customFormat="1" ht="28.5" customHeight="1">
      <c r="A29" s="728"/>
      <c r="B29" s="703"/>
      <c r="C29" s="703"/>
      <c r="D29" s="706" t="s">
        <v>475</v>
      </c>
      <c r="E29" s="707"/>
      <c r="F29" s="706" t="s">
        <v>476</v>
      </c>
      <c r="G29" s="707"/>
      <c r="H29" s="703"/>
      <c r="I29" s="703"/>
      <c r="L29" s="499"/>
      <c r="M29" s="399"/>
    </row>
    <row r="30" spans="1:15" s="175" customFormat="1" ht="78" customHeight="1">
      <c r="A30" s="729"/>
      <c r="B30" s="704"/>
      <c r="C30" s="704"/>
      <c r="D30" s="209" t="s">
        <v>232</v>
      </c>
      <c r="E30" s="209" t="s">
        <v>461</v>
      </c>
      <c r="F30" s="209" t="s">
        <v>232</v>
      </c>
      <c r="G30" s="209" t="s">
        <v>461</v>
      </c>
      <c r="H30" s="704"/>
      <c r="I30" s="704"/>
      <c r="L30" s="499"/>
      <c r="M30" s="399"/>
    </row>
    <row r="31" spans="1:15" ht="19.5" customHeight="1">
      <c r="A31" s="209"/>
      <c r="B31" s="209" t="s">
        <v>78</v>
      </c>
      <c r="C31" s="209" t="s">
        <v>79</v>
      </c>
      <c r="D31" s="209" t="s">
        <v>89</v>
      </c>
      <c r="E31" s="209" t="s">
        <v>80</v>
      </c>
      <c r="F31" s="209" t="s">
        <v>81</v>
      </c>
      <c r="G31" s="209" t="s">
        <v>90</v>
      </c>
      <c r="H31" s="209" t="s">
        <v>82</v>
      </c>
      <c r="I31" s="209" t="s">
        <v>83</v>
      </c>
    </row>
    <row r="32" spans="1:15" ht="19.5" customHeight="1">
      <c r="A32" s="209">
        <v>1</v>
      </c>
      <c r="B32" s="209" t="s">
        <v>462</v>
      </c>
      <c r="C32" s="209">
        <f>SUM(C34:C41)</f>
        <v>1623290435</v>
      </c>
      <c r="D32" s="209">
        <f t="shared" ref="D32:H32" si="3">SUM(D34:D41)</f>
        <v>0</v>
      </c>
      <c r="E32" s="209">
        <f t="shared" si="3"/>
        <v>0</v>
      </c>
      <c r="F32" s="209">
        <f t="shared" si="3"/>
        <v>0</v>
      </c>
      <c r="G32" s="209">
        <f t="shared" si="3"/>
        <v>0</v>
      </c>
      <c r="H32" s="209">
        <f t="shared" si="3"/>
        <v>0</v>
      </c>
      <c r="I32" s="209">
        <f>SUM(I34:I41)</f>
        <v>2254156976</v>
      </c>
      <c r="L32" s="500">
        <f>+'Asset Classification'!Y31-'Asset Classification'!Y13</f>
        <v>2254156976</v>
      </c>
    </row>
    <row r="33" spans="1:12" ht="19.5" customHeight="1">
      <c r="A33" s="121"/>
      <c r="B33" s="313" t="s">
        <v>332</v>
      </c>
      <c r="C33" s="202"/>
      <c r="D33" s="203"/>
      <c r="E33" s="203"/>
      <c r="F33" s="203"/>
      <c r="G33" s="203"/>
      <c r="H33" s="203"/>
      <c r="I33" s="203"/>
    </row>
    <row r="34" spans="1:12" ht="28.5" customHeight="1">
      <c r="A34" s="314" t="s">
        <v>110</v>
      </c>
      <c r="B34" s="202" t="s">
        <v>463</v>
      </c>
      <c r="C34" s="210">
        <v>951789013</v>
      </c>
      <c r="D34" s="210"/>
      <c r="E34" s="210"/>
      <c r="F34" s="210"/>
      <c r="G34" s="210"/>
      <c r="H34" s="210"/>
      <c r="I34" s="434">
        <v>937769068</v>
      </c>
    </row>
    <row r="35" spans="1:12" ht="28.5" customHeight="1">
      <c r="A35" s="314" t="s">
        <v>111</v>
      </c>
      <c r="B35" s="202" t="s">
        <v>464</v>
      </c>
      <c r="C35" s="210">
        <v>304511884</v>
      </c>
      <c r="D35" s="210"/>
      <c r="E35" s="210"/>
      <c r="F35" s="210"/>
      <c r="G35" s="210"/>
      <c r="H35" s="210"/>
      <c r="I35" s="434">
        <v>407000955</v>
      </c>
    </row>
    <row r="36" spans="1:12" ht="28.5" customHeight="1">
      <c r="A36" s="314" t="s">
        <v>112</v>
      </c>
      <c r="B36" s="202" t="s">
        <v>465</v>
      </c>
      <c r="C36" s="210">
        <v>18258801</v>
      </c>
      <c r="D36" s="210"/>
      <c r="E36" s="210"/>
      <c r="F36" s="210"/>
      <c r="G36" s="210"/>
      <c r="H36" s="210"/>
      <c r="I36" s="434">
        <v>30771743</v>
      </c>
    </row>
    <row r="37" spans="1:12" ht="28.5" customHeight="1">
      <c r="A37" s="314" t="s">
        <v>116</v>
      </c>
      <c r="B37" s="202" t="s">
        <v>466</v>
      </c>
      <c r="C37" s="210">
        <v>99930126</v>
      </c>
      <c r="D37" s="210"/>
      <c r="E37" s="210"/>
      <c r="F37" s="210"/>
      <c r="G37" s="210"/>
      <c r="H37" s="210"/>
      <c r="I37" s="434">
        <v>281028811</v>
      </c>
    </row>
    <row r="38" spans="1:12" ht="28.5" customHeight="1">
      <c r="A38" s="314" t="s">
        <v>117</v>
      </c>
      <c r="B38" s="202" t="s">
        <v>467</v>
      </c>
      <c r="C38" s="210">
        <v>148685714</v>
      </c>
      <c r="D38" s="210"/>
      <c r="E38" s="210"/>
      <c r="F38" s="210"/>
      <c r="G38" s="210"/>
      <c r="H38" s="210"/>
      <c r="I38" s="434">
        <v>317018846</v>
      </c>
    </row>
    <row r="39" spans="1:12" ht="28.5" customHeight="1">
      <c r="A39" s="314" t="s">
        <v>146</v>
      </c>
      <c r="B39" s="202" t="s">
        <v>468</v>
      </c>
      <c r="C39" s="210">
        <v>21278891</v>
      </c>
      <c r="D39" s="210"/>
      <c r="E39" s="210"/>
      <c r="F39" s="210"/>
      <c r="G39" s="210"/>
      <c r="H39" s="210"/>
      <c r="I39" s="434">
        <v>118241165</v>
      </c>
    </row>
    <row r="40" spans="1:12" ht="28.5" customHeight="1">
      <c r="A40" s="314" t="s">
        <v>217</v>
      </c>
      <c r="B40" s="202" t="s">
        <v>469</v>
      </c>
      <c r="C40" s="210">
        <v>62659</v>
      </c>
      <c r="D40" s="210"/>
      <c r="E40" s="210"/>
      <c r="F40" s="210"/>
      <c r="G40" s="210"/>
      <c r="H40" s="210"/>
      <c r="I40" s="434">
        <v>1726278</v>
      </c>
    </row>
    <row r="41" spans="1:12" ht="28.5" customHeight="1">
      <c r="A41" s="314" t="s">
        <v>218</v>
      </c>
      <c r="B41" s="202" t="s">
        <v>470</v>
      </c>
      <c r="C41" s="210">
        <v>78773347</v>
      </c>
      <c r="D41" s="210"/>
      <c r="E41" s="210"/>
      <c r="F41" s="210"/>
      <c r="G41" s="210"/>
      <c r="H41" s="210"/>
      <c r="I41" s="434">
        <v>160600110</v>
      </c>
    </row>
    <row r="42" spans="1:12" ht="19.5" customHeight="1">
      <c r="A42" s="209">
        <v>2</v>
      </c>
      <c r="B42" s="209" t="s">
        <v>395</v>
      </c>
      <c r="C42" s="209">
        <f>SUM(C44:C48)</f>
        <v>162179761</v>
      </c>
      <c r="D42" s="209">
        <f t="shared" ref="D42:H42" si="4">SUM(D44:D48)</f>
        <v>0</v>
      </c>
      <c r="E42" s="209">
        <f t="shared" si="4"/>
        <v>0</v>
      </c>
      <c r="F42" s="209">
        <f t="shared" si="4"/>
        <v>0</v>
      </c>
      <c r="G42" s="209">
        <f t="shared" si="4"/>
        <v>0</v>
      </c>
      <c r="H42" s="209">
        <f t="shared" si="4"/>
        <v>0</v>
      </c>
      <c r="I42" s="209">
        <f>SUM(I44:I48)</f>
        <v>181465434</v>
      </c>
      <c r="L42" s="500">
        <f>+'Asset Classification'!Y13</f>
        <v>181465434</v>
      </c>
    </row>
    <row r="43" spans="1:12" ht="19.5" customHeight="1">
      <c r="A43" s="121"/>
      <c r="B43" s="313" t="s">
        <v>332</v>
      </c>
      <c r="C43" s="205"/>
      <c r="D43" s="83"/>
      <c r="E43" s="83"/>
      <c r="F43" s="83"/>
      <c r="G43" s="83"/>
      <c r="H43" s="83"/>
      <c r="I43" s="83"/>
    </row>
    <row r="44" spans="1:12" ht="28.5" customHeight="1">
      <c r="A44" s="314" t="s">
        <v>123</v>
      </c>
      <c r="B44" s="202" t="s">
        <v>471</v>
      </c>
      <c r="C44" s="210">
        <v>75221270</v>
      </c>
      <c r="D44" s="210"/>
      <c r="E44" s="210"/>
      <c r="F44" s="210"/>
      <c r="G44" s="210"/>
      <c r="H44" s="210"/>
      <c r="I44" s="210">
        <v>76349391</v>
      </c>
    </row>
    <row r="45" spans="1:12" ht="28.5" customHeight="1">
      <c r="A45" s="314" t="s">
        <v>124</v>
      </c>
      <c r="B45" s="202" t="s">
        <v>174</v>
      </c>
      <c r="C45" s="210">
        <v>7555707</v>
      </c>
      <c r="D45" s="210"/>
      <c r="E45" s="210"/>
      <c r="F45" s="210"/>
      <c r="G45" s="210"/>
      <c r="H45" s="210"/>
      <c r="I45" s="210">
        <v>3889558</v>
      </c>
    </row>
    <row r="46" spans="1:12" ht="28.5" customHeight="1">
      <c r="A46" s="314" t="s">
        <v>126</v>
      </c>
      <c r="B46" s="202" t="s">
        <v>472</v>
      </c>
      <c r="C46" s="210">
        <v>78442351</v>
      </c>
      <c r="D46" s="210"/>
      <c r="E46" s="210"/>
      <c r="F46" s="210"/>
      <c r="G46" s="210"/>
      <c r="H46" s="210"/>
      <c r="I46" s="210">
        <v>99638304</v>
      </c>
    </row>
    <row r="47" spans="1:12" ht="28.5" customHeight="1">
      <c r="A47" s="314" t="s">
        <v>128</v>
      </c>
      <c r="B47" s="202" t="s">
        <v>473</v>
      </c>
      <c r="C47" s="210">
        <v>572110</v>
      </c>
      <c r="D47" s="210"/>
      <c r="E47" s="210"/>
      <c r="F47" s="210"/>
      <c r="G47" s="210"/>
      <c r="H47" s="210"/>
      <c r="I47" s="210">
        <v>1067199</v>
      </c>
    </row>
    <row r="48" spans="1:12" ht="28.5" customHeight="1">
      <c r="A48" s="314" t="s">
        <v>175</v>
      </c>
      <c r="B48" s="202" t="s">
        <v>474</v>
      </c>
      <c r="C48" s="210">
        <v>388323</v>
      </c>
      <c r="D48" s="210"/>
      <c r="E48" s="210"/>
      <c r="F48" s="210"/>
      <c r="G48" s="210"/>
      <c r="H48" s="210"/>
      <c r="I48" s="210">
        <v>520982</v>
      </c>
    </row>
    <row r="49" spans="1:13" ht="19.5" customHeight="1">
      <c r="A49" s="209">
        <v>3</v>
      </c>
      <c r="B49" s="209" t="s">
        <v>232</v>
      </c>
      <c r="C49" s="209">
        <f>+C42+C32</f>
        <v>1785470196</v>
      </c>
      <c r="D49" s="209">
        <f t="shared" ref="D49:H49" si="5">+D42+D32</f>
        <v>0</v>
      </c>
      <c r="E49" s="209">
        <f t="shared" si="5"/>
        <v>0</v>
      </c>
      <c r="F49" s="209">
        <f t="shared" si="5"/>
        <v>0</v>
      </c>
      <c r="G49" s="209">
        <f t="shared" si="5"/>
        <v>0</v>
      </c>
      <c r="H49" s="209">
        <f t="shared" si="5"/>
        <v>0</v>
      </c>
      <c r="I49" s="209">
        <f>+I42+I32</f>
        <v>2435622410</v>
      </c>
      <c r="L49" s="500">
        <f>+'Asset Classification'!Y31</f>
        <v>2435622410</v>
      </c>
      <c r="M49" s="500">
        <f>+[8]Balance!$C$26</f>
        <v>2435622410</v>
      </c>
    </row>
    <row r="51" spans="1:13" s="28" customFormat="1" ht="18.75" customHeight="1">
      <c r="B51" s="174" t="s">
        <v>756</v>
      </c>
      <c r="F51" s="157"/>
      <c r="G51" s="157"/>
      <c r="H51" s="157"/>
      <c r="I51" s="157"/>
      <c r="J51" s="157"/>
      <c r="K51" s="157"/>
      <c r="L51" s="502"/>
      <c r="M51" s="502"/>
    </row>
    <row r="52" spans="1:13" s="28" customFormat="1" ht="11.25" customHeight="1">
      <c r="B52" s="174"/>
      <c r="F52" s="157"/>
      <c r="G52" s="157"/>
      <c r="H52" s="157"/>
      <c r="I52" s="157"/>
      <c r="J52" s="157"/>
      <c r="K52" s="157"/>
      <c r="L52" s="502"/>
      <c r="M52" s="502"/>
    </row>
    <row r="53" spans="1:13" s="28" customFormat="1" ht="18.75" customHeight="1">
      <c r="B53" s="174" t="s">
        <v>757</v>
      </c>
      <c r="F53" s="157"/>
      <c r="G53" s="157"/>
      <c r="H53" s="157"/>
      <c r="I53" s="157"/>
      <c r="J53" s="157"/>
      <c r="K53" s="157"/>
      <c r="L53" s="502"/>
      <c r="M53" s="502"/>
    </row>
  </sheetData>
  <sheetProtection password="CACA" sheet="1" objects="1" scenarios="1"/>
  <mergeCells count="18">
    <mergeCell ref="I28:I30"/>
    <mergeCell ref="D29:E29"/>
    <mergeCell ref="F29:G29"/>
    <mergeCell ref="A28:A30"/>
    <mergeCell ref="B28:B30"/>
    <mergeCell ref="C28:C30"/>
    <mergeCell ref="D28:G28"/>
    <mergeCell ref="H28:H30"/>
    <mergeCell ref="J4:J6"/>
    <mergeCell ref="D5:E5"/>
    <mergeCell ref="F5:G5"/>
    <mergeCell ref="H5:I5"/>
    <mergeCell ref="G3:H3"/>
    <mergeCell ref="A1:I1"/>
    <mergeCell ref="A4:A6"/>
    <mergeCell ref="B4:B6"/>
    <mergeCell ref="C4:C6"/>
    <mergeCell ref="D4:I4"/>
  </mergeCells>
  <phoneticPr fontId="16" type="noConversion"/>
  <conditionalFormatting sqref="I32">
    <cfRule type="cellIs" dxfId="95" priority="2" operator="notEqual">
      <formula>$L$32</formula>
    </cfRule>
  </conditionalFormatting>
  <conditionalFormatting sqref="I42">
    <cfRule type="cellIs" dxfId="94" priority="3" operator="notEqual">
      <formula>$L$42</formula>
    </cfRule>
  </conditionalFormatting>
  <conditionalFormatting sqref="I49">
    <cfRule type="cellIs" dxfId="93" priority="1" operator="notEqual">
      <formula>$M$49</formula>
    </cfRule>
    <cfRule type="cellIs" dxfId="92" priority="4" operator="notEqual">
      <formula>$L$49</formula>
    </cfRule>
  </conditionalFormatting>
  <conditionalFormatting sqref="J8">
    <cfRule type="cellIs" dxfId="91" priority="5" operator="notEqual">
      <formula>$L$8</formula>
    </cfRule>
  </conditionalFormatting>
  <conditionalFormatting sqref="J18">
    <cfRule type="cellIs" dxfId="90" priority="6" operator="notEqual">
      <formula>$L$18</formula>
    </cfRule>
  </conditionalFormatting>
  <conditionalFormatting sqref="J25">
    <cfRule type="cellIs" dxfId="89" priority="7" operator="notEqual">
      <formula>$L$25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2" orientation="portrait" r:id="rId1"/>
  <headerFooter alignWithMargins="0"/>
  <ignoredErrors>
    <ignoredError sqref="H49 H18:I19 J18:J19 H25:J26 H42:H43 I42:I43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M63"/>
  <sheetViews>
    <sheetView view="pageBreakPreview" zoomScale="85" zoomScaleNormal="75" zoomScaleSheetLayoutView="85" workbookViewId="0">
      <pane xSplit="4" ySplit="7" topLeftCell="E35" activePane="bottomRight" state="frozen"/>
      <selection activeCell="J79" sqref="J79"/>
      <selection pane="topRight" activeCell="J79" sqref="J79"/>
      <selection pane="bottomLeft" activeCell="J79" sqref="J79"/>
      <selection pane="bottomRight" activeCell="C46" sqref="C46"/>
    </sheetView>
  </sheetViews>
  <sheetFormatPr defaultRowHeight="15.75"/>
  <cols>
    <col min="1" max="1" width="10.140625" style="63" customWidth="1"/>
    <col min="2" max="2" width="53" style="63" customWidth="1"/>
    <col min="3" max="3" width="19.140625" style="523" customWidth="1"/>
    <col min="4" max="4" width="12.28515625" style="90" customWidth="1"/>
    <col min="5" max="5" width="19.140625" style="523" customWidth="1"/>
    <col min="6" max="6" width="12.28515625" style="63" customWidth="1"/>
    <col min="7" max="7" width="19.140625" style="523" customWidth="1"/>
    <col min="8" max="8" width="13.85546875" style="63" customWidth="1"/>
    <col min="9" max="9" width="9.140625" style="63"/>
    <col min="10" max="12" width="16.85546875" style="63" customWidth="1"/>
    <col min="13" max="16384" width="9.140625" style="63"/>
  </cols>
  <sheetData>
    <row r="1" spans="1:12" s="65" customFormat="1" ht="37.5" customHeight="1">
      <c r="A1" s="730" t="s">
        <v>480</v>
      </c>
      <c r="B1" s="730"/>
      <c r="C1" s="730"/>
      <c r="D1" s="730"/>
      <c r="E1" s="730"/>
      <c r="F1" s="730"/>
      <c r="G1" s="730"/>
      <c r="H1" s="16" t="s">
        <v>479</v>
      </c>
    </row>
    <row r="2" spans="1:12" ht="19.5" customHeight="1">
      <c r="B2" s="731"/>
      <c r="C2" s="731"/>
      <c r="D2" s="731"/>
      <c r="E2" s="731"/>
      <c r="F2" s="731"/>
      <c r="G2" s="731"/>
      <c r="H2" s="731"/>
    </row>
    <row r="3" spans="1:12" ht="19.5" customHeight="1">
      <c r="B3" s="626" t="str">
        <f>+'Asset quality'!B3</f>
        <v>"Ўзсаноатқурилишбанк" АТБ</v>
      </c>
      <c r="C3" s="512"/>
      <c r="D3" s="315"/>
      <c r="F3" s="690">
        <f>+'Asset quality'!Q3</f>
        <v>46021</v>
      </c>
      <c r="G3" s="690"/>
      <c r="H3" s="316" t="str">
        <f>+'Asset quality'!T3</f>
        <v>минг. сўмда</v>
      </c>
    </row>
    <row r="4" spans="1:12" s="64" customFormat="1" ht="29.25" customHeight="1">
      <c r="A4" s="727" t="s">
        <v>61</v>
      </c>
      <c r="B4" s="727" t="s">
        <v>481</v>
      </c>
      <c r="C4" s="732" t="s">
        <v>482</v>
      </c>
      <c r="D4" s="733"/>
      <c r="E4" s="736" t="s">
        <v>483</v>
      </c>
      <c r="F4" s="737"/>
      <c r="G4" s="737"/>
      <c r="H4" s="738"/>
    </row>
    <row r="5" spans="1:12" s="64" customFormat="1" ht="30" customHeight="1">
      <c r="A5" s="728"/>
      <c r="B5" s="728"/>
      <c r="C5" s="734"/>
      <c r="D5" s="735"/>
      <c r="E5" s="736" t="s">
        <v>283</v>
      </c>
      <c r="F5" s="738"/>
      <c r="G5" s="736" t="s">
        <v>484</v>
      </c>
      <c r="H5" s="738"/>
    </row>
    <row r="6" spans="1:12" s="64" customFormat="1" ht="72.75" customHeight="1">
      <c r="A6" s="728"/>
      <c r="B6" s="729"/>
      <c r="C6" s="513" t="s">
        <v>485</v>
      </c>
      <c r="D6" s="317" t="s">
        <v>486</v>
      </c>
      <c r="E6" s="513" t="s">
        <v>485</v>
      </c>
      <c r="F6" s="317" t="s">
        <v>486</v>
      </c>
      <c r="G6" s="513" t="s">
        <v>485</v>
      </c>
      <c r="H6" s="317" t="s">
        <v>486</v>
      </c>
    </row>
    <row r="7" spans="1:12" s="64" customFormat="1">
      <c r="A7" s="729"/>
      <c r="B7" s="317" t="s">
        <v>78</v>
      </c>
      <c r="C7" s="513" t="s">
        <v>79</v>
      </c>
      <c r="D7" s="317" t="s">
        <v>89</v>
      </c>
      <c r="E7" s="513" t="s">
        <v>80</v>
      </c>
      <c r="F7" s="317" t="s">
        <v>81</v>
      </c>
      <c r="G7" s="513" t="s">
        <v>90</v>
      </c>
      <c r="H7" s="317" t="s">
        <v>82</v>
      </c>
    </row>
    <row r="8" spans="1:12" s="64" customFormat="1" ht="24" customHeight="1">
      <c r="A8" s="318">
        <v>1</v>
      </c>
      <c r="B8" s="319" t="s">
        <v>487</v>
      </c>
      <c r="C8" s="514">
        <f>SUM(C10:C16)</f>
        <v>1881748208</v>
      </c>
      <c r="D8" s="320">
        <f>IFERROR(((C10*D10)/C8)+((C11*D11)/C8)+((C12*D12)/C8)+((C13*D13)/C8)+((C14*D14)/C8)+((C15*D15)/C8)+((C16*D16)/C8),0)</f>
        <v>0.14478307844861932</v>
      </c>
      <c r="E8" s="514">
        <f>SUM(E10:E16)</f>
        <v>1881748208</v>
      </c>
      <c r="F8" s="320">
        <f>IFERROR(((E10*F10)/E8)+((E11*F11)/E8)+((E12*F12)/E8)+((E13*F13)/E8)+((E14*F14)/E8)+((E15*F15)/E8)+((E16*F16)/E8),0)</f>
        <v>0.14478307844861932</v>
      </c>
      <c r="G8" s="514">
        <f>SUM(G10:G16)</f>
        <v>0</v>
      </c>
      <c r="H8" s="320">
        <f>IFERROR(((G10*H10)/G8)+((G11*H11)/G8)+((G12*H12)/G8)+((G13*H13)/G8)+((G14*H14)/G8)+((G15*H15)/G8)+((G16*H16)/G8),0)</f>
        <v>0</v>
      </c>
      <c r="J8" s="394">
        <f>+C8+C18+C28+C37</f>
        <v>64935569833</v>
      </c>
      <c r="K8" s="394">
        <f>+E8+E18+E28+E37</f>
        <v>25911516463</v>
      </c>
      <c r="L8" s="394">
        <f>+G8+G18+G28+G37</f>
        <v>39024053370</v>
      </c>
    </row>
    <row r="9" spans="1:12" s="64" customFormat="1" ht="17.25" customHeight="1">
      <c r="A9" s="318"/>
      <c r="B9" s="321" t="s">
        <v>488</v>
      </c>
      <c r="C9" s="515"/>
      <c r="D9" s="84"/>
      <c r="E9" s="515"/>
      <c r="F9" s="84"/>
      <c r="G9" s="515"/>
      <c r="H9" s="84"/>
      <c r="J9" s="394">
        <f>+'loans type'!C8</f>
        <v>64935569833</v>
      </c>
      <c r="K9" s="394">
        <f>+'loans type'!E8</f>
        <v>25911516463</v>
      </c>
      <c r="L9" s="394">
        <f>+'loans type'!G8</f>
        <v>39024053370</v>
      </c>
    </row>
    <row r="10" spans="1:12" s="64" customFormat="1" ht="24" customHeight="1">
      <c r="A10" s="314" t="s">
        <v>110</v>
      </c>
      <c r="B10" s="322" t="s">
        <v>471</v>
      </c>
      <c r="C10" s="515">
        <f>+E10+G10</f>
        <v>1375518574</v>
      </c>
      <c r="D10" s="432">
        <f>IFERROR((((E10*F10)+(G10*H10))/C10),0)</f>
        <v>0.14756931092980219</v>
      </c>
      <c r="E10" s="524">
        <v>1375518574</v>
      </c>
      <c r="F10" s="323">
        <v>0.14756931092980219</v>
      </c>
      <c r="G10" s="524">
        <v>0</v>
      </c>
      <c r="H10" s="323">
        <v>0</v>
      </c>
      <c r="J10" s="394">
        <f>+J8-J9</f>
        <v>0</v>
      </c>
      <c r="K10" s="394">
        <f t="shared" ref="K10:L10" si="0">+K8-K9</f>
        <v>0</v>
      </c>
      <c r="L10" s="394">
        <f t="shared" si="0"/>
        <v>0</v>
      </c>
    </row>
    <row r="11" spans="1:12" s="64" customFormat="1" ht="24" customHeight="1">
      <c r="A11" s="314" t="s">
        <v>111</v>
      </c>
      <c r="B11" s="322" t="s">
        <v>174</v>
      </c>
      <c r="C11" s="515">
        <f t="shared" ref="C11:C16" si="1">+E11+G11</f>
        <v>24570717</v>
      </c>
      <c r="D11" s="432">
        <f t="shared" ref="D11:D16" si="2">IFERROR((((E11*F11)+(G11*H11))/C11),0)</f>
        <v>0.15286907685525014</v>
      </c>
      <c r="E11" s="524">
        <v>24570717</v>
      </c>
      <c r="F11" s="323">
        <v>0.15286907685525014</v>
      </c>
      <c r="G11" s="524">
        <v>0</v>
      </c>
      <c r="H11" s="323">
        <v>0</v>
      </c>
    </row>
    <row r="12" spans="1:12" s="64" customFormat="1" ht="24" customHeight="1">
      <c r="A12" s="314" t="s">
        <v>112</v>
      </c>
      <c r="B12" s="322" t="s">
        <v>489</v>
      </c>
      <c r="C12" s="515">
        <f t="shared" si="1"/>
        <v>4296461</v>
      </c>
      <c r="D12" s="432">
        <f t="shared" si="2"/>
        <v>0.14849749643041096</v>
      </c>
      <c r="E12" s="524">
        <v>4296461</v>
      </c>
      <c r="F12" s="323">
        <v>0.14849749643041096</v>
      </c>
      <c r="G12" s="524">
        <v>0</v>
      </c>
      <c r="H12" s="323">
        <v>0</v>
      </c>
    </row>
    <row r="13" spans="1:12" s="64" customFormat="1" ht="24" customHeight="1">
      <c r="A13" s="314" t="s">
        <v>116</v>
      </c>
      <c r="B13" s="322" t="s">
        <v>473</v>
      </c>
      <c r="C13" s="515">
        <f t="shared" si="1"/>
        <v>225233</v>
      </c>
      <c r="D13" s="432">
        <f t="shared" si="2"/>
        <v>0.13999990844148061</v>
      </c>
      <c r="E13" s="524">
        <v>225233</v>
      </c>
      <c r="F13" s="323">
        <v>0.13999990844148061</v>
      </c>
      <c r="G13" s="524">
        <v>0</v>
      </c>
      <c r="H13" s="323">
        <v>0</v>
      </c>
    </row>
    <row r="14" spans="1:12" s="64" customFormat="1" ht="24" customHeight="1">
      <c r="A14" s="314" t="s">
        <v>117</v>
      </c>
      <c r="B14" s="322" t="s">
        <v>515</v>
      </c>
      <c r="C14" s="515">
        <f t="shared" si="1"/>
        <v>477137223</v>
      </c>
      <c r="D14" s="432">
        <f t="shared" si="2"/>
        <v>0.13630318076491424</v>
      </c>
      <c r="E14" s="524">
        <v>477137223</v>
      </c>
      <c r="F14" s="323">
        <v>0.13630318076491424</v>
      </c>
      <c r="G14" s="524">
        <v>0</v>
      </c>
      <c r="H14" s="323">
        <v>0</v>
      </c>
    </row>
    <row r="15" spans="1:12" s="64" customFormat="1" ht="33.75" customHeight="1">
      <c r="A15" s="314" t="s">
        <v>146</v>
      </c>
      <c r="B15" s="322" t="s">
        <v>516</v>
      </c>
      <c r="C15" s="515">
        <f t="shared" si="1"/>
        <v>0</v>
      </c>
      <c r="D15" s="432">
        <f t="shared" si="2"/>
        <v>0</v>
      </c>
      <c r="E15" s="524">
        <v>0</v>
      </c>
      <c r="F15" s="323">
        <v>0</v>
      </c>
      <c r="G15" s="524">
        <v>0</v>
      </c>
      <c r="H15" s="323">
        <v>0</v>
      </c>
    </row>
    <row r="16" spans="1:12" s="64" customFormat="1" ht="24" customHeight="1">
      <c r="A16" s="314" t="s">
        <v>217</v>
      </c>
      <c r="B16" s="322" t="s">
        <v>474</v>
      </c>
      <c r="C16" s="515">
        <f t="shared" si="1"/>
        <v>0</v>
      </c>
      <c r="D16" s="432">
        <f t="shared" si="2"/>
        <v>0</v>
      </c>
      <c r="E16" s="524">
        <v>0</v>
      </c>
      <c r="F16" s="323">
        <v>0</v>
      </c>
      <c r="G16" s="524">
        <v>0</v>
      </c>
      <c r="H16" s="323">
        <v>0</v>
      </c>
    </row>
    <row r="17" spans="1:8" s="64" customFormat="1">
      <c r="A17" s="324"/>
      <c r="B17" s="325"/>
      <c r="C17" s="515"/>
      <c r="D17" s="91"/>
      <c r="E17" s="515"/>
      <c r="F17" s="91"/>
      <c r="G17" s="515"/>
      <c r="H17" s="91"/>
    </row>
    <row r="18" spans="1:8" s="64" customFormat="1" ht="24" customHeight="1">
      <c r="A18" s="324">
        <v>2</v>
      </c>
      <c r="B18" s="319" t="s">
        <v>490</v>
      </c>
      <c r="C18" s="514">
        <f>SUM(C20:C26)</f>
        <v>7825000021</v>
      </c>
      <c r="D18" s="320">
        <f>IFERROR(((C20*D20)/C18)+((C21*D21)/C18)+((C22*D22)/C18)+((C23*D23)/C18)+((C24*D24)/C18)+((C25*D25)/C18)+((C26*D26)/C18),0)</f>
        <v>0.22778481179243504</v>
      </c>
      <c r="E18" s="514">
        <f>SUM(E20:E26)</f>
        <v>7825000021</v>
      </c>
      <c r="F18" s="320">
        <f>IFERROR(((E20*F20)/E18)+((E21*F21)/E18)+((E22*F22)/E18)+((E23*F23)/E18)+((E24*F24)/E18)+((E25*F25)/E18)+((E26*F26)/E18),0)</f>
        <v>0.22778481179243504</v>
      </c>
      <c r="G18" s="514">
        <f>SUM(G20:G26)</f>
        <v>0</v>
      </c>
      <c r="H18" s="320">
        <f>IFERROR(((G20*H20)/G18)+((G21*H21)/G18)+((G22*H22)/G18)+((G23*H23)/G18)+((G24*H24)/G18)+((G25*H25)/G18)+((G26*H26)/G18),0)</f>
        <v>0</v>
      </c>
    </row>
    <row r="19" spans="1:8" s="64" customFormat="1" ht="17.25" customHeight="1">
      <c r="A19" s="324"/>
      <c r="B19" s="321" t="s">
        <v>488</v>
      </c>
      <c r="C19" s="515"/>
      <c r="D19" s="84"/>
      <c r="E19" s="515"/>
      <c r="F19" s="84"/>
      <c r="G19" s="515"/>
      <c r="H19" s="84"/>
    </row>
    <row r="20" spans="1:8" s="64" customFormat="1" ht="24" customHeight="1">
      <c r="A20" s="314" t="s">
        <v>123</v>
      </c>
      <c r="B20" s="322" t="s">
        <v>471</v>
      </c>
      <c r="C20" s="515">
        <f t="shared" ref="C20:C26" si="3">+E20+G20</f>
        <v>4922245321</v>
      </c>
      <c r="D20" s="432">
        <f>IFERROR((((E20*F20)+(G20*H20))/C20),0)</f>
        <v>0.18890778080113388</v>
      </c>
      <c r="E20" s="524">
        <v>4922245321</v>
      </c>
      <c r="F20" s="323">
        <v>0.18890778080113388</v>
      </c>
      <c r="G20" s="524">
        <v>0</v>
      </c>
      <c r="H20" s="323">
        <v>0</v>
      </c>
    </row>
    <row r="21" spans="1:8" s="64" customFormat="1" ht="24" customHeight="1">
      <c r="A21" s="314" t="s">
        <v>124</v>
      </c>
      <c r="B21" s="322" t="s">
        <v>174</v>
      </c>
      <c r="C21" s="515">
        <f t="shared" si="3"/>
        <v>206922169</v>
      </c>
      <c r="D21" s="432">
        <f t="shared" ref="D21:D26" si="4">IFERROR((((E21*F21)+(G21*H21))/C21),0)</f>
        <v>0.25720354432901316</v>
      </c>
      <c r="E21" s="524">
        <v>206922169</v>
      </c>
      <c r="F21" s="323">
        <v>0.25720354432901316</v>
      </c>
      <c r="G21" s="524">
        <v>0</v>
      </c>
      <c r="H21" s="323">
        <v>0</v>
      </c>
    </row>
    <row r="22" spans="1:8" s="64" customFormat="1" ht="24" customHeight="1">
      <c r="A22" s="314" t="s">
        <v>126</v>
      </c>
      <c r="B22" s="322" t="s">
        <v>489</v>
      </c>
      <c r="C22" s="515">
        <f t="shared" si="3"/>
        <v>2561823436</v>
      </c>
      <c r="D22" s="432">
        <f t="shared" si="4"/>
        <v>0.30252719541547707</v>
      </c>
      <c r="E22" s="524">
        <v>2561823436</v>
      </c>
      <c r="F22" s="323">
        <v>0.30252719541547707</v>
      </c>
      <c r="G22" s="524">
        <v>0</v>
      </c>
      <c r="H22" s="323">
        <v>0</v>
      </c>
    </row>
    <row r="23" spans="1:8" s="64" customFormat="1" ht="24" customHeight="1">
      <c r="A23" s="314" t="s">
        <v>128</v>
      </c>
      <c r="B23" s="322" t="s">
        <v>473</v>
      </c>
      <c r="C23" s="515">
        <f t="shared" si="3"/>
        <v>57861004</v>
      </c>
      <c r="D23" s="432">
        <f t="shared" si="4"/>
        <v>0.23625556723159621</v>
      </c>
      <c r="E23" s="524">
        <v>57861004</v>
      </c>
      <c r="F23" s="323">
        <v>0.23625556723159621</v>
      </c>
      <c r="G23" s="524">
        <v>0</v>
      </c>
      <c r="H23" s="323">
        <v>0</v>
      </c>
    </row>
    <row r="24" spans="1:8" s="64" customFormat="1" ht="24" customHeight="1">
      <c r="A24" s="314" t="s">
        <v>175</v>
      </c>
      <c r="B24" s="322" t="s">
        <v>515</v>
      </c>
      <c r="C24" s="515">
        <f t="shared" si="3"/>
        <v>76148091</v>
      </c>
      <c r="D24" s="432">
        <f t="shared" si="4"/>
        <v>0.13990315371179199</v>
      </c>
      <c r="E24" s="524">
        <v>76148091</v>
      </c>
      <c r="F24" s="323">
        <v>0.13990315371179199</v>
      </c>
      <c r="G24" s="524">
        <v>0</v>
      </c>
      <c r="H24" s="323">
        <v>0</v>
      </c>
    </row>
    <row r="25" spans="1:8" s="64" customFormat="1" ht="33.75" customHeight="1">
      <c r="A25" s="314" t="s">
        <v>759</v>
      </c>
      <c r="B25" s="322" t="s">
        <v>516</v>
      </c>
      <c r="C25" s="515">
        <f t="shared" si="3"/>
        <v>0</v>
      </c>
      <c r="D25" s="432">
        <f t="shared" si="4"/>
        <v>0</v>
      </c>
      <c r="E25" s="524">
        <v>0</v>
      </c>
      <c r="F25" s="323">
        <v>0</v>
      </c>
      <c r="G25" s="524">
        <v>0</v>
      </c>
      <c r="H25" s="323">
        <v>0</v>
      </c>
    </row>
    <row r="26" spans="1:8" s="64" customFormat="1" ht="24" customHeight="1">
      <c r="A26" s="314" t="s">
        <v>760</v>
      </c>
      <c r="B26" s="322" t="s">
        <v>474</v>
      </c>
      <c r="C26" s="515">
        <f t="shared" si="3"/>
        <v>0</v>
      </c>
      <c r="D26" s="432">
        <f t="shared" si="4"/>
        <v>0</v>
      </c>
      <c r="E26" s="524">
        <v>0</v>
      </c>
      <c r="F26" s="323">
        <v>0</v>
      </c>
      <c r="G26" s="524">
        <v>0</v>
      </c>
      <c r="H26" s="323">
        <v>0</v>
      </c>
    </row>
    <row r="27" spans="1:8" s="64" customFormat="1">
      <c r="A27" s="324"/>
      <c r="B27" s="325"/>
      <c r="C27" s="515"/>
      <c r="D27" s="91"/>
      <c r="E27" s="515"/>
      <c r="F27" s="91"/>
      <c r="G27" s="515"/>
      <c r="H27" s="91"/>
    </row>
    <row r="28" spans="1:8" s="64" customFormat="1" ht="36.75" customHeight="1">
      <c r="A28" s="324">
        <v>3</v>
      </c>
      <c r="B28" s="319" t="s">
        <v>491</v>
      </c>
      <c r="C28" s="514">
        <f>SUM(C30:C35)</f>
        <v>8264398503</v>
      </c>
      <c r="D28" s="320">
        <f>IFERROR(((C30*D30)/C28)+((C31*D31)/C28)+((C32*D32)/C28)+((C33*D33)/C28)+((C34*D34)/C28)+((C35*D35)/C28),0)</f>
        <v>7.6861731734412173E-2</v>
      </c>
      <c r="E28" s="514">
        <f>SUM(E30:E35)</f>
        <v>2309754918</v>
      </c>
      <c r="F28" s="320">
        <f>IFERROR(((E30*F30)/E28)+((E31*F31)/E28)+((E32*F32)/E28)+((E33*F33)/E28)+((E34*F34)/E28)+((E35*F35)/E28),0)</f>
        <v>0.13576439623449449</v>
      </c>
      <c r="G28" s="514">
        <f>SUM(G30:G35)</f>
        <v>5954643585</v>
      </c>
      <c r="H28" s="320">
        <f>IFERROR(((G30*H30)/G28)+((G31*H31)/G28)+((G32*H32)/G28)+((G33*H33)/G28)+((G34*H34)/G28)+((G35*H35)/G28),0)</f>
        <v>5.4013895911780123E-2</v>
      </c>
    </row>
    <row r="29" spans="1:8" s="64" customFormat="1">
      <c r="A29" s="324"/>
      <c r="B29" s="321" t="s">
        <v>488</v>
      </c>
      <c r="C29" s="515"/>
      <c r="D29" s="91"/>
      <c r="E29" s="515"/>
      <c r="F29" s="91"/>
      <c r="G29" s="515"/>
      <c r="H29" s="91"/>
    </row>
    <row r="30" spans="1:8" s="64" customFormat="1" ht="24" customHeight="1">
      <c r="A30" s="314" t="s">
        <v>131</v>
      </c>
      <c r="B30" s="325" t="s">
        <v>176</v>
      </c>
      <c r="C30" s="515">
        <f t="shared" ref="C30:C35" si="5">+E30+G30</f>
        <v>10071163</v>
      </c>
      <c r="D30" s="432">
        <f t="shared" ref="D30:D35" si="6">IFERROR((((E30*F30)+(G30*H30))/C30),0)</f>
        <v>6.8675877704644742E-2</v>
      </c>
      <c r="E30" s="524">
        <v>1147735</v>
      </c>
      <c r="F30" s="323">
        <v>2.5729054145774068E-2</v>
      </c>
      <c r="G30" s="524">
        <v>8923428</v>
      </c>
      <c r="H30" s="323">
        <v>7.4199715913160616E-2</v>
      </c>
    </row>
    <row r="31" spans="1:8" s="64" customFormat="1" ht="24" customHeight="1">
      <c r="A31" s="314" t="s">
        <v>132</v>
      </c>
      <c r="B31" s="325" t="s">
        <v>492</v>
      </c>
      <c r="C31" s="515">
        <f t="shared" si="5"/>
        <v>124898685</v>
      </c>
      <c r="D31" s="432">
        <f t="shared" si="6"/>
        <v>8.9330855053676522E-2</v>
      </c>
      <c r="E31" s="524">
        <v>0</v>
      </c>
      <c r="F31" s="323">
        <v>0</v>
      </c>
      <c r="G31" s="524">
        <v>124898685</v>
      </c>
      <c r="H31" s="323">
        <v>8.9330855053676522E-2</v>
      </c>
    </row>
    <row r="32" spans="1:8" s="64" customFormat="1" ht="24" customHeight="1">
      <c r="A32" s="314" t="s">
        <v>133</v>
      </c>
      <c r="B32" s="325" t="s">
        <v>177</v>
      </c>
      <c r="C32" s="515">
        <f t="shared" si="5"/>
        <v>0</v>
      </c>
      <c r="D32" s="432">
        <f t="shared" si="6"/>
        <v>0</v>
      </c>
      <c r="E32" s="524">
        <v>0</v>
      </c>
      <c r="F32" s="323">
        <v>0</v>
      </c>
      <c r="G32" s="524">
        <v>0</v>
      </c>
      <c r="H32" s="323">
        <v>0</v>
      </c>
    </row>
    <row r="33" spans="1:13" s="64" customFormat="1" ht="32.25" customHeight="1">
      <c r="A33" s="314" t="s">
        <v>134</v>
      </c>
      <c r="B33" s="325" t="s">
        <v>178</v>
      </c>
      <c r="C33" s="515">
        <f t="shared" si="5"/>
        <v>0</v>
      </c>
      <c r="D33" s="432">
        <f t="shared" si="6"/>
        <v>0</v>
      </c>
      <c r="E33" s="524">
        <v>0</v>
      </c>
      <c r="F33" s="323">
        <v>0</v>
      </c>
      <c r="G33" s="524">
        <v>0</v>
      </c>
      <c r="H33" s="323">
        <v>0</v>
      </c>
    </row>
    <row r="34" spans="1:13" s="64" customFormat="1" ht="32.25" customHeight="1">
      <c r="A34" s="314" t="s">
        <v>136</v>
      </c>
      <c r="B34" s="325" t="s">
        <v>493</v>
      </c>
      <c r="C34" s="515">
        <f t="shared" si="5"/>
        <v>0</v>
      </c>
      <c r="D34" s="432">
        <f t="shared" si="6"/>
        <v>0</v>
      </c>
      <c r="E34" s="524">
        <v>0</v>
      </c>
      <c r="F34" s="323">
        <v>0</v>
      </c>
      <c r="G34" s="524">
        <v>0</v>
      </c>
      <c r="H34" s="323">
        <v>0</v>
      </c>
    </row>
    <row r="35" spans="1:13" s="64" customFormat="1" ht="32.25" customHeight="1">
      <c r="A35" s="314" t="s">
        <v>137</v>
      </c>
      <c r="B35" s="322" t="s">
        <v>494</v>
      </c>
      <c r="C35" s="515">
        <f t="shared" si="5"/>
        <v>8129428655</v>
      </c>
      <c r="D35" s="432">
        <f t="shared" si="6"/>
        <v>7.6680300037543322E-2</v>
      </c>
      <c r="E35" s="524">
        <v>2308607183</v>
      </c>
      <c r="F35" s="323">
        <v>0.13581910082619905</v>
      </c>
      <c r="G35" s="524">
        <v>5820821472</v>
      </c>
      <c r="H35" s="323">
        <v>5.3225146679646847E-2</v>
      </c>
    </row>
    <row r="36" spans="1:13" s="64" customFormat="1">
      <c r="A36" s="324"/>
      <c r="B36" s="325"/>
      <c r="C36" s="515"/>
      <c r="D36" s="432"/>
      <c r="E36" s="524"/>
      <c r="F36" s="323"/>
      <c r="G36" s="524"/>
      <c r="H36" s="323"/>
    </row>
    <row r="37" spans="1:13" s="64" customFormat="1" ht="36.75" customHeight="1">
      <c r="A37" s="324">
        <v>4</v>
      </c>
      <c r="B37" s="319" t="s">
        <v>495</v>
      </c>
      <c r="C37" s="514">
        <f>SUM(C39:C44)</f>
        <v>46964423101</v>
      </c>
      <c r="D37" s="320">
        <f>IFERROR(((C39*D39)/C37)+((C40*D40)/C37)+((C41*D41)/C37)+((C42*D42)/C37)+((C43*D43)/C37)+((C44*D44)/C37),0)</f>
        <v>0.12326646426630536</v>
      </c>
      <c r="E37" s="514">
        <f>SUM(E39:E44)</f>
        <v>13895013316</v>
      </c>
      <c r="F37" s="320">
        <f>IFERROR(((E39*F39)/E37)+((E40*F40)/E37)+((E41*F41)/E37)+((E42*F42)/E37)+((E43*F43)/E37)+((E44*F44)/E37),0)</f>
        <v>0.19359699757785184</v>
      </c>
      <c r="G37" s="514">
        <f>SUM(G39:G44)</f>
        <v>33069409785</v>
      </c>
      <c r="H37" s="320">
        <f>IFERROR(((G39*H39)/G37)+((G40*H40)/G37)+((G41*H41)/G37)+((G42*H42)/G37)+((G43*H43)/G37)+((G44*H44)/G37),0)</f>
        <v>9.3715174925526432E-2</v>
      </c>
    </row>
    <row r="38" spans="1:13" s="64" customFormat="1">
      <c r="A38" s="324"/>
      <c r="B38" s="321" t="s">
        <v>488</v>
      </c>
      <c r="C38" s="515"/>
      <c r="D38" s="91"/>
      <c r="E38" s="515"/>
      <c r="F38" s="91"/>
      <c r="G38" s="515"/>
      <c r="H38" s="91"/>
    </row>
    <row r="39" spans="1:13" s="64" customFormat="1" ht="24" customHeight="1">
      <c r="A39" s="314" t="s">
        <v>161</v>
      </c>
      <c r="B39" s="325" t="s">
        <v>176</v>
      </c>
      <c r="C39" s="515">
        <f t="shared" ref="C39:C44" si="7">+E39+G39</f>
        <v>750844986</v>
      </c>
      <c r="D39" s="432">
        <f t="shared" ref="D39:D44" si="8">IFERROR((((E39*F39)+(G39*H39))/C39),0)</f>
        <v>0.18075120317590473</v>
      </c>
      <c r="E39" s="524">
        <v>644704382</v>
      </c>
      <c r="F39" s="323">
        <v>0.19108626758255087</v>
      </c>
      <c r="G39" s="524">
        <v>106140604</v>
      </c>
      <c r="H39" s="323">
        <v>0.11797540333951985</v>
      </c>
    </row>
    <row r="40" spans="1:13" s="64" customFormat="1" ht="24" customHeight="1">
      <c r="A40" s="314" t="s">
        <v>162</v>
      </c>
      <c r="B40" s="325" t="s">
        <v>492</v>
      </c>
      <c r="C40" s="515">
        <f t="shared" si="7"/>
        <v>1045244376</v>
      </c>
      <c r="D40" s="432">
        <f t="shared" si="8"/>
        <v>7.9662926827046884E-2</v>
      </c>
      <c r="E40" s="524">
        <v>0</v>
      </c>
      <c r="F40" s="323">
        <v>0</v>
      </c>
      <c r="G40" s="524">
        <v>1045244376</v>
      </c>
      <c r="H40" s="323">
        <v>7.9662926827046884E-2</v>
      </c>
    </row>
    <row r="41" spans="1:13" s="64" customFormat="1" ht="24" customHeight="1">
      <c r="A41" s="314" t="s">
        <v>183</v>
      </c>
      <c r="B41" s="325" t="s">
        <v>177</v>
      </c>
      <c r="C41" s="515">
        <f t="shared" si="7"/>
        <v>96968223</v>
      </c>
      <c r="D41" s="432">
        <f t="shared" si="8"/>
        <v>7.5719650962357014E-4</v>
      </c>
      <c r="E41" s="524">
        <v>282400</v>
      </c>
      <c r="F41" s="323">
        <v>0.26</v>
      </c>
      <c r="G41" s="524">
        <v>96685823</v>
      </c>
      <c r="H41" s="323">
        <v>0</v>
      </c>
    </row>
    <row r="42" spans="1:13" s="64" customFormat="1" ht="32.25" customHeight="1">
      <c r="A42" s="314" t="s">
        <v>184</v>
      </c>
      <c r="B42" s="325" t="s">
        <v>178</v>
      </c>
      <c r="C42" s="515">
        <f t="shared" si="7"/>
        <v>242442231</v>
      </c>
      <c r="D42" s="432">
        <f t="shared" si="8"/>
        <v>8.7938704288467784E-2</v>
      </c>
      <c r="E42" s="524">
        <v>242442231</v>
      </c>
      <c r="F42" s="323">
        <v>8.7938704288467784E-2</v>
      </c>
      <c r="G42" s="524">
        <v>0</v>
      </c>
      <c r="H42" s="323">
        <v>0</v>
      </c>
    </row>
    <row r="43" spans="1:13" s="64" customFormat="1" ht="32.25" customHeight="1">
      <c r="A43" s="314" t="s">
        <v>185</v>
      </c>
      <c r="B43" s="325" t="s">
        <v>493</v>
      </c>
      <c r="C43" s="515">
        <f t="shared" si="7"/>
        <v>0</v>
      </c>
      <c r="D43" s="432">
        <f t="shared" si="8"/>
        <v>0</v>
      </c>
      <c r="E43" s="524">
        <v>0</v>
      </c>
      <c r="F43" s="323">
        <v>0</v>
      </c>
      <c r="G43" s="524">
        <v>0</v>
      </c>
      <c r="H43" s="323">
        <v>0</v>
      </c>
    </row>
    <row r="44" spans="1:13" s="64" customFormat="1" ht="32.25" customHeight="1">
      <c r="A44" s="314" t="s">
        <v>186</v>
      </c>
      <c r="B44" s="322" t="s">
        <v>494</v>
      </c>
      <c r="C44" s="515">
        <f t="shared" si="7"/>
        <v>44828923285</v>
      </c>
      <c r="D44" s="432">
        <f t="shared" si="8"/>
        <v>0.12377637326179093</v>
      </c>
      <c r="E44" s="524">
        <v>13007584303</v>
      </c>
      <c r="F44" s="323">
        <v>0.19568931219499094</v>
      </c>
      <c r="G44" s="524">
        <v>31821338982</v>
      </c>
      <c r="H44" s="323">
        <v>9.4380576429381871E-2</v>
      </c>
    </row>
    <row r="45" spans="1:13" s="15" customFormat="1" ht="22.5" customHeight="1">
      <c r="B45" s="212"/>
      <c r="C45" s="516"/>
      <c r="E45" s="516"/>
      <c r="G45" s="516"/>
    </row>
    <row r="46" spans="1:13" s="28" customFormat="1" ht="20.25" customHeight="1">
      <c r="B46" s="26" t="s">
        <v>756</v>
      </c>
      <c r="C46" s="452"/>
      <c r="E46" s="452"/>
      <c r="F46" s="157"/>
      <c r="G46" s="525"/>
      <c r="H46" s="157"/>
      <c r="I46" s="157"/>
      <c r="J46" s="157"/>
      <c r="K46" s="157"/>
      <c r="L46" s="157"/>
      <c r="M46" s="157"/>
    </row>
    <row r="47" spans="1:13" s="28" customFormat="1" ht="11.25" customHeight="1">
      <c r="B47" s="26"/>
      <c r="C47" s="452"/>
      <c r="E47" s="452"/>
      <c r="F47" s="157"/>
      <c r="G47" s="525"/>
      <c r="H47" s="157"/>
      <c r="I47" s="157"/>
      <c r="J47" s="157"/>
      <c r="K47" s="157"/>
      <c r="L47" s="157"/>
      <c r="M47" s="157"/>
    </row>
    <row r="48" spans="1:13" s="28" customFormat="1" ht="20.25" customHeight="1">
      <c r="B48" s="26" t="s">
        <v>757</v>
      </c>
      <c r="C48" s="452"/>
      <c r="E48" s="452"/>
      <c r="F48" s="157"/>
      <c r="G48" s="525"/>
      <c r="H48" s="157"/>
      <c r="I48" s="157"/>
      <c r="J48" s="157"/>
      <c r="K48" s="157"/>
      <c r="L48" s="157"/>
      <c r="M48" s="157"/>
    </row>
    <row r="49" spans="1:10" s="6" customFormat="1">
      <c r="A49" s="22"/>
      <c r="B49" s="26"/>
      <c r="C49" s="517"/>
      <c r="E49" s="517"/>
      <c r="G49" s="517"/>
      <c r="J49" s="22"/>
    </row>
    <row r="50" spans="1:10" s="6" customFormat="1">
      <c r="A50" s="22"/>
      <c r="B50" s="386"/>
      <c r="C50" s="518"/>
      <c r="D50" s="387"/>
      <c r="E50" s="518"/>
      <c r="F50" s="387"/>
      <c r="G50" s="518"/>
      <c r="J50" s="22"/>
    </row>
    <row r="51" spans="1:10">
      <c r="A51" s="75"/>
      <c r="B51" s="388" t="s">
        <v>77</v>
      </c>
      <c r="C51" s="519">
        <f>+C8+C18+C28+C37</f>
        <v>64935569833</v>
      </c>
      <c r="D51" s="389"/>
      <c r="E51" s="519">
        <f>+E8+E18+E28+E37</f>
        <v>25911516463</v>
      </c>
      <c r="F51" s="389"/>
      <c r="G51" s="519">
        <f>+G8+G18+G28+G37</f>
        <v>39024053370</v>
      </c>
    </row>
    <row r="52" spans="1:10">
      <c r="A52" s="75"/>
      <c r="B52" s="390"/>
      <c r="C52" s="519">
        <f>+C54+C58</f>
        <v>64935569833</v>
      </c>
      <c r="D52" s="389"/>
      <c r="E52" s="519">
        <f>+E9+E19+E29+E38</f>
        <v>0</v>
      </c>
      <c r="F52" s="389"/>
      <c r="G52" s="519">
        <f>+G54+G58</f>
        <v>39024053370</v>
      </c>
    </row>
    <row r="53" spans="1:10">
      <c r="A53" s="75"/>
      <c r="B53" s="388"/>
      <c r="C53" s="519"/>
      <c r="D53" s="389"/>
      <c r="E53" s="519"/>
      <c r="F53" s="389"/>
      <c r="G53" s="519"/>
    </row>
    <row r="54" spans="1:10">
      <c r="B54" s="388" t="s">
        <v>188</v>
      </c>
      <c r="C54" s="519">
        <f>+'Asset Classification'!C13</f>
        <v>9706748229</v>
      </c>
      <c r="D54" s="389"/>
      <c r="E54" s="519"/>
      <c r="F54" s="389"/>
      <c r="G54" s="519">
        <f>+'Asset Classification'!D13</f>
        <v>0</v>
      </c>
      <c r="H54" s="326"/>
    </row>
    <row r="55" spans="1:10">
      <c r="B55" s="388"/>
      <c r="C55" s="519">
        <f>C8+C18</f>
        <v>9706748229</v>
      </c>
      <c r="D55" s="389"/>
      <c r="E55" s="519"/>
      <c r="F55" s="389"/>
      <c r="G55" s="519">
        <f>G8+G18</f>
        <v>0</v>
      </c>
      <c r="H55" s="326"/>
    </row>
    <row r="56" spans="1:10">
      <c r="B56" s="388"/>
      <c r="C56" s="519">
        <f>+C54-C55</f>
        <v>0</v>
      </c>
      <c r="D56" s="389"/>
      <c r="E56" s="519"/>
      <c r="F56" s="389"/>
      <c r="G56" s="519">
        <f>+G54-G55</f>
        <v>0</v>
      </c>
      <c r="H56" s="326"/>
    </row>
    <row r="57" spans="1:10">
      <c r="B57" s="388"/>
      <c r="C57" s="520"/>
      <c r="D57" s="391"/>
      <c r="E57" s="520"/>
      <c r="F57" s="391"/>
      <c r="G57" s="520"/>
      <c r="H57" s="326"/>
    </row>
    <row r="58" spans="1:10">
      <c r="B58" s="388" t="s">
        <v>189</v>
      </c>
      <c r="C58" s="519">
        <f>+'Asset Classification'!C31-'Asset Classification'!C13</f>
        <v>55228821604</v>
      </c>
      <c r="D58" s="389"/>
      <c r="E58" s="519"/>
      <c r="F58" s="389"/>
      <c r="G58" s="519">
        <f>+'Asset Classification'!D31-'Asset Classification'!D13</f>
        <v>39024053370</v>
      </c>
      <c r="H58" s="326"/>
    </row>
    <row r="59" spans="1:10">
      <c r="B59" s="388"/>
      <c r="C59" s="519">
        <f>C28+C37</f>
        <v>55228821604</v>
      </c>
      <c r="D59" s="389"/>
      <c r="E59" s="519"/>
      <c r="F59" s="389"/>
      <c r="G59" s="519">
        <f>G28+G37</f>
        <v>39024053370</v>
      </c>
      <c r="H59" s="326"/>
    </row>
    <row r="60" spans="1:10">
      <c r="B60" s="388"/>
      <c r="C60" s="519">
        <f>+C58-C59</f>
        <v>0</v>
      </c>
      <c r="D60" s="389"/>
      <c r="E60" s="519"/>
      <c r="F60" s="389"/>
      <c r="G60" s="519">
        <f>+G58-G59</f>
        <v>0</v>
      </c>
      <c r="H60" s="326"/>
    </row>
    <row r="61" spans="1:10">
      <c r="B61" s="388"/>
      <c r="C61" s="521"/>
      <c r="D61" s="392"/>
      <c r="E61" s="521"/>
      <c r="F61" s="392"/>
      <c r="G61" s="521"/>
      <c r="H61" s="326"/>
    </row>
    <row r="62" spans="1:10">
      <c r="B62" s="388"/>
      <c r="C62" s="521"/>
      <c r="D62" s="392"/>
      <c r="E62" s="521"/>
      <c r="F62" s="392"/>
      <c r="G62" s="521"/>
      <c r="H62" s="326"/>
    </row>
    <row r="63" spans="1:10">
      <c r="B63" s="388"/>
      <c r="C63" s="522"/>
      <c r="D63" s="393"/>
      <c r="E63" s="522"/>
      <c r="F63" s="390"/>
      <c r="G63" s="522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18">
    <cfRule type="cellIs" dxfId="88" priority="39" operator="notEqual">
      <formula>$C$54-$C$8</formula>
    </cfRule>
  </conditionalFormatting>
  <conditionalFormatting sqref="C37">
    <cfRule type="cellIs" dxfId="87" priority="38" operator="notEqual">
      <formula>$C$58-$C$28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0" customWidth="1"/>
    <col min="2" max="2" width="105.140625" style="30" customWidth="1"/>
    <col min="3" max="3" width="19.7109375" style="55" customWidth="1"/>
    <col min="4" max="4" width="10.28515625" style="97" bestFit="1" customWidth="1"/>
    <col min="5" max="5" width="19.42578125" style="98" bestFit="1" customWidth="1"/>
    <col min="6" max="6" width="9.28515625" style="97" bestFit="1" customWidth="1"/>
    <col min="7" max="7" width="9.140625" style="97"/>
    <col min="8" max="8" width="17.42578125" style="97" bestFit="1" customWidth="1"/>
    <col min="9" max="16384" width="9.140625" style="30"/>
  </cols>
  <sheetData>
    <row r="1" spans="1:8" ht="23.25" customHeight="1">
      <c r="A1" s="739" t="s">
        <v>180</v>
      </c>
      <c r="B1" s="740"/>
      <c r="C1" s="29" t="s">
        <v>173</v>
      </c>
    </row>
    <row r="2" spans="1:8">
      <c r="A2" s="57"/>
      <c r="B2" s="57"/>
      <c r="C2" s="57"/>
    </row>
    <row r="3" spans="1:8" ht="15.75">
      <c r="A3" s="31"/>
      <c r="B3" s="78" t="e">
        <f>#REF!</f>
        <v>#REF!</v>
      </c>
      <c r="C3" s="77" t="e">
        <f>+#REF!</f>
        <v>#REF!</v>
      </c>
    </row>
    <row r="4" spans="1:8" s="32" customFormat="1" ht="43.5" customHeight="1">
      <c r="A4" s="93" t="s">
        <v>61</v>
      </c>
      <c r="B4" s="93" t="s">
        <v>35</v>
      </c>
      <c r="C4" s="93" t="s">
        <v>10</v>
      </c>
      <c r="D4" s="99"/>
      <c r="E4" s="100"/>
      <c r="F4" s="99"/>
      <c r="G4" s="99"/>
      <c r="H4" s="99"/>
    </row>
    <row r="5" spans="1:8" ht="12.75" customHeight="1">
      <c r="A5" s="45" t="s">
        <v>39</v>
      </c>
      <c r="B5" s="34" t="s">
        <v>106</v>
      </c>
      <c r="C5" s="35"/>
    </row>
    <row r="6" spans="1:8" ht="12.75" customHeight="1">
      <c r="A6" s="33">
        <v>1</v>
      </c>
      <c r="B6" s="34" t="s">
        <v>107</v>
      </c>
      <c r="C6" s="36"/>
    </row>
    <row r="7" spans="1:8" s="42" customFormat="1" ht="18" customHeight="1">
      <c r="A7" s="39" t="s">
        <v>110</v>
      </c>
      <c r="B7" s="40" t="s">
        <v>108</v>
      </c>
      <c r="C7" s="62" t="s">
        <v>96</v>
      </c>
      <c r="D7" s="101"/>
      <c r="E7" s="70"/>
      <c r="F7" s="101"/>
      <c r="G7" s="101"/>
      <c r="H7" s="101"/>
    </row>
    <row r="8" spans="1:8" s="32" customFormat="1" ht="18" customHeight="1">
      <c r="A8" s="44" t="s">
        <v>40</v>
      </c>
      <c r="B8" s="89" t="s">
        <v>41</v>
      </c>
      <c r="C8" s="58"/>
      <c r="D8" s="99"/>
      <c r="E8" s="100"/>
      <c r="F8" s="99"/>
      <c r="G8" s="99"/>
      <c r="H8" s="99"/>
    </row>
    <row r="9" spans="1:8" s="32" customFormat="1" ht="18" customHeight="1">
      <c r="A9" s="44" t="s">
        <v>42</v>
      </c>
      <c r="B9" s="89" t="s">
        <v>43</v>
      </c>
      <c r="C9" s="59"/>
      <c r="D9" s="99"/>
      <c r="E9" s="100"/>
      <c r="F9" s="99"/>
      <c r="G9" s="99"/>
      <c r="H9" s="99"/>
    </row>
    <row r="10" spans="1:8" s="42" customFormat="1" ht="18" customHeight="1">
      <c r="A10" s="39" t="s">
        <v>111</v>
      </c>
      <c r="B10" s="40" t="s">
        <v>109</v>
      </c>
      <c r="C10" s="67">
        <v>0</v>
      </c>
      <c r="D10" s="101"/>
      <c r="E10" s="70"/>
      <c r="F10" s="101"/>
      <c r="G10" s="101"/>
      <c r="H10" s="101"/>
    </row>
    <row r="11" spans="1:8" s="32" customFormat="1" ht="18" customHeight="1">
      <c r="A11" s="44" t="s">
        <v>112</v>
      </c>
      <c r="B11" s="89" t="s">
        <v>113</v>
      </c>
      <c r="C11" s="62" t="s">
        <v>96</v>
      </c>
      <c r="D11" s="99"/>
      <c r="E11" s="100"/>
      <c r="F11" s="99"/>
      <c r="G11" s="99"/>
      <c r="H11" s="99"/>
    </row>
    <row r="12" spans="1:8" s="32" customFormat="1" ht="18" customHeight="1">
      <c r="A12" s="44" t="s">
        <v>46</v>
      </c>
      <c r="B12" s="89" t="s">
        <v>49</v>
      </c>
      <c r="C12" s="69"/>
      <c r="D12" s="99"/>
      <c r="E12" s="100"/>
      <c r="F12" s="99"/>
      <c r="G12" s="99"/>
      <c r="H12" s="99"/>
    </row>
    <row r="13" spans="1:8" s="32" customFormat="1" ht="18" customHeight="1">
      <c r="A13" s="44" t="s">
        <v>42</v>
      </c>
      <c r="B13" s="89" t="s">
        <v>50</v>
      </c>
      <c r="C13" s="69"/>
      <c r="D13" s="99"/>
      <c r="E13" s="100"/>
      <c r="F13" s="99"/>
      <c r="G13" s="99"/>
      <c r="H13" s="99"/>
    </row>
    <row r="14" spans="1:8" s="42" customFormat="1" ht="18" customHeight="1">
      <c r="A14" s="50" t="s">
        <v>44</v>
      </c>
      <c r="B14" s="87" t="s">
        <v>114</v>
      </c>
      <c r="C14" s="66"/>
      <c r="D14" s="101"/>
      <c r="E14" s="70"/>
      <c r="F14" s="101"/>
      <c r="G14" s="101"/>
      <c r="H14" s="101"/>
    </row>
    <row r="15" spans="1:8" s="42" customFormat="1" ht="18" customHeight="1">
      <c r="A15" s="50" t="s">
        <v>51</v>
      </c>
      <c r="B15" s="87" t="s">
        <v>115</v>
      </c>
      <c r="C15" s="66"/>
      <c r="D15" s="101"/>
      <c r="E15" s="70"/>
      <c r="F15" s="101"/>
      <c r="G15" s="101"/>
      <c r="H15" s="101"/>
    </row>
    <row r="16" spans="1:8" s="32" customFormat="1" ht="18" customHeight="1">
      <c r="A16" s="44" t="s">
        <v>116</v>
      </c>
      <c r="B16" s="89" t="s">
        <v>52</v>
      </c>
      <c r="C16" s="67"/>
      <c r="D16" s="99"/>
      <c r="E16" s="100"/>
      <c r="F16" s="99"/>
      <c r="G16" s="99"/>
      <c r="H16" s="99"/>
    </row>
    <row r="17" spans="1:8" s="32" customFormat="1" ht="18" customHeight="1">
      <c r="A17" s="44" t="s">
        <v>117</v>
      </c>
      <c r="B17" s="89" t="s">
        <v>11</v>
      </c>
      <c r="C17" s="67"/>
      <c r="D17" s="99"/>
      <c r="E17" s="100"/>
      <c r="F17" s="99"/>
      <c r="G17" s="99"/>
      <c r="H17" s="99"/>
    </row>
    <row r="18" spans="1:8" s="32" customFormat="1" ht="18" customHeight="1">
      <c r="A18" s="44"/>
      <c r="B18" s="89" t="s">
        <v>118</v>
      </c>
      <c r="C18" s="62" t="s">
        <v>96</v>
      </c>
      <c r="D18" s="99"/>
      <c r="E18" s="100"/>
      <c r="F18" s="99"/>
      <c r="G18" s="99"/>
      <c r="H18" s="99"/>
    </row>
    <row r="19" spans="1:8" s="32" customFormat="1" ht="18" customHeight="1">
      <c r="A19" s="44" t="s">
        <v>146</v>
      </c>
      <c r="B19" s="89" t="s">
        <v>119</v>
      </c>
      <c r="C19" s="62" t="s">
        <v>96</v>
      </c>
      <c r="D19" s="99"/>
      <c r="E19" s="100"/>
      <c r="F19" s="99"/>
      <c r="G19" s="99"/>
      <c r="H19" s="99"/>
    </row>
    <row r="20" spans="1:8" s="42" customFormat="1" ht="18" customHeight="1">
      <c r="A20" s="81" t="s">
        <v>46</v>
      </c>
      <c r="B20" s="139" t="s">
        <v>54</v>
      </c>
      <c r="C20" s="66"/>
      <c r="D20" s="101"/>
      <c r="E20" s="70"/>
      <c r="F20" s="101"/>
      <c r="G20" s="101"/>
      <c r="H20" s="101"/>
    </row>
    <row r="21" spans="1:8" s="41" customFormat="1" ht="25.5">
      <c r="A21" s="81" t="s">
        <v>42</v>
      </c>
      <c r="B21" s="87" t="s">
        <v>20</v>
      </c>
      <c r="C21" s="66"/>
      <c r="D21" s="101"/>
      <c r="E21" s="70"/>
      <c r="F21" s="101"/>
      <c r="G21" s="101"/>
      <c r="H21" s="101"/>
    </row>
    <row r="22" spans="1:8" s="42" customFormat="1" ht="18" customHeight="1">
      <c r="A22" s="81" t="s">
        <v>44</v>
      </c>
      <c r="B22" s="87" t="s">
        <v>12</v>
      </c>
      <c r="C22" s="66"/>
      <c r="D22" s="101"/>
      <c r="E22" s="70"/>
      <c r="F22" s="101"/>
      <c r="G22" s="101"/>
      <c r="H22" s="101"/>
    </row>
    <row r="23" spans="1:8" s="42" customFormat="1" ht="15" customHeight="1">
      <c r="A23" s="39" t="s">
        <v>120</v>
      </c>
      <c r="B23" s="40" t="s">
        <v>121</v>
      </c>
      <c r="C23" s="62" t="s">
        <v>96</v>
      </c>
      <c r="D23" s="101"/>
      <c r="E23" s="70"/>
      <c r="F23" s="101"/>
      <c r="G23" s="101"/>
      <c r="H23" s="101"/>
    </row>
    <row r="24" spans="1:8" ht="16.5" customHeight="1">
      <c r="A24" s="33">
        <v>2</v>
      </c>
      <c r="B24" s="43" t="s">
        <v>122</v>
      </c>
      <c r="C24" s="37"/>
    </row>
    <row r="25" spans="1:8" s="42" customFormat="1" ht="18" customHeight="1">
      <c r="A25" s="50" t="s">
        <v>123</v>
      </c>
      <c r="B25" s="87" t="s">
        <v>45</v>
      </c>
      <c r="C25" s="86">
        <f>+C26+C27</f>
        <v>0</v>
      </c>
      <c r="D25" s="101"/>
      <c r="E25" s="70"/>
      <c r="F25" s="101"/>
      <c r="G25" s="101"/>
      <c r="H25" s="101"/>
    </row>
    <row r="26" spans="1:8" s="42" customFormat="1" ht="18" customHeight="1">
      <c r="A26" s="50" t="s">
        <v>46</v>
      </c>
      <c r="B26" s="87" t="s">
        <v>47</v>
      </c>
      <c r="C26" s="66"/>
      <c r="D26" s="101"/>
      <c r="E26" s="70"/>
      <c r="F26" s="101"/>
      <c r="G26" s="101"/>
      <c r="H26" s="101"/>
    </row>
    <row r="27" spans="1:8" s="42" customFormat="1" ht="18" customHeight="1">
      <c r="A27" s="50" t="s">
        <v>42</v>
      </c>
      <c r="B27" s="87" t="s">
        <v>48</v>
      </c>
      <c r="C27" s="66"/>
      <c r="D27" s="101"/>
      <c r="E27" s="70"/>
      <c r="F27" s="101"/>
      <c r="G27" s="101"/>
      <c r="H27" s="101"/>
    </row>
    <row r="28" spans="1:8" s="42" customFormat="1" ht="18" customHeight="1">
      <c r="A28" s="50" t="s">
        <v>124</v>
      </c>
      <c r="B28" s="87" t="s">
        <v>125</v>
      </c>
      <c r="C28" s="66">
        <v>0</v>
      </c>
      <c r="D28" s="101"/>
      <c r="E28" s="70"/>
      <c r="F28" s="101"/>
      <c r="G28" s="101"/>
      <c r="H28" s="101"/>
    </row>
    <row r="29" spans="1:8">
      <c r="A29" s="44" t="s">
        <v>126</v>
      </c>
      <c r="B29" s="88" t="s">
        <v>127</v>
      </c>
      <c r="C29" s="60">
        <v>0</v>
      </c>
    </row>
    <row r="30" spans="1:8" s="42" customFormat="1" ht="29.25" customHeight="1">
      <c r="A30" s="50" t="s">
        <v>128</v>
      </c>
      <c r="B30" s="87" t="s">
        <v>19</v>
      </c>
      <c r="C30" s="66">
        <v>0</v>
      </c>
      <c r="D30" s="101"/>
      <c r="E30" s="70"/>
      <c r="F30" s="101"/>
      <c r="G30" s="101"/>
      <c r="H30" s="101"/>
    </row>
    <row r="31" spans="1:8" s="46" customFormat="1">
      <c r="A31" s="45" t="s">
        <v>53</v>
      </c>
      <c r="B31" s="72" t="s">
        <v>129</v>
      </c>
      <c r="C31" s="68">
        <f>+C25+C28+C29+C30</f>
        <v>0</v>
      </c>
      <c r="D31" s="102"/>
      <c r="E31" s="103"/>
      <c r="F31" s="104"/>
      <c r="G31" s="104"/>
      <c r="H31" s="104"/>
    </row>
    <row r="32" spans="1:8" s="46" customFormat="1" ht="16.5" customHeight="1">
      <c r="A32" s="45" t="s">
        <v>55</v>
      </c>
      <c r="B32" s="61" t="s">
        <v>130</v>
      </c>
      <c r="C32" s="62" t="s">
        <v>96</v>
      </c>
      <c r="D32" s="104"/>
      <c r="E32" s="103"/>
      <c r="F32" s="104"/>
      <c r="G32" s="104"/>
      <c r="H32" s="104"/>
    </row>
    <row r="33" spans="1:8" s="48" customFormat="1" ht="13.5" customHeight="1">
      <c r="A33" s="47"/>
      <c r="B33" s="47" t="s">
        <v>57</v>
      </c>
      <c r="C33" s="38"/>
      <c r="D33" s="105"/>
      <c r="E33" s="106"/>
      <c r="F33" s="105"/>
      <c r="G33" s="105"/>
      <c r="H33" s="107"/>
    </row>
    <row r="34" spans="1:8" s="42" customFormat="1" ht="18" customHeight="1">
      <c r="A34" s="50" t="s">
        <v>131</v>
      </c>
      <c r="B34" s="132" t="s">
        <v>190</v>
      </c>
      <c r="C34" s="66"/>
      <c r="D34" s="101"/>
      <c r="E34" s="70"/>
      <c r="F34" s="101"/>
      <c r="G34" s="101"/>
      <c r="H34" s="101"/>
    </row>
    <row r="35" spans="1:8" s="42" customFormat="1" ht="25.5">
      <c r="A35" s="50" t="s">
        <v>132</v>
      </c>
      <c r="B35" s="87" t="s">
        <v>21</v>
      </c>
      <c r="C35" s="131" t="e">
        <f>IF(#REF!&lt;(C43*1.25%),#REF!,(C43*1.25%))</f>
        <v>#REF!</v>
      </c>
      <c r="D35" s="101"/>
      <c r="E35" s="70"/>
      <c r="F35" s="101"/>
      <c r="G35" s="101"/>
      <c r="H35" s="101"/>
    </row>
    <row r="36" spans="1:8" s="42" customFormat="1" ht="18" customHeight="1">
      <c r="A36" s="50" t="s">
        <v>133</v>
      </c>
      <c r="B36" s="87" t="s">
        <v>13</v>
      </c>
      <c r="C36" s="66"/>
      <c r="D36" s="101"/>
      <c r="E36" s="70"/>
      <c r="F36" s="101"/>
      <c r="G36" s="101"/>
      <c r="H36" s="101"/>
    </row>
    <row r="37" spans="1:8" s="42" customFormat="1" ht="18" customHeight="1">
      <c r="A37" s="50" t="s">
        <v>134</v>
      </c>
      <c r="B37" s="87" t="s">
        <v>135</v>
      </c>
      <c r="C37" s="66"/>
      <c r="D37" s="101"/>
      <c r="E37" s="70"/>
      <c r="F37" s="101"/>
      <c r="G37" s="101"/>
      <c r="H37" s="101"/>
    </row>
    <row r="38" spans="1:8" s="42" customFormat="1" ht="18" customHeight="1">
      <c r="A38" s="50" t="s">
        <v>136</v>
      </c>
      <c r="B38" s="87" t="s">
        <v>14</v>
      </c>
      <c r="C38" s="66"/>
      <c r="D38" s="101"/>
      <c r="E38" s="70"/>
      <c r="F38" s="101"/>
      <c r="G38" s="101"/>
      <c r="H38" s="101"/>
    </row>
    <row r="39" spans="1:8" s="42" customFormat="1" ht="18" customHeight="1">
      <c r="A39" s="50" t="s">
        <v>137</v>
      </c>
      <c r="B39" s="87" t="s">
        <v>58</v>
      </c>
      <c r="C39" s="62" t="s">
        <v>96</v>
      </c>
      <c r="D39" s="101"/>
      <c r="E39" s="70"/>
      <c r="F39" s="101"/>
      <c r="G39" s="101"/>
      <c r="H39" s="101"/>
    </row>
    <row r="40" spans="1:8" ht="18.75" customHeight="1">
      <c r="A40" s="44"/>
      <c r="B40" s="43" t="s">
        <v>26</v>
      </c>
      <c r="C40" s="38" t="e">
        <f>SUM(C34:C38)</f>
        <v>#REF!</v>
      </c>
      <c r="D40" s="102"/>
    </row>
    <row r="41" spans="1:8" s="32" customFormat="1" ht="22.5" customHeight="1">
      <c r="A41" s="47" t="s">
        <v>56</v>
      </c>
      <c r="B41" s="40" t="s">
        <v>27</v>
      </c>
      <c r="C41" s="62" t="s">
        <v>96</v>
      </c>
      <c r="D41" s="108"/>
      <c r="E41" s="100"/>
      <c r="F41" s="99"/>
      <c r="G41" s="99"/>
      <c r="H41" s="99"/>
    </row>
    <row r="42" spans="1:8" s="32" customFormat="1" ht="15.75" customHeight="1">
      <c r="A42" s="47" t="s">
        <v>59</v>
      </c>
      <c r="B42" s="40" t="s">
        <v>138</v>
      </c>
      <c r="C42" s="62" t="s">
        <v>96</v>
      </c>
      <c r="D42" s="108"/>
      <c r="E42" s="100"/>
      <c r="F42" s="99"/>
      <c r="G42" s="99"/>
      <c r="H42" s="99"/>
    </row>
    <row r="43" spans="1:8" s="32" customFormat="1" ht="21.75" customHeight="1">
      <c r="A43" s="47" t="s">
        <v>17</v>
      </c>
      <c r="B43" s="40" t="s">
        <v>139</v>
      </c>
      <c r="C43" s="49" t="e">
        <f>+C44+C45+C46</f>
        <v>#REF!</v>
      </c>
      <c r="D43" s="99"/>
      <c r="E43" s="100"/>
      <c r="F43" s="99"/>
      <c r="G43" s="99"/>
      <c r="H43" s="99"/>
    </row>
    <row r="44" spans="1:8" s="42" customFormat="1" ht="18" customHeight="1">
      <c r="A44" s="50" t="s">
        <v>46</v>
      </c>
      <c r="B44" s="87" t="s">
        <v>22</v>
      </c>
      <c r="C44" s="86" t="e">
        <f>+#REF!</f>
        <v>#REF!</v>
      </c>
      <c r="D44" s="101"/>
      <c r="E44" s="70"/>
      <c r="F44" s="101"/>
      <c r="G44" s="101"/>
      <c r="H44" s="101"/>
    </row>
    <row r="45" spans="1:8" s="42" customFormat="1" ht="18" customHeight="1">
      <c r="A45" s="50" t="s">
        <v>42</v>
      </c>
      <c r="B45" s="87" t="s">
        <v>15</v>
      </c>
      <c r="C45" s="86" t="e">
        <f>+#REF!</f>
        <v>#REF!</v>
      </c>
      <c r="D45" s="101"/>
      <c r="E45" s="70"/>
      <c r="F45" s="101"/>
      <c r="G45" s="101"/>
      <c r="H45" s="101"/>
    </row>
    <row r="46" spans="1:8" s="42" customFormat="1" ht="18" customHeight="1">
      <c r="A46" s="50" t="s">
        <v>44</v>
      </c>
      <c r="B46" s="87" t="s">
        <v>16</v>
      </c>
      <c r="C46" s="86" t="e">
        <f>+#REF!</f>
        <v>#REF!</v>
      </c>
      <c r="D46" s="101"/>
      <c r="E46" s="70" t="e">
        <f>+#REF!</f>
        <v>#REF!</v>
      </c>
      <c r="F46" s="101"/>
      <c r="G46" s="101"/>
      <c r="H46" s="101"/>
    </row>
    <row r="47" spans="1:8" s="48" customFormat="1" ht="21.75" customHeight="1">
      <c r="A47" s="47" t="s">
        <v>18</v>
      </c>
      <c r="B47" s="61" t="s">
        <v>140</v>
      </c>
      <c r="C47" s="62" t="s">
        <v>96</v>
      </c>
      <c r="D47" s="105"/>
      <c r="E47" s="106"/>
      <c r="F47" s="105"/>
      <c r="G47" s="105"/>
      <c r="H47" s="105"/>
    </row>
    <row r="48" spans="1:8" s="48" customFormat="1" ht="21.75" customHeight="1">
      <c r="A48" s="47" t="s">
        <v>60</v>
      </c>
      <c r="B48" s="61" t="s">
        <v>141</v>
      </c>
      <c r="C48" s="62" t="s">
        <v>96</v>
      </c>
      <c r="D48" s="105"/>
      <c r="E48" s="106"/>
      <c r="F48" s="105"/>
      <c r="G48" s="105"/>
      <c r="H48" s="105"/>
    </row>
    <row r="49" spans="1:8" s="48" customFormat="1" ht="21.75" customHeight="1">
      <c r="A49" s="47" t="s">
        <v>28</v>
      </c>
      <c r="B49" s="61" t="s">
        <v>142</v>
      </c>
      <c r="C49" s="62" t="s">
        <v>96</v>
      </c>
      <c r="D49" s="105"/>
      <c r="E49" s="106"/>
      <c r="F49" s="105"/>
      <c r="G49" s="105"/>
      <c r="H49" s="105"/>
    </row>
    <row r="50" spans="1:8" s="32" customFormat="1" ht="21.75" customHeight="1">
      <c r="A50" s="47" t="s">
        <v>29</v>
      </c>
      <c r="B50" s="40" t="s">
        <v>24</v>
      </c>
      <c r="C50" s="62" t="s">
        <v>96</v>
      </c>
      <c r="D50" s="99"/>
      <c r="E50" s="109"/>
      <c r="F50" s="108"/>
      <c r="G50" s="99"/>
      <c r="H50" s="99"/>
    </row>
    <row r="51" spans="1:8" s="53" customFormat="1" ht="21.75" customHeight="1">
      <c r="A51" s="50" t="s">
        <v>46</v>
      </c>
      <c r="B51" s="51" t="s">
        <v>32</v>
      </c>
      <c r="C51" s="52" t="e">
        <f>+#REF!</f>
        <v>#REF!</v>
      </c>
      <c r="D51" s="110"/>
      <c r="E51" s="111"/>
      <c r="F51" s="112"/>
      <c r="G51" s="110"/>
      <c r="H51" s="110"/>
    </row>
    <row r="52" spans="1:8" s="53" customFormat="1" ht="21.75" customHeight="1">
      <c r="A52" s="50" t="s">
        <v>42</v>
      </c>
      <c r="B52" s="51" t="s">
        <v>143</v>
      </c>
      <c r="C52" s="117" t="e">
        <f>SUM(#REF!)</f>
        <v>#REF!</v>
      </c>
      <c r="D52" s="112" t="e">
        <f>+#REF!</f>
        <v>#REF!</v>
      </c>
      <c r="E52" s="111"/>
      <c r="F52" s="112"/>
      <c r="G52" s="110"/>
      <c r="H52" s="110"/>
    </row>
    <row r="53" spans="1:8" s="53" customFormat="1" ht="21.75" customHeight="1">
      <c r="A53" s="50" t="s">
        <v>44</v>
      </c>
      <c r="B53" s="51" t="s">
        <v>144</v>
      </c>
      <c r="C53" s="119" t="e">
        <f>SUM(#REF!)</f>
        <v>#REF!</v>
      </c>
      <c r="D53" s="116"/>
      <c r="E53" s="118"/>
      <c r="F53" s="110"/>
      <c r="G53" s="110"/>
      <c r="H53" s="110"/>
    </row>
    <row r="54" spans="1:8" s="53" customFormat="1" ht="21.75" customHeight="1">
      <c r="A54" s="50" t="s">
        <v>51</v>
      </c>
      <c r="B54" s="51" t="s">
        <v>145</v>
      </c>
      <c r="C54" s="74" t="str">
        <f>+C19</f>
        <v>Формула</v>
      </c>
      <c r="D54" s="110"/>
      <c r="E54" s="113"/>
      <c r="F54" s="110"/>
      <c r="G54" s="110"/>
      <c r="H54" s="110"/>
    </row>
    <row r="55" spans="1:8" s="48" customFormat="1" ht="21.75" customHeight="1">
      <c r="A55" s="47" t="s">
        <v>30</v>
      </c>
      <c r="B55" s="61" t="s">
        <v>33</v>
      </c>
      <c r="C55" s="62" t="s">
        <v>96</v>
      </c>
      <c r="D55" s="105"/>
      <c r="E55" s="106"/>
      <c r="F55" s="105"/>
      <c r="G55" s="105"/>
      <c r="H55" s="105"/>
    </row>
    <row r="56" spans="1:8">
      <c r="B56" s="54"/>
    </row>
    <row r="57" spans="1:8" s="1" customFormat="1">
      <c r="A57" s="13"/>
      <c r="B57" s="2" t="s">
        <v>0</v>
      </c>
      <c r="D57" s="27"/>
      <c r="E57" s="27"/>
      <c r="F57" s="27"/>
      <c r="G57" s="27"/>
      <c r="H57" s="27"/>
    </row>
    <row r="58" spans="1:8" s="1" customFormat="1">
      <c r="A58" s="13"/>
      <c r="B58" s="2"/>
      <c r="D58" s="27"/>
      <c r="E58" s="27"/>
      <c r="F58" s="27"/>
      <c r="G58" s="27"/>
      <c r="H58" s="27"/>
    </row>
    <row r="59" spans="1:8" s="1" customFormat="1">
      <c r="A59" s="13"/>
      <c r="B59" s="2" t="s">
        <v>1</v>
      </c>
      <c r="D59" s="27"/>
      <c r="E59" s="27"/>
      <c r="F59" s="27"/>
      <c r="G59" s="27"/>
      <c r="H59" s="27"/>
    </row>
    <row r="60" spans="1:8">
      <c r="B60" s="56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30">
    <pageSetUpPr fitToPage="1"/>
  </sheetPr>
  <dimension ref="A1:AI51"/>
  <sheetViews>
    <sheetView view="pageBreakPreview" zoomScale="55" zoomScaleNormal="50" zoomScaleSheetLayoutView="55" workbookViewId="0">
      <pane xSplit="4" ySplit="9" topLeftCell="S10" activePane="bottomRight" state="frozen"/>
      <selection pane="topRight" activeCell="E1" sqref="E1"/>
      <selection pane="bottomLeft" activeCell="A10" sqref="A10"/>
      <selection pane="bottomRight" activeCell="D8" sqref="D8"/>
    </sheetView>
  </sheetViews>
  <sheetFormatPr defaultRowHeight="18.75"/>
  <cols>
    <col min="1" max="1" width="9.5703125" style="133" customWidth="1"/>
    <col min="2" max="2" width="61.7109375" style="133" customWidth="1"/>
    <col min="3" max="3" width="19.140625" style="527" customWidth="1"/>
    <col min="4" max="4" width="19.140625" style="134" customWidth="1"/>
    <col min="5" max="5" width="19.140625" style="527" customWidth="1"/>
    <col min="6" max="6" width="19.140625" style="133" customWidth="1"/>
    <col min="7" max="7" width="19.140625" style="527" customWidth="1"/>
    <col min="8" max="8" width="19.140625" style="133" customWidth="1"/>
    <col min="9" max="25" width="18.85546875" style="527" customWidth="1"/>
    <col min="26" max="26" width="21.7109375" style="527" customWidth="1"/>
    <col min="27" max="29" width="27.42578125" style="133" customWidth="1"/>
    <col min="30" max="34" width="22.140625" style="133" customWidth="1"/>
    <col min="35" max="35" width="22.5703125" style="133" customWidth="1"/>
    <col min="36" max="16384" width="9.140625" style="133"/>
  </cols>
  <sheetData>
    <row r="1" spans="1:35">
      <c r="Z1" s="536" t="s">
        <v>496</v>
      </c>
    </row>
    <row r="2" spans="1:35" s="135" customFormat="1" ht="50.25" customHeight="1">
      <c r="A2" s="742" t="s">
        <v>843</v>
      </c>
      <c r="B2" s="742"/>
      <c r="C2" s="743"/>
      <c r="D2" s="742"/>
      <c r="E2" s="743"/>
      <c r="F2" s="742"/>
      <c r="G2" s="743"/>
      <c r="H2" s="742"/>
      <c r="I2" s="743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743"/>
      <c r="U2" s="743"/>
      <c r="V2" s="743"/>
      <c r="W2" s="743"/>
      <c r="X2" s="743"/>
      <c r="Y2" s="743"/>
      <c r="Z2" s="743"/>
    </row>
    <row r="3" spans="1:35" ht="19.5" customHeight="1">
      <c r="B3" s="327" t="str">
        <f>+'Asset quality'!B3</f>
        <v>"Ўзсаноатқурилишбанк" АТБ</v>
      </c>
      <c r="C3" s="528"/>
      <c r="D3" s="327"/>
      <c r="E3" s="528"/>
      <c r="F3" s="327"/>
      <c r="G3" s="528"/>
      <c r="H3" s="327"/>
      <c r="I3" s="528"/>
      <c r="J3" s="528"/>
      <c r="K3" s="528"/>
      <c r="L3" s="528"/>
      <c r="M3" s="528"/>
      <c r="V3" s="670">
        <f>+'Asset quality'!Q3</f>
        <v>46021</v>
      </c>
      <c r="W3" s="670"/>
      <c r="Z3" s="523" t="str">
        <f>+'Asset quality'!T3</f>
        <v>минг. сўмда</v>
      </c>
    </row>
    <row r="4" spans="1:35" s="136" customFormat="1" ht="29.25" customHeight="1">
      <c r="A4" s="744" t="s">
        <v>61</v>
      </c>
      <c r="B4" s="744" t="s">
        <v>481</v>
      </c>
      <c r="C4" s="747" t="s">
        <v>232</v>
      </c>
      <c r="D4" s="748"/>
      <c r="E4" s="749"/>
      <c r="F4" s="748"/>
      <c r="G4" s="749"/>
      <c r="H4" s="750"/>
      <c r="I4" s="755" t="s">
        <v>497</v>
      </c>
      <c r="J4" s="756"/>
      <c r="K4" s="756"/>
      <c r="L4" s="756"/>
      <c r="M4" s="757"/>
      <c r="N4" s="747" t="s">
        <v>498</v>
      </c>
      <c r="O4" s="749"/>
      <c r="P4" s="749"/>
      <c r="Q4" s="749"/>
      <c r="R4" s="758"/>
      <c r="S4" s="741" t="s">
        <v>231</v>
      </c>
      <c r="T4" s="741"/>
      <c r="U4" s="741"/>
      <c r="V4" s="741"/>
      <c r="W4" s="741"/>
      <c r="X4" s="741"/>
      <c r="Y4" s="760" t="s">
        <v>499</v>
      </c>
      <c r="Z4" s="760" t="s">
        <v>500</v>
      </c>
    </row>
    <row r="5" spans="1:35" s="136" customFormat="1" ht="29.25" customHeight="1">
      <c r="A5" s="745"/>
      <c r="B5" s="745"/>
      <c r="C5" s="751"/>
      <c r="D5" s="752"/>
      <c r="E5" s="753"/>
      <c r="F5" s="752"/>
      <c r="G5" s="753"/>
      <c r="H5" s="754"/>
      <c r="I5" s="741" t="s">
        <v>501</v>
      </c>
      <c r="J5" s="741" t="s">
        <v>502</v>
      </c>
      <c r="K5" s="741" t="s">
        <v>503</v>
      </c>
      <c r="L5" s="741" t="s">
        <v>504</v>
      </c>
      <c r="M5" s="741" t="s">
        <v>505</v>
      </c>
      <c r="N5" s="751"/>
      <c r="O5" s="753"/>
      <c r="P5" s="753"/>
      <c r="Q5" s="753"/>
      <c r="R5" s="759"/>
      <c r="S5" s="741" t="s">
        <v>232</v>
      </c>
      <c r="T5" s="755" t="s">
        <v>506</v>
      </c>
      <c r="U5" s="756"/>
      <c r="V5" s="756"/>
      <c r="W5" s="756"/>
      <c r="X5" s="757"/>
      <c r="Y5" s="761"/>
      <c r="Z5" s="761"/>
    </row>
    <row r="6" spans="1:35" s="136" customFormat="1" ht="90" customHeight="1">
      <c r="A6" s="745"/>
      <c r="B6" s="746"/>
      <c r="C6" s="529" t="s">
        <v>485</v>
      </c>
      <c r="D6" s="226" t="s">
        <v>486</v>
      </c>
      <c r="E6" s="529" t="s">
        <v>283</v>
      </c>
      <c r="F6" s="226" t="s">
        <v>486</v>
      </c>
      <c r="G6" s="529" t="s">
        <v>284</v>
      </c>
      <c r="H6" s="226" t="s">
        <v>486</v>
      </c>
      <c r="I6" s="741"/>
      <c r="J6" s="741"/>
      <c r="K6" s="741"/>
      <c r="L6" s="741"/>
      <c r="M6" s="741"/>
      <c r="N6" s="537" t="s">
        <v>120</v>
      </c>
      <c r="O6" s="537" t="s">
        <v>53</v>
      </c>
      <c r="P6" s="537" t="s">
        <v>55</v>
      </c>
      <c r="Q6" s="537" t="s">
        <v>56</v>
      </c>
      <c r="R6" s="537" t="s">
        <v>59</v>
      </c>
      <c r="S6" s="741"/>
      <c r="T6" s="537" t="s">
        <v>120</v>
      </c>
      <c r="U6" s="537" t="s">
        <v>53</v>
      </c>
      <c r="V6" s="537" t="s">
        <v>55</v>
      </c>
      <c r="W6" s="537" t="s">
        <v>56</v>
      </c>
      <c r="X6" s="537" t="s">
        <v>59</v>
      </c>
      <c r="Y6" s="762"/>
      <c r="Z6" s="762"/>
      <c r="AA6" s="329"/>
      <c r="AB6" s="329"/>
      <c r="AC6" s="329"/>
      <c r="AD6" s="328" t="s">
        <v>120</v>
      </c>
      <c r="AE6" s="328" t="s">
        <v>53</v>
      </c>
      <c r="AF6" s="328" t="s">
        <v>55</v>
      </c>
      <c r="AG6" s="328" t="s">
        <v>56</v>
      </c>
      <c r="AH6" s="328" t="s">
        <v>59</v>
      </c>
    </row>
    <row r="7" spans="1:35" s="136" customFormat="1">
      <c r="A7" s="746"/>
      <c r="B7" s="226" t="s">
        <v>78</v>
      </c>
      <c r="C7" s="529" t="s">
        <v>79</v>
      </c>
      <c r="D7" s="226" t="s">
        <v>89</v>
      </c>
      <c r="E7" s="529" t="s">
        <v>80</v>
      </c>
      <c r="F7" s="226" t="s">
        <v>81</v>
      </c>
      <c r="G7" s="529" t="s">
        <v>90</v>
      </c>
      <c r="H7" s="226" t="s">
        <v>82</v>
      </c>
      <c r="I7" s="529" t="s">
        <v>83</v>
      </c>
      <c r="J7" s="529" t="s">
        <v>84</v>
      </c>
      <c r="K7" s="529" t="s">
        <v>85</v>
      </c>
      <c r="L7" s="529" t="s">
        <v>86</v>
      </c>
      <c r="M7" s="529" t="s">
        <v>87</v>
      </c>
      <c r="N7" s="529" t="s">
        <v>88</v>
      </c>
      <c r="O7" s="529" t="s">
        <v>154</v>
      </c>
      <c r="P7" s="529" t="s">
        <v>155</v>
      </c>
      <c r="Q7" s="529" t="s">
        <v>156</v>
      </c>
      <c r="R7" s="529" t="s">
        <v>157</v>
      </c>
      <c r="S7" s="529" t="s">
        <v>179</v>
      </c>
      <c r="T7" s="529" t="s">
        <v>187</v>
      </c>
      <c r="U7" s="529" t="s">
        <v>191</v>
      </c>
      <c r="V7" s="529" t="s">
        <v>192</v>
      </c>
      <c r="W7" s="529" t="s">
        <v>193</v>
      </c>
      <c r="X7" s="529" t="s">
        <v>194</v>
      </c>
      <c r="Y7" s="529" t="s">
        <v>195</v>
      </c>
      <c r="Z7" s="529" t="s">
        <v>507</v>
      </c>
      <c r="AA7" s="329"/>
      <c r="AB7" s="329"/>
      <c r="AC7" s="329"/>
    </row>
    <row r="8" spans="1:35" s="136" customFormat="1" ht="49.5" customHeight="1">
      <c r="A8" s="330"/>
      <c r="B8" s="331" t="s">
        <v>508</v>
      </c>
      <c r="C8" s="530">
        <f>+C9+C27</f>
        <v>64935569833</v>
      </c>
      <c r="D8" s="332">
        <f>IFERROR(((C9*D9)/C8)+((C27*D27)/C8),0)</f>
        <v>0.13057890829365967</v>
      </c>
      <c r="E8" s="530">
        <f t="shared" ref="E8:G8" si="0">+E9+E27</f>
        <v>25911516463</v>
      </c>
      <c r="F8" s="332">
        <f>IFERROR(((E9*F9)/E8)+((E27*F27)/E8),0)</f>
        <v>0.19522117911822318</v>
      </c>
      <c r="G8" s="530">
        <f t="shared" si="0"/>
        <v>39024053370</v>
      </c>
      <c r="H8" s="332">
        <f>IFERROR(((G9*H9)/G8)+((G27*H27)/G8),0)</f>
        <v>8.7657194119190221E-2</v>
      </c>
      <c r="I8" s="530">
        <f t="shared" ref="I8:Z8" si="1">+I9+I27</f>
        <v>26286549233</v>
      </c>
      <c r="J8" s="530">
        <f t="shared" si="1"/>
        <v>25857313242</v>
      </c>
      <c r="K8" s="530">
        <f t="shared" si="1"/>
        <v>9064864235</v>
      </c>
      <c r="L8" s="530">
        <f t="shared" si="1"/>
        <v>2317684439</v>
      </c>
      <c r="M8" s="530">
        <f t="shared" si="1"/>
        <v>1409158684</v>
      </c>
      <c r="N8" s="530">
        <f t="shared" si="1"/>
        <v>51319667488</v>
      </c>
      <c r="O8" s="530">
        <f t="shared" si="1"/>
        <v>11973504955</v>
      </c>
      <c r="P8" s="530">
        <f t="shared" si="1"/>
        <v>197951703</v>
      </c>
      <c r="Q8" s="530">
        <f t="shared" si="1"/>
        <v>515717513</v>
      </c>
      <c r="R8" s="530">
        <f t="shared" si="1"/>
        <v>928728174</v>
      </c>
      <c r="S8" s="530">
        <f t="shared" si="1"/>
        <v>2947511384</v>
      </c>
      <c r="T8" s="530">
        <f t="shared" si="1"/>
        <v>511888974</v>
      </c>
      <c r="U8" s="530">
        <f t="shared" si="1"/>
        <v>1198877092</v>
      </c>
      <c r="V8" s="530">
        <f t="shared" si="1"/>
        <v>49906638</v>
      </c>
      <c r="W8" s="530">
        <f t="shared" si="1"/>
        <v>258118383</v>
      </c>
      <c r="X8" s="530">
        <f t="shared" si="1"/>
        <v>928720297</v>
      </c>
      <c r="Y8" s="530">
        <f t="shared" si="1"/>
        <v>2183926983</v>
      </c>
      <c r="Z8" s="530">
        <f t="shared" si="1"/>
        <v>7190770</v>
      </c>
      <c r="AA8" s="541">
        <f>+'Loans Receivable'!C85</f>
        <v>64935569833</v>
      </c>
      <c r="AB8" s="541">
        <f>+AA8-AC8</f>
        <v>25911516463</v>
      </c>
      <c r="AC8" s="541">
        <f>+'Asset Classification'!D31</f>
        <v>39024053370</v>
      </c>
      <c r="AD8" s="542">
        <f>+'Asset Classification'!E31</f>
        <v>51319667488</v>
      </c>
      <c r="AE8" s="542">
        <f>+'Asset Classification'!I31</f>
        <v>11973504955</v>
      </c>
      <c r="AF8" s="542">
        <f>+'Asset Classification'!M31</f>
        <v>197951703</v>
      </c>
      <c r="AG8" s="542">
        <f>+'Asset Classification'!Q31</f>
        <v>515717513</v>
      </c>
      <c r="AH8" s="542">
        <f>+'Asset Classification'!U31</f>
        <v>928728174</v>
      </c>
    </row>
    <row r="9" spans="1:35" s="140" customFormat="1" ht="49.5" customHeight="1">
      <c r="A9" s="331" t="s">
        <v>120</v>
      </c>
      <c r="B9" s="331" t="s">
        <v>509</v>
      </c>
      <c r="C9" s="530">
        <f>+C11+C16+C21+C22+C24+C25+C26</f>
        <v>9706748229</v>
      </c>
      <c r="D9" s="332">
        <f>IFERROR(((C11*D11)/C9)+((C16*D16)/C9)+((C21*D21)/C9)+((C22*D22)/C9)+((C24*D24)/C9)+((C25*D25)/C9)+((C26*D26)/C9),0)</f>
        <v>0.21169411289973347</v>
      </c>
      <c r="E9" s="530">
        <f>+E11+E16+E21+E22+E24+E25+E26</f>
        <v>9706748229</v>
      </c>
      <c r="F9" s="332">
        <f>IFERROR(((E11*F11)/E9)+((E16*F16)/E9)+((E21*F21)/E9)+((E22*F22)/E9)+((E24*F24)/E9)+((E25*F25)/E9)+((E26*F26)/E9),0)</f>
        <v>0.21169411289973347</v>
      </c>
      <c r="G9" s="530">
        <f>+G11+G16+G21+G22+G24+G25+G26</f>
        <v>0</v>
      </c>
      <c r="H9" s="332">
        <f>IFERROR(((G11*H11)/G9)+((G16*H16)/G9)+((G21*H21)/G9)+((G22*H22)/G9)+((G24*H24)/G9)+((G25*H25)/G9)+((G26*H26)/G9),0)</f>
        <v>0</v>
      </c>
      <c r="I9" s="530">
        <f>+I11+I16+I21+I22+I24+I25+I26</f>
        <v>1583111879</v>
      </c>
      <c r="J9" s="530">
        <f t="shared" ref="J9:Z9" si="2">+J11+J16+J21+J22+J24+J25+J26</f>
        <v>2861075964</v>
      </c>
      <c r="K9" s="530">
        <f t="shared" si="2"/>
        <v>1943457825</v>
      </c>
      <c r="L9" s="530">
        <f t="shared" si="2"/>
        <v>1909943877</v>
      </c>
      <c r="M9" s="530">
        <f t="shared" si="2"/>
        <v>1409158684</v>
      </c>
      <c r="N9" s="530">
        <f t="shared" si="2"/>
        <v>8900894853</v>
      </c>
      <c r="O9" s="530">
        <f t="shared" si="2"/>
        <v>534089561</v>
      </c>
      <c r="P9" s="530">
        <f t="shared" si="2"/>
        <v>94140521</v>
      </c>
      <c r="Q9" s="530">
        <f t="shared" si="2"/>
        <v>146207436</v>
      </c>
      <c r="R9" s="530">
        <f t="shared" si="2"/>
        <v>31415858</v>
      </c>
      <c r="S9" s="530">
        <f t="shared" si="2"/>
        <v>270474383</v>
      </c>
      <c r="T9" s="530">
        <f t="shared" si="2"/>
        <v>89008949</v>
      </c>
      <c r="U9" s="530">
        <f t="shared" si="2"/>
        <v>53411263</v>
      </c>
      <c r="V9" s="530">
        <f t="shared" si="2"/>
        <v>23536472</v>
      </c>
      <c r="W9" s="530">
        <f t="shared" si="2"/>
        <v>73109718</v>
      </c>
      <c r="X9" s="530">
        <f t="shared" si="2"/>
        <v>31407981</v>
      </c>
      <c r="Y9" s="530">
        <f t="shared" si="2"/>
        <v>196799846</v>
      </c>
      <c r="Z9" s="530">
        <f t="shared" si="2"/>
        <v>4368029</v>
      </c>
      <c r="AA9" s="541">
        <f>+'Loans Receivable'!C73</f>
        <v>9706748229</v>
      </c>
      <c r="AB9" s="541">
        <f>+'Loans Receivable'!D71</f>
        <v>9706748229</v>
      </c>
      <c r="AC9" s="329">
        <f>+'Loans Receivable'!E71</f>
        <v>0</v>
      </c>
      <c r="AD9" s="402">
        <f>+N8-AD8</f>
        <v>0</v>
      </c>
      <c r="AE9" s="402">
        <f>+O8-AE8</f>
        <v>0</v>
      </c>
      <c r="AF9" s="402">
        <f>+P8-AF8</f>
        <v>0</v>
      </c>
      <c r="AG9" s="402">
        <f>+Q8-AG8</f>
        <v>0</v>
      </c>
      <c r="AH9" s="402">
        <f>+R8-AH8</f>
        <v>0</v>
      </c>
      <c r="AI9" s="136"/>
    </row>
    <row r="10" spans="1:35" s="136" customFormat="1" ht="33.75" customHeight="1">
      <c r="A10" s="330"/>
      <c r="B10" s="331" t="s">
        <v>488</v>
      </c>
      <c r="C10" s="530"/>
      <c r="D10" s="137"/>
      <c r="E10" s="534"/>
      <c r="F10" s="401"/>
      <c r="G10" s="534"/>
      <c r="H10" s="401"/>
      <c r="I10" s="534"/>
      <c r="J10" s="534"/>
      <c r="K10" s="534"/>
      <c r="L10" s="534"/>
      <c r="M10" s="530"/>
      <c r="N10" s="530"/>
      <c r="O10" s="530"/>
      <c r="P10" s="530"/>
      <c r="Q10" s="530"/>
      <c r="R10" s="530"/>
      <c r="S10" s="530"/>
      <c r="T10" s="530"/>
      <c r="U10" s="530"/>
      <c r="V10" s="530"/>
      <c r="W10" s="530"/>
      <c r="X10" s="530"/>
      <c r="Y10" s="530"/>
      <c r="Z10" s="530"/>
      <c r="AA10" s="329"/>
      <c r="AB10" s="329"/>
      <c r="AC10" s="329"/>
      <c r="AD10" s="541">
        <f>+'Asset Classification'!G31</f>
        <v>511888974</v>
      </c>
      <c r="AE10" s="541">
        <f>+'Asset Classification'!K31</f>
        <v>1198877092</v>
      </c>
      <c r="AF10" s="541">
        <f>+'Asset Classification'!O53</f>
        <v>49906638</v>
      </c>
      <c r="AG10" s="541">
        <f>+'Asset Classification'!S53</f>
        <v>258118383</v>
      </c>
      <c r="AH10" s="541">
        <f>+'Asset Classification'!W53</f>
        <v>928720297</v>
      </c>
      <c r="AI10" s="140"/>
    </row>
    <row r="11" spans="1:35" s="136" customFormat="1" ht="49.5" customHeight="1">
      <c r="A11" s="333">
        <v>1</v>
      </c>
      <c r="B11" s="334" t="s">
        <v>723</v>
      </c>
      <c r="C11" s="531">
        <f>SUM(C12:C15)</f>
        <v>1375518574</v>
      </c>
      <c r="D11" s="335">
        <f>IFERROR(((C12*D12)/C11)+((C13*D13)/C11)+((C14*D14)/C11)+((C15*D15)/C11),0)</f>
        <v>0.14756931092980058</v>
      </c>
      <c r="E11" s="531">
        <f t="shared" ref="E11:Z11" si="3">SUM(E12:E15)</f>
        <v>1375518574</v>
      </c>
      <c r="F11" s="335">
        <f>IFERROR(((E12*F12)/E11)+((E13*F13)/E11)+((E14*F14)/E11)+((E15*F15)/E11),0)</f>
        <v>0.14756931092980058</v>
      </c>
      <c r="G11" s="531">
        <f t="shared" si="3"/>
        <v>0</v>
      </c>
      <c r="H11" s="335">
        <f>IFERROR(((G12*H12)/G11)+((G13*H13)/G11)+((G14*H14)/G11)+((G15*H15)/G11),0)</f>
        <v>0</v>
      </c>
      <c r="I11" s="531">
        <f t="shared" si="3"/>
        <v>113765032</v>
      </c>
      <c r="J11" s="531">
        <f t="shared" si="3"/>
        <v>447972879</v>
      </c>
      <c r="K11" s="531">
        <f t="shared" si="3"/>
        <v>484419604</v>
      </c>
      <c r="L11" s="531">
        <f t="shared" si="3"/>
        <v>307080870</v>
      </c>
      <c r="M11" s="531">
        <f t="shared" si="3"/>
        <v>22280189</v>
      </c>
      <c r="N11" s="531">
        <f t="shared" si="3"/>
        <v>1286726145</v>
      </c>
      <c r="O11" s="531">
        <f t="shared" si="3"/>
        <v>77220522</v>
      </c>
      <c r="P11" s="531">
        <f t="shared" si="3"/>
        <v>6380290</v>
      </c>
      <c r="Q11" s="531">
        <f t="shared" si="3"/>
        <v>2929489</v>
      </c>
      <c r="R11" s="531">
        <f t="shared" si="3"/>
        <v>2262128</v>
      </c>
      <c r="S11" s="531">
        <f t="shared" si="3"/>
        <v>25911259</v>
      </c>
      <c r="T11" s="531">
        <f t="shared" si="3"/>
        <v>12867262</v>
      </c>
      <c r="U11" s="531">
        <f t="shared" si="3"/>
        <v>7722052</v>
      </c>
      <c r="V11" s="531">
        <f t="shared" si="3"/>
        <v>1595073</v>
      </c>
      <c r="W11" s="531">
        <f t="shared" si="3"/>
        <v>1464744</v>
      </c>
      <c r="X11" s="531">
        <f t="shared" si="3"/>
        <v>2262128</v>
      </c>
      <c r="Y11" s="531">
        <f t="shared" si="3"/>
        <v>27024526</v>
      </c>
      <c r="Z11" s="531">
        <f t="shared" si="3"/>
        <v>4232200</v>
      </c>
      <c r="AA11" s="541">
        <f>+'loans_av rate'!C10</f>
        <v>1375518574</v>
      </c>
      <c r="AB11" s="541">
        <f>+'loans_av rate'!E10</f>
        <v>1375518574</v>
      </c>
      <c r="AC11" s="136">
        <f>+'loans_av rate'!G10</f>
        <v>0</v>
      </c>
      <c r="AD11" s="417">
        <f>+T8-AD10</f>
        <v>0</v>
      </c>
      <c r="AE11" s="417">
        <f t="shared" ref="AE11:AH11" si="4">+U8-AE10</f>
        <v>0</v>
      </c>
      <c r="AF11" s="417">
        <f t="shared" si="4"/>
        <v>0</v>
      </c>
      <c r="AG11" s="417">
        <f t="shared" si="4"/>
        <v>0</v>
      </c>
      <c r="AH11" s="417">
        <f t="shared" si="4"/>
        <v>0</v>
      </c>
    </row>
    <row r="12" spans="1:35" s="136" customFormat="1" ht="49.5" customHeight="1">
      <c r="A12" s="336" t="s">
        <v>110</v>
      </c>
      <c r="B12" s="337" t="s">
        <v>510</v>
      </c>
      <c r="C12" s="526">
        <f>+E12+G12</f>
        <v>1045806622</v>
      </c>
      <c r="D12" s="433">
        <f>IFERROR((((E12*F12)+(G12*H12))/C12),0)</f>
        <v>0.15181664232098513</v>
      </c>
      <c r="E12" s="535">
        <v>1045806622</v>
      </c>
      <c r="F12" s="338">
        <v>0.15181664232098513</v>
      </c>
      <c r="G12" s="535">
        <v>0</v>
      </c>
      <c r="H12" s="338">
        <v>0</v>
      </c>
      <c r="I12" s="535">
        <v>80546857</v>
      </c>
      <c r="J12" s="535">
        <v>316519016</v>
      </c>
      <c r="K12" s="535">
        <v>369343807</v>
      </c>
      <c r="L12" s="535">
        <v>259745463</v>
      </c>
      <c r="M12" s="535">
        <v>19651479</v>
      </c>
      <c r="N12" s="535">
        <v>979748589</v>
      </c>
      <c r="O12" s="535">
        <v>56833967</v>
      </c>
      <c r="P12" s="535">
        <v>5052957</v>
      </c>
      <c r="Q12" s="535">
        <v>2716921</v>
      </c>
      <c r="R12" s="535">
        <v>1454188</v>
      </c>
      <c r="S12" s="526">
        <f>SUM(T12:X12)</f>
        <v>19556771</v>
      </c>
      <c r="T12" s="535">
        <v>9797487</v>
      </c>
      <c r="U12" s="535">
        <v>5683396</v>
      </c>
      <c r="V12" s="535">
        <v>1263240</v>
      </c>
      <c r="W12" s="535">
        <v>1358460</v>
      </c>
      <c r="X12" s="535">
        <v>1454188</v>
      </c>
      <c r="Y12" s="535">
        <v>12653562</v>
      </c>
      <c r="Z12" s="535">
        <v>3360406</v>
      </c>
      <c r="AA12" s="418">
        <f>+'loans_av rate'!D10</f>
        <v>0.14756931092980219</v>
      </c>
      <c r="AB12" s="418">
        <f>+'loans_av rate'!F10</f>
        <v>0.14756931092980219</v>
      </c>
      <c r="AC12" s="418">
        <f>+'loans_av rate'!H10</f>
        <v>0</v>
      </c>
    </row>
    <row r="13" spans="1:35" s="136" customFormat="1" ht="49.5" customHeight="1">
      <c r="A13" s="336" t="s">
        <v>111</v>
      </c>
      <c r="B13" s="337" t="s">
        <v>511</v>
      </c>
      <c r="C13" s="526">
        <f>+E13+G13</f>
        <v>1376827</v>
      </c>
      <c r="D13" s="433">
        <f>IFERROR((((E13*F13)+(G13*H13))/C13),0)</f>
        <v>0.16381961035464151</v>
      </c>
      <c r="E13" s="535">
        <v>1376827</v>
      </c>
      <c r="F13" s="338">
        <v>0.16381961035464151</v>
      </c>
      <c r="G13" s="535">
        <v>0</v>
      </c>
      <c r="H13" s="338">
        <v>0</v>
      </c>
      <c r="I13" s="535">
        <v>137740</v>
      </c>
      <c r="J13" s="535">
        <v>775591</v>
      </c>
      <c r="K13" s="535">
        <v>463496</v>
      </c>
      <c r="L13" s="535">
        <v>0</v>
      </c>
      <c r="M13" s="535">
        <v>0</v>
      </c>
      <c r="N13" s="535">
        <v>1371950</v>
      </c>
      <c r="O13" s="535">
        <v>4877</v>
      </c>
      <c r="P13" s="535">
        <v>0</v>
      </c>
      <c r="Q13" s="535">
        <v>0</v>
      </c>
      <c r="R13" s="535">
        <v>0</v>
      </c>
      <c r="S13" s="526">
        <f t="shared" ref="S13:S26" si="5">SUM(T13:X13)</f>
        <v>14207</v>
      </c>
      <c r="T13" s="535">
        <v>13719</v>
      </c>
      <c r="U13" s="535">
        <v>488</v>
      </c>
      <c r="V13" s="535">
        <v>0</v>
      </c>
      <c r="W13" s="535">
        <v>0</v>
      </c>
      <c r="X13" s="535">
        <v>0</v>
      </c>
      <c r="Y13" s="535">
        <v>0</v>
      </c>
      <c r="Z13" s="535">
        <v>0</v>
      </c>
      <c r="AA13" s="329"/>
      <c r="AD13" s="541">
        <f>+'Asset Classification'!E13</f>
        <v>8900894853</v>
      </c>
      <c r="AE13" s="541">
        <f>+'Asset Classification'!I13</f>
        <v>534089561</v>
      </c>
      <c r="AF13" s="541">
        <f>+'Asset Classification'!M13</f>
        <v>94140521</v>
      </c>
      <c r="AG13" s="541">
        <f>+'Asset Classification'!Q13</f>
        <v>146207436</v>
      </c>
      <c r="AH13" s="541">
        <f>+'Asset Classification'!U13</f>
        <v>31415858</v>
      </c>
    </row>
    <row r="14" spans="1:35" s="136" customFormat="1" ht="49.5" customHeight="1">
      <c r="A14" s="336" t="s">
        <v>112</v>
      </c>
      <c r="B14" s="337" t="s">
        <v>512</v>
      </c>
      <c r="C14" s="526">
        <f>+E14+G14</f>
        <v>2080485</v>
      </c>
      <c r="D14" s="433">
        <f>IFERROR((((E14*F14)+(G14*H14))/C14),0)</f>
        <v>0.15183646415201263</v>
      </c>
      <c r="E14" s="535">
        <v>2080485</v>
      </c>
      <c r="F14" s="338">
        <v>0.15183646415201263</v>
      </c>
      <c r="G14" s="535">
        <v>0</v>
      </c>
      <c r="H14" s="338">
        <v>0</v>
      </c>
      <c r="I14" s="535">
        <v>233361</v>
      </c>
      <c r="J14" s="535">
        <v>974979</v>
      </c>
      <c r="K14" s="535">
        <v>839667</v>
      </c>
      <c r="L14" s="535">
        <v>25640</v>
      </c>
      <c r="M14" s="535">
        <v>6838</v>
      </c>
      <c r="N14" s="535">
        <v>2080485</v>
      </c>
      <c r="O14" s="535">
        <v>0</v>
      </c>
      <c r="P14" s="535">
        <v>0</v>
      </c>
      <c r="Q14" s="535">
        <v>0</v>
      </c>
      <c r="R14" s="535">
        <v>0</v>
      </c>
      <c r="S14" s="526">
        <f t="shared" si="5"/>
        <v>20805</v>
      </c>
      <c r="T14" s="535">
        <v>20805</v>
      </c>
      <c r="U14" s="535">
        <v>0</v>
      </c>
      <c r="V14" s="535">
        <v>0</v>
      </c>
      <c r="W14" s="535">
        <v>0</v>
      </c>
      <c r="X14" s="535">
        <v>0</v>
      </c>
      <c r="Y14" s="535">
        <v>0</v>
      </c>
      <c r="Z14" s="535">
        <v>0</v>
      </c>
      <c r="AA14" s="329"/>
      <c r="AD14" s="417">
        <f>+N9-AD13</f>
        <v>0</v>
      </c>
      <c r="AE14" s="417">
        <f t="shared" ref="AE14:AH14" si="6">+O9-AE13</f>
        <v>0</v>
      </c>
      <c r="AF14" s="417">
        <f t="shared" si="6"/>
        <v>0</v>
      </c>
      <c r="AG14" s="417">
        <f t="shared" si="6"/>
        <v>0</v>
      </c>
      <c r="AH14" s="417">
        <f t="shared" si="6"/>
        <v>0</v>
      </c>
    </row>
    <row r="15" spans="1:35" s="136" customFormat="1" ht="49.5" customHeight="1">
      <c r="A15" s="336" t="s">
        <v>116</v>
      </c>
      <c r="B15" s="337" t="s">
        <v>513</v>
      </c>
      <c r="C15" s="526">
        <f>+E15+G15</f>
        <v>326254640</v>
      </c>
      <c r="D15" s="433">
        <f>IFERROR((((E15*F15)+(G15*H15))/C15),0)</f>
        <v>0.13385873536830975</v>
      </c>
      <c r="E15" s="535">
        <v>326254640</v>
      </c>
      <c r="F15" s="338">
        <v>0.13385873536830975</v>
      </c>
      <c r="G15" s="535">
        <v>0</v>
      </c>
      <c r="H15" s="338">
        <v>0</v>
      </c>
      <c r="I15" s="535">
        <v>32847074</v>
      </c>
      <c r="J15" s="535">
        <v>129703293</v>
      </c>
      <c r="K15" s="535">
        <v>113772634</v>
      </c>
      <c r="L15" s="535">
        <v>47309767</v>
      </c>
      <c r="M15" s="535">
        <v>2621872</v>
      </c>
      <c r="N15" s="535">
        <v>303525121</v>
      </c>
      <c r="O15" s="535">
        <v>20381678</v>
      </c>
      <c r="P15" s="535">
        <v>1327333</v>
      </c>
      <c r="Q15" s="535">
        <v>212568</v>
      </c>
      <c r="R15" s="535">
        <v>807940</v>
      </c>
      <c r="S15" s="526">
        <f t="shared" si="5"/>
        <v>6319476</v>
      </c>
      <c r="T15" s="535">
        <v>3035251</v>
      </c>
      <c r="U15" s="535">
        <v>2038168</v>
      </c>
      <c r="V15" s="535">
        <v>331833</v>
      </c>
      <c r="W15" s="535">
        <v>106284</v>
      </c>
      <c r="X15" s="535">
        <v>807940</v>
      </c>
      <c r="Y15" s="535">
        <v>14370964</v>
      </c>
      <c r="Z15" s="535">
        <v>871794</v>
      </c>
      <c r="AA15" s="329"/>
      <c r="AD15" s="541">
        <f>+'Asset Classification'!G13</f>
        <v>89008949</v>
      </c>
      <c r="AE15" s="541">
        <f>+'Asset Classification'!K13</f>
        <v>53411263</v>
      </c>
      <c r="AF15" s="541">
        <f>+'Asset Classification'!O13</f>
        <v>23536472</v>
      </c>
      <c r="AG15" s="541">
        <f>+'Asset Classification'!S13</f>
        <v>73109718</v>
      </c>
      <c r="AH15" s="541">
        <f>+'Asset Classification'!W13</f>
        <v>31407981</v>
      </c>
    </row>
    <row r="16" spans="1:35" s="136" customFormat="1" ht="49.5" customHeight="1">
      <c r="A16" s="333">
        <v>2</v>
      </c>
      <c r="B16" s="334" t="s">
        <v>724</v>
      </c>
      <c r="C16" s="531">
        <f>SUM(C17:C20)</f>
        <v>4922245321</v>
      </c>
      <c r="D16" s="335">
        <f>IFERROR(((C17*D17)/C16)+((C18*D18)/C16)+((C19*D19)/C16)+((C20*D20)/C16),0)</f>
        <v>0.18890778080113427</v>
      </c>
      <c r="E16" s="531">
        <f t="shared" ref="E16:Z16" si="7">SUM(E17:E20)</f>
        <v>4922245321</v>
      </c>
      <c r="F16" s="335">
        <f>IFERROR(((E17*F17)/E16)+((E18*F18)/E16)+((E19*F19)/E16)+((E20*F20)/E16),0)</f>
        <v>0.18890778080113427</v>
      </c>
      <c r="G16" s="531">
        <f t="shared" si="7"/>
        <v>0</v>
      </c>
      <c r="H16" s="335">
        <f>IFERROR(((G17*H17)/G16)+((G18*H18)/G16)+((G19*H19)/G16)+((G20*H20)/G16),0)</f>
        <v>0</v>
      </c>
      <c r="I16" s="531">
        <f t="shared" si="7"/>
        <v>124858893</v>
      </c>
      <c r="J16" s="531">
        <f t="shared" si="7"/>
        <v>677360242</v>
      </c>
      <c r="K16" s="531">
        <f t="shared" si="7"/>
        <v>1160733063</v>
      </c>
      <c r="L16" s="531">
        <f t="shared" si="7"/>
        <v>1572419928</v>
      </c>
      <c r="M16" s="531">
        <f t="shared" si="7"/>
        <v>1386873195</v>
      </c>
      <c r="N16" s="531">
        <f t="shared" si="7"/>
        <v>4543223343</v>
      </c>
      <c r="O16" s="531">
        <f t="shared" si="7"/>
        <v>314652620</v>
      </c>
      <c r="P16" s="531">
        <f t="shared" si="7"/>
        <v>26666265</v>
      </c>
      <c r="Q16" s="531">
        <f t="shared" si="7"/>
        <v>25059056</v>
      </c>
      <c r="R16" s="531">
        <f t="shared" si="7"/>
        <v>12644037</v>
      </c>
      <c r="S16" s="531">
        <f>SUM(S17:S20)</f>
        <v>108737626</v>
      </c>
      <c r="T16" s="531">
        <f t="shared" si="7"/>
        <v>45432233</v>
      </c>
      <c r="U16" s="531">
        <f t="shared" si="7"/>
        <v>31465262</v>
      </c>
      <c r="V16" s="531">
        <f t="shared" si="7"/>
        <v>6666566</v>
      </c>
      <c r="W16" s="531">
        <f t="shared" si="7"/>
        <v>12529528</v>
      </c>
      <c r="X16" s="531">
        <f t="shared" si="7"/>
        <v>12644037</v>
      </c>
      <c r="Y16" s="531">
        <f t="shared" si="7"/>
        <v>4117618</v>
      </c>
      <c r="Z16" s="531">
        <f t="shared" si="7"/>
        <v>135829</v>
      </c>
      <c r="AA16" s="541">
        <f>+'loans_av rate'!C20</f>
        <v>4922245321</v>
      </c>
      <c r="AB16" s="541">
        <f>+'loans_av rate'!E20</f>
        <v>4922245321</v>
      </c>
      <c r="AC16" s="136">
        <f>+'loans_av rate'!G20</f>
        <v>0</v>
      </c>
      <c r="AD16" s="417">
        <f>+AD15-T9</f>
        <v>0</v>
      </c>
      <c r="AE16" s="417">
        <f t="shared" ref="AE16:AH16" si="8">+AE15-U9</f>
        <v>0</v>
      </c>
      <c r="AF16" s="417">
        <f t="shared" si="8"/>
        <v>0</v>
      </c>
      <c r="AG16" s="417">
        <f t="shared" si="8"/>
        <v>0</v>
      </c>
      <c r="AH16" s="417">
        <f t="shared" si="8"/>
        <v>0</v>
      </c>
    </row>
    <row r="17" spans="1:29" s="138" customFormat="1" ht="49.5" customHeight="1">
      <c r="A17" s="339" t="s">
        <v>123</v>
      </c>
      <c r="B17" s="340" t="s">
        <v>510</v>
      </c>
      <c r="C17" s="526">
        <f t="shared" ref="C17:C26" si="9">+E17+G17</f>
        <v>4796363717</v>
      </c>
      <c r="D17" s="433">
        <f t="shared" ref="D17:D26" si="10">IFERROR((((E17*F17)+(G17*H17))/C17),0)</f>
        <v>0.1893031590574413</v>
      </c>
      <c r="E17" s="535">
        <v>4796363717</v>
      </c>
      <c r="F17" s="338">
        <v>0.1893031590574413</v>
      </c>
      <c r="G17" s="535">
        <v>0</v>
      </c>
      <c r="H17" s="338">
        <v>0</v>
      </c>
      <c r="I17" s="535">
        <v>120199143</v>
      </c>
      <c r="J17" s="535">
        <v>649401070</v>
      </c>
      <c r="K17" s="535">
        <v>1124509297</v>
      </c>
      <c r="L17" s="535">
        <v>1540374799</v>
      </c>
      <c r="M17" s="535">
        <v>1361879408</v>
      </c>
      <c r="N17" s="535">
        <v>4423548304</v>
      </c>
      <c r="O17" s="535">
        <v>309104822</v>
      </c>
      <c r="P17" s="535">
        <v>26554430</v>
      </c>
      <c r="Q17" s="535">
        <v>24512124</v>
      </c>
      <c r="R17" s="535">
        <v>12644037</v>
      </c>
      <c r="S17" s="526">
        <f t="shared" si="5"/>
        <v>106684671</v>
      </c>
      <c r="T17" s="535">
        <v>44235483</v>
      </c>
      <c r="U17" s="535">
        <v>30910482</v>
      </c>
      <c r="V17" s="535">
        <v>6638607</v>
      </c>
      <c r="W17" s="535">
        <v>12256062</v>
      </c>
      <c r="X17" s="535">
        <v>12644037</v>
      </c>
      <c r="Y17" s="535">
        <v>4117618</v>
      </c>
      <c r="Z17" s="535">
        <v>135829</v>
      </c>
      <c r="AA17" s="418">
        <f>+'loans_av rate'!D20</f>
        <v>0.18890778080113388</v>
      </c>
      <c r="AB17" s="418">
        <f>+'loans_av rate'!F20</f>
        <v>0.18890778080113388</v>
      </c>
      <c r="AC17" s="418">
        <f>+'loans_av rate'!H20</f>
        <v>0</v>
      </c>
    </row>
    <row r="18" spans="1:29" s="138" customFormat="1" ht="49.5" customHeight="1">
      <c r="A18" s="339" t="s">
        <v>124</v>
      </c>
      <c r="B18" s="340" t="s">
        <v>511</v>
      </c>
      <c r="C18" s="526">
        <f t="shared" si="9"/>
        <v>46905654</v>
      </c>
      <c r="D18" s="433">
        <f t="shared" si="10"/>
        <v>0.18704731946267936</v>
      </c>
      <c r="E18" s="535">
        <v>46905654</v>
      </c>
      <c r="F18" s="338">
        <v>0.18704731946267936</v>
      </c>
      <c r="G18" s="535">
        <v>0</v>
      </c>
      <c r="H18" s="338">
        <v>0</v>
      </c>
      <c r="I18" s="535">
        <v>2961477</v>
      </c>
      <c r="J18" s="535">
        <v>19391742</v>
      </c>
      <c r="K18" s="535">
        <v>19897713</v>
      </c>
      <c r="L18" s="535">
        <v>2637566</v>
      </c>
      <c r="M18" s="535">
        <v>2017156</v>
      </c>
      <c r="N18" s="535">
        <v>45486100</v>
      </c>
      <c r="O18" s="535">
        <v>1128054</v>
      </c>
      <c r="P18" s="535">
        <v>0</v>
      </c>
      <c r="Q18" s="535">
        <v>291500</v>
      </c>
      <c r="R18" s="535">
        <v>0</v>
      </c>
      <c r="S18" s="526">
        <f t="shared" si="5"/>
        <v>713416</v>
      </c>
      <c r="T18" s="535">
        <v>454861</v>
      </c>
      <c r="U18" s="535">
        <v>112805</v>
      </c>
      <c r="V18" s="535">
        <v>0</v>
      </c>
      <c r="W18" s="535">
        <v>145750</v>
      </c>
      <c r="X18" s="535">
        <v>0</v>
      </c>
      <c r="Y18" s="535">
        <v>0</v>
      </c>
      <c r="Z18" s="535">
        <v>0</v>
      </c>
      <c r="AA18" s="329"/>
    </row>
    <row r="19" spans="1:29" s="138" customFormat="1" ht="49.5" customHeight="1">
      <c r="A19" s="339" t="s">
        <v>126</v>
      </c>
      <c r="B19" s="340" t="s">
        <v>512</v>
      </c>
      <c r="C19" s="526">
        <f t="shared" si="9"/>
        <v>75344282</v>
      </c>
      <c r="D19" s="433">
        <f t="shared" si="10"/>
        <v>0.16653709962511631</v>
      </c>
      <c r="E19" s="535">
        <v>75344282</v>
      </c>
      <c r="F19" s="338">
        <v>0.16653709962511631</v>
      </c>
      <c r="G19" s="535">
        <v>0</v>
      </c>
      <c r="H19" s="338">
        <v>0</v>
      </c>
      <c r="I19" s="535">
        <v>1391780</v>
      </c>
      <c r="J19" s="535">
        <v>7440046</v>
      </c>
      <c r="K19" s="535">
        <v>14938272</v>
      </c>
      <c r="L19" s="535">
        <v>28613916</v>
      </c>
      <c r="M19" s="535">
        <v>22960268</v>
      </c>
      <c r="N19" s="535">
        <v>71021037</v>
      </c>
      <c r="O19" s="535">
        <v>3955978</v>
      </c>
      <c r="P19" s="535">
        <v>111835</v>
      </c>
      <c r="Q19" s="535">
        <v>255432</v>
      </c>
      <c r="R19" s="535">
        <v>0</v>
      </c>
      <c r="S19" s="526">
        <f t="shared" si="5"/>
        <v>1261483</v>
      </c>
      <c r="T19" s="535">
        <v>710210</v>
      </c>
      <c r="U19" s="535">
        <v>395598</v>
      </c>
      <c r="V19" s="535">
        <v>27959</v>
      </c>
      <c r="W19" s="535">
        <v>127716</v>
      </c>
      <c r="X19" s="535">
        <v>0</v>
      </c>
      <c r="Y19" s="535">
        <v>0</v>
      </c>
      <c r="Z19" s="535">
        <v>0</v>
      </c>
      <c r="AA19" s="329"/>
    </row>
    <row r="20" spans="1:29" s="138" customFormat="1" ht="49.5" customHeight="1">
      <c r="A20" s="339" t="s">
        <v>128</v>
      </c>
      <c r="B20" s="340" t="s">
        <v>513</v>
      </c>
      <c r="C20" s="526">
        <f t="shared" si="9"/>
        <v>3631668</v>
      </c>
      <c r="D20" s="433">
        <f t="shared" si="10"/>
        <v>0.15487139417059867</v>
      </c>
      <c r="E20" s="535">
        <v>3631668</v>
      </c>
      <c r="F20" s="338">
        <v>0.15487139417059867</v>
      </c>
      <c r="G20" s="535">
        <v>0</v>
      </c>
      <c r="H20" s="338">
        <v>0</v>
      </c>
      <c r="I20" s="535">
        <v>306493</v>
      </c>
      <c r="J20" s="535">
        <v>1127384</v>
      </c>
      <c r="K20" s="535">
        <v>1387781</v>
      </c>
      <c r="L20" s="535">
        <v>793647</v>
      </c>
      <c r="M20" s="535">
        <v>16363</v>
      </c>
      <c r="N20" s="535">
        <v>3167902</v>
      </c>
      <c r="O20" s="535">
        <v>463766</v>
      </c>
      <c r="P20" s="535">
        <v>0</v>
      </c>
      <c r="Q20" s="535">
        <v>0</v>
      </c>
      <c r="R20" s="535">
        <v>0</v>
      </c>
      <c r="S20" s="526">
        <f t="shared" si="5"/>
        <v>78056</v>
      </c>
      <c r="T20" s="535">
        <v>31679</v>
      </c>
      <c r="U20" s="535">
        <v>46377</v>
      </c>
      <c r="V20" s="535">
        <v>0</v>
      </c>
      <c r="W20" s="535">
        <v>0</v>
      </c>
      <c r="X20" s="535">
        <v>0</v>
      </c>
      <c r="Y20" s="535">
        <v>0</v>
      </c>
      <c r="Z20" s="535">
        <v>0</v>
      </c>
      <c r="AA20" s="329"/>
    </row>
    <row r="21" spans="1:29" s="136" customFormat="1" ht="49.5" customHeight="1">
      <c r="A21" s="336">
        <v>3</v>
      </c>
      <c r="B21" s="341" t="s">
        <v>489</v>
      </c>
      <c r="C21" s="526">
        <f t="shared" si="9"/>
        <v>2566119897</v>
      </c>
      <c r="D21" s="433">
        <f t="shared" si="10"/>
        <v>0.30226930310312278</v>
      </c>
      <c r="E21" s="535">
        <v>2566119897</v>
      </c>
      <c r="F21" s="338">
        <v>0.30226930310312278</v>
      </c>
      <c r="G21" s="535">
        <v>0</v>
      </c>
      <c r="H21" s="338">
        <v>0</v>
      </c>
      <c r="I21" s="535">
        <v>1204654412</v>
      </c>
      <c r="J21" s="535">
        <v>1361459735</v>
      </c>
      <c r="K21" s="535">
        <v>150</v>
      </c>
      <c r="L21" s="535">
        <v>300</v>
      </c>
      <c r="M21" s="535">
        <v>5300</v>
      </c>
      <c r="N21" s="535">
        <v>2253715152</v>
      </c>
      <c r="O21" s="535">
        <v>123800108</v>
      </c>
      <c r="P21" s="535">
        <v>57796759</v>
      </c>
      <c r="Q21" s="535">
        <v>115877775</v>
      </c>
      <c r="R21" s="535">
        <v>14930103</v>
      </c>
      <c r="S21" s="526">
        <f t="shared" si="5"/>
        <v>122237116</v>
      </c>
      <c r="T21" s="535">
        <v>22537152</v>
      </c>
      <c r="U21" s="535">
        <v>12382318</v>
      </c>
      <c r="V21" s="535">
        <v>14450532</v>
      </c>
      <c r="W21" s="535">
        <v>57944888</v>
      </c>
      <c r="X21" s="535">
        <v>14922226</v>
      </c>
      <c r="Y21" s="535">
        <v>146592582</v>
      </c>
      <c r="Z21" s="535">
        <v>0</v>
      </c>
      <c r="AA21" s="541">
        <f>+'loans_av rate'!C12+'loans_av rate'!C22</f>
        <v>2566119897</v>
      </c>
      <c r="AB21" s="541">
        <f>+'loans_av rate'!E12+'loans_av rate'!E22</f>
        <v>2566119897</v>
      </c>
      <c r="AC21" s="541">
        <f>+'loans_av rate'!G12+'loans_av rate'!G22</f>
        <v>0</v>
      </c>
    </row>
    <row r="22" spans="1:29" s="136" customFormat="1" ht="49.5" customHeight="1">
      <c r="A22" s="336">
        <v>4</v>
      </c>
      <c r="B22" s="341" t="s">
        <v>473</v>
      </c>
      <c r="C22" s="526">
        <f t="shared" si="9"/>
        <v>289579123</v>
      </c>
      <c r="D22" s="433">
        <f t="shared" si="10"/>
        <v>0.24407400050208908</v>
      </c>
      <c r="E22" s="535">
        <v>289579123</v>
      </c>
      <c r="F22" s="338">
        <v>0.24407400050208908</v>
      </c>
      <c r="G22" s="535">
        <v>0</v>
      </c>
      <c r="H22" s="338">
        <v>0</v>
      </c>
      <c r="I22" s="535">
        <v>124753996</v>
      </c>
      <c r="J22" s="535">
        <v>164822189</v>
      </c>
      <c r="K22" s="535">
        <v>2938</v>
      </c>
      <c r="L22" s="535">
        <v>0</v>
      </c>
      <c r="M22" s="535">
        <v>0</v>
      </c>
      <c r="N22" s="535">
        <v>266460821</v>
      </c>
      <c r="O22" s="535">
        <v>16579930</v>
      </c>
      <c r="P22" s="535">
        <v>3025926</v>
      </c>
      <c r="Q22" s="535">
        <v>1940329</v>
      </c>
      <c r="R22" s="535">
        <v>1572117</v>
      </c>
      <c r="S22" s="526">
        <f t="shared" si="5"/>
        <v>7621363</v>
      </c>
      <c r="T22" s="535">
        <v>2664608</v>
      </c>
      <c r="U22" s="535">
        <v>1657993</v>
      </c>
      <c r="V22" s="535">
        <v>756481</v>
      </c>
      <c r="W22" s="535">
        <v>970164</v>
      </c>
      <c r="X22" s="535">
        <v>1572117</v>
      </c>
      <c r="Y22" s="535">
        <v>13363517</v>
      </c>
      <c r="Z22" s="535">
        <v>0</v>
      </c>
      <c r="AA22" s="541">
        <f>+'loans_av rate'!C11+'loans_av rate'!C13+'loans_av rate'!C21+'loans_av rate'!C23</f>
        <v>289579123</v>
      </c>
      <c r="AB22" s="541">
        <f>+'loans_av rate'!E11+'loans_av rate'!E13+'loans_av rate'!E21+'loans_av rate'!E23</f>
        <v>289579123</v>
      </c>
      <c r="AC22" s="541">
        <f>+'loans_av rate'!G11+'loans_av rate'!G13+'loans_av rate'!G21+'loans_av rate'!G23</f>
        <v>0</v>
      </c>
    </row>
    <row r="23" spans="1:29" s="136" customFormat="1" ht="49.5" customHeight="1">
      <c r="A23" s="336" t="s">
        <v>161</v>
      </c>
      <c r="B23" s="341" t="s">
        <v>514</v>
      </c>
      <c r="C23" s="526">
        <f t="shared" si="9"/>
        <v>231492886</v>
      </c>
      <c r="D23" s="433">
        <f t="shared" si="10"/>
        <v>0.24612945597174282</v>
      </c>
      <c r="E23" s="535">
        <v>231492886</v>
      </c>
      <c r="F23" s="338">
        <v>0.24612945597174282</v>
      </c>
      <c r="G23" s="535">
        <v>0</v>
      </c>
      <c r="H23" s="338">
        <v>0</v>
      </c>
      <c r="I23" s="535">
        <v>108649909</v>
      </c>
      <c r="J23" s="535">
        <v>122840039</v>
      </c>
      <c r="K23" s="535">
        <v>2938</v>
      </c>
      <c r="L23" s="535">
        <v>0</v>
      </c>
      <c r="M23" s="535">
        <v>0</v>
      </c>
      <c r="N23" s="535">
        <v>214508729</v>
      </c>
      <c r="O23" s="535">
        <v>11504376</v>
      </c>
      <c r="P23" s="535">
        <v>2623138</v>
      </c>
      <c r="Q23" s="535">
        <v>1546616</v>
      </c>
      <c r="R23" s="535">
        <v>1310027</v>
      </c>
      <c r="S23" s="526">
        <f t="shared" si="5"/>
        <v>3915789</v>
      </c>
      <c r="T23" s="535">
        <v>26231</v>
      </c>
      <c r="U23" s="535">
        <v>1150438</v>
      </c>
      <c r="V23" s="535">
        <v>655785</v>
      </c>
      <c r="W23" s="535">
        <v>773308</v>
      </c>
      <c r="X23" s="535">
        <v>1310027</v>
      </c>
      <c r="Y23" s="535">
        <v>6834793</v>
      </c>
      <c r="Z23" s="535">
        <v>0</v>
      </c>
      <c r="AA23" s="541">
        <f>+'loans_av rate'!C11+'loans_av rate'!C21</f>
        <v>231492886</v>
      </c>
      <c r="AB23" s="541">
        <f>+'loans_av rate'!E11+'loans_av rate'!E21</f>
        <v>231492886</v>
      </c>
      <c r="AC23" s="541">
        <f>+'loans_av rate'!G11+'loans_av rate'!G21</f>
        <v>0</v>
      </c>
    </row>
    <row r="24" spans="1:29" s="136" customFormat="1" ht="49.5" customHeight="1">
      <c r="A24" s="336">
        <v>5</v>
      </c>
      <c r="B24" s="341" t="s">
        <v>515</v>
      </c>
      <c r="C24" s="526">
        <f t="shared" si="9"/>
        <v>553285314</v>
      </c>
      <c r="D24" s="433">
        <f t="shared" si="10"/>
        <v>0.13679864135391001</v>
      </c>
      <c r="E24" s="535">
        <v>553285314</v>
      </c>
      <c r="F24" s="338">
        <v>0.13679864135391001</v>
      </c>
      <c r="G24" s="535">
        <v>0</v>
      </c>
      <c r="H24" s="338">
        <v>0</v>
      </c>
      <c r="I24" s="535">
        <v>15079546</v>
      </c>
      <c r="J24" s="535">
        <v>209460919</v>
      </c>
      <c r="K24" s="535">
        <v>298302070</v>
      </c>
      <c r="L24" s="535">
        <v>30442779</v>
      </c>
      <c r="M24" s="535">
        <v>0</v>
      </c>
      <c r="N24" s="535">
        <v>550769392</v>
      </c>
      <c r="O24" s="535">
        <v>1836381</v>
      </c>
      <c r="P24" s="535">
        <v>271281</v>
      </c>
      <c r="Q24" s="535">
        <v>400787</v>
      </c>
      <c r="R24" s="535">
        <v>7473</v>
      </c>
      <c r="S24" s="526">
        <f t="shared" si="5"/>
        <v>5967019</v>
      </c>
      <c r="T24" s="535">
        <v>5507694</v>
      </c>
      <c r="U24" s="535">
        <v>183638</v>
      </c>
      <c r="V24" s="535">
        <v>67820</v>
      </c>
      <c r="W24" s="535">
        <v>200394</v>
      </c>
      <c r="X24" s="535">
        <v>7473</v>
      </c>
      <c r="Y24" s="535">
        <v>257684</v>
      </c>
      <c r="Z24" s="535">
        <v>0</v>
      </c>
      <c r="AA24" s="541">
        <f>+'loans_av rate'!C14+'loans_av rate'!C24</f>
        <v>553285314</v>
      </c>
      <c r="AB24" s="541">
        <f>+'loans_av rate'!E14+'loans_av rate'!E24</f>
        <v>553285314</v>
      </c>
      <c r="AC24" s="541">
        <f>+'loans_av rate'!G14+'loans_av rate'!G24</f>
        <v>0</v>
      </c>
    </row>
    <row r="25" spans="1:29" s="136" customFormat="1" ht="49.5" customHeight="1">
      <c r="A25" s="336">
        <v>6</v>
      </c>
      <c r="B25" s="341" t="s">
        <v>516</v>
      </c>
      <c r="C25" s="526">
        <f t="shared" si="9"/>
        <v>0</v>
      </c>
      <c r="D25" s="433">
        <f t="shared" si="10"/>
        <v>0</v>
      </c>
      <c r="E25" s="535">
        <v>0</v>
      </c>
      <c r="F25" s="338">
        <v>0</v>
      </c>
      <c r="G25" s="535">
        <v>0</v>
      </c>
      <c r="H25" s="338">
        <v>0</v>
      </c>
      <c r="I25" s="535">
        <v>0</v>
      </c>
      <c r="J25" s="535">
        <v>0</v>
      </c>
      <c r="K25" s="535">
        <v>0</v>
      </c>
      <c r="L25" s="535">
        <v>0</v>
      </c>
      <c r="M25" s="535">
        <v>0</v>
      </c>
      <c r="N25" s="535">
        <v>0</v>
      </c>
      <c r="O25" s="535">
        <v>0</v>
      </c>
      <c r="P25" s="535">
        <v>0</v>
      </c>
      <c r="Q25" s="535">
        <v>0</v>
      </c>
      <c r="R25" s="535">
        <v>0</v>
      </c>
      <c r="S25" s="526">
        <f t="shared" si="5"/>
        <v>0</v>
      </c>
      <c r="T25" s="535">
        <v>0</v>
      </c>
      <c r="U25" s="535">
        <v>0</v>
      </c>
      <c r="V25" s="535">
        <v>0</v>
      </c>
      <c r="W25" s="535">
        <v>0</v>
      </c>
      <c r="X25" s="535">
        <v>0</v>
      </c>
      <c r="Y25" s="535">
        <v>5414385</v>
      </c>
      <c r="Z25" s="535">
        <v>0</v>
      </c>
      <c r="AA25" s="541">
        <f>+'loans_av rate'!C15+'loans_av rate'!C25</f>
        <v>0</v>
      </c>
      <c r="AB25" s="541">
        <f>+'loans_av rate'!E15+'loans_av rate'!E25</f>
        <v>0</v>
      </c>
      <c r="AC25" s="541">
        <f>+'loans_av rate'!G15+'loans_av rate'!G25</f>
        <v>0</v>
      </c>
    </row>
    <row r="26" spans="1:29" s="136" customFormat="1" ht="49.5" customHeight="1">
      <c r="A26" s="336">
        <v>7</v>
      </c>
      <c r="B26" s="341" t="s">
        <v>474</v>
      </c>
      <c r="C26" s="526">
        <f t="shared" si="9"/>
        <v>0</v>
      </c>
      <c r="D26" s="433">
        <f t="shared" si="10"/>
        <v>0</v>
      </c>
      <c r="E26" s="535">
        <v>0</v>
      </c>
      <c r="F26" s="338">
        <v>0</v>
      </c>
      <c r="G26" s="535">
        <v>0</v>
      </c>
      <c r="H26" s="338">
        <v>0</v>
      </c>
      <c r="I26" s="535">
        <v>0</v>
      </c>
      <c r="J26" s="535">
        <v>0</v>
      </c>
      <c r="K26" s="535">
        <v>0</v>
      </c>
      <c r="L26" s="535">
        <v>0</v>
      </c>
      <c r="M26" s="535">
        <v>0</v>
      </c>
      <c r="N26" s="535">
        <v>0</v>
      </c>
      <c r="O26" s="535">
        <v>0</v>
      </c>
      <c r="P26" s="535">
        <v>0</v>
      </c>
      <c r="Q26" s="535">
        <v>0</v>
      </c>
      <c r="R26" s="535">
        <v>0</v>
      </c>
      <c r="S26" s="526">
        <f t="shared" si="5"/>
        <v>0</v>
      </c>
      <c r="T26" s="535">
        <v>0</v>
      </c>
      <c r="U26" s="535">
        <v>0</v>
      </c>
      <c r="V26" s="535">
        <v>0</v>
      </c>
      <c r="W26" s="535">
        <v>0</v>
      </c>
      <c r="X26" s="535">
        <v>0</v>
      </c>
      <c r="Y26" s="535">
        <v>29534</v>
      </c>
      <c r="Z26" s="535">
        <v>0</v>
      </c>
      <c r="AA26" s="541">
        <f>+'loans_av rate'!C16+'loans_av rate'!C26</f>
        <v>0</v>
      </c>
      <c r="AB26" s="541">
        <f>+'loans_av rate'!E16+'loans_av rate'!E26</f>
        <v>0</v>
      </c>
      <c r="AC26" s="541">
        <f>+'loans_av rate'!G16+'loans_av rate'!G26</f>
        <v>0</v>
      </c>
    </row>
    <row r="27" spans="1:29" s="140" customFormat="1" ht="49.5" customHeight="1">
      <c r="A27" s="331" t="s">
        <v>53</v>
      </c>
      <c r="B27" s="331" t="s">
        <v>517</v>
      </c>
      <c r="C27" s="530">
        <f>+C28</f>
        <v>55228821604</v>
      </c>
      <c r="D27" s="332">
        <f>IFERROR(((C29*D29)/C27)+((C30*D30)/C27)+((C31*D31)/C27)+((C32*D32)/C27)+((C33*D33)/C27)+((C34*D34)/C27)+((C35*D35)/C27),0)</f>
        <v>0.11632249568539295</v>
      </c>
      <c r="E27" s="530">
        <f t="shared" ref="E27:Z27" si="11">+E28</f>
        <v>16204768234</v>
      </c>
      <c r="F27" s="332">
        <f>IFERROR(((E29*F29)/E27)+((E30*F30)/E27)+((E31*F31)/E27)+((E32*F32)/E27)+((E33*F33)/E27)+((E34*F34)/E27)+((E35*F35)/E27),0)</f>
        <v>0.18535379820285666</v>
      </c>
      <c r="G27" s="530">
        <f t="shared" si="11"/>
        <v>39024053370</v>
      </c>
      <c r="H27" s="332">
        <f>IFERROR(((G29*H29)/G27)+((G30*H30)/G27)+((G31*H31)/G27)+((G32*H32)/G27)+((G33*H33)/G27)+((G34*H34)/G27)+((G35*H35)/G27),0)</f>
        <v>8.7657194119190221E-2</v>
      </c>
      <c r="I27" s="530">
        <f t="shared" si="11"/>
        <v>24703437354</v>
      </c>
      <c r="J27" s="530">
        <f t="shared" si="11"/>
        <v>22996237278</v>
      </c>
      <c r="K27" s="530">
        <f t="shared" si="11"/>
        <v>7121406410</v>
      </c>
      <c r="L27" s="530">
        <f t="shared" si="11"/>
        <v>407740562</v>
      </c>
      <c r="M27" s="530">
        <f t="shared" si="11"/>
        <v>0</v>
      </c>
      <c r="N27" s="530">
        <f t="shared" si="11"/>
        <v>42418772635</v>
      </c>
      <c r="O27" s="530">
        <f t="shared" si="11"/>
        <v>11439415394</v>
      </c>
      <c r="P27" s="530">
        <f t="shared" si="11"/>
        <v>103811182</v>
      </c>
      <c r="Q27" s="530">
        <f t="shared" si="11"/>
        <v>369510077</v>
      </c>
      <c r="R27" s="530">
        <f t="shared" si="11"/>
        <v>897312316</v>
      </c>
      <c r="S27" s="530">
        <f t="shared" si="11"/>
        <v>2677037001</v>
      </c>
      <c r="T27" s="530">
        <f t="shared" si="11"/>
        <v>422880025</v>
      </c>
      <c r="U27" s="530">
        <f t="shared" si="11"/>
        <v>1145465829</v>
      </c>
      <c r="V27" s="530">
        <f t="shared" si="11"/>
        <v>26370166</v>
      </c>
      <c r="W27" s="530">
        <f t="shared" si="11"/>
        <v>185008665</v>
      </c>
      <c r="X27" s="530">
        <f t="shared" si="11"/>
        <v>897312316</v>
      </c>
      <c r="Y27" s="530">
        <f t="shared" si="11"/>
        <v>1987127137</v>
      </c>
      <c r="Z27" s="530">
        <f t="shared" si="11"/>
        <v>2822741</v>
      </c>
      <c r="AA27" s="541">
        <f>+'loans_av rate'!C28+'loans_av rate'!C37</f>
        <v>55228821604</v>
      </c>
      <c r="AB27" s="541">
        <f>+'loans_av rate'!E28+'loans_av rate'!E37</f>
        <v>16204768234</v>
      </c>
      <c r="AC27" s="541">
        <f>+'loans_av rate'!G28+'loans_av rate'!G37</f>
        <v>39024053370</v>
      </c>
    </row>
    <row r="28" spans="1:29" s="140" customFormat="1" ht="33.75" customHeight="1">
      <c r="A28" s="331"/>
      <c r="B28" s="331" t="s">
        <v>518</v>
      </c>
      <c r="C28" s="530">
        <f>SUM(C29:C35)</f>
        <v>55228821604</v>
      </c>
      <c r="D28" s="332">
        <f>IFERROR(((C29*D29)/C28)+((C30*D30)/C28)+((C31*D31)/C28)+((C32*D32)/C28)+((C33*D33)/C28)+((C34*D34)/C28)+((C35*D35)/C28),0)</f>
        <v>0.11632249568539295</v>
      </c>
      <c r="E28" s="530">
        <f>SUM(E29:E35)</f>
        <v>16204768234</v>
      </c>
      <c r="F28" s="332">
        <f>IFERROR(((E29*F29)/E28)+((E30*F30)/E28)+((E31*F31)/E28)+((E32*F32)/E28)+((E33*F33)/E28)+((E34*F34)/E28)+((E35*F35)/E28),0)</f>
        <v>0.18535379820285666</v>
      </c>
      <c r="G28" s="530">
        <f>SUM(G29:G35)</f>
        <v>39024053370</v>
      </c>
      <c r="H28" s="332">
        <f>IFERROR(+((G29*H29)/G28)+((G30*H30)/G28)+((G31*H31)/G28)+((G32*H32)/G28)+((G33*H33)/G28)+((G34*H34)/G28)+((G35*H35)/G28),0)</f>
        <v>8.7657194119190221E-2</v>
      </c>
      <c r="I28" s="530">
        <f>SUM(I29:I35)</f>
        <v>24703437354</v>
      </c>
      <c r="J28" s="530">
        <f t="shared" ref="J28:R28" si="12">SUM(J29:J35)</f>
        <v>22996237278</v>
      </c>
      <c r="K28" s="530">
        <f t="shared" si="12"/>
        <v>7121406410</v>
      </c>
      <c r="L28" s="530">
        <f t="shared" si="12"/>
        <v>407740562</v>
      </c>
      <c r="M28" s="530">
        <f t="shared" si="12"/>
        <v>0</v>
      </c>
      <c r="N28" s="530">
        <f t="shared" si="12"/>
        <v>42418772635</v>
      </c>
      <c r="O28" s="530">
        <f t="shared" si="12"/>
        <v>11439415394</v>
      </c>
      <c r="P28" s="530">
        <f t="shared" si="12"/>
        <v>103811182</v>
      </c>
      <c r="Q28" s="530">
        <f t="shared" si="12"/>
        <v>369510077</v>
      </c>
      <c r="R28" s="530">
        <f t="shared" si="12"/>
        <v>897312316</v>
      </c>
      <c r="S28" s="530">
        <f t="shared" ref="S28" si="13">SUM(S29:S35)</f>
        <v>2677037001</v>
      </c>
      <c r="T28" s="530">
        <f t="shared" ref="T28" si="14">SUM(T29:T35)</f>
        <v>422880025</v>
      </c>
      <c r="U28" s="530">
        <f t="shared" ref="U28" si="15">SUM(U29:U35)</f>
        <v>1145465829</v>
      </c>
      <c r="V28" s="530">
        <f t="shared" ref="V28" si="16">SUM(V29:V35)</f>
        <v>26370166</v>
      </c>
      <c r="W28" s="530">
        <f t="shared" ref="W28" si="17">SUM(W29:W35)</f>
        <v>185008665</v>
      </c>
      <c r="X28" s="530">
        <f t="shared" ref="X28" si="18">SUM(X29:X35)</f>
        <v>897312316</v>
      </c>
      <c r="Y28" s="530">
        <f t="shared" ref="Y28" si="19">SUM(Y29:Y35)</f>
        <v>1987127137</v>
      </c>
      <c r="Z28" s="530">
        <f t="shared" ref="Z28" si="20">SUM(Z29:Z35)</f>
        <v>2822741</v>
      </c>
      <c r="AA28" s="541">
        <f>+'loans_av rate'!C28+'loans_av rate'!C37</f>
        <v>55228821604</v>
      </c>
      <c r="AB28" s="541">
        <f>+'loans_av rate'!E28+'loans_av rate'!E37</f>
        <v>16204768234</v>
      </c>
      <c r="AC28" s="541">
        <f>+'loans_av rate'!G28+'loans_av rate'!G37</f>
        <v>39024053370</v>
      </c>
    </row>
    <row r="29" spans="1:29" s="136" customFormat="1" ht="49.5" customHeight="1">
      <c r="A29" s="336">
        <v>1</v>
      </c>
      <c r="B29" s="341" t="s">
        <v>176</v>
      </c>
      <c r="C29" s="526">
        <f t="shared" ref="C29:C34" si="21">+E29+G29</f>
        <v>760916149</v>
      </c>
      <c r="D29" s="433">
        <f t="shared" ref="D29:D35" si="22">IFERROR((((E29*F29)+(G29*H29))/C29),0)</f>
        <v>0.17926782201548072</v>
      </c>
      <c r="E29" s="535">
        <v>645852118</v>
      </c>
      <c r="F29" s="338">
        <v>0.19079241353087506</v>
      </c>
      <c r="G29" s="535">
        <v>115064031</v>
      </c>
      <c r="H29" s="338">
        <v>0.11458051900154194</v>
      </c>
      <c r="I29" s="535">
        <v>233282887</v>
      </c>
      <c r="J29" s="535">
        <v>457568544</v>
      </c>
      <c r="K29" s="535">
        <v>70044125</v>
      </c>
      <c r="L29" s="535">
        <v>20593</v>
      </c>
      <c r="M29" s="535">
        <v>0</v>
      </c>
      <c r="N29" s="535">
        <v>565218031</v>
      </c>
      <c r="O29" s="535">
        <v>116877235</v>
      </c>
      <c r="P29" s="535">
        <v>22658385</v>
      </c>
      <c r="Q29" s="535">
        <v>38130728</v>
      </c>
      <c r="R29" s="535">
        <v>18031770</v>
      </c>
      <c r="S29" s="526">
        <f t="shared" ref="S29:S35" si="23">SUM(T29:X29)</f>
        <v>60101634</v>
      </c>
      <c r="T29" s="535">
        <v>5652180</v>
      </c>
      <c r="U29" s="535">
        <v>11687724</v>
      </c>
      <c r="V29" s="535">
        <v>5664596</v>
      </c>
      <c r="W29" s="535">
        <v>19065364</v>
      </c>
      <c r="X29" s="535">
        <v>18031770</v>
      </c>
      <c r="Y29" s="535">
        <v>8703937</v>
      </c>
      <c r="Z29" s="535">
        <v>2822741</v>
      </c>
      <c r="AA29" s="541">
        <f>+'loans_av rate'!C30+'loans_av rate'!C39</f>
        <v>760916149</v>
      </c>
      <c r="AB29" s="541">
        <f>+'loans_av rate'!E30+'loans_av rate'!E39</f>
        <v>645852117</v>
      </c>
      <c r="AC29" s="541">
        <f>+'loans_av rate'!G30+'loans_av rate'!G39</f>
        <v>115064032</v>
      </c>
    </row>
    <row r="30" spans="1:29" s="136" customFormat="1" ht="49.5" customHeight="1">
      <c r="A30" s="336">
        <v>2</v>
      </c>
      <c r="B30" s="341" t="s">
        <v>492</v>
      </c>
      <c r="C30" s="526">
        <f t="shared" si="21"/>
        <v>1170143061</v>
      </c>
      <c r="D30" s="433">
        <f t="shared" si="22"/>
        <v>8.0694861777931004E-2</v>
      </c>
      <c r="E30" s="535">
        <v>0</v>
      </c>
      <c r="F30" s="338">
        <v>0</v>
      </c>
      <c r="G30" s="535">
        <v>1170143061</v>
      </c>
      <c r="H30" s="338">
        <v>8.0694861777931004E-2</v>
      </c>
      <c r="I30" s="535">
        <v>208576335</v>
      </c>
      <c r="J30" s="535">
        <v>917026552</v>
      </c>
      <c r="K30" s="535">
        <v>44540174</v>
      </c>
      <c r="L30" s="535">
        <v>0</v>
      </c>
      <c r="M30" s="535">
        <v>0</v>
      </c>
      <c r="N30" s="535">
        <v>1170143061</v>
      </c>
      <c r="O30" s="535">
        <v>0</v>
      </c>
      <c r="P30" s="535">
        <v>0</v>
      </c>
      <c r="Q30" s="535">
        <v>0</v>
      </c>
      <c r="R30" s="535">
        <v>0</v>
      </c>
      <c r="S30" s="526">
        <f t="shared" si="23"/>
        <v>11701431</v>
      </c>
      <c r="T30" s="535">
        <v>11701431</v>
      </c>
      <c r="U30" s="535">
        <v>0</v>
      </c>
      <c r="V30" s="535">
        <v>0</v>
      </c>
      <c r="W30" s="535">
        <v>0</v>
      </c>
      <c r="X30" s="535">
        <v>0</v>
      </c>
      <c r="Y30" s="535">
        <v>37372652</v>
      </c>
      <c r="Z30" s="535">
        <v>0</v>
      </c>
      <c r="AA30" s="541">
        <f>+'loans_av rate'!C31+'loans_av rate'!C40</f>
        <v>1170143061</v>
      </c>
      <c r="AB30" s="541">
        <f>+'loans_av rate'!E31+'loans_av rate'!E40</f>
        <v>0</v>
      </c>
      <c r="AC30" s="541">
        <f>+'loans_av rate'!G31+'loans_av rate'!G40</f>
        <v>1170143061</v>
      </c>
    </row>
    <row r="31" spans="1:29" s="136" customFormat="1" ht="49.5" customHeight="1">
      <c r="A31" s="336">
        <v>3</v>
      </c>
      <c r="B31" s="341" t="s">
        <v>177</v>
      </c>
      <c r="C31" s="526">
        <f t="shared" si="21"/>
        <v>96968223</v>
      </c>
      <c r="D31" s="433">
        <f t="shared" si="22"/>
        <v>7.5719650962357014E-4</v>
      </c>
      <c r="E31" s="535">
        <v>282400</v>
      </c>
      <c r="F31" s="338">
        <v>0.26</v>
      </c>
      <c r="G31" s="535">
        <v>96685823</v>
      </c>
      <c r="H31" s="338">
        <v>0</v>
      </c>
      <c r="I31" s="535">
        <v>436213</v>
      </c>
      <c r="J31" s="535">
        <v>0</v>
      </c>
      <c r="K31" s="535">
        <v>96532010</v>
      </c>
      <c r="L31" s="535">
        <v>0</v>
      </c>
      <c r="M31" s="535">
        <v>0</v>
      </c>
      <c r="N31" s="535">
        <v>282400</v>
      </c>
      <c r="O31" s="535">
        <v>96685823</v>
      </c>
      <c r="P31" s="535">
        <v>0</v>
      </c>
      <c r="Q31" s="535">
        <v>0</v>
      </c>
      <c r="R31" s="535">
        <v>0</v>
      </c>
      <c r="S31" s="526">
        <f t="shared" si="23"/>
        <v>9671406</v>
      </c>
      <c r="T31" s="535">
        <v>2824</v>
      </c>
      <c r="U31" s="535">
        <v>9668582</v>
      </c>
      <c r="V31" s="535">
        <v>0</v>
      </c>
      <c r="W31" s="535">
        <v>0</v>
      </c>
      <c r="X31" s="535">
        <v>0</v>
      </c>
      <c r="Y31" s="535">
        <v>53824187</v>
      </c>
      <c r="Z31" s="535">
        <v>0</v>
      </c>
      <c r="AA31" s="541">
        <f>+'loans_av rate'!C32+'loans_av rate'!C41</f>
        <v>96968223</v>
      </c>
      <c r="AB31" s="541">
        <f>+'loans_av rate'!E32+'loans_av rate'!E41</f>
        <v>282400</v>
      </c>
      <c r="AC31" s="541">
        <f>+'loans_av rate'!G32+'loans_av rate'!G41</f>
        <v>96685823</v>
      </c>
    </row>
    <row r="32" spans="1:29" s="136" customFormat="1" ht="49.5" customHeight="1">
      <c r="A32" s="336">
        <v>4</v>
      </c>
      <c r="B32" s="341" t="s">
        <v>178</v>
      </c>
      <c r="C32" s="526">
        <f t="shared" si="21"/>
        <v>242442231</v>
      </c>
      <c r="D32" s="433">
        <f t="shared" si="22"/>
        <v>8.7938704288467784E-2</v>
      </c>
      <c r="E32" s="535">
        <v>242442231</v>
      </c>
      <c r="F32" s="338">
        <v>8.7938704288467784E-2</v>
      </c>
      <c r="G32" s="535">
        <v>0</v>
      </c>
      <c r="H32" s="338">
        <v>0</v>
      </c>
      <c r="I32" s="535">
        <v>242442231</v>
      </c>
      <c r="J32" s="535">
        <v>0</v>
      </c>
      <c r="K32" s="535">
        <v>0</v>
      </c>
      <c r="L32" s="535">
        <v>0</v>
      </c>
      <c r="M32" s="535">
        <v>0</v>
      </c>
      <c r="N32" s="535">
        <v>57590330</v>
      </c>
      <c r="O32" s="535">
        <v>165791505</v>
      </c>
      <c r="P32" s="535">
        <v>16203587</v>
      </c>
      <c r="Q32" s="535">
        <v>2856809</v>
      </c>
      <c r="R32" s="535">
        <v>0</v>
      </c>
      <c r="S32" s="526">
        <f t="shared" si="23"/>
        <v>24829638</v>
      </c>
      <c r="T32" s="535">
        <v>575903</v>
      </c>
      <c r="U32" s="535">
        <v>18103438</v>
      </c>
      <c r="V32" s="535">
        <v>4468267</v>
      </c>
      <c r="W32" s="535">
        <v>1682030</v>
      </c>
      <c r="X32" s="535">
        <v>0</v>
      </c>
      <c r="Y32" s="535">
        <v>0</v>
      </c>
      <c r="Z32" s="535">
        <v>0</v>
      </c>
      <c r="AA32" s="541">
        <f>+'loans_av rate'!C33+'loans_av rate'!C42</f>
        <v>242442231</v>
      </c>
      <c r="AB32" s="541">
        <f>+'loans_av rate'!E33+'loans_av rate'!E42</f>
        <v>242442231</v>
      </c>
      <c r="AC32" s="541">
        <f>+'loans_av rate'!G33+'loans_av rate'!G42</f>
        <v>0</v>
      </c>
    </row>
    <row r="33" spans="1:35" s="136" customFormat="1" ht="49.5" customHeight="1">
      <c r="A33" s="336">
        <v>5</v>
      </c>
      <c r="B33" s="341" t="s">
        <v>493</v>
      </c>
      <c r="C33" s="526">
        <f t="shared" si="21"/>
        <v>0</v>
      </c>
      <c r="D33" s="433">
        <f t="shared" si="22"/>
        <v>0</v>
      </c>
      <c r="E33" s="535">
        <v>0</v>
      </c>
      <c r="F33" s="338">
        <v>0</v>
      </c>
      <c r="G33" s="535">
        <v>0</v>
      </c>
      <c r="H33" s="338">
        <v>0</v>
      </c>
      <c r="I33" s="535">
        <v>0</v>
      </c>
      <c r="J33" s="535">
        <v>0</v>
      </c>
      <c r="K33" s="535">
        <v>0</v>
      </c>
      <c r="L33" s="535">
        <v>0</v>
      </c>
      <c r="M33" s="535">
        <v>0</v>
      </c>
      <c r="N33" s="535">
        <v>0</v>
      </c>
      <c r="O33" s="535">
        <v>0</v>
      </c>
      <c r="P33" s="535">
        <v>0</v>
      </c>
      <c r="Q33" s="535">
        <v>0</v>
      </c>
      <c r="R33" s="535">
        <v>0</v>
      </c>
      <c r="S33" s="526">
        <f t="shared" si="23"/>
        <v>0</v>
      </c>
      <c r="T33" s="535">
        <v>0</v>
      </c>
      <c r="U33" s="535">
        <v>0</v>
      </c>
      <c r="V33" s="535">
        <v>0</v>
      </c>
      <c r="W33" s="535">
        <v>0</v>
      </c>
      <c r="X33" s="535">
        <v>0</v>
      </c>
      <c r="Y33" s="535">
        <v>0</v>
      </c>
      <c r="Z33" s="535">
        <v>0</v>
      </c>
      <c r="AA33" s="541">
        <f>+'loans_av rate'!C34+'loans_av rate'!C43</f>
        <v>0</v>
      </c>
      <c r="AB33" s="541">
        <f>+'loans_av rate'!E34+'loans_av rate'!E43</f>
        <v>0</v>
      </c>
      <c r="AC33" s="541">
        <f>+'loans_av rate'!G34+'loans_av rate'!G43</f>
        <v>0</v>
      </c>
      <c r="AD33" s="329">
        <f>+'Asset Classification'!E9</f>
        <v>0</v>
      </c>
      <c r="AE33" s="329">
        <f>+'Asset Classification'!I9</f>
        <v>0</v>
      </c>
      <c r="AF33" s="329">
        <f>+'Asset Classification'!M9</f>
        <v>0</v>
      </c>
      <c r="AG33" s="329">
        <f>+'Asset Classification'!Q9</f>
        <v>0</v>
      </c>
      <c r="AH33" s="329">
        <f>+'Asset Classification'!U9</f>
        <v>0</v>
      </c>
      <c r="AI33" s="329">
        <f>+'Asset Classification'!C9</f>
        <v>0</v>
      </c>
    </row>
    <row r="34" spans="1:35" s="136" customFormat="1" ht="49.5" customHeight="1">
      <c r="A34" s="336">
        <v>6</v>
      </c>
      <c r="B34" s="341" t="s">
        <v>519</v>
      </c>
      <c r="C34" s="526">
        <f t="shared" si="21"/>
        <v>0</v>
      </c>
      <c r="D34" s="433">
        <f t="shared" si="22"/>
        <v>0</v>
      </c>
      <c r="E34" s="535">
        <v>0</v>
      </c>
      <c r="F34" s="338">
        <v>0</v>
      </c>
      <c r="G34" s="535">
        <v>0</v>
      </c>
      <c r="H34" s="338">
        <v>0</v>
      </c>
      <c r="I34" s="535">
        <v>0</v>
      </c>
      <c r="J34" s="535">
        <v>0</v>
      </c>
      <c r="K34" s="535">
        <v>0</v>
      </c>
      <c r="L34" s="535">
        <v>0</v>
      </c>
      <c r="M34" s="535">
        <v>0</v>
      </c>
      <c r="N34" s="535">
        <v>0</v>
      </c>
      <c r="O34" s="535">
        <v>0</v>
      </c>
      <c r="P34" s="535">
        <v>0</v>
      </c>
      <c r="Q34" s="535">
        <v>0</v>
      </c>
      <c r="R34" s="535">
        <v>0</v>
      </c>
      <c r="S34" s="526">
        <f t="shared" si="23"/>
        <v>0</v>
      </c>
      <c r="T34" s="535">
        <v>0</v>
      </c>
      <c r="U34" s="535">
        <v>0</v>
      </c>
      <c r="V34" s="535">
        <v>0</v>
      </c>
      <c r="W34" s="535">
        <v>0</v>
      </c>
      <c r="X34" s="535">
        <v>0</v>
      </c>
      <c r="Y34" s="535">
        <v>0</v>
      </c>
      <c r="Z34" s="535">
        <v>0</v>
      </c>
      <c r="AA34" s="541"/>
      <c r="AB34" s="541"/>
      <c r="AC34" s="541"/>
      <c r="AD34" s="329">
        <f>+N33-AD33</f>
        <v>0</v>
      </c>
      <c r="AE34" s="329">
        <f t="shared" ref="AE34:AH34" si="24">+O33-AE33</f>
        <v>0</v>
      </c>
      <c r="AF34" s="329">
        <f t="shared" si="24"/>
        <v>0</v>
      </c>
      <c r="AG34" s="329">
        <f t="shared" si="24"/>
        <v>0</v>
      </c>
      <c r="AH34" s="329">
        <f t="shared" si="24"/>
        <v>0</v>
      </c>
      <c r="AI34" s="329">
        <f>+C33-AI33</f>
        <v>0</v>
      </c>
    </row>
    <row r="35" spans="1:35" s="136" customFormat="1" ht="49.5" customHeight="1">
      <c r="A35" s="336">
        <v>7</v>
      </c>
      <c r="B35" s="341" t="s">
        <v>520</v>
      </c>
      <c r="C35" s="526">
        <f t="shared" ref="C35" si="25">+E35+G35</f>
        <v>52958351940</v>
      </c>
      <c r="D35" s="433">
        <f t="shared" si="22"/>
        <v>0.11654683999115106</v>
      </c>
      <c r="E35" s="535">
        <v>15316191485</v>
      </c>
      <c r="F35" s="338">
        <v>0.18666508445867114</v>
      </c>
      <c r="G35" s="535">
        <v>37642160455</v>
      </c>
      <c r="H35" s="338">
        <v>8.8016478134252715E-2</v>
      </c>
      <c r="I35" s="535">
        <v>24018699688</v>
      </c>
      <c r="J35" s="535">
        <v>21621642182</v>
      </c>
      <c r="K35" s="535">
        <v>6910290101</v>
      </c>
      <c r="L35" s="535">
        <v>407719969</v>
      </c>
      <c r="M35" s="535">
        <v>0</v>
      </c>
      <c r="N35" s="535">
        <v>40625538813</v>
      </c>
      <c r="O35" s="535">
        <v>11060060831</v>
      </c>
      <c r="P35" s="535">
        <v>64949210</v>
      </c>
      <c r="Q35" s="535">
        <v>328522540</v>
      </c>
      <c r="R35" s="535">
        <v>879280546</v>
      </c>
      <c r="S35" s="526">
        <f t="shared" si="23"/>
        <v>2570732892</v>
      </c>
      <c r="T35" s="535">
        <f>406255388-1307701</f>
        <v>404947687</v>
      </c>
      <c r="U35" s="535">
        <v>1106006085</v>
      </c>
      <c r="V35" s="535">
        <v>16237303</v>
      </c>
      <c r="W35" s="535">
        <v>164261271</v>
      </c>
      <c r="X35" s="535">
        <v>879280546</v>
      </c>
      <c r="Y35" s="535">
        <v>1887226361</v>
      </c>
      <c r="Z35" s="535">
        <v>0</v>
      </c>
      <c r="AA35" s="541">
        <f>+'loans_av rate'!C35+'loans_av rate'!C44</f>
        <v>52958351940</v>
      </c>
      <c r="AB35" s="541">
        <f>+'loans_av rate'!E35+'loans_av rate'!E44</f>
        <v>15316191486</v>
      </c>
      <c r="AC35" s="541">
        <f>+'loans_av rate'!G35+'loans_av rate'!G44</f>
        <v>37642160454</v>
      </c>
    </row>
    <row r="36" spans="1:35" s="140" customFormat="1" ht="33.75" customHeight="1">
      <c r="A36" s="331"/>
      <c r="B36" s="331" t="s">
        <v>521</v>
      </c>
      <c r="C36" s="530">
        <f>SUM(C37:C42)</f>
        <v>55228821604</v>
      </c>
      <c r="D36" s="332">
        <f>IFERROR(((C37*D37)/C36)+((C38*D38)/C36)+((C39*D39)/C36)+((C40*D40)/C36)+((C41*D41)/C36)+((C42*D42)/C36),0)</f>
        <v>0.11632249568501542</v>
      </c>
      <c r="E36" s="530">
        <f>SUM(E37:E42)</f>
        <v>16204768234</v>
      </c>
      <c r="F36" s="332">
        <f>IFERROR(((E37*F37)/E36)+((E38*F38)/E36)+((E39*F39)/E36)+((E40*F40)/E36)+((E41*F41)/E36)+((E42*F42)/E36),0)</f>
        <v>0.18535379820158349</v>
      </c>
      <c r="G36" s="530">
        <f>SUM(G37:G42)</f>
        <v>39024053370</v>
      </c>
      <c r="H36" s="332">
        <f>IFERROR(((G37*H37)/G36)+((G38*H38)/G36)+((G39*H39)/G36)+((G40*H40)/G36)+((G41*H41)/G36)+((G42*H42)/G36),0)</f>
        <v>8.76571941191846E-2</v>
      </c>
      <c r="I36" s="530">
        <f t="shared" ref="I36:Z36" si="26">SUM(I37:I42)</f>
        <v>24703437354</v>
      </c>
      <c r="J36" s="530">
        <f t="shared" si="26"/>
        <v>22996237278</v>
      </c>
      <c r="K36" s="530">
        <f t="shared" si="26"/>
        <v>7121406410</v>
      </c>
      <c r="L36" s="530">
        <f t="shared" si="26"/>
        <v>407740562</v>
      </c>
      <c r="M36" s="530">
        <f t="shared" si="26"/>
        <v>0</v>
      </c>
      <c r="N36" s="530">
        <f t="shared" si="26"/>
        <v>42418772635</v>
      </c>
      <c r="O36" s="530">
        <f t="shared" si="26"/>
        <v>11439415394</v>
      </c>
      <c r="P36" s="530">
        <f t="shared" si="26"/>
        <v>103811182</v>
      </c>
      <c r="Q36" s="530">
        <f t="shared" si="26"/>
        <v>369510077</v>
      </c>
      <c r="R36" s="530">
        <f t="shared" si="26"/>
        <v>897312316</v>
      </c>
      <c r="S36" s="530">
        <f t="shared" si="26"/>
        <v>2677037001</v>
      </c>
      <c r="T36" s="530">
        <f t="shared" si="26"/>
        <v>422880025</v>
      </c>
      <c r="U36" s="530">
        <f t="shared" si="26"/>
        <v>1145465829</v>
      </c>
      <c r="V36" s="530">
        <f t="shared" si="26"/>
        <v>26370166</v>
      </c>
      <c r="W36" s="530">
        <f t="shared" si="26"/>
        <v>185008665</v>
      </c>
      <c r="X36" s="530">
        <f t="shared" si="26"/>
        <v>897312316</v>
      </c>
      <c r="Y36" s="530">
        <f t="shared" si="26"/>
        <v>1987127137</v>
      </c>
      <c r="Z36" s="530">
        <f t="shared" si="26"/>
        <v>2822741</v>
      </c>
      <c r="AA36" s="541">
        <f>+'loans_av rate'!C28+'loans_av rate'!C37</f>
        <v>55228821604</v>
      </c>
      <c r="AB36" s="541">
        <f>+'loans_av rate'!E28+'loans_av rate'!E37</f>
        <v>16204768234</v>
      </c>
      <c r="AC36" s="541">
        <f>+'loans_av rate'!G28+'loans_av rate'!G37</f>
        <v>39024053370</v>
      </c>
    </row>
    <row r="37" spans="1:35" s="136" customFormat="1" ht="49.5" customHeight="1">
      <c r="A37" s="336">
        <v>1</v>
      </c>
      <c r="B37" s="341" t="s">
        <v>522</v>
      </c>
      <c r="C37" s="526">
        <f t="shared" ref="C37:C42" si="27">+E37+G37</f>
        <v>392382503</v>
      </c>
      <c r="D37" s="433">
        <f t="shared" ref="D37:D42" si="28">IFERROR((((E37*F37)+(G37*H37))/C37),0)</f>
        <v>0.17133721016430978</v>
      </c>
      <c r="E37" s="535">
        <v>344341255</v>
      </c>
      <c r="F37" s="338">
        <v>0.17109865051934614</v>
      </c>
      <c r="G37" s="535">
        <v>48041248</v>
      </c>
      <c r="H37" s="338">
        <v>0.17304711427710742</v>
      </c>
      <c r="I37" s="535">
        <v>134224759</v>
      </c>
      <c r="J37" s="535">
        <v>191808780</v>
      </c>
      <c r="K37" s="535">
        <v>66348964</v>
      </c>
      <c r="L37" s="535">
        <v>0</v>
      </c>
      <c r="M37" s="535">
        <v>0</v>
      </c>
      <c r="N37" s="535">
        <v>300340708</v>
      </c>
      <c r="O37" s="535">
        <v>33379856</v>
      </c>
      <c r="P37" s="535">
        <v>2910405</v>
      </c>
      <c r="Q37" s="535">
        <v>7474722</v>
      </c>
      <c r="R37" s="535">
        <v>48276812</v>
      </c>
      <c r="S37" s="526">
        <f t="shared" ref="S37:S42" si="29">SUM(T37:X37)</f>
        <v>59119467</v>
      </c>
      <c r="T37" s="535">
        <v>3003407</v>
      </c>
      <c r="U37" s="535">
        <v>3337986</v>
      </c>
      <c r="V37" s="535">
        <v>763901</v>
      </c>
      <c r="W37" s="535">
        <v>3737361</v>
      </c>
      <c r="X37" s="535">
        <v>48276812</v>
      </c>
      <c r="Y37" s="535">
        <v>2217166</v>
      </c>
      <c r="Z37" s="535">
        <v>0</v>
      </c>
      <c r="AA37" s="541"/>
      <c r="AB37" s="541"/>
      <c r="AC37" s="541"/>
    </row>
    <row r="38" spans="1:35" s="136" customFormat="1" ht="49.5" customHeight="1">
      <c r="A38" s="336">
        <v>2</v>
      </c>
      <c r="B38" s="341" t="s">
        <v>523</v>
      </c>
      <c r="C38" s="526">
        <f t="shared" si="27"/>
        <v>8644627462</v>
      </c>
      <c r="D38" s="433">
        <f t="shared" si="28"/>
        <v>0.1677973592004483</v>
      </c>
      <c r="E38" s="535">
        <v>3844303840</v>
      </c>
      <c r="F38" s="338">
        <v>0.23391798458556243</v>
      </c>
      <c r="G38" s="535">
        <v>4800323622</v>
      </c>
      <c r="H38" s="338">
        <v>0.11484514304021963</v>
      </c>
      <c r="I38" s="535">
        <v>6927721068</v>
      </c>
      <c r="J38" s="535">
        <v>1596458620</v>
      </c>
      <c r="K38" s="535">
        <v>117712553</v>
      </c>
      <c r="L38" s="535">
        <v>2735221</v>
      </c>
      <c r="M38" s="535">
        <v>0</v>
      </c>
      <c r="N38" s="535">
        <v>6287616091</v>
      </c>
      <c r="O38" s="535">
        <v>2056342630</v>
      </c>
      <c r="P38" s="535">
        <v>65618350</v>
      </c>
      <c r="Q38" s="535">
        <v>150081611</v>
      </c>
      <c r="R38" s="535">
        <v>84968780</v>
      </c>
      <c r="S38" s="526">
        <f t="shared" si="29"/>
        <v>446507022</v>
      </c>
      <c r="T38" s="535">
        <v>62876161</v>
      </c>
      <c r="U38" s="535">
        <v>206721582</v>
      </c>
      <c r="V38" s="535">
        <v>16785658</v>
      </c>
      <c r="W38" s="535">
        <v>75154841</v>
      </c>
      <c r="X38" s="535">
        <v>84968780</v>
      </c>
      <c r="Y38" s="535">
        <v>466819156</v>
      </c>
      <c r="Z38" s="535">
        <v>0</v>
      </c>
      <c r="AA38" s="541"/>
      <c r="AB38" s="541"/>
      <c r="AC38" s="541"/>
    </row>
    <row r="39" spans="1:35" s="136" customFormat="1" ht="58.5" customHeight="1">
      <c r="A39" s="336">
        <v>3</v>
      </c>
      <c r="B39" s="341" t="s">
        <v>524</v>
      </c>
      <c r="C39" s="526">
        <f t="shared" si="27"/>
        <v>4752047208</v>
      </c>
      <c r="D39" s="433">
        <f t="shared" si="28"/>
        <v>0.16173073895421564</v>
      </c>
      <c r="E39" s="535">
        <v>3690712391</v>
      </c>
      <c r="F39" s="338">
        <v>0.17933160977404147</v>
      </c>
      <c r="G39" s="535">
        <v>1061334817</v>
      </c>
      <c r="H39" s="338">
        <v>0.10052502800737356</v>
      </c>
      <c r="I39" s="535">
        <v>1454591921</v>
      </c>
      <c r="J39" s="535">
        <v>2273787227</v>
      </c>
      <c r="K39" s="535">
        <v>865486215</v>
      </c>
      <c r="L39" s="535">
        <v>158181845</v>
      </c>
      <c r="M39" s="535">
        <v>0</v>
      </c>
      <c r="N39" s="535">
        <v>2867165985</v>
      </c>
      <c r="O39" s="535">
        <v>1716711439</v>
      </c>
      <c r="P39" s="535">
        <v>4818948</v>
      </c>
      <c r="Q39" s="535">
        <v>17085970</v>
      </c>
      <c r="R39" s="535">
        <v>146264866</v>
      </c>
      <c r="S39" s="526">
        <f t="shared" si="29"/>
        <v>356494982</v>
      </c>
      <c r="T39" s="535">
        <v>28671660</v>
      </c>
      <c r="U39" s="535">
        <v>171671144</v>
      </c>
      <c r="V39" s="535">
        <v>1204737</v>
      </c>
      <c r="W39" s="535">
        <v>8682575</v>
      </c>
      <c r="X39" s="535">
        <v>146264866</v>
      </c>
      <c r="Y39" s="535">
        <v>1336588866</v>
      </c>
      <c r="Z39" s="535">
        <v>2411488</v>
      </c>
      <c r="AA39" s="541"/>
      <c r="AB39" s="541"/>
      <c r="AC39" s="541"/>
    </row>
    <row r="40" spans="1:35" s="136" customFormat="1" ht="49.5" customHeight="1">
      <c r="A40" s="336">
        <v>4</v>
      </c>
      <c r="B40" s="341" t="s">
        <v>525</v>
      </c>
      <c r="C40" s="526">
        <f t="shared" si="27"/>
        <v>16533367371</v>
      </c>
      <c r="D40" s="433">
        <f t="shared" si="28"/>
        <v>8.7659590918561098E-2</v>
      </c>
      <c r="E40" s="535">
        <v>219155514</v>
      </c>
      <c r="F40" s="338">
        <v>0</v>
      </c>
      <c r="G40" s="535">
        <v>16314211857</v>
      </c>
      <c r="H40" s="338">
        <v>8.8837158236748412E-2</v>
      </c>
      <c r="I40" s="535">
        <v>6482379242</v>
      </c>
      <c r="J40" s="535">
        <v>8049322279</v>
      </c>
      <c r="K40" s="535">
        <v>1858399330</v>
      </c>
      <c r="L40" s="535">
        <v>143266520</v>
      </c>
      <c r="M40" s="535">
        <v>0</v>
      </c>
      <c r="N40" s="535">
        <v>12454300644</v>
      </c>
      <c r="O40" s="535">
        <v>3766168528</v>
      </c>
      <c r="P40" s="535">
        <v>3529904</v>
      </c>
      <c r="Q40" s="535">
        <v>157861298</v>
      </c>
      <c r="R40" s="535">
        <v>151506997</v>
      </c>
      <c r="S40" s="526">
        <f t="shared" si="29"/>
        <v>732479983</v>
      </c>
      <c r="T40" s="535">
        <v>124543006</v>
      </c>
      <c r="U40" s="535">
        <v>376616854</v>
      </c>
      <c r="V40" s="535">
        <v>882476</v>
      </c>
      <c r="W40" s="535">
        <v>78930650</v>
      </c>
      <c r="X40" s="535">
        <v>151506997</v>
      </c>
      <c r="Y40" s="535">
        <v>0</v>
      </c>
      <c r="Z40" s="535">
        <v>0</v>
      </c>
      <c r="AA40" s="541"/>
      <c r="AB40" s="541"/>
      <c r="AC40" s="541"/>
    </row>
    <row r="41" spans="1:35" s="136" customFormat="1" ht="49.5" customHeight="1">
      <c r="A41" s="336">
        <v>5</v>
      </c>
      <c r="B41" s="341" t="s">
        <v>842</v>
      </c>
      <c r="C41" s="526">
        <f t="shared" si="27"/>
        <v>101798585</v>
      </c>
      <c r="D41" s="433">
        <f t="shared" si="28"/>
        <v>0.21223255767594712</v>
      </c>
      <c r="E41" s="535">
        <v>101798585</v>
      </c>
      <c r="F41" s="338">
        <v>0.21223255767594712</v>
      </c>
      <c r="G41" s="535">
        <v>0</v>
      </c>
      <c r="H41" s="338">
        <v>0</v>
      </c>
      <c r="I41" s="535">
        <v>49756996</v>
      </c>
      <c r="J41" s="535">
        <v>10352645</v>
      </c>
      <c r="K41" s="535">
        <v>41688944</v>
      </c>
      <c r="L41" s="535">
        <v>0</v>
      </c>
      <c r="M41" s="535">
        <v>0</v>
      </c>
      <c r="N41" s="535">
        <v>84741561</v>
      </c>
      <c r="O41" s="535">
        <v>16469411</v>
      </c>
      <c r="P41" s="535">
        <v>0</v>
      </c>
      <c r="Q41" s="535">
        <v>0</v>
      </c>
      <c r="R41" s="535">
        <v>587613</v>
      </c>
      <c r="S41" s="526">
        <f t="shared" si="29"/>
        <v>3081970</v>
      </c>
      <c r="T41" s="535">
        <v>847416</v>
      </c>
      <c r="U41" s="535">
        <v>1646941</v>
      </c>
      <c r="V41" s="535">
        <v>0</v>
      </c>
      <c r="W41" s="535">
        <v>0</v>
      </c>
      <c r="X41" s="535">
        <v>587613</v>
      </c>
      <c r="Y41" s="535">
        <v>0</v>
      </c>
      <c r="Z41" s="535">
        <v>0</v>
      </c>
      <c r="AA41" s="541"/>
      <c r="AB41" s="541"/>
    </row>
    <row r="42" spans="1:35" s="136" customFormat="1" ht="49.5" customHeight="1">
      <c r="A42" s="336">
        <v>6</v>
      </c>
      <c r="B42" s="341" t="s">
        <v>526</v>
      </c>
      <c r="C42" s="526">
        <f t="shared" si="27"/>
        <v>24804598475</v>
      </c>
      <c r="D42" s="433">
        <f t="shared" si="28"/>
        <v>0.10752496888130129</v>
      </c>
      <c r="E42" s="535">
        <v>8004456649</v>
      </c>
      <c r="F42" s="338">
        <v>0.17015281637249777</v>
      </c>
      <c r="G42" s="535">
        <v>16800141826</v>
      </c>
      <c r="H42" s="338">
        <v>7.7685822554116837E-2</v>
      </c>
      <c r="I42" s="535">
        <v>9654763368</v>
      </c>
      <c r="J42" s="535">
        <v>10874507727</v>
      </c>
      <c r="K42" s="535">
        <v>4171770404</v>
      </c>
      <c r="L42" s="535">
        <v>103556976</v>
      </c>
      <c r="M42" s="535">
        <v>0</v>
      </c>
      <c r="N42" s="535">
        <v>20424607646</v>
      </c>
      <c r="O42" s="535">
        <v>3850343530</v>
      </c>
      <c r="P42" s="535">
        <v>26933575</v>
      </c>
      <c r="Q42" s="535">
        <v>37006476</v>
      </c>
      <c r="R42" s="535">
        <v>465707248</v>
      </c>
      <c r="S42" s="526">
        <f t="shared" si="29"/>
        <v>1079353577</v>
      </c>
      <c r="T42" s="535">
        <f>204246076-1307701</f>
        <v>202938375</v>
      </c>
      <c r="U42" s="535">
        <v>385471322</v>
      </c>
      <c r="V42" s="535">
        <v>6733394</v>
      </c>
      <c r="W42" s="535">
        <v>18503238</v>
      </c>
      <c r="X42" s="535">
        <v>465707248</v>
      </c>
      <c r="Y42" s="535">
        <v>181501949</v>
      </c>
      <c r="Z42" s="535">
        <v>411253</v>
      </c>
    </row>
    <row r="43" spans="1:35" s="136" customFormat="1" ht="37.5" customHeight="1">
      <c r="A43" s="342"/>
      <c r="B43" s="343"/>
      <c r="C43" s="532"/>
      <c r="D43" s="344"/>
      <c r="E43" s="532"/>
      <c r="F43" s="141"/>
      <c r="G43" s="532"/>
      <c r="H43" s="141"/>
      <c r="I43" s="538"/>
      <c r="J43" s="538"/>
      <c r="K43" s="538"/>
      <c r="L43" s="538"/>
      <c r="M43" s="538"/>
      <c r="N43" s="539"/>
      <c r="O43" s="539"/>
      <c r="P43" s="539"/>
      <c r="Q43" s="539"/>
      <c r="R43" s="539"/>
      <c r="S43" s="539"/>
      <c r="T43" s="539"/>
      <c r="U43" s="539"/>
      <c r="V43" s="539"/>
      <c r="W43" s="539"/>
      <c r="X43" s="539"/>
      <c r="Y43" s="539"/>
      <c r="Z43" s="539"/>
    </row>
    <row r="44" spans="1:35" s="28" customFormat="1" ht="21" customHeight="1">
      <c r="B44" s="406" t="s">
        <v>756</v>
      </c>
      <c r="C44" s="452"/>
      <c r="E44" s="452"/>
      <c r="F44" s="157"/>
      <c r="G44" s="525"/>
      <c r="H44" s="157"/>
      <c r="I44" s="525"/>
      <c r="J44" s="525"/>
      <c r="K44" s="525"/>
      <c r="L44" s="525"/>
      <c r="M44" s="525"/>
      <c r="N44" s="452"/>
      <c r="O44" s="452"/>
      <c r="P44" s="452"/>
      <c r="Q44" s="452"/>
      <c r="R44" s="452"/>
      <c r="S44" s="452"/>
      <c r="T44" s="452"/>
      <c r="U44" s="452"/>
      <c r="V44" s="452"/>
      <c r="W44" s="452"/>
      <c r="X44" s="452"/>
      <c r="Y44" s="452"/>
      <c r="Z44" s="452"/>
    </row>
    <row r="45" spans="1:35" s="28" customFormat="1" ht="21" customHeight="1">
      <c r="B45" s="406"/>
      <c r="C45" s="452"/>
      <c r="E45" s="452"/>
      <c r="F45" s="157"/>
      <c r="G45" s="525"/>
      <c r="H45" s="157"/>
      <c r="I45" s="525"/>
      <c r="J45" s="525"/>
      <c r="K45" s="525"/>
      <c r="L45" s="525"/>
      <c r="M45" s="525"/>
      <c r="N45" s="452"/>
      <c r="O45" s="452"/>
      <c r="P45" s="452"/>
      <c r="Q45" s="452"/>
      <c r="R45" s="452"/>
      <c r="S45" s="452"/>
      <c r="T45" s="452"/>
      <c r="U45" s="452"/>
      <c r="V45" s="452"/>
      <c r="W45" s="452"/>
      <c r="X45" s="452"/>
      <c r="Y45" s="452"/>
      <c r="Z45" s="452"/>
    </row>
    <row r="46" spans="1:35" s="28" customFormat="1" ht="21" customHeight="1">
      <c r="B46" s="406" t="s">
        <v>757</v>
      </c>
      <c r="C46" s="452"/>
      <c r="E46" s="452"/>
      <c r="F46" s="157"/>
      <c r="G46" s="525"/>
      <c r="H46" s="157"/>
      <c r="I46" s="525"/>
      <c r="J46" s="525"/>
      <c r="K46" s="525"/>
      <c r="L46" s="525"/>
      <c r="M46" s="525"/>
      <c r="N46" s="452"/>
      <c r="O46" s="452"/>
      <c r="P46" s="452"/>
      <c r="Q46" s="452"/>
      <c r="R46" s="452"/>
      <c r="S46" s="452"/>
      <c r="T46" s="452"/>
      <c r="U46" s="452"/>
      <c r="V46" s="452"/>
      <c r="W46" s="452"/>
      <c r="X46" s="452"/>
      <c r="Y46" s="452"/>
      <c r="Z46" s="452"/>
    </row>
    <row r="47" spans="1:35" s="63" customFormat="1" ht="15.75">
      <c r="A47" s="75"/>
      <c r="C47" s="523"/>
      <c r="E47" s="523"/>
      <c r="G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</row>
    <row r="48" spans="1:35" s="6" customFormat="1" ht="15.75">
      <c r="A48" s="22"/>
      <c r="B48" s="26"/>
      <c r="C48" s="517"/>
      <c r="E48" s="517"/>
      <c r="G48" s="517"/>
      <c r="I48" s="517"/>
      <c r="J48" s="540"/>
      <c r="K48" s="517"/>
      <c r="L48" s="517"/>
      <c r="M48" s="517"/>
      <c r="N48" s="517"/>
      <c r="O48" s="517"/>
      <c r="P48" s="517"/>
      <c r="Q48" s="517"/>
      <c r="R48" s="517"/>
      <c r="S48" s="517"/>
      <c r="T48" s="517"/>
      <c r="U48" s="517"/>
      <c r="V48" s="517"/>
      <c r="W48" s="517"/>
      <c r="X48" s="517"/>
      <c r="Y48" s="517"/>
      <c r="Z48" s="517"/>
    </row>
    <row r="49" spans="1:26" s="6" customFormat="1" ht="15.75">
      <c r="A49" s="22"/>
      <c r="B49" s="26"/>
      <c r="C49" s="517"/>
      <c r="E49" s="517"/>
      <c r="G49" s="517"/>
      <c r="I49" s="517"/>
      <c r="J49" s="540"/>
      <c r="K49" s="517"/>
      <c r="L49" s="517"/>
      <c r="M49" s="517"/>
      <c r="N49" s="517"/>
      <c r="O49" s="517"/>
      <c r="P49" s="517"/>
      <c r="Q49" s="517"/>
      <c r="R49" s="517"/>
      <c r="S49" s="517"/>
      <c r="T49" s="517"/>
      <c r="U49" s="517"/>
      <c r="V49" s="517"/>
      <c r="W49" s="517"/>
      <c r="X49" s="517"/>
      <c r="Y49" s="517"/>
      <c r="Z49" s="517"/>
    </row>
    <row r="50" spans="1:26" s="6" customFormat="1" ht="15.75">
      <c r="A50" s="22"/>
      <c r="B50" s="26"/>
      <c r="C50" s="517"/>
      <c r="E50" s="517"/>
      <c r="G50" s="517"/>
      <c r="I50" s="517"/>
      <c r="J50" s="540"/>
      <c r="K50" s="517"/>
      <c r="L50" s="517"/>
      <c r="M50" s="517"/>
      <c r="N50" s="517"/>
      <c r="O50" s="517"/>
      <c r="P50" s="517"/>
      <c r="Q50" s="517"/>
      <c r="R50" s="517"/>
      <c r="S50" s="517"/>
      <c r="T50" s="517"/>
      <c r="U50" s="517"/>
      <c r="V50" s="517"/>
      <c r="W50" s="517"/>
      <c r="X50" s="517"/>
      <c r="Y50" s="517"/>
      <c r="Z50" s="517"/>
    </row>
    <row r="51" spans="1:26" s="143" customFormat="1" ht="15.75">
      <c r="A51" s="142"/>
      <c r="C51" s="533"/>
      <c r="E51" s="533"/>
      <c r="G51" s="533"/>
      <c r="I51" s="533"/>
      <c r="J51" s="533"/>
      <c r="K51" s="533"/>
      <c r="L51" s="533"/>
      <c r="M51" s="533"/>
      <c r="N51" s="533"/>
      <c r="O51" s="533"/>
      <c r="P51" s="533"/>
      <c r="Q51" s="533"/>
      <c r="R51" s="533"/>
      <c r="S51" s="533"/>
      <c r="T51" s="533"/>
      <c r="U51" s="533"/>
      <c r="V51" s="533"/>
      <c r="W51" s="533"/>
      <c r="X51" s="533"/>
      <c r="Y51" s="533"/>
      <c r="Z51" s="533"/>
    </row>
  </sheetData>
  <sheetProtection password="CACA" sheet="1" objects="1" scenarios="1"/>
  <mergeCells count="17"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</mergeCells>
  <conditionalFormatting sqref="C8:C9">
    <cfRule type="cellIs" dxfId="86" priority="194" operator="notEqual">
      <formula>I8+J8+K8+L8+M8</formula>
    </cfRule>
    <cfRule type="cellIs" dxfId="85" priority="193" operator="notEqual">
      <formula>N8+O8+P8+Q8+R8</formula>
    </cfRule>
    <cfRule type="cellIs" dxfId="84" priority="192" operator="notEqual">
      <formula>AA8</formula>
    </cfRule>
  </conditionalFormatting>
  <conditionalFormatting sqref="C11 C16">
    <cfRule type="cellIs" dxfId="83" priority="837" operator="notEqual">
      <formula>I11+J11+K11+L11+M11</formula>
    </cfRule>
    <cfRule type="cellIs" dxfId="82" priority="836" operator="notEqual">
      <formula>N11+O11+P11+Q11+R11</formula>
    </cfRule>
    <cfRule type="cellIs" dxfId="81" priority="835" operator="notEqual">
      <formula>AA11</formula>
    </cfRule>
  </conditionalFormatting>
  <conditionalFormatting sqref="C12:C15">
    <cfRule type="cellIs" dxfId="80" priority="316" operator="notEqual">
      <formula>I12+J12+K12+L12+M12</formula>
    </cfRule>
    <cfRule type="cellIs" dxfId="79" priority="315" operator="notEqual">
      <formula>N12+O12+P12+Q12+R12</formula>
    </cfRule>
  </conditionalFormatting>
  <conditionalFormatting sqref="C17:C26">
    <cfRule type="cellIs" dxfId="78" priority="10" operator="notEqual">
      <formula>N17+O17+P17+Q17+R17</formula>
    </cfRule>
    <cfRule type="cellIs" dxfId="77" priority="11" operator="notEqual">
      <formula>I17+J17+K17+L17+M17</formula>
    </cfRule>
  </conditionalFormatting>
  <conditionalFormatting sqref="C21:C26">
    <cfRule type="cellIs" dxfId="76" priority="9" operator="notEqual">
      <formula>AA21</formula>
    </cfRule>
  </conditionalFormatting>
  <conditionalFormatting sqref="C27">
    <cfRule type="cellIs" dxfId="75" priority="86" operator="notEqual">
      <formula>C36</formula>
    </cfRule>
  </conditionalFormatting>
  <conditionalFormatting sqref="C27:C28">
    <cfRule type="cellIs" dxfId="74" priority="173" operator="notEqual">
      <formula>AA27</formula>
    </cfRule>
    <cfRule type="cellIs" dxfId="73" priority="174" operator="notEqual">
      <formula>N27+O27+P27+Q27+R27</formula>
    </cfRule>
    <cfRule type="cellIs" dxfId="72" priority="175" operator="notEqual">
      <formula>I27+J27+K27+L27+M27</formula>
    </cfRule>
  </conditionalFormatting>
  <conditionalFormatting sqref="C29:C33">
    <cfRule type="cellIs" dxfId="71" priority="128" operator="notEqual">
      <formula>AA29</formula>
    </cfRule>
    <cfRule type="cellIs" dxfId="70" priority="129" operator="notEqual">
      <formula>N29+O29+P29+Q29+R29</formula>
    </cfRule>
    <cfRule type="cellIs" dxfId="69" priority="130" operator="notEqual">
      <formula>I29+J29+K29+L29+M29</formula>
    </cfRule>
  </conditionalFormatting>
  <conditionalFormatting sqref="C33">
    <cfRule type="cellIs" dxfId="68" priority="6" operator="notEqual">
      <formula>$AI$33</formula>
    </cfRule>
  </conditionalFormatting>
  <conditionalFormatting sqref="C35:C42">
    <cfRule type="cellIs" dxfId="67" priority="102" operator="notEqual">
      <formula>N35+O35+P35+Q35+R35</formula>
    </cfRule>
    <cfRule type="cellIs" dxfId="66" priority="103" operator="notEqual">
      <formula>I35+J35+K35+L35+M35</formula>
    </cfRule>
  </conditionalFormatting>
  <conditionalFormatting sqref="C36">
    <cfRule type="cellIs" dxfId="65" priority="100" operator="notEqual">
      <formula>C27</formula>
    </cfRule>
    <cfRule type="cellIs" dxfId="64" priority="101" operator="notEqual">
      <formula>AA36</formula>
    </cfRule>
  </conditionalFormatting>
  <conditionalFormatting sqref="E8">
    <cfRule type="cellIs" dxfId="63" priority="191" operator="notEqual">
      <formula>$AB$8</formula>
    </cfRule>
  </conditionalFormatting>
  <conditionalFormatting sqref="E9">
    <cfRule type="cellIs" dxfId="62" priority="189" operator="notEqual">
      <formula>$AB$9</formula>
    </cfRule>
  </conditionalFormatting>
  <conditionalFormatting sqref="E11">
    <cfRule type="cellIs" dxfId="61" priority="187" operator="notEqual">
      <formula>$AB$11</formula>
    </cfRule>
  </conditionalFormatting>
  <conditionalFormatting sqref="E16">
    <cfRule type="cellIs" dxfId="60" priority="185" operator="notEqual">
      <formula>$AB$16</formula>
    </cfRule>
  </conditionalFormatting>
  <conditionalFormatting sqref="E27">
    <cfRule type="cellIs" dxfId="59" priority="85" operator="notEqual">
      <formula>E36</formula>
    </cfRule>
  </conditionalFormatting>
  <conditionalFormatting sqref="E27:E28">
    <cfRule type="cellIs" dxfId="58" priority="172" operator="notEqual">
      <formula>AB27</formula>
    </cfRule>
  </conditionalFormatting>
  <conditionalFormatting sqref="E36">
    <cfRule type="cellIs" dxfId="57" priority="367" operator="notEqual">
      <formula>$AB$36</formula>
    </cfRule>
    <cfRule type="cellIs" dxfId="56" priority="99" operator="notEqual">
      <formula>E27</formula>
    </cfRule>
  </conditionalFormatting>
  <conditionalFormatting sqref="G8">
    <cfRule type="cellIs" dxfId="55" priority="190" operator="notEqual">
      <formula>$AC$8</formula>
    </cfRule>
  </conditionalFormatting>
  <conditionalFormatting sqref="G9">
    <cfRule type="cellIs" dxfId="54" priority="188" operator="notEqual">
      <formula>$AC$9</formula>
    </cfRule>
  </conditionalFormatting>
  <conditionalFormatting sqref="G11">
    <cfRule type="cellIs" dxfId="53" priority="186" operator="notEqual">
      <formula>$AC$11</formula>
    </cfRule>
  </conditionalFormatting>
  <conditionalFormatting sqref="G16">
    <cfRule type="cellIs" dxfId="52" priority="184" operator="notEqual">
      <formula>$AC$16</formula>
    </cfRule>
  </conditionalFormatting>
  <conditionalFormatting sqref="G27">
    <cfRule type="cellIs" dxfId="51" priority="84" operator="notEqual">
      <formula>$G$36</formula>
    </cfRule>
    <cfRule type="cellIs" dxfId="50" priority="176" operator="notEqual">
      <formula>$AC$27</formula>
    </cfRule>
  </conditionalFormatting>
  <conditionalFormatting sqref="G28">
    <cfRule type="cellIs" dxfId="49" priority="171" operator="notEqual">
      <formula>$AC$28</formula>
    </cfRule>
  </conditionalFormatting>
  <conditionalFormatting sqref="G36">
    <cfRule type="cellIs" dxfId="48" priority="98" operator="notEqual">
      <formula>G27</formula>
    </cfRule>
    <cfRule type="cellIs" dxfId="47" priority="366" operator="notEqual">
      <formula>$AC$36</formula>
    </cfRule>
  </conditionalFormatting>
  <conditionalFormatting sqref="I27:Z27">
    <cfRule type="cellIs" dxfId="46" priority="32" operator="notEqual">
      <formula>I28</formula>
    </cfRule>
    <cfRule type="cellIs" dxfId="45" priority="30" operator="notEqual">
      <formula>I36</formula>
    </cfRule>
  </conditionalFormatting>
  <conditionalFormatting sqref="I28:Z28">
    <cfRule type="cellIs" dxfId="44" priority="31" operator="notEqual">
      <formula>I27</formula>
    </cfRule>
  </conditionalFormatting>
  <conditionalFormatting sqref="I36:Z36">
    <cfRule type="cellIs" dxfId="43" priority="12" operator="notEqual">
      <formula>I27</formula>
    </cfRule>
  </conditionalFormatting>
  <conditionalFormatting sqref="N8">
    <cfRule type="cellIs" dxfId="42" priority="838" operator="notEqual">
      <formula>AD8</formula>
    </cfRule>
  </conditionalFormatting>
  <conditionalFormatting sqref="N9">
    <cfRule type="cellIs" dxfId="41" priority="241" operator="notEqual">
      <formula>$AD$13</formula>
    </cfRule>
  </conditionalFormatting>
  <conditionalFormatting sqref="N33">
    <cfRule type="cellIs" dxfId="40" priority="5" operator="notEqual">
      <formula>$AD$33</formula>
    </cfRule>
  </conditionalFormatting>
  <conditionalFormatting sqref="O8">
    <cfRule type="cellIs" dxfId="39" priority="839" operator="notEqual">
      <formula>$AE$8</formula>
    </cfRule>
  </conditionalFormatting>
  <conditionalFormatting sqref="O9">
    <cfRule type="cellIs" dxfId="38" priority="240" operator="notEqual">
      <formula>$AE$13</formula>
    </cfRule>
  </conditionalFormatting>
  <conditionalFormatting sqref="O33">
    <cfRule type="cellIs" dxfId="37" priority="4" operator="notEqual">
      <formula>$AE$33</formula>
    </cfRule>
  </conditionalFormatting>
  <conditionalFormatting sqref="P8">
    <cfRule type="cellIs" dxfId="36" priority="840" operator="notEqual">
      <formula>$AF$8</formula>
    </cfRule>
  </conditionalFormatting>
  <conditionalFormatting sqref="P9">
    <cfRule type="cellIs" dxfId="35" priority="239" operator="notEqual">
      <formula>$AF$13</formula>
    </cfRule>
  </conditionalFormatting>
  <conditionalFormatting sqref="P33">
    <cfRule type="cellIs" dxfId="34" priority="3" operator="notEqual">
      <formula>$AF$33</formula>
    </cfRule>
  </conditionalFormatting>
  <conditionalFormatting sqref="Q8">
    <cfRule type="cellIs" dxfId="33" priority="841" operator="notEqual">
      <formula>$AG$8</formula>
    </cfRule>
  </conditionalFormatting>
  <conditionalFormatting sqref="Q9">
    <cfRule type="cellIs" dxfId="32" priority="238" operator="notEqual">
      <formula>$AG$13</formula>
    </cfRule>
  </conditionalFormatting>
  <conditionalFormatting sqref="Q33">
    <cfRule type="cellIs" dxfId="31" priority="2" operator="notEqual">
      <formula>$AG$33</formula>
    </cfRule>
  </conditionalFormatting>
  <conditionalFormatting sqref="R8">
    <cfRule type="cellIs" dxfId="30" priority="842" operator="notEqual">
      <formula>$AH$8</formula>
    </cfRule>
  </conditionalFormatting>
  <conditionalFormatting sqref="R9">
    <cfRule type="cellIs" dxfId="29" priority="237" operator="notEqual">
      <formula>$AH$13</formula>
    </cfRule>
  </conditionalFormatting>
  <conditionalFormatting sqref="R33">
    <cfRule type="cellIs" dxfId="28" priority="1" operator="notEqual">
      <formula>$AH$33</formula>
    </cfRule>
  </conditionalFormatting>
  <conditionalFormatting sqref="T8">
    <cfRule type="cellIs" dxfId="27" priority="378" operator="notEqual">
      <formula>$AD$10</formula>
    </cfRule>
  </conditionalFormatting>
  <conditionalFormatting sqref="T9">
    <cfRule type="cellIs" dxfId="26" priority="236" operator="notEqual">
      <formula>$AD$15</formula>
    </cfRule>
  </conditionalFormatting>
  <conditionalFormatting sqref="U8">
    <cfRule type="cellIs" dxfId="25" priority="377" operator="notEqual">
      <formula>$AE$10</formula>
    </cfRule>
  </conditionalFormatting>
  <conditionalFormatting sqref="U9">
    <cfRule type="cellIs" dxfId="24" priority="235" operator="notEqual">
      <formula>$AE$15</formula>
    </cfRule>
  </conditionalFormatting>
  <conditionalFormatting sqref="V8">
    <cfRule type="cellIs" dxfId="23" priority="376" operator="notEqual">
      <formula>$AF$10</formula>
    </cfRule>
  </conditionalFormatting>
  <conditionalFormatting sqref="V9">
    <cfRule type="cellIs" dxfId="22" priority="234" operator="notEqual">
      <formula>$AF$15</formula>
    </cfRule>
  </conditionalFormatting>
  <conditionalFormatting sqref="W8">
    <cfRule type="cellIs" dxfId="21" priority="375" operator="notEqual">
      <formula>$AG$10</formula>
    </cfRule>
  </conditionalFormatting>
  <conditionalFormatting sqref="W9">
    <cfRule type="cellIs" dxfId="20" priority="233" operator="notEqual">
      <formula>$AG$15</formula>
    </cfRule>
  </conditionalFormatting>
  <conditionalFormatting sqref="X8">
    <cfRule type="cellIs" dxfId="19" priority="374" operator="notEqual">
      <formula>$AH$10</formula>
    </cfRule>
  </conditionalFormatting>
  <conditionalFormatting sqref="X9">
    <cfRule type="cellIs" dxfId="18" priority="232" operator="notEqual">
      <formula>$AH$15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R36 I28:Z28 S29:S33 I27:Z27 AA37:AA42 AA35 S17 D10:E11 D9:E9 I9 I10:I11 G9 F10:H11 F9 H9 T36:Z36" formula="1"/>
    <ignoredError sqref="I16:Z16 S35 S37:S42 S3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8">
    <pageSetUpPr fitToPage="1"/>
  </sheetPr>
  <dimension ref="A1:BH45"/>
  <sheetViews>
    <sheetView view="pageBreakPreview" zoomScale="70" zoomScaleNormal="55" zoomScaleSheetLayoutView="70" workbookViewId="0">
      <pane xSplit="2" ySplit="6" topLeftCell="AV18" activePane="bottomRight" state="frozen"/>
      <selection activeCell="AY38" sqref="AY38"/>
      <selection pane="topRight" activeCell="AY38" sqref="AY38"/>
      <selection pane="bottomLeft" activeCell="AY38" sqref="AY38"/>
      <selection pane="bottomRight" activeCell="AY21" sqref="AY21"/>
    </sheetView>
  </sheetViews>
  <sheetFormatPr defaultRowHeight="15"/>
  <cols>
    <col min="1" max="1" width="9.140625" style="603"/>
    <col min="2" max="2" width="61.85546875" style="603" customWidth="1"/>
    <col min="3" max="3" width="20.140625" style="603" customWidth="1"/>
    <col min="4" max="4" width="9.85546875" style="611" customWidth="1"/>
    <col min="5" max="5" width="20.140625" style="603" customWidth="1"/>
    <col min="6" max="6" width="10.42578125" style="611" customWidth="1"/>
    <col min="7" max="7" width="20.140625" style="603" customWidth="1"/>
    <col min="8" max="8" width="10.42578125" style="611" customWidth="1"/>
    <col min="9" max="9" width="20.140625" style="603" customWidth="1"/>
    <col min="10" max="10" width="9.85546875" style="611" customWidth="1"/>
    <col min="11" max="11" width="20.140625" style="603" customWidth="1"/>
    <col min="12" max="12" width="10.42578125" style="611" customWidth="1"/>
    <col min="13" max="13" width="20.140625" style="603" customWidth="1"/>
    <col min="14" max="14" width="10.42578125" style="611" customWidth="1"/>
    <col min="15" max="15" width="20.140625" style="603" customWidth="1"/>
    <col min="16" max="16" width="9.85546875" style="611" customWidth="1"/>
    <col min="17" max="17" width="20.140625" style="603" customWidth="1"/>
    <col min="18" max="18" width="10.42578125" style="611" customWidth="1"/>
    <col min="19" max="19" width="20.140625" style="603" customWidth="1"/>
    <col min="20" max="20" width="10.42578125" style="611" customWidth="1"/>
    <col min="21" max="21" width="20.140625" style="603" customWidth="1"/>
    <col min="22" max="22" width="9.85546875" style="611" customWidth="1"/>
    <col min="23" max="23" width="20.140625" style="603" customWidth="1"/>
    <col min="24" max="24" width="10.42578125" style="611" customWidth="1"/>
    <col min="25" max="25" width="20.140625" style="603" customWidth="1"/>
    <col min="26" max="26" width="10.42578125" style="611" customWidth="1"/>
    <col min="27" max="27" width="20.140625" style="603" customWidth="1"/>
    <col min="28" max="28" width="9.85546875" style="611" customWidth="1"/>
    <col min="29" max="29" width="20.140625" style="603" customWidth="1"/>
    <col min="30" max="30" width="10.42578125" style="611" customWidth="1"/>
    <col min="31" max="31" width="20.140625" style="603" customWidth="1"/>
    <col min="32" max="32" width="10.42578125" style="611" customWidth="1"/>
    <col min="33" max="33" width="20.140625" style="603" customWidth="1"/>
    <col min="34" max="34" width="9.85546875" style="611" customWidth="1"/>
    <col min="35" max="35" width="20.140625" style="603" customWidth="1"/>
    <col min="36" max="36" width="10.42578125" style="611" customWidth="1"/>
    <col min="37" max="37" width="20.140625" style="603" customWidth="1"/>
    <col min="38" max="38" width="10.42578125" style="611" customWidth="1"/>
    <col min="39" max="39" width="20.140625" style="603" customWidth="1"/>
    <col min="40" max="40" width="9.85546875" style="611" customWidth="1"/>
    <col min="41" max="41" width="20.140625" style="603" customWidth="1"/>
    <col min="42" max="42" width="10.42578125" style="611" customWidth="1"/>
    <col min="43" max="43" width="20.140625" style="603" customWidth="1"/>
    <col min="44" max="44" width="10.42578125" style="611" customWidth="1"/>
    <col min="45" max="45" width="20.140625" style="603" customWidth="1"/>
    <col min="46" max="46" width="9.85546875" style="611" customWidth="1"/>
    <col min="47" max="47" width="20.140625" style="603" customWidth="1"/>
    <col min="48" max="48" width="10.42578125" style="611" customWidth="1"/>
    <col min="49" max="49" width="20.140625" style="603" customWidth="1"/>
    <col min="50" max="50" width="10.42578125" style="611" customWidth="1"/>
    <col min="51" max="51" width="23" style="603" customWidth="1"/>
    <col min="52" max="52" width="9.85546875" style="611" customWidth="1"/>
    <col min="53" max="53" width="24.85546875" style="603" customWidth="1"/>
    <col min="54" max="54" width="10.42578125" style="611" customWidth="1"/>
    <col min="55" max="55" width="24.85546875" style="603" customWidth="1"/>
    <col min="56" max="56" width="9.85546875" style="611" customWidth="1"/>
    <col min="57" max="57" width="5.85546875" style="603" customWidth="1"/>
    <col min="58" max="59" width="18.7109375" style="612" customWidth="1"/>
    <col min="60" max="66" width="27.28515625" style="603" customWidth="1"/>
    <col min="67" max="16384" width="9.140625" style="603"/>
  </cols>
  <sheetData>
    <row r="1" spans="1:60" s="609" customFormat="1" ht="28.5" customHeight="1">
      <c r="A1" s="769" t="s">
        <v>854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  <c r="AA1" s="769"/>
      <c r="AB1" s="769"/>
      <c r="AC1" s="769"/>
      <c r="AD1" s="769"/>
      <c r="AE1" s="769"/>
      <c r="AF1" s="769"/>
      <c r="AG1" s="769"/>
      <c r="AH1" s="769"/>
      <c r="AI1" s="769"/>
      <c r="AJ1" s="769"/>
      <c r="AK1" s="769"/>
      <c r="AL1" s="769"/>
      <c r="AM1" s="769"/>
      <c r="AN1" s="769"/>
      <c r="AO1" s="769"/>
      <c r="AP1" s="769"/>
      <c r="AQ1" s="769"/>
      <c r="AR1" s="769"/>
      <c r="AS1" s="769"/>
      <c r="AT1" s="769"/>
      <c r="AU1" s="769"/>
      <c r="AV1" s="769"/>
      <c r="AW1" s="769"/>
      <c r="AX1" s="769"/>
      <c r="AY1" s="769"/>
      <c r="AZ1" s="769"/>
      <c r="BA1" s="769"/>
      <c r="BB1" s="769"/>
      <c r="BC1" s="770" t="s">
        <v>527</v>
      </c>
      <c r="BD1" s="770"/>
      <c r="BF1" s="610"/>
      <c r="BG1" s="610"/>
    </row>
    <row r="3" spans="1:60">
      <c r="BA3" s="771">
        <f>+'Asset quality'!Q3</f>
        <v>46021</v>
      </c>
      <c r="BB3" s="771"/>
      <c r="BD3" s="600" t="s">
        <v>787</v>
      </c>
    </row>
    <row r="4" spans="1:60" ht="22.5" customHeight="1">
      <c r="A4" s="766" t="s">
        <v>61</v>
      </c>
      <c r="B4" s="766" t="s">
        <v>282</v>
      </c>
      <c r="C4" s="766" t="s">
        <v>528</v>
      </c>
      <c r="D4" s="766"/>
      <c r="E4" s="766"/>
      <c r="F4" s="766"/>
      <c r="G4" s="766"/>
      <c r="H4" s="766"/>
      <c r="I4" s="766" t="s">
        <v>788</v>
      </c>
      <c r="J4" s="766"/>
      <c r="K4" s="766"/>
      <c r="L4" s="766"/>
      <c r="M4" s="766"/>
      <c r="N4" s="766"/>
      <c r="O4" s="766" t="s">
        <v>789</v>
      </c>
      <c r="P4" s="766"/>
      <c r="Q4" s="766"/>
      <c r="R4" s="766"/>
      <c r="S4" s="766"/>
      <c r="T4" s="766"/>
      <c r="U4" s="766" t="s">
        <v>790</v>
      </c>
      <c r="V4" s="766"/>
      <c r="W4" s="766"/>
      <c r="X4" s="766"/>
      <c r="Y4" s="766"/>
      <c r="Z4" s="766"/>
      <c r="AA4" s="766" t="s">
        <v>791</v>
      </c>
      <c r="AB4" s="766"/>
      <c r="AC4" s="766"/>
      <c r="AD4" s="766"/>
      <c r="AE4" s="766"/>
      <c r="AF4" s="766"/>
      <c r="AG4" s="766" t="s">
        <v>792</v>
      </c>
      <c r="AH4" s="766"/>
      <c r="AI4" s="766"/>
      <c r="AJ4" s="766"/>
      <c r="AK4" s="766"/>
      <c r="AL4" s="766"/>
      <c r="AM4" s="766" t="s">
        <v>793</v>
      </c>
      <c r="AN4" s="766"/>
      <c r="AO4" s="766"/>
      <c r="AP4" s="766"/>
      <c r="AQ4" s="766"/>
      <c r="AR4" s="766"/>
      <c r="AS4" s="766" t="s">
        <v>532</v>
      </c>
      <c r="AT4" s="766"/>
      <c r="AU4" s="766"/>
      <c r="AV4" s="766"/>
      <c r="AW4" s="766"/>
      <c r="AX4" s="766"/>
      <c r="AY4" s="766" t="s">
        <v>232</v>
      </c>
      <c r="AZ4" s="766" t="s">
        <v>795</v>
      </c>
      <c r="BA4" s="772" t="s">
        <v>794</v>
      </c>
      <c r="BB4" s="773"/>
      <c r="BC4" s="774"/>
      <c r="BD4" s="775"/>
    </row>
    <row r="5" spans="1:60" ht="22.5" customHeight="1">
      <c r="A5" s="766"/>
      <c r="B5" s="766"/>
      <c r="C5" s="767" t="s">
        <v>163</v>
      </c>
      <c r="D5" s="767" t="s">
        <v>850</v>
      </c>
      <c r="E5" s="763" t="s">
        <v>796</v>
      </c>
      <c r="F5" s="764"/>
      <c r="G5" s="764"/>
      <c r="H5" s="765"/>
      <c r="I5" s="767" t="s">
        <v>163</v>
      </c>
      <c r="J5" s="767" t="s">
        <v>850</v>
      </c>
      <c r="K5" s="763" t="s">
        <v>796</v>
      </c>
      <c r="L5" s="764"/>
      <c r="M5" s="764"/>
      <c r="N5" s="765"/>
      <c r="O5" s="767" t="s">
        <v>163</v>
      </c>
      <c r="P5" s="767" t="s">
        <v>850</v>
      </c>
      <c r="Q5" s="763" t="s">
        <v>796</v>
      </c>
      <c r="R5" s="764"/>
      <c r="S5" s="764"/>
      <c r="T5" s="765"/>
      <c r="U5" s="767" t="s">
        <v>163</v>
      </c>
      <c r="V5" s="767" t="s">
        <v>850</v>
      </c>
      <c r="W5" s="763" t="s">
        <v>796</v>
      </c>
      <c r="X5" s="764"/>
      <c r="Y5" s="764"/>
      <c r="Z5" s="765"/>
      <c r="AA5" s="767" t="s">
        <v>163</v>
      </c>
      <c r="AB5" s="767" t="s">
        <v>850</v>
      </c>
      <c r="AC5" s="763" t="s">
        <v>796</v>
      </c>
      <c r="AD5" s="764"/>
      <c r="AE5" s="764"/>
      <c r="AF5" s="765"/>
      <c r="AG5" s="767" t="s">
        <v>163</v>
      </c>
      <c r="AH5" s="767" t="s">
        <v>850</v>
      </c>
      <c r="AI5" s="763" t="s">
        <v>796</v>
      </c>
      <c r="AJ5" s="764"/>
      <c r="AK5" s="764"/>
      <c r="AL5" s="765"/>
      <c r="AM5" s="767" t="s">
        <v>163</v>
      </c>
      <c r="AN5" s="767" t="s">
        <v>850</v>
      </c>
      <c r="AO5" s="763" t="s">
        <v>796</v>
      </c>
      <c r="AP5" s="764"/>
      <c r="AQ5" s="764"/>
      <c r="AR5" s="765"/>
      <c r="AS5" s="767" t="s">
        <v>163</v>
      </c>
      <c r="AT5" s="767" t="s">
        <v>850</v>
      </c>
      <c r="AU5" s="763" t="s">
        <v>796</v>
      </c>
      <c r="AV5" s="764"/>
      <c r="AW5" s="764"/>
      <c r="AX5" s="765"/>
      <c r="AY5" s="766"/>
      <c r="AZ5" s="766"/>
      <c r="BA5" s="776"/>
      <c r="BB5" s="777"/>
      <c r="BC5" s="777"/>
      <c r="BD5" s="778"/>
    </row>
    <row r="6" spans="1:60" ht="111.75" customHeight="1">
      <c r="A6" s="766"/>
      <c r="B6" s="766"/>
      <c r="C6" s="768"/>
      <c r="D6" s="768"/>
      <c r="E6" s="582" t="s">
        <v>283</v>
      </c>
      <c r="F6" s="582" t="s">
        <v>851</v>
      </c>
      <c r="G6" s="582" t="s">
        <v>797</v>
      </c>
      <c r="H6" s="582" t="s">
        <v>852</v>
      </c>
      <c r="I6" s="768"/>
      <c r="J6" s="768"/>
      <c r="K6" s="582" t="s">
        <v>283</v>
      </c>
      <c r="L6" s="582" t="s">
        <v>851</v>
      </c>
      <c r="M6" s="582" t="s">
        <v>797</v>
      </c>
      <c r="N6" s="582" t="s">
        <v>852</v>
      </c>
      <c r="O6" s="768"/>
      <c r="P6" s="768"/>
      <c r="Q6" s="582" t="s">
        <v>283</v>
      </c>
      <c r="R6" s="582" t="s">
        <v>851</v>
      </c>
      <c r="S6" s="582" t="s">
        <v>797</v>
      </c>
      <c r="T6" s="582" t="s">
        <v>852</v>
      </c>
      <c r="U6" s="768"/>
      <c r="V6" s="768"/>
      <c r="W6" s="582" t="s">
        <v>283</v>
      </c>
      <c r="X6" s="582" t="s">
        <v>851</v>
      </c>
      <c r="Y6" s="582" t="s">
        <v>797</v>
      </c>
      <c r="Z6" s="582" t="s">
        <v>852</v>
      </c>
      <c r="AA6" s="768"/>
      <c r="AB6" s="768"/>
      <c r="AC6" s="582" t="s">
        <v>283</v>
      </c>
      <c r="AD6" s="582" t="s">
        <v>851</v>
      </c>
      <c r="AE6" s="582" t="s">
        <v>797</v>
      </c>
      <c r="AF6" s="582" t="s">
        <v>852</v>
      </c>
      <c r="AG6" s="768"/>
      <c r="AH6" s="768"/>
      <c r="AI6" s="582" t="s">
        <v>283</v>
      </c>
      <c r="AJ6" s="582" t="s">
        <v>851</v>
      </c>
      <c r="AK6" s="582" t="s">
        <v>797</v>
      </c>
      <c r="AL6" s="582" t="s">
        <v>852</v>
      </c>
      <c r="AM6" s="768"/>
      <c r="AN6" s="768"/>
      <c r="AO6" s="582" t="s">
        <v>283</v>
      </c>
      <c r="AP6" s="582" t="s">
        <v>851</v>
      </c>
      <c r="AQ6" s="582" t="s">
        <v>797</v>
      </c>
      <c r="AR6" s="582" t="s">
        <v>852</v>
      </c>
      <c r="AS6" s="768"/>
      <c r="AT6" s="768"/>
      <c r="AU6" s="582" t="s">
        <v>283</v>
      </c>
      <c r="AV6" s="582" t="s">
        <v>851</v>
      </c>
      <c r="AW6" s="582" t="s">
        <v>797</v>
      </c>
      <c r="AX6" s="582" t="s">
        <v>852</v>
      </c>
      <c r="AY6" s="766"/>
      <c r="AZ6" s="766"/>
      <c r="BA6" s="582" t="s">
        <v>283</v>
      </c>
      <c r="BB6" s="582" t="s">
        <v>851</v>
      </c>
      <c r="BC6" s="582" t="s">
        <v>797</v>
      </c>
      <c r="BD6" s="582" t="s">
        <v>852</v>
      </c>
    </row>
    <row r="7" spans="1:60" s="602" customFormat="1" ht="30" customHeight="1">
      <c r="A7" s="583" t="s">
        <v>798</v>
      </c>
      <c r="B7" s="584" t="s">
        <v>799</v>
      </c>
      <c r="C7" s="585"/>
      <c r="D7" s="597"/>
      <c r="E7" s="585"/>
      <c r="F7" s="597"/>
      <c r="G7" s="585"/>
      <c r="H7" s="597"/>
      <c r="I7" s="585"/>
      <c r="J7" s="597"/>
      <c r="K7" s="585"/>
      <c r="L7" s="597"/>
      <c r="M7" s="585"/>
      <c r="N7" s="597"/>
      <c r="O7" s="585"/>
      <c r="P7" s="597"/>
      <c r="Q7" s="585"/>
      <c r="R7" s="597"/>
      <c r="S7" s="585"/>
      <c r="T7" s="597"/>
      <c r="U7" s="585"/>
      <c r="V7" s="597"/>
      <c r="W7" s="585"/>
      <c r="X7" s="597"/>
      <c r="Y7" s="585"/>
      <c r="Z7" s="597"/>
      <c r="AA7" s="585"/>
      <c r="AB7" s="597"/>
      <c r="AC7" s="585"/>
      <c r="AD7" s="597"/>
      <c r="AE7" s="585"/>
      <c r="AF7" s="597"/>
      <c r="AG7" s="585"/>
      <c r="AH7" s="597"/>
      <c r="AI7" s="585"/>
      <c r="AJ7" s="597"/>
      <c r="AK7" s="585"/>
      <c r="AL7" s="597"/>
      <c r="AM7" s="585"/>
      <c r="AN7" s="597"/>
      <c r="AO7" s="585"/>
      <c r="AP7" s="597"/>
      <c r="AQ7" s="585"/>
      <c r="AR7" s="597"/>
      <c r="AS7" s="585"/>
      <c r="AT7" s="597"/>
      <c r="AU7" s="585"/>
      <c r="AV7" s="597"/>
      <c r="AW7" s="585"/>
      <c r="AX7" s="597"/>
      <c r="AY7" s="585"/>
      <c r="AZ7" s="597"/>
      <c r="BA7" s="585"/>
      <c r="BB7" s="597"/>
      <c r="BC7" s="585"/>
      <c r="BD7" s="597"/>
      <c r="BF7" s="604"/>
      <c r="BG7" s="604"/>
    </row>
    <row r="8" spans="1:60" s="615" customFormat="1" ht="30">
      <c r="A8" s="586" t="s">
        <v>2</v>
      </c>
      <c r="B8" s="587" t="s">
        <v>800</v>
      </c>
      <c r="C8" s="613">
        <f>+E8+G8</f>
        <v>0</v>
      </c>
      <c r="D8" s="601">
        <f>IFERROR((((E8*F8)+(G8*H8))/C8),0)</f>
        <v>0</v>
      </c>
      <c r="E8" s="614"/>
      <c r="F8" s="628">
        <v>0</v>
      </c>
      <c r="G8" s="614"/>
      <c r="H8" s="628">
        <v>0</v>
      </c>
      <c r="I8" s="613">
        <f>+K8+M8</f>
        <v>0</v>
      </c>
      <c r="J8" s="601">
        <f>IFERROR((((K8*L8)+(M8*N8))/I8),0)</f>
        <v>0</v>
      </c>
      <c r="K8" s="614"/>
      <c r="L8" s="628">
        <v>0</v>
      </c>
      <c r="M8" s="614"/>
      <c r="N8" s="628">
        <v>0</v>
      </c>
      <c r="O8" s="613">
        <f>+Q8+S8</f>
        <v>0</v>
      </c>
      <c r="P8" s="601">
        <f>IFERROR((((Q8*R8)+(S8*T8))/O8),0)</f>
        <v>0</v>
      </c>
      <c r="Q8" s="614"/>
      <c r="R8" s="628">
        <v>0</v>
      </c>
      <c r="S8" s="614"/>
      <c r="T8" s="628">
        <v>0</v>
      </c>
      <c r="U8" s="613">
        <f>+W8+Y8</f>
        <v>0</v>
      </c>
      <c r="V8" s="601">
        <f>IFERROR((((W8*X8)+(Y8*Z8))/U8),0)</f>
        <v>0</v>
      </c>
      <c r="W8" s="614"/>
      <c r="X8" s="628">
        <v>0</v>
      </c>
      <c r="Y8" s="614"/>
      <c r="Z8" s="628">
        <v>0</v>
      </c>
      <c r="AA8" s="613">
        <f>+AC8+AE8</f>
        <v>0</v>
      </c>
      <c r="AB8" s="601">
        <f>IFERROR((((AC8*AD8)+(AE8*AF8))/AA8),0)</f>
        <v>0</v>
      </c>
      <c r="AC8" s="614"/>
      <c r="AD8" s="628">
        <v>0</v>
      </c>
      <c r="AE8" s="614"/>
      <c r="AF8" s="628">
        <v>0</v>
      </c>
      <c r="AG8" s="613">
        <f>+AI8+AK8</f>
        <v>0</v>
      </c>
      <c r="AH8" s="601">
        <f>IFERROR((((AI8*AJ8)+(AK8*AL8))/AG8),0)</f>
        <v>0</v>
      </c>
      <c r="AI8" s="614"/>
      <c r="AJ8" s="628">
        <v>0</v>
      </c>
      <c r="AK8" s="614"/>
      <c r="AL8" s="628">
        <v>0</v>
      </c>
      <c r="AM8" s="613">
        <f>+AO8+AQ8</f>
        <v>0</v>
      </c>
      <c r="AN8" s="601">
        <f>IFERROR((((AO8*AP8)+(AQ8*AR8))/AM8),0)</f>
        <v>0</v>
      </c>
      <c r="AO8" s="614"/>
      <c r="AP8" s="628">
        <v>0</v>
      </c>
      <c r="AQ8" s="614">
        <v>0</v>
      </c>
      <c r="AR8" s="628">
        <v>0</v>
      </c>
      <c r="AS8" s="613">
        <f>+AU8+AW8</f>
        <v>0</v>
      </c>
      <c r="AT8" s="601">
        <f>IFERROR((((AU8*AV8)+(AW8*AX8))/AS8),0)</f>
        <v>0</v>
      </c>
      <c r="AU8" s="614">
        <v>0</v>
      </c>
      <c r="AV8" s="628">
        <v>0</v>
      </c>
      <c r="AW8" s="614">
        <v>0</v>
      </c>
      <c r="AX8" s="628">
        <v>0</v>
      </c>
      <c r="AY8" s="588">
        <f t="shared" ref="AY8:AY20" si="0">+C8+I8+O8+U8+AA8+AG8+AM8+AS8</f>
        <v>0</v>
      </c>
      <c r="AZ8" s="598">
        <f t="shared" ref="AZ8:AZ20" si="1">IFERROR(((C8*D8)/AY8)+((I8*J8)/AY8)+((O8*P8)/AY8)+((U8*V8)/AY8)+((AA8*AB8)/AY8)+((AG8*AH8)/AY8)+((AM8*AN8)/AY8)+((AS8*AT8)/AY8),0)</f>
        <v>0</v>
      </c>
      <c r="BA8" s="588">
        <f t="shared" ref="BA8:BA20" si="2">+E8+K8+Q8+W8+AC8+AI8+AO8+AU8</f>
        <v>0</v>
      </c>
      <c r="BB8" s="598">
        <f t="shared" ref="BB8:BB20" si="3">IFERROR(((E8*F8)/BA8)+((K8*L8)/BA8)+((Q8*R8)/BA8)+((W8*X8)/BA8)+((AC8*AD8)/BA8)+((AI8*AJ8)/BA8)+((AO8*AP8)/BA8)+((AU8*AV8)/BA8),0)</f>
        <v>0</v>
      </c>
      <c r="BC8" s="588">
        <f t="shared" ref="BC8:BC20" si="4">+G8+M8+S8+Y8+AE8+AK8+AQ8+AW8</f>
        <v>0</v>
      </c>
      <c r="BD8" s="598">
        <f t="shared" ref="BD8:BD20" si="5">IFERROR(((G8*H8)/BC8)+((M8*N8)/BC8)+((S8*T8)/BC8)+((Y8*Z8)/BC8)+((AE8*AF8)/BC8)+((AK8*AL8)/BC8)+((AQ8*AR8)/BC8)+((AW8*AX8)/BC8),0)</f>
        <v>0</v>
      </c>
      <c r="BF8" s="605"/>
      <c r="BG8" s="605"/>
    </row>
    <row r="9" spans="1:60" s="615" customFormat="1" ht="30" customHeight="1">
      <c r="A9" s="586" t="s">
        <v>5</v>
      </c>
      <c r="B9" s="587" t="s">
        <v>801</v>
      </c>
      <c r="C9" s="613">
        <f t="shared" ref="C9:C20" si="6">+E9+G9</f>
        <v>0</v>
      </c>
      <c r="D9" s="601">
        <f t="shared" ref="D9:D20" si="7">IFERROR((((E9*F9)+(G9*H9))/C9),0)</f>
        <v>0</v>
      </c>
      <c r="E9" s="614"/>
      <c r="F9" s="628">
        <v>0</v>
      </c>
      <c r="G9" s="614"/>
      <c r="H9" s="628">
        <v>0</v>
      </c>
      <c r="I9" s="613">
        <f t="shared" ref="I9:I20" si="8">+K9+M9</f>
        <v>533333.3330000001</v>
      </c>
      <c r="J9" s="601">
        <f t="shared" ref="J9:J20" si="9">IFERROR((((K9*L9)+(M9*N9))/I9),0)</f>
        <v>9.7499999998687498E-2</v>
      </c>
      <c r="K9" s="614">
        <v>533333.3330000001</v>
      </c>
      <c r="L9" s="628">
        <v>9.7499999998687498E-2</v>
      </c>
      <c r="M9" s="614"/>
      <c r="N9" s="628"/>
      <c r="O9" s="613">
        <f t="shared" ref="O9:O20" si="10">+Q9+S9</f>
        <v>0</v>
      </c>
      <c r="P9" s="601">
        <f t="shared" ref="P9:P20" si="11">IFERROR((((Q9*R9)+(S9*T9))/O9),0)</f>
        <v>0</v>
      </c>
      <c r="Q9" s="614"/>
      <c r="R9" s="628"/>
      <c r="S9" s="614"/>
      <c r="T9" s="628"/>
      <c r="U9" s="613">
        <f t="shared" ref="U9:U20" si="12">+W9+Y9</f>
        <v>1394461807.998534</v>
      </c>
      <c r="V9" s="601">
        <f t="shared" ref="V9:V20" si="13">IFERROR((((W9*X9)+(Y9*Z9))/U9),0)</f>
        <v>7.2931982374217413E-2</v>
      </c>
      <c r="W9" s="614">
        <v>55946920.189999998</v>
      </c>
      <c r="X9" s="628">
        <v>0.16615376814542757</v>
      </c>
      <c r="Y9" s="614">
        <v>1338514887.8085339</v>
      </c>
      <c r="Z9" s="628">
        <v>6.9035520813711254E-2</v>
      </c>
      <c r="AA9" s="613">
        <f t="shared" ref="AA9:AA20" si="14">+AC9+AE9</f>
        <v>1437790528.4427159</v>
      </c>
      <c r="AB9" s="601">
        <f t="shared" ref="AB9:AB20" si="15">IFERROR((((AC9*AD9)+(AE9*AF9))/AA9),0)</f>
        <v>8.5604921783292362E-2</v>
      </c>
      <c r="AC9" s="614">
        <v>171935790.51668</v>
      </c>
      <c r="AD9" s="628">
        <v>0.17042626006734352</v>
      </c>
      <c r="AE9" s="614">
        <v>1265854737.9260359</v>
      </c>
      <c r="AF9" s="628">
        <v>7.4083991763750745E-2</v>
      </c>
      <c r="AG9" s="613">
        <f t="shared" ref="AG9:AG20" si="16">+AI9+AK9</f>
        <v>1210103812.2109613</v>
      </c>
      <c r="AH9" s="601">
        <f t="shared" ref="AH9:AH20" si="17">IFERROR((((AI9*AJ9)+(AK9*AL9))/AG9),0)</f>
        <v>0.10095202462048525</v>
      </c>
      <c r="AI9" s="614">
        <v>324823094.99777001</v>
      </c>
      <c r="AJ9" s="628">
        <v>0.17953566525605597</v>
      </c>
      <c r="AK9" s="614">
        <v>885280717.21319139</v>
      </c>
      <c r="AL9" s="628">
        <v>7.2118479654327855E-2</v>
      </c>
      <c r="AM9" s="613">
        <f t="shared" ref="AM9:AM20" si="18">+AO9+AQ9</f>
        <v>1130734531.9975429</v>
      </c>
      <c r="AN9" s="601">
        <f t="shared" ref="AN9:AN20" si="19">IFERROR((((AO9*AP9)+(AQ9*AR9))/AM9),0)</f>
        <v>0.12049882414016101</v>
      </c>
      <c r="AO9" s="614">
        <v>553006207.25011003</v>
      </c>
      <c r="AP9" s="628">
        <v>0.17468359738070405</v>
      </c>
      <c r="AQ9" s="614">
        <v>577728324.74743283</v>
      </c>
      <c r="AR9" s="628">
        <v>6.8632722623397729E-2</v>
      </c>
      <c r="AS9" s="613">
        <f t="shared" ref="AS9:AS20" si="20">+AU9+AW9</f>
        <v>1229058477.0912549</v>
      </c>
      <c r="AT9" s="601">
        <f t="shared" ref="AT9:AT20" si="21">IFERROR((((AU9*AV9)+(AW9*AX9))/AS9),0)</f>
        <v>6.3659538639496804E-2</v>
      </c>
      <c r="AU9" s="614">
        <v>129312114.10862</v>
      </c>
      <c r="AV9" s="628">
        <v>8.6020328385010572E-2</v>
      </c>
      <c r="AW9" s="614">
        <v>1099746362.982635</v>
      </c>
      <c r="AX9" s="628">
        <v>6.1030276936563224E-2</v>
      </c>
      <c r="AY9" s="588">
        <f t="shared" si="0"/>
        <v>6402682491.0740089</v>
      </c>
      <c r="AZ9" s="598">
        <f t="shared" si="1"/>
        <v>8.7696167581313419E-2</v>
      </c>
      <c r="BA9" s="588">
        <f t="shared" si="2"/>
        <v>1235557460.3961799</v>
      </c>
      <c r="BB9" s="598">
        <f t="shared" si="3"/>
        <v>0.16566779493732334</v>
      </c>
      <c r="BC9" s="588">
        <f t="shared" si="4"/>
        <v>5167125030.6778288</v>
      </c>
      <c r="BD9" s="598">
        <f t="shared" si="5"/>
        <v>6.9051674694654716E-2</v>
      </c>
      <c r="BF9" s="605"/>
      <c r="BG9" s="605"/>
    </row>
    <row r="10" spans="1:60" s="615" customFormat="1" ht="23.25" customHeight="1">
      <c r="A10" s="586" t="s">
        <v>6</v>
      </c>
      <c r="B10" s="587" t="s">
        <v>802</v>
      </c>
      <c r="C10" s="613">
        <f t="shared" si="6"/>
        <v>0</v>
      </c>
      <c r="D10" s="601">
        <f t="shared" si="7"/>
        <v>0</v>
      </c>
      <c r="E10" s="614">
        <v>0</v>
      </c>
      <c r="F10" s="628">
        <v>0</v>
      </c>
      <c r="G10" s="614"/>
      <c r="H10" s="628">
        <v>0</v>
      </c>
      <c r="I10" s="613">
        <f t="shared" si="8"/>
        <v>0</v>
      </c>
      <c r="J10" s="601">
        <f t="shared" si="9"/>
        <v>0</v>
      </c>
      <c r="K10" s="614"/>
      <c r="L10" s="628"/>
      <c r="M10" s="614"/>
      <c r="N10" s="628">
        <v>0</v>
      </c>
      <c r="O10" s="613">
        <f t="shared" si="10"/>
        <v>258416018.17566001</v>
      </c>
      <c r="P10" s="601">
        <f t="shared" si="11"/>
        <v>0.17866441194392405</v>
      </c>
      <c r="Q10" s="614">
        <v>258416018.17566001</v>
      </c>
      <c r="R10" s="628">
        <v>0.17866441194392405</v>
      </c>
      <c r="S10" s="614"/>
      <c r="T10" s="628">
        <v>0</v>
      </c>
      <c r="U10" s="613">
        <f t="shared" si="12"/>
        <v>0</v>
      </c>
      <c r="V10" s="601">
        <f t="shared" si="13"/>
        <v>0</v>
      </c>
      <c r="W10" s="614"/>
      <c r="X10" s="628"/>
      <c r="Y10" s="614"/>
      <c r="Z10" s="628">
        <v>0</v>
      </c>
      <c r="AA10" s="613">
        <f t="shared" si="14"/>
        <v>582684020.50859988</v>
      </c>
      <c r="AB10" s="601">
        <f t="shared" si="15"/>
        <v>0.17447496367839618</v>
      </c>
      <c r="AC10" s="614">
        <v>582684020.50859988</v>
      </c>
      <c r="AD10" s="628">
        <v>0.17447496367839618</v>
      </c>
      <c r="AE10" s="614"/>
      <c r="AF10" s="628">
        <v>0</v>
      </c>
      <c r="AG10" s="613">
        <f t="shared" si="16"/>
        <v>1093499780.9463904</v>
      </c>
      <c r="AH10" s="601">
        <f t="shared" si="17"/>
        <v>0.17262104852095872</v>
      </c>
      <c r="AI10" s="614">
        <v>1093499780.9463904</v>
      </c>
      <c r="AJ10" s="628">
        <v>0.17262104852095872</v>
      </c>
      <c r="AK10" s="614"/>
      <c r="AL10" s="628">
        <v>0</v>
      </c>
      <c r="AM10" s="613">
        <f t="shared" si="18"/>
        <v>1074104751.5939095</v>
      </c>
      <c r="AN10" s="601">
        <f t="shared" si="19"/>
        <v>0.16795472409619625</v>
      </c>
      <c r="AO10" s="614">
        <v>1074104751.5939095</v>
      </c>
      <c r="AP10" s="628">
        <v>0.16795472409619625</v>
      </c>
      <c r="AQ10" s="614"/>
      <c r="AR10" s="628">
        <v>0</v>
      </c>
      <c r="AS10" s="613">
        <f t="shared" si="20"/>
        <v>3940758629.853838</v>
      </c>
      <c r="AT10" s="601">
        <f t="shared" si="21"/>
        <v>0.1123232165030857</v>
      </c>
      <c r="AU10" s="614">
        <v>2452404417.9798784</v>
      </c>
      <c r="AV10" s="628">
        <v>0.13194004440919013</v>
      </c>
      <c r="AW10" s="614">
        <v>1488354211.8739598</v>
      </c>
      <c r="AX10" s="628">
        <v>0.08</v>
      </c>
      <c r="AY10" s="588">
        <f t="shared" si="0"/>
        <v>6949463201.0783978</v>
      </c>
      <c r="AZ10" s="598">
        <f t="shared" si="1"/>
        <v>0.13808753599929852</v>
      </c>
      <c r="BA10" s="588">
        <f t="shared" si="2"/>
        <v>5461108989.2044382</v>
      </c>
      <c r="BB10" s="598">
        <f t="shared" si="3"/>
        <v>0.15391853827975854</v>
      </c>
      <c r="BC10" s="588">
        <f t="shared" si="4"/>
        <v>1488354211.8739598</v>
      </c>
      <c r="BD10" s="598">
        <f t="shared" si="5"/>
        <v>0.08</v>
      </c>
      <c r="BF10" s="605"/>
      <c r="BG10" s="605"/>
    </row>
    <row r="11" spans="1:60" s="615" customFormat="1" ht="33" customHeight="1">
      <c r="A11" s="586" t="s">
        <v>4</v>
      </c>
      <c r="B11" s="587" t="s">
        <v>803</v>
      </c>
      <c r="C11" s="613">
        <f t="shared" si="6"/>
        <v>0</v>
      </c>
      <c r="D11" s="601">
        <f t="shared" si="7"/>
        <v>0</v>
      </c>
      <c r="E11" s="614"/>
      <c r="F11" s="628"/>
      <c r="G11" s="614"/>
      <c r="H11" s="628"/>
      <c r="I11" s="613">
        <f t="shared" si="8"/>
        <v>0</v>
      </c>
      <c r="J11" s="601">
        <f t="shared" si="9"/>
        <v>0</v>
      </c>
      <c r="K11" s="614"/>
      <c r="L11" s="628"/>
      <c r="M11" s="614"/>
      <c r="N11" s="628"/>
      <c r="O11" s="613">
        <f t="shared" si="10"/>
        <v>0</v>
      </c>
      <c r="P11" s="601">
        <f t="shared" si="11"/>
        <v>0</v>
      </c>
      <c r="Q11" s="614"/>
      <c r="R11" s="628"/>
      <c r="S11" s="614"/>
      <c r="T11" s="628"/>
      <c r="U11" s="613">
        <f t="shared" si="12"/>
        <v>0</v>
      </c>
      <c r="V11" s="601">
        <f t="shared" si="13"/>
        <v>0</v>
      </c>
      <c r="W11" s="614"/>
      <c r="X11" s="628"/>
      <c r="Y11" s="614"/>
      <c r="Z11" s="628"/>
      <c r="AA11" s="613">
        <f t="shared" si="14"/>
        <v>0</v>
      </c>
      <c r="AB11" s="601">
        <f t="shared" si="15"/>
        <v>0</v>
      </c>
      <c r="AC11" s="614"/>
      <c r="AD11" s="628"/>
      <c r="AE11" s="614"/>
      <c r="AF11" s="628"/>
      <c r="AG11" s="613">
        <f t="shared" si="16"/>
        <v>0</v>
      </c>
      <c r="AH11" s="601">
        <f t="shared" si="17"/>
        <v>0</v>
      </c>
      <c r="AI11" s="614"/>
      <c r="AJ11" s="628"/>
      <c r="AK11" s="614"/>
      <c r="AL11" s="628"/>
      <c r="AM11" s="613">
        <f t="shared" si="18"/>
        <v>0</v>
      </c>
      <c r="AN11" s="601">
        <f t="shared" si="19"/>
        <v>0</v>
      </c>
      <c r="AO11" s="614"/>
      <c r="AP11" s="628"/>
      <c r="AQ11" s="614"/>
      <c r="AR11" s="628"/>
      <c r="AS11" s="613">
        <f t="shared" si="20"/>
        <v>65000000</v>
      </c>
      <c r="AT11" s="601">
        <f t="shared" si="21"/>
        <v>0.19</v>
      </c>
      <c r="AU11" s="614">
        <v>65000000</v>
      </c>
      <c r="AV11" s="628">
        <v>0.19</v>
      </c>
      <c r="AW11" s="614"/>
      <c r="AX11" s="628"/>
      <c r="AY11" s="588">
        <f t="shared" si="0"/>
        <v>65000000</v>
      </c>
      <c r="AZ11" s="598">
        <f t="shared" si="1"/>
        <v>0.19</v>
      </c>
      <c r="BA11" s="588">
        <f t="shared" si="2"/>
        <v>65000000</v>
      </c>
      <c r="BB11" s="598">
        <f t="shared" si="3"/>
        <v>0.19</v>
      </c>
      <c r="BC11" s="588">
        <f t="shared" si="4"/>
        <v>0</v>
      </c>
      <c r="BD11" s="598">
        <f t="shared" si="5"/>
        <v>0</v>
      </c>
      <c r="BF11" s="605">
        <f>+'[8]Bank Assets Analysis'!$S$23</f>
        <v>65000000</v>
      </c>
      <c r="BG11" s="605">
        <f>+AY11+'IRRBB_floating%'!AY11</f>
        <v>65000000</v>
      </c>
      <c r="BH11" s="616">
        <f>+BF11-BG11</f>
        <v>0</v>
      </c>
    </row>
    <row r="12" spans="1:60" s="615" customFormat="1" ht="52.5" customHeight="1">
      <c r="A12" s="586" t="s">
        <v>3</v>
      </c>
      <c r="B12" s="587" t="s">
        <v>804</v>
      </c>
      <c r="C12" s="613">
        <f t="shared" si="6"/>
        <v>0</v>
      </c>
      <c r="D12" s="601">
        <f t="shared" si="7"/>
        <v>0</v>
      </c>
      <c r="E12" s="614"/>
      <c r="F12" s="628"/>
      <c r="G12" s="614"/>
      <c r="H12" s="628"/>
      <c r="I12" s="613">
        <f t="shared" si="8"/>
        <v>0</v>
      </c>
      <c r="J12" s="601">
        <f t="shared" si="9"/>
        <v>0</v>
      </c>
      <c r="K12" s="614"/>
      <c r="L12" s="628"/>
      <c r="M12" s="614"/>
      <c r="N12" s="628"/>
      <c r="O12" s="613">
        <f t="shared" si="10"/>
        <v>0</v>
      </c>
      <c r="P12" s="601">
        <f t="shared" si="11"/>
        <v>0</v>
      </c>
      <c r="Q12" s="614"/>
      <c r="R12" s="628"/>
      <c r="S12" s="614"/>
      <c r="T12" s="628"/>
      <c r="U12" s="613">
        <f t="shared" si="12"/>
        <v>0</v>
      </c>
      <c r="V12" s="601">
        <f t="shared" si="13"/>
        <v>0</v>
      </c>
      <c r="W12" s="614"/>
      <c r="X12" s="628"/>
      <c r="Y12" s="614"/>
      <c r="Z12" s="628"/>
      <c r="AA12" s="613">
        <f t="shared" si="14"/>
        <v>0</v>
      </c>
      <c r="AB12" s="601">
        <f t="shared" si="15"/>
        <v>0</v>
      </c>
      <c r="AC12" s="614"/>
      <c r="AD12" s="628"/>
      <c r="AE12" s="614"/>
      <c r="AF12" s="628"/>
      <c r="AG12" s="613">
        <f t="shared" si="16"/>
        <v>0</v>
      </c>
      <c r="AH12" s="601">
        <f t="shared" si="17"/>
        <v>0</v>
      </c>
      <c r="AI12" s="614"/>
      <c r="AJ12" s="628"/>
      <c r="AK12" s="614"/>
      <c r="AL12" s="628"/>
      <c r="AM12" s="613">
        <f t="shared" si="18"/>
        <v>0</v>
      </c>
      <c r="AN12" s="601">
        <f t="shared" si="19"/>
        <v>0</v>
      </c>
      <c r="AO12" s="614"/>
      <c r="AP12" s="628"/>
      <c r="AQ12" s="614"/>
      <c r="AR12" s="628"/>
      <c r="AS12" s="613">
        <f t="shared" si="20"/>
        <v>0</v>
      </c>
      <c r="AT12" s="601">
        <f t="shared" si="21"/>
        <v>0</v>
      </c>
      <c r="AU12" s="614"/>
      <c r="AV12" s="628"/>
      <c r="AW12" s="614"/>
      <c r="AX12" s="628"/>
      <c r="AY12" s="588">
        <f t="shared" si="0"/>
        <v>0</v>
      </c>
      <c r="AZ12" s="598">
        <f t="shared" si="1"/>
        <v>0</v>
      </c>
      <c r="BA12" s="588">
        <f t="shared" si="2"/>
        <v>0</v>
      </c>
      <c r="BB12" s="598">
        <f t="shared" si="3"/>
        <v>0</v>
      </c>
      <c r="BC12" s="588">
        <f t="shared" si="4"/>
        <v>0</v>
      </c>
      <c r="BD12" s="598">
        <f t="shared" si="5"/>
        <v>0</v>
      </c>
      <c r="BF12" s="605">
        <f>+'[8]Bank Assets Analysis'!$S$24</f>
        <v>0</v>
      </c>
      <c r="BG12" s="605">
        <f>+AY12+'IRRBB_floating%'!AY12</f>
        <v>0</v>
      </c>
      <c r="BH12" s="616">
        <f t="shared" ref="BH12:BH19" si="22">+BF12-BG12</f>
        <v>0</v>
      </c>
    </row>
    <row r="13" spans="1:60" s="615" customFormat="1" ht="36.75" customHeight="1">
      <c r="A13" s="586" t="s">
        <v>8</v>
      </c>
      <c r="B13" s="587" t="s">
        <v>805</v>
      </c>
      <c r="C13" s="613">
        <f t="shared" si="6"/>
        <v>0</v>
      </c>
      <c r="D13" s="601">
        <f t="shared" si="7"/>
        <v>0</v>
      </c>
      <c r="E13" s="614"/>
      <c r="F13" s="628">
        <v>0</v>
      </c>
      <c r="G13" s="614"/>
      <c r="H13" s="628">
        <v>0</v>
      </c>
      <c r="I13" s="613">
        <f t="shared" si="8"/>
        <v>0</v>
      </c>
      <c r="J13" s="601">
        <f t="shared" si="9"/>
        <v>0</v>
      </c>
      <c r="K13" s="614"/>
      <c r="L13" s="628"/>
      <c r="M13" s="614"/>
      <c r="N13" s="628"/>
      <c r="O13" s="613">
        <f t="shared" si="10"/>
        <v>0</v>
      </c>
      <c r="P13" s="601">
        <f t="shared" si="11"/>
        <v>0</v>
      </c>
      <c r="Q13" s="614"/>
      <c r="R13" s="628"/>
      <c r="S13" s="614"/>
      <c r="T13" s="628"/>
      <c r="U13" s="613">
        <f t="shared" si="12"/>
        <v>0</v>
      </c>
      <c r="V13" s="601">
        <f t="shared" si="13"/>
        <v>0</v>
      </c>
      <c r="W13" s="614"/>
      <c r="X13" s="628"/>
      <c r="Y13" s="614"/>
      <c r="Z13" s="628"/>
      <c r="AA13" s="613">
        <f t="shared" si="14"/>
        <v>0</v>
      </c>
      <c r="AB13" s="601">
        <f t="shared" si="15"/>
        <v>0</v>
      </c>
      <c r="AC13" s="614"/>
      <c r="AD13" s="628"/>
      <c r="AE13" s="614"/>
      <c r="AF13" s="628"/>
      <c r="AG13" s="613">
        <f t="shared" si="16"/>
        <v>0</v>
      </c>
      <c r="AH13" s="601">
        <f t="shared" si="17"/>
        <v>0</v>
      </c>
      <c r="AI13" s="614"/>
      <c r="AJ13" s="628"/>
      <c r="AK13" s="614"/>
      <c r="AL13" s="628"/>
      <c r="AM13" s="613">
        <f t="shared" si="18"/>
        <v>0</v>
      </c>
      <c r="AN13" s="601">
        <f t="shared" si="19"/>
        <v>0</v>
      </c>
      <c r="AO13" s="614"/>
      <c r="AP13" s="628"/>
      <c r="AQ13" s="614"/>
      <c r="AR13" s="628"/>
      <c r="AS13" s="613">
        <f t="shared" si="20"/>
        <v>0</v>
      </c>
      <c r="AT13" s="601">
        <f t="shared" si="21"/>
        <v>0</v>
      </c>
      <c r="AU13" s="614"/>
      <c r="AV13" s="628"/>
      <c r="AW13" s="614"/>
      <c r="AX13" s="628"/>
      <c r="AY13" s="588">
        <f t="shared" si="0"/>
        <v>0</v>
      </c>
      <c r="AZ13" s="598">
        <f t="shared" si="1"/>
        <v>0</v>
      </c>
      <c r="BA13" s="588">
        <f t="shared" si="2"/>
        <v>0</v>
      </c>
      <c r="BB13" s="598">
        <f t="shared" si="3"/>
        <v>0</v>
      </c>
      <c r="BC13" s="588">
        <f t="shared" si="4"/>
        <v>0</v>
      </c>
      <c r="BD13" s="598">
        <f t="shared" si="5"/>
        <v>0</v>
      </c>
      <c r="BF13" s="605">
        <f>+'[8]Bank Assets Analysis'!$S$26</f>
        <v>228458304</v>
      </c>
      <c r="BG13" s="605">
        <f>+AY13+'IRRBB_floating%'!AY13</f>
        <v>0</v>
      </c>
      <c r="BH13" s="616">
        <f t="shared" si="22"/>
        <v>228458304</v>
      </c>
    </row>
    <row r="14" spans="1:60" s="615" customFormat="1" ht="33" customHeight="1">
      <c r="A14" s="586" t="s">
        <v>7</v>
      </c>
      <c r="B14" s="587" t="s">
        <v>806</v>
      </c>
      <c r="C14" s="613">
        <f t="shared" si="6"/>
        <v>0</v>
      </c>
      <c r="D14" s="601">
        <f t="shared" si="7"/>
        <v>0</v>
      </c>
      <c r="E14" s="614"/>
      <c r="F14" s="628"/>
      <c r="G14" s="614"/>
      <c r="H14" s="628"/>
      <c r="I14" s="613">
        <f t="shared" si="8"/>
        <v>0</v>
      </c>
      <c r="J14" s="601">
        <f t="shared" si="9"/>
        <v>0</v>
      </c>
      <c r="K14" s="614"/>
      <c r="L14" s="628"/>
      <c r="M14" s="614"/>
      <c r="N14" s="628"/>
      <c r="O14" s="613">
        <f t="shared" si="10"/>
        <v>0</v>
      </c>
      <c r="P14" s="601">
        <f t="shared" si="11"/>
        <v>0</v>
      </c>
      <c r="Q14" s="614"/>
      <c r="R14" s="628"/>
      <c r="S14" s="614"/>
      <c r="T14" s="628"/>
      <c r="U14" s="613">
        <f t="shared" si="12"/>
        <v>0</v>
      </c>
      <c r="V14" s="601">
        <f t="shared" si="13"/>
        <v>0</v>
      </c>
      <c r="W14" s="614"/>
      <c r="X14" s="628"/>
      <c r="Y14" s="614"/>
      <c r="Z14" s="628"/>
      <c r="AA14" s="613">
        <f t="shared" si="14"/>
        <v>0</v>
      </c>
      <c r="AB14" s="601">
        <f t="shared" si="15"/>
        <v>0</v>
      </c>
      <c r="AC14" s="614"/>
      <c r="AD14" s="628"/>
      <c r="AE14" s="614"/>
      <c r="AF14" s="628"/>
      <c r="AG14" s="613">
        <f t="shared" si="16"/>
        <v>0</v>
      </c>
      <c r="AH14" s="601">
        <f t="shared" si="17"/>
        <v>0</v>
      </c>
      <c r="AI14" s="614"/>
      <c r="AJ14" s="628"/>
      <c r="AK14" s="614"/>
      <c r="AL14" s="628"/>
      <c r="AM14" s="613">
        <f t="shared" si="18"/>
        <v>0</v>
      </c>
      <c r="AN14" s="601">
        <f t="shared" si="19"/>
        <v>0</v>
      </c>
      <c r="AO14" s="614"/>
      <c r="AP14" s="628"/>
      <c r="AQ14" s="614"/>
      <c r="AR14" s="628"/>
      <c r="AS14" s="613">
        <f t="shared" si="20"/>
        <v>0</v>
      </c>
      <c r="AT14" s="601">
        <f t="shared" si="21"/>
        <v>0</v>
      </c>
      <c r="AU14" s="614"/>
      <c r="AV14" s="628"/>
      <c r="AW14" s="614"/>
      <c r="AX14" s="628"/>
      <c r="AY14" s="588">
        <f t="shared" si="0"/>
        <v>0</v>
      </c>
      <c r="AZ14" s="598">
        <f t="shared" si="1"/>
        <v>0</v>
      </c>
      <c r="BA14" s="588">
        <f t="shared" si="2"/>
        <v>0</v>
      </c>
      <c r="BB14" s="598">
        <f t="shared" si="3"/>
        <v>0</v>
      </c>
      <c r="BC14" s="588">
        <f t="shared" si="4"/>
        <v>0</v>
      </c>
      <c r="BD14" s="598">
        <f t="shared" si="5"/>
        <v>0</v>
      </c>
      <c r="BF14" s="605">
        <f>+'[8]Bank Assets Analysis'!$S$27</f>
        <v>0</v>
      </c>
      <c r="BG14" s="605">
        <f>+AY14+'IRRBB_floating%'!AY14</f>
        <v>0</v>
      </c>
      <c r="BH14" s="616">
        <f t="shared" si="22"/>
        <v>0</v>
      </c>
    </row>
    <row r="15" spans="1:60" s="615" customFormat="1" ht="20.25" customHeight="1">
      <c r="A15" s="586" t="s">
        <v>809</v>
      </c>
      <c r="B15" s="587" t="s">
        <v>807</v>
      </c>
      <c r="C15" s="613">
        <f t="shared" si="6"/>
        <v>0</v>
      </c>
      <c r="D15" s="601">
        <f t="shared" si="7"/>
        <v>0</v>
      </c>
      <c r="E15" s="614"/>
      <c r="F15" s="628">
        <v>0</v>
      </c>
      <c r="G15" s="614"/>
      <c r="H15" s="628">
        <v>0</v>
      </c>
      <c r="I15" s="613">
        <f t="shared" si="8"/>
        <v>0</v>
      </c>
      <c r="J15" s="601">
        <f t="shared" si="9"/>
        <v>0</v>
      </c>
      <c r="K15" s="614"/>
      <c r="L15" s="628">
        <v>0</v>
      </c>
      <c r="M15" s="614"/>
      <c r="N15" s="628">
        <v>0</v>
      </c>
      <c r="O15" s="613">
        <f t="shared" si="10"/>
        <v>0</v>
      </c>
      <c r="P15" s="601">
        <f t="shared" si="11"/>
        <v>0</v>
      </c>
      <c r="Q15" s="614"/>
      <c r="R15" s="628"/>
      <c r="S15" s="614"/>
      <c r="T15" s="628"/>
      <c r="U15" s="613">
        <f t="shared" si="12"/>
        <v>0</v>
      </c>
      <c r="V15" s="601">
        <f t="shared" si="13"/>
        <v>0</v>
      </c>
      <c r="W15" s="614"/>
      <c r="X15" s="628"/>
      <c r="Y15" s="614"/>
      <c r="Z15" s="628"/>
      <c r="AA15" s="613">
        <f t="shared" si="14"/>
        <v>0</v>
      </c>
      <c r="AB15" s="601">
        <f t="shared" si="15"/>
        <v>0</v>
      </c>
      <c r="AC15" s="614"/>
      <c r="AD15" s="628"/>
      <c r="AE15" s="614"/>
      <c r="AF15" s="628"/>
      <c r="AG15" s="613">
        <f t="shared" si="16"/>
        <v>0</v>
      </c>
      <c r="AH15" s="601">
        <f t="shared" si="17"/>
        <v>0</v>
      </c>
      <c r="AI15" s="614"/>
      <c r="AJ15" s="628"/>
      <c r="AK15" s="614"/>
      <c r="AL15" s="628"/>
      <c r="AM15" s="613">
        <f t="shared" si="18"/>
        <v>0</v>
      </c>
      <c r="AN15" s="601">
        <f t="shared" si="19"/>
        <v>0</v>
      </c>
      <c r="AO15" s="614"/>
      <c r="AP15" s="628"/>
      <c r="AQ15" s="614"/>
      <c r="AR15" s="628"/>
      <c r="AS15" s="613">
        <f t="shared" si="20"/>
        <v>0</v>
      </c>
      <c r="AT15" s="601">
        <f t="shared" si="21"/>
        <v>0</v>
      </c>
      <c r="AU15" s="614"/>
      <c r="AV15" s="628"/>
      <c r="AW15" s="614"/>
      <c r="AX15" s="628"/>
      <c r="AY15" s="588">
        <f t="shared" si="0"/>
        <v>0</v>
      </c>
      <c r="AZ15" s="598">
        <f t="shared" si="1"/>
        <v>0</v>
      </c>
      <c r="BA15" s="588">
        <f t="shared" si="2"/>
        <v>0</v>
      </c>
      <c r="BB15" s="598">
        <f t="shared" si="3"/>
        <v>0</v>
      </c>
      <c r="BC15" s="588">
        <f t="shared" si="4"/>
        <v>0</v>
      </c>
      <c r="BD15" s="598">
        <f t="shared" si="5"/>
        <v>0</v>
      </c>
      <c r="BF15" s="605">
        <f>+'[8]Bank Assets Analysis'!$S$28</f>
        <v>0</v>
      </c>
      <c r="BG15" s="605">
        <f>+AY15+'IRRBB_floating%'!AY15</f>
        <v>0</v>
      </c>
      <c r="BH15" s="616">
        <f t="shared" si="22"/>
        <v>0</v>
      </c>
    </row>
    <row r="16" spans="1:60" s="615" customFormat="1" ht="20.25" customHeight="1">
      <c r="A16" s="586" t="s">
        <v>812</v>
      </c>
      <c r="B16" s="587" t="s">
        <v>808</v>
      </c>
      <c r="C16" s="613">
        <f t="shared" si="6"/>
        <v>0</v>
      </c>
      <c r="D16" s="601">
        <f t="shared" si="7"/>
        <v>0</v>
      </c>
      <c r="E16" s="614"/>
      <c r="F16" s="628"/>
      <c r="G16" s="614"/>
      <c r="H16" s="628"/>
      <c r="I16" s="613">
        <f t="shared" si="8"/>
        <v>0</v>
      </c>
      <c r="J16" s="601">
        <f t="shared" si="9"/>
        <v>0</v>
      </c>
      <c r="K16" s="614"/>
      <c r="L16" s="628"/>
      <c r="M16" s="614"/>
      <c r="N16" s="628"/>
      <c r="O16" s="613">
        <f t="shared" si="10"/>
        <v>0</v>
      </c>
      <c r="P16" s="601">
        <f t="shared" si="11"/>
        <v>0</v>
      </c>
      <c r="Q16" s="614"/>
      <c r="R16" s="628"/>
      <c r="S16" s="614"/>
      <c r="T16" s="628"/>
      <c r="U16" s="613">
        <f t="shared" si="12"/>
        <v>0</v>
      </c>
      <c r="V16" s="601">
        <f t="shared" si="13"/>
        <v>0</v>
      </c>
      <c r="W16" s="614"/>
      <c r="X16" s="628"/>
      <c r="Y16" s="614"/>
      <c r="Z16" s="628"/>
      <c r="AA16" s="613">
        <f t="shared" si="14"/>
        <v>0</v>
      </c>
      <c r="AB16" s="601">
        <f t="shared" si="15"/>
        <v>0</v>
      </c>
      <c r="AC16" s="614"/>
      <c r="AD16" s="628"/>
      <c r="AE16" s="614"/>
      <c r="AF16" s="628"/>
      <c r="AG16" s="613">
        <f t="shared" si="16"/>
        <v>0</v>
      </c>
      <c r="AH16" s="601">
        <f t="shared" si="17"/>
        <v>0</v>
      </c>
      <c r="AI16" s="614"/>
      <c r="AJ16" s="628"/>
      <c r="AK16" s="614"/>
      <c r="AL16" s="628"/>
      <c r="AM16" s="613">
        <f t="shared" si="18"/>
        <v>0</v>
      </c>
      <c r="AN16" s="601">
        <f t="shared" si="19"/>
        <v>0</v>
      </c>
      <c r="AO16" s="614"/>
      <c r="AP16" s="628"/>
      <c r="AQ16" s="614"/>
      <c r="AR16" s="628"/>
      <c r="AS16" s="613">
        <f t="shared" si="20"/>
        <v>0</v>
      </c>
      <c r="AT16" s="601">
        <f t="shared" si="21"/>
        <v>0</v>
      </c>
      <c r="AU16" s="614"/>
      <c r="AV16" s="628"/>
      <c r="AW16" s="614"/>
      <c r="AX16" s="628"/>
      <c r="AY16" s="588">
        <f t="shared" si="0"/>
        <v>0</v>
      </c>
      <c r="AZ16" s="598">
        <f t="shared" si="1"/>
        <v>0</v>
      </c>
      <c r="BA16" s="588">
        <f t="shared" si="2"/>
        <v>0</v>
      </c>
      <c r="BB16" s="598">
        <f t="shared" si="3"/>
        <v>0</v>
      </c>
      <c r="BC16" s="588">
        <f t="shared" si="4"/>
        <v>0</v>
      </c>
      <c r="BD16" s="598">
        <f t="shared" si="5"/>
        <v>0</v>
      </c>
      <c r="BF16" s="605">
        <f>+'[8]Bank Assets Analysis'!$S$29</f>
        <v>0</v>
      </c>
      <c r="BG16" s="605">
        <f>+AY16+'IRRBB_floating%'!AY16</f>
        <v>0</v>
      </c>
      <c r="BH16" s="616">
        <f t="shared" si="22"/>
        <v>0</v>
      </c>
    </row>
    <row r="17" spans="1:60" s="615" customFormat="1" ht="20.25" customHeight="1">
      <c r="A17" s="586" t="s">
        <v>814</v>
      </c>
      <c r="B17" s="587" t="s">
        <v>810</v>
      </c>
      <c r="C17" s="613">
        <f t="shared" si="6"/>
        <v>1817611547.2512355</v>
      </c>
      <c r="D17" s="601">
        <f t="shared" si="7"/>
        <v>0.12994786846988915</v>
      </c>
      <c r="E17" s="614">
        <v>1013857518.5398148</v>
      </c>
      <c r="F17" s="628">
        <v>0.15767458828061418</v>
      </c>
      <c r="G17" s="614">
        <v>803754028.71142054</v>
      </c>
      <c r="H17" s="628">
        <v>9.4973308666291154E-2</v>
      </c>
      <c r="I17" s="613">
        <f t="shared" si="8"/>
        <v>553691520.8538568</v>
      </c>
      <c r="J17" s="601">
        <f t="shared" si="9"/>
        <v>0.13207645048646577</v>
      </c>
      <c r="K17" s="614">
        <v>262756344.51151645</v>
      </c>
      <c r="L17" s="628">
        <v>0.19174363327232447</v>
      </c>
      <c r="M17" s="614">
        <v>290935176.34234029</v>
      </c>
      <c r="N17" s="628">
        <v>7.818839530793123E-2</v>
      </c>
      <c r="O17" s="613">
        <f t="shared" si="10"/>
        <v>1097722822.0664957</v>
      </c>
      <c r="P17" s="601">
        <f t="shared" si="11"/>
        <v>0.13008408681088257</v>
      </c>
      <c r="Q17" s="614">
        <v>399863048.94547528</v>
      </c>
      <c r="R17" s="628">
        <v>0.23126041673133071</v>
      </c>
      <c r="S17" s="614">
        <v>697859773.12102032</v>
      </c>
      <c r="T17" s="628">
        <v>7.2111586716529313E-2</v>
      </c>
      <c r="U17" s="613">
        <f t="shared" si="12"/>
        <v>2605787162.8583832</v>
      </c>
      <c r="V17" s="601">
        <f t="shared" si="13"/>
        <v>0.17947154862339454</v>
      </c>
      <c r="W17" s="614">
        <v>1410378046.7864957</v>
      </c>
      <c r="X17" s="628">
        <v>0.24305738006978936</v>
      </c>
      <c r="Y17" s="614">
        <v>1195409116.0718877</v>
      </c>
      <c r="Z17" s="628">
        <v>0.10445115639704931</v>
      </c>
      <c r="AA17" s="613">
        <f t="shared" si="14"/>
        <v>4363237358.5480671</v>
      </c>
      <c r="AB17" s="601">
        <f t="shared" si="15"/>
        <v>0.15221730505552583</v>
      </c>
      <c r="AC17" s="614">
        <v>2014630712.5567398</v>
      </c>
      <c r="AD17" s="628">
        <v>0.2280449879069997</v>
      </c>
      <c r="AE17" s="614">
        <v>2348606645.9913273</v>
      </c>
      <c r="AF17" s="628">
        <v>8.7172450058059681E-2</v>
      </c>
      <c r="AG17" s="613">
        <f t="shared" si="16"/>
        <v>6330097038.5867786</v>
      </c>
      <c r="AH17" s="601">
        <f t="shared" si="17"/>
        <v>0.15816366004079849</v>
      </c>
      <c r="AI17" s="614">
        <v>2790993992.9896326</v>
      </c>
      <c r="AJ17" s="628">
        <v>0.23508716070974939</v>
      </c>
      <c r="AK17" s="614">
        <v>3539103045.5971465</v>
      </c>
      <c r="AL17" s="628">
        <v>9.7500541301188196E-2</v>
      </c>
      <c r="AM17" s="613">
        <f t="shared" si="18"/>
        <v>7678688698.911171</v>
      </c>
      <c r="AN17" s="601">
        <f t="shared" si="19"/>
        <v>0.16053927839109428</v>
      </c>
      <c r="AO17" s="614">
        <v>3390637425.3341408</v>
      </c>
      <c r="AP17" s="628">
        <v>0.24765705696715778</v>
      </c>
      <c r="AQ17" s="614">
        <v>4288051273.5770307</v>
      </c>
      <c r="AR17" s="628">
        <v>9.1653721384783504E-2</v>
      </c>
      <c r="AS17" s="613">
        <f t="shared" si="20"/>
        <v>21196251491.081207</v>
      </c>
      <c r="AT17" s="601">
        <f t="shared" si="21"/>
        <v>0.11883376306530845</v>
      </c>
      <c r="AU17" s="614">
        <v>11390126002.660912</v>
      </c>
      <c r="AV17" s="628">
        <v>0.16103741923945658</v>
      </c>
      <c r="AW17" s="614">
        <v>9806125488.4202957</v>
      </c>
      <c r="AX17" s="628">
        <v>6.9812876868800722E-2</v>
      </c>
      <c r="AY17" s="588">
        <f t="shared" si="0"/>
        <v>45643087640.157196</v>
      </c>
      <c r="AZ17" s="598">
        <f t="shared" si="1"/>
        <v>0.13883149960620567</v>
      </c>
      <c r="BA17" s="588">
        <f t="shared" si="2"/>
        <v>22673243092.324726</v>
      </c>
      <c r="BB17" s="598">
        <f t="shared" si="3"/>
        <v>0.19560597332026236</v>
      </c>
      <c r="BC17" s="588">
        <f t="shared" si="4"/>
        <v>22969844547.832466</v>
      </c>
      <c r="BD17" s="598">
        <f t="shared" si="5"/>
        <v>8.2790134533968843E-2</v>
      </c>
      <c r="BF17" s="605">
        <f>+'[8]Bank Assets Analysis'!$S$30</f>
        <v>62469593576</v>
      </c>
      <c r="BG17" s="605">
        <f>+AY17+'IRRBB_floating%'!AY17</f>
        <v>62469727435.668427</v>
      </c>
      <c r="BH17" s="616">
        <f t="shared" si="22"/>
        <v>-133859.66842651367</v>
      </c>
    </row>
    <row r="18" spans="1:60" s="615" customFormat="1" ht="30.75" customHeight="1">
      <c r="A18" s="586" t="s">
        <v>839</v>
      </c>
      <c r="B18" s="587" t="s">
        <v>811</v>
      </c>
      <c r="C18" s="613">
        <f t="shared" si="6"/>
        <v>39244571.104200229</v>
      </c>
      <c r="D18" s="601">
        <f t="shared" si="7"/>
        <v>0.28330076962096734</v>
      </c>
      <c r="E18" s="614">
        <v>39244571.104200229</v>
      </c>
      <c r="F18" s="628">
        <v>0.28330076962096734</v>
      </c>
      <c r="G18" s="614"/>
      <c r="H18" s="628">
        <v>0</v>
      </c>
      <c r="I18" s="613">
        <f t="shared" si="8"/>
        <v>66258509.861522384</v>
      </c>
      <c r="J18" s="601">
        <f t="shared" si="9"/>
        <v>0.28129503612257267</v>
      </c>
      <c r="K18" s="614">
        <v>66258509.861522384</v>
      </c>
      <c r="L18" s="628">
        <v>0.28129503612257267</v>
      </c>
      <c r="M18" s="614"/>
      <c r="N18" s="628">
        <v>0</v>
      </c>
      <c r="O18" s="613">
        <f t="shared" si="10"/>
        <v>48394807.225440249</v>
      </c>
      <c r="P18" s="601">
        <f t="shared" si="11"/>
        <v>0.26733555472597598</v>
      </c>
      <c r="Q18" s="614">
        <v>48394807.225440249</v>
      </c>
      <c r="R18" s="628">
        <v>0.26733555472597598</v>
      </c>
      <c r="S18" s="614"/>
      <c r="T18" s="628">
        <v>0</v>
      </c>
      <c r="U18" s="613">
        <f t="shared" si="12"/>
        <v>242565574.30600378</v>
      </c>
      <c r="V18" s="601">
        <f t="shared" si="13"/>
        <v>0.27479210135379845</v>
      </c>
      <c r="W18" s="614">
        <v>242565574.30600378</v>
      </c>
      <c r="X18" s="628">
        <v>0.27479210135379845</v>
      </c>
      <c r="Y18" s="614"/>
      <c r="Z18" s="628">
        <v>0</v>
      </c>
      <c r="AA18" s="613">
        <f t="shared" si="14"/>
        <v>360834821.69802511</v>
      </c>
      <c r="AB18" s="601">
        <f t="shared" si="15"/>
        <v>0.27527412418853026</v>
      </c>
      <c r="AC18" s="614">
        <v>360834821.69802511</v>
      </c>
      <c r="AD18" s="628">
        <v>0.27527412418853026</v>
      </c>
      <c r="AE18" s="614"/>
      <c r="AF18" s="628">
        <v>0</v>
      </c>
      <c r="AG18" s="613">
        <f t="shared" si="16"/>
        <v>708708266.62426674</v>
      </c>
      <c r="AH18" s="601">
        <f t="shared" si="17"/>
        <v>0.2757163381049072</v>
      </c>
      <c r="AI18" s="614">
        <v>708708266.62426674</v>
      </c>
      <c r="AJ18" s="628">
        <v>0.2757163381049072</v>
      </c>
      <c r="AK18" s="614"/>
      <c r="AL18" s="628">
        <v>0</v>
      </c>
      <c r="AM18" s="613">
        <f t="shared" si="18"/>
        <v>1277313892.889219</v>
      </c>
      <c r="AN18" s="601">
        <f t="shared" si="19"/>
        <v>0.27147948127171229</v>
      </c>
      <c r="AO18" s="614">
        <v>1277313892.889219</v>
      </c>
      <c r="AP18" s="628">
        <v>0.27147948127171229</v>
      </c>
      <c r="AQ18" s="614"/>
      <c r="AR18" s="628">
        <v>0</v>
      </c>
      <c r="AS18" s="613">
        <f t="shared" si="20"/>
        <v>5527192441.8999643</v>
      </c>
      <c r="AT18" s="601">
        <f t="shared" si="21"/>
        <v>0.16690412949335215</v>
      </c>
      <c r="AU18" s="614">
        <v>5527192441.8999643</v>
      </c>
      <c r="AV18" s="628">
        <v>0.16690412949335215</v>
      </c>
      <c r="AW18" s="614"/>
      <c r="AX18" s="628">
        <v>0</v>
      </c>
      <c r="AY18" s="588">
        <f t="shared" si="0"/>
        <v>8270512885.6086416</v>
      </c>
      <c r="AZ18" s="598">
        <f t="shared" si="1"/>
        <v>0.20232791853178822</v>
      </c>
      <c r="BA18" s="588">
        <f t="shared" si="2"/>
        <v>8270512885.6086416</v>
      </c>
      <c r="BB18" s="598">
        <f t="shared" si="3"/>
        <v>0.20232791853178822</v>
      </c>
      <c r="BC18" s="588">
        <f t="shared" si="4"/>
        <v>0</v>
      </c>
      <c r="BD18" s="598">
        <f t="shared" si="5"/>
        <v>0</v>
      </c>
      <c r="BF18" s="605">
        <f>+'[8]Bank Assets Analysis'!$S$31</f>
        <v>9523250316</v>
      </c>
      <c r="BG18" s="605">
        <f>+AY18+'IRRBB_floating%'!AY18</f>
        <v>9523248984.9077015</v>
      </c>
      <c r="BH18" s="616">
        <f t="shared" si="22"/>
        <v>1331.0922985076904</v>
      </c>
    </row>
    <row r="19" spans="1:60" s="615" customFormat="1" ht="30" customHeight="1">
      <c r="A19" s="586" t="s">
        <v>816</v>
      </c>
      <c r="B19" s="587" t="s">
        <v>813</v>
      </c>
      <c r="C19" s="613">
        <f t="shared" si="6"/>
        <v>0</v>
      </c>
      <c r="D19" s="601">
        <f t="shared" si="7"/>
        <v>0</v>
      </c>
      <c r="E19" s="614"/>
      <c r="F19" s="628"/>
      <c r="G19" s="614"/>
      <c r="H19" s="628"/>
      <c r="I19" s="613">
        <f t="shared" si="8"/>
        <v>0</v>
      </c>
      <c r="J19" s="601">
        <f t="shared" si="9"/>
        <v>0</v>
      </c>
      <c r="K19" s="614"/>
      <c r="L19" s="628"/>
      <c r="M19" s="614"/>
      <c r="N19" s="628"/>
      <c r="O19" s="613">
        <f t="shared" si="10"/>
        <v>0</v>
      </c>
      <c r="P19" s="601">
        <f t="shared" si="11"/>
        <v>0</v>
      </c>
      <c r="Q19" s="614"/>
      <c r="R19" s="628"/>
      <c r="S19" s="614"/>
      <c r="T19" s="628"/>
      <c r="U19" s="613">
        <f t="shared" si="12"/>
        <v>0</v>
      </c>
      <c r="V19" s="601">
        <f t="shared" si="13"/>
        <v>0</v>
      </c>
      <c r="W19" s="614"/>
      <c r="X19" s="628"/>
      <c r="Y19" s="614"/>
      <c r="Z19" s="628"/>
      <c r="AA19" s="613">
        <f t="shared" si="14"/>
        <v>0</v>
      </c>
      <c r="AB19" s="601">
        <f t="shared" si="15"/>
        <v>0</v>
      </c>
      <c r="AC19" s="614"/>
      <c r="AD19" s="628"/>
      <c r="AE19" s="614"/>
      <c r="AF19" s="628"/>
      <c r="AG19" s="613">
        <f t="shared" si="16"/>
        <v>0</v>
      </c>
      <c r="AH19" s="601">
        <f t="shared" si="17"/>
        <v>0</v>
      </c>
      <c r="AI19" s="614"/>
      <c r="AJ19" s="628"/>
      <c r="AK19" s="614"/>
      <c r="AL19" s="628"/>
      <c r="AM19" s="613">
        <f t="shared" si="18"/>
        <v>0</v>
      </c>
      <c r="AN19" s="601">
        <f t="shared" si="19"/>
        <v>0</v>
      </c>
      <c r="AO19" s="614"/>
      <c r="AP19" s="628"/>
      <c r="AQ19" s="614"/>
      <c r="AR19" s="628"/>
      <c r="AS19" s="613">
        <f t="shared" si="20"/>
        <v>0</v>
      </c>
      <c r="AT19" s="601">
        <f t="shared" si="21"/>
        <v>0</v>
      </c>
      <c r="AU19" s="614"/>
      <c r="AV19" s="628"/>
      <c r="AW19" s="614"/>
      <c r="AX19" s="628"/>
      <c r="AY19" s="588">
        <f t="shared" si="0"/>
        <v>0</v>
      </c>
      <c r="AZ19" s="598">
        <f t="shared" si="1"/>
        <v>0</v>
      </c>
      <c r="BA19" s="588">
        <f t="shared" si="2"/>
        <v>0</v>
      </c>
      <c r="BB19" s="598">
        <f t="shared" si="3"/>
        <v>0</v>
      </c>
      <c r="BC19" s="588">
        <f t="shared" si="4"/>
        <v>0</v>
      </c>
      <c r="BD19" s="598">
        <f t="shared" si="5"/>
        <v>0</v>
      </c>
      <c r="BF19" s="605">
        <f>+'[8]Bank Assets Analysis'!$S$32</f>
        <v>30353847</v>
      </c>
      <c r="BG19" s="605">
        <f>+AY19+'IRRBB_floating%'!AY19</f>
        <v>0</v>
      </c>
      <c r="BH19" s="616">
        <f t="shared" si="22"/>
        <v>30353847</v>
      </c>
    </row>
    <row r="20" spans="1:60" s="615" customFormat="1" ht="20.25" customHeight="1">
      <c r="A20" s="586" t="s">
        <v>840</v>
      </c>
      <c r="B20" s="587" t="s">
        <v>815</v>
      </c>
      <c r="C20" s="613">
        <f t="shared" si="6"/>
        <v>0</v>
      </c>
      <c r="D20" s="601">
        <f t="shared" si="7"/>
        <v>0</v>
      </c>
      <c r="E20" s="614"/>
      <c r="F20" s="628"/>
      <c r="G20" s="614"/>
      <c r="H20" s="628"/>
      <c r="I20" s="613">
        <f t="shared" si="8"/>
        <v>0</v>
      </c>
      <c r="J20" s="601">
        <f t="shared" si="9"/>
        <v>0</v>
      </c>
      <c r="K20" s="614"/>
      <c r="L20" s="628"/>
      <c r="M20" s="614"/>
      <c r="N20" s="628"/>
      <c r="O20" s="613">
        <f t="shared" si="10"/>
        <v>0</v>
      </c>
      <c r="P20" s="601">
        <f t="shared" si="11"/>
        <v>0</v>
      </c>
      <c r="Q20" s="614"/>
      <c r="R20" s="628"/>
      <c r="S20" s="614"/>
      <c r="T20" s="628"/>
      <c r="U20" s="613">
        <f t="shared" si="12"/>
        <v>0</v>
      </c>
      <c r="V20" s="601">
        <f t="shared" si="13"/>
        <v>0</v>
      </c>
      <c r="W20" s="614"/>
      <c r="X20" s="628"/>
      <c r="Y20" s="614"/>
      <c r="Z20" s="628"/>
      <c r="AA20" s="613">
        <f t="shared" si="14"/>
        <v>0</v>
      </c>
      <c r="AB20" s="601">
        <f t="shared" si="15"/>
        <v>0</v>
      </c>
      <c r="AC20" s="614"/>
      <c r="AD20" s="628"/>
      <c r="AE20" s="614"/>
      <c r="AF20" s="628"/>
      <c r="AG20" s="613">
        <f t="shared" si="16"/>
        <v>0</v>
      </c>
      <c r="AH20" s="601">
        <f t="shared" si="17"/>
        <v>0</v>
      </c>
      <c r="AI20" s="614"/>
      <c r="AJ20" s="628"/>
      <c r="AK20" s="614"/>
      <c r="AL20" s="628"/>
      <c r="AM20" s="613">
        <f t="shared" si="18"/>
        <v>0</v>
      </c>
      <c r="AN20" s="601">
        <f t="shared" si="19"/>
        <v>0</v>
      </c>
      <c r="AO20" s="614"/>
      <c r="AP20" s="628"/>
      <c r="AQ20" s="614"/>
      <c r="AR20" s="628"/>
      <c r="AS20" s="613">
        <f t="shared" si="20"/>
        <v>0</v>
      </c>
      <c r="AT20" s="601">
        <f t="shared" si="21"/>
        <v>0</v>
      </c>
      <c r="AU20" s="614"/>
      <c r="AV20" s="628"/>
      <c r="AW20" s="614"/>
      <c r="AX20" s="628"/>
      <c r="AY20" s="588">
        <f t="shared" si="0"/>
        <v>0</v>
      </c>
      <c r="AZ20" s="598">
        <f t="shared" si="1"/>
        <v>0</v>
      </c>
      <c r="BA20" s="588">
        <f t="shared" si="2"/>
        <v>0</v>
      </c>
      <c r="BB20" s="598">
        <f t="shared" si="3"/>
        <v>0</v>
      </c>
      <c r="BC20" s="588">
        <f t="shared" si="4"/>
        <v>0</v>
      </c>
      <c r="BD20" s="598">
        <f t="shared" si="5"/>
        <v>0</v>
      </c>
      <c r="BF20" s="605"/>
      <c r="BG20" s="605"/>
    </row>
    <row r="21" spans="1:60" s="620" customFormat="1" ht="30" customHeight="1">
      <c r="A21" s="595" t="s">
        <v>816</v>
      </c>
      <c r="B21" s="596" t="s">
        <v>817</v>
      </c>
      <c r="C21" s="617">
        <f>+C8+C9+C10+C13+C14+C15+C16+C17+C19+C20</f>
        <v>1817611547.2512355</v>
      </c>
      <c r="D21" s="594">
        <f>IFERROR(((C8*D8)/C21)+((C9*D9)/C21)+((C10*D10)/C21)+((C13*D13)/C21)+((C14*D14)/C21)+((C20*D20)/C21)+((C19*D19)/C21)+((C17*D17)/C21)+((C16*D16)/C21)+((C15*D15)/C21),0)</f>
        <v>0.12994786846988915</v>
      </c>
      <c r="E21" s="617">
        <f>+E8+E9+E10+E13+E14+E15+E16+E17+E19+E20</f>
        <v>1013857518.5398148</v>
      </c>
      <c r="F21" s="594">
        <f>IFERROR(((E8*F8)/E21)+((E9*F9)/E21)+((E10*F10)/E21)+((E13*F13)/E21)+((E14*F14)/E21)+((E20*F20)/E21)+((E19*F19)/E21)+((E17*F17)/E21)+((E16*F16)/E21)+((E15*F15)/E21),0)</f>
        <v>0.15767458828061418</v>
      </c>
      <c r="G21" s="617">
        <f>+G8+G9+G10+G13+G14+G15+G16+G17+G19+G20</f>
        <v>803754028.71142054</v>
      </c>
      <c r="H21" s="594">
        <f>IFERROR(((G8*H8)/G21)+((G9*H9)/G21)+((G10*H10)/G21)+((G13*H13)/G21)+((G14*H14)/G21)+((G20*H20)/G21)+((G19*H19)/G21)+((G17*H17)/G21)+((G16*H16)/G21)+((G15*H15)/G21),0)</f>
        <v>9.4973308666291154E-2</v>
      </c>
      <c r="I21" s="617">
        <f>+I8+I9+I10+I13+I14+I15+I16+I17+I19+I20</f>
        <v>554224854.18685675</v>
      </c>
      <c r="J21" s="594">
        <f>IFERROR(((I8*J8)/I21)+((I9*J9)/I21)+((I10*J10)/I21)+((I13*J13)/I21)+((I14*J14)/I21)+((I20*J20)/I21)+((I19*J19)/I21)+((I17*J17)/I21)+((I16*J16)/I21)+((I15*J15)/I21),0)</f>
        <v>0.13204317739623417</v>
      </c>
      <c r="K21" s="617">
        <f>+K8+K9+K10+K13+K14+K15+K16+K17+K19+K20</f>
        <v>263289677.84451646</v>
      </c>
      <c r="L21" s="594">
        <f>IFERROR(((K8*L8)/K21)+((K9*L9)/K21)+((K10*L10)/K21)+((K13*L13)/K21)+((K14*L14)/K21)+((K20*L20)/K21)+((K19*L19)/K21)+((K17*L17)/K21)+((K16*L16)/K21)+((K15*L15)/K21),0)</f>
        <v>0.19155272844286306</v>
      </c>
      <c r="M21" s="617">
        <f>+M8+M9+M10+M13+M14+M15+M16+M17+M19+M20</f>
        <v>290935176.34234029</v>
      </c>
      <c r="N21" s="594">
        <f>IFERROR(((M8*N8)/M21)+((M9*N9)/M21)+((M10*N10)/M21)+((M13*N13)/M21)+((M14*N14)/M21)+((M20*N20)/M21)+((M19*N19)/M21)+((M17*N17)/M21)+((M16*N16)/M21)+((M15*N15)/M21),0)</f>
        <v>7.818839530793123E-2</v>
      </c>
      <c r="O21" s="617">
        <f>+O8+O9+O10+O13+O14+O15+O16+O17+O19+O20</f>
        <v>1356138840.2421556</v>
      </c>
      <c r="P21" s="594">
        <f>IFERROR(((O8*P8)/O21)+((O9*P9)/O21)+((O10*P10)/O21)+((O13*P13)/O21)+((O14*P14)/O21)+((O20*P20)/O21)+((O19*P19)/O21)+((O17*P17)/O21)+((O16*P16)/O21)+((O15*P15)/O21),0)</f>
        <v>0.13934120253534474</v>
      </c>
      <c r="Q21" s="617">
        <f>+Q8+Q9+Q10+Q13+Q14+Q15+Q16+Q17+Q19+Q20</f>
        <v>658279067.12113523</v>
      </c>
      <c r="R21" s="594">
        <f>IFERROR(((Q8*R8)/Q21)+((Q9*R9)/Q21)+((Q10*R10)/Q21)+((Q13*R13)/Q21)+((Q14*R14)/Q21)+((Q20*R20)/Q21)+((Q19*R19)/Q21)+((Q17*R17)/Q21)+((Q16*R16)/Q21)+((Q15*R15)/Q21),0)</f>
        <v>0.21061317028530563</v>
      </c>
      <c r="S21" s="617">
        <f>+S8+S9+S10+S13+S14+S15+S16+S17+S19+S20</f>
        <v>697859773.12102032</v>
      </c>
      <c r="T21" s="594">
        <f>IFERROR(((S8*T8)/S21)+((S9*T9)/S21)+((S10*T10)/S21)+((S13*T13)/S21)+((S14*T14)/S21)+((S20*T20)/S21)+((S19*T19)/S21)+((S17*T17)/S21)+((S16*T16)/S21)+((S15*T15)/S21),0)</f>
        <v>7.2111586716529313E-2</v>
      </c>
      <c r="U21" s="617">
        <f>+U8+U9+U10+U13+U14+U15+U16+U17+U19+U20</f>
        <v>4000248970.8569174</v>
      </c>
      <c r="V21" s="594">
        <f>IFERROR(((U8*V8)/U21)+((U9*V9)/U21)+((U10*V10)/U21)+((U13*V13)/U21)+((U14*V14)/U21)+((U20*V20)/U21)+((U19*V19)/U21)+((U17*V17)/U21)+((U16*V16)/U21)+((U15*V15)/U21),0)</f>
        <v>0.14233252121346257</v>
      </c>
      <c r="W21" s="617">
        <f>+W8+W9+W10+W13+W14+W15+W16+W17+W19+W20</f>
        <v>1466324966.9764957</v>
      </c>
      <c r="X21" s="594">
        <f>IFERROR(((W8*X8)/W21)+((W9*X9)/W21)+((W10*X10)/W21)+((W13*X13)/W21)+((W14*X14)/W21)+((W20*X20)/W21)+((W19*X19)/W21)+((W17*X17)/W21)+((W16*X16)/W21)+((W15*X15)/W21),0)</f>
        <v>0.24012315993744948</v>
      </c>
      <c r="Y21" s="617">
        <f>+Y8+Y9+Y10+Y13+Y14+Y15+Y16+Y17+Y19+Y20</f>
        <v>2533924003.8804216</v>
      </c>
      <c r="Z21" s="594">
        <f>IFERROR(((Y8*Z8)/Y21)+((Y9*Z9)/Y21)+((Y10*Z10)/Y21)+((Y13*Z13)/Y21)+((Y14*Z14)/Y21)+((Y20*Z20)/Y21)+((Y19*Z19)/Y21)+((Y17*Z17)/Y21)+((Y16*Z16)/Y21)+((Y15*Z15)/Y21),0)</f>
        <v>8.5743272728515757E-2</v>
      </c>
      <c r="AA21" s="617">
        <f>+AA8+AA9+AA10+AA13+AA14+AA15+AA16+AA17+AA19+AA20</f>
        <v>6383711907.499383</v>
      </c>
      <c r="AB21" s="594">
        <f>IFERROR(((AA8*AB8)/AA21)+((AA9*AB9)/AA21)+((AA10*AB10)/AA21)+((AA13*AB13)/AA21)+((AA14*AB14)/AA21)+((AA20*AB20)/AA21)+((AA19*AB19)/AA21)+((AA17*AB17)/AA21)+((AA16*AB16)/AA21)+((AA15*AB15)/AA21),0)</f>
        <v>0.1392459377801552</v>
      </c>
      <c r="AC21" s="617">
        <f>+AC8+AC9+AC10+AC13+AC14+AC15+AC16+AC17+AC19+AC20</f>
        <v>2769250523.5820198</v>
      </c>
      <c r="AD21" s="594">
        <f>IFERROR(((AC8*AD8)/AC21)+((AC9*AD9)/AC21)+((AC10*AD10)/AC21)+((AC13*AD13)/AC21)+((AC14*AD14)/AC21)+((AC20*AD20)/AC21)+((AC19*AD19)/AC21)+((AC17*AD17)/AC21)+((AC16*AD16)/AC21)+((AC15*AD15)/AC21),0)</f>
        <v>0.21319580100037328</v>
      </c>
      <c r="AE21" s="617">
        <f>+AE8+AE9+AE10+AE13+AE14+AE15+AE16+AE17+AE19+AE20</f>
        <v>3614461383.9173632</v>
      </c>
      <c r="AF21" s="594">
        <f>IFERROR(((AE8*AF8)/AE21)+((AE9*AF9)/AE21)+((AE10*AF10)/AE21)+((AE13*AF13)/AE21)+((AE14*AF14)/AE21)+((AE20*AF20)/AE21)+((AE19*AF19)/AE21)+((AE17*AF17)/AE21)+((AE16*AF16)/AE21)+((AE15*AF15)/AE21),0)</f>
        <v>8.258861717559525E-2</v>
      </c>
      <c r="AG21" s="617">
        <f>+AG8+AG9+AG10+AG13+AG14+AG15+AG16+AG17+AG19+AG20</f>
        <v>8633700631.7441292</v>
      </c>
      <c r="AH21" s="594">
        <f>IFERROR(((AG8*AH8)/AG21)+((AG9*AH9)/AG21)+((AG10*AH10)/AG21)+((AG13*AH13)/AG21)+((AG14*AH14)/AG21)+((AG20*AH20)/AG21)+((AG19*AH19)/AG21)+((AG17*AH17)/AG21)+((AG16*AH16)/AG21)+((AG15*AH15)/AG21),0)</f>
        <v>0.15197594642093901</v>
      </c>
      <c r="AI21" s="617">
        <f>+AI8+AI9+AI10+AI13+AI14+AI15+AI16+AI17+AI19+AI20</f>
        <v>4209316868.9337931</v>
      </c>
      <c r="AJ21" s="594">
        <f>IFERROR(((AI8*AJ8)/AI21)+((AI9*AJ9)/AI21)+((AI10*AJ10)/AI21)+((AI13*AJ13)/AI21)+((AI14*AJ14)/AI21)+((AI20*AJ20)/AI21)+((AI19*AJ19)/AI21)+((AI17*AJ17)/AI21)+((AI16*AJ16)/AI21)+((AI15*AJ15)/AI21),0)</f>
        <v>0.21457288455312662</v>
      </c>
      <c r="AK21" s="617">
        <f>+AK8+AK9+AK10+AK13+AK14+AK15+AK16+AK17+AK19+AK20</f>
        <v>4424383762.810338</v>
      </c>
      <c r="AL21" s="594">
        <f>IFERROR(((AK8*AL8)/AK21)+((AK9*AL9)/AK21)+((AK10*AL10)/AK21)+((AK13*AL13)/AK21)+((AK14*AL14)/AK21)+((AK20*AL20)/AK21)+((AK19*AL19)/AK21)+((AK17*AL17)/AK21)+((AK16*AL16)/AK21)+((AK15*AL15)/AK21),0)</f>
        <v>9.2421811483951677E-2</v>
      </c>
      <c r="AM21" s="617">
        <f>+AM8+AM9+AM10+AM13+AM14+AM15+AM16+AM17+AM19+AM20</f>
        <v>9883527982.5026245</v>
      </c>
      <c r="AN21" s="594">
        <f>IFERROR(((AM8*AN8)/AM21)+((AM9*AN9)/AM21)+((AM10*AN10)/AM21)+((AM13*AN13)/AM21)+((AM14*AN14)/AM21)+((AM20*AN20)/AM21)+((AM19*AN19)/AM21)+((AM17*AN17)/AM21)+((AM16*AN16)/AM21)+((AM15*AN15)/AM21),0)</f>
        <v>0.1567642945090823</v>
      </c>
      <c r="AO21" s="617">
        <f>+AO8+AO9+AO10+AO13+AO14+AO15+AO16+AO17+AO19+AO20</f>
        <v>5017748384.1781597</v>
      </c>
      <c r="AP21" s="594">
        <f>IFERROR(((AO8*AP8)/AO21)+((AO9*AP9)/AO21)+((AO10*AP10)/AO21)+((AO13*AP13)/AO21)+((AO14*AP14)/AO21)+((AO20*AP20)/AO21)+((AO19*AP19)/AO21)+((AO17*AP17)/AO21)+((AO16*AP16)/AO21)+((AO15*AP15)/AO21),0)</f>
        <v>0.22255348043812578</v>
      </c>
      <c r="AQ21" s="617">
        <f>+AQ8+AQ9+AQ10+AQ13+AQ14+AQ15+AQ16+AQ17+AQ19+AQ20</f>
        <v>4865779598.3244638</v>
      </c>
      <c r="AR21" s="594">
        <f>IFERROR(((AQ8*AR8)/AQ21)+((AQ9*AR9)/AQ21)+((AQ10*AR10)/AQ21)+((AQ13*AR13)/AQ21)+((AQ14*AR14)/AQ21)+((AQ20*AR20)/AQ21)+((AQ19*AR19)/AQ21)+((AQ17*AR17)/AQ21)+((AQ16*AR16)/AQ21)+((AQ15*AR15)/AQ21),0)</f>
        <v>8.8920370483931366E-2</v>
      </c>
      <c r="AS21" s="617">
        <f>+AS8+AS9+AS10+AS13+AS14+AS15+AS16+AS17+AS19+AS20</f>
        <v>26366068598.026299</v>
      </c>
      <c r="AT21" s="594">
        <f>IFERROR(((AS8*AT8)/AS21)+((AS9*AT9)/AS21)+((AS10*AT10)/AS21)+((AS13*AT13)/AS21)+((AS14*AT14)/AS21)+((AS20*AT20)/AS21)+((AS19*AT19)/AS21)+((AS17*AT17)/AS21)+((AS16*AT16)/AS21)+((AS15*AT15)/AS21),0)</f>
        <v>0.11528872029755124</v>
      </c>
      <c r="AU21" s="617">
        <f>+AU8+AU9+AU10+AU13+AU14+AU15+AU16+AU17+AU19+AU20</f>
        <v>13971842534.749411</v>
      </c>
      <c r="AV21" s="594">
        <f>IFERROR(((AU8*AV8)/AU21)+((AU9*AV9)/AU21)+((AU10*AV10)/AU21)+((AU13*AV13)/AU21)+((AU14*AV14)/AU21)+((AU20*AV20)/AU21)+((AU19*AV19)/AU21)+((AU17*AV17)/AU21)+((AU16*AV16)/AU21)+((AU15*AV15)/AU21),0)</f>
        <v>0.15523581154194449</v>
      </c>
      <c r="AW21" s="617">
        <f>+AW8+AW9+AW10+AW13+AW14+AW15+AW16+AW17+AW19+AW20</f>
        <v>12394226063.27689</v>
      </c>
      <c r="AX21" s="594">
        <f>IFERROR(((AW8*AX8)/AW21)+((AW9*AX9)/AW21)+((AW10*AX10)/AW21)+((AW13*AX13)/AW21)+((AW14*AX14)/AW21)+((AW20*AX20)/AW21)+((AW19*AX19)/AW21)+((AW17*AX17)/AW21)+((AW16*AX16)/AW21)+((AW15*AX15)/AW21),0)</f>
        <v>7.0256907440624447E-2</v>
      </c>
      <c r="AY21" s="618">
        <f>+AY8+AY9+AY10+AY13+AY14+AY15+AY16+AY17+AY19+AY20</f>
        <v>58995233332.309601</v>
      </c>
      <c r="AZ21" s="594">
        <f>IFERROR(((AY8*AZ8)/AY21)+((AY9*AZ9)/AY21)+((AY10*AZ10)/AY21)+((AY13*AZ13)/AY21)+((AY14*AZ14)/AY21)+((AY20*AZ20)/AY21)+((AY19*AZ19)/AY21)+((AY17*AZ17)/AY21)+((AY16*AZ16)/AY21)+((AY15*AZ15)/AY21),0)</f>
        <v>0.13319420615120992</v>
      </c>
      <c r="BA21" s="618">
        <f>+BA8+BA9+BA10+BA13+BA14+BA15+BA16+BA17+BA19+BA20</f>
        <v>29369909541.925346</v>
      </c>
      <c r="BB21" s="594">
        <f>IFERROR(((BA8*BB8)/BA21)+((BA9*BB9)/BA21)+((BA10*BB10)/BA21)+((BA13*BB13)/BA21)+((BA14*BB14)/BA21)+((BA20*BB20)/BA21)+((BA19*BB19)/BA21)+((BA17*BB17)/BA21)+((BA16*BB16)/BA21)+((BA15*BB15)/BA21),0)</f>
        <v>0.18659505125696838</v>
      </c>
      <c r="BC21" s="618">
        <f>+BC8+BC9+BC10+BC13+BC14+BC15+BC16+BC17+BC19+BC20</f>
        <v>29625323790.384254</v>
      </c>
      <c r="BD21" s="594">
        <f>IFERROR(((BC8*BD8)/BC21)+((BC9*BD9)/BC21)+((BC10*BD10)/BC21)+((BC13*BD13)/BC21)+((BC14*BD14)/BC21)+((BC20*BD20)/BC21)+((BC19*BD19)/BC21)+((BC17*BD17)/BC21)+((BC16*BD16)/BC21)+((BC15*BD15)/BC21),0)</f>
        <v>8.0253755565229984E-2</v>
      </c>
      <c r="BE21" s="619"/>
      <c r="BF21" s="604"/>
      <c r="BG21" s="604"/>
    </row>
    <row r="22" spans="1:60" s="602" customFormat="1" ht="30" customHeight="1">
      <c r="A22" s="583" t="s">
        <v>818</v>
      </c>
      <c r="B22" s="584" t="s">
        <v>819</v>
      </c>
      <c r="C22" s="585"/>
      <c r="D22" s="597"/>
      <c r="E22" s="585"/>
      <c r="F22" s="597"/>
      <c r="G22" s="585"/>
      <c r="H22" s="597"/>
      <c r="I22" s="585"/>
      <c r="J22" s="597"/>
      <c r="K22" s="585"/>
      <c r="L22" s="597"/>
      <c r="M22" s="585"/>
      <c r="N22" s="597"/>
      <c r="O22" s="585"/>
      <c r="P22" s="597"/>
      <c r="Q22" s="585"/>
      <c r="R22" s="597"/>
      <c r="S22" s="585"/>
      <c r="T22" s="597"/>
      <c r="U22" s="585"/>
      <c r="V22" s="597"/>
      <c r="W22" s="585"/>
      <c r="X22" s="597"/>
      <c r="Y22" s="585"/>
      <c r="Z22" s="597"/>
      <c r="AA22" s="585"/>
      <c r="AB22" s="597"/>
      <c r="AC22" s="585"/>
      <c r="AD22" s="597"/>
      <c r="AE22" s="585"/>
      <c r="AF22" s="597"/>
      <c r="AG22" s="585"/>
      <c r="AH22" s="597"/>
      <c r="AI22" s="585"/>
      <c r="AJ22" s="597"/>
      <c r="AK22" s="585"/>
      <c r="AL22" s="597"/>
      <c r="AM22" s="585"/>
      <c r="AN22" s="597"/>
      <c r="AO22" s="585"/>
      <c r="AP22" s="597"/>
      <c r="AQ22" s="585"/>
      <c r="AR22" s="597"/>
      <c r="AS22" s="585"/>
      <c r="AT22" s="597"/>
      <c r="AU22" s="585"/>
      <c r="AV22" s="597"/>
      <c r="AW22" s="585"/>
      <c r="AX22" s="597"/>
      <c r="AY22" s="585"/>
      <c r="AZ22" s="597"/>
      <c r="BA22" s="585"/>
      <c r="BB22" s="597"/>
      <c r="BC22" s="585"/>
      <c r="BD22" s="597"/>
      <c r="BF22" s="604"/>
      <c r="BG22" s="604"/>
    </row>
    <row r="23" spans="1:60" ht="22.5" customHeight="1">
      <c r="A23" s="589" t="s">
        <v>2</v>
      </c>
      <c r="B23" s="590" t="s">
        <v>820</v>
      </c>
      <c r="C23" s="591"/>
      <c r="D23" s="599"/>
      <c r="E23" s="591"/>
      <c r="F23" s="599"/>
      <c r="G23" s="591"/>
      <c r="H23" s="599"/>
      <c r="I23" s="591"/>
      <c r="J23" s="599"/>
      <c r="K23" s="591"/>
      <c r="L23" s="599"/>
      <c r="M23" s="591"/>
      <c r="N23" s="599"/>
      <c r="O23" s="591"/>
      <c r="P23" s="599"/>
      <c r="Q23" s="591"/>
      <c r="R23" s="599"/>
      <c r="S23" s="591"/>
      <c r="T23" s="599"/>
      <c r="U23" s="591"/>
      <c r="V23" s="599"/>
      <c r="W23" s="591"/>
      <c r="X23" s="599"/>
      <c r="Y23" s="591"/>
      <c r="Z23" s="599"/>
      <c r="AA23" s="591"/>
      <c r="AB23" s="599"/>
      <c r="AC23" s="591"/>
      <c r="AD23" s="599"/>
      <c r="AE23" s="591"/>
      <c r="AF23" s="599"/>
      <c r="AG23" s="591"/>
      <c r="AH23" s="599"/>
      <c r="AI23" s="591"/>
      <c r="AJ23" s="599"/>
      <c r="AK23" s="591"/>
      <c r="AL23" s="599"/>
      <c r="AM23" s="591"/>
      <c r="AN23" s="599"/>
      <c r="AO23" s="591"/>
      <c r="AP23" s="599"/>
      <c r="AQ23" s="591"/>
      <c r="AR23" s="599"/>
      <c r="AS23" s="591"/>
      <c r="AT23" s="599"/>
      <c r="AU23" s="591"/>
      <c r="AV23" s="599"/>
      <c r="AW23" s="591"/>
      <c r="AX23" s="599"/>
      <c r="AY23" s="591"/>
      <c r="AZ23" s="599"/>
      <c r="BA23" s="591"/>
      <c r="BB23" s="599"/>
      <c r="BC23" s="591"/>
      <c r="BD23" s="599"/>
      <c r="BF23" s="605"/>
      <c r="BG23" s="605"/>
    </row>
    <row r="24" spans="1:60" ht="20.25" customHeight="1">
      <c r="A24" s="589" t="s">
        <v>92</v>
      </c>
      <c r="B24" s="590" t="s">
        <v>821</v>
      </c>
      <c r="C24" s="621">
        <f>+E24+G24</f>
        <v>0</v>
      </c>
      <c r="D24" s="601">
        <f>IFERROR((((E24*F24)+(G24*H24))/C24),0)</f>
        <v>0</v>
      </c>
      <c r="E24" s="621">
        <f>+E25+E26+E27+E28+E29</f>
        <v>0</v>
      </c>
      <c r="F24" s="629">
        <f>IFERROR(((E25*F25)/E24)+((E26*F26)/E24)+((E27*F27)/E24)+((E28*F28)/E24)+((E29*F29)/E24),0)</f>
        <v>0</v>
      </c>
      <c r="G24" s="621">
        <f>+G25+G26+G27+G28+G29</f>
        <v>0</v>
      </c>
      <c r="H24" s="629">
        <f>IFERROR(((G25*H25)/G24)+((G26*H26)/G24)+((G27*H27)/G24)+((G28*H28)/G24)+((G29*H29)/G24),0)</f>
        <v>0</v>
      </c>
      <c r="I24" s="621">
        <f>+K24+M24</f>
        <v>0</v>
      </c>
      <c r="J24" s="601">
        <f>IFERROR((((K24*L24)+(M24*N24))/I24),0)</f>
        <v>0</v>
      </c>
      <c r="K24" s="621">
        <f>+K25+K26+K27+K28+K29</f>
        <v>0</v>
      </c>
      <c r="L24" s="629">
        <f>IFERROR(((K25*L25)/K24)+((K26*L26)/K24)+((K27*L27)/K24)+((K28*L28)/K24)+((K29*L29)/K24),0)</f>
        <v>0</v>
      </c>
      <c r="M24" s="621">
        <f>+M25+M26+M27+M28+M29</f>
        <v>0</v>
      </c>
      <c r="N24" s="629">
        <f>IFERROR(((M25*N25)/M24)+((M26*N26)/M24)+((M27*N27)/M24)+((M28*N28)/M24)+((M29*N29)/M24),0)</f>
        <v>0</v>
      </c>
      <c r="O24" s="621">
        <f>+Q24+S24</f>
        <v>0</v>
      </c>
      <c r="P24" s="601">
        <f>IFERROR((((Q24*R24)+(S24*T24))/O24),0)</f>
        <v>0</v>
      </c>
      <c r="Q24" s="621">
        <f>+Q25+Q26+Q27+Q28+Q29</f>
        <v>0</v>
      </c>
      <c r="R24" s="629">
        <f>IFERROR(((Q25*R25)/Q24)+((Q26*R26)/Q24)+((Q27*R27)/Q24)+((Q28*R28)/Q24)+((Q29*R29)/Q24),0)</f>
        <v>0</v>
      </c>
      <c r="S24" s="621">
        <f>+S25+S26+S27+S28+S29</f>
        <v>0</v>
      </c>
      <c r="T24" s="629">
        <f>IFERROR(((S25*T25)/S24)+((S26*T26)/S24)+((S27*T27)/S24)+((S28*T28)/S24)+((S29*T29)/S24),0)</f>
        <v>0</v>
      </c>
      <c r="U24" s="621">
        <f>+W24+Y24</f>
        <v>0</v>
      </c>
      <c r="V24" s="601">
        <f>IFERROR((((W24*X24)+(Y24*Z24))/U24),0)</f>
        <v>0</v>
      </c>
      <c r="W24" s="621">
        <f>+W25+W26+W27+W28+W29</f>
        <v>0</v>
      </c>
      <c r="X24" s="629">
        <f>IFERROR(((W25*X25)/W24)+((W26*X26)/W24)+((W27*X27)/W24)+((W28*X28)/W24)+((W29*X29)/W24),0)</f>
        <v>0</v>
      </c>
      <c r="Y24" s="621">
        <f>+Y25+Y26+Y27+Y28+Y29</f>
        <v>0</v>
      </c>
      <c r="Z24" s="629">
        <f>IFERROR(((Y25*Z25)/Y24)+((Y26*Z26)/Y24)+((Y27*Z27)/Y24)+((Y28*Z28)/Y24)+((Y29*Z29)/Y24),0)</f>
        <v>0</v>
      </c>
      <c r="AA24" s="621">
        <f>+AC24+AE24</f>
        <v>0</v>
      </c>
      <c r="AB24" s="601">
        <f>IFERROR((((AC24*AD24)+(AE24*AF24))/AA24),0)</f>
        <v>0</v>
      </c>
      <c r="AC24" s="621">
        <f>+AC25+AC26+AC27+AC28+AC29</f>
        <v>0</v>
      </c>
      <c r="AD24" s="629">
        <f>IFERROR(((AC25*AD25)/AC24)+((AC26*AD26)/AC24)+((AC27*AD27)/AC24)+((AC28*AD28)/AC24)+((AC29*AD29)/AC24),0)</f>
        <v>0</v>
      </c>
      <c r="AE24" s="621">
        <f>+AE25+AE26+AE27+AE28+AE29</f>
        <v>0</v>
      </c>
      <c r="AF24" s="629">
        <f>IFERROR(((AE25*AF25)/AE24)+((AE26*AF26)/AE24)+((AE27*AF27)/AE24)+((AE28*AF28)/AE24)+((AE29*AF29)/AE24),0)</f>
        <v>0</v>
      </c>
      <c r="AG24" s="621">
        <f>+AI24+AK24</f>
        <v>0</v>
      </c>
      <c r="AH24" s="601">
        <f>IFERROR((((AI24*AJ24)+(AK24*AL24))/AG24),0)</f>
        <v>0</v>
      </c>
      <c r="AI24" s="621">
        <f>+AI25+AI26+AI27+AI28+AI29</f>
        <v>0</v>
      </c>
      <c r="AJ24" s="629">
        <f>IFERROR(((AI25*AJ25)/AI24)+((AI26*AJ26)/AI24)+((AI27*AJ27)/AI24)+((AI28*AJ28)/AI24)+((AI29*AJ29)/AI24),0)</f>
        <v>0</v>
      </c>
      <c r="AK24" s="621">
        <f>+AK25+AK26+AK27+AK28+AK29</f>
        <v>0</v>
      </c>
      <c r="AL24" s="629">
        <f>IFERROR(((AK25*AL25)/AK24)+((AK26*AL26)/AK24)+((AK27*AL27)/AK24)+((AK28*AL28)/AK24)+((AK29*AL29)/AK24),0)</f>
        <v>0</v>
      </c>
      <c r="AM24" s="621">
        <f>+AO24+AQ24</f>
        <v>0</v>
      </c>
      <c r="AN24" s="601">
        <f>IFERROR((((AO24*AP24)+(AQ24*AR24))/AM24),0)</f>
        <v>0</v>
      </c>
      <c r="AO24" s="621">
        <f>+AO25+AO26+AO27+AO28+AO29</f>
        <v>0</v>
      </c>
      <c r="AP24" s="629">
        <f>IFERROR(((AO25*AP25)/AO24)+((AO26*AP26)/AO24)+((AO27*AP27)/AO24)+((AO28*AP28)/AO24)+((AO29*AP29)/AO24),0)</f>
        <v>0</v>
      </c>
      <c r="AQ24" s="621">
        <f>+AQ25+AQ26+AQ27+AQ28+AQ29</f>
        <v>0</v>
      </c>
      <c r="AR24" s="629">
        <f>IFERROR(((AQ25*AR25)/AQ24)+((AQ26*AR26)/AQ24)+((AQ27*AR27)/AQ24)+((AQ28*AR28)/AQ24)+((AQ29*AR29)/AQ24),0)</f>
        <v>0</v>
      </c>
      <c r="AS24" s="621">
        <f>+AU24+AW24</f>
        <v>0</v>
      </c>
      <c r="AT24" s="601">
        <f>IFERROR((((AU24*AV24)+(AW24*AX24))/AS24),0)</f>
        <v>0</v>
      </c>
      <c r="AU24" s="621">
        <f>+AU25+AU26+AU27+AU28+AU29</f>
        <v>0</v>
      </c>
      <c r="AV24" s="629">
        <f>IFERROR(((AU25*AV25)/AU24)+((AU26*AV26)/AU24)+((AU27*AV27)/AU24)+((AU28*AV28)/AU24)+((AU29*AV29)/AU24),0)</f>
        <v>0</v>
      </c>
      <c r="AW24" s="621">
        <f>+AW25+AW26+AW27+AW28+AW29</f>
        <v>0</v>
      </c>
      <c r="AX24" s="629">
        <f>IFERROR(((AW25*AX25)/AW24)+((AW26*AX26)/AW24)+((AW27*AX27)/AW24)+((AW28*AX28)/AW24)+((AW29*AX29)/AW24),0)</f>
        <v>0</v>
      </c>
      <c r="AY24" s="621">
        <f t="shared" ref="AY24:AY39" si="23">+C24+I24+O24+U24+AA24+AG24+AM24+AS24</f>
        <v>0</v>
      </c>
      <c r="AZ24" s="598">
        <f t="shared" ref="AZ24:AZ39" si="24">IFERROR(((C24*D24)/AY24)+((I24*J24)/AY24)+((O24*P24)/AY24)+((U24*V24)/AY24)+((AA24*AB24)/AY24)+((AG24*AH24)/AY24)+((AM24*AN24)/AY24)+((AS24*AT24)/AY24),0)</f>
        <v>0</v>
      </c>
      <c r="BA24" s="621">
        <f t="shared" ref="BA24:BA39" si="25">+E24+K24+Q24+W24+AC24+AI24+AO24+AU24</f>
        <v>0</v>
      </c>
      <c r="BB24" s="598">
        <f t="shared" ref="BB24:BB39" si="26">IFERROR(((E24*F24)/BA24)+((K24*L24)/BA24)+((Q24*R24)/BA24)+((W24*X24)/BA24)+((AC24*AD24)/BA24)+((AI24*AJ24)/BA24)+((AO24*AP24)/BA24)+((AU24*AV24)/BA24),0)</f>
        <v>0</v>
      </c>
      <c r="BC24" s="621">
        <f t="shared" ref="BC24:BC39" si="27">+G24+M24+S24+Y24+AE24+AK24+AQ24+AW24</f>
        <v>0</v>
      </c>
      <c r="BD24" s="598">
        <f t="shared" ref="BD24:BD39" si="28">IFERROR(((G24*H24)/BC24)+((M24*N24)/BC24)+((S24*T24)/BC24)+((Y24*Z24)/BC24)+((AE24*AF24)/BC24)+((AK24*AL24)/BC24)+((AQ24*AR24)/BC24)+((AW24*AX24)/BC24),0)</f>
        <v>0</v>
      </c>
      <c r="BE24" s="615"/>
      <c r="BF24" s="605"/>
      <c r="BG24" s="605"/>
    </row>
    <row r="25" spans="1:60" ht="20.25" customHeight="1">
      <c r="A25" s="589" t="s">
        <v>822</v>
      </c>
      <c r="B25" s="590" t="s">
        <v>823</v>
      </c>
      <c r="C25" s="621">
        <f t="shared" ref="C25:C32" si="29">+E25+G25</f>
        <v>0</v>
      </c>
      <c r="D25" s="601">
        <f t="shared" ref="D25:D32" si="30">IFERROR((((E25*F25)+(G25*H25))/C25),0)</f>
        <v>0</v>
      </c>
      <c r="E25" s="614">
        <v>0</v>
      </c>
      <c r="F25" s="628">
        <v>0</v>
      </c>
      <c r="G25" s="614">
        <v>0</v>
      </c>
      <c r="H25" s="628">
        <v>0</v>
      </c>
      <c r="I25" s="621">
        <f t="shared" ref="I25:I32" si="31">+K25+M25</f>
        <v>0</v>
      </c>
      <c r="J25" s="601">
        <f t="shared" ref="J25:J32" si="32">IFERROR((((K25*L25)+(M25*N25))/I25),0)</f>
        <v>0</v>
      </c>
      <c r="K25" s="614"/>
      <c r="L25" s="628"/>
      <c r="M25" s="614"/>
      <c r="N25" s="628"/>
      <c r="O25" s="621">
        <f t="shared" ref="O25:O32" si="33">+Q25+S25</f>
        <v>0</v>
      </c>
      <c r="P25" s="601">
        <f t="shared" ref="P25:P32" si="34">IFERROR((((Q25*R25)+(S25*T25))/O25),0)</f>
        <v>0</v>
      </c>
      <c r="Q25" s="614"/>
      <c r="R25" s="628"/>
      <c r="S25" s="614"/>
      <c r="T25" s="628"/>
      <c r="U25" s="621">
        <f t="shared" ref="U25:U32" si="35">+W25+Y25</f>
        <v>0</v>
      </c>
      <c r="V25" s="601">
        <f t="shared" ref="V25:V32" si="36">IFERROR((((W25*X25)+(Y25*Z25))/U25),0)</f>
        <v>0</v>
      </c>
      <c r="W25" s="614"/>
      <c r="X25" s="628"/>
      <c r="Y25" s="614"/>
      <c r="Z25" s="628"/>
      <c r="AA25" s="621">
        <f t="shared" ref="AA25:AA32" si="37">+AC25+AE25</f>
        <v>0</v>
      </c>
      <c r="AB25" s="601">
        <f t="shared" ref="AB25:AB32" si="38">IFERROR((((AC25*AD25)+(AE25*AF25))/AA25),0)</f>
        <v>0</v>
      </c>
      <c r="AC25" s="614"/>
      <c r="AD25" s="628"/>
      <c r="AE25" s="614"/>
      <c r="AF25" s="628"/>
      <c r="AG25" s="621">
        <f t="shared" ref="AG25:AG32" si="39">+AI25+AK25</f>
        <v>0</v>
      </c>
      <c r="AH25" s="601">
        <f t="shared" ref="AH25:AH32" si="40">IFERROR((((AI25*AJ25)+(AK25*AL25))/AG25),0)</f>
        <v>0</v>
      </c>
      <c r="AI25" s="614"/>
      <c r="AJ25" s="628"/>
      <c r="AK25" s="614"/>
      <c r="AL25" s="628"/>
      <c r="AM25" s="621">
        <f t="shared" ref="AM25:AM32" si="41">+AO25+AQ25</f>
        <v>0</v>
      </c>
      <c r="AN25" s="601">
        <f t="shared" ref="AN25:AN32" si="42">IFERROR((((AO25*AP25)+(AQ25*AR25))/AM25),0)</f>
        <v>0</v>
      </c>
      <c r="AO25" s="614"/>
      <c r="AP25" s="628"/>
      <c r="AQ25" s="614"/>
      <c r="AR25" s="628"/>
      <c r="AS25" s="621">
        <f t="shared" ref="AS25:AS32" si="43">+AU25+AW25</f>
        <v>0</v>
      </c>
      <c r="AT25" s="601">
        <f t="shared" ref="AT25:AT32" si="44">IFERROR((((AU25*AV25)+(AW25*AX25))/AS25),0)</f>
        <v>0</v>
      </c>
      <c r="AU25" s="614"/>
      <c r="AV25" s="628"/>
      <c r="AW25" s="614"/>
      <c r="AX25" s="628"/>
      <c r="AY25" s="621">
        <f t="shared" si="23"/>
        <v>0</v>
      </c>
      <c r="AZ25" s="598">
        <f t="shared" si="24"/>
        <v>0</v>
      </c>
      <c r="BA25" s="621">
        <f t="shared" si="25"/>
        <v>0</v>
      </c>
      <c r="BB25" s="598">
        <f t="shared" si="26"/>
        <v>0</v>
      </c>
      <c r="BC25" s="621">
        <f t="shared" si="27"/>
        <v>0</v>
      </c>
      <c r="BD25" s="598">
        <f t="shared" si="28"/>
        <v>0</v>
      </c>
      <c r="BE25" s="615"/>
      <c r="BF25" s="605"/>
      <c r="BG25" s="605"/>
    </row>
    <row r="26" spans="1:60" ht="20.25" customHeight="1">
      <c r="A26" s="589" t="s">
        <v>824</v>
      </c>
      <c r="B26" s="590" t="s">
        <v>825</v>
      </c>
      <c r="C26" s="621">
        <f t="shared" si="29"/>
        <v>0</v>
      </c>
      <c r="D26" s="601">
        <f t="shared" si="30"/>
        <v>0</v>
      </c>
      <c r="E26" s="614">
        <v>0</v>
      </c>
      <c r="F26" s="628">
        <v>0</v>
      </c>
      <c r="G26" s="614">
        <v>0</v>
      </c>
      <c r="H26" s="628">
        <v>0</v>
      </c>
      <c r="I26" s="621">
        <f t="shared" si="31"/>
        <v>0</v>
      </c>
      <c r="J26" s="601">
        <f t="shared" si="32"/>
        <v>0</v>
      </c>
      <c r="K26" s="614"/>
      <c r="L26" s="628"/>
      <c r="M26" s="614"/>
      <c r="N26" s="628"/>
      <c r="O26" s="621">
        <f t="shared" si="33"/>
        <v>0</v>
      </c>
      <c r="P26" s="601">
        <f t="shared" si="34"/>
        <v>0</v>
      </c>
      <c r="Q26" s="614"/>
      <c r="R26" s="628"/>
      <c r="S26" s="614"/>
      <c r="T26" s="628"/>
      <c r="U26" s="621">
        <f t="shared" si="35"/>
        <v>0</v>
      </c>
      <c r="V26" s="601">
        <f t="shared" si="36"/>
        <v>0</v>
      </c>
      <c r="W26" s="614"/>
      <c r="X26" s="628"/>
      <c r="Y26" s="614"/>
      <c r="Z26" s="628"/>
      <c r="AA26" s="621">
        <f t="shared" si="37"/>
        <v>0</v>
      </c>
      <c r="AB26" s="601">
        <f t="shared" si="38"/>
        <v>0</v>
      </c>
      <c r="AC26" s="614"/>
      <c r="AD26" s="628"/>
      <c r="AE26" s="614"/>
      <c r="AF26" s="628"/>
      <c r="AG26" s="621">
        <f t="shared" si="39"/>
        <v>0</v>
      </c>
      <c r="AH26" s="601">
        <f t="shared" si="40"/>
        <v>0</v>
      </c>
      <c r="AI26" s="614"/>
      <c r="AJ26" s="628"/>
      <c r="AK26" s="614"/>
      <c r="AL26" s="628"/>
      <c r="AM26" s="621">
        <f t="shared" si="41"/>
        <v>0</v>
      </c>
      <c r="AN26" s="601">
        <f t="shared" si="42"/>
        <v>0</v>
      </c>
      <c r="AO26" s="614"/>
      <c r="AP26" s="628"/>
      <c r="AQ26" s="614"/>
      <c r="AR26" s="628"/>
      <c r="AS26" s="621">
        <f t="shared" si="43"/>
        <v>0</v>
      </c>
      <c r="AT26" s="601">
        <f t="shared" si="44"/>
        <v>0</v>
      </c>
      <c r="AU26" s="614"/>
      <c r="AV26" s="628"/>
      <c r="AW26" s="614"/>
      <c r="AX26" s="628"/>
      <c r="AY26" s="621">
        <f t="shared" si="23"/>
        <v>0</v>
      </c>
      <c r="AZ26" s="598">
        <f t="shared" si="24"/>
        <v>0</v>
      </c>
      <c r="BA26" s="621">
        <f t="shared" si="25"/>
        <v>0</v>
      </c>
      <c r="BB26" s="598">
        <f t="shared" si="26"/>
        <v>0</v>
      </c>
      <c r="BC26" s="621">
        <f t="shared" si="27"/>
        <v>0</v>
      </c>
      <c r="BD26" s="598">
        <f t="shared" si="28"/>
        <v>0</v>
      </c>
      <c r="BE26" s="615"/>
      <c r="BF26" s="605"/>
      <c r="BG26" s="605"/>
    </row>
    <row r="27" spans="1:60" ht="36.75" customHeight="1">
      <c r="A27" s="589" t="s">
        <v>856</v>
      </c>
      <c r="B27" s="590" t="s">
        <v>829</v>
      </c>
      <c r="C27" s="621">
        <f t="shared" si="29"/>
        <v>0</v>
      </c>
      <c r="D27" s="601">
        <f t="shared" si="30"/>
        <v>0</v>
      </c>
      <c r="E27" s="614"/>
      <c r="F27" s="628"/>
      <c r="G27" s="614"/>
      <c r="H27" s="628"/>
      <c r="I27" s="621">
        <f t="shared" si="31"/>
        <v>0</v>
      </c>
      <c r="J27" s="601">
        <f t="shared" si="32"/>
        <v>0</v>
      </c>
      <c r="K27" s="614"/>
      <c r="L27" s="628"/>
      <c r="M27" s="614"/>
      <c r="N27" s="628"/>
      <c r="O27" s="621">
        <f t="shared" si="33"/>
        <v>0</v>
      </c>
      <c r="P27" s="601">
        <f t="shared" si="34"/>
        <v>0</v>
      </c>
      <c r="Q27" s="614"/>
      <c r="R27" s="628"/>
      <c r="S27" s="614"/>
      <c r="T27" s="628"/>
      <c r="U27" s="621">
        <f t="shared" si="35"/>
        <v>0</v>
      </c>
      <c r="V27" s="601">
        <f t="shared" si="36"/>
        <v>0</v>
      </c>
      <c r="W27" s="614"/>
      <c r="X27" s="628"/>
      <c r="Y27" s="614"/>
      <c r="Z27" s="628"/>
      <c r="AA27" s="621">
        <f t="shared" si="37"/>
        <v>0</v>
      </c>
      <c r="AB27" s="601">
        <f t="shared" si="38"/>
        <v>0</v>
      </c>
      <c r="AC27" s="614"/>
      <c r="AD27" s="628"/>
      <c r="AE27" s="614"/>
      <c r="AF27" s="628"/>
      <c r="AG27" s="621">
        <f t="shared" si="39"/>
        <v>0</v>
      </c>
      <c r="AH27" s="601">
        <f t="shared" si="40"/>
        <v>0</v>
      </c>
      <c r="AI27" s="614"/>
      <c r="AJ27" s="628"/>
      <c r="AK27" s="614"/>
      <c r="AL27" s="628"/>
      <c r="AM27" s="621">
        <f t="shared" si="41"/>
        <v>0</v>
      </c>
      <c r="AN27" s="601">
        <f t="shared" si="42"/>
        <v>0</v>
      </c>
      <c r="AO27" s="614"/>
      <c r="AP27" s="628"/>
      <c r="AQ27" s="614"/>
      <c r="AR27" s="628"/>
      <c r="AS27" s="621">
        <f t="shared" si="43"/>
        <v>0</v>
      </c>
      <c r="AT27" s="601">
        <f t="shared" si="44"/>
        <v>0</v>
      </c>
      <c r="AU27" s="614"/>
      <c r="AV27" s="628"/>
      <c r="AW27" s="614"/>
      <c r="AX27" s="628"/>
      <c r="AY27" s="621">
        <f t="shared" si="23"/>
        <v>0</v>
      </c>
      <c r="AZ27" s="598">
        <f t="shared" si="24"/>
        <v>0</v>
      </c>
      <c r="BA27" s="621">
        <f t="shared" si="25"/>
        <v>0</v>
      </c>
      <c r="BB27" s="598">
        <f t="shared" si="26"/>
        <v>0</v>
      </c>
      <c r="BC27" s="621">
        <f t="shared" si="27"/>
        <v>0</v>
      </c>
      <c r="BD27" s="598">
        <f t="shared" si="28"/>
        <v>0</v>
      </c>
      <c r="BE27" s="615"/>
      <c r="BF27" s="605"/>
      <c r="BG27" s="605"/>
    </row>
    <row r="28" spans="1:60" ht="36.75" customHeight="1">
      <c r="A28" s="589" t="s">
        <v>857</v>
      </c>
      <c r="B28" s="590" t="s">
        <v>830</v>
      </c>
      <c r="C28" s="621">
        <f t="shared" si="29"/>
        <v>0</v>
      </c>
      <c r="D28" s="601">
        <f t="shared" si="30"/>
        <v>0</v>
      </c>
      <c r="E28" s="614"/>
      <c r="F28" s="628"/>
      <c r="G28" s="614"/>
      <c r="H28" s="628"/>
      <c r="I28" s="621">
        <f t="shared" si="31"/>
        <v>0</v>
      </c>
      <c r="J28" s="601">
        <f t="shared" si="32"/>
        <v>0</v>
      </c>
      <c r="K28" s="614"/>
      <c r="L28" s="628"/>
      <c r="M28" s="614"/>
      <c r="N28" s="628"/>
      <c r="O28" s="621">
        <f t="shared" si="33"/>
        <v>0</v>
      </c>
      <c r="P28" s="601">
        <f t="shared" si="34"/>
        <v>0</v>
      </c>
      <c r="Q28" s="614"/>
      <c r="R28" s="628"/>
      <c r="S28" s="614"/>
      <c r="T28" s="628"/>
      <c r="U28" s="621">
        <f t="shared" si="35"/>
        <v>0</v>
      </c>
      <c r="V28" s="601">
        <f t="shared" si="36"/>
        <v>0</v>
      </c>
      <c r="W28" s="614"/>
      <c r="X28" s="628"/>
      <c r="Y28" s="614"/>
      <c r="Z28" s="628"/>
      <c r="AA28" s="621">
        <f t="shared" si="37"/>
        <v>0</v>
      </c>
      <c r="AB28" s="601">
        <f t="shared" si="38"/>
        <v>0</v>
      </c>
      <c r="AC28" s="614"/>
      <c r="AD28" s="628"/>
      <c r="AE28" s="614"/>
      <c r="AF28" s="628"/>
      <c r="AG28" s="621">
        <f t="shared" si="39"/>
        <v>0</v>
      </c>
      <c r="AH28" s="601">
        <f t="shared" si="40"/>
        <v>0</v>
      </c>
      <c r="AI28" s="614"/>
      <c r="AJ28" s="628"/>
      <c r="AK28" s="614"/>
      <c r="AL28" s="628"/>
      <c r="AM28" s="621">
        <f t="shared" si="41"/>
        <v>0</v>
      </c>
      <c r="AN28" s="601">
        <f t="shared" si="42"/>
        <v>0</v>
      </c>
      <c r="AO28" s="614"/>
      <c r="AP28" s="628"/>
      <c r="AQ28" s="614"/>
      <c r="AR28" s="628"/>
      <c r="AS28" s="621">
        <f t="shared" si="43"/>
        <v>0</v>
      </c>
      <c r="AT28" s="601">
        <f t="shared" si="44"/>
        <v>0</v>
      </c>
      <c r="AU28" s="614"/>
      <c r="AV28" s="628"/>
      <c r="AW28" s="614"/>
      <c r="AX28" s="628"/>
      <c r="AY28" s="621">
        <f t="shared" si="23"/>
        <v>0</v>
      </c>
      <c r="AZ28" s="598">
        <f t="shared" si="24"/>
        <v>0</v>
      </c>
      <c r="BA28" s="621">
        <f t="shared" si="25"/>
        <v>0</v>
      </c>
      <c r="BB28" s="598">
        <f t="shared" si="26"/>
        <v>0</v>
      </c>
      <c r="BC28" s="621">
        <f t="shared" si="27"/>
        <v>0</v>
      </c>
      <c r="BD28" s="598">
        <f t="shared" si="28"/>
        <v>0</v>
      </c>
      <c r="BE28" s="615"/>
      <c r="BF28" s="605"/>
      <c r="BG28" s="605"/>
    </row>
    <row r="29" spans="1:60" ht="20.25" customHeight="1">
      <c r="A29" s="589" t="s">
        <v>858</v>
      </c>
      <c r="B29" s="590" t="s">
        <v>645</v>
      </c>
      <c r="C29" s="621">
        <f t="shared" si="29"/>
        <v>0</v>
      </c>
      <c r="D29" s="601">
        <f t="shared" si="30"/>
        <v>0</v>
      </c>
      <c r="E29" s="614"/>
      <c r="F29" s="628"/>
      <c r="G29" s="614"/>
      <c r="H29" s="628"/>
      <c r="I29" s="621">
        <f t="shared" si="31"/>
        <v>0</v>
      </c>
      <c r="J29" s="601">
        <f t="shared" si="32"/>
        <v>0</v>
      </c>
      <c r="K29" s="614"/>
      <c r="L29" s="628"/>
      <c r="M29" s="614"/>
      <c r="N29" s="628"/>
      <c r="O29" s="621">
        <f t="shared" si="33"/>
        <v>0</v>
      </c>
      <c r="P29" s="601">
        <f t="shared" si="34"/>
        <v>0</v>
      </c>
      <c r="Q29" s="614"/>
      <c r="R29" s="628"/>
      <c r="S29" s="614"/>
      <c r="T29" s="628"/>
      <c r="U29" s="621">
        <f t="shared" si="35"/>
        <v>0</v>
      </c>
      <c r="V29" s="601">
        <f t="shared" si="36"/>
        <v>0</v>
      </c>
      <c r="W29" s="614"/>
      <c r="X29" s="628"/>
      <c r="Y29" s="614"/>
      <c r="Z29" s="628"/>
      <c r="AA29" s="621">
        <f t="shared" si="37"/>
        <v>0</v>
      </c>
      <c r="AB29" s="601">
        <f t="shared" si="38"/>
        <v>0</v>
      </c>
      <c r="AC29" s="614"/>
      <c r="AD29" s="628"/>
      <c r="AE29" s="614"/>
      <c r="AF29" s="628"/>
      <c r="AG29" s="621">
        <f t="shared" si="39"/>
        <v>0</v>
      </c>
      <c r="AH29" s="601">
        <f t="shared" si="40"/>
        <v>0</v>
      </c>
      <c r="AI29" s="614"/>
      <c r="AJ29" s="628"/>
      <c r="AK29" s="614"/>
      <c r="AL29" s="628"/>
      <c r="AM29" s="621">
        <f t="shared" si="41"/>
        <v>0</v>
      </c>
      <c r="AN29" s="601">
        <f t="shared" si="42"/>
        <v>0</v>
      </c>
      <c r="AO29" s="614"/>
      <c r="AP29" s="628"/>
      <c r="AQ29" s="614"/>
      <c r="AR29" s="628"/>
      <c r="AS29" s="621">
        <f t="shared" si="43"/>
        <v>0</v>
      </c>
      <c r="AT29" s="601">
        <f t="shared" si="44"/>
        <v>0</v>
      </c>
      <c r="AU29" s="614"/>
      <c r="AV29" s="628"/>
      <c r="AW29" s="614"/>
      <c r="AX29" s="628"/>
      <c r="AY29" s="621">
        <f t="shared" si="23"/>
        <v>0</v>
      </c>
      <c r="AZ29" s="598">
        <f t="shared" si="24"/>
        <v>0</v>
      </c>
      <c r="BA29" s="621">
        <f t="shared" si="25"/>
        <v>0</v>
      </c>
      <c r="BB29" s="598">
        <f t="shared" si="26"/>
        <v>0</v>
      </c>
      <c r="BC29" s="621">
        <f t="shared" si="27"/>
        <v>0</v>
      </c>
      <c r="BD29" s="598">
        <f t="shared" si="28"/>
        <v>0</v>
      </c>
      <c r="BE29" s="615"/>
      <c r="BF29" s="605"/>
      <c r="BG29" s="605"/>
    </row>
    <row r="30" spans="1:60" ht="20.25" customHeight="1">
      <c r="A30" s="589" t="s">
        <v>93</v>
      </c>
      <c r="B30" s="590" t="s">
        <v>402</v>
      </c>
      <c r="C30" s="621">
        <f t="shared" si="29"/>
        <v>2281119.80431</v>
      </c>
      <c r="D30" s="601">
        <f t="shared" si="30"/>
        <v>4.5591643105942978E-3</v>
      </c>
      <c r="E30" s="621">
        <f>+E31+E32</f>
        <v>1427319.80431</v>
      </c>
      <c r="F30" s="629">
        <f>IFERROR(((E31*F31)/E30)+((E32*F32)/E30),0)</f>
        <v>7.2863838703811756E-3</v>
      </c>
      <c r="G30" s="621">
        <f>+G31+G32</f>
        <v>853800</v>
      </c>
      <c r="H30" s="629">
        <f>IFERROR(((G31*H31)/G30)+((G32*H32)/G30),0)</f>
        <v>0</v>
      </c>
      <c r="I30" s="621">
        <f t="shared" si="31"/>
        <v>244257715.53375104</v>
      </c>
      <c r="J30" s="601">
        <f t="shared" si="32"/>
        <v>0.17654455190545887</v>
      </c>
      <c r="K30" s="621">
        <f>+K31+K32</f>
        <v>198954352</v>
      </c>
      <c r="L30" s="629">
        <f>IFERROR(((K31*L31)/K30)+((K32*L32)/K30),0)</f>
        <v>0.20360723612787346</v>
      </c>
      <c r="M30" s="621">
        <f>+M31+M32</f>
        <v>45303363.533751048</v>
      </c>
      <c r="N30" s="629">
        <f>IFERROR(((M31*N31)/M30)+((M32*N32)/M30),0)</f>
        <v>5.7696007716463743E-2</v>
      </c>
      <c r="O30" s="621">
        <f t="shared" si="33"/>
        <v>389237336</v>
      </c>
      <c r="P30" s="601">
        <f t="shared" si="34"/>
        <v>0.19389513263873637</v>
      </c>
      <c r="Q30" s="621">
        <f>+Q31+Q32</f>
        <v>371289660</v>
      </c>
      <c r="R30" s="629">
        <f>IFERROR(((Q31*R31)/Q30)+((Q32*R32)/Q30),0)</f>
        <v>0.20133423013091287</v>
      </c>
      <c r="S30" s="621">
        <f>+S31+S32</f>
        <v>17947676</v>
      </c>
      <c r="T30" s="629">
        <f>IFERROR(((S31*T31)/S30)+((S32*T32)/S30),0)</f>
        <v>0.04</v>
      </c>
      <c r="U30" s="621">
        <f t="shared" si="35"/>
        <v>1150998715</v>
      </c>
      <c r="V30" s="601">
        <f t="shared" si="36"/>
        <v>0.17680409155004051</v>
      </c>
      <c r="W30" s="621">
        <f>+W31+W32</f>
        <v>1102914498</v>
      </c>
      <c r="X30" s="629">
        <f>IFERROR(((W31*X31)/W30)+((W32*X32)/W30),0)</f>
        <v>0.18270297641951841</v>
      </c>
      <c r="Y30" s="621">
        <f>+Y31+Y32</f>
        <v>48084217</v>
      </c>
      <c r="Z30" s="629">
        <f>IFERROR(((Y31*Z31)/Y30)+((Y32*Z32)/Y30),0)</f>
        <v>4.1500533532655842E-2</v>
      </c>
      <c r="AA30" s="621">
        <f t="shared" si="37"/>
        <v>1928795558.5557201</v>
      </c>
      <c r="AB30" s="601">
        <f t="shared" si="38"/>
        <v>0.1746182286178635</v>
      </c>
      <c r="AC30" s="621">
        <f>+AC31+AC32</f>
        <v>1783570037</v>
      </c>
      <c r="AD30" s="629">
        <f>IFERROR(((AC31*AD31)/AC30)+((AC32*AD32)/AC30),0)</f>
        <v>0.18409127043430368</v>
      </c>
      <c r="AE30" s="621">
        <f>+AE31+AE32</f>
        <v>145225521.55572</v>
      </c>
      <c r="AF30" s="629">
        <f>IFERROR(((AE31*AF31)/AE30)+((AE32*AF32)/AE30),0)</f>
        <v>5.8276187893511897E-2</v>
      </c>
      <c r="AG30" s="621">
        <f t="shared" si="39"/>
        <v>4826102031.0015001</v>
      </c>
      <c r="AH30" s="601">
        <f t="shared" si="40"/>
        <v>0.17129885377380161</v>
      </c>
      <c r="AI30" s="621">
        <f>+AI31+AI32</f>
        <v>4261358775</v>
      </c>
      <c r="AJ30" s="629">
        <f>IFERROR(((AI31*AJ31)/AI30)+((AI32*AJ32)/AI30),0)</f>
        <v>0.18620139981325126</v>
      </c>
      <c r="AK30" s="621">
        <f>+AK31+AK32</f>
        <v>564743256.00150001</v>
      </c>
      <c r="AL30" s="629">
        <f>IFERROR(((AK31*AL31)/AK30)+((AK32*AL32)/AK30),0)</f>
        <v>5.8849356307148049E-2</v>
      </c>
      <c r="AM30" s="621">
        <f t="shared" si="41"/>
        <v>8161662256.0770197</v>
      </c>
      <c r="AN30" s="601">
        <f t="shared" si="42"/>
        <v>0.18515089274386784</v>
      </c>
      <c r="AO30" s="621">
        <f>+AO31+AO32</f>
        <v>7058568254</v>
      </c>
      <c r="AP30" s="629">
        <f>IFERROR(((AO31*AP31)/AO30)+((AO32*AP32)/AO30),0)</f>
        <v>0.20633055163123165</v>
      </c>
      <c r="AQ30" s="621">
        <f>+AQ31+AQ32</f>
        <v>1103094002.0770199</v>
      </c>
      <c r="AR30" s="629">
        <f>IFERROR(((AQ31*AR31)/AQ30)+((AQ32*AR32)/AQ30),0)</f>
        <v>4.9624756647211742E-2</v>
      </c>
      <c r="AS30" s="621">
        <f t="shared" si="43"/>
        <v>1266477556.7000003</v>
      </c>
      <c r="AT30" s="601">
        <f t="shared" si="44"/>
        <v>2.1739881802450369E-2</v>
      </c>
      <c r="AU30" s="621">
        <f>+AU31+AU32</f>
        <v>1032103875</v>
      </c>
      <c r="AV30" s="629">
        <f>IFERROR(((AU31*AV31)/AU30)+((AU32*AV32)/AU30),0)</f>
        <v>1.3321078987678585E-2</v>
      </c>
      <c r="AW30" s="621">
        <f>+AW31+AW32</f>
        <v>234373681.7000002</v>
      </c>
      <c r="AX30" s="629">
        <f>IFERROR(((AW31*AX31)/AW30)+((AW32*AX32)/AW30),0)</f>
        <v>5.881349409953817E-2</v>
      </c>
      <c r="AY30" s="621">
        <f>+C30+I30+O30+U30+AA30+AG30+AM30+AS30</f>
        <v>17969812288.672302</v>
      </c>
      <c r="AZ30" s="598">
        <f>IFERROR(((C30*D30)/AY30)+((I30*J30)/AY30)+((O30*P30)/AY30)+((U30*V30)/AY30)+((AA30*AB30)/AY30)+((AG30*AH30)/AY30)+((AM30*AN30)/AY30)+((AS30*AT30)/AY30),0)</f>
        <v>0.16829814150028577</v>
      </c>
      <c r="BA30" s="621">
        <f>+E30+K30+Q30+W30+AC30+AI30+AO30+AU30</f>
        <v>15810186770.80431</v>
      </c>
      <c r="BB30" s="598">
        <f>IFERROR(((E30*F30)/BA30)+((K30*L30)/BA30)+((Q30*R30)/BA30)+((W30*X30)/BA30)+((AC30*AD30)/BA30)+((AI30*AJ30)/BA30)+((AO30*AP30)/BA30)+((AU30*AV30)/BA30),0)</f>
        <v>0.18397857843896406</v>
      </c>
      <c r="BC30" s="621">
        <f>+G30+M30+S30+Y30+AE30+AK30+AQ30+AW30</f>
        <v>2159625517.867991</v>
      </c>
      <c r="BD30" s="598">
        <f>IFERROR(((G30*H30)/BC30)+((M30*N30)/BC30)+((S30*T30)/BC30)+((Y30*Z30)/BC30)+((AE30*AF30)/BC30)+((AK30*AL30)/BC30)+((AQ30*AR30)/BC30)+((AW30*AX30)/BC30),0)</f>
        <v>5.3504796729538721E-2</v>
      </c>
      <c r="BE30" s="615"/>
      <c r="BF30" s="605">
        <f>+'[8]Bank Liabilities Analysis'!$S$12</f>
        <v>20471204261</v>
      </c>
      <c r="BG30" s="605">
        <f>+AY30+'IRRBB_floating%'!AY30</f>
        <v>20471204261.079369</v>
      </c>
      <c r="BH30" s="616">
        <f>+BF30-BG30</f>
        <v>-7.936859130859375E-2</v>
      </c>
    </row>
    <row r="31" spans="1:60" ht="20.25" customHeight="1">
      <c r="A31" s="589" t="s">
        <v>826</v>
      </c>
      <c r="B31" s="590" t="s">
        <v>827</v>
      </c>
      <c r="C31" s="621">
        <f t="shared" si="29"/>
        <v>1484207</v>
      </c>
      <c r="D31" s="601">
        <f t="shared" si="30"/>
        <v>0</v>
      </c>
      <c r="E31" s="614">
        <f>'[8]Bank Liabilities Analysis (нац)'!$C$14</f>
        <v>630407</v>
      </c>
      <c r="F31" s="628">
        <v>0</v>
      </c>
      <c r="G31" s="614">
        <f>'[8]Bank Liabilities Analysis'!$D$13</f>
        <v>853800</v>
      </c>
      <c r="H31" s="628">
        <v>0</v>
      </c>
      <c r="I31" s="621">
        <f t="shared" si="31"/>
        <v>5308930</v>
      </c>
      <c r="J31" s="601">
        <f t="shared" si="32"/>
        <v>4.2542885289502785E-2</v>
      </c>
      <c r="K31" s="614">
        <f>'[8]Bank Liabilities Analysis (нац)'!$D$14</f>
        <v>90000</v>
      </c>
      <c r="L31" s="628">
        <v>0.19</v>
      </c>
      <c r="M31" s="614">
        <f>'[8]Bank Liabilities Analysis'!$F$13</f>
        <v>5218930</v>
      </c>
      <c r="N31" s="628">
        <v>0.04</v>
      </c>
      <c r="O31" s="621">
        <f t="shared" si="33"/>
        <v>26625789</v>
      </c>
      <c r="P31" s="601">
        <f t="shared" si="34"/>
        <v>8.8889328688062527E-2</v>
      </c>
      <c r="Q31" s="614">
        <f>'[8]Bank Liabilities Analysis (нац)'!$E$14</f>
        <v>8678113</v>
      </c>
      <c r="R31" s="628">
        <v>0.19</v>
      </c>
      <c r="S31" s="614">
        <f>'[8]Bank Liabilities Analysis'!$H$13</f>
        <v>17947676</v>
      </c>
      <c r="T31" s="628">
        <v>0.04</v>
      </c>
      <c r="U31" s="621">
        <f t="shared" si="35"/>
        <v>372896897</v>
      </c>
      <c r="V31" s="601">
        <f t="shared" si="36"/>
        <v>0.18040030845308969</v>
      </c>
      <c r="W31" s="614">
        <f>'[8]Bank Liabilities Analysis (нац)'!$F$14</f>
        <v>327217746</v>
      </c>
      <c r="X31" s="628">
        <v>0.2</v>
      </c>
      <c r="Y31" s="614">
        <f>'[8]Bank Liabilities Analysis'!$J$13</f>
        <v>45679151</v>
      </c>
      <c r="Z31" s="628">
        <v>0.04</v>
      </c>
      <c r="AA31" s="621">
        <f t="shared" si="37"/>
        <v>742503855</v>
      </c>
      <c r="AB31" s="601">
        <f t="shared" si="38"/>
        <v>0.182219712529304</v>
      </c>
      <c r="AC31" s="614">
        <f>'[8]Bank Liabilities Analysis (нац)'!$G$14</f>
        <v>640950532</v>
      </c>
      <c r="AD31" s="628">
        <v>0.2</v>
      </c>
      <c r="AE31" s="614">
        <f>'[8]Bank Liabilities Analysis'!$L$13</f>
        <v>101553323</v>
      </c>
      <c r="AF31" s="628">
        <v>7.0000000000000007E-2</v>
      </c>
      <c r="AG31" s="621">
        <f t="shared" si="39"/>
        <v>1713583585</v>
      </c>
      <c r="AH31" s="601">
        <f t="shared" si="40"/>
        <v>0.18985563143685225</v>
      </c>
      <c r="AI31" s="614">
        <f>'[8]Bank Liabilities Analysis (нац)'!$H$14</f>
        <v>1483456523</v>
      </c>
      <c r="AJ31" s="628">
        <v>0.21</v>
      </c>
      <c r="AK31" s="614">
        <f>'[8]Bank Liabilities Analysis'!$N$13</f>
        <v>230127062</v>
      </c>
      <c r="AL31" s="628">
        <v>0.06</v>
      </c>
      <c r="AM31" s="621">
        <f t="shared" si="41"/>
        <v>5759731199</v>
      </c>
      <c r="AN31" s="601">
        <f t="shared" si="42"/>
        <v>0.19868012844743171</v>
      </c>
      <c r="AO31" s="614">
        <f>'[8]Bank Liabilities Analysis (нац)'!$I$14</f>
        <v>5037397497</v>
      </c>
      <c r="AP31" s="628">
        <v>0.22</v>
      </c>
      <c r="AQ31" s="614">
        <f>'[8]Bank Liabilities Analysis'!$P$13</f>
        <v>722333702</v>
      </c>
      <c r="AR31" s="628">
        <v>0.05</v>
      </c>
      <c r="AS31" s="621">
        <f t="shared" si="43"/>
        <v>3022154</v>
      </c>
      <c r="AT31" s="601">
        <f t="shared" si="44"/>
        <v>0.14000000000000001</v>
      </c>
      <c r="AU31" s="614">
        <f>'[8]Bank Liabilities Analysis (нац)'!$J$14</f>
        <v>3022154</v>
      </c>
      <c r="AV31" s="628">
        <v>0.14000000000000001</v>
      </c>
      <c r="AW31" s="614">
        <f>'[8]Bank Liabilities Analysis'!$R$13</f>
        <v>0</v>
      </c>
      <c r="AX31" s="628">
        <v>0</v>
      </c>
      <c r="AY31" s="621">
        <f>+C31+I31+O31+U31+AA31+AG31+AM31+AS31</f>
        <v>8625156616</v>
      </c>
      <c r="AZ31" s="598">
        <f>IFERROR(((C31*D31)/AY31)+((I31*J31)/AY31)+((O31*P31)/AY31)+((U31*V31)/AY31)+((AA31*AB31)/AY31)+((AG31*AH31)/AY31)+((AM31*AN31)/AY31)+((AS31*AT31)/AY31),0)</f>
        <v>0.19422985159507969</v>
      </c>
      <c r="BA31" s="621">
        <f>+E31+K31+Q31+W31+AC31+AI31+AO31+AU31</f>
        <v>7501442972</v>
      </c>
      <c r="BB31" s="598">
        <f>IFERROR(((E31*F31)/BA31)+((K31*L31)/BA31)+((Q31*R31)/BA31)+((W31*X31)/BA31)+((AC31*AD31)/BA31)+((AI31*AJ31)/BA31)+((AO31*AP31)/BA31)+((AU31*AV31)/BA31),0)</f>
        <v>0.21535536880436876</v>
      </c>
      <c r="BC31" s="621">
        <f>+G31+M31+S31+Y31+AE31+AK31+AQ31+AW31</f>
        <v>1123713644</v>
      </c>
      <c r="BD31" s="598">
        <f>IFERROR(((G31*H31)/BC31)+((M31*N31)/BC31)+((S31*T31)/BC31)+((Y31*Z31)/BC31)+((AE31*AF31)/BC31)+((AK31*AL31)/BC31)+((AQ31*AR31)/BC31)+((AW31*AX31)/BC31),0)</f>
        <v>5.3204721709332561E-2</v>
      </c>
      <c r="BE31" s="615"/>
      <c r="BF31" s="605">
        <f>+'[8]Bank Liabilities Analysis'!$S$13</f>
        <v>8625156616</v>
      </c>
      <c r="BG31" s="605">
        <f>+AY31+'IRRBB_floating%'!AY31</f>
        <v>8625156616</v>
      </c>
      <c r="BH31" s="616">
        <f t="shared" ref="BH31:BH32" si="45">+BF31-BG31</f>
        <v>0</v>
      </c>
    </row>
    <row r="32" spans="1:60" ht="20.25" customHeight="1">
      <c r="A32" s="589" t="s">
        <v>841</v>
      </c>
      <c r="B32" s="590" t="s">
        <v>828</v>
      </c>
      <c r="C32" s="621">
        <f t="shared" si="29"/>
        <v>796912.80431000004</v>
      </c>
      <c r="D32" s="601">
        <f t="shared" si="30"/>
        <v>1.3050361273846954E-2</v>
      </c>
      <c r="E32" s="614">
        <v>796912.80431000004</v>
      </c>
      <c r="F32" s="628">
        <v>1.3050361273846954E-2</v>
      </c>
      <c r="G32" s="614">
        <v>0</v>
      </c>
      <c r="H32" s="628">
        <v>0</v>
      </c>
      <c r="I32" s="621">
        <f t="shared" si="31"/>
        <v>238948785.53375104</v>
      </c>
      <c r="J32" s="601">
        <f t="shared" si="32"/>
        <v>0.1795217818016408</v>
      </c>
      <c r="K32" s="614">
        <v>198864352</v>
      </c>
      <c r="L32" s="628">
        <v>0.20361339435200559</v>
      </c>
      <c r="M32" s="614">
        <v>40084433.533751048</v>
      </c>
      <c r="N32" s="628">
        <v>5.9999999999999991E-2</v>
      </c>
      <c r="O32" s="621">
        <f t="shared" si="33"/>
        <v>362611547</v>
      </c>
      <c r="P32" s="601">
        <f t="shared" si="34"/>
        <v>0.20160548384761831</v>
      </c>
      <c r="Q32" s="614">
        <v>362611547</v>
      </c>
      <c r="R32" s="628">
        <v>0.20160548384761831</v>
      </c>
      <c r="S32" s="614">
        <v>0</v>
      </c>
      <c r="T32" s="628">
        <v>0</v>
      </c>
      <c r="U32" s="621">
        <f t="shared" si="35"/>
        <v>778101818</v>
      </c>
      <c r="V32" s="601">
        <f t="shared" si="36"/>
        <v>0.17508064341887836</v>
      </c>
      <c r="W32" s="614">
        <v>775696752</v>
      </c>
      <c r="X32" s="628">
        <v>0.17540644842204905</v>
      </c>
      <c r="Y32" s="614">
        <v>2405066</v>
      </c>
      <c r="Z32" s="628">
        <v>7.0000000000000007E-2</v>
      </c>
      <c r="AA32" s="621">
        <f t="shared" si="37"/>
        <v>1186291703.5557201</v>
      </c>
      <c r="AB32" s="601">
        <f t="shared" si="38"/>
        <v>0.16986043498999975</v>
      </c>
      <c r="AC32" s="614">
        <v>1142619505</v>
      </c>
      <c r="AD32" s="628">
        <v>0.17516729475039727</v>
      </c>
      <c r="AE32" s="614">
        <v>43672198.555720001</v>
      </c>
      <c r="AF32" s="628">
        <v>3.1014174140701668E-2</v>
      </c>
      <c r="AG32" s="621">
        <f t="shared" si="39"/>
        <v>3112518446.0015001</v>
      </c>
      <c r="AH32" s="601">
        <f t="shared" si="40"/>
        <v>0.16108249999291127</v>
      </c>
      <c r="AI32" s="614">
        <v>2777902252</v>
      </c>
      <c r="AJ32" s="628">
        <v>0.17349246138322422</v>
      </c>
      <c r="AK32" s="614">
        <v>334616194.00150001</v>
      </c>
      <c r="AL32" s="628">
        <v>5.8058019076040628E-2</v>
      </c>
      <c r="AM32" s="621">
        <f t="shared" si="41"/>
        <v>2401931057.0770197</v>
      </c>
      <c r="AN32" s="601">
        <f t="shared" si="42"/>
        <v>0.1527083458394323</v>
      </c>
      <c r="AO32" s="614">
        <v>2021170757</v>
      </c>
      <c r="AP32" s="628">
        <v>0.17226195808972891</v>
      </c>
      <c r="AQ32" s="614">
        <v>380760300.07701993</v>
      </c>
      <c r="AR32" s="628">
        <v>4.8912889049367088E-2</v>
      </c>
      <c r="AS32" s="621">
        <f t="shared" si="43"/>
        <v>1263455402.7000003</v>
      </c>
      <c r="AT32" s="601">
        <f t="shared" si="44"/>
        <v>2.1457006531595987E-2</v>
      </c>
      <c r="AU32" s="614">
        <v>1029081721</v>
      </c>
      <c r="AV32" s="628">
        <v>1.2949054881098354E-2</v>
      </c>
      <c r="AW32" s="614">
        <v>234373681.7000002</v>
      </c>
      <c r="AX32" s="628">
        <v>5.881349409953817E-2</v>
      </c>
      <c r="AY32" s="621">
        <f>+C32+I32+O32+U32+AA32+AG32+AM32+AS32</f>
        <v>9344655672.6723003</v>
      </c>
      <c r="AZ32" s="598">
        <f>IFERROR(((C32*D32)/AY32)+((I32*J32)/AY32)+((O32*P32)/AY32)+((U32*V32)/AY32)+((AA32*AB32)/AY32)+((AG32*AH32)/AY32)+((AM32*AN32)/AY32)+((AS32*AT32)/AY32),0)</f>
        <v>0.14436306366297214</v>
      </c>
      <c r="BA32" s="621">
        <f>+E32+K32+Q32+W32+AC32+AI32+AO32+AU32</f>
        <v>8308743798.8043098</v>
      </c>
      <c r="BB32" s="598">
        <f>IFERROR(((E32*F32)/BA32)+((K32*L32)/BA32)+((Q32*R32)/BA32)+((W32*X32)/BA32)+((AC32*AD32)/BA32)+((AI32*AJ32)/BA32)+((AO32*AP32)/BA32)+((AU32*AV32)/BA32),0)</f>
        <v>0.15565044493647792</v>
      </c>
      <c r="BC32" s="621">
        <f>+G32+M32+S32+Y32+AE32+AK32+AQ32+AW32</f>
        <v>1035911873.8679911</v>
      </c>
      <c r="BD32" s="598">
        <f>IFERROR(((G32*H32)/BC32)+((M32*N32)/BC32)+((S32*T32)/BC32)+((Y32*Z32)/BC32)+((AE32*AF32)/BC32)+((AK32*AL32)/BC32)+((AQ32*AR32)/BC32)+((AW32*AX32)/BC32),0)</f>
        <v>5.3830305494266144E-2</v>
      </c>
      <c r="BE32" s="615"/>
      <c r="BF32" s="605">
        <f>+'[8]Bank Liabilities Analysis'!$S$12-'[8]Bank Liabilities Analysis'!$S$13</f>
        <v>11846047645</v>
      </c>
      <c r="BG32" s="605">
        <f>+AY32+'IRRBB_floating%'!AY32</f>
        <v>11846047645.079369</v>
      </c>
      <c r="BH32" s="616">
        <f t="shared" si="45"/>
        <v>-7.936859130859375E-2</v>
      </c>
    </row>
    <row r="33" spans="1:60" ht="20.25" customHeight="1">
      <c r="A33" s="589" t="s">
        <v>94</v>
      </c>
      <c r="B33" s="590" t="s">
        <v>831</v>
      </c>
      <c r="C33" s="621">
        <f>+C24+C30</f>
        <v>2281119.80431</v>
      </c>
      <c r="D33" s="601">
        <f>IFERROR(((C24*D24)/C33)+((C30*D30)/C33),0)</f>
        <v>4.5591643105942978E-3</v>
      </c>
      <c r="E33" s="621">
        <f>+E24+E30</f>
        <v>1427319.80431</v>
      </c>
      <c r="F33" s="629">
        <f>IFERROR(((E24*F24)/E33)+((E30*F30)/E33),0)</f>
        <v>7.2863838703811756E-3</v>
      </c>
      <c r="G33" s="621">
        <f>+G24+G30</f>
        <v>853800</v>
      </c>
      <c r="H33" s="629">
        <f>IFERROR(((G24*H24)/G33)+((G30*H30)/G33),0)</f>
        <v>0</v>
      </c>
      <c r="I33" s="621">
        <f>+I24+I30</f>
        <v>244257715.53375104</v>
      </c>
      <c r="J33" s="601">
        <f>IFERROR(((I24*J24)/I33)+((I30*J30)/I33),0)</f>
        <v>0.17654455190545887</v>
      </c>
      <c r="K33" s="621">
        <f>+K24+K30</f>
        <v>198954352</v>
      </c>
      <c r="L33" s="629">
        <f>IFERROR(((K24*L24)/K33)+((K30*L30)/K33),0)</f>
        <v>0.20360723612787346</v>
      </c>
      <c r="M33" s="621">
        <f>+M24+M30</f>
        <v>45303363.533751048</v>
      </c>
      <c r="N33" s="629">
        <f>IFERROR(((M24*N24)/M33)+((M30*N30)/M33),0)</f>
        <v>5.7696007716463743E-2</v>
      </c>
      <c r="O33" s="621">
        <f>+O24+O30</f>
        <v>389237336</v>
      </c>
      <c r="P33" s="601">
        <f>IFERROR(((O24*P24)/O33)+((O30*P30)/O33),0)</f>
        <v>0.19389513263873637</v>
      </c>
      <c r="Q33" s="621">
        <f>+Q24+Q30</f>
        <v>371289660</v>
      </c>
      <c r="R33" s="629">
        <f>IFERROR(((Q24*R24)/Q33)+((Q30*R30)/Q33),0)</f>
        <v>0.20133423013091284</v>
      </c>
      <c r="S33" s="621">
        <f>+S24+S30</f>
        <v>17947676</v>
      </c>
      <c r="T33" s="629">
        <f>IFERROR(((S24*T24)/S33)+((S30*T30)/S33),0)</f>
        <v>0.04</v>
      </c>
      <c r="U33" s="621">
        <f>+U24+U30</f>
        <v>1150998715</v>
      </c>
      <c r="V33" s="601">
        <f>IFERROR(((U24*V24)/U33)+((U30*V30)/U33),0)</f>
        <v>0.17680409155004051</v>
      </c>
      <c r="W33" s="621">
        <f>+W24+W30</f>
        <v>1102914498</v>
      </c>
      <c r="X33" s="629">
        <f>IFERROR(((W24*X24)/W33)+((W30*X30)/W33),0)</f>
        <v>0.18270297641951841</v>
      </c>
      <c r="Y33" s="621">
        <f>+Y24+Y30</f>
        <v>48084217</v>
      </c>
      <c r="Z33" s="629">
        <f>IFERROR(((Y24*Z24)/Y33)+((Y30*Z30)/Y33),0)</f>
        <v>4.1500533532655842E-2</v>
      </c>
      <c r="AA33" s="621">
        <f>+AA24+AA30</f>
        <v>1928795558.5557201</v>
      </c>
      <c r="AB33" s="601">
        <f>IFERROR(((AA24*AB24)/AA33)+((AA30*AB30)/AA33),0)</f>
        <v>0.1746182286178635</v>
      </c>
      <c r="AC33" s="621">
        <f>+AC24+AC30</f>
        <v>1783570037</v>
      </c>
      <c r="AD33" s="629">
        <f>IFERROR(((AC24*AD24)/AC33)+((AC30*AD30)/AC33),0)</f>
        <v>0.18409127043430371</v>
      </c>
      <c r="AE33" s="621">
        <f>+AE24+AE30</f>
        <v>145225521.55572</v>
      </c>
      <c r="AF33" s="629">
        <f>IFERROR(((AE24*AF24)/AE33)+((AE30*AF30)/AE33),0)</f>
        <v>5.8276187893511897E-2</v>
      </c>
      <c r="AG33" s="621">
        <f>+AG24+AG30</f>
        <v>4826102031.0015001</v>
      </c>
      <c r="AH33" s="601">
        <f>IFERROR(((AG24*AH24)/AG33)+((AG30*AH30)/AG33),0)</f>
        <v>0.17129885377380161</v>
      </c>
      <c r="AI33" s="621">
        <f>+AI24+AI30</f>
        <v>4261358775</v>
      </c>
      <c r="AJ33" s="629">
        <f>IFERROR(((AI24*AJ24)/AI33)+((AI30*AJ30)/AI33),0)</f>
        <v>0.18620139981325126</v>
      </c>
      <c r="AK33" s="621">
        <f>+AK24+AK30</f>
        <v>564743256.00150001</v>
      </c>
      <c r="AL33" s="629">
        <f>IFERROR(((AK24*AL24)/AK33)+((AK30*AL30)/AK33),0)</f>
        <v>5.8849356307148049E-2</v>
      </c>
      <c r="AM33" s="621">
        <f>+AM24+AM30</f>
        <v>8161662256.0770197</v>
      </c>
      <c r="AN33" s="601">
        <f>IFERROR(((AM24*AN24)/AM33)+((AM30*AN30)/AM33),0)</f>
        <v>0.18515089274386784</v>
      </c>
      <c r="AO33" s="621">
        <f>+AO24+AO30</f>
        <v>7058568254</v>
      </c>
      <c r="AP33" s="629">
        <f>IFERROR(((AO24*AP24)/AO33)+((AO30*AP30)/AO33),0)</f>
        <v>0.20633055163123165</v>
      </c>
      <c r="AQ33" s="621">
        <f>+AQ24+AQ30</f>
        <v>1103094002.0770199</v>
      </c>
      <c r="AR33" s="629">
        <f>IFERROR(((AQ24*AR24)/AQ33)+((AQ30*AR30)/AQ33),0)</f>
        <v>4.9624756647211742E-2</v>
      </c>
      <c r="AS33" s="621">
        <f>+AS24+AS30</f>
        <v>1266477556.7000003</v>
      </c>
      <c r="AT33" s="601">
        <f>IFERROR(((AS24*AT24)/AS33)+((AS30*AT30)/AS33),0)</f>
        <v>2.1739881802450369E-2</v>
      </c>
      <c r="AU33" s="621">
        <f>+AU24+AU30</f>
        <v>1032103875</v>
      </c>
      <c r="AV33" s="629">
        <f>IFERROR(((AU24*AV24)/AU33)+((AU30*AV30)/AU33),0)</f>
        <v>1.3321078987678585E-2</v>
      </c>
      <c r="AW33" s="621">
        <f>+AW24+AW30</f>
        <v>234373681.7000002</v>
      </c>
      <c r="AX33" s="629">
        <f>IFERROR(((AW24*AX24)/AW33)+((AW30*AX30)/AW33),0)</f>
        <v>5.881349409953817E-2</v>
      </c>
      <c r="AY33" s="621">
        <f t="shared" si="23"/>
        <v>17969812288.672302</v>
      </c>
      <c r="AZ33" s="598">
        <f t="shared" si="24"/>
        <v>0.16829814150028577</v>
      </c>
      <c r="BA33" s="621">
        <f t="shared" si="25"/>
        <v>15810186770.80431</v>
      </c>
      <c r="BB33" s="598">
        <f t="shared" si="26"/>
        <v>0.18397857843896406</v>
      </c>
      <c r="BC33" s="621">
        <f t="shared" si="27"/>
        <v>2159625517.867991</v>
      </c>
      <c r="BD33" s="598">
        <f t="shared" si="28"/>
        <v>5.3504796729538721E-2</v>
      </c>
      <c r="BE33" s="615"/>
      <c r="BF33" s="605">
        <f>+'[8]Bank Liabilities Analysis'!$S$20</f>
        <v>31452545685</v>
      </c>
      <c r="BG33" s="605">
        <f>+AY33+'IRRBB_floating%'!AY33</f>
        <v>20471204261.079369</v>
      </c>
      <c r="BH33" s="616">
        <f>+BF33-BG33</f>
        <v>10981341423.920631</v>
      </c>
    </row>
    <row r="34" spans="1:60" ht="20.25" customHeight="1">
      <c r="A34" s="589" t="s">
        <v>5</v>
      </c>
      <c r="B34" s="590" t="s">
        <v>832</v>
      </c>
      <c r="C34" s="621">
        <f t="shared" ref="C34:C39" si="46">+E34+G34</f>
        <v>0</v>
      </c>
      <c r="D34" s="601">
        <f t="shared" ref="D34:D39" si="47">IFERROR((((E34*F34)+(G34*H34))/C34),0)</f>
        <v>0</v>
      </c>
      <c r="E34" s="614"/>
      <c r="F34" s="628"/>
      <c r="G34" s="614"/>
      <c r="H34" s="628"/>
      <c r="I34" s="621">
        <f t="shared" ref="I34:I39" si="48">+K34+M34</f>
        <v>0</v>
      </c>
      <c r="J34" s="601">
        <f t="shared" ref="J34:J39" si="49">IFERROR((((K34*L34)+(M34*N34))/I34),0)</f>
        <v>0</v>
      </c>
      <c r="K34" s="614"/>
      <c r="L34" s="628"/>
      <c r="M34" s="614"/>
      <c r="N34" s="628"/>
      <c r="O34" s="621">
        <f t="shared" ref="O34:O39" si="50">+Q34+S34</f>
        <v>0</v>
      </c>
      <c r="P34" s="601">
        <f t="shared" ref="P34:P39" si="51">IFERROR((((Q34*R34)+(S34*T34))/O34),0)</f>
        <v>0</v>
      </c>
      <c r="Q34" s="614"/>
      <c r="R34" s="628"/>
      <c r="S34" s="614"/>
      <c r="T34" s="628"/>
      <c r="U34" s="621">
        <f t="shared" ref="U34:U39" si="52">+W34+Y34</f>
        <v>0</v>
      </c>
      <c r="V34" s="601">
        <f t="shared" ref="V34:V39" si="53">IFERROR((((W34*X34)+(Y34*Z34))/U34),0)</f>
        <v>0</v>
      </c>
      <c r="W34" s="614"/>
      <c r="X34" s="628"/>
      <c r="Y34" s="614"/>
      <c r="Z34" s="628"/>
      <c r="AA34" s="621">
        <f t="shared" ref="AA34:AA39" si="54">+AC34+AE34</f>
        <v>0</v>
      </c>
      <c r="AB34" s="601">
        <f t="shared" ref="AB34:AB39" si="55">IFERROR((((AC34*AD34)+(AE34*AF34))/AA34),0)</f>
        <v>0</v>
      </c>
      <c r="AC34" s="614"/>
      <c r="AD34" s="628"/>
      <c r="AE34" s="614"/>
      <c r="AF34" s="628"/>
      <c r="AG34" s="621">
        <f t="shared" ref="AG34:AG39" si="56">+AI34+AK34</f>
        <v>0</v>
      </c>
      <c r="AH34" s="601">
        <f t="shared" ref="AH34:AH39" si="57">IFERROR((((AI34*AJ34)+(AK34*AL34))/AG34),0)</f>
        <v>0</v>
      </c>
      <c r="AI34" s="614"/>
      <c r="AJ34" s="628"/>
      <c r="AK34" s="614"/>
      <c r="AL34" s="628"/>
      <c r="AM34" s="621">
        <f t="shared" ref="AM34:AM39" si="58">+AO34+AQ34</f>
        <v>0</v>
      </c>
      <c r="AN34" s="601">
        <f t="shared" ref="AN34:AN39" si="59">IFERROR((((AO34*AP34)+(AQ34*AR34))/AM34),0)</f>
        <v>0</v>
      </c>
      <c r="AO34" s="614"/>
      <c r="AP34" s="628"/>
      <c r="AQ34" s="614"/>
      <c r="AR34" s="628"/>
      <c r="AS34" s="621">
        <f t="shared" ref="AS34:AS39" si="60">+AU34+AW34</f>
        <v>0</v>
      </c>
      <c r="AT34" s="601">
        <f t="shared" ref="AT34:AT39" si="61">IFERROR((((AU34*AV34)+(AW34*AX34))/AS34),0)</f>
        <v>0</v>
      </c>
      <c r="AU34" s="614"/>
      <c r="AV34" s="628"/>
      <c r="AW34" s="614"/>
      <c r="AX34" s="628"/>
      <c r="AY34" s="621">
        <f t="shared" si="23"/>
        <v>0</v>
      </c>
      <c r="AZ34" s="598">
        <f t="shared" si="24"/>
        <v>0</v>
      </c>
      <c r="BA34" s="621">
        <f t="shared" si="25"/>
        <v>0</v>
      </c>
      <c r="BB34" s="598">
        <f t="shared" si="26"/>
        <v>0</v>
      </c>
      <c r="BC34" s="621">
        <f t="shared" si="27"/>
        <v>0</v>
      </c>
      <c r="BD34" s="598">
        <f t="shared" si="28"/>
        <v>0</v>
      </c>
      <c r="BE34" s="615"/>
      <c r="BF34" s="605"/>
      <c r="BG34" s="605"/>
      <c r="BH34" s="616"/>
    </row>
    <row r="35" spans="1:60" ht="20.25" customHeight="1">
      <c r="A35" s="589" t="s">
        <v>6</v>
      </c>
      <c r="B35" s="590" t="s">
        <v>833</v>
      </c>
      <c r="C35" s="621">
        <f t="shared" si="46"/>
        <v>80551760.601290002</v>
      </c>
      <c r="D35" s="601">
        <f t="shared" si="47"/>
        <v>0</v>
      </c>
      <c r="E35" s="614">
        <v>66665050.333910003</v>
      </c>
      <c r="F35" s="628">
        <v>0</v>
      </c>
      <c r="G35" s="614">
        <v>13886710.267379999</v>
      </c>
      <c r="H35" s="628">
        <v>0</v>
      </c>
      <c r="I35" s="621">
        <f t="shared" si="48"/>
        <v>0</v>
      </c>
      <c r="J35" s="601">
        <f t="shared" si="49"/>
        <v>0</v>
      </c>
      <c r="K35" s="614">
        <v>0</v>
      </c>
      <c r="L35" s="628">
        <v>0</v>
      </c>
      <c r="M35" s="614">
        <v>0</v>
      </c>
      <c r="N35" s="628">
        <v>0</v>
      </c>
      <c r="O35" s="621">
        <f t="shared" si="50"/>
        <v>120403675.31999999</v>
      </c>
      <c r="P35" s="601">
        <f t="shared" si="51"/>
        <v>4.710000000000001E-2</v>
      </c>
      <c r="Q35" s="614">
        <v>0</v>
      </c>
      <c r="R35" s="628">
        <v>0</v>
      </c>
      <c r="S35" s="614">
        <v>120403675.31999999</v>
      </c>
      <c r="T35" s="628">
        <v>4.710000000000001E-2</v>
      </c>
      <c r="U35" s="621">
        <f t="shared" si="52"/>
        <v>908590429.35095</v>
      </c>
      <c r="V35" s="601">
        <f t="shared" si="53"/>
        <v>8.6002230845481115E-2</v>
      </c>
      <c r="W35" s="614">
        <v>250400000</v>
      </c>
      <c r="X35" s="628">
        <v>0.14000000000000001</v>
      </c>
      <c r="Y35" s="614">
        <v>658190429.35095</v>
      </c>
      <c r="Z35" s="628">
        <v>6.5459480915761231E-2</v>
      </c>
      <c r="AA35" s="621">
        <f t="shared" si="54"/>
        <v>1216637785.32511</v>
      </c>
      <c r="AB35" s="601">
        <f t="shared" si="55"/>
        <v>7.5781794266896282E-2</v>
      </c>
      <c r="AC35" s="614">
        <v>254084409.70111001</v>
      </c>
      <c r="AD35" s="628">
        <v>0.13451966652073452</v>
      </c>
      <c r="AE35" s="614">
        <v>962553375.62400007</v>
      </c>
      <c r="AF35" s="628">
        <v>6.0276807243147504E-2</v>
      </c>
      <c r="AG35" s="621">
        <f t="shared" si="56"/>
        <v>694388933.17119002</v>
      </c>
      <c r="AH35" s="601">
        <f t="shared" si="57"/>
        <v>5.3800833555257617E-2</v>
      </c>
      <c r="AI35" s="614">
        <v>30266227.891109999</v>
      </c>
      <c r="AJ35" s="628">
        <v>9.8905639046921717E-3</v>
      </c>
      <c r="AK35" s="614">
        <v>664122705.28008008</v>
      </c>
      <c r="AL35" s="628">
        <v>5.5801967106991285E-2</v>
      </c>
      <c r="AM35" s="621">
        <f t="shared" si="58"/>
        <v>211457354.34326974</v>
      </c>
      <c r="AN35" s="601">
        <f t="shared" si="59"/>
        <v>5.6700542947129604E-2</v>
      </c>
      <c r="AO35" s="614">
        <v>60225866.875770003</v>
      </c>
      <c r="AP35" s="628">
        <v>9.4318481882331145E-3</v>
      </c>
      <c r="AQ35" s="614">
        <v>151231487.46749973</v>
      </c>
      <c r="AR35" s="628">
        <v>7.5524652698430533E-2</v>
      </c>
      <c r="AS35" s="621">
        <f t="shared" si="60"/>
        <v>1334142001.7006309</v>
      </c>
      <c r="AT35" s="601">
        <f t="shared" si="61"/>
        <v>6.5059334877445668E-2</v>
      </c>
      <c r="AU35" s="614">
        <v>1146532204.81022</v>
      </c>
      <c r="AV35" s="628">
        <v>6.6140680265299817E-2</v>
      </c>
      <c r="AW35" s="614">
        <v>187609796.89041093</v>
      </c>
      <c r="AX35" s="628">
        <v>5.8450952307627146E-2</v>
      </c>
      <c r="AY35" s="621">
        <f t="shared" si="23"/>
        <v>4566171939.8124409</v>
      </c>
      <c r="AZ35" s="598">
        <f t="shared" si="24"/>
        <v>6.8363096461619283E-2</v>
      </c>
      <c r="BA35" s="621">
        <f t="shared" si="25"/>
        <v>1808173759.6121199</v>
      </c>
      <c r="BB35" s="598">
        <f t="shared" si="26"/>
        <v>8.0708593713430643E-2</v>
      </c>
      <c r="BC35" s="621">
        <f t="shared" si="27"/>
        <v>2757998180.2003207</v>
      </c>
      <c r="BD35" s="598">
        <f t="shared" si="28"/>
        <v>6.0269253492343827E-2</v>
      </c>
      <c r="BE35" s="615"/>
      <c r="BF35" s="605"/>
      <c r="BG35" s="605"/>
      <c r="BH35" s="616"/>
    </row>
    <row r="36" spans="1:60" ht="20.25" customHeight="1">
      <c r="A36" s="589" t="s">
        <v>4</v>
      </c>
      <c r="B36" s="590" t="s">
        <v>838</v>
      </c>
      <c r="C36" s="621">
        <f t="shared" si="46"/>
        <v>0</v>
      </c>
      <c r="D36" s="601">
        <f t="shared" si="47"/>
        <v>0</v>
      </c>
      <c r="E36" s="614"/>
      <c r="F36" s="628"/>
      <c r="G36" s="614"/>
      <c r="H36" s="628"/>
      <c r="I36" s="621">
        <f t="shared" si="48"/>
        <v>0</v>
      </c>
      <c r="J36" s="601">
        <f t="shared" si="49"/>
        <v>0</v>
      </c>
      <c r="K36" s="614"/>
      <c r="L36" s="628"/>
      <c r="M36" s="614"/>
      <c r="N36" s="628"/>
      <c r="O36" s="621">
        <f t="shared" si="50"/>
        <v>0</v>
      </c>
      <c r="P36" s="601">
        <f t="shared" si="51"/>
        <v>0</v>
      </c>
      <c r="Q36" s="614"/>
      <c r="R36" s="628"/>
      <c r="S36" s="614"/>
      <c r="T36" s="628"/>
      <c r="U36" s="621">
        <f t="shared" si="52"/>
        <v>0</v>
      </c>
      <c r="V36" s="601">
        <f t="shared" si="53"/>
        <v>0</v>
      </c>
      <c r="W36" s="614"/>
      <c r="X36" s="628"/>
      <c r="Y36" s="614"/>
      <c r="Z36" s="628"/>
      <c r="AA36" s="621">
        <f t="shared" si="54"/>
        <v>0</v>
      </c>
      <c r="AB36" s="601">
        <f t="shared" si="55"/>
        <v>0</v>
      </c>
      <c r="AC36" s="614"/>
      <c r="AD36" s="628"/>
      <c r="AE36" s="614"/>
      <c r="AF36" s="628"/>
      <c r="AG36" s="621">
        <f t="shared" si="56"/>
        <v>0</v>
      </c>
      <c r="AH36" s="601">
        <f t="shared" si="57"/>
        <v>0</v>
      </c>
      <c r="AI36" s="614"/>
      <c r="AJ36" s="628"/>
      <c r="AK36" s="614"/>
      <c r="AL36" s="628"/>
      <c r="AM36" s="621">
        <f t="shared" si="58"/>
        <v>0</v>
      </c>
      <c r="AN36" s="601">
        <f t="shared" si="59"/>
        <v>0</v>
      </c>
      <c r="AO36" s="614"/>
      <c r="AP36" s="628"/>
      <c r="AQ36" s="614"/>
      <c r="AR36" s="628"/>
      <c r="AS36" s="621">
        <f t="shared" si="60"/>
        <v>0</v>
      </c>
      <c r="AT36" s="601">
        <f t="shared" si="61"/>
        <v>0</v>
      </c>
      <c r="AU36" s="614"/>
      <c r="AV36" s="628"/>
      <c r="AW36" s="614"/>
      <c r="AX36" s="628"/>
      <c r="AY36" s="621">
        <f t="shared" si="23"/>
        <v>0</v>
      </c>
      <c r="AZ36" s="598">
        <f t="shared" si="24"/>
        <v>0</v>
      </c>
      <c r="BA36" s="621">
        <f t="shared" si="25"/>
        <v>0</v>
      </c>
      <c r="BB36" s="598">
        <f t="shared" si="26"/>
        <v>0</v>
      </c>
      <c r="BC36" s="621">
        <f t="shared" si="27"/>
        <v>0</v>
      </c>
      <c r="BD36" s="598">
        <f t="shared" si="28"/>
        <v>0</v>
      </c>
      <c r="BE36" s="615"/>
      <c r="BF36" s="605"/>
      <c r="BG36" s="605"/>
      <c r="BH36" s="616"/>
    </row>
    <row r="37" spans="1:60" ht="34.5" customHeight="1">
      <c r="A37" s="589" t="s">
        <v>3</v>
      </c>
      <c r="B37" s="590" t="s">
        <v>834</v>
      </c>
      <c r="C37" s="621">
        <f t="shared" si="46"/>
        <v>0</v>
      </c>
      <c r="D37" s="601">
        <f t="shared" si="47"/>
        <v>0</v>
      </c>
      <c r="E37" s="614">
        <v>0</v>
      </c>
      <c r="F37" s="628">
        <v>0</v>
      </c>
      <c r="G37" s="614">
        <v>0</v>
      </c>
      <c r="H37" s="628">
        <v>0</v>
      </c>
      <c r="I37" s="621">
        <f t="shared" si="48"/>
        <v>56109126.238229997</v>
      </c>
      <c r="J37" s="601">
        <f t="shared" si="49"/>
        <v>8.3474621980314787E-2</v>
      </c>
      <c r="K37" s="614">
        <v>46360395.529739998</v>
      </c>
      <c r="L37" s="628">
        <v>9.4315816621008089E-2</v>
      </c>
      <c r="M37" s="614">
        <v>9748730.7084899992</v>
      </c>
      <c r="N37" s="628">
        <v>3.1918979857619607E-2</v>
      </c>
      <c r="O37" s="621">
        <f t="shared" si="50"/>
        <v>291166431.69319004</v>
      </c>
      <c r="P37" s="601">
        <f t="shared" si="51"/>
        <v>2.3342853448785589E-2</v>
      </c>
      <c r="Q37" s="614">
        <v>1756102.7048300004</v>
      </c>
      <c r="R37" s="628">
        <v>0.15504463286325704</v>
      </c>
      <c r="S37" s="614">
        <v>289410328.98836005</v>
      </c>
      <c r="T37" s="628">
        <v>2.2543704877035824E-2</v>
      </c>
      <c r="U37" s="621">
        <f t="shared" si="52"/>
        <v>123772002.61056</v>
      </c>
      <c r="V37" s="601">
        <f t="shared" si="53"/>
        <v>5.3860119661646458E-2</v>
      </c>
      <c r="W37" s="614">
        <v>36233270.192929998</v>
      </c>
      <c r="X37" s="628">
        <v>9.4887222113198971E-2</v>
      </c>
      <c r="Y37" s="614">
        <v>87538732.417630002</v>
      </c>
      <c r="Z37" s="628">
        <v>3.6878538511166639E-2</v>
      </c>
      <c r="AA37" s="621">
        <f t="shared" si="54"/>
        <v>288736689.48124999</v>
      </c>
      <c r="AB37" s="601">
        <f t="shared" si="55"/>
        <v>6.1260400818322902E-2</v>
      </c>
      <c r="AC37" s="614">
        <v>127884545.76046997</v>
      </c>
      <c r="AD37" s="628">
        <v>8.9886478576041651E-2</v>
      </c>
      <c r="AE37" s="614">
        <v>160852143.72078001</v>
      </c>
      <c r="AF37" s="628">
        <v>3.8501406960556719E-2</v>
      </c>
      <c r="AG37" s="621">
        <f t="shared" si="56"/>
        <v>1532726606.8864999</v>
      </c>
      <c r="AH37" s="601">
        <f t="shared" si="57"/>
        <v>7.7831045196933332E-2</v>
      </c>
      <c r="AI37" s="614">
        <v>758344605.8865</v>
      </c>
      <c r="AJ37" s="628">
        <v>0.11082994634474751</v>
      </c>
      <c r="AK37" s="614">
        <v>774382001</v>
      </c>
      <c r="AL37" s="628">
        <v>4.5515548900129918E-2</v>
      </c>
      <c r="AM37" s="621">
        <f t="shared" si="58"/>
        <v>1128600257.3478098</v>
      </c>
      <c r="AN37" s="601">
        <f t="shared" si="59"/>
        <v>5.0148127629950752E-2</v>
      </c>
      <c r="AO37" s="614">
        <v>293546919.80865973</v>
      </c>
      <c r="AP37" s="628">
        <v>9.8114856269835987E-2</v>
      </c>
      <c r="AQ37" s="614">
        <v>835053337.53915</v>
      </c>
      <c r="AR37" s="628">
        <v>3.3286347893783909E-2</v>
      </c>
      <c r="AS37" s="621">
        <f t="shared" si="60"/>
        <v>7228378625.0710316</v>
      </c>
      <c r="AT37" s="601">
        <f t="shared" si="61"/>
        <v>4.711965932885024E-2</v>
      </c>
      <c r="AU37" s="614">
        <v>1378219305.1984315</v>
      </c>
      <c r="AV37" s="628">
        <v>0.10712733442083516</v>
      </c>
      <c r="AW37" s="614">
        <v>5850159319.8726006</v>
      </c>
      <c r="AX37" s="628">
        <v>3.2982653522716093E-2</v>
      </c>
      <c r="AY37" s="621">
        <f t="shared" si="23"/>
        <v>10649489739.328571</v>
      </c>
      <c r="AZ37" s="598">
        <f t="shared" si="24"/>
        <v>5.1863938934454228E-2</v>
      </c>
      <c r="BA37" s="621">
        <f t="shared" si="25"/>
        <v>2642345145.0815611</v>
      </c>
      <c r="BB37" s="598">
        <f t="shared" si="26"/>
        <v>0.10599354344872991</v>
      </c>
      <c r="BC37" s="621">
        <f t="shared" si="27"/>
        <v>8007144594.2470112</v>
      </c>
      <c r="BD37" s="598">
        <f t="shared" si="28"/>
        <v>3.4001254426890178E-2</v>
      </c>
      <c r="BE37" s="615"/>
      <c r="BF37" s="605">
        <f>+'[8]Bank Liabilities Analysis'!$S$30</f>
        <v>35548987557</v>
      </c>
      <c r="BG37" s="605">
        <f>+AY37+'IRRBB_floating%'!AY37</f>
        <v>35548987557.455048</v>
      </c>
      <c r="BH37" s="616">
        <f t="shared" ref="BH37:BH39" si="62">+BF37-BG37</f>
        <v>-0.455047607421875</v>
      </c>
    </row>
    <row r="38" spans="1:60" ht="20.25" customHeight="1">
      <c r="A38" s="589" t="s">
        <v>8</v>
      </c>
      <c r="B38" s="590" t="s">
        <v>835</v>
      </c>
      <c r="C38" s="621">
        <f t="shared" si="46"/>
        <v>0</v>
      </c>
      <c r="D38" s="601">
        <f t="shared" si="47"/>
        <v>0</v>
      </c>
      <c r="E38" s="614"/>
      <c r="F38" s="628"/>
      <c r="G38" s="614">
        <v>0</v>
      </c>
      <c r="H38" s="628">
        <v>0</v>
      </c>
      <c r="I38" s="621">
        <f t="shared" si="48"/>
        <v>0</v>
      </c>
      <c r="J38" s="601">
        <f t="shared" si="49"/>
        <v>0</v>
      </c>
      <c r="K38" s="614"/>
      <c r="L38" s="628"/>
      <c r="M38" s="614"/>
      <c r="N38" s="628"/>
      <c r="O38" s="621">
        <f t="shared" si="50"/>
        <v>0</v>
      </c>
      <c r="P38" s="601">
        <f t="shared" si="51"/>
        <v>0</v>
      </c>
      <c r="Q38" s="614"/>
      <c r="R38" s="628"/>
      <c r="S38" s="614"/>
      <c r="T38" s="628"/>
      <c r="U38" s="621">
        <f t="shared" si="52"/>
        <v>0</v>
      </c>
      <c r="V38" s="601">
        <f t="shared" si="53"/>
        <v>0</v>
      </c>
      <c r="W38" s="614"/>
      <c r="X38" s="628"/>
      <c r="Y38" s="614"/>
      <c r="Z38" s="628"/>
      <c r="AA38" s="621">
        <f t="shared" si="54"/>
        <v>0</v>
      </c>
      <c r="AB38" s="601">
        <f t="shared" si="55"/>
        <v>0</v>
      </c>
      <c r="AC38" s="614"/>
      <c r="AD38" s="628"/>
      <c r="AE38" s="614"/>
      <c r="AF38" s="628"/>
      <c r="AG38" s="621">
        <f t="shared" si="56"/>
        <v>0</v>
      </c>
      <c r="AH38" s="601">
        <f t="shared" si="57"/>
        <v>0</v>
      </c>
      <c r="AI38" s="614"/>
      <c r="AJ38" s="628"/>
      <c r="AK38" s="614"/>
      <c r="AL38" s="628"/>
      <c r="AM38" s="621">
        <f t="shared" si="58"/>
        <v>2250000000</v>
      </c>
      <c r="AN38" s="601">
        <f t="shared" si="59"/>
        <v>0.21</v>
      </c>
      <c r="AO38" s="614">
        <v>2250000000</v>
      </c>
      <c r="AP38" s="628">
        <v>0.21</v>
      </c>
      <c r="AQ38" s="614"/>
      <c r="AR38" s="628"/>
      <c r="AS38" s="621">
        <f t="shared" si="60"/>
        <v>9027020609</v>
      </c>
      <c r="AT38" s="601">
        <f t="shared" si="61"/>
        <v>9.7417374191961364E-2</v>
      </c>
      <c r="AU38" s="614">
        <v>649730000</v>
      </c>
      <c r="AV38" s="628">
        <v>0.19950000000000001</v>
      </c>
      <c r="AW38" s="614">
        <f>4769691609+3607599000</f>
        <v>8377290609</v>
      </c>
      <c r="AX38" s="628">
        <v>8.9499999999999996E-2</v>
      </c>
      <c r="AY38" s="621">
        <f t="shared" si="23"/>
        <v>11277020609</v>
      </c>
      <c r="AZ38" s="598">
        <f t="shared" si="24"/>
        <v>0.11987994802692659</v>
      </c>
      <c r="BA38" s="621">
        <f t="shared" si="25"/>
        <v>2899730000</v>
      </c>
      <c r="BB38" s="598">
        <f t="shared" si="26"/>
        <v>0.20764731026681793</v>
      </c>
      <c r="BC38" s="621">
        <f t="shared" si="27"/>
        <v>8377290609</v>
      </c>
      <c r="BD38" s="598">
        <f t="shared" si="28"/>
        <v>8.9499999999999996E-2</v>
      </c>
      <c r="BE38" s="615"/>
      <c r="BF38" s="605">
        <f>+'[8]Bank Liabilities Analysis'!$S$31</f>
        <v>12479553609</v>
      </c>
      <c r="BG38" s="605">
        <f>+AY38+'IRRBB_floating%'!AY38</f>
        <v>12479553609</v>
      </c>
      <c r="BH38" s="616">
        <f t="shared" si="62"/>
        <v>0</v>
      </c>
    </row>
    <row r="39" spans="1:60" ht="20.25" customHeight="1">
      <c r="A39" s="589" t="s">
        <v>7</v>
      </c>
      <c r="B39" s="590" t="s">
        <v>836</v>
      </c>
      <c r="C39" s="621">
        <f t="shared" si="46"/>
        <v>0</v>
      </c>
      <c r="D39" s="601">
        <f t="shared" si="47"/>
        <v>0</v>
      </c>
      <c r="E39" s="614">
        <v>0</v>
      </c>
      <c r="F39" s="628">
        <v>0</v>
      </c>
      <c r="G39" s="614">
        <v>0</v>
      </c>
      <c r="H39" s="628">
        <v>0</v>
      </c>
      <c r="I39" s="621">
        <f t="shared" si="48"/>
        <v>0</v>
      </c>
      <c r="J39" s="601">
        <f t="shared" si="49"/>
        <v>0</v>
      </c>
      <c r="K39" s="614">
        <v>0</v>
      </c>
      <c r="L39" s="628">
        <v>0</v>
      </c>
      <c r="M39" s="614">
        <v>0</v>
      </c>
      <c r="N39" s="628">
        <v>0</v>
      </c>
      <c r="O39" s="621">
        <f t="shared" si="50"/>
        <v>0</v>
      </c>
      <c r="P39" s="601">
        <f t="shared" si="51"/>
        <v>0</v>
      </c>
      <c r="Q39" s="614">
        <v>0</v>
      </c>
      <c r="R39" s="628">
        <v>0</v>
      </c>
      <c r="S39" s="614">
        <v>0</v>
      </c>
      <c r="T39" s="628">
        <v>0</v>
      </c>
      <c r="U39" s="621">
        <f t="shared" si="52"/>
        <v>1337500</v>
      </c>
      <c r="V39" s="601">
        <f t="shared" si="53"/>
        <v>0.03</v>
      </c>
      <c r="W39" s="614">
        <v>1337500</v>
      </c>
      <c r="X39" s="628">
        <v>0.03</v>
      </c>
      <c r="Y39" s="614">
        <v>0</v>
      </c>
      <c r="Z39" s="628">
        <v>0</v>
      </c>
      <c r="AA39" s="621">
        <f t="shared" si="54"/>
        <v>1337500</v>
      </c>
      <c r="AB39" s="601">
        <f t="shared" si="55"/>
        <v>0.03</v>
      </c>
      <c r="AC39" s="614">
        <v>1337500</v>
      </c>
      <c r="AD39" s="628">
        <v>0.03</v>
      </c>
      <c r="AE39" s="614">
        <v>0</v>
      </c>
      <c r="AF39" s="628">
        <v>0</v>
      </c>
      <c r="AG39" s="621">
        <f t="shared" si="56"/>
        <v>2675000</v>
      </c>
      <c r="AH39" s="601">
        <f t="shared" si="57"/>
        <v>0.03</v>
      </c>
      <c r="AI39" s="614">
        <v>2675000</v>
      </c>
      <c r="AJ39" s="628">
        <v>0.03</v>
      </c>
      <c r="AK39" s="614">
        <v>0</v>
      </c>
      <c r="AL39" s="628">
        <v>0</v>
      </c>
      <c r="AM39" s="621">
        <f t="shared" si="58"/>
        <v>259428481.16275001</v>
      </c>
      <c r="AN39" s="601">
        <f t="shared" si="59"/>
        <v>4.8894637478835247E-2</v>
      </c>
      <c r="AO39" s="614">
        <v>14338126</v>
      </c>
      <c r="AP39" s="628">
        <v>0.03</v>
      </c>
      <c r="AQ39" s="614">
        <v>245090355.16275001</v>
      </c>
      <c r="AR39" s="628">
        <v>0.05</v>
      </c>
      <c r="AS39" s="621">
        <f t="shared" si="60"/>
        <v>1047748351.4398201</v>
      </c>
      <c r="AT39" s="601">
        <f t="shared" si="61"/>
        <v>0.03</v>
      </c>
      <c r="AU39" s="614">
        <v>1047748351.4398201</v>
      </c>
      <c r="AV39" s="628">
        <v>0.03</v>
      </c>
      <c r="AW39" s="614">
        <v>0</v>
      </c>
      <c r="AX39" s="628">
        <v>0</v>
      </c>
      <c r="AY39" s="621">
        <f t="shared" si="23"/>
        <v>1312526832.6025701</v>
      </c>
      <c r="AZ39" s="598">
        <f t="shared" si="24"/>
        <v>3.3734633823474185E-2</v>
      </c>
      <c r="BA39" s="621">
        <f t="shared" si="25"/>
        <v>1067436477.4398201</v>
      </c>
      <c r="BB39" s="598">
        <f t="shared" si="26"/>
        <v>0.03</v>
      </c>
      <c r="BC39" s="621">
        <f t="shared" si="27"/>
        <v>245090355.16275001</v>
      </c>
      <c r="BD39" s="598">
        <f t="shared" si="28"/>
        <v>0.05</v>
      </c>
      <c r="BE39" s="615"/>
      <c r="BF39" s="605">
        <f>+'[8]Bank Liabilities Analysis'!$S$32</f>
        <v>1889979338</v>
      </c>
      <c r="BG39" s="605">
        <f>+AY39+'IRRBB_floating%'!AY39</f>
        <v>1889979337.92857</v>
      </c>
      <c r="BH39" s="616">
        <f t="shared" si="62"/>
        <v>7.1429967880249023E-2</v>
      </c>
    </row>
    <row r="40" spans="1:60" ht="30" customHeight="1">
      <c r="A40" s="592" t="s">
        <v>809</v>
      </c>
      <c r="B40" s="593" t="s">
        <v>837</v>
      </c>
      <c r="C40" s="622">
        <f>SUM(C33+C34+C35+C36+C37+C38+C39)</f>
        <v>82832880.405599996</v>
      </c>
      <c r="D40" s="594">
        <f>IFERROR(((C33*D33)/C40)+((C34*D34)/C40)+((C35*D35)/C40)+((C36*D36)/C40)+((C37*D37)/C40)+((C38*D38)/C40)+((C39*D39)/C40),0)</f>
        <v>1.2555400644134667E-4</v>
      </c>
      <c r="E40" s="622">
        <f>SUM(E33+E34+E35+E36+E37+E38+E39)</f>
        <v>68092370.138219997</v>
      </c>
      <c r="F40" s="594">
        <f>IFERROR(((E33*F33)/E40)+((E34*F34)/E40)+((E35*F35)/E40)+((E36*F36)/E40)+((E37*F37)/E40)+((E38*F38)/E40)+((E39*F39)/E40),0)</f>
        <v>1.5273370539003339E-4</v>
      </c>
      <c r="G40" s="622">
        <f>SUM(G33+G34+G35+G36+G37+G38+G39)</f>
        <v>14740510.267379999</v>
      </c>
      <c r="H40" s="594">
        <f>IFERROR(((G33*H33)/G40)+((G34*H34)/G40)+((G35*H35)/G40)+((G36*H36)/G40)+((G37*H37)/G40)+((G38*H38)/G40)+((G39*H39)/G40),0)</f>
        <v>0</v>
      </c>
      <c r="I40" s="622">
        <f>SUM(I33+I34+I35+I36+I37+I38+I39)</f>
        <v>300366841.77198106</v>
      </c>
      <c r="J40" s="594">
        <f>IFERROR(((I33*J33)/I40)+((I34*J34)/I40)+((I35*J35)/I40)+((I36*J36)/I40)+((I37*J37)/I40)+((I38*J38)/I40)+((I39*J39)/I40),0)</f>
        <v>0.15915890302242605</v>
      </c>
      <c r="K40" s="622">
        <f>SUM(K33+K34+K35+K36+K37+K38+K39)</f>
        <v>245314747.52974001</v>
      </c>
      <c r="L40" s="594">
        <f>IFERROR(((K33*L33)/K40)+((K34*L34)/K40)+((K35*L35)/K40)+((K36*L36)/K40)+((K37*L37)/K40)+((K38*L38)/K40)+((K39*L39)/K40),0)</f>
        <v>0.18295298077891298</v>
      </c>
      <c r="M40" s="622">
        <f>SUM(M33+M34+M35+M36+M37+M38+M39)</f>
        <v>55052094.242241047</v>
      </c>
      <c r="N40" s="594">
        <f>IFERROR(((M33*N33)/M40)+((M34*N34)/M40)+((M35*N35)/M40)+((M36*N36)/M40)+((M37*N37)/M40)+((M38*N38)/M40)+((M39*N39)/M40),0)</f>
        <v>5.3131362056384558E-2</v>
      </c>
      <c r="O40" s="622">
        <f>SUM(O33+O34+O35+O36+O37+O38+O39)</f>
        <v>800807443.01319003</v>
      </c>
      <c r="P40" s="594">
        <f>IFERROR(((O33*P33)/O40)+((O34*P34)/O40)+((O35*P35)/O40)+((O36*P36)/O40)+((O37*P37)/O40)+((O38*P38)/O40)+((O39*P39)/O40),0)</f>
        <v>0.10981278222461768</v>
      </c>
      <c r="Q40" s="622">
        <f>SUM(Q33+Q34+Q35+Q36+Q37+Q38+Q39)</f>
        <v>373045762.70482999</v>
      </c>
      <c r="R40" s="594">
        <f>IFERROR(((Q33*R33)/Q40)+((Q34*R34)/Q40)+((Q35*R35)/Q40)+((Q36*R36)/Q40)+((Q37*R37)/Q40)+((Q38*R38)/Q40)+((Q39*R39)/Q40),0)</f>
        <v>0.20111632312031497</v>
      </c>
      <c r="S40" s="622">
        <f>SUM(S33+S34+S35+S36+S37+S38+S39)</f>
        <v>427761680.30836004</v>
      </c>
      <c r="T40" s="594">
        <f>IFERROR(((S33*T33)/S40)+((S34*T34)/S40)+((S35*T35)/S40)+((S36*T36)/S40)+((S37*T37)/S40)+((S38*T38)/S40)+((S39*T39)/S40),0)</f>
        <v>3.0188073843694086E-2</v>
      </c>
      <c r="U40" s="622">
        <f>SUM(U33+U34+U35+U36+U37+U38+U39)</f>
        <v>2184698646.9615102</v>
      </c>
      <c r="V40" s="594">
        <f>IFERROR(((U33*V33)/U40)+((U34*V34)/U40)+((U35*V35)/U40)+((U36*V36)/U40)+((U37*V37)/U40)+((U38*V38)/U40)+((U39*V39)/U40),0)</f>
        <v>0.13198551951422555</v>
      </c>
      <c r="W40" s="622">
        <f>SUM(W33+W34+W35+W36+W37+W38+W39)</f>
        <v>1390885268.19293</v>
      </c>
      <c r="X40" s="594">
        <f>IFERROR(((W33*X33)/W40)+((W34*X34)/W40)+((W35*X35)/W40)+((W36*X36)/W40)+((W37*X37)/W40)+((W38*X38)/W40)+((W39*X39)/W40),0)</f>
        <v>0.17258070551670196</v>
      </c>
      <c r="Y40" s="622">
        <f>SUM(Y33+Y34+Y35+Y36+Y37+Y38+Y39)</f>
        <v>793813378.76857996</v>
      </c>
      <c r="Z40" s="594">
        <f>IFERROR(((Y33*Z33)/Y40)+((Y34*Z34)/Y40)+((Y35*Z35)/Y40)+((Y36*Z36)/Y40)+((Y37*Z37)/Y40)+((Y38*Z38)/Y40)+((Y39*Z39)/Y40),0)</f>
        <v>6.0856400655097641E-2</v>
      </c>
      <c r="AA40" s="622">
        <f>SUM(AA33+AA34+AA35+AA36+AA37+AA38+AA39)</f>
        <v>3435507533.3620796</v>
      </c>
      <c r="AB40" s="594">
        <f>IFERROR(((AA33*AB33)/AA40)+((AA34*AB34)/AA40)+((AA35*AB35)/AA40)+((AA36*AB36)/AA40)+((AA37*AB37)/AA40)+((AA38*AB38)/AA40)+((AA39*AB39)/AA40),0)</f>
        <v>0.13003322045905608</v>
      </c>
      <c r="AC40" s="622">
        <f>SUM(AC33+AC34+AC35+AC36+AC37+AC38+AC39)</f>
        <v>2166876492.4615798</v>
      </c>
      <c r="AD40" s="594">
        <f>IFERROR(((AC33*AD33)/AC40)+((AC34*AD34)/AC40)+((AC35*AD35)/AC40)+((AC36*AD36)/AC40)+((AC37*AD37)/AC40)+((AC38*AD38)/AC40)+((AC39*AD39)/AC40),0)</f>
        <v>0.17262370138077288</v>
      </c>
      <c r="AE40" s="622">
        <f>SUM(AE33+AE34+AE35+AE36+AE37+AE38+AE39)</f>
        <v>1268631040.9005003</v>
      </c>
      <c r="AF40" s="594">
        <f>IFERROR(((AE33*AF33)/AE40)+((AE34*AF34)/AE40)+((AE35*AF35)/AE40)+((AE36*AF36)/AE40)+((AE37*AF37)/AE40)+((AE38*AF38)/AE40)+((AE39*AF39)/AE40),0)</f>
        <v>5.728684350899068E-2</v>
      </c>
      <c r="AG40" s="622">
        <f>SUM(AG33+AG34+AG35+AG36+AG37+AG38+AG39)</f>
        <v>7055892571.0591908</v>
      </c>
      <c r="AH40" s="594">
        <f>IFERROR(((AG33*AH33)/AG40)+((AG34*AH34)/AG40)+((AG35*AH35)/AG40)+((AG36*AH36)/AG40)+((AG37*AH37)/AG40)+((AG38*AH38)/AG40)+((AG39*AH39)/AG40),0)</f>
        <v>0.13937831442771331</v>
      </c>
      <c r="AI40" s="622">
        <f>SUM(AI33+AI34+AI35+AI36+AI37+AI38+AI39)</f>
        <v>5052644608.7776098</v>
      </c>
      <c r="AJ40" s="594">
        <f>IFERROR(((AI33*AJ33)/AI40)+((AI34*AJ34)/AI40)+((AI35*AJ35)/AI40)+((AI36*AJ36)/AI40)+((AI37*AJ37)/AI40)+((AI38*AJ38)/AI40)+((AI39*AJ39)/AI40),0)</f>
        <v>0.17375017026305609</v>
      </c>
      <c r="AK40" s="622">
        <f>SUM(AK33+AK34+AK35+AK36+AK37+AK38+AK39)</f>
        <v>2003247962.28158</v>
      </c>
      <c r="AL40" s="594">
        <f>IFERROR(((AK33*AL33)/AK40)+((AK34*AL34)/AK40)+((AK35*AL35)/AK40)+((AK36*AL36)/AK40)+((AK37*AL37)/AK40)+((AK38*AL38)/AK40)+((AK39*AL39)/AK40),0)</f>
        <v>5.2684717154649119E-2</v>
      </c>
      <c r="AM40" s="622">
        <f>SUM(AM33+AM34+AM35+AM36+AM37+AM38+AM39)</f>
        <v>12011148348.930849</v>
      </c>
      <c r="AN40" s="594">
        <f>IFERROR(((AM33*AN33)/AM40)+((AM34*AN34)/AM40)+((AM35*AN35)/AM40)+((AM36*AN36)/AM40)+((AM37*AN37)/AM40)+((AM38*AN38)/AM40)+((AM39*AN39)/AM40),0)</f>
        <v>0.17191617246644306</v>
      </c>
      <c r="AO40" s="622">
        <f>SUM(AO33+AO34+AO35+AO36+AO37+AO38+AO39)</f>
        <v>9676679166.6844292</v>
      </c>
      <c r="AP40" s="594">
        <f>IFERROR(((AO33*AP33)/AO40)+((AO34*AP34)/AO40)+((AO35*AP35)/AO40)+((AO36*AP36)/AO40)+((AO37*AP37)/AO40)+((AO38*AP38)/AO40)+((AO39*AP39)/AO40),0)</f>
        <v>0.20241425252341963</v>
      </c>
      <c r="AQ40" s="622">
        <f>SUM(AQ33+AQ34+AQ35+AQ36+AQ37+AQ38+AQ39)</f>
        <v>2334469182.2464199</v>
      </c>
      <c r="AR40" s="594">
        <f>IFERROR(((AQ33*AR33)/AQ40)+((AQ34*AR34)/AQ40)+((AQ35*AR35)/AQ40)+((AQ36*AR36)/AQ40)+((AQ37*AR37)/AQ40)+((AQ38*AR38)/AQ40)+((AQ39*AR39)/AQ40),0)</f>
        <v>4.5497653791790535E-2</v>
      </c>
      <c r="AS40" s="622">
        <f>SUM(AS33+AS34+AS35+AS36+AS37+AS38+AS39)</f>
        <v>19903767143.911484</v>
      </c>
      <c r="AT40" s="594">
        <f>IFERROR(((AS33*AT33)/AS40)+((AS34*AT34)/AS40)+((AS35*AT35)/AS40)+((AS36*AT36)/AS40)+((AS37*AT37)/AS40)+((AS38*AT38)/AS40)+((AS39*AT39)/AS40),0)</f>
        <v>6.8617728851926699E-2</v>
      </c>
      <c r="AU40" s="622">
        <f>SUM(AU33+AU34+AU35+AU36+AU37+AU38+AU39)</f>
        <v>5254333736.4484711</v>
      </c>
      <c r="AV40" s="594">
        <f>IFERROR(((AU33*AV33)/AU40)+((AU34*AV34)/AU40)+((AU35*AV35)/AU40)+((AU36*AV36)/AU40)+((AU37*AV37)/AU40)+((AU38*AV38)/AU40)+((AU39*AV39)/AU40),0)</f>
        <v>7.5800229514966233E-2</v>
      </c>
      <c r="AW40" s="622">
        <f>SUM(AW33+AW34+AW35+AW36+AW37+AW38+AW39)</f>
        <v>14649433407.463013</v>
      </c>
      <c r="AX40" s="594">
        <f>IFERROR(((AW33*AX33)/AW40)+((AW34*AX34)/AW40)+((AW35*AX35)/AW40)+((AW36*AX36)/AW40)+((AW37*AX37)/AW40)+((AW38*AX38)/AW40)+((AW39*AX39)/AW40),0)</f>
        <v>6.6041570819313208E-2</v>
      </c>
      <c r="AY40" s="622">
        <f>SUM(AY33+AY34+AY35+AY36+AY37+AY38+AY39)</f>
        <v>45775021409.415878</v>
      </c>
      <c r="AZ40" s="594">
        <f>IFERROR(((AY33*AZ33)/AY40)+((AY34*AZ34)/AY40)+((AY35*AZ35)/AY40)+((AY36*AZ36)/AY40)+((AY37*AZ37)/AY40)+((AY38*AZ38)/AY40)+((AY39*AZ39)/AY40),0)</f>
        <v>0.11545454799279772</v>
      </c>
      <c r="BA40" s="622">
        <f>SUM(BA33+BA34+BA35+BA36+BA37+BA38+BA39)</f>
        <v>24227872152.937813</v>
      </c>
      <c r="BB40" s="594">
        <f>IFERROR(((BA33*BB33)/BA40)+((BA34*BB34)/BA40)+((BA35*BB35)/BA40)+((BA36*BB36)/BA40)+((BA37*BB37)/BA40)+((BA38*BB38)/BA40)+((BA39*BB39)/BA40),0)</f>
        <v>0.16381490613316585</v>
      </c>
      <c r="BC40" s="622">
        <f>SUM(BC33+BC34+BC35+BC36+BC37+BC38+BC39)</f>
        <v>21547149256.478073</v>
      </c>
      <c r="BD40" s="594">
        <f>IFERROR(((BC33*BD33)/BC40)+((BC34*BD34)/BC40)+((BC35*BD35)/BC40)+((BC36*BD36)/BC40)+((BC37*BD37)/BC40)+((BC38*BD38)/BC40)+((BC39*BD39)/BC40),0)</f>
        <v>6.1077583302544355E-2</v>
      </c>
      <c r="BF40" s="605"/>
      <c r="BG40" s="605"/>
      <c r="BH40" s="616"/>
    </row>
    <row r="41" spans="1:60" s="615" customFormat="1">
      <c r="A41" s="623"/>
      <c r="B41" s="624"/>
      <c r="D41" s="625"/>
      <c r="F41" s="625"/>
      <c r="H41" s="625"/>
      <c r="J41" s="625"/>
      <c r="L41" s="625"/>
      <c r="N41" s="625"/>
      <c r="P41" s="625"/>
      <c r="R41" s="625"/>
      <c r="T41" s="625"/>
      <c r="V41" s="625"/>
      <c r="X41" s="625"/>
      <c r="Z41" s="625"/>
      <c r="AB41" s="625"/>
      <c r="AD41" s="625"/>
      <c r="AF41" s="625"/>
      <c r="AH41" s="625"/>
      <c r="AJ41" s="625"/>
      <c r="AL41" s="625"/>
      <c r="AN41" s="625"/>
      <c r="AP41" s="625"/>
      <c r="AR41" s="625"/>
      <c r="AT41" s="625"/>
      <c r="AV41" s="625"/>
      <c r="AX41" s="625"/>
      <c r="AZ41" s="625"/>
      <c r="BB41" s="625"/>
      <c r="BD41" s="625"/>
      <c r="BH41" s="616"/>
    </row>
    <row r="42" spans="1:60" s="615" customFormat="1" ht="15" customHeight="1">
      <c r="B42" s="620" t="s">
        <v>756</v>
      </c>
      <c r="D42" s="625"/>
      <c r="F42" s="625"/>
      <c r="H42" s="625"/>
      <c r="J42" s="625"/>
      <c r="L42" s="625"/>
      <c r="N42" s="625"/>
      <c r="P42" s="625"/>
      <c r="R42" s="625"/>
      <c r="T42" s="625"/>
      <c r="V42" s="625"/>
      <c r="X42" s="625"/>
      <c r="Z42" s="625"/>
      <c r="AB42" s="625"/>
      <c r="AD42" s="625"/>
      <c r="AF42" s="625"/>
      <c r="AH42" s="625"/>
      <c r="AJ42" s="625"/>
      <c r="AL42" s="625"/>
      <c r="AN42" s="625"/>
      <c r="AP42" s="625"/>
      <c r="AR42" s="625"/>
      <c r="AT42" s="625"/>
      <c r="AV42" s="625"/>
      <c r="AX42" s="625"/>
      <c r="AZ42" s="625"/>
      <c r="BB42" s="625"/>
      <c r="BD42" s="625"/>
    </row>
    <row r="43" spans="1:60" s="615" customFormat="1" ht="11.25" customHeight="1">
      <c r="B43" s="620"/>
      <c r="D43" s="625"/>
      <c r="F43" s="625"/>
      <c r="H43" s="625"/>
      <c r="J43" s="625"/>
      <c r="L43" s="625"/>
      <c r="N43" s="625"/>
      <c r="P43" s="625"/>
      <c r="R43" s="625"/>
      <c r="T43" s="625"/>
      <c r="V43" s="625"/>
      <c r="X43" s="625"/>
      <c r="Z43" s="625"/>
      <c r="AB43" s="625"/>
      <c r="AD43" s="625"/>
      <c r="AF43" s="625"/>
      <c r="AH43" s="625"/>
      <c r="AJ43" s="625"/>
      <c r="AL43" s="625"/>
      <c r="AN43" s="625"/>
      <c r="AP43" s="625"/>
      <c r="AR43" s="625"/>
      <c r="AT43" s="625"/>
      <c r="AV43" s="625"/>
      <c r="AX43" s="625"/>
      <c r="AZ43" s="625"/>
      <c r="BB43" s="625"/>
      <c r="BD43" s="625"/>
    </row>
    <row r="44" spans="1:60" s="615" customFormat="1" ht="15" customHeight="1">
      <c r="B44" s="620" t="s">
        <v>757</v>
      </c>
      <c r="D44" s="625"/>
      <c r="F44" s="625"/>
      <c r="H44" s="625"/>
      <c r="J44" s="625"/>
      <c r="L44" s="625"/>
      <c r="N44" s="625"/>
      <c r="P44" s="625"/>
      <c r="R44" s="625"/>
      <c r="T44" s="625"/>
      <c r="V44" s="625"/>
      <c r="X44" s="625"/>
      <c r="Z44" s="625"/>
      <c r="AB44" s="625"/>
      <c r="AD44" s="625"/>
      <c r="AF44" s="625"/>
      <c r="AH44" s="625"/>
      <c r="AJ44" s="625"/>
      <c r="AL44" s="625"/>
      <c r="AN44" s="625"/>
      <c r="AP44" s="625"/>
      <c r="AR44" s="625"/>
      <c r="AT44" s="625"/>
      <c r="AV44" s="625"/>
      <c r="AX44" s="625"/>
      <c r="AZ44" s="625"/>
      <c r="BB44" s="625"/>
      <c r="BD44" s="625"/>
    </row>
    <row r="45" spans="1:60" s="615" customFormat="1">
      <c r="A45" s="623"/>
      <c r="B45" s="624"/>
      <c r="D45" s="625"/>
      <c r="F45" s="625"/>
      <c r="H45" s="625"/>
      <c r="J45" s="625"/>
      <c r="L45" s="625"/>
      <c r="N45" s="625"/>
      <c r="P45" s="625"/>
      <c r="R45" s="625"/>
      <c r="T45" s="625"/>
      <c r="V45" s="625"/>
      <c r="X45" s="625"/>
      <c r="Z45" s="625"/>
      <c r="AB45" s="625"/>
      <c r="AD45" s="625"/>
      <c r="AF45" s="625"/>
      <c r="AH45" s="625"/>
      <c r="AJ45" s="625"/>
      <c r="AL45" s="625"/>
      <c r="AN45" s="625"/>
      <c r="AP45" s="625"/>
      <c r="AR45" s="625"/>
      <c r="AT45" s="625"/>
      <c r="AV45" s="625"/>
      <c r="AX45" s="625"/>
      <c r="AZ45" s="625"/>
      <c r="BB45" s="625"/>
      <c r="BD45" s="625"/>
    </row>
  </sheetData>
  <sheetProtection password="CACA" sheet="1" objects="1" scenarios="1"/>
  <mergeCells count="40">
    <mergeCell ref="A1:BB1"/>
    <mergeCell ref="BC1:BD1"/>
    <mergeCell ref="BA3:BB3"/>
    <mergeCell ref="A4:A6"/>
    <mergeCell ref="B4:B6"/>
    <mergeCell ref="C4:H4"/>
    <mergeCell ref="I4:N4"/>
    <mergeCell ref="O4:T4"/>
    <mergeCell ref="U4:Z4"/>
    <mergeCell ref="AA4:AF4"/>
    <mergeCell ref="BA4:BD5"/>
    <mergeCell ref="C5:C6"/>
    <mergeCell ref="D5:D6"/>
    <mergeCell ref="E5:H5"/>
    <mergeCell ref="I5:I6"/>
    <mergeCell ref="J5:J6"/>
    <mergeCell ref="V5:V6"/>
    <mergeCell ref="W5:Z5"/>
    <mergeCell ref="AA5:AA6"/>
    <mergeCell ref="AB5:AB6"/>
    <mergeCell ref="AC5:AF5"/>
    <mergeCell ref="K5:N5"/>
    <mergeCell ref="O5:O6"/>
    <mergeCell ref="P5:P6"/>
    <mergeCell ref="Q5:T5"/>
    <mergeCell ref="U5:U6"/>
    <mergeCell ref="AU5:AX5"/>
    <mergeCell ref="AZ4:AZ6"/>
    <mergeCell ref="AI5:AL5"/>
    <mergeCell ref="AM5:AM6"/>
    <mergeCell ref="AN5:AN6"/>
    <mergeCell ref="AO5:AR5"/>
    <mergeCell ref="AS5:AS6"/>
    <mergeCell ref="AT5:AT6"/>
    <mergeCell ref="AG4:AL4"/>
    <mergeCell ref="AM4:AR4"/>
    <mergeCell ref="AS4:AX4"/>
    <mergeCell ref="AY4:AY6"/>
    <mergeCell ref="AH5:AH6"/>
    <mergeCell ref="AG5:AG6"/>
  </mergeCells>
  <conditionalFormatting sqref="G7:H7">
    <cfRule type="cellIs" dxfId="17" priority="1" operator="greaterThan">
      <formula>C7</formula>
    </cfRule>
  </conditionalFormatting>
  <conditionalFormatting sqref="M7:N7">
    <cfRule type="cellIs" dxfId="16" priority="2" operator="greaterThan">
      <formula>I7</formula>
    </cfRule>
  </conditionalFormatting>
  <conditionalFormatting sqref="S7:T7">
    <cfRule type="cellIs" dxfId="15" priority="3" operator="greaterThan">
      <formula>O7</formula>
    </cfRule>
  </conditionalFormatting>
  <conditionalFormatting sqref="Y7:Z7">
    <cfRule type="cellIs" dxfId="14" priority="4" operator="greaterThan">
      <formula>U7</formula>
    </cfRule>
  </conditionalFormatting>
  <conditionalFormatting sqref="AE7:AF7">
    <cfRule type="cellIs" dxfId="13" priority="5" operator="greaterThan">
      <formula>AA7</formula>
    </cfRule>
  </conditionalFormatting>
  <conditionalFormatting sqref="AK7:AL7">
    <cfRule type="cellIs" dxfId="12" priority="6" operator="greaterThan">
      <formula>AG7</formula>
    </cfRule>
  </conditionalFormatting>
  <conditionalFormatting sqref="AQ7:AR7">
    <cfRule type="cellIs" dxfId="11" priority="7" operator="greaterThan">
      <formula>AM7</formula>
    </cfRule>
  </conditionalFormatting>
  <conditionalFormatting sqref="AW7:AX7">
    <cfRule type="cellIs" dxfId="10" priority="8" operator="greaterThan">
      <formula>AS7</formula>
    </cfRule>
  </conditionalFormatting>
  <dataValidations count="3">
    <dataValidation type="date" operator="greaterThan" allowBlank="1" showInputMessage="1" showErrorMessage="1" prompt="Введите дату в формате ЧЧ.ММ.ГГГГ" sqref="BA3" xr:uid="{00000000-0002-0000-0E00-000000000000}">
      <formula1>DATE(96,1,1)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 xr:uid="{00000000-0002-0000-0E00-000001000000}"/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 xr:uid="{00000000-0002-0000-0E00-000002000000}">
      <formula1>-1E+28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  <colBreaks count="1" manualBreakCount="1">
    <brk id="56" max="43" man="1"/>
  </colBreaks>
  <ignoredErrors>
    <ignoredError sqref="BF34:BF36 BF21:BF29 AZ46:BD51 AA52:BD57 AZ41:BD45 D41:AY45 BF40:BF57" formula="1"/>
    <ignoredError sqref="A58:Z59 A54:C5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1">
    <pageSetUpPr fitToPage="1"/>
  </sheetPr>
  <dimension ref="A1:BH45"/>
  <sheetViews>
    <sheetView tabSelected="1" view="pageBreakPreview" zoomScale="70" zoomScaleNormal="55" zoomScaleSheetLayoutView="70" workbookViewId="0">
      <pane xSplit="2" ySplit="6" topLeftCell="AT7" activePane="bottomRight" state="frozen"/>
      <selection activeCell="AY38" sqref="AY38"/>
      <selection pane="topRight" activeCell="AY38" sqref="AY38"/>
      <selection pane="bottomLeft" activeCell="AY38" sqref="AY38"/>
      <selection pane="bottomRight" activeCell="BD38" sqref="BD38"/>
    </sheetView>
  </sheetViews>
  <sheetFormatPr defaultRowHeight="15"/>
  <cols>
    <col min="1" max="1" width="9.140625" style="603"/>
    <col min="2" max="2" width="61.85546875" style="603" customWidth="1"/>
    <col min="3" max="3" width="20.140625" style="603" customWidth="1"/>
    <col min="4" max="4" width="9.85546875" style="611" customWidth="1"/>
    <col min="5" max="5" width="20.140625" style="603" customWidth="1"/>
    <col min="6" max="6" width="10.42578125" style="611" customWidth="1"/>
    <col min="7" max="7" width="20.140625" style="603" customWidth="1"/>
    <col min="8" max="8" width="10.42578125" style="611" customWidth="1"/>
    <col min="9" max="9" width="20.140625" style="603" customWidth="1"/>
    <col min="10" max="10" width="9.85546875" style="611" customWidth="1"/>
    <col min="11" max="11" width="20.140625" style="603" customWidth="1"/>
    <col min="12" max="12" width="10.42578125" style="611" customWidth="1"/>
    <col min="13" max="13" width="20.140625" style="603" customWidth="1"/>
    <col min="14" max="14" width="10.42578125" style="611" customWidth="1"/>
    <col min="15" max="15" width="20.140625" style="603" customWidth="1"/>
    <col min="16" max="16" width="9.85546875" style="611" customWidth="1"/>
    <col min="17" max="17" width="20.140625" style="603" customWidth="1"/>
    <col min="18" max="18" width="10.42578125" style="611" customWidth="1"/>
    <col min="19" max="19" width="20.140625" style="603" customWidth="1"/>
    <col min="20" max="20" width="10.42578125" style="611" customWidth="1"/>
    <col min="21" max="21" width="20.140625" style="603" customWidth="1"/>
    <col min="22" max="22" width="9.85546875" style="611" customWidth="1"/>
    <col min="23" max="23" width="20.140625" style="603" customWidth="1"/>
    <col min="24" max="24" width="10.42578125" style="611" customWidth="1"/>
    <col min="25" max="25" width="20.140625" style="603" customWidth="1"/>
    <col min="26" max="26" width="10.42578125" style="611" customWidth="1"/>
    <col min="27" max="27" width="20.140625" style="603" customWidth="1"/>
    <col min="28" max="28" width="9.85546875" style="611" customWidth="1"/>
    <col min="29" max="29" width="20.140625" style="603" customWidth="1"/>
    <col min="30" max="30" width="10.42578125" style="611" customWidth="1"/>
    <col min="31" max="31" width="20.140625" style="603" customWidth="1"/>
    <col min="32" max="32" width="10.42578125" style="611" customWidth="1"/>
    <col min="33" max="33" width="20.140625" style="603" customWidth="1"/>
    <col min="34" max="34" width="9.85546875" style="611" customWidth="1"/>
    <col min="35" max="35" width="20.140625" style="603" customWidth="1"/>
    <col min="36" max="36" width="10.42578125" style="611" customWidth="1"/>
    <col min="37" max="37" width="20.140625" style="603" customWidth="1"/>
    <col min="38" max="38" width="10.42578125" style="611" customWidth="1"/>
    <col min="39" max="39" width="20.140625" style="603" customWidth="1"/>
    <col min="40" max="40" width="9.85546875" style="611" customWidth="1"/>
    <col min="41" max="41" width="20.140625" style="603" customWidth="1"/>
    <col min="42" max="42" width="10.42578125" style="611" customWidth="1"/>
    <col min="43" max="43" width="20.140625" style="603" customWidth="1"/>
    <col min="44" max="44" width="10.42578125" style="611" customWidth="1"/>
    <col min="45" max="45" width="20.140625" style="603" customWidth="1"/>
    <col min="46" max="46" width="9.85546875" style="611" customWidth="1"/>
    <col min="47" max="47" width="20.140625" style="603" customWidth="1"/>
    <col min="48" max="48" width="10.42578125" style="611" customWidth="1"/>
    <col min="49" max="49" width="20.140625" style="603" customWidth="1"/>
    <col min="50" max="50" width="10.42578125" style="611" customWidth="1"/>
    <col min="51" max="51" width="23" style="603" customWidth="1"/>
    <col min="52" max="52" width="9.85546875" style="611" customWidth="1"/>
    <col min="53" max="53" width="24.85546875" style="603" customWidth="1"/>
    <col min="54" max="54" width="10.42578125" style="611" customWidth="1"/>
    <col min="55" max="55" width="24.85546875" style="603" customWidth="1"/>
    <col min="56" max="56" width="9.85546875" style="611" customWidth="1"/>
    <col min="57" max="57" width="5.85546875" style="603" customWidth="1"/>
    <col min="58" max="59" width="18.7109375" style="612" customWidth="1"/>
    <col min="60" max="66" width="27.28515625" style="603" customWidth="1"/>
    <col min="67" max="16384" width="9.140625" style="603"/>
  </cols>
  <sheetData>
    <row r="1" spans="1:60" s="609" customFormat="1" ht="28.5" customHeight="1">
      <c r="A1" s="769" t="s">
        <v>855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  <c r="AA1" s="769"/>
      <c r="AB1" s="769"/>
      <c r="AC1" s="769"/>
      <c r="AD1" s="769"/>
      <c r="AE1" s="769"/>
      <c r="AF1" s="769"/>
      <c r="AG1" s="769"/>
      <c r="AH1" s="769"/>
      <c r="AI1" s="769"/>
      <c r="AJ1" s="769"/>
      <c r="AK1" s="769"/>
      <c r="AL1" s="769"/>
      <c r="AM1" s="769"/>
      <c r="AN1" s="769"/>
      <c r="AO1" s="769"/>
      <c r="AP1" s="769"/>
      <c r="AQ1" s="769"/>
      <c r="AR1" s="769"/>
      <c r="AS1" s="769"/>
      <c r="AT1" s="769"/>
      <c r="AU1" s="769"/>
      <c r="AV1" s="769"/>
      <c r="AW1" s="769"/>
      <c r="AX1" s="769"/>
      <c r="AY1" s="769"/>
      <c r="AZ1" s="769"/>
      <c r="BA1" s="769"/>
      <c r="BB1" s="769"/>
      <c r="BC1" s="770" t="s">
        <v>853</v>
      </c>
      <c r="BD1" s="770"/>
      <c r="BF1" s="610"/>
      <c r="BG1" s="610"/>
    </row>
    <row r="3" spans="1:60">
      <c r="BA3" s="771">
        <f>+'Asset quality'!Q3</f>
        <v>46021</v>
      </c>
      <c r="BB3" s="771"/>
      <c r="BD3" s="600" t="s">
        <v>787</v>
      </c>
    </row>
    <row r="4" spans="1:60" ht="22.5" customHeight="1">
      <c r="A4" s="766" t="s">
        <v>61</v>
      </c>
      <c r="B4" s="766" t="s">
        <v>282</v>
      </c>
      <c r="C4" s="766" t="s">
        <v>528</v>
      </c>
      <c r="D4" s="766"/>
      <c r="E4" s="766"/>
      <c r="F4" s="766"/>
      <c r="G4" s="766"/>
      <c r="H4" s="766"/>
      <c r="I4" s="766" t="s">
        <v>788</v>
      </c>
      <c r="J4" s="766"/>
      <c r="K4" s="766"/>
      <c r="L4" s="766"/>
      <c r="M4" s="766"/>
      <c r="N4" s="766"/>
      <c r="O4" s="766" t="s">
        <v>789</v>
      </c>
      <c r="P4" s="766"/>
      <c r="Q4" s="766"/>
      <c r="R4" s="766"/>
      <c r="S4" s="766"/>
      <c r="T4" s="766"/>
      <c r="U4" s="766" t="s">
        <v>790</v>
      </c>
      <c r="V4" s="766"/>
      <c r="W4" s="766"/>
      <c r="X4" s="766"/>
      <c r="Y4" s="766"/>
      <c r="Z4" s="766"/>
      <c r="AA4" s="766" t="s">
        <v>791</v>
      </c>
      <c r="AB4" s="766"/>
      <c r="AC4" s="766"/>
      <c r="AD4" s="766"/>
      <c r="AE4" s="766"/>
      <c r="AF4" s="766"/>
      <c r="AG4" s="766" t="s">
        <v>792</v>
      </c>
      <c r="AH4" s="766"/>
      <c r="AI4" s="766"/>
      <c r="AJ4" s="766"/>
      <c r="AK4" s="766"/>
      <c r="AL4" s="766"/>
      <c r="AM4" s="766" t="s">
        <v>793</v>
      </c>
      <c r="AN4" s="766"/>
      <c r="AO4" s="766"/>
      <c r="AP4" s="766"/>
      <c r="AQ4" s="766"/>
      <c r="AR4" s="766"/>
      <c r="AS4" s="766" t="s">
        <v>532</v>
      </c>
      <c r="AT4" s="766"/>
      <c r="AU4" s="766"/>
      <c r="AV4" s="766"/>
      <c r="AW4" s="766"/>
      <c r="AX4" s="766"/>
      <c r="AY4" s="766" t="s">
        <v>232</v>
      </c>
      <c r="AZ4" s="766" t="s">
        <v>795</v>
      </c>
      <c r="BA4" s="772" t="s">
        <v>794</v>
      </c>
      <c r="BB4" s="773"/>
      <c r="BC4" s="774"/>
      <c r="BD4" s="775"/>
    </row>
    <row r="5" spans="1:60" ht="22.5" customHeight="1">
      <c r="A5" s="766"/>
      <c r="B5" s="766"/>
      <c r="C5" s="767" t="s">
        <v>163</v>
      </c>
      <c r="D5" s="767" t="s">
        <v>850</v>
      </c>
      <c r="E5" s="763" t="s">
        <v>796</v>
      </c>
      <c r="F5" s="764"/>
      <c r="G5" s="764"/>
      <c r="H5" s="765"/>
      <c r="I5" s="767" t="s">
        <v>163</v>
      </c>
      <c r="J5" s="767" t="s">
        <v>850</v>
      </c>
      <c r="K5" s="763" t="s">
        <v>796</v>
      </c>
      <c r="L5" s="764"/>
      <c r="M5" s="764"/>
      <c r="N5" s="765"/>
      <c r="O5" s="767" t="s">
        <v>163</v>
      </c>
      <c r="P5" s="767" t="s">
        <v>850</v>
      </c>
      <c r="Q5" s="763" t="s">
        <v>796</v>
      </c>
      <c r="R5" s="764"/>
      <c r="S5" s="764"/>
      <c r="T5" s="765"/>
      <c r="U5" s="767" t="s">
        <v>163</v>
      </c>
      <c r="V5" s="767" t="s">
        <v>850</v>
      </c>
      <c r="W5" s="763" t="s">
        <v>796</v>
      </c>
      <c r="X5" s="764"/>
      <c r="Y5" s="764"/>
      <c r="Z5" s="765"/>
      <c r="AA5" s="767" t="s">
        <v>163</v>
      </c>
      <c r="AB5" s="767" t="s">
        <v>850</v>
      </c>
      <c r="AC5" s="763" t="s">
        <v>796</v>
      </c>
      <c r="AD5" s="764"/>
      <c r="AE5" s="764"/>
      <c r="AF5" s="765"/>
      <c r="AG5" s="767" t="s">
        <v>163</v>
      </c>
      <c r="AH5" s="767" t="s">
        <v>850</v>
      </c>
      <c r="AI5" s="763" t="s">
        <v>796</v>
      </c>
      <c r="AJ5" s="764"/>
      <c r="AK5" s="764"/>
      <c r="AL5" s="765"/>
      <c r="AM5" s="767" t="s">
        <v>163</v>
      </c>
      <c r="AN5" s="767" t="s">
        <v>850</v>
      </c>
      <c r="AO5" s="763" t="s">
        <v>796</v>
      </c>
      <c r="AP5" s="764"/>
      <c r="AQ5" s="764"/>
      <c r="AR5" s="765"/>
      <c r="AS5" s="767" t="s">
        <v>163</v>
      </c>
      <c r="AT5" s="767" t="s">
        <v>850</v>
      </c>
      <c r="AU5" s="763" t="s">
        <v>796</v>
      </c>
      <c r="AV5" s="764"/>
      <c r="AW5" s="764"/>
      <c r="AX5" s="765"/>
      <c r="AY5" s="766"/>
      <c r="AZ5" s="766"/>
      <c r="BA5" s="776"/>
      <c r="BB5" s="777"/>
      <c r="BC5" s="777"/>
      <c r="BD5" s="778"/>
    </row>
    <row r="6" spans="1:60" ht="111.75" customHeight="1">
      <c r="A6" s="766"/>
      <c r="B6" s="766"/>
      <c r="C6" s="768"/>
      <c r="D6" s="768"/>
      <c r="E6" s="582" t="s">
        <v>283</v>
      </c>
      <c r="F6" s="582" t="s">
        <v>851</v>
      </c>
      <c r="G6" s="582" t="s">
        <v>797</v>
      </c>
      <c r="H6" s="582" t="s">
        <v>852</v>
      </c>
      <c r="I6" s="768"/>
      <c r="J6" s="768"/>
      <c r="K6" s="582" t="s">
        <v>283</v>
      </c>
      <c r="L6" s="582" t="s">
        <v>851</v>
      </c>
      <c r="M6" s="582" t="s">
        <v>797</v>
      </c>
      <c r="N6" s="582" t="s">
        <v>852</v>
      </c>
      <c r="O6" s="768"/>
      <c r="P6" s="768"/>
      <c r="Q6" s="582" t="s">
        <v>283</v>
      </c>
      <c r="R6" s="582" t="s">
        <v>851</v>
      </c>
      <c r="S6" s="582" t="s">
        <v>797</v>
      </c>
      <c r="T6" s="582" t="s">
        <v>852</v>
      </c>
      <c r="U6" s="768"/>
      <c r="V6" s="768"/>
      <c r="W6" s="582" t="s">
        <v>283</v>
      </c>
      <c r="X6" s="582" t="s">
        <v>851</v>
      </c>
      <c r="Y6" s="582" t="s">
        <v>797</v>
      </c>
      <c r="Z6" s="582" t="s">
        <v>852</v>
      </c>
      <c r="AA6" s="768"/>
      <c r="AB6" s="768"/>
      <c r="AC6" s="582" t="s">
        <v>283</v>
      </c>
      <c r="AD6" s="582" t="s">
        <v>851</v>
      </c>
      <c r="AE6" s="582" t="s">
        <v>797</v>
      </c>
      <c r="AF6" s="582" t="s">
        <v>852</v>
      </c>
      <c r="AG6" s="768"/>
      <c r="AH6" s="768"/>
      <c r="AI6" s="582" t="s">
        <v>283</v>
      </c>
      <c r="AJ6" s="582" t="s">
        <v>851</v>
      </c>
      <c r="AK6" s="582" t="s">
        <v>797</v>
      </c>
      <c r="AL6" s="582" t="s">
        <v>852</v>
      </c>
      <c r="AM6" s="768"/>
      <c r="AN6" s="768"/>
      <c r="AO6" s="582" t="s">
        <v>283</v>
      </c>
      <c r="AP6" s="582" t="s">
        <v>851</v>
      </c>
      <c r="AQ6" s="582" t="s">
        <v>797</v>
      </c>
      <c r="AR6" s="582" t="s">
        <v>852</v>
      </c>
      <c r="AS6" s="768"/>
      <c r="AT6" s="768"/>
      <c r="AU6" s="582" t="s">
        <v>283</v>
      </c>
      <c r="AV6" s="582" t="s">
        <v>851</v>
      </c>
      <c r="AW6" s="582" t="s">
        <v>797</v>
      </c>
      <c r="AX6" s="582" t="s">
        <v>852</v>
      </c>
      <c r="AY6" s="766"/>
      <c r="AZ6" s="766"/>
      <c r="BA6" s="582" t="s">
        <v>283</v>
      </c>
      <c r="BB6" s="582" t="s">
        <v>851</v>
      </c>
      <c r="BC6" s="582" t="s">
        <v>797</v>
      </c>
      <c r="BD6" s="582" t="s">
        <v>852</v>
      </c>
    </row>
    <row r="7" spans="1:60" s="602" customFormat="1" ht="30" customHeight="1">
      <c r="A7" s="583" t="s">
        <v>798</v>
      </c>
      <c r="B7" s="584" t="s">
        <v>799</v>
      </c>
      <c r="C7" s="585"/>
      <c r="D7" s="597"/>
      <c r="E7" s="585"/>
      <c r="F7" s="597"/>
      <c r="G7" s="585"/>
      <c r="H7" s="597"/>
      <c r="I7" s="585"/>
      <c r="J7" s="597"/>
      <c r="K7" s="585"/>
      <c r="L7" s="597"/>
      <c r="M7" s="585"/>
      <c r="N7" s="597"/>
      <c r="O7" s="585"/>
      <c r="P7" s="597"/>
      <c r="Q7" s="585"/>
      <c r="R7" s="597"/>
      <c r="S7" s="585"/>
      <c r="T7" s="597"/>
      <c r="U7" s="585"/>
      <c r="V7" s="597"/>
      <c r="W7" s="585"/>
      <c r="X7" s="597"/>
      <c r="Y7" s="585"/>
      <c r="Z7" s="597"/>
      <c r="AA7" s="585"/>
      <c r="AB7" s="597"/>
      <c r="AC7" s="585"/>
      <c r="AD7" s="597"/>
      <c r="AE7" s="585"/>
      <c r="AF7" s="597"/>
      <c r="AG7" s="585"/>
      <c r="AH7" s="597"/>
      <c r="AI7" s="585"/>
      <c r="AJ7" s="597"/>
      <c r="AK7" s="585"/>
      <c r="AL7" s="597"/>
      <c r="AM7" s="585"/>
      <c r="AN7" s="597"/>
      <c r="AO7" s="585"/>
      <c r="AP7" s="597"/>
      <c r="AQ7" s="585"/>
      <c r="AR7" s="597"/>
      <c r="AS7" s="585"/>
      <c r="AT7" s="597"/>
      <c r="AU7" s="585"/>
      <c r="AV7" s="597"/>
      <c r="AW7" s="585"/>
      <c r="AX7" s="597"/>
      <c r="AY7" s="585"/>
      <c r="AZ7" s="597"/>
      <c r="BA7" s="585"/>
      <c r="BB7" s="597"/>
      <c r="BC7" s="585"/>
      <c r="BD7" s="597"/>
      <c r="BF7" s="604"/>
      <c r="BG7" s="604"/>
    </row>
    <row r="8" spans="1:60" s="615" customFormat="1" ht="30">
      <c r="A8" s="586" t="s">
        <v>2</v>
      </c>
      <c r="B8" s="587" t="s">
        <v>800</v>
      </c>
      <c r="C8" s="613">
        <f>+E8+G8</f>
        <v>0</v>
      </c>
      <c r="D8" s="601">
        <f>IFERROR((((E8*F8)+(G8*H8))/C8),0)</f>
        <v>0</v>
      </c>
      <c r="E8" s="614"/>
      <c r="F8" s="628"/>
      <c r="G8" s="614"/>
      <c r="H8" s="628"/>
      <c r="I8" s="613">
        <f>+K8+M8</f>
        <v>0</v>
      </c>
      <c r="J8" s="601">
        <f>IFERROR((((K8*L8)+(M8*N8))/I8),0)</f>
        <v>0</v>
      </c>
      <c r="K8" s="614"/>
      <c r="L8" s="628"/>
      <c r="M8" s="614"/>
      <c r="N8" s="628"/>
      <c r="O8" s="613">
        <f>+Q8+S8</f>
        <v>0</v>
      </c>
      <c r="P8" s="601">
        <f>IFERROR((((Q8*R8)+(S8*T8))/O8),0)</f>
        <v>0</v>
      </c>
      <c r="Q8" s="614"/>
      <c r="R8" s="628"/>
      <c r="S8" s="614"/>
      <c r="T8" s="628"/>
      <c r="U8" s="613">
        <f>+W8+Y8</f>
        <v>0</v>
      </c>
      <c r="V8" s="601">
        <f>IFERROR((((W8*X8)+(Y8*Z8))/U8),0)</f>
        <v>0</v>
      </c>
      <c r="W8" s="614"/>
      <c r="X8" s="628"/>
      <c r="Y8" s="614"/>
      <c r="Z8" s="628"/>
      <c r="AA8" s="613">
        <f>+AC8+AE8</f>
        <v>0</v>
      </c>
      <c r="AB8" s="601">
        <f>IFERROR((((AC8*AD8)+(AE8*AF8))/AA8),0)</f>
        <v>0</v>
      </c>
      <c r="AC8" s="614"/>
      <c r="AD8" s="628"/>
      <c r="AE8" s="614"/>
      <c r="AF8" s="628"/>
      <c r="AG8" s="613">
        <f>+AI8+AK8</f>
        <v>0</v>
      </c>
      <c r="AH8" s="601">
        <f>IFERROR((((AI8*AJ8)+(AK8*AL8))/AG8),0)</f>
        <v>0</v>
      </c>
      <c r="AI8" s="614"/>
      <c r="AJ8" s="628"/>
      <c r="AK8" s="614"/>
      <c r="AL8" s="628"/>
      <c r="AM8" s="613">
        <f>+AO8+AQ8</f>
        <v>0</v>
      </c>
      <c r="AN8" s="601">
        <f>IFERROR((((AO8*AP8)+(AQ8*AR8))/AM8),0)</f>
        <v>0</v>
      </c>
      <c r="AO8" s="614"/>
      <c r="AP8" s="628"/>
      <c r="AQ8" s="614"/>
      <c r="AR8" s="628"/>
      <c r="AS8" s="613">
        <f>+AU8+AW8</f>
        <v>0</v>
      </c>
      <c r="AT8" s="601">
        <f>IFERROR((((AU8*AV8)+(AW8*AX8))/AS8),0)</f>
        <v>0</v>
      </c>
      <c r="AU8" s="614"/>
      <c r="AV8" s="628"/>
      <c r="AW8" s="614"/>
      <c r="AX8" s="628"/>
      <c r="AY8" s="588">
        <f t="shared" ref="AY8:AY20" si="0">+C8+I8+O8+U8+AA8+AG8+AM8+AS8</f>
        <v>0</v>
      </c>
      <c r="AZ8" s="598">
        <f t="shared" ref="AZ8:AZ20" si="1">IFERROR(((C8*D8)/AY8)+((I8*J8)/AY8)+((O8*P8)/AY8)+((U8*V8)/AY8)+((AA8*AB8)/AY8)+((AG8*AH8)/AY8)+((AM8*AN8)/AY8)+((AS8*AT8)/AY8),0)</f>
        <v>0</v>
      </c>
      <c r="BA8" s="588">
        <f t="shared" ref="BA8:BA20" si="2">+E8+K8+Q8+W8+AC8+AI8+AO8+AU8</f>
        <v>0</v>
      </c>
      <c r="BB8" s="598">
        <f t="shared" ref="BB8:BB20" si="3">IFERROR(((E8*F8)/BA8)+((K8*L8)/BA8)+((Q8*R8)/BA8)+((W8*X8)/BA8)+((AC8*AD8)/BA8)+((AI8*AJ8)/BA8)+((AO8*AP8)/BA8)+((AU8*AV8)/BA8),0)</f>
        <v>0</v>
      </c>
      <c r="BC8" s="588">
        <f t="shared" ref="BC8:BC20" si="4">+G8+M8+S8+Y8+AE8+AK8+AQ8+AW8</f>
        <v>0</v>
      </c>
      <c r="BD8" s="598">
        <f t="shared" ref="BD8:BD20" si="5">IFERROR(((G8*H8)/BC8)+((M8*N8)/BC8)+((S8*T8)/BC8)+((Y8*Z8)/BC8)+((AE8*AF8)/BC8)+((AK8*AL8)/BC8)+((AQ8*AR8)/BC8)+((AW8*AX8)/BC8),0)</f>
        <v>0</v>
      </c>
      <c r="BF8" s="605"/>
      <c r="BG8" s="605"/>
    </row>
    <row r="9" spans="1:60" s="615" customFormat="1" ht="30" customHeight="1">
      <c r="A9" s="586" t="s">
        <v>5</v>
      </c>
      <c r="B9" s="587" t="s">
        <v>801</v>
      </c>
      <c r="C9" s="613">
        <f t="shared" ref="C9:C20" si="6">+E9+G9</f>
        <v>0</v>
      </c>
      <c r="D9" s="601">
        <f t="shared" ref="D9:D20" si="7">IFERROR((((E9*F9)+(G9*H9))/C9),0)</f>
        <v>0</v>
      </c>
      <c r="E9" s="614"/>
      <c r="F9" s="628"/>
      <c r="G9" s="614"/>
      <c r="H9" s="628"/>
      <c r="I9" s="613">
        <f t="shared" ref="I9:I20" si="8">+K9+M9</f>
        <v>0</v>
      </c>
      <c r="J9" s="601">
        <f t="shared" ref="J9:J20" si="9">IFERROR((((K9*L9)+(M9*N9))/I9),0)</f>
        <v>0</v>
      </c>
      <c r="K9" s="614"/>
      <c r="L9" s="628"/>
      <c r="M9" s="614"/>
      <c r="N9" s="628"/>
      <c r="O9" s="613">
        <f t="shared" ref="O9:O20" si="10">+Q9+S9</f>
        <v>0</v>
      </c>
      <c r="P9" s="601">
        <f t="shared" ref="P9:P20" si="11">IFERROR((((Q9*R9)+(S9*T9))/O9),0)</f>
        <v>0</v>
      </c>
      <c r="Q9" s="614"/>
      <c r="R9" s="628"/>
      <c r="S9" s="614"/>
      <c r="T9" s="628"/>
      <c r="U9" s="613">
        <f t="shared" ref="U9:U20" si="12">+W9+Y9</f>
        <v>0</v>
      </c>
      <c r="V9" s="601">
        <f t="shared" ref="V9:V20" si="13">IFERROR((((W9*X9)+(Y9*Z9))/U9),0)</f>
        <v>0</v>
      </c>
      <c r="W9" s="614"/>
      <c r="X9" s="628"/>
      <c r="Y9" s="614"/>
      <c r="Z9" s="628"/>
      <c r="AA9" s="613">
        <f t="shared" ref="AA9:AA20" si="14">+AC9+AE9</f>
        <v>0</v>
      </c>
      <c r="AB9" s="601">
        <f t="shared" ref="AB9:AB20" si="15">IFERROR((((AC9*AD9)+(AE9*AF9))/AA9),0)</f>
        <v>0</v>
      </c>
      <c r="AC9" s="614"/>
      <c r="AD9" s="628"/>
      <c r="AE9" s="614"/>
      <c r="AF9" s="628"/>
      <c r="AG9" s="613">
        <f t="shared" ref="AG9:AG20" si="16">+AI9+AK9</f>
        <v>0</v>
      </c>
      <c r="AH9" s="601">
        <f t="shared" ref="AH9:AH20" si="17">IFERROR((((AI9*AJ9)+(AK9*AL9))/AG9),0)</f>
        <v>0</v>
      </c>
      <c r="AI9" s="614"/>
      <c r="AJ9" s="628"/>
      <c r="AK9" s="614"/>
      <c r="AL9" s="628"/>
      <c r="AM9" s="613">
        <f t="shared" ref="AM9:AM20" si="18">+AO9+AQ9</f>
        <v>0</v>
      </c>
      <c r="AN9" s="601">
        <f t="shared" ref="AN9:AN20" si="19">IFERROR((((AO9*AP9)+(AQ9*AR9))/AM9),0)</f>
        <v>0</v>
      </c>
      <c r="AO9" s="614"/>
      <c r="AP9" s="628"/>
      <c r="AQ9" s="614"/>
      <c r="AR9" s="628"/>
      <c r="AS9" s="613">
        <f t="shared" ref="AS9:AS20" si="20">+AU9+AW9</f>
        <v>0</v>
      </c>
      <c r="AT9" s="601">
        <f t="shared" ref="AT9:AT20" si="21">IFERROR((((AU9*AV9)+(AW9*AX9))/AS9),0)</f>
        <v>0</v>
      </c>
      <c r="AU9" s="614"/>
      <c r="AV9" s="628"/>
      <c r="AW9" s="614"/>
      <c r="AX9" s="628"/>
      <c r="AY9" s="588">
        <f t="shared" si="0"/>
        <v>0</v>
      </c>
      <c r="AZ9" s="598">
        <f t="shared" si="1"/>
        <v>0</v>
      </c>
      <c r="BA9" s="588">
        <f t="shared" si="2"/>
        <v>0</v>
      </c>
      <c r="BB9" s="598">
        <f t="shared" si="3"/>
        <v>0</v>
      </c>
      <c r="BC9" s="588">
        <f t="shared" si="4"/>
        <v>0</v>
      </c>
      <c r="BD9" s="598">
        <f t="shared" si="5"/>
        <v>0</v>
      </c>
      <c r="BF9" s="605"/>
      <c r="BG9" s="605"/>
    </row>
    <row r="10" spans="1:60" s="615" customFormat="1" ht="23.25" customHeight="1">
      <c r="A10" s="586" t="s">
        <v>6</v>
      </c>
      <c r="B10" s="587" t="s">
        <v>802</v>
      </c>
      <c r="C10" s="613">
        <f t="shared" si="6"/>
        <v>0</v>
      </c>
      <c r="D10" s="601">
        <f t="shared" si="7"/>
        <v>0</v>
      </c>
      <c r="E10" s="614"/>
      <c r="F10" s="628"/>
      <c r="G10" s="614"/>
      <c r="H10" s="628"/>
      <c r="I10" s="613">
        <f t="shared" si="8"/>
        <v>0</v>
      </c>
      <c r="J10" s="601">
        <f t="shared" si="9"/>
        <v>0</v>
      </c>
      <c r="K10" s="614"/>
      <c r="L10" s="628"/>
      <c r="M10" s="614"/>
      <c r="N10" s="628"/>
      <c r="O10" s="613">
        <f t="shared" si="10"/>
        <v>0</v>
      </c>
      <c r="P10" s="601">
        <f t="shared" si="11"/>
        <v>0</v>
      </c>
      <c r="Q10" s="614"/>
      <c r="R10" s="628"/>
      <c r="S10" s="614"/>
      <c r="T10" s="628"/>
      <c r="U10" s="613">
        <f t="shared" si="12"/>
        <v>0</v>
      </c>
      <c r="V10" s="601">
        <f t="shared" si="13"/>
        <v>0</v>
      </c>
      <c r="W10" s="614"/>
      <c r="X10" s="628"/>
      <c r="Y10" s="614"/>
      <c r="Z10" s="628"/>
      <c r="AA10" s="613">
        <f t="shared" si="14"/>
        <v>0</v>
      </c>
      <c r="AB10" s="601">
        <f t="shared" si="15"/>
        <v>0</v>
      </c>
      <c r="AC10" s="614"/>
      <c r="AD10" s="628"/>
      <c r="AE10" s="614"/>
      <c r="AF10" s="628"/>
      <c r="AG10" s="613">
        <f t="shared" si="16"/>
        <v>0</v>
      </c>
      <c r="AH10" s="601">
        <f t="shared" si="17"/>
        <v>0</v>
      </c>
      <c r="AI10" s="614"/>
      <c r="AJ10" s="628"/>
      <c r="AK10" s="614"/>
      <c r="AL10" s="628"/>
      <c r="AM10" s="613">
        <f t="shared" si="18"/>
        <v>0</v>
      </c>
      <c r="AN10" s="601">
        <f t="shared" si="19"/>
        <v>0</v>
      </c>
      <c r="AO10" s="614"/>
      <c r="AP10" s="628"/>
      <c r="AQ10" s="614"/>
      <c r="AR10" s="628"/>
      <c r="AS10" s="613">
        <f t="shared" si="20"/>
        <v>0</v>
      </c>
      <c r="AT10" s="601">
        <f t="shared" si="21"/>
        <v>0</v>
      </c>
      <c r="AU10" s="614"/>
      <c r="AV10" s="628"/>
      <c r="AW10" s="614"/>
      <c r="AX10" s="628"/>
      <c r="AY10" s="588">
        <f t="shared" si="0"/>
        <v>0</v>
      </c>
      <c r="AZ10" s="598">
        <f t="shared" si="1"/>
        <v>0</v>
      </c>
      <c r="BA10" s="588">
        <f t="shared" si="2"/>
        <v>0</v>
      </c>
      <c r="BB10" s="598">
        <f t="shared" si="3"/>
        <v>0</v>
      </c>
      <c r="BC10" s="588">
        <f t="shared" si="4"/>
        <v>0</v>
      </c>
      <c r="BD10" s="598">
        <f t="shared" si="5"/>
        <v>0</v>
      </c>
      <c r="BF10" s="605"/>
      <c r="BG10" s="605"/>
    </row>
    <row r="11" spans="1:60" s="615" customFormat="1" ht="33" customHeight="1">
      <c r="A11" s="586" t="s">
        <v>4</v>
      </c>
      <c r="B11" s="587" t="s">
        <v>803</v>
      </c>
      <c r="C11" s="613">
        <f t="shared" si="6"/>
        <v>0</v>
      </c>
      <c r="D11" s="601">
        <f t="shared" si="7"/>
        <v>0</v>
      </c>
      <c r="E11" s="614"/>
      <c r="F11" s="628"/>
      <c r="G11" s="614"/>
      <c r="H11" s="628"/>
      <c r="I11" s="613">
        <f t="shared" si="8"/>
        <v>0</v>
      </c>
      <c r="J11" s="601">
        <f t="shared" si="9"/>
        <v>0</v>
      </c>
      <c r="K11" s="614"/>
      <c r="L11" s="628"/>
      <c r="M11" s="614"/>
      <c r="N11" s="628"/>
      <c r="O11" s="613">
        <f t="shared" si="10"/>
        <v>0</v>
      </c>
      <c r="P11" s="601">
        <f t="shared" si="11"/>
        <v>0</v>
      </c>
      <c r="Q11" s="614"/>
      <c r="R11" s="628"/>
      <c r="S11" s="614"/>
      <c r="T11" s="628"/>
      <c r="U11" s="613">
        <f t="shared" si="12"/>
        <v>0</v>
      </c>
      <c r="V11" s="601">
        <f t="shared" si="13"/>
        <v>0</v>
      </c>
      <c r="W11" s="614"/>
      <c r="X11" s="628"/>
      <c r="Y11" s="614"/>
      <c r="Z11" s="628"/>
      <c r="AA11" s="613">
        <f t="shared" si="14"/>
        <v>0</v>
      </c>
      <c r="AB11" s="601">
        <f t="shared" si="15"/>
        <v>0</v>
      </c>
      <c r="AC11" s="614"/>
      <c r="AD11" s="628"/>
      <c r="AE11" s="614"/>
      <c r="AF11" s="628"/>
      <c r="AG11" s="613">
        <f t="shared" si="16"/>
        <v>0</v>
      </c>
      <c r="AH11" s="601">
        <f t="shared" si="17"/>
        <v>0</v>
      </c>
      <c r="AI11" s="614"/>
      <c r="AJ11" s="628"/>
      <c r="AK11" s="614"/>
      <c r="AL11" s="628"/>
      <c r="AM11" s="613">
        <f t="shared" si="18"/>
        <v>0</v>
      </c>
      <c r="AN11" s="601">
        <f t="shared" si="19"/>
        <v>0</v>
      </c>
      <c r="AO11" s="614"/>
      <c r="AP11" s="628"/>
      <c r="AQ11" s="614"/>
      <c r="AR11" s="628"/>
      <c r="AS11" s="613">
        <f t="shared" si="20"/>
        <v>0</v>
      </c>
      <c r="AT11" s="601">
        <f t="shared" si="21"/>
        <v>0</v>
      </c>
      <c r="AU11" s="614"/>
      <c r="AV11" s="628"/>
      <c r="AW11" s="614"/>
      <c r="AX11" s="628"/>
      <c r="AY11" s="588">
        <f t="shared" si="0"/>
        <v>0</v>
      </c>
      <c r="AZ11" s="598">
        <f t="shared" si="1"/>
        <v>0</v>
      </c>
      <c r="BA11" s="588">
        <f t="shared" si="2"/>
        <v>0</v>
      </c>
      <c r="BB11" s="598">
        <f t="shared" si="3"/>
        <v>0</v>
      </c>
      <c r="BC11" s="588">
        <f t="shared" si="4"/>
        <v>0</v>
      </c>
      <c r="BD11" s="598">
        <f t="shared" si="5"/>
        <v>0</v>
      </c>
      <c r="BF11" s="605"/>
      <c r="BG11" s="605"/>
      <c r="BH11" s="616"/>
    </row>
    <row r="12" spans="1:60" s="615" customFormat="1" ht="52.5" customHeight="1">
      <c r="A12" s="586" t="s">
        <v>3</v>
      </c>
      <c r="B12" s="587" t="s">
        <v>804</v>
      </c>
      <c r="C12" s="613">
        <f t="shared" si="6"/>
        <v>0</v>
      </c>
      <c r="D12" s="601">
        <f t="shared" si="7"/>
        <v>0</v>
      </c>
      <c r="E12" s="614"/>
      <c r="F12" s="628"/>
      <c r="G12" s="614"/>
      <c r="H12" s="628"/>
      <c r="I12" s="613">
        <f t="shared" si="8"/>
        <v>0</v>
      </c>
      <c r="J12" s="601">
        <f t="shared" si="9"/>
        <v>0</v>
      </c>
      <c r="K12" s="614"/>
      <c r="L12" s="628"/>
      <c r="M12" s="614"/>
      <c r="N12" s="628"/>
      <c r="O12" s="613">
        <f t="shared" si="10"/>
        <v>0</v>
      </c>
      <c r="P12" s="601">
        <f t="shared" si="11"/>
        <v>0</v>
      </c>
      <c r="Q12" s="614"/>
      <c r="R12" s="628"/>
      <c r="S12" s="614"/>
      <c r="T12" s="628"/>
      <c r="U12" s="613">
        <f t="shared" si="12"/>
        <v>0</v>
      </c>
      <c r="V12" s="601">
        <f t="shared" si="13"/>
        <v>0</v>
      </c>
      <c r="W12" s="614"/>
      <c r="X12" s="628"/>
      <c r="Y12" s="614"/>
      <c r="Z12" s="628"/>
      <c r="AA12" s="613">
        <f t="shared" si="14"/>
        <v>0</v>
      </c>
      <c r="AB12" s="601">
        <f t="shared" si="15"/>
        <v>0</v>
      </c>
      <c r="AC12" s="614"/>
      <c r="AD12" s="628"/>
      <c r="AE12" s="614"/>
      <c r="AF12" s="628"/>
      <c r="AG12" s="613">
        <f t="shared" si="16"/>
        <v>0</v>
      </c>
      <c r="AH12" s="601">
        <f t="shared" si="17"/>
        <v>0</v>
      </c>
      <c r="AI12" s="614"/>
      <c r="AJ12" s="628"/>
      <c r="AK12" s="614"/>
      <c r="AL12" s="628"/>
      <c r="AM12" s="613">
        <f t="shared" si="18"/>
        <v>0</v>
      </c>
      <c r="AN12" s="601">
        <f t="shared" si="19"/>
        <v>0</v>
      </c>
      <c r="AO12" s="614"/>
      <c r="AP12" s="628"/>
      <c r="AQ12" s="614"/>
      <c r="AR12" s="628"/>
      <c r="AS12" s="613">
        <f t="shared" si="20"/>
        <v>0</v>
      </c>
      <c r="AT12" s="601">
        <f t="shared" si="21"/>
        <v>0</v>
      </c>
      <c r="AU12" s="614"/>
      <c r="AV12" s="628"/>
      <c r="AW12" s="614"/>
      <c r="AX12" s="628"/>
      <c r="AY12" s="588">
        <f t="shared" si="0"/>
        <v>0</v>
      </c>
      <c r="AZ12" s="598">
        <f t="shared" si="1"/>
        <v>0</v>
      </c>
      <c r="BA12" s="588">
        <f t="shared" si="2"/>
        <v>0</v>
      </c>
      <c r="BB12" s="598">
        <f t="shared" si="3"/>
        <v>0</v>
      </c>
      <c r="BC12" s="588">
        <f t="shared" si="4"/>
        <v>0</v>
      </c>
      <c r="BD12" s="598">
        <f t="shared" si="5"/>
        <v>0</v>
      </c>
      <c r="BF12" s="605"/>
      <c r="BG12" s="605"/>
      <c r="BH12" s="616"/>
    </row>
    <row r="13" spans="1:60" s="615" customFormat="1" ht="36.75" customHeight="1">
      <c r="A13" s="586" t="s">
        <v>8</v>
      </c>
      <c r="B13" s="587" t="s">
        <v>805</v>
      </c>
      <c r="C13" s="613">
        <f t="shared" si="6"/>
        <v>0</v>
      </c>
      <c r="D13" s="601">
        <f t="shared" si="7"/>
        <v>0</v>
      </c>
      <c r="E13" s="614"/>
      <c r="F13" s="628"/>
      <c r="G13" s="614"/>
      <c r="H13" s="628"/>
      <c r="I13" s="613">
        <f t="shared" si="8"/>
        <v>0</v>
      </c>
      <c r="J13" s="601">
        <f t="shared" si="9"/>
        <v>0</v>
      </c>
      <c r="K13" s="614"/>
      <c r="L13" s="628"/>
      <c r="M13" s="614"/>
      <c r="N13" s="628"/>
      <c r="O13" s="613">
        <f t="shared" si="10"/>
        <v>0</v>
      </c>
      <c r="P13" s="601">
        <f t="shared" si="11"/>
        <v>0</v>
      </c>
      <c r="Q13" s="614"/>
      <c r="R13" s="628"/>
      <c r="S13" s="614"/>
      <c r="T13" s="628"/>
      <c r="U13" s="613">
        <f t="shared" si="12"/>
        <v>0</v>
      </c>
      <c r="V13" s="601">
        <f t="shared" si="13"/>
        <v>0</v>
      </c>
      <c r="W13" s="614"/>
      <c r="X13" s="628"/>
      <c r="Y13" s="614"/>
      <c r="Z13" s="628"/>
      <c r="AA13" s="613">
        <f t="shared" si="14"/>
        <v>0</v>
      </c>
      <c r="AB13" s="601">
        <f t="shared" si="15"/>
        <v>0</v>
      </c>
      <c r="AC13" s="614"/>
      <c r="AD13" s="628"/>
      <c r="AE13" s="614"/>
      <c r="AF13" s="628"/>
      <c r="AG13" s="613">
        <f t="shared" si="16"/>
        <v>0</v>
      </c>
      <c r="AH13" s="601">
        <f t="shared" si="17"/>
        <v>0</v>
      </c>
      <c r="AI13" s="614"/>
      <c r="AJ13" s="628"/>
      <c r="AK13" s="614"/>
      <c r="AL13" s="628"/>
      <c r="AM13" s="613">
        <f t="shared" si="18"/>
        <v>0</v>
      </c>
      <c r="AN13" s="601">
        <f t="shared" si="19"/>
        <v>0</v>
      </c>
      <c r="AO13" s="614"/>
      <c r="AP13" s="628"/>
      <c r="AQ13" s="614"/>
      <c r="AR13" s="628"/>
      <c r="AS13" s="613">
        <f t="shared" si="20"/>
        <v>0</v>
      </c>
      <c r="AT13" s="601">
        <f t="shared" si="21"/>
        <v>0</v>
      </c>
      <c r="AU13" s="614"/>
      <c r="AV13" s="628"/>
      <c r="AW13" s="614"/>
      <c r="AX13" s="628"/>
      <c r="AY13" s="588">
        <f t="shared" si="0"/>
        <v>0</v>
      </c>
      <c r="AZ13" s="598">
        <f t="shared" si="1"/>
        <v>0</v>
      </c>
      <c r="BA13" s="588">
        <f t="shared" si="2"/>
        <v>0</v>
      </c>
      <c r="BB13" s="598">
        <f t="shared" si="3"/>
        <v>0</v>
      </c>
      <c r="BC13" s="588">
        <f t="shared" si="4"/>
        <v>0</v>
      </c>
      <c r="BD13" s="598">
        <f t="shared" si="5"/>
        <v>0</v>
      </c>
      <c r="BF13" s="605"/>
      <c r="BG13" s="605"/>
      <c r="BH13" s="616"/>
    </row>
    <row r="14" spans="1:60" s="615" customFormat="1" ht="33" customHeight="1">
      <c r="A14" s="586" t="s">
        <v>7</v>
      </c>
      <c r="B14" s="587" t="s">
        <v>806</v>
      </c>
      <c r="C14" s="613">
        <f t="shared" si="6"/>
        <v>0</v>
      </c>
      <c r="D14" s="601">
        <f t="shared" si="7"/>
        <v>0</v>
      </c>
      <c r="E14" s="614"/>
      <c r="F14" s="628"/>
      <c r="G14" s="614"/>
      <c r="H14" s="628"/>
      <c r="I14" s="613">
        <f t="shared" si="8"/>
        <v>0</v>
      </c>
      <c r="J14" s="601">
        <f t="shared" si="9"/>
        <v>0</v>
      </c>
      <c r="K14" s="614"/>
      <c r="L14" s="628"/>
      <c r="M14" s="614"/>
      <c r="N14" s="628"/>
      <c r="O14" s="613">
        <f t="shared" si="10"/>
        <v>0</v>
      </c>
      <c r="P14" s="601">
        <f t="shared" si="11"/>
        <v>0</v>
      </c>
      <c r="Q14" s="614"/>
      <c r="R14" s="628"/>
      <c r="S14" s="614"/>
      <c r="T14" s="628"/>
      <c r="U14" s="613">
        <f t="shared" si="12"/>
        <v>0</v>
      </c>
      <c r="V14" s="601">
        <f t="shared" si="13"/>
        <v>0</v>
      </c>
      <c r="W14" s="614"/>
      <c r="X14" s="628"/>
      <c r="Y14" s="614"/>
      <c r="Z14" s="628"/>
      <c r="AA14" s="613">
        <f t="shared" si="14"/>
        <v>0</v>
      </c>
      <c r="AB14" s="601">
        <f t="shared" si="15"/>
        <v>0</v>
      </c>
      <c r="AC14" s="614"/>
      <c r="AD14" s="628"/>
      <c r="AE14" s="614"/>
      <c r="AF14" s="628"/>
      <c r="AG14" s="613">
        <f t="shared" si="16"/>
        <v>0</v>
      </c>
      <c r="AH14" s="601">
        <f t="shared" si="17"/>
        <v>0</v>
      </c>
      <c r="AI14" s="614"/>
      <c r="AJ14" s="628"/>
      <c r="AK14" s="614"/>
      <c r="AL14" s="628"/>
      <c r="AM14" s="613">
        <f t="shared" si="18"/>
        <v>0</v>
      </c>
      <c r="AN14" s="601">
        <f t="shared" si="19"/>
        <v>0</v>
      </c>
      <c r="AO14" s="614"/>
      <c r="AP14" s="628"/>
      <c r="AQ14" s="614"/>
      <c r="AR14" s="628"/>
      <c r="AS14" s="613">
        <f t="shared" si="20"/>
        <v>0</v>
      </c>
      <c r="AT14" s="601">
        <f t="shared" si="21"/>
        <v>0</v>
      </c>
      <c r="AU14" s="614"/>
      <c r="AV14" s="628"/>
      <c r="AW14" s="614"/>
      <c r="AX14" s="628"/>
      <c r="AY14" s="588">
        <f t="shared" si="0"/>
        <v>0</v>
      </c>
      <c r="AZ14" s="598">
        <f t="shared" si="1"/>
        <v>0</v>
      </c>
      <c r="BA14" s="588">
        <f t="shared" si="2"/>
        <v>0</v>
      </c>
      <c r="BB14" s="598">
        <f t="shared" si="3"/>
        <v>0</v>
      </c>
      <c r="BC14" s="588">
        <f t="shared" si="4"/>
        <v>0</v>
      </c>
      <c r="BD14" s="598">
        <f t="shared" si="5"/>
        <v>0</v>
      </c>
      <c r="BF14" s="605"/>
      <c r="BG14" s="605"/>
      <c r="BH14" s="616"/>
    </row>
    <row r="15" spans="1:60" s="615" customFormat="1" ht="20.25" customHeight="1">
      <c r="A15" s="586" t="s">
        <v>809</v>
      </c>
      <c r="B15" s="587" t="s">
        <v>807</v>
      </c>
      <c r="C15" s="613">
        <f t="shared" si="6"/>
        <v>0</v>
      </c>
      <c r="D15" s="601">
        <f t="shared" si="7"/>
        <v>0</v>
      </c>
      <c r="E15" s="614"/>
      <c r="F15" s="628"/>
      <c r="G15" s="614"/>
      <c r="H15" s="628"/>
      <c r="I15" s="613">
        <f t="shared" si="8"/>
        <v>0</v>
      </c>
      <c r="J15" s="601">
        <f t="shared" si="9"/>
        <v>0</v>
      </c>
      <c r="K15" s="614"/>
      <c r="L15" s="628"/>
      <c r="M15" s="614"/>
      <c r="N15" s="628"/>
      <c r="O15" s="613">
        <f t="shared" si="10"/>
        <v>0</v>
      </c>
      <c r="P15" s="601">
        <f t="shared" si="11"/>
        <v>0</v>
      </c>
      <c r="Q15" s="614"/>
      <c r="R15" s="628"/>
      <c r="S15" s="614"/>
      <c r="T15" s="628"/>
      <c r="U15" s="613">
        <f t="shared" si="12"/>
        <v>0</v>
      </c>
      <c r="V15" s="601">
        <f t="shared" si="13"/>
        <v>0</v>
      </c>
      <c r="W15" s="614"/>
      <c r="X15" s="628"/>
      <c r="Y15" s="614"/>
      <c r="Z15" s="628"/>
      <c r="AA15" s="613">
        <f t="shared" si="14"/>
        <v>0</v>
      </c>
      <c r="AB15" s="601">
        <f t="shared" si="15"/>
        <v>0</v>
      </c>
      <c r="AC15" s="614"/>
      <c r="AD15" s="628"/>
      <c r="AE15" s="614"/>
      <c r="AF15" s="628"/>
      <c r="AG15" s="613">
        <f t="shared" si="16"/>
        <v>0</v>
      </c>
      <c r="AH15" s="601">
        <f t="shared" si="17"/>
        <v>0</v>
      </c>
      <c r="AI15" s="614"/>
      <c r="AJ15" s="628"/>
      <c r="AK15" s="614"/>
      <c r="AL15" s="628"/>
      <c r="AM15" s="613">
        <f t="shared" si="18"/>
        <v>0</v>
      </c>
      <c r="AN15" s="601">
        <f t="shared" si="19"/>
        <v>0</v>
      </c>
      <c r="AO15" s="614"/>
      <c r="AP15" s="628"/>
      <c r="AQ15" s="614"/>
      <c r="AR15" s="628"/>
      <c r="AS15" s="613">
        <f t="shared" si="20"/>
        <v>0</v>
      </c>
      <c r="AT15" s="601">
        <f t="shared" si="21"/>
        <v>0</v>
      </c>
      <c r="AU15" s="614"/>
      <c r="AV15" s="628"/>
      <c r="AW15" s="614"/>
      <c r="AX15" s="628"/>
      <c r="AY15" s="588">
        <f t="shared" si="0"/>
        <v>0</v>
      </c>
      <c r="AZ15" s="598">
        <f t="shared" si="1"/>
        <v>0</v>
      </c>
      <c r="BA15" s="588">
        <f t="shared" si="2"/>
        <v>0</v>
      </c>
      <c r="BB15" s="598">
        <f t="shared" si="3"/>
        <v>0</v>
      </c>
      <c r="BC15" s="588">
        <f t="shared" si="4"/>
        <v>0</v>
      </c>
      <c r="BD15" s="598">
        <f t="shared" si="5"/>
        <v>0</v>
      </c>
      <c r="BF15" s="605"/>
      <c r="BG15" s="605"/>
      <c r="BH15" s="616"/>
    </row>
    <row r="16" spans="1:60" s="615" customFormat="1" ht="20.25" customHeight="1">
      <c r="A16" s="586" t="s">
        <v>812</v>
      </c>
      <c r="B16" s="587" t="s">
        <v>808</v>
      </c>
      <c r="C16" s="613">
        <f t="shared" si="6"/>
        <v>0</v>
      </c>
      <c r="D16" s="601">
        <f t="shared" si="7"/>
        <v>0</v>
      </c>
      <c r="E16" s="614"/>
      <c r="F16" s="628"/>
      <c r="G16" s="614"/>
      <c r="H16" s="628"/>
      <c r="I16" s="613">
        <f t="shared" si="8"/>
        <v>0</v>
      </c>
      <c r="J16" s="601">
        <f t="shared" si="9"/>
        <v>0</v>
      </c>
      <c r="K16" s="614"/>
      <c r="L16" s="628"/>
      <c r="M16" s="614"/>
      <c r="N16" s="628"/>
      <c r="O16" s="613">
        <f t="shared" si="10"/>
        <v>0</v>
      </c>
      <c r="P16" s="601">
        <f t="shared" si="11"/>
        <v>0</v>
      </c>
      <c r="Q16" s="614"/>
      <c r="R16" s="628"/>
      <c r="S16" s="614"/>
      <c r="T16" s="628"/>
      <c r="U16" s="613">
        <f t="shared" si="12"/>
        <v>0</v>
      </c>
      <c r="V16" s="601">
        <f t="shared" si="13"/>
        <v>0</v>
      </c>
      <c r="W16" s="614"/>
      <c r="X16" s="628"/>
      <c r="Y16" s="614"/>
      <c r="Z16" s="628"/>
      <c r="AA16" s="613">
        <f t="shared" si="14"/>
        <v>0</v>
      </c>
      <c r="AB16" s="601">
        <f t="shared" si="15"/>
        <v>0</v>
      </c>
      <c r="AC16" s="614"/>
      <c r="AD16" s="628"/>
      <c r="AE16" s="614"/>
      <c r="AF16" s="628"/>
      <c r="AG16" s="613">
        <f t="shared" si="16"/>
        <v>0</v>
      </c>
      <c r="AH16" s="601">
        <f t="shared" si="17"/>
        <v>0</v>
      </c>
      <c r="AI16" s="614"/>
      <c r="AJ16" s="628"/>
      <c r="AK16" s="614"/>
      <c r="AL16" s="628"/>
      <c r="AM16" s="613">
        <f t="shared" si="18"/>
        <v>0</v>
      </c>
      <c r="AN16" s="601">
        <f t="shared" si="19"/>
        <v>0</v>
      </c>
      <c r="AO16" s="614"/>
      <c r="AP16" s="628"/>
      <c r="AQ16" s="614"/>
      <c r="AR16" s="628"/>
      <c r="AS16" s="613">
        <f t="shared" si="20"/>
        <v>0</v>
      </c>
      <c r="AT16" s="601">
        <f t="shared" si="21"/>
        <v>0</v>
      </c>
      <c r="AU16" s="614"/>
      <c r="AV16" s="628"/>
      <c r="AW16" s="614"/>
      <c r="AX16" s="628"/>
      <c r="AY16" s="588">
        <f t="shared" si="0"/>
        <v>0</v>
      </c>
      <c r="AZ16" s="598">
        <f t="shared" si="1"/>
        <v>0</v>
      </c>
      <c r="BA16" s="588">
        <f t="shared" si="2"/>
        <v>0</v>
      </c>
      <c r="BB16" s="598">
        <f t="shared" si="3"/>
        <v>0</v>
      </c>
      <c r="BC16" s="588">
        <f t="shared" si="4"/>
        <v>0</v>
      </c>
      <c r="BD16" s="598">
        <f t="shared" si="5"/>
        <v>0</v>
      </c>
      <c r="BF16" s="605"/>
      <c r="BG16" s="605"/>
      <c r="BH16" s="616"/>
    </row>
    <row r="17" spans="1:60" s="615" customFormat="1" ht="20.25" customHeight="1">
      <c r="A17" s="586" t="s">
        <v>814</v>
      </c>
      <c r="B17" s="587" t="s">
        <v>810</v>
      </c>
      <c r="C17" s="613">
        <f t="shared" si="6"/>
        <v>791194083.64559019</v>
      </c>
      <c r="D17" s="601">
        <f t="shared" si="7"/>
        <v>0.11046618193035769</v>
      </c>
      <c r="E17" s="614">
        <v>51764767.039800003</v>
      </c>
      <c r="F17" s="628">
        <v>0.1503640124790403</v>
      </c>
      <c r="G17" s="614">
        <v>739429316.60579014</v>
      </c>
      <c r="H17" s="628">
        <v>0.10767307938848616</v>
      </c>
      <c r="I17" s="613">
        <f t="shared" si="8"/>
        <v>205803431.66530007</v>
      </c>
      <c r="J17" s="601">
        <f t="shared" si="9"/>
        <v>9.9450359943151129E-2</v>
      </c>
      <c r="K17" s="614">
        <v>2858028.9551700009</v>
      </c>
      <c r="L17" s="628">
        <v>0.17216535434733934</v>
      </c>
      <c r="M17" s="614">
        <v>202945402.71013007</v>
      </c>
      <c r="N17" s="628">
        <v>9.8426333004344196E-2</v>
      </c>
      <c r="O17" s="613">
        <f t="shared" si="10"/>
        <v>429977659.12066013</v>
      </c>
      <c r="P17" s="601">
        <f t="shared" si="11"/>
        <v>9.830809849363413E-2</v>
      </c>
      <c r="Q17" s="614">
        <v>1793276.3514400003</v>
      </c>
      <c r="R17" s="628">
        <v>0.15289036016386309</v>
      </c>
      <c r="S17" s="614">
        <v>428184382.76922011</v>
      </c>
      <c r="T17" s="628">
        <v>9.8079502862872675E-2</v>
      </c>
      <c r="U17" s="613">
        <f t="shared" si="12"/>
        <v>1643154946.9051993</v>
      </c>
      <c r="V17" s="601">
        <f t="shared" si="13"/>
        <v>0.10010664556233823</v>
      </c>
      <c r="W17" s="614">
        <v>68494812.986370027</v>
      </c>
      <c r="X17" s="628">
        <v>0.15309609192392701</v>
      </c>
      <c r="Y17" s="614">
        <v>1574660133.9188292</v>
      </c>
      <c r="Z17" s="628">
        <v>9.7801702330076651E-2</v>
      </c>
      <c r="AA17" s="613">
        <f t="shared" si="14"/>
        <v>1989997054.0630994</v>
      </c>
      <c r="AB17" s="601">
        <f t="shared" si="15"/>
        <v>0.10474714818096531</v>
      </c>
      <c r="AC17" s="614">
        <v>81486036.768530011</v>
      </c>
      <c r="AD17" s="628">
        <v>0.15229376110275969</v>
      </c>
      <c r="AE17" s="614">
        <v>1908511017.2945695</v>
      </c>
      <c r="AF17" s="628">
        <v>0.1027170917581019</v>
      </c>
      <c r="AG17" s="613">
        <f t="shared" si="16"/>
        <v>2794411056.3481398</v>
      </c>
      <c r="AH17" s="601">
        <f t="shared" si="17"/>
        <v>0.10645206944221967</v>
      </c>
      <c r="AI17" s="614">
        <v>52431284.937259965</v>
      </c>
      <c r="AJ17" s="628">
        <v>0.16401572581132057</v>
      </c>
      <c r="AK17" s="614">
        <v>2741979771.4108796</v>
      </c>
      <c r="AL17" s="628">
        <v>0.10535135509684511</v>
      </c>
      <c r="AM17" s="613">
        <f t="shared" si="18"/>
        <v>2438238009.5819311</v>
      </c>
      <c r="AN17" s="601">
        <f t="shared" si="19"/>
        <v>9.5120311452002379E-2</v>
      </c>
      <c r="AO17" s="614">
        <v>116627018.22246034</v>
      </c>
      <c r="AP17" s="628">
        <v>0.16477037622147259</v>
      </c>
      <c r="AQ17" s="614">
        <v>2321610991.3594708</v>
      </c>
      <c r="AR17" s="628">
        <v>9.1621413745497343E-2</v>
      </c>
      <c r="AS17" s="613">
        <f t="shared" si="20"/>
        <v>6533863554.1813097</v>
      </c>
      <c r="AT17" s="601">
        <f t="shared" si="21"/>
        <v>9.5410771994420968E-2</v>
      </c>
      <c r="AU17" s="614">
        <v>1372790783.9125376</v>
      </c>
      <c r="AV17" s="628">
        <v>0.16209177475843001</v>
      </c>
      <c r="AW17" s="614">
        <v>5161072770.2687721</v>
      </c>
      <c r="AX17" s="628">
        <v>7.7674330341475445E-2</v>
      </c>
      <c r="AY17" s="588">
        <f t="shared" si="0"/>
        <v>16826639795.51123</v>
      </c>
      <c r="AZ17" s="598">
        <f t="shared" si="1"/>
        <v>9.9596397857460134E-2</v>
      </c>
      <c r="BA17" s="588">
        <f t="shared" si="2"/>
        <v>1748246009.173568</v>
      </c>
      <c r="BB17" s="598">
        <f t="shared" si="3"/>
        <v>0.16117881321989444</v>
      </c>
      <c r="BC17" s="588">
        <f t="shared" si="4"/>
        <v>15078393786.33766</v>
      </c>
      <c r="BD17" s="598">
        <f t="shared" si="5"/>
        <v>9.245629968664601E-2</v>
      </c>
      <c r="BF17" s="605"/>
      <c r="BG17" s="605"/>
      <c r="BH17" s="616"/>
    </row>
    <row r="18" spans="1:60" s="615" customFormat="1" ht="30.75" customHeight="1">
      <c r="A18" s="586" t="s">
        <v>839</v>
      </c>
      <c r="B18" s="587" t="s">
        <v>811</v>
      </c>
      <c r="C18" s="613">
        <f t="shared" si="6"/>
        <v>253075.05312999999</v>
      </c>
      <c r="D18" s="601">
        <f t="shared" si="7"/>
        <v>0.16222755606974196</v>
      </c>
      <c r="E18" s="614">
        <v>253075.05312999999</v>
      </c>
      <c r="F18" s="628">
        <v>0.16222755606974196</v>
      </c>
      <c r="G18" s="614"/>
      <c r="H18" s="628"/>
      <c r="I18" s="613">
        <f t="shared" si="8"/>
        <v>438608.98742999922</v>
      </c>
      <c r="J18" s="601">
        <f t="shared" si="9"/>
        <v>0.15320229292913043</v>
      </c>
      <c r="K18" s="614">
        <v>438608.98742999922</v>
      </c>
      <c r="L18" s="628">
        <v>0.15320229292913043</v>
      </c>
      <c r="M18" s="614"/>
      <c r="N18" s="628"/>
      <c r="O18" s="613">
        <f t="shared" si="10"/>
        <v>977377.73834000027</v>
      </c>
      <c r="P18" s="601">
        <f t="shared" si="11"/>
        <v>0.1571360871077809</v>
      </c>
      <c r="Q18" s="614">
        <v>977377.73834000027</v>
      </c>
      <c r="R18" s="628">
        <v>0.1571360871077809</v>
      </c>
      <c r="S18" s="614"/>
      <c r="T18" s="628"/>
      <c r="U18" s="613">
        <f t="shared" si="12"/>
        <v>3216439.9716000068</v>
      </c>
      <c r="V18" s="601">
        <f t="shared" si="13"/>
        <v>0.15541172755008351</v>
      </c>
      <c r="W18" s="614">
        <v>3216439.9716000068</v>
      </c>
      <c r="X18" s="628">
        <v>0.15541172755008351</v>
      </c>
      <c r="Y18" s="614"/>
      <c r="Z18" s="628"/>
      <c r="AA18" s="613">
        <f t="shared" si="14"/>
        <v>4882853.7773700021</v>
      </c>
      <c r="AB18" s="601">
        <f t="shared" si="15"/>
        <v>0.15558402089256951</v>
      </c>
      <c r="AC18" s="614">
        <v>4882853.7773700021</v>
      </c>
      <c r="AD18" s="628">
        <v>0.15558402089256951</v>
      </c>
      <c r="AE18" s="614"/>
      <c r="AF18" s="628"/>
      <c r="AG18" s="613">
        <f t="shared" si="16"/>
        <v>10600494.360669946</v>
      </c>
      <c r="AH18" s="601">
        <f t="shared" si="17"/>
        <v>0.15529481167456266</v>
      </c>
      <c r="AI18" s="614">
        <v>10600494.360669946</v>
      </c>
      <c r="AJ18" s="628">
        <v>0.15529481167456266</v>
      </c>
      <c r="AK18" s="614"/>
      <c r="AL18" s="628"/>
      <c r="AM18" s="613">
        <f t="shared" si="18"/>
        <v>24031592.053670071</v>
      </c>
      <c r="AN18" s="601">
        <f t="shared" si="19"/>
        <v>0.15518344079557067</v>
      </c>
      <c r="AO18" s="614">
        <v>24031592.053670071</v>
      </c>
      <c r="AP18" s="628">
        <v>0.15518344079557067</v>
      </c>
      <c r="AQ18" s="614"/>
      <c r="AR18" s="628"/>
      <c r="AS18" s="613">
        <f t="shared" si="20"/>
        <v>1208335657.3568492</v>
      </c>
      <c r="AT18" s="601">
        <f t="shared" si="21"/>
        <v>0.15976414005016298</v>
      </c>
      <c r="AU18" s="614">
        <v>1208335657.3568492</v>
      </c>
      <c r="AV18" s="628">
        <v>0.15976414005016298</v>
      </c>
      <c r="AW18" s="614"/>
      <c r="AX18" s="628"/>
      <c r="AY18" s="588">
        <f t="shared" si="0"/>
        <v>1252736099.2990592</v>
      </c>
      <c r="AZ18" s="598">
        <f t="shared" si="1"/>
        <v>0.15960713010470232</v>
      </c>
      <c r="BA18" s="588">
        <f t="shared" si="2"/>
        <v>1252736099.2990592</v>
      </c>
      <c r="BB18" s="598">
        <f t="shared" si="3"/>
        <v>0.15960713010470232</v>
      </c>
      <c r="BC18" s="588">
        <f t="shared" si="4"/>
        <v>0</v>
      </c>
      <c r="BD18" s="598">
        <f t="shared" si="5"/>
        <v>0</v>
      </c>
      <c r="BF18" s="605"/>
      <c r="BG18" s="605"/>
      <c r="BH18" s="616"/>
    </row>
    <row r="19" spans="1:60" s="615" customFormat="1" ht="30" customHeight="1">
      <c r="A19" s="586" t="s">
        <v>816</v>
      </c>
      <c r="B19" s="587" t="s">
        <v>813</v>
      </c>
      <c r="C19" s="613">
        <f t="shared" si="6"/>
        <v>0</v>
      </c>
      <c r="D19" s="601">
        <f t="shared" si="7"/>
        <v>0</v>
      </c>
      <c r="E19" s="614"/>
      <c r="F19" s="628"/>
      <c r="G19" s="614"/>
      <c r="H19" s="628"/>
      <c r="I19" s="613">
        <f t="shared" si="8"/>
        <v>0</v>
      </c>
      <c r="J19" s="601">
        <f t="shared" si="9"/>
        <v>0</v>
      </c>
      <c r="K19" s="614"/>
      <c r="L19" s="628"/>
      <c r="M19" s="614"/>
      <c r="N19" s="628"/>
      <c r="O19" s="613">
        <f t="shared" si="10"/>
        <v>0</v>
      </c>
      <c r="P19" s="601">
        <f t="shared" si="11"/>
        <v>0</v>
      </c>
      <c r="Q19" s="614"/>
      <c r="R19" s="628"/>
      <c r="S19" s="614"/>
      <c r="T19" s="628"/>
      <c r="U19" s="613">
        <f t="shared" si="12"/>
        <v>0</v>
      </c>
      <c r="V19" s="601">
        <f t="shared" si="13"/>
        <v>0</v>
      </c>
      <c r="W19" s="614"/>
      <c r="X19" s="628"/>
      <c r="Y19" s="614"/>
      <c r="Z19" s="628"/>
      <c r="AA19" s="613">
        <f t="shared" si="14"/>
        <v>0</v>
      </c>
      <c r="AB19" s="601">
        <f t="shared" si="15"/>
        <v>0</v>
      </c>
      <c r="AC19" s="614"/>
      <c r="AD19" s="628"/>
      <c r="AE19" s="614"/>
      <c r="AF19" s="628"/>
      <c r="AG19" s="613">
        <f t="shared" si="16"/>
        <v>0</v>
      </c>
      <c r="AH19" s="601">
        <f t="shared" si="17"/>
        <v>0</v>
      </c>
      <c r="AI19" s="614"/>
      <c r="AJ19" s="628"/>
      <c r="AK19" s="614"/>
      <c r="AL19" s="628"/>
      <c r="AM19" s="613">
        <f t="shared" si="18"/>
        <v>0</v>
      </c>
      <c r="AN19" s="601">
        <f t="shared" si="19"/>
        <v>0</v>
      </c>
      <c r="AO19" s="614"/>
      <c r="AP19" s="628"/>
      <c r="AQ19" s="614"/>
      <c r="AR19" s="628"/>
      <c r="AS19" s="613">
        <f t="shared" si="20"/>
        <v>0</v>
      </c>
      <c r="AT19" s="601">
        <f t="shared" si="21"/>
        <v>0</v>
      </c>
      <c r="AU19" s="614"/>
      <c r="AV19" s="628"/>
      <c r="AW19" s="614"/>
      <c r="AX19" s="628"/>
      <c r="AY19" s="588">
        <f t="shared" si="0"/>
        <v>0</v>
      </c>
      <c r="AZ19" s="598">
        <f t="shared" si="1"/>
        <v>0</v>
      </c>
      <c r="BA19" s="588">
        <f t="shared" si="2"/>
        <v>0</v>
      </c>
      <c r="BB19" s="598">
        <f t="shared" si="3"/>
        <v>0</v>
      </c>
      <c r="BC19" s="588">
        <f t="shared" si="4"/>
        <v>0</v>
      </c>
      <c r="BD19" s="598">
        <f t="shared" si="5"/>
        <v>0</v>
      </c>
      <c r="BF19" s="605"/>
      <c r="BG19" s="605"/>
      <c r="BH19" s="616"/>
    </row>
    <row r="20" spans="1:60" s="615" customFormat="1" ht="20.25" customHeight="1">
      <c r="A20" s="586" t="s">
        <v>840</v>
      </c>
      <c r="B20" s="587" t="s">
        <v>815</v>
      </c>
      <c r="C20" s="613">
        <f t="shared" si="6"/>
        <v>0</v>
      </c>
      <c r="D20" s="601">
        <f t="shared" si="7"/>
        <v>0</v>
      </c>
      <c r="E20" s="614"/>
      <c r="F20" s="628"/>
      <c r="G20" s="614"/>
      <c r="H20" s="628"/>
      <c r="I20" s="613">
        <f t="shared" si="8"/>
        <v>0</v>
      </c>
      <c r="J20" s="601">
        <f t="shared" si="9"/>
        <v>0</v>
      </c>
      <c r="K20" s="614"/>
      <c r="L20" s="628"/>
      <c r="M20" s="614"/>
      <c r="N20" s="628"/>
      <c r="O20" s="613">
        <f t="shared" si="10"/>
        <v>0</v>
      </c>
      <c r="P20" s="601">
        <f t="shared" si="11"/>
        <v>0</v>
      </c>
      <c r="Q20" s="614"/>
      <c r="R20" s="628"/>
      <c r="S20" s="614"/>
      <c r="T20" s="628"/>
      <c r="U20" s="613">
        <f t="shared" si="12"/>
        <v>0</v>
      </c>
      <c r="V20" s="601">
        <f t="shared" si="13"/>
        <v>0</v>
      </c>
      <c r="W20" s="614"/>
      <c r="X20" s="628"/>
      <c r="Y20" s="614"/>
      <c r="Z20" s="628"/>
      <c r="AA20" s="613">
        <f t="shared" si="14"/>
        <v>0</v>
      </c>
      <c r="AB20" s="601">
        <f t="shared" si="15"/>
        <v>0</v>
      </c>
      <c r="AC20" s="614"/>
      <c r="AD20" s="628"/>
      <c r="AE20" s="614"/>
      <c r="AF20" s="628"/>
      <c r="AG20" s="613">
        <f t="shared" si="16"/>
        <v>0</v>
      </c>
      <c r="AH20" s="601">
        <f t="shared" si="17"/>
        <v>0</v>
      </c>
      <c r="AI20" s="614"/>
      <c r="AJ20" s="628"/>
      <c r="AK20" s="614"/>
      <c r="AL20" s="628"/>
      <c r="AM20" s="613">
        <f t="shared" si="18"/>
        <v>0</v>
      </c>
      <c r="AN20" s="601">
        <f t="shared" si="19"/>
        <v>0</v>
      </c>
      <c r="AO20" s="614"/>
      <c r="AP20" s="628"/>
      <c r="AQ20" s="614"/>
      <c r="AR20" s="628"/>
      <c r="AS20" s="613">
        <f t="shared" si="20"/>
        <v>0</v>
      </c>
      <c r="AT20" s="601">
        <f t="shared" si="21"/>
        <v>0</v>
      </c>
      <c r="AU20" s="614"/>
      <c r="AV20" s="628"/>
      <c r="AW20" s="614"/>
      <c r="AX20" s="628"/>
      <c r="AY20" s="588">
        <f t="shared" si="0"/>
        <v>0</v>
      </c>
      <c r="AZ20" s="598">
        <f t="shared" si="1"/>
        <v>0</v>
      </c>
      <c r="BA20" s="588">
        <f t="shared" si="2"/>
        <v>0</v>
      </c>
      <c r="BB20" s="598">
        <f t="shared" si="3"/>
        <v>0</v>
      </c>
      <c r="BC20" s="588">
        <f t="shared" si="4"/>
        <v>0</v>
      </c>
      <c r="BD20" s="598">
        <f t="shared" si="5"/>
        <v>0</v>
      </c>
      <c r="BF20" s="605"/>
      <c r="BG20" s="605"/>
    </row>
    <row r="21" spans="1:60" s="620" customFormat="1" ht="30" customHeight="1">
      <c r="A21" s="595" t="s">
        <v>816</v>
      </c>
      <c r="B21" s="596" t="s">
        <v>817</v>
      </c>
      <c r="C21" s="617">
        <f>+C8+C9+C10+C13+C14+C15+C16+C17+C19+C20</f>
        <v>791194083.64559019</v>
      </c>
      <c r="D21" s="594">
        <f>IFERROR(((C8*D8)/C21)+((C9*D9)/C21)+((C10*D10)/C21)+((C13*D13)/C21)+((C14*D14)/C21)+((C20*D20)/C21)+((C19*D19)/C21)+((C17*D17)/C21)+((C16*D16)/C21)+((C15*D15)/C21),0)</f>
        <v>0.11046618193035769</v>
      </c>
      <c r="E21" s="617">
        <f>+E8+E9+E10+E13+E14+E15+E16+E17+E19+E20</f>
        <v>51764767.039800003</v>
      </c>
      <c r="F21" s="594">
        <f>IFERROR(((E8*F8)/E21)+((E9*F9)/E21)+((E10*F10)/E21)+((E13*F13)/E21)+((E14*F14)/E21)+((E20*F20)/E21)+((E19*F19)/E21)+((E17*F17)/E21)+((E16*F16)/E21)+((E15*F15)/E21),0)</f>
        <v>0.1503640124790403</v>
      </c>
      <c r="G21" s="617">
        <f>+G8+G9+G10+G13+G14+G15+G16+G17+G19+G20</f>
        <v>739429316.60579014</v>
      </c>
      <c r="H21" s="594">
        <f>IFERROR(((G8*H8)/G21)+((G9*H9)/G21)+((G10*H10)/G21)+((G13*H13)/G21)+((G14*H14)/G21)+((G20*H20)/G21)+((G19*H19)/G21)+((G17*H17)/G21)+((G16*H16)/G21)+((G15*H15)/G21),0)</f>
        <v>0.10767307938848616</v>
      </c>
      <c r="I21" s="617">
        <f>+I8+I9+I10+I13+I14+I15+I16+I17+I19+I20</f>
        <v>205803431.66530007</v>
      </c>
      <c r="J21" s="594">
        <f>IFERROR(((I8*J8)/I21)+((I9*J9)/I21)+((I10*J10)/I21)+((I13*J13)/I21)+((I14*J14)/I21)+((I20*J20)/I21)+((I19*J19)/I21)+((I17*J17)/I21)+((I16*J16)/I21)+((I15*J15)/I21),0)</f>
        <v>9.9450359943151129E-2</v>
      </c>
      <c r="K21" s="617">
        <f>+K8+K9+K10+K13+K14+K15+K16+K17+K19+K20</f>
        <v>2858028.9551700009</v>
      </c>
      <c r="L21" s="594">
        <f>IFERROR(((K8*L8)/K21)+((K9*L9)/K21)+((K10*L10)/K21)+((K13*L13)/K21)+((K14*L14)/K21)+((K20*L20)/K21)+((K19*L19)/K21)+((K17*L17)/K21)+((K16*L16)/K21)+((K15*L15)/K21),0)</f>
        <v>0.17216535434733934</v>
      </c>
      <c r="M21" s="617">
        <f>+M8+M9+M10+M13+M14+M15+M16+M17+M19+M20</f>
        <v>202945402.71013007</v>
      </c>
      <c r="N21" s="594">
        <f>IFERROR(((M8*N8)/M21)+((M9*N9)/M21)+((M10*N10)/M21)+((M13*N13)/M21)+((M14*N14)/M21)+((M20*N20)/M21)+((M19*N19)/M21)+((M17*N17)/M21)+((M16*N16)/M21)+((M15*N15)/M21),0)</f>
        <v>9.8426333004344196E-2</v>
      </c>
      <c r="O21" s="617">
        <f>+O8+O9+O10+O13+O14+O15+O16+O17+O19+O20</f>
        <v>429977659.12066013</v>
      </c>
      <c r="P21" s="594">
        <f>IFERROR(((O8*P8)/O21)+((O9*P9)/O21)+((O10*P10)/O21)+((O13*P13)/O21)+((O14*P14)/O21)+((O20*P20)/O21)+((O19*P19)/O21)+((O17*P17)/O21)+((O16*P16)/O21)+((O15*P15)/O21),0)</f>
        <v>9.830809849363413E-2</v>
      </c>
      <c r="Q21" s="617">
        <f>+Q8+Q9+Q10+Q13+Q14+Q15+Q16+Q17+Q19+Q20</f>
        <v>1793276.3514400003</v>
      </c>
      <c r="R21" s="594">
        <f>IFERROR(((Q8*R8)/Q21)+((Q9*R9)/Q21)+((Q10*R10)/Q21)+((Q13*R13)/Q21)+((Q14*R14)/Q21)+((Q20*R20)/Q21)+((Q19*R19)/Q21)+((Q17*R17)/Q21)+((Q16*R16)/Q21)+((Q15*R15)/Q21),0)</f>
        <v>0.15289036016386309</v>
      </c>
      <c r="S21" s="617">
        <f>+S8+S9+S10+S13+S14+S15+S16+S17+S19+S20</f>
        <v>428184382.76922011</v>
      </c>
      <c r="T21" s="594">
        <f>IFERROR(((S8*T8)/S21)+((S9*T9)/S21)+((S10*T10)/S21)+((S13*T13)/S21)+((S14*T14)/S21)+((S20*T20)/S21)+((S19*T19)/S21)+((S17*T17)/S21)+((S16*T16)/S21)+((S15*T15)/S21),0)</f>
        <v>9.8079502862872675E-2</v>
      </c>
      <c r="U21" s="617">
        <f>+U8+U9+U10+U13+U14+U15+U16+U17+U19+U20</f>
        <v>1643154946.9051993</v>
      </c>
      <c r="V21" s="594">
        <f>IFERROR(((U8*V8)/U21)+((U9*V9)/U21)+((U10*V10)/U21)+((U13*V13)/U21)+((U14*V14)/U21)+((U20*V20)/U21)+((U19*V19)/U21)+((U17*V17)/U21)+((U16*V16)/U21)+((U15*V15)/U21),0)</f>
        <v>0.10010664556233823</v>
      </c>
      <c r="W21" s="617">
        <f>+W8+W9+W10+W13+W14+W15+W16+W17+W19+W20</f>
        <v>68494812.986370027</v>
      </c>
      <c r="X21" s="594">
        <f>IFERROR(((W8*X8)/W21)+((W9*X9)/W21)+((W10*X10)/W21)+((W13*X13)/W21)+((W14*X14)/W21)+((W20*X20)/W21)+((W19*X19)/W21)+((W17*X17)/W21)+((W16*X16)/W21)+((W15*X15)/W21),0)</f>
        <v>0.15309609192392701</v>
      </c>
      <c r="Y21" s="617">
        <f>+Y8+Y9+Y10+Y13+Y14+Y15+Y16+Y17+Y19+Y20</f>
        <v>1574660133.9188292</v>
      </c>
      <c r="Z21" s="594">
        <f>IFERROR(((Y8*Z8)/Y21)+((Y9*Z9)/Y21)+((Y10*Z10)/Y21)+((Y13*Z13)/Y21)+((Y14*Z14)/Y21)+((Y20*Z20)/Y21)+((Y19*Z19)/Y21)+((Y17*Z17)/Y21)+((Y16*Z16)/Y21)+((Y15*Z15)/Y21),0)</f>
        <v>9.7801702330076651E-2</v>
      </c>
      <c r="AA21" s="617">
        <f>+AA8+AA9+AA10+AA13+AA14+AA15+AA16+AA17+AA19+AA20</f>
        <v>1989997054.0630994</v>
      </c>
      <c r="AB21" s="594">
        <f>IFERROR(((AA8*AB8)/AA21)+((AA9*AB9)/AA21)+((AA10*AB10)/AA21)+((AA13*AB13)/AA21)+((AA14*AB14)/AA21)+((AA20*AB20)/AA21)+((AA19*AB19)/AA21)+((AA17*AB17)/AA21)+((AA16*AB16)/AA21)+((AA15*AB15)/AA21),0)</f>
        <v>0.10474714818096531</v>
      </c>
      <c r="AC21" s="617">
        <f>+AC8+AC9+AC10+AC13+AC14+AC15+AC16+AC17+AC19+AC20</f>
        <v>81486036.768530011</v>
      </c>
      <c r="AD21" s="594">
        <f>IFERROR(((AC8*AD8)/AC21)+((AC9*AD9)/AC21)+((AC10*AD10)/AC21)+((AC13*AD13)/AC21)+((AC14*AD14)/AC21)+((AC20*AD20)/AC21)+((AC19*AD19)/AC21)+((AC17*AD17)/AC21)+((AC16*AD16)/AC21)+((AC15*AD15)/AC21),0)</f>
        <v>0.15229376110275969</v>
      </c>
      <c r="AE21" s="617">
        <f>+AE8+AE9+AE10+AE13+AE14+AE15+AE16+AE17+AE19+AE20</f>
        <v>1908511017.2945695</v>
      </c>
      <c r="AF21" s="594">
        <f>IFERROR(((AE8*AF8)/AE21)+((AE9*AF9)/AE21)+((AE10*AF10)/AE21)+((AE13*AF13)/AE21)+((AE14*AF14)/AE21)+((AE20*AF20)/AE21)+((AE19*AF19)/AE21)+((AE17*AF17)/AE21)+((AE16*AF16)/AE21)+((AE15*AF15)/AE21),0)</f>
        <v>0.1027170917581019</v>
      </c>
      <c r="AG21" s="617">
        <f>+AG8+AG9+AG10+AG13+AG14+AG15+AG16+AG17+AG19+AG20</f>
        <v>2794411056.3481398</v>
      </c>
      <c r="AH21" s="594">
        <f>IFERROR(((AG8*AH8)/AG21)+((AG9*AH9)/AG21)+((AG10*AH10)/AG21)+((AG13*AH13)/AG21)+((AG14*AH14)/AG21)+((AG20*AH20)/AG21)+((AG19*AH19)/AG21)+((AG17*AH17)/AG21)+((AG16*AH16)/AG21)+((AG15*AH15)/AG21),0)</f>
        <v>0.10645206944221967</v>
      </c>
      <c r="AI21" s="617">
        <f>+AI8+AI9+AI10+AI13+AI14+AI15+AI16+AI17+AI19+AI20</f>
        <v>52431284.937259965</v>
      </c>
      <c r="AJ21" s="594">
        <f>IFERROR(((AI8*AJ8)/AI21)+((AI9*AJ9)/AI21)+((AI10*AJ10)/AI21)+((AI13*AJ13)/AI21)+((AI14*AJ14)/AI21)+((AI20*AJ20)/AI21)+((AI19*AJ19)/AI21)+((AI17*AJ17)/AI21)+((AI16*AJ16)/AI21)+((AI15*AJ15)/AI21),0)</f>
        <v>0.16401572581132057</v>
      </c>
      <c r="AK21" s="617">
        <f>+AK8+AK9+AK10+AK13+AK14+AK15+AK16+AK17+AK19+AK20</f>
        <v>2741979771.4108796</v>
      </c>
      <c r="AL21" s="594">
        <f>IFERROR(((AK8*AL8)/AK21)+((AK9*AL9)/AK21)+((AK10*AL10)/AK21)+((AK13*AL13)/AK21)+((AK14*AL14)/AK21)+((AK20*AL20)/AK21)+((AK19*AL19)/AK21)+((AK17*AL17)/AK21)+((AK16*AL16)/AK21)+((AK15*AL15)/AK21),0)</f>
        <v>0.10535135509684511</v>
      </c>
      <c r="AM21" s="617">
        <f>+AM8+AM9+AM10+AM13+AM14+AM15+AM16+AM17+AM19+AM20</f>
        <v>2438238009.5819311</v>
      </c>
      <c r="AN21" s="594">
        <f>IFERROR(((AM8*AN8)/AM21)+((AM9*AN9)/AM21)+((AM10*AN10)/AM21)+((AM13*AN13)/AM21)+((AM14*AN14)/AM21)+((AM20*AN20)/AM21)+((AM19*AN19)/AM21)+((AM17*AN17)/AM21)+((AM16*AN16)/AM21)+((AM15*AN15)/AM21),0)</f>
        <v>9.5120311452002379E-2</v>
      </c>
      <c r="AO21" s="617">
        <f>+AO8+AO9+AO10+AO13+AO14+AO15+AO16+AO17+AO19+AO20</f>
        <v>116627018.22246034</v>
      </c>
      <c r="AP21" s="594">
        <f>IFERROR(((AO8*AP8)/AO21)+((AO9*AP9)/AO21)+((AO10*AP10)/AO21)+((AO13*AP13)/AO21)+((AO14*AP14)/AO21)+((AO20*AP20)/AO21)+((AO19*AP19)/AO21)+((AO17*AP17)/AO21)+((AO16*AP16)/AO21)+((AO15*AP15)/AO21),0)</f>
        <v>0.16477037622147259</v>
      </c>
      <c r="AQ21" s="617">
        <f>+AQ8+AQ9+AQ10+AQ13+AQ14+AQ15+AQ16+AQ17+AQ19+AQ20</f>
        <v>2321610991.3594708</v>
      </c>
      <c r="AR21" s="594">
        <f>IFERROR(((AQ8*AR8)/AQ21)+((AQ9*AR9)/AQ21)+((AQ10*AR10)/AQ21)+((AQ13*AR13)/AQ21)+((AQ14*AR14)/AQ21)+((AQ20*AR20)/AQ21)+((AQ19*AR19)/AQ21)+((AQ17*AR17)/AQ21)+((AQ16*AR16)/AQ21)+((AQ15*AR15)/AQ21),0)</f>
        <v>9.1621413745497343E-2</v>
      </c>
      <c r="AS21" s="617">
        <f>+AS8+AS9+AS10+AS13+AS14+AS15+AS16+AS17+AS19+AS20</f>
        <v>6533863554.1813097</v>
      </c>
      <c r="AT21" s="594">
        <f>IFERROR(((AS8*AT8)/AS21)+((AS9*AT9)/AS21)+((AS10*AT10)/AS21)+((AS13*AT13)/AS21)+((AS14*AT14)/AS21)+((AS20*AT20)/AS21)+((AS19*AT19)/AS21)+((AS17*AT17)/AS21)+((AS16*AT16)/AS21)+((AS15*AT15)/AS21),0)</f>
        <v>9.5410771994420968E-2</v>
      </c>
      <c r="AU21" s="617">
        <f>+AU8+AU9+AU10+AU13+AU14+AU15+AU16+AU17+AU19+AU20</f>
        <v>1372790783.9125376</v>
      </c>
      <c r="AV21" s="594">
        <f>IFERROR(((AU8*AV8)/AU21)+((AU9*AV9)/AU21)+((AU10*AV10)/AU21)+((AU13*AV13)/AU21)+((AU14*AV14)/AU21)+((AU20*AV20)/AU21)+((AU19*AV19)/AU21)+((AU17*AV17)/AU21)+((AU16*AV16)/AU21)+((AU15*AV15)/AU21),0)</f>
        <v>0.16209177475843001</v>
      </c>
      <c r="AW21" s="617">
        <f>+AW8+AW9+AW10+AW13+AW14+AW15+AW16+AW17+AW19+AW20</f>
        <v>5161072770.2687721</v>
      </c>
      <c r="AX21" s="594">
        <f>IFERROR(((AW8*AX8)/AW21)+((AW9*AX9)/AW21)+((AW10*AX10)/AW21)+((AW13*AX13)/AW21)+((AW14*AX14)/AW21)+((AW20*AX20)/AW21)+((AW19*AX19)/AW21)+((AW17*AX17)/AW21)+((AW16*AX16)/AW21)+((AW15*AX15)/AW21),0)</f>
        <v>7.7674330341475445E-2</v>
      </c>
      <c r="AY21" s="618">
        <f>+AY8+AY9+AY10+AY13+AY14+AY15+AY16+AY17+AY19+AY20</f>
        <v>16826639795.51123</v>
      </c>
      <c r="AZ21" s="594">
        <f>IFERROR(((AY8*AZ8)/AY21)+((AY9*AZ9)/AY21)+((AY10*AZ10)/AY21)+((AY13*AZ13)/AY21)+((AY14*AZ14)/AY21)+((AY20*AZ20)/AY21)+((AY19*AZ19)/AY21)+((AY17*AZ17)/AY21)+((AY16*AZ16)/AY21)+((AY15*AZ15)/AY21),0)</f>
        <v>9.9596397857460134E-2</v>
      </c>
      <c r="BA21" s="618">
        <f>+BA8+BA9+BA10+BA13+BA14+BA15+BA16+BA17+BA19+BA20</f>
        <v>1748246009.173568</v>
      </c>
      <c r="BB21" s="594">
        <f>IFERROR(((BA8*BB8)/BA21)+((BA9*BB9)/BA21)+((BA10*BB10)/BA21)+((BA13*BB13)/BA21)+((BA14*BB14)/BA21)+((BA20*BB20)/BA21)+((BA19*BB19)/BA21)+((BA17*BB17)/BA21)+((BA16*BB16)/BA21)+((BA15*BB15)/BA21),0)</f>
        <v>0.16117881321989444</v>
      </c>
      <c r="BC21" s="618">
        <f>+BC8+BC9+BC10+BC13+BC14+BC15+BC16+BC17+BC19+BC20</f>
        <v>15078393786.33766</v>
      </c>
      <c r="BD21" s="594">
        <f>IFERROR(((BC8*BD8)/BC21)+((BC9*BD9)/BC21)+((BC10*BD10)/BC21)+((BC13*BD13)/BC21)+((BC14*BD14)/BC21)+((BC20*BD20)/BC21)+((BC19*BD19)/BC21)+((BC17*BD17)/BC21)+((BC16*BD16)/BC21)+((BC15*BD15)/BC21),0)</f>
        <v>9.245629968664601E-2</v>
      </c>
      <c r="BE21" s="619"/>
      <c r="BF21" s="604"/>
      <c r="BG21" s="604"/>
    </row>
    <row r="22" spans="1:60" s="602" customFormat="1" ht="30" customHeight="1">
      <c r="A22" s="583" t="s">
        <v>818</v>
      </c>
      <c r="B22" s="584" t="s">
        <v>819</v>
      </c>
      <c r="C22" s="585"/>
      <c r="D22" s="597"/>
      <c r="E22" s="585"/>
      <c r="F22" s="597"/>
      <c r="G22" s="585"/>
      <c r="H22" s="597"/>
      <c r="I22" s="585"/>
      <c r="J22" s="597"/>
      <c r="K22" s="585"/>
      <c r="L22" s="597"/>
      <c r="M22" s="585"/>
      <c r="N22" s="597"/>
      <c r="O22" s="585"/>
      <c r="P22" s="597"/>
      <c r="Q22" s="585"/>
      <c r="R22" s="597"/>
      <c r="S22" s="585"/>
      <c r="T22" s="597"/>
      <c r="U22" s="585"/>
      <c r="V22" s="597"/>
      <c r="W22" s="585"/>
      <c r="X22" s="597"/>
      <c r="Y22" s="585"/>
      <c r="Z22" s="597"/>
      <c r="AA22" s="585"/>
      <c r="AB22" s="597"/>
      <c r="AC22" s="585"/>
      <c r="AD22" s="597"/>
      <c r="AE22" s="585"/>
      <c r="AF22" s="597"/>
      <c r="AG22" s="585"/>
      <c r="AH22" s="597"/>
      <c r="AI22" s="585"/>
      <c r="AJ22" s="597"/>
      <c r="AK22" s="585"/>
      <c r="AL22" s="597"/>
      <c r="AM22" s="585"/>
      <c r="AN22" s="597"/>
      <c r="AO22" s="585"/>
      <c r="AP22" s="597"/>
      <c r="AQ22" s="585"/>
      <c r="AR22" s="597"/>
      <c r="AS22" s="585"/>
      <c r="AT22" s="597"/>
      <c r="AU22" s="585"/>
      <c r="AV22" s="597"/>
      <c r="AW22" s="585"/>
      <c r="AX22" s="597"/>
      <c r="AY22" s="585"/>
      <c r="AZ22" s="597"/>
      <c r="BA22" s="585"/>
      <c r="BB22" s="597"/>
      <c r="BC22" s="585"/>
      <c r="BD22" s="597"/>
      <c r="BF22" s="604"/>
      <c r="BG22" s="604"/>
    </row>
    <row r="23" spans="1:60" ht="22.5" customHeight="1">
      <c r="A23" s="589" t="s">
        <v>2</v>
      </c>
      <c r="B23" s="590" t="s">
        <v>820</v>
      </c>
      <c r="C23" s="591"/>
      <c r="D23" s="599"/>
      <c r="E23" s="591"/>
      <c r="F23" s="599"/>
      <c r="G23" s="591"/>
      <c r="H23" s="599"/>
      <c r="I23" s="591"/>
      <c r="J23" s="599"/>
      <c r="K23" s="591"/>
      <c r="L23" s="599"/>
      <c r="M23" s="591"/>
      <c r="N23" s="599"/>
      <c r="O23" s="591"/>
      <c r="P23" s="599"/>
      <c r="Q23" s="591"/>
      <c r="R23" s="599"/>
      <c r="S23" s="591"/>
      <c r="T23" s="599"/>
      <c r="U23" s="591"/>
      <c r="V23" s="599"/>
      <c r="W23" s="591"/>
      <c r="X23" s="599"/>
      <c r="Y23" s="591"/>
      <c r="Z23" s="599"/>
      <c r="AA23" s="591"/>
      <c r="AB23" s="599"/>
      <c r="AC23" s="591"/>
      <c r="AD23" s="599"/>
      <c r="AE23" s="591"/>
      <c r="AF23" s="599"/>
      <c r="AG23" s="591"/>
      <c r="AH23" s="599"/>
      <c r="AI23" s="591"/>
      <c r="AJ23" s="599"/>
      <c r="AK23" s="591"/>
      <c r="AL23" s="599"/>
      <c r="AM23" s="591"/>
      <c r="AN23" s="599"/>
      <c r="AO23" s="591"/>
      <c r="AP23" s="599"/>
      <c r="AQ23" s="591"/>
      <c r="AR23" s="599"/>
      <c r="AS23" s="591"/>
      <c r="AT23" s="599"/>
      <c r="AU23" s="591"/>
      <c r="AV23" s="599"/>
      <c r="AW23" s="591"/>
      <c r="AX23" s="599"/>
      <c r="AY23" s="591"/>
      <c r="AZ23" s="599"/>
      <c r="BA23" s="591"/>
      <c r="BB23" s="599"/>
      <c r="BC23" s="591"/>
      <c r="BD23" s="599"/>
      <c r="BF23" s="605"/>
      <c r="BG23" s="605"/>
    </row>
    <row r="24" spans="1:60" ht="20.25" customHeight="1">
      <c r="A24" s="589" t="s">
        <v>92</v>
      </c>
      <c r="B24" s="590" t="s">
        <v>821</v>
      </c>
      <c r="C24" s="621">
        <f>+E24+G24</f>
        <v>0</v>
      </c>
      <c r="D24" s="601">
        <f>IFERROR((((E24*F24)+(G24*H24))/C24),0)</f>
        <v>0</v>
      </c>
      <c r="E24" s="621">
        <f>+E25+E26+E27+E28+E29</f>
        <v>0</v>
      </c>
      <c r="F24" s="629">
        <f>IFERROR(((E25*F25)/E24)+((E26*F26)/E24)+((E27*F27)/E24)+((E28*F28)/E24)+((E29*F29)/E24),0)</f>
        <v>0</v>
      </c>
      <c r="G24" s="621">
        <f>+G25+G26+G27+G28+G29</f>
        <v>0</v>
      </c>
      <c r="H24" s="629">
        <f>IFERROR(((G25*H25)/G24)+((G26*H26)/G24)+((G27*H27)/G24)+((G28*H28)/G24)+((G29*H29)/G24),0)</f>
        <v>0</v>
      </c>
      <c r="I24" s="621">
        <f>+K24+M24</f>
        <v>0</v>
      </c>
      <c r="J24" s="601">
        <f>IFERROR((((K24*L24)+(M24*N24))/I24),0)</f>
        <v>0</v>
      </c>
      <c r="K24" s="621">
        <f>+K25+K26+K27+K28+K29</f>
        <v>0</v>
      </c>
      <c r="L24" s="629">
        <f>IFERROR(((K25*L25)/K24)+((K26*L26)/K24)+((K27*L27)/K24)+((K28*L28)/K24)+((K29*L29)/K24),0)</f>
        <v>0</v>
      </c>
      <c r="M24" s="621">
        <f>+M25+M26+M27+M28+M29</f>
        <v>0</v>
      </c>
      <c r="N24" s="629">
        <f>IFERROR(((M25*N25)/M24)+((M26*N26)/M24)+((M27*N27)/M24)+((M28*N28)/M24)+((M29*N29)/M24),0)</f>
        <v>0</v>
      </c>
      <c r="O24" s="621">
        <f>+Q24+S24</f>
        <v>0</v>
      </c>
      <c r="P24" s="601">
        <f>IFERROR((((Q24*R24)+(S24*T24))/O24),0)</f>
        <v>0</v>
      </c>
      <c r="Q24" s="621">
        <f>+Q25+Q26+Q27+Q28+Q29</f>
        <v>0</v>
      </c>
      <c r="R24" s="629">
        <f>IFERROR(((Q25*R25)/Q24)+((Q26*R26)/Q24)+((Q27*R27)/Q24)+((Q28*R28)/Q24)+((Q29*R29)/Q24),0)</f>
        <v>0</v>
      </c>
      <c r="S24" s="621">
        <f>+S25+S26+S27+S28+S29</f>
        <v>0</v>
      </c>
      <c r="T24" s="629">
        <f>IFERROR(((S25*T25)/S24)+((S26*T26)/S24)+((S27*T27)/S24)+((S28*T28)/S24)+((S29*T29)/S24),0)</f>
        <v>0</v>
      </c>
      <c r="U24" s="621">
        <f>+W24+Y24</f>
        <v>0</v>
      </c>
      <c r="V24" s="601">
        <f>IFERROR((((W24*X24)+(Y24*Z24))/U24),0)</f>
        <v>0</v>
      </c>
      <c r="W24" s="621">
        <f>+W25+W26+W27+W28+W29</f>
        <v>0</v>
      </c>
      <c r="X24" s="629">
        <f>IFERROR(((W25*X25)/W24)+((W26*X26)/W24)+((W27*X27)/W24)+((W28*X28)/W24)+((W29*X29)/W24),0)</f>
        <v>0</v>
      </c>
      <c r="Y24" s="621">
        <f>+Y25+Y26+Y27+Y28+Y29</f>
        <v>0</v>
      </c>
      <c r="Z24" s="629">
        <f>IFERROR(((Y25*Z25)/Y24)+((Y26*Z26)/Y24)+((Y27*Z27)/Y24)+((Y28*Z28)/Y24)+((Y29*Z29)/Y24),0)</f>
        <v>0</v>
      </c>
      <c r="AA24" s="621">
        <f>+AC24+AE24</f>
        <v>0</v>
      </c>
      <c r="AB24" s="601">
        <f>IFERROR((((AC24*AD24)+(AE24*AF24))/AA24),0)</f>
        <v>0</v>
      </c>
      <c r="AC24" s="621">
        <f>+AC25+AC26+AC27+AC28+AC29</f>
        <v>0</v>
      </c>
      <c r="AD24" s="629">
        <f>IFERROR(((AC25*AD25)/AC24)+((AC26*AD26)/AC24)+((AC27*AD27)/AC24)+((AC28*AD28)/AC24)+((AC29*AD29)/AC24),0)</f>
        <v>0</v>
      </c>
      <c r="AE24" s="621">
        <f>+AE25+AE26+AE27+AE28+AE29</f>
        <v>0</v>
      </c>
      <c r="AF24" s="629">
        <f>IFERROR(((AE25*AF25)/AE24)+((AE26*AF26)/AE24)+((AE27*AF27)/AE24)+((AE28*AF28)/AE24)+((AE29*AF29)/AE24),0)</f>
        <v>0</v>
      </c>
      <c r="AG24" s="621">
        <f>+AI24+AK24</f>
        <v>0</v>
      </c>
      <c r="AH24" s="601">
        <f>IFERROR((((AI24*AJ24)+(AK24*AL24))/AG24),0)</f>
        <v>0</v>
      </c>
      <c r="AI24" s="621">
        <f>+AI25+AI26+AI27+AI28+AI29</f>
        <v>0</v>
      </c>
      <c r="AJ24" s="629">
        <f>IFERROR(((AI25*AJ25)/AI24)+((AI26*AJ26)/AI24)+((AI27*AJ27)/AI24)+((AI28*AJ28)/AI24)+((AI29*AJ29)/AI24),0)</f>
        <v>0</v>
      </c>
      <c r="AK24" s="621">
        <f>+AK25+AK26+AK27+AK28+AK29</f>
        <v>0</v>
      </c>
      <c r="AL24" s="629">
        <f>IFERROR(((AK25*AL25)/AK24)+((AK26*AL26)/AK24)+((AK27*AL27)/AK24)+((AK28*AL28)/AK24)+((AK29*AL29)/AK24),0)</f>
        <v>0</v>
      </c>
      <c r="AM24" s="621">
        <f>+AO24+AQ24</f>
        <v>0</v>
      </c>
      <c r="AN24" s="601">
        <f>IFERROR((((AO24*AP24)+(AQ24*AR24))/AM24),0)</f>
        <v>0</v>
      </c>
      <c r="AO24" s="621">
        <f>+AO25+AO26+AO27+AO28+AO29</f>
        <v>0</v>
      </c>
      <c r="AP24" s="629">
        <f>IFERROR(((AO25*AP25)/AO24)+((AO26*AP26)/AO24)+((AO27*AP27)/AO24)+((AO28*AP28)/AO24)+((AO29*AP29)/AO24),0)</f>
        <v>0</v>
      </c>
      <c r="AQ24" s="621">
        <f>+AQ25+AQ26+AQ27+AQ28+AQ29</f>
        <v>0</v>
      </c>
      <c r="AR24" s="629">
        <f>IFERROR(((AQ25*AR25)/AQ24)+((AQ26*AR26)/AQ24)+((AQ27*AR27)/AQ24)+((AQ28*AR28)/AQ24)+((AQ29*AR29)/AQ24),0)</f>
        <v>0</v>
      </c>
      <c r="AS24" s="621">
        <f>+AU24+AW24</f>
        <v>0</v>
      </c>
      <c r="AT24" s="601">
        <f>IFERROR((((AU24*AV24)+(AW24*AX24))/AS24),0)</f>
        <v>0</v>
      </c>
      <c r="AU24" s="621">
        <f>+AU25+AU26+AU27+AU28+AU29</f>
        <v>0</v>
      </c>
      <c r="AV24" s="629">
        <f>IFERROR(((AU25*AV25)/AU24)+((AU26*AV26)/AU24)+((AU27*AV27)/AU24)+((AU28*AV28)/AU24)+((AU29*AV29)/AU24),0)</f>
        <v>0</v>
      </c>
      <c r="AW24" s="621">
        <f>+AW25+AW26+AW27+AW28+AW29</f>
        <v>0</v>
      </c>
      <c r="AX24" s="629">
        <f>IFERROR(((AW25*AX25)/AW24)+((AW26*AX26)/AW24)+((AW27*AX27)/AW24)+((AW28*AX28)/AW24)+((AW29*AX29)/AW24),0)</f>
        <v>0</v>
      </c>
      <c r="AY24" s="621">
        <f t="shared" ref="AY24:AY39" si="22">+C24+I24+O24+U24+AA24+AG24+AM24+AS24</f>
        <v>0</v>
      </c>
      <c r="AZ24" s="598">
        <f t="shared" ref="AZ24:AZ39" si="23">IFERROR(((C24*D24)/AY24)+((I24*J24)/AY24)+((O24*P24)/AY24)+((U24*V24)/AY24)+((AA24*AB24)/AY24)+((AG24*AH24)/AY24)+((AM24*AN24)/AY24)+((AS24*AT24)/AY24),0)</f>
        <v>0</v>
      </c>
      <c r="BA24" s="621">
        <f t="shared" ref="BA24:BA39" si="24">+E24+K24+Q24+W24+AC24+AI24+AO24+AU24</f>
        <v>0</v>
      </c>
      <c r="BB24" s="598">
        <f t="shared" ref="BB24:BB39" si="25">IFERROR(((E24*F24)/BA24)+((K24*L24)/BA24)+((Q24*R24)/BA24)+((W24*X24)/BA24)+((AC24*AD24)/BA24)+((AI24*AJ24)/BA24)+((AO24*AP24)/BA24)+((AU24*AV24)/BA24),0)</f>
        <v>0</v>
      </c>
      <c r="BC24" s="621">
        <f t="shared" ref="BC24:BC39" si="26">+G24+M24+S24+Y24+AE24+AK24+AQ24+AW24</f>
        <v>0</v>
      </c>
      <c r="BD24" s="598">
        <f t="shared" ref="BD24:BD39" si="27">IFERROR(((G24*H24)/BC24)+((M24*N24)/BC24)+((S24*T24)/BC24)+((Y24*Z24)/BC24)+((AE24*AF24)/BC24)+((AK24*AL24)/BC24)+((AQ24*AR24)/BC24)+((AW24*AX24)/BC24),0)</f>
        <v>0</v>
      </c>
      <c r="BE24" s="615"/>
      <c r="BF24" s="605"/>
      <c r="BG24" s="605"/>
    </row>
    <row r="25" spans="1:60" ht="20.25" customHeight="1">
      <c r="A25" s="589" t="s">
        <v>822</v>
      </c>
      <c r="B25" s="590" t="s">
        <v>823</v>
      </c>
      <c r="C25" s="621">
        <f t="shared" ref="C25:C32" si="28">+E25+G25</f>
        <v>0</v>
      </c>
      <c r="D25" s="601">
        <f t="shared" ref="D25:D32" si="29">IFERROR((((E25*F25)+(G25*H25))/C25),0)</f>
        <v>0</v>
      </c>
      <c r="E25" s="614"/>
      <c r="F25" s="628"/>
      <c r="G25" s="614"/>
      <c r="H25" s="628"/>
      <c r="I25" s="621">
        <f t="shared" ref="I25:I32" si="30">+K25+M25</f>
        <v>0</v>
      </c>
      <c r="J25" s="601">
        <f t="shared" ref="J25:J32" si="31">IFERROR((((K25*L25)+(M25*N25))/I25),0)</f>
        <v>0</v>
      </c>
      <c r="K25" s="614"/>
      <c r="L25" s="628"/>
      <c r="M25" s="614"/>
      <c r="N25" s="628"/>
      <c r="O25" s="621">
        <f t="shared" ref="O25:O32" si="32">+Q25+S25</f>
        <v>0</v>
      </c>
      <c r="P25" s="601">
        <f t="shared" ref="P25:P32" si="33">IFERROR((((Q25*R25)+(S25*T25))/O25),0)</f>
        <v>0</v>
      </c>
      <c r="Q25" s="614"/>
      <c r="R25" s="628"/>
      <c r="S25" s="614"/>
      <c r="T25" s="628"/>
      <c r="U25" s="621">
        <f t="shared" ref="U25:U32" si="34">+W25+Y25</f>
        <v>0</v>
      </c>
      <c r="V25" s="601">
        <f t="shared" ref="V25:V32" si="35">IFERROR((((W25*X25)+(Y25*Z25))/U25),0)</f>
        <v>0</v>
      </c>
      <c r="W25" s="614"/>
      <c r="X25" s="628"/>
      <c r="Y25" s="614"/>
      <c r="Z25" s="628"/>
      <c r="AA25" s="621">
        <f t="shared" ref="AA25:AA32" si="36">+AC25+AE25</f>
        <v>0</v>
      </c>
      <c r="AB25" s="601">
        <f t="shared" ref="AB25:AB32" si="37">IFERROR((((AC25*AD25)+(AE25*AF25))/AA25),0)</f>
        <v>0</v>
      </c>
      <c r="AC25" s="614"/>
      <c r="AD25" s="628"/>
      <c r="AE25" s="614"/>
      <c r="AF25" s="628"/>
      <c r="AG25" s="621">
        <f t="shared" ref="AG25:AG32" si="38">+AI25+AK25</f>
        <v>0</v>
      </c>
      <c r="AH25" s="601">
        <f t="shared" ref="AH25:AH32" si="39">IFERROR((((AI25*AJ25)+(AK25*AL25))/AG25),0)</f>
        <v>0</v>
      </c>
      <c r="AI25" s="614"/>
      <c r="AJ25" s="628"/>
      <c r="AK25" s="614"/>
      <c r="AL25" s="628"/>
      <c r="AM25" s="621">
        <f t="shared" ref="AM25:AM32" si="40">+AO25+AQ25</f>
        <v>0</v>
      </c>
      <c r="AN25" s="601">
        <f t="shared" ref="AN25:AN32" si="41">IFERROR((((AO25*AP25)+(AQ25*AR25))/AM25),0)</f>
        <v>0</v>
      </c>
      <c r="AO25" s="614"/>
      <c r="AP25" s="628"/>
      <c r="AQ25" s="614"/>
      <c r="AR25" s="628"/>
      <c r="AS25" s="621">
        <f t="shared" ref="AS25:AS32" si="42">+AU25+AW25</f>
        <v>0</v>
      </c>
      <c r="AT25" s="601">
        <f t="shared" ref="AT25:AT32" si="43">IFERROR((((AU25*AV25)+(AW25*AX25))/AS25),0)</f>
        <v>0</v>
      </c>
      <c r="AU25" s="614"/>
      <c r="AV25" s="628"/>
      <c r="AW25" s="614"/>
      <c r="AX25" s="628"/>
      <c r="AY25" s="621">
        <f t="shared" si="22"/>
        <v>0</v>
      </c>
      <c r="AZ25" s="598">
        <f t="shared" si="23"/>
        <v>0</v>
      </c>
      <c r="BA25" s="621">
        <f t="shared" si="24"/>
        <v>0</v>
      </c>
      <c r="BB25" s="598">
        <f t="shared" si="25"/>
        <v>0</v>
      </c>
      <c r="BC25" s="621">
        <f t="shared" si="26"/>
        <v>0</v>
      </c>
      <c r="BD25" s="598">
        <f t="shared" si="27"/>
        <v>0</v>
      </c>
      <c r="BE25" s="615"/>
      <c r="BF25" s="605"/>
      <c r="BG25" s="605"/>
    </row>
    <row r="26" spans="1:60" ht="20.25" customHeight="1">
      <c r="A26" s="589" t="s">
        <v>824</v>
      </c>
      <c r="B26" s="590" t="s">
        <v>825</v>
      </c>
      <c r="C26" s="621">
        <f t="shared" si="28"/>
        <v>0</v>
      </c>
      <c r="D26" s="601">
        <f t="shared" si="29"/>
        <v>0</v>
      </c>
      <c r="E26" s="614"/>
      <c r="F26" s="628"/>
      <c r="G26" s="614"/>
      <c r="H26" s="628"/>
      <c r="I26" s="621">
        <f t="shared" si="30"/>
        <v>0</v>
      </c>
      <c r="J26" s="601">
        <f t="shared" si="31"/>
        <v>0</v>
      </c>
      <c r="K26" s="614"/>
      <c r="L26" s="628"/>
      <c r="M26" s="614"/>
      <c r="N26" s="628"/>
      <c r="O26" s="621">
        <f t="shared" si="32"/>
        <v>0</v>
      </c>
      <c r="P26" s="601">
        <f t="shared" si="33"/>
        <v>0</v>
      </c>
      <c r="Q26" s="614"/>
      <c r="R26" s="628"/>
      <c r="S26" s="614"/>
      <c r="T26" s="628"/>
      <c r="U26" s="621">
        <f t="shared" si="34"/>
        <v>0</v>
      </c>
      <c r="V26" s="601">
        <f t="shared" si="35"/>
        <v>0</v>
      </c>
      <c r="W26" s="614"/>
      <c r="X26" s="628"/>
      <c r="Y26" s="614"/>
      <c r="Z26" s="628"/>
      <c r="AA26" s="621">
        <f t="shared" si="36"/>
        <v>0</v>
      </c>
      <c r="AB26" s="601">
        <f t="shared" si="37"/>
        <v>0</v>
      </c>
      <c r="AC26" s="614"/>
      <c r="AD26" s="628"/>
      <c r="AE26" s="614"/>
      <c r="AF26" s="628"/>
      <c r="AG26" s="621">
        <f t="shared" si="38"/>
        <v>0</v>
      </c>
      <c r="AH26" s="601">
        <f t="shared" si="39"/>
        <v>0</v>
      </c>
      <c r="AI26" s="614"/>
      <c r="AJ26" s="628"/>
      <c r="AK26" s="614"/>
      <c r="AL26" s="628"/>
      <c r="AM26" s="621">
        <f t="shared" si="40"/>
        <v>0</v>
      </c>
      <c r="AN26" s="601">
        <f t="shared" si="41"/>
        <v>0</v>
      </c>
      <c r="AO26" s="614"/>
      <c r="AP26" s="628"/>
      <c r="AQ26" s="614"/>
      <c r="AR26" s="628"/>
      <c r="AS26" s="621">
        <f t="shared" si="42"/>
        <v>0</v>
      </c>
      <c r="AT26" s="601">
        <f t="shared" si="43"/>
        <v>0</v>
      </c>
      <c r="AU26" s="614"/>
      <c r="AV26" s="628"/>
      <c r="AW26" s="614"/>
      <c r="AX26" s="628"/>
      <c r="AY26" s="621">
        <f t="shared" si="22"/>
        <v>0</v>
      </c>
      <c r="AZ26" s="598">
        <f t="shared" si="23"/>
        <v>0</v>
      </c>
      <c r="BA26" s="621">
        <f t="shared" si="24"/>
        <v>0</v>
      </c>
      <c r="BB26" s="598">
        <f t="shared" si="25"/>
        <v>0</v>
      </c>
      <c r="BC26" s="621">
        <f t="shared" si="26"/>
        <v>0</v>
      </c>
      <c r="BD26" s="598">
        <f t="shared" si="27"/>
        <v>0</v>
      </c>
      <c r="BE26" s="615"/>
      <c r="BF26" s="605"/>
      <c r="BG26" s="605"/>
    </row>
    <row r="27" spans="1:60" ht="36.75" customHeight="1">
      <c r="A27" s="589" t="s">
        <v>856</v>
      </c>
      <c r="B27" s="590" t="s">
        <v>829</v>
      </c>
      <c r="C27" s="621">
        <f t="shared" si="28"/>
        <v>0</v>
      </c>
      <c r="D27" s="601">
        <f t="shared" si="29"/>
        <v>0</v>
      </c>
      <c r="E27" s="614"/>
      <c r="F27" s="628"/>
      <c r="G27" s="614"/>
      <c r="H27" s="628"/>
      <c r="I27" s="621">
        <f t="shared" si="30"/>
        <v>0</v>
      </c>
      <c r="J27" s="601">
        <f t="shared" si="31"/>
        <v>0</v>
      </c>
      <c r="K27" s="614"/>
      <c r="L27" s="628"/>
      <c r="M27" s="614"/>
      <c r="N27" s="628"/>
      <c r="O27" s="621">
        <f t="shared" si="32"/>
        <v>0</v>
      </c>
      <c r="P27" s="601">
        <f t="shared" si="33"/>
        <v>0</v>
      </c>
      <c r="Q27" s="614"/>
      <c r="R27" s="628"/>
      <c r="S27" s="614"/>
      <c r="T27" s="628"/>
      <c r="U27" s="621">
        <f t="shared" si="34"/>
        <v>0</v>
      </c>
      <c r="V27" s="601">
        <f t="shared" si="35"/>
        <v>0</v>
      </c>
      <c r="W27" s="614"/>
      <c r="X27" s="628"/>
      <c r="Y27" s="614"/>
      <c r="Z27" s="628"/>
      <c r="AA27" s="621">
        <f t="shared" si="36"/>
        <v>0</v>
      </c>
      <c r="AB27" s="601">
        <f t="shared" si="37"/>
        <v>0</v>
      </c>
      <c r="AC27" s="614"/>
      <c r="AD27" s="628"/>
      <c r="AE27" s="614"/>
      <c r="AF27" s="628"/>
      <c r="AG27" s="621">
        <f t="shared" si="38"/>
        <v>0</v>
      </c>
      <c r="AH27" s="601">
        <f t="shared" si="39"/>
        <v>0</v>
      </c>
      <c r="AI27" s="614"/>
      <c r="AJ27" s="628"/>
      <c r="AK27" s="614"/>
      <c r="AL27" s="628"/>
      <c r="AM27" s="621">
        <f t="shared" si="40"/>
        <v>0</v>
      </c>
      <c r="AN27" s="601">
        <f t="shared" si="41"/>
        <v>0</v>
      </c>
      <c r="AO27" s="614"/>
      <c r="AP27" s="628"/>
      <c r="AQ27" s="614"/>
      <c r="AR27" s="628"/>
      <c r="AS27" s="621">
        <f t="shared" si="42"/>
        <v>0</v>
      </c>
      <c r="AT27" s="601">
        <f t="shared" si="43"/>
        <v>0</v>
      </c>
      <c r="AU27" s="614"/>
      <c r="AV27" s="628"/>
      <c r="AW27" s="614"/>
      <c r="AX27" s="628"/>
      <c r="AY27" s="621">
        <f t="shared" si="22"/>
        <v>0</v>
      </c>
      <c r="AZ27" s="598">
        <f t="shared" si="23"/>
        <v>0</v>
      </c>
      <c r="BA27" s="621">
        <f t="shared" si="24"/>
        <v>0</v>
      </c>
      <c r="BB27" s="598">
        <f t="shared" si="25"/>
        <v>0</v>
      </c>
      <c r="BC27" s="621">
        <f t="shared" si="26"/>
        <v>0</v>
      </c>
      <c r="BD27" s="598">
        <f t="shared" si="27"/>
        <v>0</v>
      </c>
      <c r="BE27" s="615"/>
      <c r="BF27" s="605"/>
      <c r="BG27" s="605"/>
    </row>
    <row r="28" spans="1:60" ht="36.75" customHeight="1">
      <c r="A28" s="589" t="s">
        <v>857</v>
      </c>
      <c r="B28" s="590" t="s">
        <v>830</v>
      </c>
      <c r="C28" s="621">
        <f t="shared" si="28"/>
        <v>0</v>
      </c>
      <c r="D28" s="601">
        <f t="shared" si="29"/>
        <v>0</v>
      </c>
      <c r="E28" s="614"/>
      <c r="F28" s="628"/>
      <c r="G28" s="614"/>
      <c r="H28" s="628"/>
      <c r="I28" s="621">
        <f t="shared" si="30"/>
        <v>0</v>
      </c>
      <c r="J28" s="601">
        <f t="shared" si="31"/>
        <v>0</v>
      </c>
      <c r="K28" s="614"/>
      <c r="L28" s="628"/>
      <c r="M28" s="614"/>
      <c r="N28" s="628"/>
      <c r="O28" s="621">
        <f t="shared" si="32"/>
        <v>0</v>
      </c>
      <c r="P28" s="601">
        <f t="shared" si="33"/>
        <v>0</v>
      </c>
      <c r="Q28" s="614"/>
      <c r="R28" s="628"/>
      <c r="S28" s="614"/>
      <c r="T28" s="628"/>
      <c r="U28" s="621">
        <f t="shared" si="34"/>
        <v>0</v>
      </c>
      <c r="V28" s="601">
        <f t="shared" si="35"/>
        <v>0</v>
      </c>
      <c r="W28" s="614"/>
      <c r="X28" s="628"/>
      <c r="Y28" s="614"/>
      <c r="Z28" s="628"/>
      <c r="AA28" s="621">
        <f t="shared" si="36"/>
        <v>0</v>
      </c>
      <c r="AB28" s="601">
        <f t="shared" si="37"/>
        <v>0</v>
      </c>
      <c r="AC28" s="614"/>
      <c r="AD28" s="628"/>
      <c r="AE28" s="614"/>
      <c r="AF28" s="628"/>
      <c r="AG28" s="621">
        <f t="shared" si="38"/>
        <v>0</v>
      </c>
      <c r="AH28" s="601">
        <f t="shared" si="39"/>
        <v>0</v>
      </c>
      <c r="AI28" s="614"/>
      <c r="AJ28" s="628"/>
      <c r="AK28" s="614"/>
      <c r="AL28" s="628"/>
      <c r="AM28" s="621">
        <f t="shared" si="40"/>
        <v>0</v>
      </c>
      <c r="AN28" s="601">
        <f t="shared" si="41"/>
        <v>0</v>
      </c>
      <c r="AO28" s="614"/>
      <c r="AP28" s="628"/>
      <c r="AQ28" s="614"/>
      <c r="AR28" s="628"/>
      <c r="AS28" s="621">
        <f t="shared" si="42"/>
        <v>0</v>
      </c>
      <c r="AT28" s="601">
        <f t="shared" si="43"/>
        <v>0</v>
      </c>
      <c r="AU28" s="614"/>
      <c r="AV28" s="628"/>
      <c r="AW28" s="614"/>
      <c r="AX28" s="628"/>
      <c r="AY28" s="621">
        <f t="shared" si="22"/>
        <v>0</v>
      </c>
      <c r="AZ28" s="598">
        <f t="shared" si="23"/>
        <v>0</v>
      </c>
      <c r="BA28" s="621">
        <f t="shared" si="24"/>
        <v>0</v>
      </c>
      <c r="BB28" s="598">
        <f t="shared" si="25"/>
        <v>0</v>
      </c>
      <c r="BC28" s="621">
        <f t="shared" si="26"/>
        <v>0</v>
      </c>
      <c r="BD28" s="598">
        <f t="shared" si="27"/>
        <v>0</v>
      </c>
      <c r="BE28" s="615"/>
      <c r="BF28" s="605"/>
      <c r="BG28" s="605"/>
    </row>
    <row r="29" spans="1:60" ht="20.25" customHeight="1">
      <c r="A29" s="589" t="s">
        <v>858</v>
      </c>
      <c r="B29" s="590" t="s">
        <v>645</v>
      </c>
      <c r="C29" s="621">
        <f t="shared" si="28"/>
        <v>0</v>
      </c>
      <c r="D29" s="601">
        <f t="shared" si="29"/>
        <v>0</v>
      </c>
      <c r="E29" s="614"/>
      <c r="F29" s="628"/>
      <c r="G29" s="614"/>
      <c r="H29" s="628"/>
      <c r="I29" s="621">
        <f t="shared" si="30"/>
        <v>0</v>
      </c>
      <c r="J29" s="601">
        <f t="shared" si="31"/>
        <v>0</v>
      </c>
      <c r="K29" s="614"/>
      <c r="L29" s="628"/>
      <c r="M29" s="614"/>
      <c r="N29" s="628"/>
      <c r="O29" s="621">
        <f t="shared" si="32"/>
        <v>0</v>
      </c>
      <c r="P29" s="601">
        <f t="shared" si="33"/>
        <v>0</v>
      </c>
      <c r="Q29" s="614"/>
      <c r="R29" s="628"/>
      <c r="S29" s="614"/>
      <c r="T29" s="628"/>
      <c r="U29" s="621">
        <f t="shared" si="34"/>
        <v>0</v>
      </c>
      <c r="V29" s="601">
        <f t="shared" si="35"/>
        <v>0</v>
      </c>
      <c r="W29" s="614"/>
      <c r="X29" s="628"/>
      <c r="Y29" s="614"/>
      <c r="Z29" s="628"/>
      <c r="AA29" s="621">
        <f t="shared" si="36"/>
        <v>0</v>
      </c>
      <c r="AB29" s="601">
        <f t="shared" si="37"/>
        <v>0</v>
      </c>
      <c r="AC29" s="614"/>
      <c r="AD29" s="628"/>
      <c r="AE29" s="614"/>
      <c r="AF29" s="628"/>
      <c r="AG29" s="621">
        <f t="shared" si="38"/>
        <v>0</v>
      </c>
      <c r="AH29" s="601">
        <f t="shared" si="39"/>
        <v>0</v>
      </c>
      <c r="AI29" s="614"/>
      <c r="AJ29" s="628"/>
      <c r="AK29" s="614"/>
      <c r="AL29" s="628"/>
      <c r="AM29" s="621">
        <f t="shared" si="40"/>
        <v>0</v>
      </c>
      <c r="AN29" s="601">
        <f t="shared" si="41"/>
        <v>0</v>
      </c>
      <c r="AO29" s="614"/>
      <c r="AP29" s="628"/>
      <c r="AQ29" s="614"/>
      <c r="AR29" s="628"/>
      <c r="AS29" s="621">
        <f t="shared" si="42"/>
        <v>0</v>
      </c>
      <c r="AT29" s="601">
        <f t="shared" si="43"/>
        <v>0</v>
      </c>
      <c r="AU29" s="614"/>
      <c r="AV29" s="628"/>
      <c r="AW29" s="614"/>
      <c r="AX29" s="628"/>
      <c r="AY29" s="621">
        <f t="shared" si="22"/>
        <v>0</v>
      </c>
      <c r="AZ29" s="598">
        <f t="shared" si="23"/>
        <v>0</v>
      </c>
      <c r="BA29" s="621">
        <f t="shared" si="24"/>
        <v>0</v>
      </c>
      <c r="BB29" s="598">
        <f t="shared" si="25"/>
        <v>0</v>
      </c>
      <c r="BC29" s="621">
        <f t="shared" si="26"/>
        <v>0</v>
      </c>
      <c r="BD29" s="598">
        <f t="shared" si="27"/>
        <v>0</v>
      </c>
      <c r="BE29" s="615"/>
      <c r="BF29" s="605"/>
      <c r="BG29" s="605"/>
    </row>
    <row r="30" spans="1:60" ht="20.25" customHeight="1">
      <c r="A30" s="589" t="s">
        <v>93</v>
      </c>
      <c r="B30" s="590" t="s">
        <v>402</v>
      </c>
      <c r="C30" s="621">
        <f t="shared" si="28"/>
        <v>461.40706758999596</v>
      </c>
      <c r="D30" s="601">
        <f t="shared" si="29"/>
        <v>0.14000000000000001</v>
      </c>
      <c r="E30" s="621">
        <f>+E31+E32</f>
        <v>461.40706758999596</v>
      </c>
      <c r="F30" s="629">
        <f>IFERROR(((E31*F31)/E30)+((E32*F32)/E30),0)</f>
        <v>0.14000000000000001</v>
      </c>
      <c r="G30" s="621">
        <f>+G31+G32</f>
        <v>0</v>
      </c>
      <c r="H30" s="629">
        <f>IFERROR(((G31*H31)/G30)+((G32*H32)/G30),0)</f>
        <v>0</v>
      </c>
      <c r="I30" s="621">
        <f t="shared" si="30"/>
        <v>740981</v>
      </c>
      <c r="J30" s="601">
        <f t="shared" si="31"/>
        <v>0.14000000000000001</v>
      </c>
      <c r="K30" s="621">
        <f>+K31+K32</f>
        <v>740981</v>
      </c>
      <c r="L30" s="629">
        <f>IFERROR(((K31*L31)/K30)+((K32*L32)/K30),0)</f>
        <v>0.14000000000000001</v>
      </c>
      <c r="M30" s="621">
        <f>+M31+M32</f>
        <v>0</v>
      </c>
      <c r="N30" s="629">
        <f>IFERROR(((M31*N31)/M30)+((M32*N32)/M30),0)</f>
        <v>0</v>
      </c>
      <c r="O30" s="621">
        <f t="shared" si="32"/>
        <v>3927685</v>
      </c>
      <c r="P30" s="601">
        <f t="shared" si="33"/>
        <v>0.14000000000000001</v>
      </c>
      <c r="Q30" s="621">
        <f>+Q31+Q32</f>
        <v>3927685</v>
      </c>
      <c r="R30" s="629">
        <f>IFERROR(((Q31*R31)/Q30)+((Q32*R32)/Q30),0)</f>
        <v>0.14000000000000001</v>
      </c>
      <c r="S30" s="621">
        <f>+S31+S32</f>
        <v>0</v>
      </c>
      <c r="T30" s="629">
        <f>IFERROR(((S31*T31)/S30)+((S32*T32)/S30),0)</f>
        <v>0</v>
      </c>
      <c r="U30" s="621">
        <f t="shared" si="34"/>
        <v>11477714</v>
      </c>
      <c r="V30" s="601">
        <f t="shared" si="35"/>
        <v>0.14000000000000001</v>
      </c>
      <c r="W30" s="621">
        <f>+W31+W32</f>
        <v>11477714</v>
      </c>
      <c r="X30" s="629">
        <f>IFERROR(((W31*X31)/W30)+((W32*X32)/W30),0)</f>
        <v>0.14000000000000001</v>
      </c>
      <c r="Y30" s="621">
        <f>+Y31+Y32</f>
        <v>0</v>
      </c>
      <c r="Z30" s="629">
        <f>IFERROR(((Y31*Z31)/Y30)+((Y32*Z32)/Y30),0)</f>
        <v>0</v>
      </c>
      <c r="AA30" s="621">
        <f t="shared" si="36"/>
        <v>23795329</v>
      </c>
      <c r="AB30" s="601">
        <f t="shared" si="37"/>
        <v>0.14000000000000001</v>
      </c>
      <c r="AC30" s="621">
        <f>+AC31+AC32</f>
        <v>23795329</v>
      </c>
      <c r="AD30" s="629">
        <f>IFERROR(((AC31*AD31)/AC30)+((AC32*AD32)/AC30),0)</f>
        <v>0.14000000000000001</v>
      </c>
      <c r="AE30" s="621">
        <f>+AE31+AE32</f>
        <v>0</v>
      </c>
      <c r="AF30" s="629">
        <f>IFERROR(((AE31*AF31)/AE30)+((AE32*AF32)/AE30),0)</f>
        <v>0</v>
      </c>
      <c r="AG30" s="621">
        <f t="shared" si="38"/>
        <v>62571613</v>
      </c>
      <c r="AH30" s="601">
        <f t="shared" si="39"/>
        <v>0.14000000000000001</v>
      </c>
      <c r="AI30" s="621">
        <f>+AI31+AI32</f>
        <v>62571613</v>
      </c>
      <c r="AJ30" s="629">
        <f>IFERROR(((AI31*AJ31)/AI30)+((AI32*AJ32)/AI30),0)</f>
        <v>0.14000000000000001</v>
      </c>
      <c r="AK30" s="621">
        <f>+AK31+AK32</f>
        <v>0</v>
      </c>
      <c r="AL30" s="629">
        <f>IFERROR(((AK31*AL31)/AK30)+((AK32*AL32)/AK30),0)</f>
        <v>0</v>
      </c>
      <c r="AM30" s="621">
        <f t="shared" si="40"/>
        <v>141214166</v>
      </c>
      <c r="AN30" s="601">
        <f t="shared" si="41"/>
        <v>0.14000000000000001</v>
      </c>
      <c r="AO30" s="621">
        <f>+AO31+AO32</f>
        <v>141214166</v>
      </c>
      <c r="AP30" s="629">
        <f>IFERROR(((AO31*AP31)/AO30)+((AO32*AP32)/AO30),0)</f>
        <v>0.14000000000000001</v>
      </c>
      <c r="AQ30" s="621">
        <f>+AQ31+AQ32</f>
        <v>0</v>
      </c>
      <c r="AR30" s="629">
        <f>IFERROR(((AQ31*AR31)/AQ30)+((AQ32*AR32)/AQ30),0)</f>
        <v>0</v>
      </c>
      <c r="AS30" s="621">
        <f t="shared" si="42"/>
        <v>2257664023</v>
      </c>
      <c r="AT30" s="601">
        <f t="shared" si="43"/>
        <v>0.14000000000000001</v>
      </c>
      <c r="AU30" s="621">
        <f>+AU31+AU32</f>
        <v>2257664023</v>
      </c>
      <c r="AV30" s="629">
        <f>IFERROR(((AU31*AV31)/AU30)+((AU32*AV32)/AU30),0)</f>
        <v>0.14000000000000001</v>
      </c>
      <c r="AW30" s="621">
        <f>+AW31+AW32</f>
        <v>0</v>
      </c>
      <c r="AX30" s="629">
        <f>IFERROR(((AW31*AX31)/AW30)+((AW32*AX32)/AW30),0)</f>
        <v>0</v>
      </c>
      <c r="AY30" s="621">
        <f>+C30+I30+O30+U30+AA30+AG30+AM30+AS30</f>
        <v>2501391972.4070678</v>
      </c>
      <c r="AZ30" s="598">
        <f>IFERROR(((C30*D30)/AY30)+((I30*J30)/AY30)+((O30*P30)/AY30)+((U30*V30)/AY30)+((AA30*AB30)/AY30)+((AG30*AH30)/AY30)+((AM30*AN30)/AY30)+((AS30*AT30)/AY30),0)</f>
        <v>0.14000000000000001</v>
      </c>
      <c r="BA30" s="621">
        <f>+E30+K30+Q30+W30+AC30+AI30+AO30+AU30</f>
        <v>2501391972.4070678</v>
      </c>
      <c r="BB30" s="598">
        <f>IFERROR(((E30*F30)/BA30)+((K30*L30)/BA30)+((Q30*R30)/BA30)+((W30*X30)/BA30)+((AC30*AD30)/BA30)+((AI30*AJ30)/BA30)+((AO30*AP30)/BA30)+((AU30*AV30)/BA30),0)</f>
        <v>0.14000000000000001</v>
      </c>
      <c r="BC30" s="621">
        <f>+G30+M30+S30+Y30+AE30+AK30+AQ30+AW30</f>
        <v>0</v>
      </c>
      <c r="BD30" s="598">
        <f>IFERROR(((G30*H30)/BC30)+((M30*N30)/BC30)+((S30*T30)/BC30)+((Y30*Z30)/BC30)+((AE30*AF30)/BC30)+((AK30*AL30)/BC30)+((AQ30*AR30)/BC30)+((AW30*AX30)/BC30),0)</f>
        <v>0</v>
      </c>
      <c r="BE30" s="615"/>
      <c r="BF30" s="605"/>
      <c r="BG30" s="605"/>
      <c r="BH30" s="616"/>
    </row>
    <row r="31" spans="1:60" ht="20.25" customHeight="1">
      <c r="A31" s="589" t="s">
        <v>826</v>
      </c>
      <c r="B31" s="590" t="s">
        <v>827</v>
      </c>
      <c r="C31" s="621">
        <f t="shared" si="28"/>
        <v>0</v>
      </c>
      <c r="D31" s="601">
        <f t="shared" si="29"/>
        <v>0</v>
      </c>
      <c r="E31" s="614"/>
      <c r="F31" s="628"/>
      <c r="G31" s="614"/>
      <c r="H31" s="628"/>
      <c r="I31" s="621">
        <f t="shared" si="30"/>
        <v>0</v>
      </c>
      <c r="J31" s="601">
        <f t="shared" si="31"/>
        <v>0</v>
      </c>
      <c r="K31" s="614"/>
      <c r="L31" s="628"/>
      <c r="M31" s="614"/>
      <c r="N31" s="628"/>
      <c r="O31" s="621">
        <f t="shared" si="32"/>
        <v>0</v>
      </c>
      <c r="P31" s="601">
        <f t="shared" si="33"/>
        <v>0</v>
      </c>
      <c r="Q31" s="614"/>
      <c r="R31" s="628"/>
      <c r="S31" s="614"/>
      <c r="T31" s="628"/>
      <c r="U31" s="621">
        <f t="shared" si="34"/>
        <v>0</v>
      </c>
      <c r="V31" s="601">
        <f t="shared" si="35"/>
        <v>0</v>
      </c>
      <c r="W31" s="614"/>
      <c r="X31" s="628"/>
      <c r="Y31" s="614"/>
      <c r="Z31" s="628"/>
      <c r="AA31" s="621">
        <f t="shared" si="36"/>
        <v>0</v>
      </c>
      <c r="AB31" s="601">
        <f t="shared" si="37"/>
        <v>0</v>
      </c>
      <c r="AC31" s="614"/>
      <c r="AD31" s="628"/>
      <c r="AE31" s="614"/>
      <c r="AF31" s="628"/>
      <c r="AG31" s="621">
        <f t="shared" si="38"/>
        <v>0</v>
      </c>
      <c r="AH31" s="601">
        <f t="shared" si="39"/>
        <v>0</v>
      </c>
      <c r="AI31" s="614"/>
      <c r="AJ31" s="628"/>
      <c r="AK31" s="614"/>
      <c r="AL31" s="628"/>
      <c r="AM31" s="621">
        <f t="shared" si="40"/>
        <v>0</v>
      </c>
      <c r="AN31" s="601">
        <f t="shared" si="41"/>
        <v>0</v>
      </c>
      <c r="AO31" s="614"/>
      <c r="AP31" s="628"/>
      <c r="AQ31" s="614"/>
      <c r="AR31" s="628"/>
      <c r="AS31" s="621">
        <f t="shared" si="42"/>
        <v>0</v>
      </c>
      <c r="AT31" s="601">
        <f t="shared" si="43"/>
        <v>0</v>
      </c>
      <c r="AU31" s="614"/>
      <c r="AV31" s="628"/>
      <c r="AW31" s="614"/>
      <c r="AX31" s="628"/>
      <c r="AY31" s="621">
        <f>+C31+I31+O31+U31+AA31+AG31+AM31+AS31</f>
        <v>0</v>
      </c>
      <c r="AZ31" s="598">
        <f>IFERROR(((C31*D31)/AY31)+((I31*J31)/AY31)+((O31*P31)/AY31)+((U31*V31)/AY31)+((AA31*AB31)/AY31)+((AG31*AH31)/AY31)+((AM31*AN31)/AY31)+((AS31*AT31)/AY31),0)</f>
        <v>0</v>
      </c>
      <c r="BA31" s="621">
        <f>+E31+K31+Q31+W31+AC31+AI31+AO31+AU31</f>
        <v>0</v>
      </c>
      <c r="BB31" s="598">
        <f>IFERROR(((E31*F31)/BA31)+((K31*L31)/BA31)+((Q31*R31)/BA31)+((W31*X31)/BA31)+((AC31*AD31)/BA31)+((AI31*AJ31)/BA31)+((AO31*AP31)/BA31)+((AU31*AV31)/BA31),0)</f>
        <v>0</v>
      </c>
      <c r="BC31" s="621">
        <f>+G31+M31+S31+Y31+AE31+AK31+AQ31+AW31</f>
        <v>0</v>
      </c>
      <c r="BD31" s="598">
        <f>IFERROR(((G31*H31)/BC31)+((M31*N31)/BC31)+((S31*T31)/BC31)+((Y31*Z31)/BC31)+((AE31*AF31)/BC31)+((AK31*AL31)/BC31)+((AQ31*AR31)/BC31)+((AW31*AX31)/BC31),0)</f>
        <v>0</v>
      </c>
      <c r="BE31" s="615"/>
      <c r="BF31" s="605"/>
      <c r="BG31" s="605"/>
      <c r="BH31" s="616"/>
    </row>
    <row r="32" spans="1:60" ht="20.25" customHeight="1">
      <c r="A32" s="589" t="s">
        <v>841</v>
      </c>
      <c r="B32" s="590" t="s">
        <v>828</v>
      </c>
      <c r="C32" s="621">
        <f t="shared" si="28"/>
        <v>461.40706758999596</v>
      </c>
      <c r="D32" s="601">
        <f t="shared" si="29"/>
        <v>0.14000000000000001</v>
      </c>
      <c r="E32" s="614">
        <v>461.40706758999596</v>
      </c>
      <c r="F32" s="628">
        <v>0.14000000000000001</v>
      </c>
      <c r="G32" s="614">
        <v>0</v>
      </c>
      <c r="H32" s="628">
        <v>0</v>
      </c>
      <c r="I32" s="621">
        <f t="shared" si="30"/>
        <v>740981</v>
      </c>
      <c r="J32" s="601">
        <f t="shared" si="31"/>
        <v>0.14000000000000001</v>
      </c>
      <c r="K32" s="614">
        <v>740981</v>
      </c>
      <c r="L32" s="628">
        <v>0.14000000000000001</v>
      </c>
      <c r="M32" s="614">
        <v>0</v>
      </c>
      <c r="N32" s="628">
        <v>0</v>
      </c>
      <c r="O32" s="621">
        <f t="shared" si="32"/>
        <v>3927685</v>
      </c>
      <c r="P32" s="601">
        <f t="shared" si="33"/>
        <v>0.14000000000000001</v>
      </c>
      <c r="Q32" s="614">
        <v>3927685</v>
      </c>
      <c r="R32" s="628">
        <v>0.14000000000000001</v>
      </c>
      <c r="S32" s="614">
        <v>0</v>
      </c>
      <c r="T32" s="628">
        <v>0</v>
      </c>
      <c r="U32" s="621">
        <f t="shared" si="34"/>
        <v>11477714</v>
      </c>
      <c r="V32" s="601">
        <f t="shared" si="35"/>
        <v>0.14000000000000001</v>
      </c>
      <c r="W32" s="614">
        <v>11477714</v>
      </c>
      <c r="X32" s="628">
        <v>0.14000000000000001</v>
      </c>
      <c r="Y32" s="614">
        <v>0</v>
      </c>
      <c r="Z32" s="628">
        <v>0</v>
      </c>
      <c r="AA32" s="621">
        <f t="shared" si="36"/>
        <v>23795329</v>
      </c>
      <c r="AB32" s="601">
        <f t="shared" si="37"/>
        <v>0.14000000000000001</v>
      </c>
      <c r="AC32" s="614">
        <v>23795329</v>
      </c>
      <c r="AD32" s="628">
        <v>0.14000000000000001</v>
      </c>
      <c r="AE32" s="614">
        <v>0</v>
      </c>
      <c r="AF32" s="628">
        <v>0</v>
      </c>
      <c r="AG32" s="621">
        <f t="shared" si="38"/>
        <v>62571613</v>
      </c>
      <c r="AH32" s="601">
        <f t="shared" si="39"/>
        <v>0.14000000000000001</v>
      </c>
      <c r="AI32" s="614">
        <v>62571613</v>
      </c>
      <c r="AJ32" s="628">
        <v>0.14000000000000001</v>
      </c>
      <c r="AK32" s="614">
        <v>0</v>
      </c>
      <c r="AL32" s="628">
        <v>0</v>
      </c>
      <c r="AM32" s="621">
        <f t="shared" si="40"/>
        <v>141214166</v>
      </c>
      <c r="AN32" s="601">
        <f t="shared" si="41"/>
        <v>0.14000000000000001</v>
      </c>
      <c r="AO32" s="614">
        <v>141214166</v>
      </c>
      <c r="AP32" s="628">
        <v>0.14000000000000001</v>
      </c>
      <c r="AQ32" s="614">
        <v>0</v>
      </c>
      <c r="AR32" s="628">
        <v>0</v>
      </c>
      <c r="AS32" s="621">
        <f t="shared" si="42"/>
        <v>2257664023</v>
      </c>
      <c r="AT32" s="601">
        <f t="shared" si="43"/>
        <v>0.14000000000000001</v>
      </c>
      <c r="AU32" s="614">
        <v>2257664023</v>
      </c>
      <c r="AV32" s="628">
        <v>0.14000000000000001</v>
      </c>
      <c r="AW32" s="614">
        <v>0</v>
      </c>
      <c r="AX32" s="628">
        <v>0</v>
      </c>
      <c r="AY32" s="621">
        <f>+C32+I32+O32+U32+AA32+AG32+AM32+AS32</f>
        <v>2501391972.4070678</v>
      </c>
      <c r="AZ32" s="598">
        <f>IFERROR(((C32*D32)/AY32)+((I32*J32)/AY32)+((O32*P32)/AY32)+((U32*V32)/AY32)+((AA32*AB32)/AY32)+((AG32*AH32)/AY32)+((AM32*AN32)/AY32)+((AS32*AT32)/AY32),0)</f>
        <v>0.14000000000000001</v>
      </c>
      <c r="BA32" s="621">
        <f>+E32+K32+Q32+W32+AC32+AI32+AO32+AU32</f>
        <v>2501391972.4070678</v>
      </c>
      <c r="BB32" s="598">
        <f>IFERROR(((E32*F32)/BA32)+((K32*L32)/BA32)+((Q32*R32)/BA32)+((W32*X32)/BA32)+((AC32*AD32)/BA32)+((AI32*AJ32)/BA32)+((AO32*AP32)/BA32)+((AU32*AV32)/BA32),0)</f>
        <v>0.14000000000000001</v>
      </c>
      <c r="BC32" s="621">
        <f>+G32+M32+S32+Y32+AE32+AK32+AQ32+AW32</f>
        <v>0</v>
      </c>
      <c r="BD32" s="598">
        <f>IFERROR(((G32*H32)/BC32)+((M32*N32)/BC32)+((S32*T32)/BC32)+((Y32*Z32)/BC32)+((AE32*AF32)/BC32)+((AK32*AL32)/BC32)+((AQ32*AR32)/BC32)+((AW32*AX32)/BC32),0)</f>
        <v>0</v>
      </c>
      <c r="BE32" s="615"/>
      <c r="BF32" s="605"/>
      <c r="BG32" s="605"/>
      <c r="BH32" s="616"/>
    </row>
    <row r="33" spans="1:60" ht="20.25" customHeight="1">
      <c r="A33" s="589" t="s">
        <v>94</v>
      </c>
      <c r="B33" s="590" t="s">
        <v>831</v>
      </c>
      <c r="C33" s="621">
        <f>+C24+C30</f>
        <v>461.40706758999596</v>
      </c>
      <c r="D33" s="601">
        <f>IFERROR(((C24*D24)/C33)+((C30*D30)/C33),0)</f>
        <v>0.14000000000000001</v>
      </c>
      <c r="E33" s="621">
        <f>+E24+E30</f>
        <v>461.40706758999596</v>
      </c>
      <c r="F33" s="629">
        <f>IFERROR(((E24*F24)/E33)+((E30*F30)/E33),0)</f>
        <v>0.14000000000000001</v>
      </c>
      <c r="G33" s="621">
        <f>+G24+G30</f>
        <v>0</v>
      </c>
      <c r="H33" s="629">
        <f>IFERROR(((G24*H24)/G33)+((G30*H30)/G33),0)</f>
        <v>0</v>
      </c>
      <c r="I33" s="621">
        <f>+I24+I30</f>
        <v>740981</v>
      </c>
      <c r="J33" s="601">
        <f>IFERROR(((I24*J24)/I33)+((I30*J30)/I33),0)</f>
        <v>0.14000000000000001</v>
      </c>
      <c r="K33" s="621">
        <f>+K24+K30</f>
        <v>740981</v>
      </c>
      <c r="L33" s="629">
        <f>IFERROR(((K24*L24)/K33)+((K30*L30)/K33),0)</f>
        <v>0.14000000000000001</v>
      </c>
      <c r="M33" s="621">
        <f>+M24+M30</f>
        <v>0</v>
      </c>
      <c r="N33" s="629">
        <f>IFERROR(((M24*N24)/M33)+((M30*N30)/M33),0)</f>
        <v>0</v>
      </c>
      <c r="O33" s="621">
        <f>+O24+O30</f>
        <v>3927685</v>
      </c>
      <c r="P33" s="601">
        <f>IFERROR(((O24*P24)/O33)+((O30*P30)/O33),0)</f>
        <v>0.14000000000000001</v>
      </c>
      <c r="Q33" s="621">
        <f>+Q24+Q30</f>
        <v>3927685</v>
      </c>
      <c r="R33" s="629">
        <f>IFERROR(((Q24*R24)/Q33)+((Q30*R30)/Q33),0)</f>
        <v>0.14000000000000001</v>
      </c>
      <c r="S33" s="621">
        <f>+S24+S30</f>
        <v>0</v>
      </c>
      <c r="T33" s="629">
        <f>IFERROR(((S24*T24)/S33)+((S30*T30)/S33),0)</f>
        <v>0</v>
      </c>
      <c r="U33" s="621">
        <f>+U24+U30</f>
        <v>11477714</v>
      </c>
      <c r="V33" s="601">
        <f>IFERROR(((U24*V24)/U33)+((U30*V30)/U33),0)</f>
        <v>0.14000000000000001</v>
      </c>
      <c r="W33" s="621">
        <f>+W24+W30</f>
        <v>11477714</v>
      </c>
      <c r="X33" s="629">
        <f>IFERROR(((W24*X24)/W33)+((W30*X30)/W33),0)</f>
        <v>0.14000000000000001</v>
      </c>
      <c r="Y33" s="621">
        <f>+Y24+Y30</f>
        <v>0</v>
      </c>
      <c r="Z33" s="629">
        <f>IFERROR(((Y24*Z24)/Y33)+((Y30*Z30)/Y33),0)</f>
        <v>0</v>
      </c>
      <c r="AA33" s="621">
        <f>+AA24+AA30</f>
        <v>23795329</v>
      </c>
      <c r="AB33" s="601">
        <f>IFERROR(((AA24*AB24)/AA33)+((AA30*AB30)/AA33),0)</f>
        <v>0.14000000000000001</v>
      </c>
      <c r="AC33" s="621">
        <f>+AC24+AC30</f>
        <v>23795329</v>
      </c>
      <c r="AD33" s="629">
        <f>IFERROR(((AC24*AD24)/AC33)+((AC30*AD30)/AC33),0)</f>
        <v>0.14000000000000001</v>
      </c>
      <c r="AE33" s="621">
        <f>+AE24+AE30</f>
        <v>0</v>
      </c>
      <c r="AF33" s="629">
        <f>IFERROR(((AE24*AF24)/AE33)+((AE30*AF30)/AE33),0)</f>
        <v>0</v>
      </c>
      <c r="AG33" s="621">
        <f>+AG24+AG30</f>
        <v>62571613</v>
      </c>
      <c r="AH33" s="601">
        <f>IFERROR(((AG24*AH24)/AG33)+((AG30*AH30)/AG33),0)</f>
        <v>0.14000000000000001</v>
      </c>
      <c r="AI33" s="621">
        <f>+AI24+AI30</f>
        <v>62571613</v>
      </c>
      <c r="AJ33" s="629">
        <f>IFERROR(((AI24*AJ24)/AI33)+((AI30*AJ30)/AI33),0)</f>
        <v>0.14000000000000001</v>
      </c>
      <c r="AK33" s="621">
        <f>+AK24+AK30</f>
        <v>0</v>
      </c>
      <c r="AL33" s="629">
        <f>IFERROR(((AK24*AL24)/AK33)+((AK30*AL30)/AK33),0)</f>
        <v>0</v>
      </c>
      <c r="AM33" s="621">
        <f>+AM24+AM30</f>
        <v>141214166</v>
      </c>
      <c r="AN33" s="601">
        <f>IFERROR(((AM24*AN24)/AM33)+((AM30*AN30)/AM33),0)</f>
        <v>0.14000000000000001</v>
      </c>
      <c r="AO33" s="621">
        <f>+AO24+AO30</f>
        <v>141214166</v>
      </c>
      <c r="AP33" s="629">
        <f>IFERROR(((AO24*AP24)/AO33)+((AO30*AP30)/AO33),0)</f>
        <v>0.14000000000000001</v>
      </c>
      <c r="AQ33" s="621">
        <f>+AQ24+AQ30</f>
        <v>0</v>
      </c>
      <c r="AR33" s="629">
        <f>IFERROR(((AQ24*AR24)/AQ33)+((AQ30*AR30)/AQ33),0)</f>
        <v>0</v>
      </c>
      <c r="AS33" s="621">
        <f>+AS24+AS30</f>
        <v>2257664023</v>
      </c>
      <c r="AT33" s="601">
        <f>IFERROR(((AS24*AT24)/AS33)+((AS30*AT30)/AS33),0)</f>
        <v>0.14000000000000001</v>
      </c>
      <c r="AU33" s="621">
        <f>+AU24+AU30</f>
        <v>2257664023</v>
      </c>
      <c r="AV33" s="629">
        <f>IFERROR(((AU24*AV24)/AU33)+((AU30*AV30)/AU33),0)</f>
        <v>0.14000000000000001</v>
      </c>
      <c r="AW33" s="621">
        <f>+AW24+AW30</f>
        <v>0</v>
      </c>
      <c r="AX33" s="629">
        <f>IFERROR(((AW24*AX24)/AW33)+((AW30*AX30)/AW33),0)</f>
        <v>0</v>
      </c>
      <c r="AY33" s="621">
        <f t="shared" si="22"/>
        <v>2501391972.4070678</v>
      </c>
      <c r="AZ33" s="598">
        <f t="shared" si="23"/>
        <v>0.14000000000000001</v>
      </c>
      <c r="BA33" s="621">
        <f t="shared" si="24"/>
        <v>2501391972.4070678</v>
      </c>
      <c r="BB33" s="598">
        <f t="shared" si="25"/>
        <v>0.14000000000000001</v>
      </c>
      <c r="BC33" s="621">
        <f t="shared" si="26"/>
        <v>0</v>
      </c>
      <c r="BD33" s="598">
        <f t="shared" si="27"/>
        <v>0</v>
      </c>
      <c r="BE33" s="615"/>
      <c r="BF33" s="605"/>
      <c r="BG33" s="605"/>
      <c r="BH33" s="616"/>
    </row>
    <row r="34" spans="1:60" ht="20.25" customHeight="1">
      <c r="A34" s="589" t="s">
        <v>5</v>
      </c>
      <c r="B34" s="590" t="s">
        <v>832</v>
      </c>
      <c r="C34" s="621">
        <f t="shared" ref="C34:C39" si="44">+E34+G34</f>
        <v>0</v>
      </c>
      <c r="D34" s="601">
        <f t="shared" ref="D34:D39" si="45">IFERROR((((E34*F34)+(G34*H34))/C34),0)</f>
        <v>0</v>
      </c>
      <c r="E34" s="614"/>
      <c r="F34" s="628"/>
      <c r="G34" s="614"/>
      <c r="H34" s="628"/>
      <c r="I34" s="621">
        <f t="shared" ref="I34:I39" si="46">+K34+M34</f>
        <v>0</v>
      </c>
      <c r="J34" s="601">
        <f t="shared" ref="J34:J39" si="47">IFERROR((((K34*L34)+(M34*N34))/I34),0)</f>
        <v>0</v>
      </c>
      <c r="K34" s="614"/>
      <c r="L34" s="628"/>
      <c r="M34" s="614"/>
      <c r="N34" s="628"/>
      <c r="O34" s="621">
        <f t="shared" ref="O34:O39" si="48">+Q34+S34</f>
        <v>0</v>
      </c>
      <c r="P34" s="601">
        <f t="shared" ref="P34:P39" si="49">IFERROR((((Q34*R34)+(S34*T34))/O34),0)</f>
        <v>0</v>
      </c>
      <c r="Q34" s="614"/>
      <c r="R34" s="628"/>
      <c r="S34" s="614"/>
      <c r="T34" s="628"/>
      <c r="U34" s="621">
        <f t="shared" ref="U34:U39" si="50">+W34+Y34</f>
        <v>0</v>
      </c>
      <c r="V34" s="601">
        <f t="shared" ref="V34:V39" si="51">IFERROR((((W34*X34)+(Y34*Z34))/U34),0)</f>
        <v>0</v>
      </c>
      <c r="W34" s="614"/>
      <c r="X34" s="628"/>
      <c r="Y34" s="614"/>
      <c r="Z34" s="628"/>
      <c r="AA34" s="621">
        <f t="shared" ref="AA34:AA39" si="52">+AC34+AE34</f>
        <v>0</v>
      </c>
      <c r="AB34" s="601">
        <f t="shared" ref="AB34:AB39" si="53">IFERROR((((AC34*AD34)+(AE34*AF34))/AA34),0)</f>
        <v>0</v>
      </c>
      <c r="AC34" s="614"/>
      <c r="AD34" s="628"/>
      <c r="AE34" s="614"/>
      <c r="AF34" s="628"/>
      <c r="AG34" s="621">
        <f t="shared" ref="AG34:AG39" si="54">+AI34+AK34</f>
        <v>0</v>
      </c>
      <c r="AH34" s="601">
        <f t="shared" ref="AH34:AH39" si="55">IFERROR((((AI34*AJ34)+(AK34*AL34))/AG34),0)</f>
        <v>0</v>
      </c>
      <c r="AI34" s="614"/>
      <c r="AJ34" s="628"/>
      <c r="AK34" s="614"/>
      <c r="AL34" s="628"/>
      <c r="AM34" s="621">
        <f t="shared" ref="AM34:AM39" si="56">+AO34+AQ34</f>
        <v>0</v>
      </c>
      <c r="AN34" s="601">
        <f t="shared" ref="AN34:AN39" si="57">IFERROR((((AO34*AP34)+(AQ34*AR34))/AM34),0)</f>
        <v>0</v>
      </c>
      <c r="AO34" s="614"/>
      <c r="AP34" s="628"/>
      <c r="AQ34" s="614"/>
      <c r="AR34" s="628"/>
      <c r="AS34" s="621">
        <f t="shared" ref="AS34:AS39" si="58">+AU34+AW34</f>
        <v>0</v>
      </c>
      <c r="AT34" s="601">
        <f t="shared" ref="AT34:AT39" si="59">IFERROR((((AU34*AV34)+(AW34*AX34))/AS34),0)</f>
        <v>0</v>
      </c>
      <c r="AU34" s="614"/>
      <c r="AV34" s="628"/>
      <c r="AW34" s="614"/>
      <c r="AX34" s="628"/>
      <c r="AY34" s="621">
        <f t="shared" si="22"/>
        <v>0</v>
      </c>
      <c r="AZ34" s="598">
        <f t="shared" si="23"/>
        <v>0</v>
      </c>
      <c r="BA34" s="621">
        <f t="shared" si="24"/>
        <v>0</v>
      </c>
      <c r="BB34" s="598">
        <f t="shared" si="25"/>
        <v>0</v>
      </c>
      <c r="BC34" s="621">
        <f t="shared" si="26"/>
        <v>0</v>
      </c>
      <c r="BD34" s="598">
        <f t="shared" si="27"/>
        <v>0</v>
      </c>
      <c r="BE34" s="615"/>
      <c r="BF34" s="605"/>
      <c r="BG34" s="605"/>
      <c r="BH34" s="616"/>
    </row>
    <row r="35" spans="1:60" ht="20.25" customHeight="1">
      <c r="A35" s="589" t="s">
        <v>6</v>
      </c>
      <c r="B35" s="590" t="s">
        <v>833</v>
      </c>
      <c r="C35" s="621">
        <f t="shared" si="44"/>
        <v>0</v>
      </c>
      <c r="D35" s="601">
        <f t="shared" si="45"/>
        <v>0</v>
      </c>
      <c r="E35" s="614">
        <v>0</v>
      </c>
      <c r="F35" s="628">
        <v>0</v>
      </c>
      <c r="G35" s="614">
        <v>0</v>
      </c>
      <c r="H35" s="628">
        <v>0</v>
      </c>
      <c r="I35" s="621">
        <f t="shared" si="46"/>
        <v>0</v>
      </c>
      <c r="J35" s="601">
        <f t="shared" si="47"/>
        <v>0</v>
      </c>
      <c r="K35" s="614">
        <v>0</v>
      </c>
      <c r="L35" s="628">
        <v>0</v>
      </c>
      <c r="M35" s="614">
        <v>0</v>
      </c>
      <c r="N35" s="628">
        <v>0</v>
      </c>
      <c r="O35" s="621">
        <f t="shared" si="48"/>
        <v>0</v>
      </c>
      <c r="P35" s="601">
        <f t="shared" si="49"/>
        <v>0</v>
      </c>
      <c r="Q35" s="614">
        <v>0</v>
      </c>
      <c r="R35" s="628">
        <v>0</v>
      </c>
      <c r="S35" s="614">
        <v>0</v>
      </c>
      <c r="T35" s="628">
        <v>0</v>
      </c>
      <c r="U35" s="621">
        <f t="shared" si="50"/>
        <v>0</v>
      </c>
      <c r="V35" s="601">
        <f t="shared" si="51"/>
        <v>0</v>
      </c>
      <c r="W35" s="614">
        <v>0</v>
      </c>
      <c r="X35" s="628">
        <v>0</v>
      </c>
      <c r="Y35" s="614">
        <v>0</v>
      </c>
      <c r="Z35" s="628">
        <v>0</v>
      </c>
      <c r="AA35" s="621">
        <f t="shared" si="52"/>
        <v>0</v>
      </c>
      <c r="AB35" s="601">
        <f t="shared" si="53"/>
        <v>0</v>
      </c>
      <c r="AC35" s="614"/>
      <c r="AD35" s="628">
        <v>0</v>
      </c>
      <c r="AE35" s="614">
        <v>0</v>
      </c>
      <c r="AF35" s="628">
        <v>0</v>
      </c>
      <c r="AG35" s="621">
        <f t="shared" si="54"/>
        <v>0</v>
      </c>
      <c r="AH35" s="601">
        <f t="shared" si="55"/>
        <v>0</v>
      </c>
      <c r="AI35" s="614">
        <v>0</v>
      </c>
      <c r="AJ35" s="628">
        <v>0.13500000000000001</v>
      </c>
      <c r="AK35" s="614">
        <v>0</v>
      </c>
      <c r="AL35" s="628">
        <v>0</v>
      </c>
      <c r="AM35" s="621">
        <f t="shared" si="56"/>
        <v>0</v>
      </c>
      <c r="AN35" s="601">
        <f t="shared" si="57"/>
        <v>0</v>
      </c>
      <c r="AO35" s="614">
        <v>0</v>
      </c>
      <c r="AP35" s="628">
        <v>0</v>
      </c>
      <c r="AQ35" s="614">
        <v>0</v>
      </c>
      <c r="AR35" s="628">
        <v>0</v>
      </c>
      <c r="AS35" s="621">
        <f t="shared" si="58"/>
        <v>0</v>
      </c>
      <c r="AT35" s="601">
        <f t="shared" si="59"/>
        <v>0</v>
      </c>
      <c r="AU35" s="614">
        <v>0</v>
      </c>
      <c r="AV35" s="628">
        <v>0</v>
      </c>
      <c r="AW35" s="614">
        <v>0</v>
      </c>
      <c r="AX35" s="628">
        <v>0</v>
      </c>
      <c r="AY35" s="621">
        <f t="shared" si="22"/>
        <v>0</v>
      </c>
      <c r="AZ35" s="598">
        <f t="shared" si="23"/>
        <v>0</v>
      </c>
      <c r="BA35" s="621">
        <f t="shared" si="24"/>
        <v>0</v>
      </c>
      <c r="BB35" s="598">
        <f t="shared" si="25"/>
        <v>0</v>
      </c>
      <c r="BC35" s="621">
        <f t="shared" si="26"/>
        <v>0</v>
      </c>
      <c r="BD35" s="598">
        <f t="shared" si="27"/>
        <v>0</v>
      </c>
      <c r="BE35" s="615"/>
      <c r="BF35" s="605"/>
      <c r="BG35" s="605"/>
      <c r="BH35" s="616"/>
    </row>
    <row r="36" spans="1:60" ht="20.25" customHeight="1">
      <c r="A36" s="589" t="s">
        <v>4</v>
      </c>
      <c r="B36" s="590" t="s">
        <v>838</v>
      </c>
      <c r="C36" s="621">
        <f t="shared" si="44"/>
        <v>0</v>
      </c>
      <c r="D36" s="601">
        <f t="shared" si="45"/>
        <v>0</v>
      </c>
      <c r="E36" s="614"/>
      <c r="F36" s="628"/>
      <c r="G36" s="614"/>
      <c r="H36" s="628"/>
      <c r="I36" s="621">
        <f t="shared" si="46"/>
        <v>0</v>
      </c>
      <c r="J36" s="601">
        <f t="shared" si="47"/>
        <v>0</v>
      </c>
      <c r="K36" s="614"/>
      <c r="L36" s="628"/>
      <c r="M36" s="614"/>
      <c r="N36" s="628"/>
      <c r="O36" s="621">
        <f t="shared" si="48"/>
        <v>0</v>
      </c>
      <c r="P36" s="601">
        <f t="shared" si="49"/>
        <v>0</v>
      </c>
      <c r="Q36" s="614"/>
      <c r="R36" s="628"/>
      <c r="S36" s="614"/>
      <c r="T36" s="628"/>
      <c r="U36" s="621">
        <f t="shared" si="50"/>
        <v>0</v>
      </c>
      <c r="V36" s="601">
        <f t="shared" si="51"/>
        <v>0</v>
      </c>
      <c r="W36" s="614"/>
      <c r="X36" s="628"/>
      <c r="Y36" s="614"/>
      <c r="Z36" s="628"/>
      <c r="AA36" s="621">
        <f t="shared" si="52"/>
        <v>0</v>
      </c>
      <c r="AB36" s="601">
        <f t="shared" si="53"/>
        <v>0</v>
      </c>
      <c r="AC36" s="614"/>
      <c r="AD36" s="628"/>
      <c r="AE36" s="614"/>
      <c r="AF36" s="628"/>
      <c r="AG36" s="621">
        <f t="shared" si="54"/>
        <v>0</v>
      </c>
      <c r="AH36" s="601">
        <f t="shared" si="55"/>
        <v>0</v>
      </c>
      <c r="AI36" s="614"/>
      <c r="AJ36" s="628"/>
      <c r="AK36" s="614"/>
      <c r="AL36" s="628"/>
      <c r="AM36" s="621">
        <f t="shared" si="56"/>
        <v>0</v>
      </c>
      <c r="AN36" s="601">
        <f t="shared" si="57"/>
        <v>0</v>
      </c>
      <c r="AO36" s="614"/>
      <c r="AP36" s="628"/>
      <c r="AQ36" s="614"/>
      <c r="AR36" s="628"/>
      <c r="AS36" s="621">
        <f t="shared" si="58"/>
        <v>0</v>
      </c>
      <c r="AT36" s="601">
        <f t="shared" si="59"/>
        <v>0</v>
      </c>
      <c r="AU36" s="614"/>
      <c r="AV36" s="628"/>
      <c r="AW36" s="614"/>
      <c r="AX36" s="628"/>
      <c r="AY36" s="621">
        <f t="shared" si="22"/>
        <v>0</v>
      </c>
      <c r="AZ36" s="598">
        <f t="shared" si="23"/>
        <v>0</v>
      </c>
      <c r="BA36" s="621">
        <f t="shared" si="24"/>
        <v>0</v>
      </c>
      <c r="BB36" s="598">
        <f t="shared" si="25"/>
        <v>0</v>
      </c>
      <c r="BC36" s="621">
        <f t="shared" si="26"/>
        <v>0</v>
      </c>
      <c r="BD36" s="598">
        <f t="shared" si="27"/>
        <v>0</v>
      </c>
      <c r="BE36" s="615"/>
      <c r="BF36" s="605"/>
      <c r="BG36" s="605"/>
      <c r="BH36" s="616"/>
    </row>
    <row r="37" spans="1:60" ht="34.5" customHeight="1">
      <c r="A37" s="589" t="s">
        <v>3</v>
      </c>
      <c r="B37" s="590" t="s">
        <v>834</v>
      </c>
      <c r="C37" s="621">
        <f t="shared" si="44"/>
        <v>0</v>
      </c>
      <c r="D37" s="601">
        <f t="shared" si="45"/>
        <v>0</v>
      </c>
      <c r="E37" s="614">
        <v>0</v>
      </c>
      <c r="F37" s="628">
        <v>0</v>
      </c>
      <c r="G37" s="614">
        <v>0</v>
      </c>
      <c r="H37" s="628">
        <v>0</v>
      </c>
      <c r="I37" s="621">
        <f t="shared" si="46"/>
        <v>46335500.755210005</v>
      </c>
      <c r="J37" s="601">
        <f t="shared" si="47"/>
        <v>3.870954612266022E-2</v>
      </c>
      <c r="K37" s="614">
        <v>5286561.1111000003</v>
      </c>
      <c r="L37" s="628">
        <v>0.14996677108938908</v>
      </c>
      <c r="M37" s="614">
        <v>41048939.644110002</v>
      </c>
      <c r="N37" s="628">
        <v>2.438108541362928E-2</v>
      </c>
      <c r="O37" s="621">
        <f t="shared" si="48"/>
        <v>290717240.06029004</v>
      </c>
      <c r="P37" s="601">
        <f t="shared" si="49"/>
        <v>6.984769250566307E-2</v>
      </c>
      <c r="Q37" s="614">
        <v>594790.22032999992</v>
      </c>
      <c r="R37" s="628">
        <v>0.15</v>
      </c>
      <c r="S37" s="614">
        <v>290122449.83996004</v>
      </c>
      <c r="T37" s="628">
        <v>6.9683369446000454E-2</v>
      </c>
      <c r="U37" s="621">
        <f t="shared" si="50"/>
        <v>1801858704.9237499</v>
      </c>
      <c r="V37" s="601">
        <f t="shared" si="51"/>
        <v>5.5335707375453312E-2</v>
      </c>
      <c r="W37" s="614">
        <v>11808599.539319996</v>
      </c>
      <c r="X37" s="628">
        <v>0.1498147783414692</v>
      </c>
      <c r="Y37" s="614">
        <v>1790050105.3844299</v>
      </c>
      <c r="Z37" s="628">
        <v>5.4712447998227623E-2</v>
      </c>
      <c r="AA37" s="621">
        <f t="shared" si="52"/>
        <v>2346760588.6235003</v>
      </c>
      <c r="AB37" s="601">
        <f t="shared" si="53"/>
        <v>5.1917746743477058E-2</v>
      </c>
      <c r="AC37" s="614">
        <v>25560751.74501</v>
      </c>
      <c r="AD37" s="628">
        <v>0.1468716108859118</v>
      </c>
      <c r="AE37" s="614">
        <v>2321199836.8784904</v>
      </c>
      <c r="AF37" s="628">
        <v>5.0872127098837552E-2</v>
      </c>
      <c r="AG37" s="621">
        <f t="shared" si="54"/>
        <v>6383641839.7844696</v>
      </c>
      <c r="AH37" s="601">
        <f t="shared" si="55"/>
        <v>6.3377778542521052E-2</v>
      </c>
      <c r="AI37" s="614">
        <v>87307693.747119993</v>
      </c>
      <c r="AJ37" s="628">
        <v>0.15235420768163266</v>
      </c>
      <c r="AK37" s="614">
        <v>6296334146.0373497</v>
      </c>
      <c r="AL37" s="628">
        <v>6.2143992875208748E-2</v>
      </c>
      <c r="AM37" s="621">
        <f t="shared" si="56"/>
        <v>6831420787.3470297</v>
      </c>
      <c r="AN37" s="601">
        <f t="shared" si="57"/>
        <v>5.9353778431010661E-2</v>
      </c>
      <c r="AO37" s="614">
        <v>142299836.98666</v>
      </c>
      <c r="AP37" s="628">
        <v>0.15279059736289805</v>
      </c>
      <c r="AQ37" s="614">
        <v>6689120950.3603697</v>
      </c>
      <c r="AR37" s="628">
        <v>5.7366066712052535E-2</v>
      </c>
      <c r="AS37" s="621">
        <f t="shared" si="58"/>
        <v>7198763156.6322298</v>
      </c>
      <c r="AT37" s="601">
        <f t="shared" si="59"/>
        <v>5.176755179166799E-2</v>
      </c>
      <c r="AU37" s="614">
        <v>177618395.72978002</v>
      </c>
      <c r="AV37" s="628">
        <v>0.15057065759463334</v>
      </c>
      <c r="AW37" s="614">
        <v>7021144760.9024496</v>
      </c>
      <c r="AX37" s="628">
        <v>4.9268066345424785E-2</v>
      </c>
      <c r="AY37" s="621">
        <f t="shared" si="22"/>
        <v>24899497818.12648</v>
      </c>
      <c r="AZ37" s="598">
        <f t="shared" si="23"/>
        <v>5.7284658192387206E-2</v>
      </c>
      <c r="BA37" s="621">
        <f t="shared" si="24"/>
        <v>450476629.07932001</v>
      </c>
      <c r="BB37" s="598">
        <f t="shared" si="25"/>
        <v>0.15138003702499742</v>
      </c>
      <c r="BC37" s="621">
        <f t="shared" si="26"/>
        <v>24449021189.047161</v>
      </c>
      <c r="BD37" s="598">
        <f t="shared" si="27"/>
        <v>5.5550937699419371E-2</v>
      </c>
      <c r="BE37" s="615"/>
      <c r="BF37" s="605"/>
      <c r="BG37" s="605"/>
      <c r="BH37" s="616"/>
    </row>
    <row r="38" spans="1:60" ht="20.25" customHeight="1">
      <c r="A38" s="589" t="s">
        <v>8</v>
      </c>
      <c r="B38" s="590" t="s">
        <v>835</v>
      </c>
      <c r="C38" s="621">
        <f t="shared" si="44"/>
        <v>0</v>
      </c>
      <c r="D38" s="601">
        <f t="shared" si="45"/>
        <v>0</v>
      </c>
      <c r="E38" s="614"/>
      <c r="F38" s="628"/>
      <c r="G38" s="614"/>
      <c r="H38" s="628"/>
      <c r="I38" s="621">
        <f t="shared" si="46"/>
        <v>0</v>
      </c>
      <c r="J38" s="601">
        <f t="shared" si="47"/>
        <v>0</v>
      </c>
      <c r="K38" s="614"/>
      <c r="L38" s="628"/>
      <c r="M38" s="614"/>
      <c r="N38" s="628"/>
      <c r="O38" s="621">
        <f t="shared" si="48"/>
        <v>0</v>
      </c>
      <c r="P38" s="601">
        <f t="shared" si="49"/>
        <v>0</v>
      </c>
      <c r="Q38" s="614"/>
      <c r="R38" s="628"/>
      <c r="S38" s="614"/>
      <c r="T38" s="628"/>
      <c r="U38" s="621">
        <f t="shared" si="50"/>
        <v>0</v>
      </c>
      <c r="V38" s="601">
        <f t="shared" si="51"/>
        <v>0</v>
      </c>
      <c r="W38" s="614"/>
      <c r="X38" s="628"/>
      <c r="Y38" s="614">
        <v>0</v>
      </c>
      <c r="Z38" s="628">
        <v>0</v>
      </c>
      <c r="AA38" s="621">
        <f t="shared" si="52"/>
        <v>0</v>
      </c>
      <c r="AB38" s="601">
        <f t="shared" si="53"/>
        <v>0</v>
      </c>
      <c r="AC38" s="614"/>
      <c r="AD38" s="628"/>
      <c r="AE38" s="614"/>
      <c r="AF38" s="628"/>
      <c r="AG38" s="621">
        <f t="shared" si="54"/>
        <v>0</v>
      </c>
      <c r="AH38" s="601">
        <f t="shared" si="55"/>
        <v>0</v>
      </c>
      <c r="AI38" s="614"/>
      <c r="AJ38" s="628"/>
      <c r="AK38" s="614"/>
      <c r="AL38" s="628"/>
      <c r="AM38" s="621">
        <f t="shared" si="56"/>
        <v>0</v>
      </c>
      <c r="AN38" s="601">
        <f t="shared" si="57"/>
        <v>0</v>
      </c>
      <c r="AO38" s="614"/>
      <c r="AP38" s="628"/>
      <c r="AQ38" s="614"/>
      <c r="AR38" s="628"/>
      <c r="AS38" s="621">
        <f t="shared" si="58"/>
        <v>1202533000</v>
      </c>
      <c r="AT38" s="601">
        <f t="shared" si="59"/>
        <v>0.08</v>
      </c>
      <c r="AU38" s="614">
        <v>0</v>
      </c>
      <c r="AV38" s="628">
        <v>0</v>
      </c>
      <c r="AW38" s="614">
        <v>1202533000</v>
      </c>
      <c r="AX38" s="628">
        <v>0.08</v>
      </c>
      <c r="AY38" s="621">
        <f t="shared" si="22"/>
        <v>1202533000</v>
      </c>
      <c r="AZ38" s="598">
        <f t="shared" si="23"/>
        <v>0.08</v>
      </c>
      <c r="BA38" s="621">
        <f t="shared" si="24"/>
        <v>0</v>
      </c>
      <c r="BB38" s="598">
        <f t="shared" si="25"/>
        <v>0</v>
      </c>
      <c r="BC38" s="621">
        <f t="shared" si="26"/>
        <v>1202533000</v>
      </c>
      <c r="BD38" s="598">
        <f t="shared" si="27"/>
        <v>0.08</v>
      </c>
      <c r="BE38" s="615"/>
      <c r="BF38" s="605"/>
      <c r="BG38" s="605"/>
      <c r="BH38" s="616"/>
    </row>
    <row r="39" spans="1:60" ht="20.25" customHeight="1">
      <c r="A39" s="589" t="s">
        <v>7</v>
      </c>
      <c r="B39" s="590" t="s">
        <v>836</v>
      </c>
      <c r="C39" s="621">
        <f t="shared" si="44"/>
        <v>0</v>
      </c>
      <c r="D39" s="601">
        <f t="shared" si="45"/>
        <v>0</v>
      </c>
      <c r="E39" s="614">
        <v>0</v>
      </c>
      <c r="F39" s="628">
        <v>0</v>
      </c>
      <c r="G39" s="614">
        <v>0</v>
      </c>
      <c r="H39" s="628">
        <v>0</v>
      </c>
      <c r="I39" s="621">
        <f t="shared" si="46"/>
        <v>0</v>
      </c>
      <c r="J39" s="601">
        <f t="shared" si="47"/>
        <v>0</v>
      </c>
      <c r="K39" s="614">
        <v>0</v>
      </c>
      <c r="L39" s="628">
        <v>0</v>
      </c>
      <c r="M39" s="614">
        <v>0</v>
      </c>
      <c r="N39" s="628">
        <v>0</v>
      </c>
      <c r="O39" s="621">
        <f t="shared" si="48"/>
        <v>0</v>
      </c>
      <c r="P39" s="601">
        <f t="shared" si="49"/>
        <v>0</v>
      </c>
      <c r="Q39" s="614">
        <v>0</v>
      </c>
      <c r="R39" s="628">
        <v>0</v>
      </c>
      <c r="S39" s="614">
        <v>0</v>
      </c>
      <c r="T39" s="628">
        <v>0</v>
      </c>
      <c r="U39" s="621">
        <f t="shared" si="50"/>
        <v>0</v>
      </c>
      <c r="V39" s="601">
        <f t="shared" si="51"/>
        <v>0</v>
      </c>
      <c r="W39" s="614">
        <v>0</v>
      </c>
      <c r="X39" s="628">
        <v>0</v>
      </c>
      <c r="Y39" s="614">
        <v>0</v>
      </c>
      <c r="Z39" s="628">
        <v>0</v>
      </c>
      <c r="AA39" s="621">
        <f t="shared" si="52"/>
        <v>4507572.4546699999</v>
      </c>
      <c r="AB39" s="601">
        <f t="shared" si="53"/>
        <v>7.293841129485952E-2</v>
      </c>
      <c r="AC39" s="614">
        <v>4507572.4546699999</v>
      </c>
      <c r="AD39" s="628">
        <v>7.293841129485952E-2</v>
      </c>
      <c r="AE39" s="614">
        <v>0</v>
      </c>
      <c r="AF39" s="628">
        <v>0</v>
      </c>
      <c r="AG39" s="621">
        <f t="shared" si="54"/>
        <v>9402800</v>
      </c>
      <c r="AH39" s="601">
        <f t="shared" si="55"/>
        <v>5.0584081337473941E-2</v>
      </c>
      <c r="AI39" s="614">
        <v>9402800</v>
      </c>
      <c r="AJ39" s="628">
        <v>5.0584081337473941E-2</v>
      </c>
      <c r="AK39" s="614">
        <v>0</v>
      </c>
      <c r="AL39" s="628">
        <v>0</v>
      </c>
      <c r="AM39" s="621">
        <f t="shared" si="56"/>
        <v>18805600</v>
      </c>
      <c r="AN39" s="601">
        <f t="shared" si="57"/>
        <v>5.0584081337473941E-2</v>
      </c>
      <c r="AO39" s="614">
        <v>18805600</v>
      </c>
      <c r="AP39" s="628">
        <v>5.0584081337473941E-2</v>
      </c>
      <c r="AQ39" s="614">
        <v>0</v>
      </c>
      <c r="AR39" s="628">
        <v>0</v>
      </c>
      <c r="AS39" s="621">
        <f t="shared" si="58"/>
        <v>544736532.87133002</v>
      </c>
      <c r="AT39" s="601">
        <f t="shared" si="59"/>
        <v>3.332692543429628E-2</v>
      </c>
      <c r="AU39" s="614">
        <v>345116054.87133002</v>
      </c>
      <c r="AV39" s="628">
        <v>4.5142175874571644E-2</v>
      </c>
      <c r="AW39" s="614">
        <v>199620477.99999997</v>
      </c>
      <c r="AX39" s="628">
        <v>1.2899999999999998E-2</v>
      </c>
      <c r="AY39" s="621">
        <f t="shared" si="22"/>
        <v>577452505.32599998</v>
      </c>
      <c r="AZ39" s="598">
        <f t="shared" si="23"/>
        <v>3.4479138634509514E-2</v>
      </c>
      <c r="BA39" s="621">
        <f t="shared" si="24"/>
        <v>377832027.32600003</v>
      </c>
      <c r="BB39" s="598">
        <f t="shared" si="25"/>
        <v>4.588007253504503E-2</v>
      </c>
      <c r="BC39" s="621">
        <f t="shared" si="26"/>
        <v>199620477.99999997</v>
      </c>
      <c r="BD39" s="598">
        <f t="shared" si="27"/>
        <v>1.2899999999999998E-2</v>
      </c>
      <c r="BE39" s="615"/>
      <c r="BF39" s="605"/>
      <c r="BG39" s="605"/>
      <c r="BH39" s="616"/>
    </row>
    <row r="40" spans="1:60" ht="30" customHeight="1">
      <c r="A40" s="592" t="s">
        <v>809</v>
      </c>
      <c r="B40" s="593" t="s">
        <v>837</v>
      </c>
      <c r="C40" s="622">
        <f>SUM(C33+C34+C35+C36+C37+C38+C39)</f>
        <v>461.40706758999596</v>
      </c>
      <c r="D40" s="594">
        <f>IFERROR(((C33*D33)/C40)+((C34*D34)/C40)+((C35*D35)/C40)+((C36*D36)/C40)+((C37*D37)/C40)+((C38*D38)/C40)+((C39*D39)/C40),0)</f>
        <v>0.14000000000000001</v>
      </c>
      <c r="E40" s="622">
        <f>SUM(E33+E34+E35+E36+E37+E38+E39)</f>
        <v>461.40706758999596</v>
      </c>
      <c r="F40" s="594">
        <f>IFERROR(((E33*F33)/E40)+((E34*F34)/E40)+((E35*F35)/E40)+((E36*F36)/E40)+((E37*F37)/E40)+((E38*F38)/E40)+((E39*F39)/E40),0)</f>
        <v>0.14000000000000001</v>
      </c>
      <c r="G40" s="622">
        <f>SUM(G33+G34+G35+G36+G37+G38+G39)</f>
        <v>0</v>
      </c>
      <c r="H40" s="594">
        <f>IFERROR(((G33*H33)/G40)+((G34*H34)/G40)+((G35*H35)/G40)+((G36*H36)/G40)+((G37*H37)/G40)+((G38*H38)/G40)+((G39*H39)/G40),0)</f>
        <v>0</v>
      </c>
      <c r="I40" s="622">
        <f>SUM(I33+I34+I35+I36+I37+I38+I39)</f>
        <v>47076481.755210005</v>
      </c>
      <c r="J40" s="594">
        <f>IFERROR(((I33*J33)/I40)+((I34*J34)/I40)+((I35*J35)/I40)+((I36*J36)/I40)+((I37*J37)/I40)+((I38*J38)/I40)+((I39*J39)/I40),0)</f>
        <v>4.030385179305325E-2</v>
      </c>
      <c r="K40" s="622">
        <f>SUM(K33+K34+K35+K36+K37+K38+K39)</f>
        <v>6027542.1111000003</v>
      </c>
      <c r="L40" s="594">
        <f>IFERROR(((K33*L33)/K40)+((K34*L34)/K40)+((K35*L35)/K40)+((K36*L36)/K40)+((K37*L37)/K40)+((K38*L38)/K40)+((K39*L39)/K40),0)</f>
        <v>0.14874153070575302</v>
      </c>
      <c r="M40" s="622">
        <f>SUM(M33+M34+M35+M36+M37+M38+M39)</f>
        <v>41048939.644110002</v>
      </c>
      <c r="N40" s="594">
        <f>IFERROR(((M33*N33)/M40)+((M34*N34)/M40)+((M35*N35)/M40)+((M36*N36)/M40)+((M37*N37)/M40)+((M38*N38)/M40)+((M39*N39)/M40),0)</f>
        <v>2.438108541362928E-2</v>
      </c>
      <c r="O40" s="622">
        <f>SUM(O33+O34+O35+O36+O37+O38+O39)</f>
        <v>294644925.06029004</v>
      </c>
      <c r="P40" s="594">
        <f>IFERROR(((O33*P33)/O40)+((O34*P34)/O40)+((O35*P35)/O40)+((O36*P36)/O40)+((O37*P37)/O40)+((O38*P38)/O40)+((O39*P39)/O40),0)</f>
        <v>7.0782838990213967E-2</v>
      </c>
      <c r="Q40" s="622">
        <f>SUM(Q33+Q34+Q35+Q36+Q37+Q38+Q39)</f>
        <v>4522475.2203299999</v>
      </c>
      <c r="R40" s="594">
        <f>IFERROR(((Q33*R33)/Q40)+((Q34*R34)/Q40)+((Q35*R35)/Q40)+((Q36*R36)/Q40)+((Q37*R37)/Q40)+((Q38*R38)/Q40)+((Q39*R39)/Q40),0)</f>
        <v>0.14131518735062654</v>
      </c>
      <c r="S40" s="622">
        <f>SUM(S33+S34+S35+S36+S37+S38+S39)</f>
        <v>290122449.83996004</v>
      </c>
      <c r="T40" s="594">
        <f>IFERROR(((S33*T33)/S40)+((S34*T34)/S40)+((S35*T35)/S40)+((S36*T36)/S40)+((S37*T37)/S40)+((S38*T38)/S40)+((S39*T39)/S40),0)</f>
        <v>6.9683369446000454E-2</v>
      </c>
      <c r="U40" s="622">
        <f>SUM(U33+U34+U35+U36+U37+U38+U39)</f>
        <v>1813336418.9237499</v>
      </c>
      <c r="V40" s="594">
        <f>IFERROR(((U33*V33)/U40)+((U34*V34)/U40)+((U35*V35)/U40)+((U36*V36)/U40)+((U37*V37)/U40)+((U38*V38)/U40)+((U39*V39)/U40),0)</f>
        <v>5.5871599406637253E-2</v>
      </c>
      <c r="W40" s="622">
        <f>SUM(W33+W34+W35+W36+W37+W38+W39)</f>
        <v>23286313.539319996</v>
      </c>
      <c r="X40" s="594">
        <f>IFERROR(((W33*X33)/W40)+((W34*X34)/W40)+((W35*X35)/W40)+((W36*X36)/W40)+((W37*X37)/W40)+((W38*X38)/W40)+((W39*X39)/W40),0)</f>
        <v>0.14497712043625544</v>
      </c>
      <c r="Y40" s="622">
        <f>SUM(Y33+Y34+Y35+Y36+Y37+Y38+Y39)</f>
        <v>1790050105.3844299</v>
      </c>
      <c r="Z40" s="594">
        <f>IFERROR(((Y33*Z33)/Y40)+((Y34*Z34)/Y40)+((Y35*Z35)/Y40)+((Y36*Z36)/Y40)+((Y37*Z37)/Y40)+((Y38*Z38)/Y40)+((Y39*Z39)/Y40),0)</f>
        <v>5.4712447998227623E-2</v>
      </c>
      <c r="AA40" s="622">
        <f>SUM(AA33+AA34+AA35+AA36+AA37+AA38+AA39)</f>
        <v>2375063490.0781703</v>
      </c>
      <c r="AB40" s="594">
        <f>IFERROR(((AA33*AB33)/AA40)+((AA34*AB34)/AA40)+((AA35*AB35)/AA40)+((AA36*AB36)/AA40)+((AA37*AB37)/AA40)+((AA38*AB38)/AA40)+((AA39*AB39)/AA40),0)</f>
        <v>5.284012139702321E-2</v>
      </c>
      <c r="AC40" s="622">
        <f>SUM(AC33+AC34+AC35+AC36+AC37+AC38+AC39)</f>
        <v>53863653.199680001</v>
      </c>
      <c r="AD40" s="594">
        <f>IFERROR(((AC33*AD33)/AC40)+((AC34*AD34)/AC40)+((AC35*AD35)/AC40)+((AC36*AD36)/AC40)+((AC37*AD37)/AC40)+((AC38*AD38)/AC40)+((AC39*AD39)/AC40),0)</f>
        <v>0.13764885182219033</v>
      </c>
      <c r="AE40" s="622">
        <f>SUM(AE33+AE34+AE35+AE36+AE37+AE38+AE39)</f>
        <v>2321199836.8784904</v>
      </c>
      <c r="AF40" s="594">
        <f>IFERROR(((AE33*AF33)/AE40)+((AE34*AF34)/AE40)+((AE35*AF35)/AE40)+((AE36*AF36)/AE40)+((AE37*AF37)/AE40)+((AE38*AF38)/AE40)+((AE39*AF39)/AE40),0)</f>
        <v>5.0872127098837552E-2</v>
      </c>
      <c r="AG40" s="622">
        <f>SUM(AG33+AG34+AG35+AG36+AG37+AG38+AG39)</f>
        <v>6455616252.7844696</v>
      </c>
      <c r="AH40" s="594">
        <f>IFERROR(((AG33*AH33)/AG40)+((AG34*AH34)/AG40)+((AG35*AH35)/AG40)+((AG36*AH36)/AG40)+((AG37*AH37)/AG40)+((AG38*AH38)/AG40)+((AG39*AH39)/AG40),0)</f>
        <v>6.410181157502079E-2</v>
      </c>
      <c r="AI40" s="622">
        <f>SUM(AI33+AI34+AI35+AI36+AI37+AI38+AI39)</f>
        <v>159282106.74711999</v>
      </c>
      <c r="AJ40" s="594">
        <f>IFERROR(((AI33*AJ33)/AI40)+((AI34*AJ34)/AI40)+((AI35*AJ35)/AI40)+((AI36*AJ36)/AI40)+((AI37*AJ37)/AI40)+((AI38*AJ38)/AI40)+((AI39*AJ39)/AI40),0)</f>
        <v>0.14149330885693223</v>
      </c>
      <c r="AK40" s="622">
        <f>SUM(AK33+AK34+AK35+AK36+AK37+AK38+AK39)</f>
        <v>6296334146.0373497</v>
      </c>
      <c r="AL40" s="594">
        <f>IFERROR(((AK33*AL33)/AK40)+((AK34*AL34)/AK40)+((AK35*AL35)/AK40)+((AK36*AL36)/AK40)+((AK37*AL37)/AK40)+((AK38*AL38)/AK40)+((AK39*AL39)/AK40),0)</f>
        <v>6.2143992875208755E-2</v>
      </c>
      <c r="AM40" s="622">
        <f>SUM(AM33+AM34+AM35+AM36+AM37+AM38+AM39)</f>
        <v>6991440553.3470297</v>
      </c>
      <c r="AN40" s="594">
        <f>IFERROR(((AM33*AN33)/AM40)+((AM34*AN34)/AM40)+((AM35*AN35)/AM40)+((AM36*AN36)/AM40)+((AM37*AN37)/AM40)+((AM38*AN38)/AM40)+((AM39*AN39)/AM40),0)</f>
        <v>6.095909416224158E-2</v>
      </c>
      <c r="AO40" s="622">
        <f>SUM(AO33+AO34+AO35+AO36+AO37+AO38+AO39)</f>
        <v>302319602.98666</v>
      </c>
      <c r="AP40" s="594">
        <f>IFERROR(((AO33*AP33)/AO40)+((AO34*AP34)/AO40)+((AO35*AP35)/AO40)+((AO36*AP36)/AO40)+((AO37*AP37)/AO40)+((AO38*AP38)/AO40)+((AO39*AP39)/AO40),0)</f>
        <v>0.14045838879891792</v>
      </c>
      <c r="AQ40" s="622">
        <f>SUM(AQ33+AQ34+AQ35+AQ36+AQ37+AQ38+AQ39)</f>
        <v>6689120950.3603697</v>
      </c>
      <c r="AR40" s="594">
        <f>IFERROR(((AQ33*AR33)/AQ40)+((AQ34*AR34)/AQ40)+((AQ35*AR35)/AQ40)+((AQ36*AR36)/AQ40)+((AQ37*AR37)/AQ40)+((AQ38*AR38)/AQ40)+((AQ39*AR39)/AQ40),0)</f>
        <v>5.7366066712052535E-2</v>
      </c>
      <c r="AS40" s="622">
        <f>SUM(AS33+AS34+AS35+AS36+AS37+AS38+AS39)</f>
        <v>11203696712.503559</v>
      </c>
      <c r="AT40" s="594">
        <f>IFERROR(((AS33*AT33)/AS40)+((AS34*AT34)/AS40)+((AS35*AT35)/AS40)+((AS36*AT36)/AS40)+((AS37*AT37)/AS40)+((AS38*AT38)/AS40)+((AS39*AT39)/AS40),0)</f>
        <v>7.1681014060562917E-2</v>
      </c>
      <c r="AU40" s="622">
        <f>SUM(AU33+AU34+AU35+AU36+AU37+AU38+AU39)</f>
        <v>2780398473.6011105</v>
      </c>
      <c r="AV40" s="594">
        <f>IFERROR(((AU33*AV33)/AU40)+((AU34*AV34)/AU40)+((AU35*AV35)/AU40)+((AU36*AV36)/AU40)+((AU37*AV37)/AU40)+((AU38*AV38)/AU40)+((AU39*AV39)/AU40),0)</f>
        <v>0.1289010819545911</v>
      </c>
      <c r="AW40" s="622">
        <f>SUM(AW33+AW34+AW35+AW36+AW37+AW38+AW39)</f>
        <v>8423298238.9024496</v>
      </c>
      <c r="AX40" s="594">
        <f>IFERROR(((AW33*AX33)/AW40)+((AW34*AX34)/AW40)+((AW35*AX35)/AW40)+((AW36*AX36)/AW40)+((AW37*AX37)/AW40)+((AW38*AX38)/AW40)+((AW39*AX39)/AW40),0)</f>
        <v>5.2793568202699315E-2</v>
      </c>
      <c r="AY40" s="622">
        <f>SUM(AY33+AY34+AY35+AY36+AY37+AY38+AY39)</f>
        <v>29180875295.859547</v>
      </c>
      <c r="AZ40" s="594">
        <f>IFERROR(((AY33*AZ33)/AY40)+((AY34*AZ34)/AY40)+((AY35*AZ35)/AY40)+((AY36*AZ36)/AY40)+((AY37*AZ37)/AY40)+((AY38*AZ38)/AY40)+((AY39*AZ39)/AY40),0)</f>
        <v>6.485983657470977E-2</v>
      </c>
      <c r="BA40" s="622">
        <f>SUM(BA33+BA34+BA35+BA36+BA37+BA38+BA39)</f>
        <v>3329700628.8123879</v>
      </c>
      <c r="BB40" s="594">
        <f>IFERROR(((BA33*BB33)/BA40)+((BA34*BB34)/BA40)+((BA35*BB35)/BA40)+((BA36*BB36)/BA40)+((BA37*BB37)/BA40)+((BA38*BB38)/BA40)+((BA39*BB39)/BA40),0)</f>
        <v>0.13085951390804265</v>
      </c>
      <c r="BC40" s="622">
        <f>SUM(BC33+BC34+BC35+BC36+BC37+BC38+BC39)</f>
        <v>25851174667.047161</v>
      </c>
      <c r="BD40" s="594">
        <f>IFERROR(((BC33*BD33)/BC40)+((BC34*BD34)/BC40)+((BC35*BD35)/BC40)+((BC36*BD36)/BC40)+((BC37*BD37)/BC40)+((BC38*BD38)/BC40)+((BC39*BD39)/BC40),0)</f>
        <v>5.6358901125987473E-2</v>
      </c>
      <c r="BF40" s="605"/>
      <c r="BG40" s="605"/>
      <c r="BH40" s="616"/>
    </row>
    <row r="41" spans="1:60" s="615" customFormat="1">
      <c r="A41" s="623"/>
      <c r="B41" s="624"/>
      <c r="D41" s="625"/>
      <c r="F41" s="625"/>
      <c r="H41" s="625"/>
      <c r="J41" s="625"/>
      <c r="L41" s="625"/>
      <c r="N41" s="625"/>
      <c r="P41" s="625"/>
      <c r="R41" s="625"/>
      <c r="T41" s="625"/>
      <c r="V41" s="625"/>
      <c r="X41" s="625"/>
      <c r="Z41" s="625"/>
      <c r="AB41" s="625"/>
      <c r="AD41" s="625"/>
      <c r="AF41" s="625"/>
      <c r="AH41" s="625"/>
      <c r="AJ41" s="625"/>
      <c r="AL41" s="625"/>
      <c r="AN41" s="625"/>
      <c r="AP41" s="625"/>
      <c r="AR41" s="625"/>
      <c r="AT41" s="625"/>
      <c r="AV41" s="625"/>
      <c r="AX41" s="625"/>
      <c r="AZ41" s="625"/>
      <c r="BB41" s="625"/>
      <c r="BD41" s="625"/>
      <c r="BH41" s="616"/>
    </row>
    <row r="42" spans="1:60" s="615" customFormat="1" ht="15" customHeight="1">
      <c r="B42" s="620" t="s">
        <v>756</v>
      </c>
      <c r="D42" s="625"/>
      <c r="F42" s="625"/>
      <c r="H42" s="625"/>
      <c r="J42" s="625"/>
      <c r="L42" s="625"/>
      <c r="N42" s="625"/>
      <c r="P42" s="625"/>
      <c r="R42" s="625"/>
      <c r="T42" s="625"/>
      <c r="V42" s="625"/>
      <c r="X42" s="625"/>
      <c r="Z42" s="625"/>
      <c r="AB42" s="625"/>
      <c r="AD42" s="625"/>
      <c r="AF42" s="625"/>
      <c r="AH42" s="625"/>
      <c r="AJ42" s="625"/>
      <c r="AL42" s="625"/>
      <c r="AN42" s="625"/>
      <c r="AP42" s="625"/>
      <c r="AR42" s="625"/>
      <c r="AT42" s="625"/>
      <c r="AV42" s="625"/>
      <c r="AX42" s="625"/>
      <c r="AZ42" s="625"/>
      <c r="BB42" s="625"/>
      <c r="BD42" s="625"/>
    </row>
    <row r="43" spans="1:60" s="615" customFormat="1" ht="11.25" customHeight="1">
      <c r="B43" s="620"/>
      <c r="D43" s="625"/>
      <c r="F43" s="625"/>
      <c r="H43" s="625"/>
      <c r="J43" s="625"/>
      <c r="L43" s="625"/>
      <c r="N43" s="625"/>
      <c r="P43" s="625"/>
      <c r="R43" s="625"/>
      <c r="T43" s="625"/>
      <c r="V43" s="625"/>
      <c r="X43" s="625"/>
      <c r="Z43" s="625"/>
      <c r="AB43" s="625"/>
      <c r="AD43" s="625"/>
      <c r="AF43" s="625"/>
      <c r="AH43" s="625"/>
      <c r="AJ43" s="625"/>
      <c r="AL43" s="625"/>
      <c r="AN43" s="625"/>
      <c r="AP43" s="625"/>
      <c r="AR43" s="625"/>
      <c r="AT43" s="625"/>
      <c r="AV43" s="625"/>
      <c r="AX43" s="625"/>
      <c r="AZ43" s="625"/>
      <c r="BB43" s="625"/>
      <c r="BD43" s="625"/>
    </row>
    <row r="44" spans="1:60" s="615" customFormat="1" ht="15" customHeight="1">
      <c r="B44" s="620" t="s">
        <v>757</v>
      </c>
      <c r="D44" s="625"/>
      <c r="F44" s="625"/>
      <c r="H44" s="625"/>
      <c r="J44" s="625"/>
      <c r="L44" s="625"/>
      <c r="N44" s="625"/>
      <c r="P44" s="625"/>
      <c r="R44" s="625"/>
      <c r="T44" s="625"/>
      <c r="V44" s="625"/>
      <c r="X44" s="625"/>
      <c r="Z44" s="625"/>
      <c r="AB44" s="625"/>
      <c r="AD44" s="625"/>
      <c r="AF44" s="625"/>
      <c r="AH44" s="625"/>
      <c r="AJ44" s="625"/>
      <c r="AL44" s="625"/>
      <c r="AN44" s="625"/>
      <c r="AP44" s="625"/>
      <c r="AR44" s="625"/>
      <c r="AT44" s="625"/>
      <c r="AV44" s="625"/>
      <c r="AX44" s="625"/>
      <c r="AZ44" s="625"/>
      <c r="BB44" s="625"/>
      <c r="BD44" s="625"/>
    </row>
    <row r="45" spans="1:60" s="615" customFormat="1">
      <c r="A45" s="623"/>
      <c r="B45" s="624"/>
      <c r="D45" s="625"/>
      <c r="F45" s="625"/>
      <c r="H45" s="625"/>
      <c r="J45" s="625"/>
      <c r="L45" s="625"/>
      <c r="N45" s="625"/>
      <c r="P45" s="625"/>
      <c r="R45" s="625"/>
      <c r="T45" s="625"/>
      <c r="V45" s="625"/>
      <c r="X45" s="625"/>
      <c r="Z45" s="625"/>
      <c r="AB45" s="625"/>
      <c r="AD45" s="625"/>
      <c r="AF45" s="625"/>
      <c r="AH45" s="625"/>
      <c r="AJ45" s="625"/>
      <c r="AL45" s="625"/>
      <c r="AN45" s="625"/>
      <c r="AP45" s="625"/>
      <c r="AR45" s="625"/>
      <c r="AT45" s="625"/>
      <c r="AV45" s="625"/>
      <c r="AX45" s="625"/>
      <c r="AZ45" s="625"/>
      <c r="BB45" s="625"/>
      <c r="BD45" s="625"/>
    </row>
  </sheetData>
  <sheetProtection password="CACA" sheet="1" objects="1" scenarios="1"/>
  <mergeCells count="40">
    <mergeCell ref="U5:U6"/>
    <mergeCell ref="C5:C6"/>
    <mergeCell ref="V5:V6"/>
    <mergeCell ref="AT5:AT6"/>
    <mergeCell ref="AU5:AX5"/>
    <mergeCell ref="AA5:AA6"/>
    <mergeCell ref="AB5:AB6"/>
    <mergeCell ref="AC5:AF5"/>
    <mergeCell ref="AG5:AG6"/>
    <mergeCell ref="AH5:AH6"/>
    <mergeCell ref="AI5:AL5"/>
    <mergeCell ref="AS4:AX4"/>
    <mergeCell ref="AY4:AY6"/>
    <mergeCell ref="AZ4:AZ6"/>
    <mergeCell ref="W5:Z5"/>
    <mergeCell ref="BC1:BD1"/>
    <mergeCell ref="BA3:BB3"/>
    <mergeCell ref="U4:Z4"/>
    <mergeCell ref="AA4:AF4"/>
    <mergeCell ref="BA4:BD5"/>
    <mergeCell ref="AM5:AM6"/>
    <mergeCell ref="AN5:AN6"/>
    <mergeCell ref="AO5:AR5"/>
    <mergeCell ref="AS5:AS6"/>
    <mergeCell ref="AG4:AL4"/>
    <mergeCell ref="AM4:AR4"/>
    <mergeCell ref="A1:BB1"/>
    <mergeCell ref="A4:A6"/>
    <mergeCell ref="B4:B6"/>
    <mergeCell ref="C4:H4"/>
    <mergeCell ref="I4:N4"/>
    <mergeCell ref="O4:T4"/>
    <mergeCell ref="D5:D6"/>
    <mergeCell ref="E5:H5"/>
    <mergeCell ref="I5:I6"/>
    <mergeCell ref="J5:J6"/>
    <mergeCell ref="K5:N5"/>
    <mergeCell ref="O5:O6"/>
    <mergeCell ref="P5:P6"/>
    <mergeCell ref="Q5:T5"/>
  </mergeCells>
  <conditionalFormatting sqref="G7:H7">
    <cfRule type="cellIs" dxfId="9" priority="1" operator="greaterThan">
      <formula>C7</formula>
    </cfRule>
  </conditionalFormatting>
  <conditionalFormatting sqref="M7:N7">
    <cfRule type="cellIs" dxfId="8" priority="2" operator="greaterThan">
      <formula>I7</formula>
    </cfRule>
  </conditionalFormatting>
  <conditionalFormatting sqref="S7:T7">
    <cfRule type="cellIs" dxfId="7" priority="3" operator="greaterThan">
      <formula>O7</formula>
    </cfRule>
  </conditionalFormatting>
  <conditionalFormatting sqref="Y7:Z7">
    <cfRule type="cellIs" dxfId="6" priority="4" operator="greaterThan">
      <formula>U7</formula>
    </cfRule>
  </conditionalFormatting>
  <conditionalFormatting sqref="AE7:AF7">
    <cfRule type="cellIs" dxfId="5" priority="5" operator="greaterThan">
      <formula>AA7</formula>
    </cfRule>
  </conditionalFormatting>
  <conditionalFormatting sqref="AK7:AL7">
    <cfRule type="cellIs" dxfId="4" priority="6" operator="greaterThan">
      <formula>AG7</formula>
    </cfRule>
  </conditionalFormatting>
  <conditionalFormatting sqref="AQ7:AR7">
    <cfRule type="cellIs" dxfId="3" priority="7" operator="greaterThan">
      <formula>AM7</formula>
    </cfRule>
  </conditionalFormatting>
  <conditionalFormatting sqref="AW7:AX7">
    <cfRule type="cellIs" dxfId="2" priority="8" operator="greaterThan">
      <formula>AS7</formula>
    </cfRule>
  </conditionalFormatting>
  <dataValidations count="3"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 xr:uid="{00000000-0002-0000-0F00-000000000000}">
      <formula1>-1E+28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 xr:uid="{00000000-0002-0000-0F00-000001000000}"/>
    <dataValidation type="date" operator="greaterThan" allowBlank="1" showInputMessage="1" showErrorMessage="1" prompt="Введите дату в формате ЧЧ.ММ.ГГГГ" sqref="BA3" xr:uid="{00000000-0002-0000-0F00-000002000000}">
      <formula1>DATE(96,1,1)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0"/>
  <dimension ref="A1:M52"/>
  <sheetViews>
    <sheetView view="pageBreakPreview" zoomScale="80" zoomScaleNormal="145" zoomScaleSheetLayoutView="80" workbookViewId="0">
      <pane xSplit="1" ySplit="5" topLeftCell="B6" activePane="bottomRight" state="frozen"/>
      <selection activeCell="A90" sqref="A90:G90"/>
      <selection pane="topRight" activeCell="A90" sqref="A90:G90"/>
      <selection pane="bottomLeft" activeCell="A90" sqref="A90:G90"/>
      <selection pane="bottomRight" activeCell="I18" sqref="I18"/>
    </sheetView>
  </sheetViews>
  <sheetFormatPr defaultColWidth="9" defaultRowHeight="12.75"/>
  <cols>
    <col min="1" max="1" width="5" style="15" customWidth="1"/>
    <col min="2" max="3" width="9" style="28" customWidth="1"/>
    <col min="4" max="4" width="25.42578125" style="28" customWidth="1"/>
    <col min="5" max="5" width="46.85546875" style="28" customWidth="1"/>
    <col min="6" max="6" width="15.42578125" style="28" bestFit="1" customWidth="1"/>
    <col min="7" max="7" width="9" style="28" customWidth="1"/>
    <col min="8" max="8" width="41.42578125" style="28" customWidth="1"/>
    <col min="9" max="9" width="20" style="28" customWidth="1"/>
    <col min="10" max="10" width="15" style="15" customWidth="1"/>
    <col min="11" max="11" width="15.5703125" style="28" customWidth="1"/>
    <col min="12" max="12" width="9" style="28"/>
    <col min="13" max="13" width="9" style="398"/>
    <col min="14" max="16384" width="9" style="28"/>
  </cols>
  <sheetData>
    <row r="1" spans="1:13" ht="27" customHeight="1">
      <c r="A1" s="652" t="s">
        <v>763</v>
      </c>
      <c r="B1" s="652"/>
      <c r="C1" s="652"/>
      <c r="D1" s="652"/>
      <c r="E1" s="652"/>
      <c r="F1" s="652"/>
      <c r="G1" s="652"/>
      <c r="H1" s="652"/>
      <c r="I1" s="779" t="s">
        <v>533</v>
      </c>
      <c r="J1" s="779"/>
      <c r="K1" s="779"/>
    </row>
    <row r="2" spans="1:13" ht="21" customHeight="1">
      <c r="A2" s="345"/>
      <c r="B2" s="804" t="str">
        <f>+'Asset quality'!B3</f>
        <v>"Ўзсаноатқурилишбанк" АТБ</v>
      </c>
      <c r="C2" s="804"/>
      <c r="D2" s="804"/>
      <c r="E2" s="346"/>
      <c r="F2" s="346"/>
      <c r="G2" s="346"/>
      <c r="H2" s="346"/>
      <c r="I2" s="232">
        <f>+'Asset quality'!Q3</f>
        <v>46021</v>
      </c>
      <c r="J2" s="82"/>
      <c r="K2" s="7"/>
    </row>
    <row r="3" spans="1:13" ht="6.75" customHeight="1">
      <c r="A3" s="780"/>
      <c r="B3" s="781"/>
      <c r="C3" s="781"/>
      <c r="D3" s="781"/>
      <c r="E3" s="781"/>
      <c r="F3" s="781"/>
      <c r="G3" s="781"/>
      <c r="H3" s="781"/>
      <c r="I3" s="781"/>
      <c r="J3" s="781"/>
      <c r="K3" s="782"/>
    </row>
    <row r="4" spans="1:13" s="175" customFormat="1" ht="48.75" customHeight="1">
      <c r="A4" s="793" t="s">
        <v>61</v>
      </c>
      <c r="B4" s="793" t="s">
        <v>534</v>
      </c>
      <c r="C4" s="793"/>
      <c r="D4" s="793"/>
      <c r="E4" s="793"/>
      <c r="F4" s="793" t="s">
        <v>535</v>
      </c>
      <c r="G4" s="793"/>
      <c r="H4" s="793"/>
      <c r="I4" s="236" t="s">
        <v>536</v>
      </c>
      <c r="J4" s="236" t="s">
        <v>537</v>
      </c>
      <c r="K4" s="236" t="s">
        <v>460</v>
      </c>
      <c r="M4" s="399"/>
    </row>
    <row r="5" spans="1:13" s="175" customFormat="1" ht="14.25" customHeight="1">
      <c r="A5" s="793"/>
      <c r="B5" s="793" t="s">
        <v>97</v>
      </c>
      <c r="C5" s="793"/>
      <c r="D5" s="793"/>
      <c r="E5" s="793"/>
      <c r="F5" s="793" t="s">
        <v>79</v>
      </c>
      <c r="G5" s="793"/>
      <c r="H5" s="793"/>
      <c r="I5" s="236" t="s">
        <v>89</v>
      </c>
      <c r="J5" s="236" t="s">
        <v>80</v>
      </c>
      <c r="K5" s="236" t="s">
        <v>81</v>
      </c>
      <c r="M5" s="399"/>
    </row>
    <row r="6" spans="1:13" s="174" customFormat="1">
      <c r="A6" s="347">
        <v>1</v>
      </c>
      <c r="B6" s="788" t="s">
        <v>538</v>
      </c>
      <c r="C6" s="789"/>
      <c r="D6" s="789"/>
      <c r="E6" s="789"/>
      <c r="F6" s="790"/>
      <c r="G6" s="790"/>
      <c r="H6" s="790"/>
      <c r="I6" s="790"/>
      <c r="J6" s="790"/>
      <c r="K6" s="790"/>
      <c r="M6" s="400"/>
    </row>
    <row r="7" spans="1:13" ht="24" customHeight="1">
      <c r="A7" s="794" t="s">
        <v>92</v>
      </c>
      <c r="B7" s="785" t="s">
        <v>539</v>
      </c>
      <c r="C7" s="796"/>
      <c r="D7" s="796"/>
      <c r="E7" s="797"/>
      <c r="F7" s="801" t="s">
        <v>542</v>
      </c>
      <c r="G7" s="802"/>
      <c r="H7" s="803"/>
      <c r="I7" s="783">
        <f>+'[9]Bank Capital Calc'!$C$51</f>
        <v>0.17019517352892405</v>
      </c>
      <c r="J7" s="171" t="s">
        <v>98</v>
      </c>
      <c r="K7" s="791" t="str">
        <f>IF(I7="",0-J8,(IF((I7-J8)&gt;0,"",I7-J8)))</f>
        <v/>
      </c>
    </row>
    <row r="8" spans="1:13">
      <c r="A8" s="795"/>
      <c r="B8" s="798"/>
      <c r="C8" s="799"/>
      <c r="D8" s="799"/>
      <c r="E8" s="800"/>
      <c r="F8" s="785" t="s">
        <v>543</v>
      </c>
      <c r="G8" s="786"/>
      <c r="H8" s="787"/>
      <c r="I8" s="784"/>
      <c r="J8" s="348">
        <v>0.13</v>
      </c>
      <c r="K8" s="792"/>
    </row>
    <row r="9" spans="1:13">
      <c r="A9" s="794" t="s">
        <v>93</v>
      </c>
      <c r="B9" s="785" t="s">
        <v>540</v>
      </c>
      <c r="C9" s="796"/>
      <c r="D9" s="796"/>
      <c r="E9" s="797"/>
      <c r="F9" s="817" t="s">
        <v>544</v>
      </c>
      <c r="G9" s="818"/>
      <c r="H9" s="819"/>
      <c r="I9" s="783">
        <f>+'[9]Bank Capital Calc'!$C$50</f>
        <v>0.14010168989633612</v>
      </c>
      <c r="J9" s="171" t="s">
        <v>98</v>
      </c>
      <c r="K9" s="791" t="str">
        <f>IF(I9="",0-J10,(IF((I9-J10)&gt;0,"",I9-J10)))</f>
        <v/>
      </c>
    </row>
    <row r="10" spans="1:13">
      <c r="A10" s="795"/>
      <c r="B10" s="805"/>
      <c r="C10" s="806"/>
      <c r="D10" s="806"/>
      <c r="E10" s="807"/>
      <c r="F10" s="811" t="s">
        <v>543</v>
      </c>
      <c r="G10" s="812"/>
      <c r="H10" s="813"/>
      <c r="I10" s="784"/>
      <c r="J10" s="348">
        <v>0.1</v>
      </c>
      <c r="K10" s="792"/>
    </row>
    <row r="11" spans="1:13" ht="12.75" customHeight="1">
      <c r="A11" s="794" t="s">
        <v>94</v>
      </c>
      <c r="B11" s="814" t="s">
        <v>541</v>
      </c>
      <c r="C11" s="815"/>
      <c r="D11" s="815"/>
      <c r="E11" s="816"/>
      <c r="F11" s="817" t="s">
        <v>545</v>
      </c>
      <c r="G11" s="818"/>
      <c r="H11" s="819"/>
      <c r="I11" s="783">
        <f>+'[9]Bank Capital Calc'!$C$49</f>
        <v>0.10211747538149984</v>
      </c>
      <c r="J11" s="171" t="s">
        <v>98</v>
      </c>
      <c r="K11" s="791" t="str">
        <f>IF(I11="",0-J12,(IF((I11-J12)&gt;0,"",I11-J12)))</f>
        <v/>
      </c>
    </row>
    <row r="12" spans="1:13" ht="24.75" customHeight="1">
      <c r="A12" s="795"/>
      <c r="B12" s="798"/>
      <c r="C12" s="799"/>
      <c r="D12" s="799"/>
      <c r="E12" s="800"/>
      <c r="F12" s="801" t="s">
        <v>543</v>
      </c>
      <c r="G12" s="802"/>
      <c r="H12" s="803"/>
      <c r="I12" s="784"/>
      <c r="J12" s="348">
        <v>0.08</v>
      </c>
      <c r="K12" s="792"/>
    </row>
    <row r="13" spans="1:13">
      <c r="A13" s="794" t="s">
        <v>95</v>
      </c>
      <c r="B13" s="814" t="s">
        <v>99</v>
      </c>
      <c r="C13" s="815"/>
      <c r="D13" s="815"/>
      <c r="E13" s="816"/>
      <c r="F13" s="808" t="s">
        <v>544</v>
      </c>
      <c r="G13" s="809"/>
      <c r="H13" s="810"/>
      <c r="I13" s="783">
        <f>+'[9]Bank Capital Calc'!$C$57</f>
        <v>0.12245793684494695</v>
      </c>
      <c r="J13" s="171" t="s">
        <v>98</v>
      </c>
      <c r="K13" s="791" t="str">
        <f>IF(I13="",0-J14,(IF((I13-J14)&gt;0,"",I13-J14)))</f>
        <v/>
      </c>
    </row>
    <row r="14" spans="1:13" ht="24.75" customHeight="1">
      <c r="A14" s="795"/>
      <c r="B14" s="798"/>
      <c r="C14" s="799"/>
      <c r="D14" s="799"/>
      <c r="E14" s="800"/>
      <c r="F14" s="801" t="s">
        <v>546</v>
      </c>
      <c r="G14" s="802"/>
      <c r="H14" s="803"/>
      <c r="I14" s="784"/>
      <c r="J14" s="348">
        <v>0.06</v>
      </c>
      <c r="K14" s="792"/>
    </row>
    <row r="15" spans="1:13" s="174" customFormat="1">
      <c r="A15" s="165">
        <v>2</v>
      </c>
      <c r="B15" s="788" t="s">
        <v>547</v>
      </c>
      <c r="C15" s="789"/>
      <c r="D15" s="789"/>
      <c r="E15" s="789"/>
      <c r="F15" s="790"/>
      <c r="G15" s="790"/>
      <c r="H15" s="790"/>
      <c r="I15" s="790"/>
      <c r="J15" s="790"/>
      <c r="K15" s="790"/>
      <c r="M15" s="400"/>
    </row>
    <row r="16" spans="1:13" s="174" customFormat="1" ht="12.75" customHeight="1">
      <c r="A16" s="794" t="s">
        <v>100</v>
      </c>
      <c r="B16" s="814" t="s">
        <v>548</v>
      </c>
      <c r="C16" s="815"/>
      <c r="D16" s="815"/>
      <c r="E16" s="816"/>
      <c r="F16" s="817" t="s">
        <v>552</v>
      </c>
      <c r="G16" s="818"/>
      <c r="H16" s="819"/>
      <c r="I16" s="783">
        <f>+'[8]Liquidity Analysis'!$C$18</f>
        <v>0.17306588970410505</v>
      </c>
      <c r="J16" s="171" t="s">
        <v>98</v>
      </c>
      <c r="K16" s="791" t="str">
        <f>IF(I16="",0-J17,(IF((I16-J17)&gt;0,"",I16-J17)))</f>
        <v/>
      </c>
      <c r="M16" s="400"/>
    </row>
    <row r="17" spans="1:13" s="174" customFormat="1">
      <c r="A17" s="795"/>
      <c r="B17" s="798"/>
      <c r="C17" s="799"/>
      <c r="D17" s="799"/>
      <c r="E17" s="800"/>
      <c r="F17" s="801" t="s">
        <v>279</v>
      </c>
      <c r="G17" s="802"/>
      <c r="H17" s="803"/>
      <c r="I17" s="839"/>
      <c r="J17" s="348">
        <v>0.1</v>
      </c>
      <c r="K17" s="792"/>
      <c r="M17" s="400"/>
    </row>
    <row r="18" spans="1:13" ht="15.75" customHeight="1">
      <c r="A18" s="794" t="s">
        <v>34</v>
      </c>
      <c r="B18" s="823" t="s">
        <v>549</v>
      </c>
      <c r="C18" s="815"/>
      <c r="D18" s="815"/>
      <c r="E18" s="349" t="s">
        <v>232</v>
      </c>
      <c r="F18" s="828" t="s">
        <v>552</v>
      </c>
      <c r="G18" s="829"/>
      <c r="H18" s="830"/>
      <c r="I18" s="235">
        <f>+'[8]Liquidity Analysis'!$C$24</f>
        <v>2.2294760168961187</v>
      </c>
      <c r="J18" s="840" t="s">
        <v>98</v>
      </c>
      <c r="K18" s="235" t="str">
        <f>IF(I18="",0-$J$20,(IF((I18-$J$20)&gt;0,"",I18-$J$20)))</f>
        <v/>
      </c>
    </row>
    <row r="19" spans="1:13" ht="15.75" customHeight="1">
      <c r="A19" s="834"/>
      <c r="B19" s="824"/>
      <c r="C19" s="825"/>
      <c r="D19" s="825"/>
      <c r="E19" s="350" t="s">
        <v>283</v>
      </c>
      <c r="F19" s="831"/>
      <c r="G19" s="832"/>
      <c r="H19" s="833"/>
      <c r="I19" s="235">
        <f>+'[8]Liquidity Analysis'!$D$24</f>
        <v>2.0462318998267874</v>
      </c>
      <c r="J19" s="841"/>
      <c r="K19" s="235" t="str">
        <f>IF(I19="",0-$J$20,(IF((I19-$J$20)&gt;0,"",I19-$J$20)))</f>
        <v/>
      </c>
    </row>
    <row r="20" spans="1:13" ht="15.75" customHeight="1">
      <c r="A20" s="795"/>
      <c r="B20" s="826"/>
      <c r="C20" s="827"/>
      <c r="D20" s="827"/>
      <c r="E20" s="350" t="s">
        <v>484</v>
      </c>
      <c r="F20" s="835" t="s">
        <v>553</v>
      </c>
      <c r="G20" s="835"/>
      <c r="H20" s="835"/>
      <c r="I20" s="235">
        <f>+'[8]Liquidity Analysis'!$E$24</f>
        <v>2.4604264513512284</v>
      </c>
      <c r="J20" s="170">
        <v>1</v>
      </c>
      <c r="K20" s="235" t="str">
        <f>IF(I20="",0-$J$20,(IF((I20-$J$20)&gt;0,"",I20-$J$20)))</f>
        <v/>
      </c>
    </row>
    <row r="21" spans="1:13" ht="15" customHeight="1">
      <c r="A21" s="794" t="s">
        <v>550</v>
      </c>
      <c r="B21" s="823" t="s">
        <v>551</v>
      </c>
      <c r="C21" s="815"/>
      <c r="D21" s="815"/>
      <c r="E21" s="349" t="s">
        <v>232</v>
      </c>
      <c r="F21" s="828" t="s">
        <v>554</v>
      </c>
      <c r="G21" s="829"/>
      <c r="H21" s="830"/>
      <c r="I21" s="235">
        <f>+'[8]Liquidity Analysis'!$C$29</f>
        <v>1.2223512885013232</v>
      </c>
      <c r="J21" s="840" t="s">
        <v>98</v>
      </c>
      <c r="K21" s="235" t="str">
        <f>IF(I21="",0-$J$23,(IF((I21-$J$23)&gt;0,"",I21-$J$23)))</f>
        <v/>
      </c>
    </row>
    <row r="22" spans="1:13" ht="15" customHeight="1">
      <c r="A22" s="834"/>
      <c r="B22" s="824"/>
      <c r="C22" s="825"/>
      <c r="D22" s="825"/>
      <c r="E22" s="350" t="s">
        <v>283</v>
      </c>
      <c r="F22" s="831"/>
      <c r="G22" s="832"/>
      <c r="H22" s="833"/>
      <c r="I22" s="235">
        <f>+'[8]Liquidity Analysis'!$D$29</f>
        <v>1.2859902677430535</v>
      </c>
      <c r="J22" s="841"/>
      <c r="K22" s="235" t="str">
        <f>IF(I22="",0-$J$23,(IF((I22-$J$23)&gt;0,"",I22-$J$23)))</f>
        <v/>
      </c>
    </row>
    <row r="23" spans="1:13" ht="15" customHeight="1">
      <c r="A23" s="795"/>
      <c r="B23" s="826"/>
      <c r="C23" s="827"/>
      <c r="D23" s="827"/>
      <c r="E23" s="350" t="s">
        <v>484</v>
      </c>
      <c r="F23" s="835" t="s">
        <v>555</v>
      </c>
      <c r="G23" s="835"/>
      <c r="H23" s="835"/>
      <c r="I23" s="235">
        <f>+'[8]Liquidity Analysis'!$E$29</f>
        <v>1.17022734428049</v>
      </c>
      <c r="J23" s="169">
        <v>1</v>
      </c>
      <c r="K23" s="235" t="str">
        <f>IF(I23="",0-$J$23,(IF((I23-$J$23)&gt;0,"",I23-$J$23)))</f>
        <v/>
      </c>
    </row>
    <row r="24" spans="1:13" s="174" customFormat="1">
      <c r="A24" s="165">
        <v>3</v>
      </c>
      <c r="B24" s="788" t="s">
        <v>556</v>
      </c>
      <c r="C24" s="789"/>
      <c r="D24" s="789"/>
      <c r="E24" s="789"/>
      <c r="F24" s="790"/>
      <c r="G24" s="790"/>
      <c r="H24" s="790"/>
      <c r="I24" s="790"/>
      <c r="J24" s="790"/>
      <c r="K24" s="790"/>
      <c r="M24" s="400"/>
    </row>
    <row r="25" spans="1:13" ht="24" customHeight="1">
      <c r="A25" s="794" t="s">
        <v>101</v>
      </c>
      <c r="B25" s="823" t="s">
        <v>557</v>
      </c>
      <c r="C25" s="815"/>
      <c r="D25" s="815"/>
      <c r="E25" s="816"/>
      <c r="F25" s="820" t="s">
        <v>561</v>
      </c>
      <c r="G25" s="821"/>
      <c r="H25" s="822"/>
      <c r="I25" s="783">
        <f>IFERROR((+' Largest risk'!Z90/'[9]Bank Capital Calc'!$C$34),0)</f>
        <v>0.15187467881014258</v>
      </c>
      <c r="J25" s="171" t="s">
        <v>102</v>
      </c>
      <c r="K25" s="783" t="str">
        <f>IF(I25="","",IF(I25&lt;0,"ОТР",IF((I25-J26)&lt;0,"",I25-J26)))</f>
        <v/>
      </c>
    </row>
    <row r="26" spans="1:13">
      <c r="A26" s="795"/>
      <c r="B26" s="842"/>
      <c r="C26" s="843"/>
      <c r="D26" s="843"/>
      <c r="E26" s="844"/>
      <c r="F26" s="808" t="s">
        <v>544</v>
      </c>
      <c r="G26" s="809"/>
      <c r="H26" s="810"/>
      <c r="I26" s="839"/>
      <c r="J26" s="170">
        <v>0.25</v>
      </c>
      <c r="K26" s="845"/>
    </row>
    <row r="27" spans="1:13" ht="28.5" customHeight="1">
      <c r="A27" s="794" t="s">
        <v>103</v>
      </c>
      <c r="B27" s="814" t="s">
        <v>558</v>
      </c>
      <c r="C27" s="815"/>
      <c r="D27" s="815"/>
      <c r="E27" s="816"/>
      <c r="F27" s="801" t="s">
        <v>562</v>
      </c>
      <c r="G27" s="802"/>
      <c r="H27" s="803"/>
      <c r="I27" s="836">
        <f>IFERROR((' Largest risk'!H9/'[9]Bank Capital Calc'!$C$34),0)</f>
        <v>0.1891035371880648</v>
      </c>
      <c r="J27" s="171" t="s">
        <v>102</v>
      </c>
      <c r="K27" s="791" t="str">
        <f>IF(I27&lt;0,"ОТР",IF((I27-J28)&lt;0,"",I27-J28))</f>
        <v/>
      </c>
      <c r="M27" s="398" t="s">
        <v>752</v>
      </c>
    </row>
    <row r="28" spans="1:13">
      <c r="A28" s="795"/>
      <c r="B28" s="831"/>
      <c r="C28" s="832"/>
      <c r="D28" s="832"/>
      <c r="E28" s="833"/>
      <c r="F28" s="808" t="s">
        <v>544</v>
      </c>
      <c r="G28" s="809"/>
      <c r="H28" s="810"/>
      <c r="I28" s="837"/>
      <c r="J28" s="170">
        <v>0.25</v>
      </c>
      <c r="K28" s="792"/>
    </row>
    <row r="29" spans="1:13" ht="36" customHeight="1">
      <c r="A29" s="794" t="s">
        <v>23</v>
      </c>
      <c r="B29" s="823" t="s">
        <v>559</v>
      </c>
      <c r="C29" s="815"/>
      <c r="D29" s="815"/>
      <c r="E29" s="816"/>
      <c r="F29" s="820" t="s">
        <v>563</v>
      </c>
      <c r="G29" s="821"/>
      <c r="H29" s="822"/>
      <c r="I29" s="836">
        <f>IFERROR((54271563/'[9]Bank Capital Calc'!$C$34),0)</f>
        <v>4.0699094475884516E-3</v>
      </c>
      <c r="J29" s="171" t="s">
        <v>102</v>
      </c>
      <c r="K29" s="791" t="str">
        <f>IF(I29&lt;0,"ОТР",IF((I29-J30)&lt;0,"",I29-J30))</f>
        <v/>
      </c>
      <c r="M29" s="398" t="s">
        <v>752</v>
      </c>
    </row>
    <row r="30" spans="1:13">
      <c r="A30" s="795"/>
      <c r="B30" s="831"/>
      <c r="C30" s="832"/>
      <c r="D30" s="832"/>
      <c r="E30" s="833"/>
      <c r="F30" s="808" t="s">
        <v>544</v>
      </c>
      <c r="G30" s="809"/>
      <c r="H30" s="810"/>
      <c r="I30" s="837"/>
      <c r="J30" s="170">
        <v>0.05</v>
      </c>
      <c r="K30" s="792"/>
    </row>
    <row r="31" spans="1:13" ht="14.25" customHeight="1">
      <c r="A31" s="794" t="s">
        <v>164</v>
      </c>
      <c r="B31" s="853" t="s">
        <v>560</v>
      </c>
      <c r="C31" s="825"/>
      <c r="D31" s="825"/>
      <c r="E31" s="854"/>
      <c r="F31" s="808" t="s">
        <v>564</v>
      </c>
      <c r="G31" s="809"/>
      <c r="H31" s="810"/>
      <c r="I31" s="783">
        <f>IFERROR((+' Largest risk'!Z89/'[9]Bank Capital Calc'!$C$34),0)</f>
        <v>1.0792540895919025</v>
      </c>
      <c r="J31" s="169" t="s">
        <v>102</v>
      </c>
      <c r="K31" s="791" t="str">
        <f>IF(I31="","",IF(I31&lt;0,"ОТР",IF((I31-J32)&lt;0,"",I31-J32)))</f>
        <v/>
      </c>
    </row>
    <row r="32" spans="1:13">
      <c r="A32" s="795"/>
      <c r="B32" s="831"/>
      <c r="C32" s="832"/>
      <c r="D32" s="832"/>
      <c r="E32" s="833"/>
      <c r="F32" s="808" t="s">
        <v>544</v>
      </c>
      <c r="G32" s="809"/>
      <c r="H32" s="810"/>
      <c r="I32" s="839"/>
      <c r="J32" s="169">
        <v>5</v>
      </c>
      <c r="K32" s="792"/>
    </row>
    <row r="33" spans="1:13" s="174" customFormat="1">
      <c r="A33" s="165">
        <v>4</v>
      </c>
      <c r="B33" s="838" t="s">
        <v>565</v>
      </c>
      <c r="C33" s="789"/>
      <c r="D33" s="789"/>
      <c r="E33" s="789"/>
      <c r="F33" s="790"/>
      <c r="G33" s="790"/>
      <c r="H33" s="790"/>
      <c r="I33" s="790"/>
      <c r="J33" s="790"/>
      <c r="K33" s="790"/>
      <c r="M33" s="400"/>
    </row>
    <row r="34" spans="1:13" ht="29.25" customHeight="1">
      <c r="A34" s="794" t="s">
        <v>104</v>
      </c>
      <c r="B34" s="852" t="s">
        <v>566</v>
      </c>
      <c r="C34" s="829"/>
      <c r="D34" s="829"/>
      <c r="E34" s="830"/>
      <c r="F34" s="801" t="s">
        <v>566</v>
      </c>
      <c r="G34" s="802"/>
      <c r="H34" s="803"/>
      <c r="I34" s="836">
        <f>1025413037/'[9]Bank Capital Calc'!$C$34</f>
        <v>7.6897328476916479E-2</v>
      </c>
      <c r="J34" s="171" t="s">
        <v>102</v>
      </c>
      <c r="K34" s="791" t="str">
        <f>IF(I34&lt;0,"ОТР",IF((I34-J35)&lt;0,"",I34-J35))</f>
        <v/>
      </c>
      <c r="M34" s="398" t="s">
        <v>752</v>
      </c>
    </row>
    <row r="35" spans="1:13">
      <c r="A35" s="795"/>
      <c r="B35" s="843"/>
      <c r="C35" s="843"/>
      <c r="D35" s="843"/>
      <c r="E35" s="844"/>
      <c r="F35" s="808" t="s">
        <v>544</v>
      </c>
      <c r="G35" s="809"/>
      <c r="H35" s="810"/>
      <c r="I35" s="837"/>
      <c r="J35" s="170">
        <v>0.15</v>
      </c>
      <c r="K35" s="792"/>
    </row>
    <row r="36" spans="1:13" ht="36" customHeight="1">
      <c r="A36" s="794" t="s">
        <v>25</v>
      </c>
      <c r="B36" s="852" t="s">
        <v>780</v>
      </c>
      <c r="C36" s="829"/>
      <c r="D36" s="829"/>
      <c r="E36" s="830"/>
      <c r="F36" s="801" t="s">
        <v>780</v>
      </c>
      <c r="G36" s="850"/>
      <c r="H36" s="851"/>
      <c r="I36" s="783">
        <f>IFERROR((+(+'[8]Investment Securities'!$B$15-'[8]Investment Securities'!$B$5-'[8]Investment Securities'!$B$6+'[8]Investment Securities'!$B$22+'[8]Investment Securities'!$B$23+'[8]Investment Securities'!$B$24+'[8]Investment Securities'!$B$25-'[8]Investment Securities'!$B$28)/'[9]Bank Capital Calc'!$C$34),0)</f>
        <v>0.14729783328197674</v>
      </c>
      <c r="J36" s="169" t="s">
        <v>102</v>
      </c>
      <c r="K36" s="791" t="str">
        <f>IF(I36="","",IF(I36&lt;0,"ОТР",IF((I36-J37)&lt;0,"",I36-J37)))</f>
        <v/>
      </c>
    </row>
    <row r="37" spans="1:13">
      <c r="A37" s="795"/>
      <c r="B37" s="843"/>
      <c r="C37" s="843"/>
      <c r="D37" s="843"/>
      <c r="E37" s="844"/>
      <c r="F37" s="808" t="s">
        <v>544</v>
      </c>
      <c r="G37" s="809"/>
      <c r="H37" s="810"/>
      <c r="I37" s="839"/>
      <c r="J37" s="169">
        <v>0.5</v>
      </c>
      <c r="K37" s="792"/>
    </row>
    <row r="38" spans="1:13" s="174" customFormat="1">
      <c r="A38" s="165">
        <v>5</v>
      </c>
      <c r="B38" s="838" t="s">
        <v>567</v>
      </c>
      <c r="C38" s="789"/>
      <c r="D38" s="789"/>
      <c r="E38" s="789"/>
      <c r="F38" s="790"/>
      <c r="G38" s="790"/>
      <c r="H38" s="790"/>
      <c r="I38" s="790"/>
      <c r="J38" s="790"/>
      <c r="K38" s="790"/>
      <c r="M38" s="400"/>
    </row>
    <row r="39" spans="1:13" ht="23.25" customHeight="1">
      <c r="A39" s="794" t="s">
        <v>105</v>
      </c>
      <c r="B39" s="846" t="s">
        <v>568</v>
      </c>
      <c r="C39" s="835"/>
      <c r="D39" s="835"/>
      <c r="E39" s="835"/>
      <c r="F39" s="801" t="s">
        <v>570</v>
      </c>
      <c r="G39" s="802"/>
      <c r="H39" s="803"/>
      <c r="I39" s="783">
        <f>IFERROR(((+'Transactions of related parties'!Z90-'[9]Bank Capital Calc'!$C$24)/'[9]Bank Capital Calc'!$C$34),0)</f>
        <v>7.6910519418218859E-2</v>
      </c>
      <c r="J39" s="171" t="s">
        <v>102</v>
      </c>
      <c r="K39" s="791" t="str">
        <f>IF(I39="","",IF(I39&lt;0,"ОТР",IF((I39-J40)&lt;0,"",I39-J40)))</f>
        <v/>
      </c>
    </row>
    <row r="40" spans="1:13">
      <c r="A40" s="795"/>
      <c r="B40" s="835"/>
      <c r="C40" s="835"/>
      <c r="D40" s="835"/>
      <c r="E40" s="835"/>
      <c r="F40" s="808" t="s">
        <v>544</v>
      </c>
      <c r="G40" s="809"/>
      <c r="H40" s="810"/>
      <c r="I40" s="849"/>
      <c r="J40" s="170">
        <v>0.15</v>
      </c>
      <c r="K40" s="792"/>
    </row>
    <row r="41" spans="1:13">
      <c r="A41" s="794" t="s">
        <v>215</v>
      </c>
      <c r="B41" s="846" t="s">
        <v>569</v>
      </c>
      <c r="C41" s="835"/>
      <c r="D41" s="835"/>
      <c r="E41" s="835"/>
      <c r="F41" s="826" t="s">
        <v>571</v>
      </c>
      <c r="G41" s="847"/>
      <c r="H41" s="848"/>
      <c r="I41" s="783">
        <f>IFERROR(((+'Transactions of related parties'!Z89-'[9]Bank Capital Calc'!$C$24)/'[9]Bank Capital Calc'!$C$34),0)</f>
        <v>0.12413392969868504</v>
      </c>
      <c r="J41" s="169" t="s">
        <v>102</v>
      </c>
      <c r="K41" s="791" t="str">
        <f>IF(I41="","",IF(I41&lt;0,"ОТР",IF((I41-J42)&lt;0,"",I41-J42)))</f>
        <v/>
      </c>
    </row>
    <row r="42" spans="1:13">
      <c r="A42" s="795"/>
      <c r="B42" s="835"/>
      <c r="C42" s="835"/>
      <c r="D42" s="835"/>
      <c r="E42" s="835"/>
      <c r="F42" s="808" t="s">
        <v>544</v>
      </c>
      <c r="G42" s="809"/>
      <c r="H42" s="810"/>
      <c r="I42" s="849"/>
      <c r="J42" s="170">
        <v>0.25</v>
      </c>
      <c r="K42" s="792"/>
    </row>
    <row r="43" spans="1:13" s="174" customFormat="1">
      <c r="A43" s="165">
        <v>6</v>
      </c>
      <c r="B43" s="838" t="s">
        <v>782</v>
      </c>
      <c r="C43" s="789"/>
      <c r="D43" s="789"/>
      <c r="E43" s="789"/>
      <c r="F43" s="790"/>
      <c r="G43" s="790"/>
      <c r="H43" s="790"/>
      <c r="I43" s="790"/>
      <c r="J43" s="790"/>
      <c r="K43" s="790"/>
      <c r="M43" s="400"/>
    </row>
    <row r="44" spans="1:13">
      <c r="A44" s="794" t="s">
        <v>197</v>
      </c>
      <c r="B44" s="814" t="s">
        <v>781</v>
      </c>
      <c r="C44" s="829"/>
      <c r="D44" s="829"/>
      <c r="E44" s="830"/>
      <c r="F44" s="801" t="s">
        <v>781</v>
      </c>
      <c r="G44" s="802"/>
      <c r="H44" s="803"/>
      <c r="I44" s="836">
        <v>0.41</v>
      </c>
      <c r="J44" s="169" t="s">
        <v>102</v>
      </c>
      <c r="K44" s="791" t="str">
        <f>IF(I44="","",IF(I44&lt;0,"ОТР",IF((I44-J45)&lt;0,"",I44-J45)))</f>
        <v/>
      </c>
      <c r="M44" s="398" t="s">
        <v>752</v>
      </c>
    </row>
    <row r="45" spans="1:13">
      <c r="A45" s="795"/>
      <c r="B45" s="831"/>
      <c r="C45" s="832"/>
      <c r="D45" s="832"/>
      <c r="E45" s="833"/>
      <c r="F45" s="808" t="s">
        <v>544</v>
      </c>
      <c r="G45" s="809"/>
      <c r="H45" s="810"/>
      <c r="I45" s="837"/>
      <c r="J45" s="170">
        <v>1</v>
      </c>
      <c r="K45" s="792"/>
    </row>
    <row r="47" spans="1:13" ht="15" customHeight="1">
      <c r="A47" s="28"/>
      <c r="B47" s="174" t="s">
        <v>756</v>
      </c>
      <c r="F47" s="157"/>
      <c r="G47" s="157"/>
      <c r="H47" s="157"/>
      <c r="I47" s="157"/>
      <c r="J47" s="157"/>
      <c r="K47" s="157"/>
      <c r="L47" s="157"/>
      <c r="M47" s="157"/>
    </row>
    <row r="48" spans="1:13" ht="11.25" customHeight="1">
      <c r="A48" s="28"/>
      <c r="B48" s="174"/>
      <c r="F48" s="157"/>
      <c r="G48" s="157"/>
      <c r="H48" s="157"/>
      <c r="I48" s="157"/>
      <c r="J48" s="157"/>
      <c r="K48" s="157"/>
      <c r="L48" s="157"/>
      <c r="M48" s="157"/>
    </row>
    <row r="49" spans="1:13" ht="15" customHeight="1">
      <c r="A49" s="28"/>
      <c r="B49" s="174" t="s">
        <v>757</v>
      </c>
      <c r="F49" s="157"/>
      <c r="G49" s="157"/>
      <c r="H49" s="157"/>
      <c r="I49" s="157"/>
      <c r="J49" s="157"/>
      <c r="K49" s="157"/>
      <c r="L49" s="157"/>
      <c r="M49" s="157"/>
    </row>
    <row r="50" spans="1:13" ht="12.75" customHeight="1"/>
    <row r="51" spans="1:13" ht="16.5" customHeight="1"/>
    <row r="52" spans="1:13" ht="27" customHeight="1"/>
  </sheetData>
  <sheetProtection algorithmName="SHA-512" hashValue="jh+LwOyTXjyScJAxSHb3I7PiMQTHecsfgsmojDF+EfN7zqWMmT+F3rxsNTEDYbkDyEZdfBU+3AqRS5qJHlrFZQ==" saltValue="9Frukb56ZUOL2SE+RtZXTg==" spinCount="100000" sheet="1" objects="1" scenarios="1"/>
  <mergeCells count="115">
    <mergeCell ref="K34:K35"/>
    <mergeCell ref="B36:E37"/>
    <mergeCell ref="F39:H39"/>
    <mergeCell ref="I39:I40"/>
    <mergeCell ref="F40:H40"/>
    <mergeCell ref="A29:A30"/>
    <mergeCell ref="J18:J19"/>
    <mergeCell ref="B34:E35"/>
    <mergeCell ref="I34:I35"/>
    <mergeCell ref="F35:H35"/>
    <mergeCell ref="A34:A35"/>
    <mergeCell ref="B31:E32"/>
    <mergeCell ref="I31:I32"/>
    <mergeCell ref="F32:H32"/>
    <mergeCell ref="F30:H30"/>
    <mergeCell ref="A31:A32"/>
    <mergeCell ref="F29:H29"/>
    <mergeCell ref="F31:H31"/>
    <mergeCell ref="F34:H34"/>
    <mergeCell ref="I27:I28"/>
    <mergeCell ref="A27:A28"/>
    <mergeCell ref="A21:A23"/>
    <mergeCell ref="A25:A26"/>
    <mergeCell ref="K31:K32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A39:A40"/>
    <mergeCell ref="B39:E40"/>
    <mergeCell ref="I41:I42"/>
    <mergeCell ref="K41:K42"/>
    <mergeCell ref="F42:H42"/>
    <mergeCell ref="K39:K40"/>
    <mergeCell ref="B38:E38"/>
    <mergeCell ref="A36:A37"/>
    <mergeCell ref="B43:E43"/>
    <mergeCell ref="F43:K43"/>
    <mergeCell ref="F38:K38"/>
    <mergeCell ref="K36:K37"/>
    <mergeCell ref="F37:H37"/>
    <mergeCell ref="F36:H36"/>
    <mergeCell ref="I16:I17"/>
    <mergeCell ref="F26:H26"/>
    <mergeCell ref="B24:E24"/>
    <mergeCell ref="F24:K24"/>
    <mergeCell ref="F23:H23"/>
    <mergeCell ref="F21:H22"/>
    <mergeCell ref="J21:J22"/>
    <mergeCell ref="B27:E28"/>
    <mergeCell ref="K16:K17"/>
    <mergeCell ref="B25:E26"/>
    <mergeCell ref="K25:K26"/>
    <mergeCell ref="K29:K30"/>
    <mergeCell ref="K27:K28"/>
    <mergeCell ref="F28:H28"/>
    <mergeCell ref="B29:E30"/>
    <mergeCell ref="I29:I30"/>
    <mergeCell ref="B21:D23"/>
    <mergeCell ref="B33:E33"/>
    <mergeCell ref="F33:K33"/>
    <mergeCell ref="I25:I26"/>
    <mergeCell ref="A16:A17"/>
    <mergeCell ref="B16:E17"/>
    <mergeCell ref="F16:H16"/>
    <mergeCell ref="F17:H17"/>
    <mergeCell ref="F25:H25"/>
    <mergeCell ref="F27:H27"/>
    <mergeCell ref="B18:D20"/>
    <mergeCell ref="F18:H19"/>
    <mergeCell ref="A18:A20"/>
    <mergeCell ref="F20:H2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K13:K14"/>
    <mergeCell ref="F14:H14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</mergeCells>
  <phoneticPr fontId="16" type="noConversion"/>
  <dataValidations xWindow="979" yWindow="728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39:I42 I31:I32 I44:I45 I36" xr:uid="{00000000-0002-0000-10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1000-000001000000}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21">
    <pageSetUpPr fitToPage="1"/>
  </sheetPr>
  <dimension ref="A1:M30"/>
  <sheetViews>
    <sheetView view="pageBreakPreview" zoomScale="85" zoomScaleNormal="100" zoomScaleSheetLayoutView="85" workbookViewId="0">
      <pane xSplit="1" ySplit="2" topLeftCell="B3" activePane="bottomRight" state="frozen"/>
      <selection activeCell="J79" sqref="J79"/>
      <selection pane="topRight" activeCell="J79" sqref="J79"/>
      <selection pane="bottomLeft" activeCell="J79" sqref="J79"/>
      <selection pane="bottomRight" activeCell="C16" sqref="C16"/>
    </sheetView>
  </sheetViews>
  <sheetFormatPr defaultRowHeight="12.75"/>
  <cols>
    <col min="1" max="1" width="6" style="28" customWidth="1"/>
    <col min="2" max="2" width="71.85546875" style="231" customWidth="1"/>
    <col min="3" max="3" width="19.28515625" style="28" customWidth="1"/>
    <col min="4" max="16384" width="9.140625" style="28"/>
  </cols>
  <sheetData>
    <row r="1" spans="1:5" s="15" customFormat="1" ht="39.75" customHeight="1">
      <c r="B1" s="16" t="s">
        <v>572</v>
      </c>
      <c r="C1" s="16" t="s">
        <v>573</v>
      </c>
    </row>
    <row r="2" spans="1:5" s="15" customFormat="1" ht="35.25" customHeight="1">
      <c r="A2" s="167"/>
      <c r="B2" s="167" t="str">
        <f>+'Asset quality'!B3</f>
        <v>"Ўзсаноатқурилишбанк" АТБ</v>
      </c>
      <c r="C2" s="380">
        <f>+'Economic Normatives'!I2</f>
        <v>46021</v>
      </c>
    </row>
    <row r="3" spans="1:5" s="15" customFormat="1" ht="32.25" customHeight="1">
      <c r="A3" s="275">
        <v>1</v>
      </c>
      <c r="B3" s="152" t="s">
        <v>574</v>
      </c>
      <c r="C3" s="18"/>
    </row>
    <row r="4" spans="1:5" s="19" customFormat="1" ht="30" customHeight="1">
      <c r="A4" s="351" t="s">
        <v>46</v>
      </c>
      <c r="B4" s="352" t="s">
        <v>575</v>
      </c>
      <c r="C4" s="18">
        <v>3960</v>
      </c>
    </row>
    <row r="5" spans="1:5" s="19" customFormat="1" ht="30" customHeight="1">
      <c r="A5" s="351" t="s">
        <v>42</v>
      </c>
      <c r="B5" s="352" t="s">
        <v>576</v>
      </c>
      <c r="C5" s="18">
        <v>3965</v>
      </c>
    </row>
    <row r="6" spans="1:5" s="15" customFormat="1" ht="32.25" customHeight="1">
      <c r="A6" s="275">
        <v>2</v>
      </c>
      <c r="B6" s="152" t="s">
        <v>577</v>
      </c>
      <c r="C6" s="18">
        <f>+C8+C9+C10+C11</f>
        <v>105</v>
      </c>
    </row>
    <row r="7" spans="1:5" s="15" customFormat="1">
      <c r="A7" s="275"/>
      <c r="B7" s="353" t="s">
        <v>578</v>
      </c>
      <c r="C7" s="215"/>
    </row>
    <row r="8" spans="1:5" s="19" customFormat="1" ht="30" customHeight="1">
      <c r="A8" s="351" t="s">
        <v>46</v>
      </c>
      <c r="B8" s="352" t="s">
        <v>579</v>
      </c>
      <c r="C8" s="18">
        <v>1</v>
      </c>
    </row>
    <row r="9" spans="1:5" s="19" customFormat="1" ht="30" customHeight="1">
      <c r="A9" s="351" t="s">
        <v>42</v>
      </c>
      <c r="B9" s="352" t="s">
        <v>580</v>
      </c>
      <c r="C9" s="18">
        <v>0</v>
      </c>
    </row>
    <row r="10" spans="1:5" s="19" customFormat="1" ht="30" customHeight="1">
      <c r="A10" s="351" t="s">
        <v>44</v>
      </c>
      <c r="B10" s="352" t="s">
        <v>581</v>
      </c>
      <c r="C10" s="18">
        <v>28</v>
      </c>
    </row>
    <row r="11" spans="1:5" s="19" customFormat="1" ht="30" customHeight="1">
      <c r="A11" s="351" t="s">
        <v>51</v>
      </c>
      <c r="B11" s="352" t="s">
        <v>582</v>
      </c>
      <c r="C11" s="18">
        <v>76</v>
      </c>
    </row>
    <row r="12" spans="1:5" s="15" customFormat="1" ht="30" customHeight="1">
      <c r="A12" s="354">
        <v>3</v>
      </c>
      <c r="B12" s="355" t="s">
        <v>583</v>
      </c>
      <c r="C12" s="195">
        <f>C14+C15+C16</f>
        <v>3200223</v>
      </c>
    </row>
    <row r="13" spans="1:5" s="15" customFormat="1">
      <c r="A13" s="356"/>
      <c r="B13" s="357" t="s">
        <v>578</v>
      </c>
      <c r="C13" s="215"/>
    </row>
    <row r="14" spans="1:5" s="19" customFormat="1" ht="30" customHeight="1">
      <c r="A14" s="168" t="s">
        <v>46</v>
      </c>
      <c r="B14" s="357" t="s">
        <v>584</v>
      </c>
      <c r="C14" s="18">
        <v>3115112</v>
      </c>
    </row>
    <row r="15" spans="1:5" s="19" customFormat="1" ht="30" customHeight="1">
      <c r="A15" s="168" t="s">
        <v>42</v>
      </c>
      <c r="B15" s="357" t="s">
        <v>585</v>
      </c>
      <c r="C15" s="18">
        <v>38128</v>
      </c>
    </row>
    <row r="16" spans="1:5" s="19" customFormat="1" ht="30" customHeight="1">
      <c r="A16" s="168" t="s">
        <v>44</v>
      </c>
      <c r="B16" s="357" t="s">
        <v>586</v>
      </c>
      <c r="C16" s="195">
        <f>+C18+C19+C20+C21+C22</f>
        <v>46983</v>
      </c>
      <c r="E16" s="19" t="s">
        <v>753</v>
      </c>
    </row>
    <row r="17" spans="1:13" s="19" customFormat="1">
      <c r="A17" s="168"/>
      <c r="B17" s="357" t="s">
        <v>587</v>
      </c>
      <c r="C17" s="18">
        <v>46964</v>
      </c>
      <c r="E17" s="19" t="s">
        <v>754</v>
      </c>
    </row>
    <row r="18" spans="1:13" s="19" customFormat="1" ht="30" customHeight="1">
      <c r="A18" s="168" t="s">
        <v>216</v>
      </c>
      <c r="B18" s="358" t="s">
        <v>588</v>
      </c>
      <c r="C18" s="18">
        <v>784</v>
      </c>
    </row>
    <row r="19" spans="1:13" s="19" customFormat="1" ht="29.25" customHeight="1">
      <c r="A19" s="168" t="s">
        <v>216</v>
      </c>
      <c r="B19" s="358" t="s">
        <v>589</v>
      </c>
      <c r="C19" s="18">
        <v>43617</v>
      </c>
    </row>
    <row r="20" spans="1:13" s="19" customFormat="1" ht="30" customHeight="1">
      <c r="A20" s="168" t="s">
        <v>216</v>
      </c>
      <c r="B20" s="358" t="s">
        <v>590</v>
      </c>
      <c r="C20" s="18">
        <v>749</v>
      </c>
    </row>
    <row r="21" spans="1:13" s="19" customFormat="1" ht="30" customHeight="1">
      <c r="A21" s="168" t="s">
        <v>216</v>
      </c>
      <c r="B21" s="358" t="s">
        <v>591</v>
      </c>
      <c r="C21" s="18">
        <v>2</v>
      </c>
    </row>
    <row r="22" spans="1:13" s="19" customFormat="1" ht="30" customHeight="1">
      <c r="A22" s="168" t="s">
        <v>216</v>
      </c>
      <c r="B22" s="358" t="s">
        <v>592</v>
      </c>
      <c r="C22" s="18">
        <v>1831</v>
      </c>
    </row>
    <row r="23" spans="1:13" s="15" customFormat="1" ht="32.25" customHeight="1">
      <c r="A23" s="354">
        <v>4</v>
      </c>
      <c r="B23" s="164" t="s">
        <v>593</v>
      </c>
      <c r="C23" s="359"/>
    </row>
    <row r="24" spans="1:13" s="19" customFormat="1" ht="30" customHeight="1">
      <c r="A24" s="168" t="s">
        <v>46</v>
      </c>
      <c r="B24" s="357" t="s">
        <v>594</v>
      </c>
      <c r="C24" s="18" t="s">
        <v>926</v>
      </c>
    </row>
    <row r="25" spans="1:13" s="19" customFormat="1" ht="30" customHeight="1">
      <c r="A25" s="168" t="s">
        <v>42</v>
      </c>
      <c r="B25" s="357" t="s">
        <v>595</v>
      </c>
      <c r="C25" s="18" t="s">
        <v>927</v>
      </c>
    </row>
    <row r="26" spans="1:13" s="15" customFormat="1" ht="12" customHeight="1">
      <c r="B26" s="212"/>
    </row>
    <row r="27" spans="1:13" ht="15" customHeight="1">
      <c r="B27" s="174" t="s">
        <v>756</v>
      </c>
      <c r="F27" s="157"/>
      <c r="G27" s="157"/>
      <c r="H27" s="157"/>
      <c r="I27" s="157"/>
      <c r="J27" s="157"/>
      <c r="K27" s="157"/>
      <c r="L27" s="157"/>
      <c r="M27" s="157"/>
    </row>
    <row r="28" spans="1:13" ht="11.25" customHeight="1">
      <c r="B28" s="174"/>
      <c r="F28" s="157"/>
      <c r="G28" s="157"/>
      <c r="H28" s="157"/>
      <c r="I28" s="157"/>
      <c r="J28" s="157"/>
      <c r="K28" s="157"/>
      <c r="L28" s="157"/>
      <c r="M28" s="157"/>
    </row>
    <row r="29" spans="1:13" ht="15" customHeight="1">
      <c r="B29" s="174" t="s">
        <v>757</v>
      </c>
      <c r="F29" s="157"/>
      <c r="G29" s="157"/>
      <c r="H29" s="157"/>
      <c r="I29" s="157"/>
      <c r="J29" s="157"/>
      <c r="K29" s="157"/>
      <c r="L29" s="157"/>
      <c r="M29" s="157"/>
    </row>
    <row r="30" spans="1:13">
      <c r="A30" s="15"/>
      <c r="B30" s="174"/>
    </row>
  </sheetData>
  <sheetProtection password="CACA" sheet="1" objects="1" scenarios="1"/>
  <phoneticPr fontId="16" type="noConversion"/>
  <dataValidations count="1">
    <dataValidation type="whole" operator="greaterThanOrEqual" allowBlank="1" showErrorMessage="1" error="Введите как целое положительное число." sqref="C8 C4:C5" xr:uid="{00000000-0002-0000-11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31"/>
  <dimension ref="A1:P54"/>
  <sheetViews>
    <sheetView view="pageBreakPreview" zoomScale="55" zoomScaleNormal="40" zoomScaleSheetLayoutView="55" workbookViewId="0">
      <pane xSplit="1" ySplit="3" topLeftCell="B5" activePane="bottomRight" state="frozen"/>
      <selection activeCell="J79" sqref="J79"/>
      <selection pane="topRight" activeCell="J79" sqref="J79"/>
      <selection pane="bottomLeft" activeCell="J79" sqref="J79"/>
      <selection pane="bottomRight" activeCell="L16" sqref="L16"/>
    </sheetView>
  </sheetViews>
  <sheetFormatPr defaultColWidth="97.7109375" defaultRowHeight="18.75"/>
  <cols>
    <col min="1" max="1" width="103.140625" style="149" customWidth="1"/>
    <col min="2" max="2" width="24.85546875" style="150" bestFit="1" customWidth="1"/>
    <col min="3" max="3" width="14.7109375" style="147" customWidth="1"/>
    <col min="4" max="4" width="16.5703125" style="239" customWidth="1"/>
    <col min="5" max="5" width="25.85546875" style="150" bestFit="1" customWidth="1"/>
    <col min="6" max="6" width="9.7109375" style="150" customWidth="1"/>
    <col min="7" max="7" width="10.7109375" style="147" bestFit="1" customWidth="1"/>
    <col min="8" max="9" width="9.7109375" style="147" customWidth="1"/>
    <col min="10" max="10" width="19.140625" style="147" bestFit="1" customWidth="1"/>
    <col min="11" max="11" width="10.140625" style="150" customWidth="1"/>
    <col min="12" max="13" width="19.5703125" style="147" customWidth="1"/>
    <col min="14" max="14" width="3.85546875" style="147" bestFit="1" customWidth="1"/>
    <col min="15" max="16" width="26.140625" style="147" customWidth="1"/>
    <col min="17" max="16384" width="97.7109375" style="147"/>
  </cols>
  <sheetData>
    <row r="1" spans="1:16" s="151" customFormat="1" ht="33.75" customHeight="1">
      <c r="A1" s="855" t="s">
        <v>596</v>
      </c>
      <c r="B1" s="855"/>
      <c r="D1" s="237"/>
    </row>
    <row r="2" spans="1:16" ht="20.25">
      <c r="A2" s="405" t="str">
        <f>+'Asset quality'!B3</f>
        <v>"Ўзсаноатқурилишбанк" АТБ</v>
      </c>
      <c r="B2" s="252" t="str">
        <f>+'Asset quality'!T3</f>
        <v>минг. сўмда</v>
      </c>
      <c r="C2" s="153" t="s">
        <v>202</v>
      </c>
      <c r="D2" s="238"/>
      <c r="E2" s="173"/>
      <c r="F2" s="173"/>
      <c r="K2" s="147"/>
    </row>
    <row r="3" spans="1:16" s="148" customFormat="1" ht="47.25" customHeight="1">
      <c r="A3" s="167" t="s">
        <v>597</v>
      </c>
      <c r="B3" s="233">
        <f>+'Asset quality'!Q3</f>
        <v>46021</v>
      </c>
      <c r="C3" s="166"/>
      <c r="D3" s="238"/>
      <c r="E3" s="173"/>
      <c r="F3" s="173"/>
      <c r="K3" s="153" t="s">
        <v>725</v>
      </c>
      <c r="L3" s="155" t="s">
        <v>200</v>
      </c>
      <c r="M3" s="153" t="s">
        <v>201</v>
      </c>
      <c r="N3" s="173"/>
      <c r="O3" s="154" t="s">
        <v>198</v>
      </c>
      <c r="P3" s="156" t="s">
        <v>199</v>
      </c>
    </row>
    <row r="4" spans="1:16" ht="37.5">
      <c r="A4" s="256" t="s">
        <v>598</v>
      </c>
      <c r="B4" s="161">
        <f>IFERROR((B5/B6),0)</f>
        <v>0.17019517352892405</v>
      </c>
      <c r="D4" s="238"/>
      <c r="E4" s="173"/>
      <c r="F4" s="173"/>
      <c r="G4" s="148"/>
      <c r="H4" s="148"/>
      <c r="I4" s="148"/>
      <c r="J4" s="257" t="s">
        <v>214</v>
      </c>
      <c r="K4" s="150">
        <v>1</v>
      </c>
      <c r="L4" s="543">
        <v>87596989839</v>
      </c>
      <c r="M4" s="543">
        <v>10025446358</v>
      </c>
      <c r="N4" s="173"/>
      <c r="O4" s="148"/>
      <c r="P4" s="148"/>
    </row>
    <row r="5" spans="1:16" ht="24" customHeight="1">
      <c r="A5" s="258" t="s">
        <v>542</v>
      </c>
      <c r="B5" s="162">
        <f>+'[9]Bank Capital Calc'!$C$44</f>
        <v>16199120982</v>
      </c>
      <c r="D5" s="238"/>
      <c r="E5" s="173"/>
      <c r="F5" s="173"/>
      <c r="G5" s="148"/>
      <c r="H5" s="148"/>
      <c r="I5" s="148"/>
      <c r="J5" s="257" t="s">
        <v>203</v>
      </c>
      <c r="K5" s="150">
        <v>2</v>
      </c>
      <c r="L5" s="543">
        <v>89237738137</v>
      </c>
      <c r="M5" s="543">
        <v>10160716114</v>
      </c>
      <c r="N5" s="147">
        <v>1</v>
      </c>
      <c r="O5" s="360">
        <f>+(L4+L5)/2</f>
        <v>88417363988</v>
      </c>
      <c r="P5" s="360">
        <f>+(M4+M5)/2</f>
        <v>10093081236</v>
      </c>
    </row>
    <row r="6" spans="1:16" ht="24" customHeight="1">
      <c r="A6" s="259" t="s">
        <v>599</v>
      </c>
      <c r="B6" s="163">
        <f>+'[9]Bank Capital Calc'!$C$45</f>
        <v>95179673113.626923</v>
      </c>
      <c r="D6" s="238"/>
      <c r="E6" s="173"/>
      <c r="F6" s="173"/>
      <c r="G6" s="148"/>
      <c r="H6" s="148"/>
      <c r="I6" s="148"/>
      <c r="J6" s="257" t="s">
        <v>204</v>
      </c>
      <c r="K6" s="150">
        <v>3</v>
      </c>
      <c r="L6" s="543">
        <v>90214721407</v>
      </c>
      <c r="M6" s="543">
        <v>10271457506</v>
      </c>
      <c r="N6" s="147">
        <v>2</v>
      </c>
      <c r="O6" s="360">
        <f>+(L4+L5+L6)/3</f>
        <v>89016483127.666672</v>
      </c>
      <c r="P6" s="360">
        <f>+(M4+M5+M6)/3</f>
        <v>10152539992.666666</v>
      </c>
    </row>
    <row r="7" spans="1:16" ht="37.5">
      <c r="A7" s="256" t="s">
        <v>600</v>
      </c>
      <c r="B7" s="161">
        <f>IFERROR((B8/B9),0)</f>
        <v>0.14010168989633612</v>
      </c>
      <c r="D7" s="238"/>
      <c r="E7" s="173"/>
      <c r="F7" s="173"/>
      <c r="G7" s="148"/>
      <c r="H7" s="148"/>
      <c r="I7" s="148"/>
      <c r="J7" s="257" t="s">
        <v>205</v>
      </c>
      <c r="K7" s="150">
        <v>4</v>
      </c>
      <c r="L7" s="543">
        <v>93437940398</v>
      </c>
      <c r="M7" s="543">
        <v>10400696436</v>
      </c>
      <c r="N7" s="147">
        <v>3</v>
      </c>
      <c r="O7" s="361">
        <f>+(L4+L7)/2</f>
        <v>90517465118.5</v>
      </c>
      <c r="P7" s="361">
        <f>+(M4+M7)/2</f>
        <v>10213071397</v>
      </c>
    </row>
    <row r="8" spans="1:16" ht="24" customHeight="1">
      <c r="A8" s="258" t="s">
        <v>544</v>
      </c>
      <c r="B8" s="162">
        <f>+'[9]Bank Capital Calc'!$C$34</f>
        <v>13334833047</v>
      </c>
      <c r="D8" s="238"/>
      <c r="E8" s="173"/>
      <c r="F8" s="173"/>
      <c r="G8" s="148"/>
      <c r="H8" s="148"/>
      <c r="I8" s="148"/>
      <c r="J8" s="257" t="s">
        <v>206</v>
      </c>
      <c r="K8" s="150">
        <v>5</v>
      </c>
      <c r="L8" s="543">
        <v>95150356555</v>
      </c>
      <c r="M8" s="543">
        <v>10527762992</v>
      </c>
      <c r="N8" s="147">
        <v>4</v>
      </c>
      <c r="O8" s="360">
        <f>+(+L4+L5+L6+L7+L8)/5</f>
        <v>91127549267.199997</v>
      </c>
      <c r="P8" s="360">
        <f>+(+M4+M5+M6+M7+M8)/5</f>
        <v>10277215881.200001</v>
      </c>
    </row>
    <row r="9" spans="1:16" ht="24" customHeight="1">
      <c r="A9" s="259" t="s">
        <v>599</v>
      </c>
      <c r="B9" s="163">
        <f>+'[9]Bank Capital Calc'!$C$45</f>
        <v>95179673113.626923</v>
      </c>
      <c r="D9" s="238"/>
      <c r="E9" s="173"/>
      <c r="F9" s="173"/>
      <c r="G9" s="148"/>
      <c r="H9" s="148"/>
      <c r="I9" s="148"/>
      <c r="J9" s="257" t="s">
        <v>207</v>
      </c>
      <c r="K9" s="150">
        <v>6</v>
      </c>
      <c r="L9" s="543">
        <v>95005857145</v>
      </c>
      <c r="M9" s="543">
        <v>10659552454</v>
      </c>
      <c r="N9" s="147">
        <v>5</v>
      </c>
      <c r="O9" s="360">
        <f>+(+L4+L5+L6+L7+L8+L9)/6</f>
        <v>91773933913.5</v>
      </c>
      <c r="P9" s="360">
        <f>+(+M4+M5+M6+M7+M8+M9)/6</f>
        <v>10340938643.333334</v>
      </c>
    </row>
    <row r="10" spans="1:16" ht="24" customHeight="1">
      <c r="A10" s="256" t="s">
        <v>846</v>
      </c>
      <c r="B10" s="161">
        <f>IFERROR((B11/B12),0)</f>
        <v>3.4159697519905149E-2</v>
      </c>
      <c r="D10" s="238"/>
      <c r="E10" s="173"/>
      <c r="F10" s="173"/>
      <c r="G10" s="148"/>
      <c r="H10" s="148"/>
      <c r="I10" s="148"/>
      <c r="J10" s="257" t="s">
        <v>208</v>
      </c>
      <c r="K10" s="150">
        <v>7</v>
      </c>
      <c r="L10" s="543">
        <v>97223485662</v>
      </c>
      <c r="M10" s="543">
        <v>10805273030</v>
      </c>
      <c r="N10" s="147">
        <v>6</v>
      </c>
      <c r="O10" s="361">
        <f>+(L4+L7+L10)/3</f>
        <v>92752805299.666672</v>
      </c>
      <c r="P10" s="361">
        <f>+(M4+M7+M10)/3</f>
        <v>10410471941.333334</v>
      </c>
    </row>
    <row r="11" spans="1:16" ht="24" customHeight="1">
      <c r="A11" s="258" t="s">
        <v>601</v>
      </c>
      <c r="B11" s="162">
        <f>+('Asset Classification'!M31-'Asset Classification'!O31+'Asset Classification'!Q31-'Asset Classification'!S31+'Asset Classification'!U31-'Asset Classification'!W31)</f>
        <v>405652072</v>
      </c>
      <c r="D11" s="238"/>
      <c r="E11" s="173"/>
      <c r="F11" s="173"/>
      <c r="G11" s="148"/>
      <c r="H11" s="148"/>
      <c r="I11" s="148"/>
      <c r="J11" s="257" t="s">
        <v>209</v>
      </c>
      <c r="K11" s="150">
        <v>8</v>
      </c>
      <c r="L11" s="543">
        <v>95407027241</v>
      </c>
      <c r="M11" s="543">
        <v>11015141133</v>
      </c>
      <c r="N11" s="147">
        <v>7</v>
      </c>
      <c r="O11" s="360">
        <f>(L4+L5+L6+L7+L8+L9+L10+L11)/8</f>
        <v>92909264548</v>
      </c>
      <c r="P11" s="360">
        <f>(M4+M5+M6+M7+M8+M9+M10+M11)/8</f>
        <v>10483255752.875</v>
      </c>
    </row>
    <row r="12" spans="1:16" ht="24" customHeight="1">
      <c r="A12" s="259" t="s">
        <v>844</v>
      </c>
      <c r="B12" s="163">
        <f>+B35</f>
        <v>11875165808</v>
      </c>
      <c r="D12" s="238"/>
      <c r="E12" s="173"/>
      <c r="F12" s="173"/>
      <c r="G12" s="148"/>
      <c r="H12" s="148"/>
      <c r="I12" s="148"/>
      <c r="J12" s="257" t="s">
        <v>210</v>
      </c>
      <c r="K12" s="150">
        <v>9</v>
      </c>
      <c r="L12" s="543">
        <v>97034183788</v>
      </c>
      <c r="M12" s="543">
        <v>11195484270</v>
      </c>
      <c r="N12" s="147">
        <v>8</v>
      </c>
      <c r="O12" s="360">
        <f>(L4+L5+L6+L7+L8+L9+L10+L11+L12)/9</f>
        <v>93367588908</v>
      </c>
      <c r="P12" s="360">
        <f>(M4+M5+M6+M7+M8+M9+M10+M11+M12)/9</f>
        <v>10562392254.777779</v>
      </c>
    </row>
    <row r="13" spans="1:16" ht="24" customHeight="1">
      <c r="A13" s="256" t="s">
        <v>602</v>
      </c>
      <c r="B13" s="161">
        <f>IFERROR((B14/B15),0)</f>
        <v>2.5292723144247211E-2</v>
      </c>
      <c r="D13" s="238"/>
      <c r="E13" s="173"/>
      <c r="F13" s="173"/>
      <c r="G13" s="148"/>
      <c r="H13" s="148"/>
      <c r="I13" s="148"/>
      <c r="J13" s="257" t="s">
        <v>211</v>
      </c>
      <c r="K13" s="150">
        <v>10</v>
      </c>
      <c r="L13" s="543">
        <v>95208174318</v>
      </c>
      <c r="M13" s="543">
        <v>11381049597</v>
      </c>
      <c r="N13" s="147">
        <v>9</v>
      </c>
      <c r="O13" s="361">
        <f>+(L4+L7+L10+L13)/4</f>
        <v>93366647554.25</v>
      </c>
      <c r="P13" s="361">
        <f>+(M4+M7+M10+M13)/4</f>
        <v>10653116355.25</v>
      </c>
    </row>
    <row r="14" spans="1:16" ht="24" customHeight="1">
      <c r="A14" s="258" t="s">
        <v>603</v>
      </c>
      <c r="B14" s="162">
        <f>+('Asset Classification'!M31+'Asset Classification'!Q31+'Asset Classification'!U31)</f>
        <v>1642397390</v>
      </c>
      <c r="D14" s="238"/>
      <c r="E14" s="173"/>
      <c r="F14" s="173"/>
      <c r="G14" s="148"/>
      <c r="H14" s="148"/>
      <c r="I14" s="148"/>
      <c r="J14" s="257" t="s">
        <v>212</v>
      </c>
      <c r="K14" s="150">
        <v>11</v>
      </c>
      <c r="L14" s="543">
        <v>98087346266</v>
      </c>
      <c r="M14" s="543">
        <v>11506716726</v>
      </c>
      <c r="N14" s="147">
        <v>10</v>
      </c>
      <c r="O14" s="360">
        <f>(+L4+L5+L6+L7+L8+L9+L10+L11+L12+L13+L14)/11</f>
        <v>93963983705.090912</v>
      </c>
      <c r="P14" s="360">
        <f>(+M4+M5+M6+M7+M8+M9+M10+M11+M12+M13+M14)/11</f>
        <v>10722663328.727272</v>
      </c>
    </row>
    <row r="15" spans="1:16" ht="24" customHeight="1">
      <c r="A15" s="259" t="s">
        <v>604</v>
      </c>
      <c r="B15" s="163">
        <f>+'Loans Receivable'!C85</f>
        <v>64935569833</v>
      </c>
      <c r="D15" s="238"/>
      <c r="E15" s="173"/>
      <c r="F15" s="173"/>
      <c r="G15" s="148"/>
      <c r="H15" s="148"/>
      <c r="I15" s="148"/>
      <c r="J15" s="257" t="s">
        <v>213</v>
      </c>
      <c r="K15" s="150">
        <v>12</v>
      </c>
      <c r="L15" s="543">
        <v>100704607034</v>
      </c>
      <c r="M15" s="543">
        <v>11645735254</v>
      </c>
      <c r="N15" s="147">
        <v>11</v>
      </c>
      <c r="O15" s="360">
        <f>(+L4+L5+L6+L7+L8+L9+L10+L11+L12+L13+L14+L15)/12</f>
        <v>94525702315.833328</v>
      </c>
      <c r="P15" s="360">
        <f>(+M4+M5+M6+M7+M8+M9+M10+M11+M12+M13+M14+M15)/12</f>
        <v>10799585989.166666</v>
      </c>
    </row>
    <row r="16" spans="1:16" ht="24" customHeight="1">
      <c r="A16" s="256" t="s">
        <v>605</v>
      </c>
      <c r="B16" s="161">
        <f>IFERROR((B17/B18),0)</f>
        <v>2.3368867251795516E-2</v>
      </c>
      <c r="D16" s="238"/>
      <c r="E16" s="173"/>
      <c r="F16" s="173"/>
      <c r="G16" s="148"/>
      <c r="H16" s="148"/>
      <c r="I16" s="148"/>
      <c r="J16" s="257" t="s">
        <v>214</v>
      </c>
      <c r="K16" s="150">
        <v>13</v>
      </c>
      <c r="L16" s="543">
        <v>102438659711</v>
      </c>
      <c r="M16" s="543">
        <v>11875165808</v>
      </c>
      <c r="N16" s="147">
        <v>12</v>
      </c>
      <c r="O16" s="361">
        <f>+(L4+L7+L10+L13+L16)/5</f>
        <v>95181049985.600006</v>
      </c>
      <c r="P16" s="361">
        <f>+(M4+M7+M10+M13+M16)/5</f>
        <v>10897526245.799999</v>
      </c>
    </row>
    <row r="17" spans="1:16" ht="24" customHeight="1">
      <c r="A17" s="258" t="s">
        <v>606</v>
      </c>
      <c r="B17" s="162">
        <f>(+'Income '!C70)/MONTH(B3)*12</f>
        <v>2224273322</v>
      </c>
      <c r="C17" s="160"/>
      <c r="D17" s="238"/>
      <c r="E17" s="173"/>
      <c r="F17" s="173"/>
      <c r="G17" s="148"/>
      <c r="H17" s="148"/>
      <c r="I17" s="148"/>
      <c r="J17" s="239"/>
      <c r="K17" s="147"/>
      <c r="L17" s="544"/>
      <c r="M17" s="544"/>
      <c r="O17" s="360"/>
      <c r="P17" s="360"/>
    </row>
    <row r="18" spans="1:16" ht="24" customHeight="1">
      <c r="A18" s="259" t="s">
        <v>607</v>
      </c>
      <c r="B18" s="163">
        <f>VLOOKUP(MONTH(B3),$N$4:$P$16,2,0)</f>
        <v>95181049985.600006</v>
      </c>
      <c r="D18" s="238"/>
      <c r="E18" s="173"/>
      <c r="F18" s="173"/>
      <c r="G18" s="148"/>
      <c r="H18" s="148"/>
      <c r="I18" s="148"/>
      <c r="J18" s="239"/>
      <c r="K18" s="147"/>
    </row>
    <row r="19" spans="1:16" ht="24" customHeight="1">
      <c r="A19" s="260" t="s">
        <v>608</v>
      </c>
      <c r="B19" s="161">
        <f>IFERROR((B20/B21),0)</f>
        <v>0.17252258169367521</v>
      </c>
      <c r="D19" s="238"/>
      <c r="E19" s="173"/>
      <c r="F19" s="173"/>
      <c r="G19" s="148"/>
      <c r="H19" s="148"/>
      <c r="I19" s="148"/>
      <c r="K19" s="147"/>
    </row>
    <row r="20" spans="1:16" ht="24" customHeight="1">
      <c r="A20" s="261" t="s">
        <v>609</v>
      </c>
      <c r="B20" s="162">
        <f>(+'Income '!C77)/MONTH(B3)*12</f>
        <v>1880069362</v>
      </c>
      <c r="D20" s="238"/>
      <c r="E20" s="173"/>
      <c r="F20" s="173"/>
      <c r="G20" s="148"/>
      <c r="H20" s="148"/>
      <c r="I20" s="148"/>
      <c r="K20" s="147"/>
    </row>
    <row r="21" spans="1:16" ht="24" customHeight="1">
      <c r="A21" s="262" t="s">
        <v>847</v>
      </c>
      <c r="B21" s="163">
        <f>VLOOKUP(MONTH(B3),$N$4:$P$16,3,0)</f>
        <v>10897526245.799999</v>
      </c>
      <c r="D21" s="238"/>
      <c r="E21" s="173"/>
      <c r="F21" s="173"/>
      <c r="G21" s="148"/>
      <c r="H21" s="148"/>
      <c r="I21" s="148"/>
      <c r="K21" s="147"/>
    </row>
    <row r="22" spans="1:16" ht="24" customHeight="1">
      <c r="A22" s="260" t="s">
        <v>610</v>
      </c>
      <c r="B22" s="161">
        <f>IFERROR((B23/B24),0)</f>
        <v>0.32524060192395732</v>
      </c>
      <c r="D22" s="238"/>
      <c r="E22" s="173"/>
      <c r="F22" s="173"/>
      <c r="G22" s="148"/>
      <c r="H22" s="148"/>
      <c r="I22" s="148"/>
      <c r="K22" s="147"/>
    </row>
    <row r="23" spans="1:16" ht="24" customHeight="1">
      <c r="A23" s="261" t="s">
        <v>611</v>
      </c>
      <c r="B23" s="162">
        <f>+'Income '!C29</f>
        <v>3388602623</v>
      </c>
      <c r="D23" s="238"/>
      <c r="E23" s="173"/>
      <c r="F23" s="173"/>
      <c r="G23" s="148"/>
      <c r="H23" s="148"/>
      <c r="I23" s="148"/>
      <c r="K23" s="147"/>
    </row>
    <row r="24" spans="1:16" ht="24" customHeight="1">
      <c r="A24" s="262" t="s">
        <v>612</v>
      </c>
      <c r="B24" s="163">
        <f>+B27</f>
        <v>10418756462</v>
      </c>
      <c r="D24" s="238"/>
      <c r="E24" s="173"/>
      <c r="F24" s="173"/>
      <c r="G24" s="148"/>
      <c r="H24" s="148"/>
      <c r="I24" s="148"/>
      <c r="K24" s="147"/>
    </row>
    <row r="25" spans="1:16" ht="24" customHeight="1">
      <c r="A25" s="260" t="s">
        <v>613</v>
      </c>
      <c r="B25" s="161">
        <f>IFERROR((B26/B27),0)</f>
        <v>0.40929515778137399</v>
      </c>
      <c r="D25" s="238"/>
      <c r="E25" s="173"/>
      <c r="F25" s="173"/>
      <c r="G25" s="148"/>
      <c r="H25" s="148"/>
      <c r="I25" s="148"/>
      <c r="K25" s="147"/>
    </row>
    <row r="26" spans="1:16" ht="24" customHeight="1">
      <c r="A26" s="261" t="s">
        <v>614</v>
      </c>
      <c r="B26" s="162">
        <f>+'Income '!C52+'Income '!C68</f>
        <v>4264346570</v>
      </c>
      <c r="D26" s="238"/>
      <c r="E26" s="173"/>
      <c r="F26" s="173"/>
      <c r="G26" s="148"/>
      <c r="H26" s="148"/>
      <c r="I26" s="148"/>
      <c r="K26" s="147"/>
    </row>
    <row r="27" spans="1:16" ht="24" customHeight="1">
      <c r="A27" s="262" t="s">
        <v>612</v>
      </c>
      <c r="B27" s="163">
        <f>+'Income '!C29+'Income '!C44</f>
        <v>10418756462</v>
      </c>
      <c r="D27" s="238"/>
      <c r="E27" s="173"/>
      <c r="F27" s="173"/>
      <c r="G27" s="148"/>
      <c r="H27" s="148"/>
      <c r="I27" s="148"/>
      <c r="K27" s="147"/>
    </row>
    <row r="28" spans="1:16" ht="24" customHeight="1">
      <c r="A28" s="260" t="s">
        <v>615</v>
      </c>
      <c r="B28" s="161">
        <f>IFERROR((B29/B30),0)</f>
        <v>0.1376674148684284</v>
      </c>
      <c r="D28" s="238"/>
      <c r="E28" s="173"/>
      <c r="F28" s="173"/>
      <c r="G28" s="148"/>
      <c r="H28" s="148"/>
      <c r="I28" s="148"/>
      <c r="K28" s="147"/>
    </row>
    <row r="29" spans="1:16" ht="24" customHeight="1">
      <c r="A29" s="261" t="s">
        <v>616</v>
      </c>
      <c r="B29" s="162">
        <f>+B32</f>
        <v>14102465465</v>
      </c>
      <c r="D29" s="238"/>
      <c r="E29" s="173"/>
      <c r="F29" s="173"/>
      <c r="G29" s="148"/>
      <c r="H29" s="148"/>
      <c r="I29" s="148"/>
      <c r="K29" s="147"/>
    </row>
    <row r="30" spans="1:16" ht="24" customHeight="1">
      <c r="A30" s="262" t="s">
        <v>279</v>
      </c>
      <c r="B30" s="163">
        <f>+B36</f>
        <v>102438659711</v>
      </c>
      <c r="D30" s="238"/>
      <c r="E30" s="173"/>
      <c r="F30" s="173"/>
      <c r="G30" s="148"/>
      <c r="H30" s="148"/>
      <c r="I30" s="148"/>
      <c r="K30" s="147"/>
    </row>
    <row r="31" spans="1:16" ht="24" customHeight="1">
      <c r="A31" s="260" t="s">
        <v>617</v>
      </c>
      <c r="B31" s="161">
        <f>IFERROR((B29/B33),0)</f>
        <v>0.34874974138257708</v>
      </c>
      <c r="D31" s="238"/>
      <c r="E31" s="173"/>
      <c r="F31" s="173"/>
      <c r="G31" s="148"/>
      <c r="H31" s="148"/>
      <c r="I31" s="148"/>
      <c r="K31" s="147"/>
    </row>
    <row r="32" spans="1:16" ht="24" customHeight="1">
      <c r="A32" s="261" t="s">
        <v>616</v>
      </c>
      <c r="B32" s="162">
        <f>+B54</f>
        <v>14102465465</v>
      </c>
      <c r="D32" s="238"/>
      <c r="E32" s="173"/>
      <c r="F32" s="173"/>
      <c r="G32" s="148"/>
      <c r="H32" s="148"/>
      <c r="I32" s="148"/>
      <c r="K32" s="147"/>
    </row>
    <row r="33" spans="1:13" ht="24" customHeight="1">
      <c r="A33" s="262" t="s">
        <v>618</v>
      </c>
      <c r="B33" s="163">
        <f>+('[8]Bank Liabilities Analysis'!$C$42+'[8]Bank Liabilities Analysis'!$E$42+'[8]Bank Liabilities Analysis'!$G$42+'[8]Bank Liabilities Analysis'!$I$42+'[8]Bank Liabilities Analysis'!$K$42+'[8]Bank Liabilities Analysis'!$M$42)</f>
        <v>40437206947</v>
      </c>
      <c r="D33" s="238"/>
      <c r="E33" s="173"/>
      <c r="F33" s="173"/>
      <c r="G33" s="148"/>
      <c r="H33" s="148"/>
      <c r="I33" s="148"/>
      <c r="K33" s="147"/>
    </row>
    <row r="34" spans="1:13" ht="24" customHeight="1">
      <c r="A34" s="260" t="s">
        <v>848</v>
      </c>
      <c r="B34" s="161">
        <f>IFERROR((B35/B36),0)</f>
        <v>0.11592465033711125</v>
      </c>
      <c r="D34" s="238"/>
      <c r="E34" s="173"/>
      <c r="F34" s="173"/>
      <c r="G34" s="148"/>
      <c r="H34" s="148"/>
      <c r="I34" s="148"/>
      <c r="K34" s="147"/>
    </row>
    <row r="35" spans="1:13" ht="24" customHeight="1">
      <c r="A35" s="261" t="s">
        <v>845</v>
      </c>
      <c r="B35" s="162">
        <f>+[8]Balance!$C$77</f>
        <v>11875165808</v>
      </c>
      <c r="D35" s="238"/>
      <c r="E35" s="173"/>
      <c r="F35" s="173"/>
      <c r="G35" s="148"/>
      <c r="H35" s="148"/>
      <c r="I35" s="148"/>
      <c r="K35" s="147"/>
    </row>
    <row r="36" spans="1:13" ht="24" customHeight="1">
      <c r="A36" s="262" t="s">
        <v>279</v>
      </c>
      <c r="B36" s="163">
        <f>+[8]Balance!$C$47</f>
        <v>102438659711</v>
      </c>
      <c r="D36" s="238"/>
      <c r="E36" s="173"/>
      <c r="F36" s="173"/>
      <c r="G36" s="148"/>
      <c r="H36" s="148"/>
      <c r="I36" s="148"/>
      <c r="K36" s="147"/>
    </row>
    <row r="37" spans="1:13" ht="24" customHeight="1">
      <c r="A37" s="260" t="s">
        <v>849</v>
      </c>
      <c r="B37" s="161">
        <f>IFERROR((B38/B39),0)</f>
        <v>0.10164053273149885</v>
      </c>
      <c r="D37" s="238"/>
      <c r="E37" s="173"/>
      <c r="F37" s="173"/>
      <c r="G37" s="148"/>
      <c r="H37" s="148"/>
      <c r="I37" s="148"/>
      <c r="K37" s="147"/>
    </row>
    <row r="38" spans="1:13" ht="24" customHeight="1">
      <c r="A38" s="261" t="s">
        <v>619</v>
      </c>
      <c r="B38" s="162">
        <f>+'[9]Calculation of Risk'!$C$26</f>
        <v>1206998179</v>
      </c>
      <c r="D38" s="238"/>
      <c r="E38" s="173"/>
      <c r="F38" s="173"/>
      <c r="G38" s="148"/>
      <c r="H38" s="148"/>
      <c r="I38" s="148"/>
      <c r="K38" s="147"/>
    </row>
    <row r="39" spans="1:13" ht="24" customHeight="1">
      <c r="A39" s="262" t="s">
        <v>845</v>
      </c>
      <c r="B39" s="163">
        <f>+B35</f>
        <v>11875165808</v>
      </c>
      <c r="D39" s="238"/>
      <c r="E39" s="173"/>
      <c r="F39" s="173"/>
      <c r="G39" s="148"/>
      <c r="H39" s="148"/>
      <c r="I39" s="148"/>
      <c r="K39" s="147"/>
    </row>
    <row r="40" spans="1:13">
      <c r="E40" s="147"/>
      <c r="F40" s="147"/>
      <c r="K40" s="147"/>
    </row>
    <row r="41" spans="1:13" s="28" customFormat="1" ht="18">
      <c r="A41" s="404" t="s">
        <v>756</v>
      </c>
      <c r="F41" s="157"/>
      <c r="G41" s="157"/>
      <c r="H41" s="157"/>
      <c r="I41" s="157"/>
      <c r="J41" s="157"/>
      <c r="K41" s="157"/>
      <c r="L41" s="157"/>
      <c r="M41" s="157"/>
    </row>
    <row r="42" spans="1:13" s="28" customFormat="1" ht="11.25" customHeight="1">
      <c r="A42" s="404"/>
      <c r="F42" s="157"/>
      <c r="G42" s="157"/>
      <c r="H42" s="157"/>
      <c r="I42" s="157"/>
      <c r="J42" s="157"/>
      <c r="K42" s="157"/>
      <c r="L42" s="157"/>
      <c r="M42" s="157"/>
    </row>
    <row r="43" spans="1:13" s="28" customFormat="1" ht="18">
      <c r="A43" s="404" t="s">
        <v>757</v>
      </c>
      <c r="F43" s="157"/>
      <c r="G43" s="157"/>
      <c r="H43" s="157"/>
      <c r="I43" s="157"/>
      <c r="J43" s="157"/>
      <c r="K43" s="157"/>
      <c r="L43" s="157"/>
      <c r="M43" s="157"/>
    </row>
    <row r="44" spans="1:13" s="146" customFormat="1" ht="15.75">
      <c r="A44" s="145"/>
      <c r="D44" s="240"/>
      <c r="J44" s="144"/>
    </row>
    <row r="46" spans="1:13">
      <c r="A46" s="92" t="s">
        <v>726</v>
      </c>
      <c r="B46" s="92" t="s">
        <v>232</v>
      </c>
    </row>
    <row r="47" spans="1:13" s="28" customFormat="1" ht="13.5" customHeight="1">
      <c r="A47" s="152" t="s">
        <v>727</v>
      </c>
      <c r="B47" s="395">
        <f>+'[8]Liquidity Analysis'!C51</f>
        <v>2007364363</v>
      </c>
      <c r="C47" s="147"/>
      <c r="D47" s="239"/>
      <c r="E47" s="150"/>
      <c r="F47" s="157"/>
      <c r="G47" s="157"/>
      <c r="H47" s="158"/>
      <c r="I47" s="158"/>
      <c r="J47" s="157"/>
      <c r="K47" s="157"/>
      <c r="L47" s="157"/>
    </row>
    <row r="48" spans="1:13" s="28" customFormat="1" ht="13.5" customHeight="1">
      <c r="A48" s="152" t="s">
        <v>728</v>
      </c>
      <c r="B48" s="395">
        <f>+'[8]Liquidity Analysis'!C52</f>
        <v>4172748921</v>
      </c>
      <c r="C48" s="147"/>
      <c r="D48" s="239"/>
      <c r="E48" s="150"/>
      <c r="F48" s="157"/>
      <c r="G48" s="157"/>
      <c r="H48" s="158"/>
      <c r="I48" s="158"/>
      <c r="J48" s="157"/>
      <c r="K48" s="157"/>
      <c r="L48" s="157"/>
    </row>
    <row r="49" spans="1:12" s="28" customFormat="1" ht="13.5" customHeight="1">
      <c r="A49" s="152" t="s">
        <v>729</v>
      </c>
      <c r="B49" s="395">
        <f>+'[8]Liquidity Analysis'!C53</f>
        <v>704238186</v>
      </c>
      <c r="C49" s="147"/>
      <c r="D49" s="239"/>
      <c r="E49" s="150"/>
      <c r="F49" s="157"/>
      <c r="G49" s="157"/>
      <c r="H49" s="158"/>
      <c r="I49" s="158"/>
      <c r="J49" s="157"/>
      <c r="K49" s="157"/>
      <c r="L49" s="157"/>
    </row>
    <row r="50" spans="1:12" s="28" customFormat="1" ht="13.5" customHeight="1">
      <c r="A50" s="152" t="s">
        <v>730</v>
      </c>
      <c r="B50" s="395">
        <f>+'[8]Liquidity Analysis'!C54</f>
        <v>5283514175</v>
      </c>
      <c r="C50" s="147"/>
      <c r="D50" s="239"/>
      <c r="E50" s="150"/>
      <c r="F50" s="159"/>
      <c r="G50" s="159"/>
      <c r="H50" s="159"/>
      <c r="I50" s="158"/>
      <c r="J50" s="157"/>
      <c r="K50" s="157"/>
      <c r="L50" s="157"/>
    </row>
    <row r="51" spans="1:12" s="28" customFormat="1" ht="27.75" customHeight="1">
      <c r="A51" s="152" t="s">
        <v>731</v>
      </c>
      <c r="B51" s="395">
        <f>+'[8]Liquidity Analysis'!C55</f>
        <v>1934599820</v>
      </c>
      <c r="C51" s="147"/>
      <c r="D51" s="239"/>
      <c r="E51" s="150"/>
      <c r="F51" s="157"/>
      <c r="G51" s="157"/>
      <c r="H51" s="158"/>
      <c r="I51" s="158"/>
      <c r="J51" s="157"/>
      <c r="K51" s="157"/>
      <c r="L51" s="157"/>
    </row>
    <row r="52" spans="1:12" s="28" customFormat="1" ht="13.5" customHeight="1">
      <c r="A52" s="152" t="s">
        <v>732</v>
      </c>
      <c r="B52" s="395">
        <f>+'[8]Liquidity Analysis'!C58</f>
        <v>0</v>
      </c>
      <c r="C52" s="147"/>
      <c r="D52" s="239"/>
      <c r="E52" s="150"/>
      <c r="F52" s="157"/>
      <c r="G52" s="157"/>
      <c r="H52" s="158"/>
      <c r="I52" s="158"/>
      <c r="J52" s="157"/>
      <c r="K52" s="157"/>
      <c r="L52" s="157"/>
    </row>
    <row r="53" spans="1:12" s="28" customFormat="1" ht="13.5" customHeight="1">
      <c r="A53" s="152" t="s">
        <v>733</v>
      </c>
      <c r="B53" s="395">
        <f>+'[8]Liquidity Analysis'!C59</f>
        <v>0</v>
      </c>
      <c r="C53" s="147"/>
      <c r="D53" s="239"/>
      <c r="E53" s="150"/>
      <c r="F53" s="157"/>
      <c r="G53" s="157"/>
      <c r="H53" s="158"/>
      <c r="I53" s="158"/>
      <c r="J53" s="157"/>
      <c r="K53" s="157"/>
      <c r="L53" s="157"/>
    </row>
    <row r="54" spans="1:12" s="28" customFormat="1" ht="13.5" customHeight="1">
      <c r="A54" s="164" t="s">
        <v>734</v>
      </c>
      <c r="B54" s="425">
        <f>+'[8]Liquidity Analysis'!C60</f>
        <v>14102465465</v>
      </c>
      <c r="C54" s="147"/>
      <c r="D54" s="239"/>
      <c r="E54" s="150"/>
      <c r="F54" s="157"/>
      <c r="G54" s="157"/>
      <c r="H54" s="158"/>
      <c r="I54" s="159"/>
      <c r="J54" s="157"/>
      <c r="K54" s="157"/>
      <c r="L54" s="157"/>
    </row>
  </sheetData>
  <sheetProtection password="CACA" sheet="1" objects="1" scenarios="1"/>
  <mergeCells count="1">
    <mergeCell ref="A1:B1"/>
  </mergeCells>
  <conditionalFormatting sqref="B4 B7 B10 B13 B16 B19 B22 B25 B28 B31 B34 B37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" xr:uid="{00000000-0002-0000-1200-000000000000}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19</vt:i4>
      </vt:variant>
    </vt:vector>
  </HeadingPairs>
  <TitlesOfParts>
    <vt:vector size="38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IRRBB_fixed%</vt:lpstr>
      <vt:lpstr>IRRBB_floating%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'Economic Normatives'!Область_печати</vt:lpstr>
      <vt:lpstr>'Income '!Область_печати</vt:lpstr>
      <vt:lpstr>'IRRBB_fixed%'!Область_печати</vt:lpstr>
      <vt:lpstr>'IRRBB_floating%'!Область_печати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ACER</cp:lastModifiedBy>
  <cp:lastPrinted>2024-12-27T12:11:53Z</cp:lastPrinted>
  <dcterms:created xsi:type="dcterms:W3CDTF">2014-01-27T05:06:32Z</dcterms:created>
  <dcterms:modified xsi:type="dcterms:W3CDTF">2026-07-29T13:18:52Z</dcterms:modified>
</cp:coreProperties>
</file>