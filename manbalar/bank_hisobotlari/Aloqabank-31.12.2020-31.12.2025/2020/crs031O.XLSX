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\\alb-fs.aloqabank.local\Profiles$\Latipov\Desktop\31.12.2020\"/>
    </mc:Choice>
  </mc:AlternateContent>
  <xr:revisionPtr revIDLastSave="0" documentId="13_ncr:1_{B9D194E8-2CFC-4A0A-8AA8-C5E85D1EC9E4}" xr6:coauthVersionLast="43" xr6:coauthVersionMax="43" xr10:uidLastSave="{00000000-0000-0000-0000-000000000000}"/>
  <workbookProtection workbookPassword="CB5C" lockStructure="1"/>
  <bookViews>
    <workbookView xWindow="-120" yWindow="-120" windowWidth="29040" windowHeight="15840" tabRatio="924" xr2:uid="{00000000-000D-0000-FFFF-FFFF00000000}"/>
  </bookViews>
  <sheets>
    <sheet name="Asset quality" sheetId="26" r:id="rId1"/>
    <sheet name="Income " sheetId="2" r:id="rId2"/>
    <sheet name="Analysis of Interest" sheetId="3" r:id="rId3"/>
    <sheet name="Changes in Equity" sheetId="6" r:id="rId4"/>
    <sheet name="Loans Receivable" sheetId="24" r:id="rId5"/>
    <sheet name="Aging Analysis" sheetId="9" r:id="rId6"/>
    <sheet name="Asset Classification" sheetId="10" r:id="rId7"/>
    <sheet name="Loans to Affiliated P." sheetId="11" r:id="rId8"/>
    <sheet name=" Largest risk" sheetId="12" r:id="rId9"/>
    <sheet name="Charge-offs and Recoveries" sheetId="13" r:id="rId10"/>
    <sheet name="loans_av rate" sheetId="35" r:id="rId11"/>
    <sheet name="loans type" sheetId="40" r:id="rId12"/>
    <sheet name="Bank Capital Calc (2)" sheetId="41" state="hidden" r:id="rId13"/>
    <sheet name="Deposits_av rate" sheetId="30" r:id="rId14"/>
    <sheet name="Economic Normatives" sheetId="20" r:id="rId15"/>
    <sheet name="Miscellaneous" sheetId="21" r:id="rId16"/>
    <sheet name="ПФУ" sheetId="42" r:id="rId17"/>
  </sheets>
  <externalReferences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____add21" localSheetId="16" hidden="1">[1]tab17!#REF!</definedName>
    <definedName name="___add21" localSheetId="16" hidden="1">[1]tab17!#REF!</definedName>
    <definedName name="__123Graph_A" localSheetId="16" hidden="1">'[2]tab 19'!#REF!</definedName>
    <definedName name="__123Graph_B" localSheetId="16" hidden="1">[3]tab17!#REF!</definedName>
    <definedName name="__123Graph_X" localSheetId="16" hidden="1">[3]tab17!#REF!</definedName>
    <definedName name="__add21" localSheetId="16" hidden="1">[1]tab17!#REF!</definedName>
    <definedName name="_10__123Graph_AREALEX_WAGE" localSheetId="16" hidden="1">'[2]tab 19'!#REF!</definedName>
    <definedName name="_10__123Graph_BREALEX_WAGE" localSheetId="16" hidden="1">#REF!</definedName>
    <definedName name="_12__123Graph_BREALEX_WAGE" localSheetId="16" hidden="1">#REF!</definedName>
    <definedName name="_14__123Graph_BCHART_2" hidden="1">[4]A!$C$36:$AJ$36</definedName>
    <definedName name="_14__123Graph_CCHART_1" hidden="1">[4]A!$C$24:$AJ$24</definedName>
    <definedName name="_14__123Graph_CCHART_2" hidden="1">[4]A!$C$38:$AJ$38</definedName>
    <definedName name="_16__123Graph_BCHART_2" hidden="1">[4]A!$C$36:$AJ$36</definedName>
    <definedName name="_16__123Graph_BREALEX_WAGE" localSheetId="16" hidden="1">#REF!</definedName>
    <definedName name="_18__123Graph_XCHART_1" hidden="1">[4]A!$C$5:$AJ$5</definedName>
    <definedName name="_18__123Graph_XCHART_2" hidden="1">[4]A!$C$39:$AJ$39</definedName>
    <definedName name="_19__123Graph_CCHART_1" hidden="1">[4]A!$C$24:$AJ$24</definedName>
    <definedName name="_19__123Graph_XREALEX_WAGE" localSheetId="16" hidden="1">#REF!</definedName>
    <definedName name="_20__123Graph_BREALEX_WAGE" localSheetId="16" hidden="1">#REF!</definedName>
    <definedName name="_22__123Graph_XREALEX_WAGE" localSheetId="16" hidden="1">#REF!</definedName>
    <definedName name="_26__123Graph_CCHART_2" hidden="1">[4]A!$C$38:$AJ$38</definedName>
    <definedName name="_28__123Graph_XCHART_2" hidden="1">[4]A!$C$39:$AJ$39</definedName>
    <definedName name="_29__123Graph_XCHART_1" hidden="1">[4]A!$C$5:$AJ$5</definedName>
    <definedName name="_3__123Graph_ACHART_1" hidden="1">[4]A!$C$31:$AJ$31</definedName>
    <definedName name="_30__123Graph_XREALEX_WAGE" localSheetId="16" hidden="1">#REF!</definedName>
    <definedName name="_36__123Graph_XREALEX_WAGE" localSheetId="16" hidden="1">#REF!</definedName>
    <definedName name="_5__123Graph_AREALEX_WAGE" localSheetId="16" hidden="1">'[2]tab 19'!#REF!</definedName>
    <definedName name="_6__123Graph_AREALEX_WAGE" localSheetId="16" hidden="1">'[5]tab 19'!#REF!</definedName>
    <definedName name="_8__123Graph_AREALEX_WAGE" localSheetId="16" hidden="1">'[2]tab 19'!#REF!</definedName>
    <definedName name="_add21" localSheetId="16" hidden="1">[1]tab17!#REF!</definedName>
    <definedName name="_Key1" localSheetId="16" hidden="1">#REF!</definedName>
    <definedName name="_Key2" localSheetId="16" hidden="1">#REF!</definedName>
    <definedName name="_Parse_Out" localSheetId="16" hidden="1">#REF!</definedName>
    <definedName name="_Sort" localSheetId="16" hidden="1">#REF!</definedName>
    <definedName name="jop" localSheetId="12">#REF!</definedName>
    <definedName name="kol" localSheetId="12">#REF!</definedName>
    <definedName name="RISKTOTASS" localSheetId="11">SUM('[6]Calculation of Risk Weighted As'!$C$38:$F$38)</definedName>
    <definedName name="RISKTOTASS" localSheetId="16">SUM('[7]Calculation of Risk Weighted As'!$C$41:$G$41)</definedName>
    <definedName name="rs" localSheetId="16" hidden="1">{"BOP_TAB",#N/A,FALSE,"N";"MIDTERM_TAB",#N/A,FALSE,"O";"FUND_CRED",#N/A,FALSE,"P";"DEBT_TAB1",#N/A,FALSE,"Q";"DEBT_TAB2",#N/A,FALSE,"Q";"FORFIN_TAB1",#N/A,FALSE,"R";"FORFIN_TAB2",#N/A,FALSE,"R";"BOP_ANALY",#N/A,FALSE,"U"}</definedName>
    <definedName name="teset" localSheetId="16" hidden="1">{#N/A,#N/A,FALSE,"SimInp1";#N/A,#N/A,FALSE,"SimInp2";#N/A,#N/A,FALSE,"SimOut1";#N/A,#N/A,FALSE,"SimOut2";#N/A,#N/A,FALSE,"SimOut3";#N/A,#N/A,FALSE,"SimOut4";#N/A,#N/A,FALSE,"SimOut5"}</definedName>
    <definedName name="TwentyLargestData" localSheetId="12">#REF!</definedName>
    <definedName name="wrn.BOP_MIDTERM." localSheetId="16" hidden="1">{"BOP_TAB",#N/A,FALSE,"N";"MIDTERM_TAB",#N/A,FALSE,"O"}</definedName>
    <definedName name="wrn.Input._.and._.output._.tables." localSheetId="16" hidden="1">{#N/A,#N/A,FALSE,"SimInp1";#N/A,#N/A,FALSE,"SimInp2";#N/A,#N/A,FALSE,"SimOut1";#N/A,#N/A,FALSE,"SimOut2";#N/A,#N/A,FALSE,"SimOut3";#N/A,#N/A,FALSE,"SimOut4";#N/A,#N/A,FALSE,"SimOut5"}</definedName>
    <definedName name="wrn.Input._.Report." localSheetId="16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localSheetId="16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localSheetId="16" hidden="1">{"MONA",#N/A,FALSE,"S"}</definedName>
    <definedName name="wrn.Output._.tables." localSheetId="16" hidden="1">{#N/A,#N/A,FALSE,"I";#N/A,#N/A,FALSE,"J";#N/A,#N/A,FALSE,"K";#N/A,#N/A,FALSE,"L";#N/A,#N/A,FALSE,"M";#N/A,#N/A,FALSE,"N";#N/A,#N/A,FALSE,"O"}</definedName>
    <definedName name="wrn.WEO." localSheetId="16" hidden="1">{"WEO",#N/A,FALSE,"T"}</definedName>
    <definedName name="апв" localSheetId="16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Е" localSheetId="12">#REF!</definedName>
    <definedName name="_xlnm.Print_Area" localSheetId="8">' Largest risk'!$A$1:$S$73</definedName>
    <definedName name="_xlnm.Print_Area" localSheetId="5">'Aging Analysis'!$A$1:$Y$39</definedName>
    <definedName name="_xlnm.Print_Area" localSheetId="2">'Analysis of Interest'!$A$1:$C$76</definedName>
    <definedName name="_xlnm.Print_Area" localSheetId="6">'Asset Classification'!$A$1:$Z$76</definedName>
    <definedName name="_xlnm.Print_Area" localSheetId="0">'Asset quality'!$A$1:$S$69</definedName>
    <definedName name="_xlnm.Print_Area" localSheetId="12">'Bank Capital Calc (2)'!$A$1:$C$55</definedName>
    <definedName name="_xlnm.Print_Area" localSheetId="3">'Changes in Equity'!$A$1:$C$18</definedName>
    <definedName name="_xlnm.Print_Area" localSheetId="9">'Charge-offs and Recoveries'!$A$1:$E$30</definedName>
    <definedName name="_xlnm.Print_Area" localSheetId="13">'Deposits_av rate'!$A$1:$N$21</definedName>
    <definedName name="_xlnm.Print_Area" localSheetId="14">'Economic Normatives'!$A$1:$K$49</definedName>
    <definedName name="_xlnm.Print_Area" localSheetId="1">'Income '!$A$1:$E$80</definedName>
    <definedName name="_xlnm.Print_Area" localSheetId="4">'Loans Receivable'!$A$1:$Y$104</definedName>
    <definedName name="_xlnm.Print_Area" localSheetId="7">'Loans to Affiliated P.'!$A$1:$S$75</definedName>
    <definedName name="_xlnm.Print_Area" localSheetId="11">'loans type'!$A$1:$Z$43</definedName>
    <definedName name="_xlnm.Print_Area" localSheetId="10">'loans_av rate'!$A$1:$H$45</definedName>
    <definedName name="_xlnm.Print_Area" localSheetId="15">Miscellaneous!$A$1:$C$30</definedName>
    <definedName name="_xlnm.Print_Area" localSheetId="16">ПФУ!$A$1:$B$44</definedName>
    <definedName name="тмвюқт" localSheetId="16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I44" i="20" l="1"/>
  <c r="I36" i="20"/>
  <c r="I34" i="20"/>
  <c r="I32" i="20"/>
  <c r="I27" i="20"/>
  <c r="I25" i="20"/>
  <c r="I13" i="20"/>
  <c r="I11" i="20"/>
  <c r="I9" i="20"/>
  <c r="I7" i="20"/>
  <c r="D27" i="40" l="1"/>
  <c r="W69" i="10" l="1"/>
  <c r="D40" i="35" l="1"/>
  <c r="D35" i="35"/>
  <c r="D28" i="35"/>
  <c r="D31" i="35"/>
  <c r="D26" i="35"/>
  <c r="G14" i="11" l="1"/>
  <c r="G65" i="11"/>
  <c r="G66" i="11"/>
  <c r="G67" i="11"/>
  <c r="G13" i="11" l="1"/>
  <c r="C72" i="26" l="1"/>
  <c r="D14" i="6"/>
  <c r="D8" i="6"/>
  <c r="C99" i="24"/>
  <c r="M27" i="30"/>
  <c r="I27" i="30"/>
  <c r="G24" i="30"/>
  <c r="C24" i="30"/>
  <c r="P16" i="30"/>
  <c r="P15" i="30"/>
  <c r="P14" i="30"/>
  <c r="P13" i="30"/>
  <c r="P12" i="30"/>
  <c r="P11" i="30"/>
  <c r="P10" i="30"/>
  <c r="P9" i="30"/>
  <c r="P8" i="30"/>
  <c r="I21" i="20"/>
  <c r="I18" i="20"/>
  <c r="I17" i="20"/>
  <c r="I16" i="20"/>
  <c r="D54" i="42"/>
  <c r="C54" i="42"/>
  <c r="B54" i="42"/>
  <c r="B32" i="42" s="1"/>
  <c r="B29" i="42" s="1"/>
  <c r="D53" i="42"/>
  <c r="C53" i="42"/>
  <c r="B53" i="42"/>
  <c r="D52" i="42"/>
  <c r="C52" i="42"/>
  <c r="B52" i="42"/>
  <c r="D51" i="42"/>
  <c r="C51" i="42"/>
  <c r="B51" i="42"/>
  <c r="H50" i="42"/>
  <c r="G50" i="42"/>
  <c r="F50" i="42"/>
  <c r="D50" i="42"/>
  <c r="C50" i="42"/>
  <c r="B50" i="42"/>
  <c r="D49" i="42"/>
  <c r="C49" i="42"/>
  <c r="B49" i="42"/>
  <c r="D48" i="42"/>
  <c r="C48" i="42"/>
  <c r="B48" i="42"/>
  <c r="D47" i="42"/>
  <c r="C47" i="42"/>
  <c r="B47" i="42"/>
  <c r="B38" i="42"/>
  <c r="B36" i="42"/>
  <c r="B30" i="42" s="1"/>
  <c r="B35" i="42"/>
  <c r="B33" i="42"/>
  <c r="B9" i="42"/>
  <c r="B8" i="42"/>
  <c r="B6" i="42"/>
  <c r="B5" i="42"/>
  <c r="B4" i="42" l="1"/>
  <c r="B34" i="42"/>
  <c r="B7" i="42"/>
  <c r="B39" i="42"/>
  <c r="B37" i="42" s="1"/>
  <c r="B28" i="42"/>
  <c r="B31" i="42"/>
  <c r="B12" i="42"/>
  <c r="C16" i="21" l="1"/>
  <c r="C12" i="21" s="1"/>
  <c r="C6" i="21"/>
  <c r="G68" i="11" l="1"/>
  <c r="D70" i="10" l="1"/>
  <c r="D69" i="10"/>
  <c r="D67" i="10"/>
  <c r="D66" i="10"/>
  <c r="D65" i="10"/>
  <c r="D64" i="10"/>
  <c r="D63" i="10"/>
  <c r="D62" i="10"/>
  <c r="D61" i="10"/>
  <c r="D60" i="10"/>
  <c r="D59" i="10"/>
  <c r="D58" i="10"/>
  <c r="D57" i="10"/>
  <c r="D56" i="10"/>
  <c r="D55" i="10"/>
  <c r="D54" i="10"/>
  <c r="D49" i="10"/>
  <c r="D48" i="10"/>
  <c r="D47" i="10"/>
  <c r="D46" i="10"/>
  <c r="D45" i="10"/>
  <c r="D44" i="10"/>
  <c r="D43" i="10"/>
  <c r="D42" i="10"/>
  <c r="D41" i="10"/>
  <c r="D40" i="10"/>
  <c r="D39" i="10"/>
  <c r="D38" i="10"/>
  <c r="D37" i="10"/>
  <c r="D36" i="10"/>
  <c r="D35" i="10"/>
  <c r="D34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C70" i="2" l="1"/>
  <c r="E33" i="40" l="1"/>
  <c r="F33" i="40" s="1"/>
  <c r="E11" i="40"/>
  <c r="G11" i="40"/>
  <c r="I11" i="40"/>
  <c r="J11" i="40"/>
  <c r="K11" i="40"/>
  <c r="L11" i="40"/>
  <c r="M11" i="40"/>
  <c r="N11" i="40"/>
  <c r="O11" i="40"/>
  <c r="P11" i="40"/>
  <c r="Q11" i="40"/>
  <c r="R11" i="40"/>
  <c r="T11" i="40"/>
  <c r="U11" i="40"/>
  <c r="V11" i="40"/>
  <c r="W11" i="40"/>
  <c r="X11" i="40"/>
  <c r="Y11" i="40"/>
  <c r="Z11" i="40"/>
  <c r="C12" i="40"/>
  <c r="S12" i="40"/>
  <c r="C13" i="40"/>
  <c r="S13" i="40"/>
  <c r="C14" i="40"/>
  <c r="S14" i="40"/>
  <c r="C15" i="40"/>
  <c r="S15" i="40"/>
  <c r="E16" i="40"/>
  <c r="F16" i="40" s="1"/>
  <c r="G16" i="40"/>
  <c r="H16" i="40" s="1"/>
  <c r="I16" i="40"/>
  <c r="J16" i="40"/>
  <c r="K16" i="40"/>
  <c r="L16" i="40"/>
  <c r="M16" i="40"/>
  <c r="N16" i="40"/>
  <c r="O16" i="40"/>
  <c r="P16" i="40"/>
  <c r="Q16" i="40"/>
  <c r="R16" i="40"/>
  <c r="T16" i="40"/>
  <c r="U16" i="40"/>
  <c r="V16" i="40"/>
  <c r="W16" i="40"/>
  <c r="X16" i="40"/>
  <c r="Y16" i="40"/>
  <c r="Z16" i="40"/>
  <c r="C17" i="40"/>
  <c r="S17" i="40"/>
  <c r="C18" i="40"/>
  <c r="S18" i="40"/>
  <c r="C19" i="40"/>
  <c r="S19" i="40"/>
  <c r="C20" i="40"/>
  <c r="S20" i="40"/>
  <c r="C21" i="40"/>
  <c r="S21" i="40" s="1"/>
  <c r="C22" i="40"/>
  <c r="S22" i="40"/>
  <c r="C23" i="40"/>
  <c r="S23" i="40"/>
  <c r="S24" i="40"/>
  <c r="E26" i="40"/>
  <c r="E25" i="40" s="1"/>
  <c r="F25" i="40" s="1"/>
  <c r="G26" i="40"/>
  <c r="H26" i="40" s="1"/>
  <c r="I26" i="40"/>
  <c r="I25" i="40" s="1"/>
  <c r="J26" i="40"/>
  <c r="J25" i="40" s="1"/>
  <c r="K26" i="40"/>
  <c r="K25" i="40" s="1"/>
  <c r="L26" i="40"/>
  <c r="L25" i="40" s="1"/>
  <c r="M26" i="40"/>
  <c r="M25" i="40" s="1"/>
  <c r="N26" i="40"/>
  <c r="N25" i="40" s="1"/>
  <c r="O26" i="40"/>
  <c r="O25" i="40" s="1"/>
  <c r="P26" i="40"/>
  <c r="P25" i="40" s="1"/>
  <c r="Q26" i="40"/>
  <c r="Q25" i="40" s="1"/>
  <c r="R26" i="40"/>
  <c r="R25" i="40" s="1"/>
  <c r="T26" i="40"/>
  <c r="T25" i="40" s="1"/>
  <c r="U26" i="40"/>
  <c r="U25" i="40" s="1"/>
  <c r="V26" i="40"/>
  <c r="V25" i="40" s="1"/>
  <c r="W26" i="40"/>
  <c r="W25" i="40" s="1"/>
  <c r="X26" i="40"/>
  <c r="X25" i="40" s="1"/>
  <c r="Y26" i="40"/>
  <c r="Y25" i="40" s="1"/>
  <c r="Z26" i="40"/>
  <c r="Z25" i="40" s="1"/>
  <c r="C27" i="40"/>
  <c r="S27" i="40"/>
  <c r="C28" i="40"/>
  <c r="S28" i="40"/>
  <c r="C29" i="40"/>
  <c r="S29" i="40"/>
  <c r="C30" i="40"/>
  <c r="S30" i="40"/>
  <c r="C31" i="40"/>
  <c r="S31" i="40"/>
  <c r="C32" i="40"/>
  <c r="S32" i="40"/>
  <c r="G33" i="40"/>
  <c r="H33" i="40" s="1"/>
  <c r="I33" i="40"/>
  <c r="J33" i="40"/>
  <c r="K33" i="40"/>
  <c r="L33" i="40"/>
  <c r="M33" i="40"/>
  <c r="N33" i="40"/>
  <c r="O33" i="40"/>
  <c r="P33" i="40"/>
  <c r="Q33" i="40"/>
  <c r="R33" i="40"/>
  <c r="T33" i="40"/>
  <c r="U33" i="40"/>
  <c r="V33" i="40"/>
  <c r="W33" i="40"/>
  <c r="X33" i="40"/>
  <c r="Y33" i="40"/>
  <c r="Z33" i="40"/>
  <c r="C34" i="40"/>
  <c r="S34" i="40"/>
  <c r="C35" i="40"/>
  <c r="S35" i="40"/>
  <c r="C36" i="40"/>
  <c r="S36" i="40"/>
  <c r="C37" i="40"/>
  <c r="S37" i="40"/>
  <c r="C38" i="40"/>
  <c r="S38" i="40"/>
  <c r="C39" i="40"/>
  <c r="S39" i="40"/>
  <c r="Y34" i="9"/>
  <c r="X34" i="9"/>
  <c r="W34" i="9"/>
  <c r="V34" i="9"/>
  <c r="U34" i="9"/>
  <c r="T34" i="9"/>
  <c r="S34" i="9"/>
  <c r="R34" i="9"/>
  <c r="Q34" i="9"/>
  <c r="P34" i="9"/>
  <c r="O34" i="9"/>
  <c r="N34" i="9"/>
  <c r="M34" i="9"/>
  <c r="L34" i="9"/>
  <c r="G34" i="9"/>
  <c r="H29" i="9" s="1"/>
  <c r="E34" i="9"/>
  <c r="F28" i="9" s="1"/>
  <c r="J32" i="9"/>
  <c r="I32" i="9"/>
  <c r="J31" i="9"/>
  <c r="I31" i="9"/>
  <c r="J30" i="9"/>
  <c r="I30" i="9"/>
  <c r="J29" i="9"/>
  <c r="I29" i="9"/>
  <c r="J28" i="9"/>
  <c r="I28" i="9"/>
  <c r="J27" i="9"/>
  <c r="I27" i="9"/>
  <c r="J26" i="9"/>
  <c r="I26" i="9"/>
  <c r="J25" i="9"/>
  <c r="I25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G22" i="9"/>
  <c r="H22" i="9" s="1"/>
  <c r="E22" i="9"/>
  <c r="F24" i="9" s="1"/>
  <c r="J20" i="9"/>
  <c r="I20" i="9"/>
  <c r="J19" i="9"/>
  <c r="I19" i="9"/>
  <c r="J18" i="9"/>
  <c r="I18" i="9"/>
  <c r="J17" i="9"/>
  <c r="I17" i="9"/>
  <c r="J16" i="9"/>
  <c r="I16" i="9"/>
  <c r="J15" i="9"/>
  <c r="I15" i="9"/>
  <c r="J14" i="9"/>
  <c r="I14" i="9"/>
  <c r="J13" i="9"/>
  <c r="I13" i="9"/>
  <c r="J12" i="9"/>
  <c r="I12" i="9"/>
  <c r="J11" i="9"/>
  <c r="I11" i="9"/>
  <c r="J10" i="9"/>
  <c r="I10" i="9"/>
  <c r="J9" i="9"/>
  <c r="I9" i="9"/>
  <c r="H30" i="9" l="1"/>
  <c r="Y9" i="40"/>
  <c r="Y8" i="40" s="1"/>
  <c r="F20" i="9"/>
  <c r="Z9" i="40"/>
  <c r="Z8" i="40" s="1"/>
  <c r="V9" i="40"/>
  <c r="V8" i="40" s="1"/>
  <c r="Q9" i="40"/>
  <c r="Q8" i="40" s="1"/>
  <c r="M9" i="40"/>
  <c r="M8" i="40" s="1"/>
  <c r="I9" i="40"/>
  <c r="I8" i="40" s="1"/>
  <c r="H25" i="9"/>
  <c r="R9" i="40"/>
  <c r="R8" i="40" s="1"/>
  <c r="J9" i="40"/>
  <c r="J8" i="40" s="1"/>
  <c r="I34" i="9"/>
  <c r="H14" i="9"/>
  <c r="H18" i="9"/>
  <c r="H13" i="9"/>
  <c r="H19" i="9"/>
  <c r="H20" i="9"/>
  <c r="H12" i="9"/>
  <c r="H11" i="9"/>
  <c r="H15" i="9"/>
  <c r="F29" i="9"/>
  <c r="F32" i="9"/>
  <c r="J22" i="9"/>
  <c r="F22" i="9"/>
  <c r="H28" i="9"/>
  <c r="H34" i="9"/>
  <c r="S11" i="40"/>
  <c r="F17" i="9"/>
  <c r="J34" i="9"/>
  <c r="H27" i="9"/>
  <c r="H9" i="9"/>
  <c r="H10" i="9"/>
  <c r="I22" i="9"/>
  <c r="H16" i="9"/>
  <c r="H17" i="9"/>
  <c r="F25" i="9"/>
  <c r="H26" i="9"/>
  <c r="H31" i="9"/>
  <c r="H32" i="9"/>
  <c r="F34" i="9"/>
  <c r="F12" i="9"/>
  <c r="F13" i="9"/>
  <c r="F9" i="9"/>
  <c r="S33" i="40"/>
  <c r="S26" i="40"/>
  <c r="S25" i="40" s="1"/>
  <c r="W9" i="40"/>
  <c r="W8" i="40" s="1"/>
  <c r="X9" i="40"/>
  <c r="X8" i="40" s="1"/>
  <c r="T9" i="40"/>
  <c r="T8" i="40" s="1"/>
  <c r="U9" i="40"/>
  <c r="U8" i="40" s="1"/>
  <c r="S16" i="40"/>
  <c r="N9" i="40"/>
  <c r="N8" i="40" s="1"/>
  <c r="O9" i="40"/>
  <c r="O8" i="40" s="1"/>
  <c r="P9" i="40"/>
  <c r="P8" i="40" s="1"/>
  <c r="K9" i="40"/>
  <c r="K8" i="40" s="1"/>
  <c r="L9" i="40"/>
  <c r="L8" i="40" s="1"/>
  <c r="C33" i="40"/>
  <c r="D33" i="40" s="1"/>
  <c r="F26" i="40"/>
  <c r="E9" i="40"/>
  <c r="E8" i="40" s="1"/>
  <c r="F11" i="40"/>
  <c r="C26" i="40"/>
  <c r="C16" i="40"/>
  <c r="D16" i="40" s="1"/>
  <c r="C11" i="40"/>
  <c r="D11" i="40" s="1"/>
  <c r="H11" i="40"/>
  <c r="G25" i="40"/>
  <c r="H25" i="40" s="1"/>
  <c r="F10" i="9"/>
  <c r="F18" i="9"/>
  <c r="F30" i="9"/>
  <c r="F11" i="9"/>
  <c r="F19" i="9"/>
  <c r="F31" i="9"/>
  <c r="F14" i="9"/>
  <c r="F26" i="9"/>
  <c r="F15" i="9"/>
  <c r="F27" i="9"/>
  <c r="F16" i="9"/>
  <c r="S9" i="40" l="1"/>
  <c r="S8" i="40" s="1"/>
  <c r="F9" i="40"/>
  <c r="F8" i="40" s="1"/>
  <c r="D26" i="40"/>
  <c r="C25" i="40"/>
  <c r="D25" i="40" s="1"/>
  <c r="Y91" i="24" l="1"/>
  <c r="X91" i="24"/>
  <c r="W91" i="24"/>
  <c r="V91" i="24"/>
  <c r="U91" i="24"/>
  <c r="T91" i="24"/>
  <c r="S91" i="24"/>
  <c r="R91" i="24"/>
  <c r="Q91" i="24"/>
  <c r="P91" i="24"/>
  <c r="N91" i="24"/>
  <c r="M91" i="24"/>
  <c r="L91" i="24"/>
  <c r="K91" i="24"/>
  <c r="J91" i="24"/>
  <c r="I91" i="24"/>
  <c r="H91" i="24"/>
  <c r="F91" i="24"/>
  <c r="G91" i="24" s="1"/>
  <c r="D91" i="24"/>
  <c r="E91" i="24" s="1"/>
  <c r="Y90" i="24"/>
  <c r="X90" i="24"/>
  <c r="W90" i="24"/>
  <c r="V90" i="24"/>
  <c r="U90" i="24"/>
  <c r="T90" i="24"/>
  <c r="S90" i="24"/>
  <c r="R90" i="24"/>
  <c r="Q90" i="24"/>
  <c r="P90" i="24"/>
  <c r="N90" i="24"/>
  <c r="M90" i="24"/>
  <c r="L90" i="24"/>
  <c r="K90" i="24"/>
  <c r="J90" i="24"/>
  <c r="I90" i="24"/>
  <c r="H90" i="24"/>
  <c r="G90" i="24"/>
  <c r="F90" i="24"/>
  <c r="E90" i="24"/>
  <c r="D90" i="24"/>
  <c r="Y89" i="24"/>
  <c r="X89" i="24"/>
  <c r="W89" i="24"/>
  <c r="V89" i="24"/>
  <c r="U89" i="24"/>
  <c r="T89" i="24"/>
  <c r="S89" i="24"/>
  <c r="R89" i="24"/>
  <c r="Q89" i="24"/>
  <c r="P89" i="24"/>
  <c r="N89" i="24"/>
  <c r="M89" i="24"/>
  <c r="L89" i="24"/>
  <c r="K89" i="24"/>
  <c r="J89" i="24"/>
  <c r="I89" i="24"/>
  <c r="H89" i="24"/>
  <c r="F89" i="24"/>
  <c r="D89" i="24"/>
  <c r="Y88" i="24"/>
  <c r="X88" i="24"/>
  <c r="W88" i="24"/>
  <c r="V88" i="24"/>
  <c r="U88" i="24"/>
  <c r="T88" i="24"/>
  <c r="S88" i="24"/>
  <c r="R88" i="24"/>
  <c r="Q88" i="24"/>
  <c r="P88" i="24"/>
  <c r="N88" i="24"/>
  <c r="M88" i="24"/>
  <c r="L88" i="24"/>
  <c r="K88" i="24"/>
  <c r="J88" i="24"/>
  <c r="I88" i="24"/>
  <c r="H88" i="24"/>
  <c r="G88" i="24"/>
  <c r="F88" i="24"/>
  <c r="E88" i="24"/>
  <c r="D88" i="24"/>
  <c r="Y87" i="24"/>
  <c r="X87" i="24"/>
  <c r="W87" i="24"/>
  <c r="V87" i="24"/>
  <c r="U87" i="24"/>
  <c r="T87" i="24"/>
  <c r="S87" i="24"/>
  <c r="R87" i="24"/>
  <c r="Q87" i="24"/>
  <c r="P87" i="24"/>
  <c r="N87" i="24"/>
  <c r="M87" i="24"/>
  <c r="L87" i="24"/>
  <c r="K87" i="24"/>
  <c r="J87" i="24"/>
  <c r="I87" i="24"/>
  <c r="H87" i="24"/>
  <c r="F87" i="24"/>
  <c r="G87" i="24" s="1"/>
  <c r="D87" i="24"/>
  <c r="E87" i="24" s="1"/>
  <c r="Y86" i="24"/>
  <c r="X86" i="24"/>
  <c r="W86" i="24"/>
  <c r="V86" i="24"/>
  <c r="U86" i="24"/>
  <c r="T86" i="24"/>
  <c r="S86" i="24"/>
  <c r="R86" i="24"/>
  <c r="Q86" i="24"/>
  <c r="P86" i="24"/>
  <c r="N86" i="24"/>
  <c r="M86" i="24"/>
  <c r="L86" i="24"/>
  <c r="K86" i="24"/>
  <c r="J86" i="24"/>
  <c r="I86" i="24"/>
  <c r="H86" i="24"/>
  <c r="G86" i="24"/>
  <c r="F86" i="24"/>
  <c r="E86" i="24"/>
  <c r="D86" i="24"/>
  <c r="Y85" i="24"/>
  <c r="X85" i="24"/>
  <c r="W85" i="24"/>
  <c r="V85" i="24"/>
  <c r="U85" i="24"/>
  <c r="T85" i="24"/>
  <c r="S85" i="24"/>
  <c r="R85" i="24"/>
  <c r="Q85" i="24"/>
  <c r="P85" i="24"/>
  <c r="N85" i="24"/>
  <c r="M85" i="24"/>
  <c r="L85" i="24"/>
  <c r="K85" i="24"/>
  <c r="J85" i="24"/>
  <c r="I85" i="24"/>
  <c r="H85" i="24"/>
  <c r="G85" i="24"/>
  <c r="F85" i="24"/>
  <c r="E85" i="24"/>
  <c r="D85" i="24"/>
  <c r="Y84" i="24"/>
  <c r="X84" i="24"/>
  <c r="W84" i="24"/>
  <c r="V84" i="24"/>
  <c r="U84" i="24"/>
  <c r="T84" i="24"/>
  <c r="S84" i="24"/>
  <c r="R84" i="24"/>
  <c r="Q84" i="24"/>
  <c r="P84" i="24"/>
  <c r="N84" i="24"/>
  <c r="M84" i="24"/>
  <c r="L84" i="24"/>
  <c r="K84" i="24"/>
  <c r="J84" i="24"/>
  <c r="I84" i="24"/>
  <c r="H84" i="24"/>
  <c r="G84" i="24"/>
  <c r="F84" i="24"/>
  <c r="E84" i="24"/>
  <c r="D84" i="24"/>
  <c r="Y83" i="24"/>
  <c r="X83" i="24"/>
  <c r="W83" i="24"/>
  <c r="V83" i="24"/>
  <c r="U83" i="24"/>
  <c r="T83" i="24"/>
  <c r="S83" i="24"/>
  <c r="R83" i="24"/>
  <c r="Q83" i="24"/>
  <c r="P83" i="24"/>
  <c r="N83" i="24"/>
  <c r="M83" i="24"/>
  <c r="L83" i="24"/>
  <c r="K83" i="24"/>
  <c r="J83" i="24"/>
  <c r="I83" i="24"/>
  <c r="H83" i="24"/>
  <c r="F83" i="24"/>
  <c r="G83" i="24" s="1"/>
  <c r="D83" i="24"/>
  <c r="E83" i="24" s="1"/>
  <c r="Y82" i="24"/>
  <c r="X82" i="24"/>
  <c r="W82" i="24"/>
  <c r="V82" i="24"/>
  <c r="U82" i="24"/>
  <c r="T82" i="24"/>
  <c r="S82" i="24"/>
  <c r="R82" i="24"/>
  <c r="Q82" i="24"/>
  <c r="P82" i="24"/>
  <c r="N82" i="24"/>
  <c r="M82" i="24"/>
  <c r="L82" i="24"/>
  <c r="K82" i="24"/>
  <c r="J82" i="24"/>
  <c r="I82" i="24"/>
  <c r="H82" i="24"/>
  <c r="F82" i="24"/>
  <c r="G82" i="24" s="1"/>
  <c r="D82" i="24"/>
  <c r="E82" i="24" s="1"/>
  <c r="Y81" i="24"/>
  <c r="X81" i="24"/>
  <c r="W81" i="24"/>
  <c r="V81" i="24"/>
  <c r="U81" i="24"/>
  <c r="T81" i="24"/>
  <c r="S81" i="24"/>
  <c r="R81" i="24"/>
  <c r="Q81" i="24"/>
  <c r="P81" i="24"/>
  <c r="N81" i="24"/>
  <c r="M81" i="24"/>
  <c r="L81" i="24"/>
  <c r="K81" i="24"/>
  <c r="J81" i="24"/>
  <c r="I81" i="24"/>
  <c r="H81" i="24"/>
  <c r="F81" i="24"/>
  <c r="G81" i="24" s="1"/>
  <c r="D81" i="24"/>
  <c r="E81" i="24" s="1"/>
  <c r="Y80" i="24"/>
  <c r="X80" i="24"/>
  <c r="W80" i="24"/>
  <c r="V80" i="24"/>
  <c r="U80" i="24"/>
  <c r="T80" i="24"/>
  <c r="S80" i="24"/>
  <c r="R80" i="24"/>
  <c r="Q80" i="24"/>
  <c r="P80" i="24"/>
  <c r="N80" i="24"/>
  <c r="M80" i="24"/>
  <c r="L80" i="24"/>
  <c r="K80" i="24"/>
  <c r="J80" i="24"/>
  <c r="I80" i="24"/>
  <c r="H80" i="24"/>
  <c r="F80" i="24"/>
  <c r="G80" i="24" s="1"/>
  <c r="D80" i="24"/>
  <c r="E80" i="24" s="1"/>
  <c r="Y78" i="24"/>
  <c r="X78" i="24"/>
  <c r="W78" i="24"/>
  <c r="V78" i="24"/>
  <c r="U78" i="24"/>
  <c r="T78" i="24"/>
  <c r="S78" i="24"/>
  <c r="R78" i="24"/>
  <c r="Q78" i="24"/>
  <c r="P78" i="24"/>
  <c r="N78" i="24"/>
  <c r="M78" i="24"/>
  <c r="L78" i="24"/>
  <c r="K78" i="24"/>
  <c r="J78" i="24"/>
  <c r="I78" i="24"/>
  <c r="H78" i="24"/>
  <c r="F78" i="24"/>
  <c r="D78" i="24"/>
  <c r="E78" i="24" s="1"/>
  <c r="O77" i="24"/>
  <c r="C77" i="24" s="1"/>
  <c r="O76" i="24"/>
  <c r="C76" i="24" s="1"/>
  <c r="O75" i="24"/>
  <c r="C75" i="24" s="1"/>
  <c r="O74" i="24"/>
  <c r="O88" i="24" s="1"/>
  <c r="O73" i="24"/>
  <c r="C73" i="24" s="1"/>
  <c r="O72" i="24"/>
  <c r="C72" i="24" s="1"/>
  <c r="O71" i="24"/>
  <c r="C71" i="24" s="1"/>
  <c r="O70" i="24"/>
  <c r="C70" i="24" s="1"/>
  <c r="O69" i="24"/>
  <c r="C69" i="24" s="1"/>
  <c r="O68" i="24"/>
  <c r="C68" i="24" s="1"/>
  <c r="O67" i="24"/>
  <c r="C67" i="24" s="1"/>
  <c r="Y65" i="24"/>
  <c r="X65" i="24"/>
  <c r="W65" i="24"/>
  <c r="V65" i="24"/>
  <c r="U65" i="24"/>
  <c r="T65" i="24"/>
  <c r="S65" i="24"/>
  <c r="R65" i="24"/>
  <c r="Q65" i="24"/>
  <c r="P65" i="24"/>
  <c r="N65" i="24"/>
  <c r="M65" i="24"/>
  <c r="L65" i="24"/>
  <c r="K65" i="24"/>
  <c r="J65" i="24"/>
  <c r="I65" i="24"/>
  <c r="H65" i="24"/>
  <c r="F65" i="24"/>
  <c r="G65" i="24" s="1"/>
  <c r="D65" i="24"/>
  <c r="E65" i="24" s="1"/>
  <c r="O64" i="24"/>
  <c r="C64" i="24" s="1"/>
  <c r="O63" i="24"/>
  <c r="O62" i="24"/>
  <c r="C62" i="24" s="1"/>
  <c r="O61" i="24"/>
  <c r="C61" i="24" s="1"/>
  <c r="O60" i="24"/>
  <c r="C60" i="24" s="1"/>
  <c r="O59" i="24"/>
  <c r="C59" i="24" s="1"/>
  <c r="O58" i="24"/>
  <c r="C58" i="24" s="1"/>
  <c r="Y56" i="24"/>
  <c r="X56" i="24"/>
  <c r="W56" i="24"/>
  <c r="V56" i="24"/>
  <c r="U56" i="24"/>
  <c r="T56" i="24"/>
  <c r="S56" i="24"/>
  <c r="R56" i="24"/>
  <c r="Q56" i="24"/>
  <c r="P56" i="24"/>
  <c r="N56" i="24"/>
  <c r="M56" i="24"/>
  <c r="L56" i="24"/>
  <c r="K56" i="24"/>
  <c r="J56" i="24"/>
  <c r="I56" i="24"/>
  <c r="H56" i="24"/>
  <c r="F56" i="24"/>
  <c r="G56" i="24" s="1"/>
  <c r="D56" i="24"/>
  <c r="E56" i="24" s="1"/>
  <c r="O55" i="24"/>
  <c r="C55" i="24" s="1"/>
  <c r="O54" i="24"/>
  <c r="C54" i="24" s="1"/>
  <c r="O53" i="24"/>
  <c r="C53" i="24" s="1"/>
  <c r="O52" i="24"/>
  <c r="C52" i="24" s="1"/>
  <c r="O51" i="24"/>
  <c r="C51" i="24" s="1"/>
  <c r="O50" i="24"/>
  <c r="Y48" i="24"/>
  <c r="X48" i="24"/>
  <c r="W48" i="24"/>
  <c r="V48" i="24"/>
  <c r="U48" i="24"/>
  <c r="T48" i="24"/>
  <c r="S48" i="24"/>
  <c r="R48" i="24"/>
  <c r="Q48" i="24"/>
  <c r="P48" i="24"/>
  <c r="N48" i="24"/>
  <c r="M48" i="24"/>
  <c r="L48" i="24"/>
  <c r="K48" i="24"/>
  <c r="J48" i="24"/>
  <c r="I48" i="24"/>
  <c r="H48" i="24"/>
  <c r="F48" i="24"/>
  <c r="G48" i="24" s="1"/>
  <c r="D48" i="24"/>
  <c r="E48" i="24" s="1"/>
  <c r="O47" i="24"/>
  <c r="C47" i="24" s="1"/>
  <c r="O46" i="24"/>
  <c r="C46" i="24" s="1"/>
  <c r="O45" i="24"/>
  <c r="C45" i="24" s="1"/>
  <c r="O44" i="24"/>
  <c r="C44" i="24" s="1"/>
  <c r="O43" i="24"/>
  <c r="C43" i="24" s="1"/>
  <c r="O42" i="24"/>
  <c r="Y40" i="24"/>
  <c r="X40" i="24"/>
  <c r="W40" i="24"/>
  <c r="V40" i="24"/>
  <c r="U40" i="24"/>
  <c r="T40" i="24"/>
  <c r="S40" i="24"/>
  <c r="R40" i="24"/>
  <c r="Q40" i="24"/>
  <c r="P40" i="24"/>
  <c r="N40" i="24"/>
  <c r="M40" i="24"/>
  <c r="L40" i="24"/>
  <c r="K40" i="24"/>
  <c r="J40" i="24"/>
  <c r="I40" i="24"/>
  <c r="H40" i="24"/>
  <c r="F40" i="24"/>
  <c r="G40" i="24" s="1"/>
  <c r="D40" i="24"/>
  <c r="E40" i="24" s="1"/>
  <c r="O39" i="24"/>
  <c r="C39" i="24" s="1"/>
  <c r="O38" i="24"/>
  <c r="C38" i="24" s="1"/>
  <c r="O37" i="24"/>
  <c r="C37" i="24" s="1"/>
  <c r="O36" i="24"/>
  <c r="C36" i="24" s="1"/>
  <c r="O35" i="24"/>
  <c r="C35" i="24" s="1"/>
  <c r="O34" i="24"/>
  <c r="Y32" i="24"/>
  <c r="X32" i="24"/>
  <c r="W32" i="24"/>
  <c r="V32" i="24"/>
  <c r="U32" i="24"/>
  <c r="T32" i="24"/>
  <c r="S32" i="24"/>
  <c r="R32" i="24"/>
  <c r="Q32" i="24"/>
  <c r="P32" i="24"/>
  <c r="N32" i="24"/>
  <c r="M32" i="24"/>
  <c r="L32" i="24"/>
  <c r="K32" i="24"/>
  <c r="J32" i="24"/>
  <c r="I32" i="24"/>
  <c r="H32" i="24"/>
  <c r="F32" i="24"/>
  <c r="G32" i="24" s="1"/>
  <c r="D32" i="24"/>
  <c r="E32" i="24" s="1"/>
  <c r="O31" i="24"/>
  <c r="C31" i="24" s="1"/>
  <c r="O30" i="24"/>
  <c r="C30" i="24" s="1"/>
  <c r="O29" i="24"/>
  <c r="C29" i="24" s="1"/>
  <c r="O28" i="24"/>
  <c r="C28" i="24" s="1"/>
  <c r="O27" i="24"/>
  <c r="O26" i="24"/>
  <c r="C26" i="24" s="1"/>
  <c r="Y24" i="24"/>
  <c r="X24" i="24"/>
  <c r="W24" i="24"/>
  <c r="V24" i="24"/>
  <c r="U24" i="24"/>
  <c r="T24" i="24"/>
  <c r="S24" i="24"/>
  <c r="R24" i="24"/>
  <c r="Q24" i="24"/>
  <c r="P24" i="24"/>
  <c r="N24" i="24"/>
  <c r="M24" i="24"/>
  <c r="L24" i="24"/>
  <c r="K24" i="24"/>
  <c r="J24" i="24"/>
  <c r="I24" i="24"/>
  <c r="H24" i="24"/>
  <c r="F24" i="24"/>
  <c r="G24" i="24" s="1"/>
  <c r="D24" i="24"/>
  <c r="E24" i="24" s="1"/>
  <c r="O23" i="24"/>
  <c r="C23" i="24" s="1"/>
  <c r="O22" i="24"/>
  <c r="C22" i="24" s="1"/>
  <c r="O21" i="24"/>
  <c r="C21" i="24" s="1"/>
  <c r="O20" i="24"/>
  <c r="C20" i="24" s="1"/>
  <c r="O19" i="24"/>
  <c r="O18" i="24"/>
  <c r="C18" i="24" s="1"/>
  <c r="O17" i="24"/>
  <c r="C17" i="24" s="1"/>
  <c r="Y15" i="24"/>
  <c r="X15" i="24"/>
  <c r="W15" i="24"/>
  <c r="V15" i="24"/>
  <c r="U15" i="24"/>
  <c r="T15" i="24"/>
  <c r="S15" i="24"/>
  <c r="R15" i="24"/>
  <c r="Q15" i="24"/>
  <c r="P15" i="24"/>
  <c r="N15" i="24"/>
  <c r="M15" i="24"/>
  <c r="L15" i="24"/>
  <c r="K15" i="24"/>
  <c r="J15" i="24"/>
  <c r="I15" i="24"/>
  <c r="H15" i="24"/>
  <c r="F15" i="24"/>
  <c r="G15" i="24" s="1"/>
  <c r="D15" i="24"/>
  <c r="E15" i="24" s="1"/>
  <c r="O14" i="24"/>
  <c r="C14" i="24" s="1"/>
  <c r="O13" i="24"/>
  <c r="O12" i="24"/>
  <c r="C12" i="24" s="1"/>
  <c r="O11" i="24"/>
  <c r="C11" i="24" s="1"/>
  <c r="O10" i="24"/>
  <c r="O9" i="24"/>
  <c r="C9" i="24" s="1"/>
  <c r="N10" i="26"/>
  <c r="N11" i="26"/>
  <c r="N12" i="26"/>
  <c r="N13" i="26"/>
  <c r="N14" i="26"/>
  <c r="N15" i="26"/>
  <c r="N16" i="26"/>
  <c r="N17" i="26"/>
  <c r="N18" i="26"/>
  <c r="N19" i="26"/>
  <c r="N20" i="26"/>
  <c r="N21" i="26"/>
  <c r="N22" i="26"/>
  <c r="N23" i="26"/>
  <c r="N24" i="26"/>
  <c r="N25" i="26"/>
  <c r="N26" i="26"/>
  <c r="N27" i="26"/>
  <c r="N28" i="26"/>
  <c r="N29" i="26"/>
  <c r="N30" i="26"/>
  <c r="N31" i="26"/>
  <c r="N32" i="26"/>
  <c r="N33" i="26"/>
  <c r="N34" i="26"/>
  <c r="N35" i="26"/>
  <c r="N36" i="26"/>
  <c r="N37" i="26"/>
  <c r="N38" i="26"/>
  <c r="N39" i="26"/>
  <c r="N40" i="26"/>
  <c r="N41" i="26"/>
  <c r="N42" i="26"/>
  <c r="N43" i="26"/>
  <c r="N44" i="26"/>
  <c r="N45" i="26"/>
  <c r="N47" i="26"/>
  <c r="N48" i="26"/>
  <c r="N49" i="26"/>
  <c r="N50" i="26"/>
  <c r="N51" i="26"/>
  <c r="N52" i="26"/>
  <c r="N53" i="26"/>
  <c r="N54" i="26"/>
  <c r="N55" i="26"/>
  <c r="N56" i="26"/>
  <c r="N57" i="26"/>
  <c r="N58" i="26"/>
  <c r="N59" i="26"/>
  <c r="N60" i="26"/>
  <c r="O56" i="24" l="1"/>
  <c r="C56" i="24" s="1"/>
  <c r="C30" i="9" s="1"/>
  <c r="O89" i="24"/>
  <c r="C89" i="24" s="1"/>
  <c r="C18" i="9" s="1"/>
  <c r="J92" i="24"/>
  <c r="O40" i="24"/>
  <c r="C40" i="24" s="1"/>
  <c r="C28" i="9" s="1"/>
  <c r="O85" i="24"/>
  <c r="C85" i="24" s="1"/>
  <c r="C10" i="9" s="1"/>
  <c r="U92" i="24"/>
  <c r="O32" i="24"/>
  <c r="C32" i="24" s="1"/>
  <c r="C27" i="9" s="1"/>
  <c r="S92" i="24"/>
  <c r="W92" i="24"/>
  <c r="O87" i="24"/>
  <c r="C87" i="24" s="1"/>
  <c r="C11" i="9" s="1"/>
  <c r="T92" i="24"/>
  <c r="O81" i="24"/>
  <c r="C81" i="24" s="1"/>
  <c r="C13" i="9" s="1"/>
  <c r="G89" i="24"/>
  <c r="K92" i="24"/>
  <c r="L92" i="24"/>
  <c r="O15" i="24"/>
  <c r="C15" i="24" s="1"/>
  <c r="C25" i="9" s="1"/>
  <c r="C10" i="24"/>
  <c r="C13" i="24"/>
  <c r="O24" i="24"/>
  <c r="C24" i="24" s="1"/>
  <c r="C26" i="9" s="1"/>
  <c r="C27" i="24"/>
  <c r="O48" i="24"/>
  <c r="C48" i="24" s="1"/>
  <c r="C29" i="9" s="1"/>
  <c r="M92" i="24"/>
  <c r="R92" i="24"/>
  <c r="V92" i="24"/>
  <c r="H92" i="24"/>
  <c r="O90" i="24"/>
  <c r="C90" i="24" s="1"/>
  <c r="C19" i="9" s="1"/>
  <c r="Q92" i="24"/>
  <c r="Y92" i="24"/>
  <c r="I92" i="24"/>
  <c r="O80" i="24"/>
  <c r="C80" i="24" s="1"/>
  <c r="C12" i="9" s="1"/>
  <c r="O91" i="24"/>
  <c r="C91" i="24" s="1"/>
  <c r="C20" i="9" s="1"/>
  <c r="P92" i="24"/>
  <c r="X92" i="24"/>
  <c r="O86" i="24"/>
  <c r="C86" i="24" s="1"/>
  <c r="C9" i="9" s="1"/>
  <c r="C88" i="24"/>
  <c r="C17" i="9" s="1"/>
  <c r="O82" i="24"/>
  <c r="C82" i="24" s="1"/>
  <c r="C14" i="9" s="1"/>
  <c r="C19" i="24"/>
  <c r="C74" i="24"/>
  <c r="O83" i="24"/>
  <c r="C83" i="24" s="1"/>
  <c r="C15" i="9" s="1"/>
  <c r="E89" i="24"/>
  <c r="C42" i="24"/>
  <c r="C63" i="24"/>
  <c r="O65" i="24"/>
  <c r="C65" i="24" s="1"/>
  <c r="C31" i="9" s="1"/>
  <c r="O84" i="24"/>
  <c r="C84" i="24" s="1"/>
  <c r="C16" i="9" s="1"/>
  <c r="C34" i="24"/>
  <c r="G78" i="24"/>
  <c r="O78" i="24"/>
  <c r="C78" i="24" s="1"/>
  <c r="C32" i="9" s="1"/>
  <c r="D92" i="24"/>
  <c r="N92" i="24"/>
  <c r="F92" i="24"/>
  <c r="C50" i="24"/>
  <c r="E92" i="24" l="1"/>
  <c r="G92" i="24"/>
  <c r="C22" i="9"/>
  <c r="O92" i="24"/>
  <c r="C92" i="24" s="1"/>
  <c r="B15" i="42" s="1"/>
  <c r="C34" i="9"/>
  <c r="G16" i="11"/>
  <c r="G9" i="11"/>
  <c r="G10" i="11"/>
  <c r="G11" i="11"/>
  <c r="G12" i="11"/>
  <c r="G15" i="11"/>
  <c r="G17" i="11"/>
  <c r="C100" i="24" l="1"/>
  <c r="D31" i="9"/>
  <c r="D29" i="9"/>
  <c r="D27" i="9"/>
  <c r="D25" i="9"/>
  <c r="D32" i="9"/>
  <c r="D30" i="9"/>
  <c r="D34" i="9"/>
  <c r="D28" i="9"/>
  <c r="D26" i="9"/>
  <c r="D19" i="9"/>
  <c r="D22" i="9"/>
  <c r="D17" i="9"/>
  <c r="D20" i="9"/>
  <c r="D14" i="9"/>
  <c r="D16" i="9"/>
  <c r="D15" i="9"/>
  <c r="D12" i="9"/>
  <c r="D11" i="9"/>
  <c r="D10" i="9"/>
  <c r="D13" i="9"/>
  <c r="D9" i="9"/>
  <c r="D18" i="9"/>
  <c r="AB24" i="40" l="1"/>
  <c r="AB22" i="40"/>
  <c r="B3" i="42" l="1"/>
  <c r="B2" i="21" l="1"/>
  <c r="A2" i="42" l="1"/>
  <c r="I2" i="20"/>
  <c r="V3" i="40"/>
  <c r="F3" i="35"/>
  <c r="E3" i="13"/>
  <c r="N3" i="12"/>
  <c r="N3" i="11"/>
  <c r="U2" i="10"/>
  <c r="T3" i="9"/>
  <c r="T3" i="24"/>
  <c r="C3" i="6"/>
  <c r="C3" i="3"/>
  <c r="C3" i="2"/>
  <c r="B2" i="20"/>
  <c r="B2" i="30"/>
  <c r="B3" i="40"/>
  <c r="B3" i="35"/>
  <c r="B3" i="13"/>
  <c r="B3" i="12"/>
  <c r="B3" i="11"/>
  <c r="B2" i="10"/>
  <c r="B3" i="9"/>
  <c r="B3" i="24"/>
  <c r="B3" i="6"/>
  <c r="B3" i="3"/>
  <c r="B3" i="2"/>
  <c r="W77" i="10" l="1"/>
  <c r="S77" i="10"/>
  <c r="O77" i="10"/>
  <c r="O7" i="42" l="1"/>
  <c r="P68" i="10" l="1"/>
  <c r="K68" i="10"/>
  <c r="L70" i="11" l="1"/>
  <c r="L69" i="11"/>
  <c r="M68" i="12"/>
  <c r="M67" i="12"/>
  <c r="L68" i="12"/>
  <c r="L67" i="12"/>
  <c r="P13" i="42" l="1"/>
  <c r="O13" i="42"/>
  <c r="P16" i="42"/>
  <c r="O16" i="42"/>
  <c r="O10" i="42"/>
  <c r="P10" i="42"/>
  <c r="P7" i="42"/>
  <c r="P15" i="42"/>
  <c r="P14" i="42"/>
  <c r="P12" i="42"/>
  <c r="P11" i="42"/>
  <c r="B21" i="42" s="1"/>
  <c r="P9" i="42"/>
  <c r="P8" i="42"/>
  <c r="P6" i="42"/>
  <c r="P5" i="42"/>
  <c r="O15" i="42"/>
  <c r="O14" i="42"/>
  <c r="O12" i="42"/>
  <c r="O11" i="42"/>
  <c r="B18" i="42" s="1"/>
  <c r="O9" i="42"/>
  <c r="O8" i="42"/>
  <c r="O6" i="42"/>
  <c r="O5" i="42"/>
  <c r="K25" i="20"/>
  <c r="AC11" i="40" l="1"/>
  <c r="AB11" i="40"/>
  <c r="AC16" i="40"/>
  <c r="AB16" i="40"/>
  <c r="AC32" i="40"/>
  <c r="AC31" i="40"/>
  <c r="AC30" i="40"/>
  <c r="AC29" i="40"/>
  <c r="AC28" i="40"/>
  <c r="AC27" i="40"/>
  <c r="AC23" i="40"/>
  <c r="AC21" i="40"/>
  <c r="AB32" i="40"/>
  <c r="AB31" i="40"/>
  <c r="AB30" i="40"/>
  <c r="AB29" i="40"/>
  <c r="AB28" i="40"/>
  <c r="AB27" i="40"/>
  <c r="AB23" i="40"/>
  <c r="AB21" i="40"/>
  <c r="G49" i="11" l="1"/>
  <c r="G54" i="11"/>
  <c r="G53" i="11"/>
  <c r="G52" i="11"/>
  <c r="G51" i="11"/>
  <c r="G50" i="11"/>
  <c r="G48" i="11"/>
  <c r="G47" i="11"/>
  <c r="G46" i="11"/>
  <c r="G45" i="11"/>
  <c r="G56" i="12"/>
  <c r="G55" i="12"/>
  <c r="G54" i="12"/>
  <c r="G53" i="12"/>
  <c r="G52" i="12"/>
  <c r="G51" i="12"/>
  <c r="G50" i="12"/>
  <c r="G49" i="12"/>
  <c r="G48" i="12"/>
  <c r="G47" i="12"/>
  <c r="G46" i="12"/>
  <c r="G45" i="12"/>
  <c r="G44" i="12"/>
  <c r="G43" i="12"/>
  <c r="G42" i="12"/>
  <c r="G40" i="12"/>
  <c r="G39" i="12"/>
  <c r="G38" i="12"/>
  <c r="G37" i="12"/>
  <c r="K9" i="35" l="1"/>
  <c r="C74" i="2" l="1"/>
  <c r="C73" i="2"/>
  <c r="C50" i="2"/>
  <c r="C49" i="2"/>
  <c r="C48" i="2"/>
  <c r="C47" i="2"/>
  <c r="C46" i="2"/>
  <c r="C42" i="2"/>
  <c r="C41" i="2"/>
  <c r="C40" i="2"/>
  <c r="C39" i="2"/>
  <c r="C38" i="2"/>
  <c r="C34" i="2"/>
  <c r="C33" i="2"/>
  <c r="C32" i="2"/>
  <c r="C31" i="2"/>
  <c r="C26" i="2"/>
  <c r="C25" i="2"/>
  <c r="C24" i="2"/>
  <c r="C22" i="2"/>
  <c r="C21" i="2"/>
  <c r="C20" i="2"/>
  <c r="C19" i="2"/>
  <c r="C15" i="2"/>
  <c r="C14" i="2"/>
  <c r="C13" i="2"/>
  <c r="C12" i="2"/>
  <c r="C11" i="2"/>
  <c r="C10" i="2"/>
  <c r="C9" i="2"/>
  <c r="C8" i="2"/>
  <c r="C7" i="2"/>
  <c r="C6" i="2"/>
  <c r="D67" i="2" l="1"/>
  <c r="C52" i="41" l="1"/>
  <c r="C25" i="41"/>
  <c r="C31" i="41" s="1"/>
  <c r="C54" i="41"/>
  <c r="C3" i="41"/>
  <c r="B3" i="41"/>
  <c r="X68" i="10" l="1"/>
  <c r="W68" i="10"/>
  <c r="V68" i="10"/>
  <c r="U68" i="10"/>
  <c r="T68" i="10"/>
  <c r="S68" i="10"/>
  <c r="R68" i="10"/>
  <c r="Q68" i="10"/>
  <c r="O68" i="10"/>
  <c r="N68" i="10"/>
  <c r="M68" i="10"/>
  <c r="L68" i="10"/>
  <c r="J68" i="10"/>
  <c r="I68" i="10"/>
  <c r="H68" i="10"/>
  <c r="G68" i="10"/>
  <c r="F68" i="10"/>
  <c r="E68" i="10"/>
  <c r="Z64" i="10"/>
  <c r="Y64" i="10"/>
  <c r="C64" i="10"/>
  <c r="Z67" i="10"/>
  <c r="Y67" i="10"/>
  <c r="C67" i="10"/>
  <c r="Z66" i="10"/>
  <c r="Y66" i="10"/>
  <c r="C66" i="10"/>
  <c r="Z65" i="10"/>
  <c r="Y65" i="10"/>
  <c r="C65" i="10"/>
  <c r="Z63" i="10"/>
  <c r="Y63" i="10"/>
  <c r="C63" i="10"/>
  <c r="Z62" i="10"/>
  <c r="Y62" i="10"/>
  <c r="C62" i="10"/>
  <c r="Z61" i="10"/>
  <c r="Y61" i="10"/>
  <c r="C61" i="10"/>
  <c r="Z60" i="10"/>
  <c r="Y60" i="10"/>
  <c r="C60" i="10"/>
  <c r="Z59" i="10"/>
  <c r="Y59" i="10"/>
  <c r="C59" i="10"/>
  <c r="Z58" i="10"/>
  <c r="Y58" i="10"/>
  <c r="C58" i="10"/>
  <c r="Z57" i="10"/>
  <c r="Y57" i="10"/>
  <c r="C57" i="10"/>
  <c r="Z56" i="10"/>
  <c r="Y56" i="10"/>
  <c r="C56" i="10"/>
  <c r="Z55" i="10"/>
  <c r="Y55" i="10"/>
  <c r="C55" i="10"/>
  <c r="Z54" i="10"/>
  <c r="Y54" i="10"/>
  <c r="C54" i="10"/>
  <c r="E27" i="2"/>
  <c r="E16" i="2"/>
  <c r="D27" i="2"/>
  <c r="D16" i="2"/>
  <c r="E43" i="2"/>
  <c r="D43" i="2"/>
  <c r="E51" i="2"/>
  <c r="D51" i="2"/>
  <c r="C67" i="2"/>
  <c r="I77" i="10"/>
  <c r="G77" i="10"/>
  <c r="E77" i="10"/>
  <c r="M77" i="10"/>
  <c r="Q77" i="10"/>
  <c r="U77" i="10"/>
  <c r="M50" i="10"/>
  <c r="Q50" i="10"/>
  <c r="Q71" i="10" s="1"/>
  <c r="U50" i="10"/>
  <c r="U71" i="10" s="1"/>
  <c r="B14" i="42" l="1"/>
  <c r="B13" i="42" s="1"/>
  <c r="Z68" i="10"/>
  <c r="D68" i="10"/>
  <c r="M71" i="10"/>
  <c r="Y68" i="10"/>
  <c r="C68" i="10"/>
  <c r="D23" i="2"/>
  <c r="D28" i="2" s="1"/>
  <c r="D30" i="2" s="1"/>
  <c r="D35" i="2" s="1"/>
  <c r="D53" i="2" s="1"/>
  <c r="D69" i="2" s="1"/>
  <c r="E23" i="2"/>
  <c r="E28" i="2" s="1"/>
  <c r="E30" i="2" s="1"/>
  <c r="E35" i="2" s="1"/>
  <c r="E53" i="2" s="1"/>
  <c r="E69" i="2" s="1"/>
  <c r="E72" i="2" s="1"/>
  <c r="E76" i="2" s="1"/>
  <c r="D72" i="2" l="1"/>
  <c r="D76" i="2" s="1"/>
  <c r="C55" i="26" l="1"/>
  <c r="I55" i="26"/>
  <c r="N64" i="26" l="1"/>
  <c r="C64" i="26" s="1"/>
  <c r="I64" i="26"/>
  <c r="N63" i="26" l="1"/>
  <c r="I9" i="30" l="1"/>
  <c r="C9" i="30"/>
  <c r="Q9" i="30" l="1"/>
  <c r="E48" i="35"/>
  <c r="C15" i="30" l="1"/>
  <c r="C14" i="30"/>
  <c r="C13" i="30"/>
  <c r="C12" i="30"/>
  <c r="C11" i="30"/>
  <c r="C10" i="30"/>
  <c r="I15" i="30"/>
  <c r="I14" i="30"/>
  <c r="I13" i="30"/>
  <c r="I12" i="30"/>
  <c r="I11" i="30"/>
  <c r="I10" i="30"/>
  <c r="I8" i="30"/>
  <c r="C8" i="30"/>
  <c r="C40" i="35"/>
  <c r="C39" i="35"/>
  <c r="C38" i="35"/>
  <c r="C37" i="35"/>
  <c r="C36" i="35"/>
  <c r="C35" i="35"/>
  <c r="C31" i="35"/>
  <c r="C30" i="35"/>
  <c r="C29" i="35"/>
  <c r="C28" i="35"/>
  <c r="C27" i="35"/>
  <c r="C26" i="35"/>
  <c r="C22" i="35"/>
  <c r="C21" i="35"/>
  <c r="C20" i="35"/>
  <c r="C19" i="35"/>
  <c r="C18" i="35"/>
  <c r="C14" i="35"/>
  <c r="C13" i="35"/>
  <c r="C12" i="35"/>
  <c r="C11" i="35"/>
  <c r="C10" i="35"/>
  <c r="AA11" i="40" s="1"/>
  <c r="Q8" i="30" l="1"/>
  <c r="Q10" i="30"/>
  <c r="Q13" i="30"/>
  <c r="Q11" i="30"/>
  <c r="Q14" i="30"/>
  <c r="Q12" i="30"/>
  <c r="Q15" i="30"/>
  <c r="AA22" i="40"/>
  <c r="AA24" i="40"/>
  <c r="AA23" i="40"/>
  <c r="AA29" i="40"/>
  <c r="AA28" i="40"/>
  <c r="AA32" i="40"/>
  <c r="AA27" i="40"/>
  <c r="AA31" i="40"/>
  <c r="AA21" i="40"/>
  <c r="AA30" i="40"/>
  <c r="AA16" i="40"/>
  <c r="H31" i="10"/>
  <c r="P62" i="26" l="1"/>
  <c r="G64" i="11" l="1"/>
  <c r="G63" i="11"/>
  <c r="G62" i="11"/>
  <c r="G61" i="11"/>
  <c r="G60" i="11"/>
  <c r="G59" i="11"/>
  <c r="G58" i="11"/>
  <c r="G57" i="11"/>
  <c r="G56" i="11"/>
  <c r="G55" i="11"/>
  <c r="G44" i="11"/>
  <c r="G43" i="11"/>
  <c r="G42" i="11"/>
  <c r="G41" i="11"/>
  <c r="G40" i="11"/>
  <c r="G39" i="11"/>
  <c r="G38" i="11"/>
  <c r="G37" i="11"/>
  <c r="G36" i="11"/>
  <c r="G35" i="11"/>
  <c r="G34" i="11"/>
  <c r="G33" i="11"/>
  <c r="G32" i="11"/>
  <c r="G31" i="11"/>
  <c r="G30" i="11"/>
  <c r="G29" i="11"/>
  <c r="G28" i="11"/>
  <c r="G27" i="11"/>
  <c r="G26" i="11"/>
  <c r="G25" i="11"/>
  <c r="G24" i="11"/>
  <c r="G23" i="11"/>
  <c r="G22" i="11"/>
  <c r="G21" i="11"/>
  <c r="G20" i="11"/>
  <c r="G19" i="11"/>
  <c r="G18" i="11"/>
  <c r="G8" i="11"/>
  <c r="G7" i="11"/>
  <c r="I39" i="20" s="1"/>
  <c r="G66" i="12"/>
  <c r="G65" i="12"/>
  <c r="G64" i="12"/>
  <c r="G63" i="12"/>
  <c r="G62" i="12"/>
  <c r="G61" i="12"/>
  <c r="G60" i="12"/>
  <c r="G59" i="12"/>
  <c r="G58" i="12"/>
  <c r="G57" i="12"/>
  <c r="G41" i="12"/>
  <c r="G36" i="12"/>
  <c r="G35" i="12"/>
  <c r="G34" i="12"/>
  <c r="G33" i="12"/>
  <c r="G32" i="12"/>
  <c r="G31" i="12"/>
  <c r="G30" i="12"/>
  <c r="G29" i="12"/>
  <c r="G28" i="12"/>
  <c r="G27" i="12"/>
  <c r="G26" i="12"/>
  <c r="G25" i="12"/>
  <c r="G24" i="12"/>
  <c r="G23" i="12"/>
  <c r="G22" i="12"/>
  <c r="G21" i="12"/>
  <c r="G20" i="12"/>
  <c r="G19" i="12"/>
  <c r="G18" i="12"/>
  <c r="G17" i="12"/>
  <c r="G16" i="12"/>
  <c r="G15" i="12"/>
  <c r="G14" i="12"/>
  <c r="G13" i="12"/>
  <c r="G12" i="12"/>
  <c r="G11" i="12"/>
  <c r="G10" i="12"/>
  <c r="G9" i="12"/>
  <c r="G8" i="12"/>
  <c r="I23" i="20" s="1"/>
  <c r="G7" i="12"/>
  <c r="C34" i="26" l="1"/>
  <c r="I34" i="26"/>
  <c r="C33" i="26"/>
  <c r="I33" i="26"/>
  <c r="Z70" i="10"/>
  <c r="Y70" i="10"/>
  <c r="Z49" i="10"/>
  <c r="Y49" i="10"/>
  <c r="Z48" i="10"/>
  <c r="Y48" i="10"/>
  <c r="Z47" i="10"/>
  <c r="Y47" i="10"/>
  <c r="Z46" i="10"/>
  <c r="Y46" i="10"/>
  <c r="Z45" i="10"/>
  <c r="Y45" i="10"/>
  <c r="Z44" i="10"/>
  <c r="Y44" i="10"/>
  <c r="Z43" i="10"/>
  <c r="Y43" i="10"/>
  <c r="Z42" i="10"/>
  <c r="Y42" i="10"/>
  <c r="Z41" i="10"/>
  <c r="Y41" i="10"/>
  <c r="Z40" i="10"/>
  <c r="Y40" i="10"/>
  <c r="Z39" i="10"/>
  <c r="Y39" i="10"/>
  <c r="Z38" i="10"/>
  <c r="Y38" i="10"/>
  <c r="Z37" i="10"/>
  <c r="Y37" i="10"/>
  <c r="Z36" i="10"/>
  <c r="Y36" i="10"/>
  <c r="Z35" i="10"/>
  <c r="Y35" i="10"/>
  <c r="P68" i="12" l="1"/>
  <c r="P67" i="12"/>
  <c r="K68" i="12"/>
  <c r="J68" i="12"/>
  <c r="I68" i="12"/>
  <c r="H68" i="12"/>
  <c r="K67" i="12"/>
  <c r="J67" i="12"/>
  <c r="I67" i="12"/>
  <c r="H67" i="12"/>
  <c r="G68" i="12"/>
  <c r="G67" i="12"/>
  <c r="I29" i="20" s="1"/>
  <c r="C60" i="26" l="1"/>
  <c r="I60" i="26"/>
  <c r="C59" i="26"/>
  <c r="I59" i="26"/>
  <c r="C58" i="26"/>
  <c r="I58" i="26"/>
  <c r="C57" i="26"/>
  <c r="I57" i="26"/>
  <c r="C56" i="26"/>
  <c r="I56" i="26"/>
  <c r="C54" i="26"/>
  <c r="I54" i="26"/>
  <c r="C53" i="26"/>
  <c r="I53" i="26"/>
  <c r="C52" i="26"/>
  <c r="I52" i="26"/>
  <c r="C51" i="26"/>
  <c r="I51" i="26"/>
  <c r="C50" i="26"/>
  <c r="I50" i="26"/>
  <c r="C49" i="26"/>
  <c r="I49" i="26"/>
  <c r="C48" i="26"/>
  <c r="I48" i="26"/>
  <c r="C47" i="26"/>
  <c r="I47" i="26"/>
  <c r="I46" i="26"/>
  <c r="C45" i="26"/>
  <c r="I45" i="26"/>
  <c r="C44" i="26"/>
  <c r="I44" i="26"/>
  <c r="C43" i="26"/>
  <c r="I43" i="26"/>
  <c r="C42" i="26"/>
  <c r="I42" i="26"/>
  <c r="C41" i="26"/>
  <c r="I41" i="26"/>
  <c r="C40" i="26"/>
  <c r="I40" i="26"/>
  <c r="C39" i="26"/>
  <c r="I39" i="26"/>
  <c r="C38" i="26"/>
  <c r="I38" i="26"/>
  <c r="C37" i="26"/>
  <c r="I37" i="26"/>
  <c r="C36" i="26"/>
  <c r="I36" i="26"/>
  <c r="C35" i="26"/>
  <c r="I35" i="26"/>
  <c r="C32" i="26"/>
  <c r="I32" i="26"/>
  <c r="C31" i="26"/>
  <c r="I31" i="26"/>
  <c r="C30" i="26"/>
  <c r="I30" i="26"/>
  <c r="C29" i="26"/>
  <c r="I29" i="26"/>
  <c r="C28" i="26"/>
  <c r="I28" i="26"/>
  <c r="C27" i="26"/>
  <c r="I27" i="26"/>
  <c r="C26" i="26"/>
  <c r="I26" i="26"/>
  <c r="C25" i="26"/>
  <c r="I25" i="26"/>
  <c r="C24" i="26"/>
  <c r="I24" i="26"/>
  <c r="C23" i="26"/>
  <c r="I23" i="26"/>
  <c r="C22" i="26"/>
  <c r="I22" i="26"/>
  <c r="C21" i="26"/>
  <c r="I21" i="26"/>
  <c r="C20" i="26"/>
  <c r="I20" i="26"/>
  <c r="C19" i="26"/>
  <c r="I19" i="26"/>
  <c r="C18" i="26"/>
  <c r="I18" i="26"/>
  <c r="C17" i="26"/>
  <c r="I17" i="26"/>
  <c r="C16" i="26"/>
  <c r="I16" i="26"/>
  <c r="C15" i="26"/>
  <c r="I15" i="26"/>
  <c r="C14" i="26"/>
  <c r="I14" i="26"/>
  <c r="C13" i="26"/>
  <c r="I13" i="26"/>
  <c r="C11" i="26"/>
  <c r="I11" i="26"/>
  <c r="C10" i="26"/>
  <c r="I10" i="26"/>
  <c r="G33" i="35" l="1"/>
  <c r="H33" i="35" s="1"/>
  <c r="E33" i="35"/>
  <c r="F33" i="35" s="1"/>
  <c r="C33" i="35"/>
  <c r="D33" i="35" s="1"/>
  <c r="G24" i="35"/>
  <c r="E24" i="35"/>
  <c r="C24" i="35"/>
  <c r="G16" i="35"/>
  <c r="H16" i="35" s="1"/>
  <c r="E16" i="35"/>
  <c r="F16" i="35" s="1"/>
  <c r="C16" i="35"/>
  <c r="D16" i="35" s="1"/>
  <c r="G8" i="35"/>
  <c r="E8" i="35"/>
  <c r="C8" i="35"/>
  <c r="C16" i="30"/>
  <c r="C25" i="30" l="1"/>
  <c r="C26" i="30" s="1"/>
  <c r="AA25" i="40"/>
  <c r="AB25" i="40"/>
  <c r="L8" i="35"/>
  <c r="D8" i="35"/>
  <c r="J8" i="35"/>
  <c r="F8" i="35"/>
  <c r="K8" i="35"/>
  <c r="K10" i="35" s="1"/>
  <c r="AC25" i="40"/>
  <c r="G51" i="35"/>
  <c r="H8" i="35"/>
  <c r="D16" i="30"/>
  <c r="C51" i="35"/>
  <c r="G47" i="35"/>
  <c r="H24" i="35"/>
  <c r="G55" i="35"/>
  <c r="F24" i="35"/>
  <c r="E47" i="35"/>
  <c r="D24" i="35"/>
  <c r="C55" i="35"/>
  <c r="C47" i="35"/>
  <c r="H62" i="26"/>
  <c r="G62" i="26"/>
  <c r="F62" i="26"/>
  <c r="E62" i="26"/>
  <c r="D62" i="26"/>
  <c r="J62" i="26"/>
  <c r="K62" i="26"/>
  <c r="L62" i="26"/>
  <c r="M62" i="26"/>
  <c r="C63" i="26"/>
  <c r="I63" i="26"/>
  <c r="C62" i="26" l="1"/>
  <c r="I62" i="26"/>
  <c r="Z33" i="9"/>
  <c r="Z24" i="9"/>
  <c r="Z23" i="9"/>
  <c r="Z21" i="9"/>
  <c r="C6" i="10" l="1"/>
  <c r="M16" i="30" l="1"/>
  <c r="K16" i="30"/>
  <c r="L16" i="30" s="1"/>
  <c r="I16" i="30"/>
  <c r="G16" i="30"/>
  <c r="G25" i="30" s="1"/>
  <c r="G26" i="30" s="1"/>
  <c r="E16" i="30"/>
  <c r="F16" i="30" s="1"/>
  <c r="I28" i="30" l="1"/>
  <c r="I29" i="30" s="1"/>
  <c r="Q16" i="30"/>
  <c r="M28" i="30"/>
  <c r="M29" i="30" s="1"/>
  <c r="N16" i="30"/>
  <c r="H16" i="30"/>
  <c r="J16" i="30"/>
  <c r="M9" i="26"/>
  <c r="L9" i="26"/>
  <c r="K9" i="26"/>
  <c r="J9" i="26"/>
  <c r="D9" i="26"/>
  <c r="K2" i="30" l="1"/>
  <c r="C27" i="2" l="1"/>
  <c r="O3" i="12" l="1"/>
  <c r="S62" i="26"/>
  <c r="R62" i="26"/>
  <c r="Q62" i="26"/>
  <c r="O62" i="26"/>
  <c r="N62" i="26"/>
  <c r="P69" i="11" l="1"/>
  <c r="P70" i="11"/>
  <c r="H69" i="11"/>
  <c r="J69" i="11"/>
  <c r="K69" i="11"/>
  <c r="M69" i="11"/>
  <c r="H70" i="11"/>
  <c r="J70" i="11"/>
  <c r="K70" i="11"/>
  <c r="M70" i="11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X30" i="10"/>
  <c r="W30" i="10"/>
  <c r="V30" i="10"/>
  <c r="U30" i="10"/>
  <c r="AF9" i="40" s="1"/>
  <c r="AF10" i="40" s="1"/>
  <c r="T30" i="10"/>
  <c r="S30" i="10"/>
  <c r="R30" i="10"/>
  <c r="Q30" i="10"/>
  <c r="AE9" i="40" s="1"/>
  <c r="P30" i="10"/>
  <c r="O30" i="10"/>
  <c r="N30" i="10"/>
  <c r="M30" i="10"/>
  <c r="AD9" i="40" s="1"/>
  <c r="AD10" i="40" s="1"/>
  <c r="L30" i="10"/>
  <c r="K30" i="10"/>
  <c r="AC8" i="40" s="1"/>
  <c r="J30" i="10"/>
  <c r="I30" i="10"/>
  <c r="AC9" i="40" s="1"/>
  <c r="AC10" i="40" s="1"/>
  <c r="H30" i="10"/>
  <c r="G30" i="10"/>
  <c r="AB8" i="40" s="1"/>
  <c r="F30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X50" i="10"/>
  <c r="X71" i="10" s="1"/>
  <c r="W50" i="10"/>
  <c r="AF8" i="40" s="1"/>
  <c r="V50" i="10"/>
  <c r="V71" i="10" s="1"/>
  <c r="T50" i="10"/>
  <c r="T71" i="10" s="1"/>
  <c r="S50" i="10"/>
  <c r="AE8" i="40" s="1"/>
  <c r="R50" i="10"/>
  <c r="R71" i="10" s="1"/>
  <c r="P50" i="10"/>
  <c r="P71" i="10" s="1"/>
  <c r="O50" i="10"/>
  <c r="N50" i="10"/>
  <c r="N71" i="10" s="1"/>
  <c r="L50" i="10"/>
  <c r="L71" i="10" s="1"/>
  <c r="K50" i="10"/>
  <c r="J50" i="10"/>
  <c r="J71" i="10" s="1"/>
  <c r="I50" i="10"/>
  <c r="H50" i="10"/>
  <c r="H71" i="10" s="1"/>
  <c r="G50" i="10"/>
  <c r="F50" i="10"/>
  <c r="F71" i="10" s="1"/>
  <c r="E50" i="10"/>
  <c r="Z29" i="10"/>
  <c r="Y29" i="10"/>
  <c r="Z28" i="10"/>
  <c r="Y28" i="10"/>
  <c r="Z27" i="10"/>
  <c r="Y27" i="10"/>
  <c r="Z26" i="10"/>
  <c r="Y26" i="10"/>
  <c r="Z25" i="10"/>
  <c r="Y25" i="10"/>
  <c r="Z24" i="10"/>
  <c r="Y24" i="10"/>
  <c r="Z23" i="10"/>
  <c r="Y23" i="10"/>
  <c r="Z22" i="10"/>
  <c r="Y22" i="10"/>
  <c r="Z21" i="10"/>
  <c r="Y21" i="10"/>
  <c r="Z20" i="10"/>
  <c r="Y20" i="10"/>
  <c r="Z19" i="10"/>
  <c r="Y19" i="10"/>
  <c r="Z18" i="10"/>
  <c r="Y18" i="10"/>
  <c r="Z17" i="10"/>
  <c r="Y17" i="10"/>
  <c r="Z16" i="10"/>
  <c r="Y16" i="10"/>
  <c r="Z15" i="10"/>
  <c r="Y15" i="10"/>
  <c r="Z14" i="10"/>
  <c r="Y14" i="10"/>
  <c r="Z13" i="10"/>
  <c r="Y13" i="10"/>
  <c r="Z12" i="10"/>
  <c r="Y12" i="10"/>
  <c r="Z11" i="10"/>
  <c r="Y11" i="10"/>
  <c r="Z10" i="10"/>
  <c r="Y10" i="10"/>
  <c r="Z9" i="10"/>
  <c r="Y9" i="10"/>
  <c r="Z8" i="10"/>
  <c r="Y8" i="10"/>
  <c r="Z7" i="10"/>
  <c r="Y7" i="10"/>
  <c r="Z6" i="10"/>
  <c r="Y6" i="10"/>
  <c r="Z69" i="10"/>
  <c r="Z34" i="10"/>
  <c r="G50" i="35"/>
  <c r="G52" i="35" s="1"/>
  <c r="C69" i="10"/>
  <c r="C70" i="10"/>
  <c r="C29" i="10"/>
  <c r="C28" i="10"/>
  <c r="C27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50" i="35" s="1"/>
  <c r="C52" i="35" s="1"/>
  <c r="C11" i="10"/>
  <c r="C9" i="10"/>
  <c r="C8" i="10"/>
  <c r="C7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B11" i="42" l="1"/>
  <c r="B10" i="42" s="1"/>
  <c r="Y31" i="10"/>
  <c r="AD8" i="40"/>
  <c r="AE10" i="40"/>
  <c r="I71" i="10"/>
  <c r="I79" i="10"/>
  <c r="M79" i="10"/>
  <c r="Q79" i="10"/>
  <c r="U79" i="10"/>
  <c r="K71" i="10"/>
  <c r="S71" i="10"/>
  <c r="S79" i="10"/>
  <c r="W71" i="10"/>
  <c r="W79" i="10"/>
  <c r="O71" i="10"/>
  <c r="O79" i="10"/>
  <c r="E71" i="10"/>
  <c r="E79" i="10"/>
  <c r="G71" i="10"/>
  <c r="G79" i="10"/>
  <c r="Z30" i="10"/>
  <c r="Y30" i="10"/>
  <c r="Z31" i="10"/>
  <c r="D30" i="10"/>
  <c r="G54" i="35" s="1"/>
  <c r="D31" i="10"/>
  <c r="D50" i="10"/>
  <c r="D71" i="10" s="1"/>
  <c r="C51" i="10"/>
  <c r="C31" i="10"/>
  <c r="D51" i="10"/>
  <c r="C50" i="10"/>
  <c r="C71" i="10" s="1"/>
  <c r="Z50" i="10"/>
  <c r="Z71" i="10" s="1"/>
  <c r="Z32" i="9"/>
  <c r="Z31" i="9"/>
  <c r="Z30" i="9"/>
  <c r="Z29" i="9"/>
  <c r="Z28" i="9"/>
  <c r="Z27" i="9"/>
  <c r="Z26" i="9"/>
  <c r="Z25" i="9"/>
  <c r="Z20" i="9"/>
  <c r="Z19" i="9"/>
  <c r="Z18" i="9"/>
  <c r="Z17" i="9"/>
  <c r="Z16" i="9"/>
  <c r="Z15" i="9"/>
  <c r="Z14" i="9"/>
  <c r="Z13" i="9"/>
  <c r="Z11" i="9"/>
  <c r="Z10" i="9"/>
  <c r="Z9" i="9"/>
  <c r="Z12" i="9"/>
  <c r="G48" i="35" l="1"/>
  <c r="G56" i="35"/>
  <c r="S9" i="26" l="1"/>
  <c r="W78" i="10" s="1"/>
  <c r="W80" i="10" s="1"/>
  <c r="R9" i="26"/>
  <c r="S78" i="10" s="1"/>
  <c r="S80" i="10" s="1"/>
  <c r="Q9" i="26"/>
  <c r="O78" i="10" s="1"/>
  <c r="O80" i="10" s="1"/>
  <c r="I12" i="26"/>
  <c r="I9" i="26" s="1"/>
  <c r="E9" i="26" l="1"/>
  <c r="O9" i="26"/>
  <c r="G78" i="10" s="1"/>
  <c r="G80" i="10" s="1"/>
  <c r="H9" i="26"/>
  <c r="G9" i="26"/>
  <c r="F9" i="26"/>
  <c r="C12" i="26" l="1"/>
  <c r="E15" i="13"/>
  <c r="D15" i="13"/>
  <c r="C21" i="13" s="1"/>
  <c r="C15" i="13"/>
  <c r="B15" i="13"/>
  <c r="C22" i="13" s="1"/>
  <c r="Z22" i="9"/>
  <c r="C70" i="3"/>
  <c r="C61" i="3"/>
  <c r="C52" i="3"/>
  <c r="C36" i="3"/>
  <c r="C28" i="3"/>
  <c r="C19" i="3"/>
  <c r="C14" i="3"/>
  <c r="A10" i="24"/>
  <c r="A11" i="24" s="1"/>
  <c r="A12" i="24" s="1"/>
  <c r="A13" i="24" s="1"/>
  <c r="A14" i="24" s="1"/>
  <c r="A15" i="24" s="1"/>
  <c r="A17" i="24" s="1"/>
  <c r="A18" i="24" s="1"/>
  <c r="A19" i="24" s="1"/>
  <c r="A20" i="24" s="1"/>
  <c r="A21" i="24" s="1"/>
  <c r="A22" i="24" s="1"/>
  <c r="A23" i="24" s="1"/>
  <c r="A24" i="24" s="1"/>
  <c r="A26" i="24" s="1"/>
  <c r="A27" i="24" s="1"/>
  <c r="A28" i="24" s="1"/>
  <c r="A29" i="24" s="1"/>
  <c r="A30" i="24" s="1"/>
  <c r="A31" i="24" s="1"/>
  <c r="A32" i="24" s="1"/>
  <c r="A34" i="24" s="1"/>
  <c r="A35" i="24" s="1"/>
  <c r="A36" i="24" s="1"/>
  <c r="A37" i="24" s="1"/>
  <c r="A38" i="24" s="1"/>
  <c r="A39" i="24" s="1"/>
  <c r="A40" i="24" s="1"/>
  <c r="A42" i="24" s="1"/>
  <c r="A43" i="24" s="1"/>
  <c r="A44" i="24" s="1"/>
  <c r="A45" i="24" s="1"/>
  <c r="A46" i="24" s="1"/>
  <c r="A47" i="24" s="1"/>
  <c r="A48" i="24" s="1"/>
  <c r="A50" i="24" s="1"/>
  <c r="A51" i="24" s="1"/>
  <c r="A52" i="24" s="1"/>
  <c r="A53" i="24" s="1"/>
  <c r="A54" i="24" s="1"/>
  <c r="A55" i="24" s="1"/>
  <c r="A56" i="24" s="1"/>
  <c r="A58" i="24" s="1"/>
  <c r="A59" i="24" s="1"/>
  <c r="A60" i="24" s="1"/>
  <c r="A61" i="24" s="1"/>
  <c r="A62" i="24" s="1"/>
  <c r="Y69" i="10"/>
  <c r="Y34" i="10"/>
  <c r="C51" i="2"/>
  <c r="B26" i="42" s="1"/>
  <c r="C43" i="2"/>
  <c r="A8" i="11"/>
  <c r="C7" i="6"/>
  <c r="K32" i="20"/>
  <c r="K20" i="9" l="1"/>
  <c r="K12" i="9"/>
  <c r="K9" i="9"/>
  <c r="K16" i="9"/>
  <c r="K22" i="9"/>
  <c r="K19" i="9"/>
  <c r="K11" i="9"/>
  <c r="K18" i="9"/>
  <c r="K10" i="9"/>
  <c r="K17" i="9"/>
  <c r="K15" i="9"/>
  <c r="K14" i="9"/>
  <c r="K13" i="9"/>
  <c r="C53" i="41"/>
  <c r="C16" i="2"/>
  <c r="K36" i="20"/>
  <c r="C23" i="2"/>
  <c r="C28" i="2" s="1"/>
  <c r="K23" i="20"/>
  <c r="AA34" i="10"/>
  <c r="AA48" i="10"/>
  <c r="AA44" i="10"/>
  <c r="AA42" i="10"/>
  <c r="AA40" i="10"/>
  <c r="AA38" i="10"/>
  <c r="AA36" i="10"/>
  <c r="AA46" i="10"/>
  <c r="A64" i="24"/>
  <c r="A65" i="24" s="1"/>
  <c r="A67" i="24" s="1"/>
  <c r="A68" i="24" s="1"/>
  <c r="A69" i="24" s="1"/>
  <c r="A70" i="24" s="1"/>
  <c r="A71" i="24" s="1"/>
  <c r="A72" i="24" s="1"/>
  <c r="A73" i="24" s="1"/>
  <c r="A74" i="24" s="1"/>
  <c r="A75" i="24" s="1"/>
  <c r="A76" i="24" s="1"/>
  <c r="A77" i="24" s="1"/>
  <c r="A78" i="24" s="1"/>
  <c r="A80" i="24" s="1"/>
  <c r="A81" i="24" s="1"/>
  <c r="A82" i="24" s="1"/>
  <c r="A83" i="24" s="1"/>
  <c r="A84" i="24" s="1"/>
  <c r="A85" i="24" s="1"/>
  <c r="A86" i="24" s="1"/>
  <c r="A87" i="24" s="1"/>
  <c r="A88" i="24" s="1"/>
  <c r="A89" i="24" s="1"/>
  <c r="A90" i="24" s="1"/>
  <c r="A91" i="24" s="1"/>
  <c r="A92" i="24" s="1"/>
  <c r="AA22" i="10"/>
  <c r="AA16" i="10"/>
  <c r="AA26" i="10"/>
  <c r="C25" i="13"/>
  <c r="AA18" i="10"/>
  <c r="AA10" i="10"/>
  <c r="AA28" i="10"/>
  <c r="AA20" i="10"/>
  <c r="AA14" i="10"/>
  <c r="AA8" i="10"/>
  <c r="AA24" i="10"/>
  <c r="Y50" i="10"/>
  <c r="C42" i="3"/>
  <c r="G16" i="2" s="1"/>
  <c r="C63" i="3"/>
  <c r="C72" i="3" s="1"/>
  <c r="G28" i="2" s="1"/>
  <c r="Z34" i="9"/>
  <c r="K32" i="9" l="1"/>
  <c r="K34" i="9"/>
  <c r="K31" i="9"/>
  <c r="K29" i="9"/>
  <c r="K28" i="9"/>
  <c r="K30" i="9"/>
  <c r="K27" i="9"/>
  <c r="K26" i="9"/>
  <c r="K25" i="9"/>
  <c r="AA12" i="10"/>
  <c r="AA9" i="40"/>
  <c r="C30" i="2"/>
  <c r="F25" i="13"/>
  <c r="AA6" i="10"/>
  <c r="Y71" i="10"/>
  <c r="K39" i="20"/>
  <c r="K27" i="20"/>
  <c r="K29" i="20"/>
  <c r="K34" i="20"/>
  <c r="B23" i="42" l="1"/>
  <c r="B27" i="42"/>
  <c r="C35" i="2"/>
  <c r="C53" i="2" s="1"/>
  <c r="C69" i="2" s="1"/>
  <c r="B17" i="42" s="1"/>
  <c r="B16" i="42" s="1"/>
  <c r="AA8" i="40"/>
  <c r="E46" i="41"/>
  <c r="C45" i="41"/>
  <c r="C44" i="41"/>
  <c r="D52" i="41"/>
  <c r="B24" i="42" l="1"/>
  <c r="B22" i="42" s="1"/>
  <c r="B25" i="42"/>
  <c r="C72" i="2"/>
  <c r="C76" i="2" s="1"/>
  <c r="B20" i="42" s="1"/>
  <c r="B19" i="42" s="1"/>
  <c r="C46" i="41"/>
  <c r="C43" i="41" s="1"/>
  <c r="C35" i="41" s="1"/>
  <c r="C40" i="41" s="1"/>
  <c r="C8" i="6" l="1"/>
  <c r="C14" i="6" s="1"/>
  <c r="K44" i="20"/>
  <c r="C51" i="41"/>
  <c r="K11" i="20"/>
  <c r="K13" i="20" l="1"/>
  <c r="K9" i="20" l="1"/>
  <c r="K21" i="20" l="1"/>
  <c r="K18" i="20" l="1"/>
  <c r="K16" i="20" l="1"/>
  <c r="K17" i="20"/>
  <c r="K7" i="20" l="1"/>
  <c r="C10" i="10" l="1"/>
  <c r="C26" i="10"/>
  <c r="C30" i="10" s="1"/>
  <c r="C54" i="35" s="1"/>
  <c r="E30" i="10"/>
  <c r="AB9" i="40" s="1"/>
  <c r="AB10" i="40" s="1"/>
  <c r="C48" i="35" l="1"/>
  <c r="C56" i="35"/>
  <c r="I70" i="11" l="1"/>
  <c r="I69" i="11"/>
  <c r="G69" i="11"/>
  <c r="I41" i="20" l="1"/>
  <c r="K41" i="20" s="1"/>
  <c r="G70" i="11"/>
  <c r="P9" i="26" l="1"/>
  <c r="K78" i="10" s="1"/>
  <c r="N46" i="26"/>
  <c r="N9" i="26" s="1"/>
  <c r="C46" i="26"/>
  <c r="C9" i="26" s="1"/>
  <c r="K77" i="10"/>
  <c r="K79" i="10" s="1"/>
  <c r="K80" i="10" l="1"/>
  <c r="Y78" i="10"/>
  <c r="Y80" i="10" s="1"/>
  <c r="Y77" i="10"/>
  <c r="Y79" i="10" s="1"/>
  <c r="C24" i="40" l="1"/>
  <c r="C9" i="40" s="1"/>
  <c r="G9" i="40"/>
  <c r="G8" i="40" s="1"/>
  <c r="L9" i="35" s="1"/>
  <c r="L10" i="35" s="1"/>
  <c r="C8" i="40" l="1"/>
  <c r="J9" i="35" s="1"/>
  <c r="J10" i="35" s="1"/>
  <c r="D9" i="40"/>
  <c r="H9" i="40"/>
  <c r="H8" i="40" s="1"/>
  <c r="D8" i="40" l="1"/>
  <c r="I20" i="20"/>
  <c r="K20" i="20" s="1"/>
  <c r="I19" i="20"/>
  <c r="K19" i="20" s="1"/>
</calcChain>
</file>

<file path=xl/sharedStrings.xml><?xml version="1.0" encoding="utf-8"?>
<sst xmlns="http://schemas.openxmlformats.org/spreadsheetml/2006/main" count="1649" uniqueCount="1017">
  <si>
    <t>Подпись Председателя правления:</t>
  </si>
  <si>
    <t>Подпись Главного Бухгалтера:</t>
  </si>
  <si>
    <t>Категории</t>
  </si>
  <si>
    <t>в тыс. сум</t>
  </si>
  <si>
    <t>1. ПРОЦЕНТНЫЕ ДОХОДЫ</t>
  </si>
  <si>
    <t>1</t>
  </si>
  <si>
    <t>5</t>
  </si>
  <si>
    <t>4</t>
  </si>
  <si>
    <t>2</t>
  </si>
  <si>
    <t>3</t>
  </si>
  <si>
    <t>8</t>
  </si>
  <si>
    <t>7</t>
  </si>
  <si>
    <t>6</t>
  </si>
  <si>
    <t xml:space="preserve">  </t>
  </si>
  <si>
    <t>АНАЛИЗ ПРОЦЕНТНЫХ ДОХОДОВ И РАСХОДОВ</t>
  </si>
  <si>
    <t>Категория</t>
  </si>
  <si>
    <t xml:space="preserve">Итого капитала </t>
  </si>
  <si>
    <t>Резерв на девальвацию</t>
  </si>
  <si>
    <t>Инвестиции в капитал других банков</t>
  </si>
  <si>
    <t>Излишки оценочной стоимости прироста над первоначальной стоимостью</t>
  </si>
  <si>
    <t>Субординированный долг</t>
  </si>
  <si>
    <t>Неудовлетворительные</t>
  </si>
  <si>
    <t>Специальные резервы (100%)</t>
  </si>
  <si>
    <t>Операционный риск</t>
  </si>
  <si>
    <t>Рыночный риск</t>
  </si>
  <si>
    <t>VI</t>
  </si>
  <si>
    <t>VII</t>
  </si>
  <si>
    <t>Доля участия дочерних предприятий (выпущенные дочерними предприятиями и находящиеся во владении третьих лиц инструменты, приравненные к капиталу)</t>
  </si>
  <si>
    <t>Все инвестиции в капитал неконсолидированных хозяйствующих субъектов, в том числе в долговые обязательства, которые образуют капитал хозяйствующих субъектов</t>
  </si>
  <si>
    <t>Резервы, создаваемые на стандартные кредиты (активы), в размере не более 1.25% от общей суммы активов, взвешенных с учетом риска</t>
  </si>
  <si>
    <t>Сумма балансовых и забалансовых активов, взвешенных с учетом риска</t>
  </si>
  <si>
    <t>3.3</t>
  </si>
  <si>
    <t>Ценные бумаги, выпущенные Правительством Республики Узбекистан и ЦБРУ  (векселя, облигации и другие долговые ценные бумаги)</t>
  </si>
  <si>
    <t>Активы для расчета левеража</t>
  </si>
  <si>
    <t>Специальные резервы (мин 10%)</t>
  </si>
  <si>
    <t>Специальные резервы        (мин 25%)</t>
  </si>
  <si>
    <t>Специальные резервы       (мин 50%)</t>
  </si>
  <si>
    <t>4.2</t>
  </si>
  <si>
    <t>4.3</t>
  </si>
  <si>
    <t>Итого капитала Уровня II</t>
  </si>
  <si>
    <t>СКОРРЕКТИРОВАННЫЙ КАПИТАЛ УРОВНЯ II</t>
  </si>
  <si>
    <t>IX</t>
  </si>
  <si>
    <t>X</t>
  </si>
  <si>
    <t>XI</t>
  </si>
  <si>
    <t>О=Ж+И+Л+Н</t>
  </si>
  <si>
    <t>Совокупная сумма специальных резервов</t>
  </si>
  <si>
    <t xml:space="preserve">Общие активы </t>
  </si>
  <si>
    <t>Коэффициент левеража</t>
  </si>
  <si>
    <t>Коэффициент покрытия ликвидности</t>
  </si>
  <si>
    <t>Высоколиквидные активы</t>
  </si>
  <si>
    <t>Чистый отток в последующие 30 дней</t>
  </si>
  <si>
    <t>Необходимая сумма стабильного финансирования</t>
  </si>
  <si>
    <t>Доступная сумма стабильного финансирования</t>
  </si>
  <si>
    <t>Норма чистого стабильного финансирования</t>
  </si>
  <si>
    <t>Гарантированные Правительством Республики Узбекистан в иностранной валюте (экв.сум)</t>
  </si>
  <si>
    <t>2.2</t>
  </si>
  <si>
    <t>Общие резервы (1%)</t>
  </si>
  <si>
    <t>Характеристики</t>
  </si>
  <si>
    <t>(Б)</t>
  </si>
  <si>
    <t>(В)</t>
  </si>
  <si>
    <t>(Г)</t>
  </si>
  <si>
    <t>I.</t>
  </si>
  <si>
    <t>a</t>
  </si>
  <si>
    <t>Полностью оплаченные обыкновенные акции</t>
  </si>
  <si>
    <t>б</t>
  </si>
  <si>
    <t>Минус: Обратно Выкупленные обыкновенные акции</t>
  </si>
  <si>
    <t>в</t>
  </si>
  <si>
    <t xml:space="preserve">Некумулятивные бессрочные привилегированные акции </t>
  </si>
  <si>
    <t>а</t>
  </si>
  <si>
    <t>Полностью оплаченные привилегированные акции</t>
  </si>
  <si>
    <t>Минус: Обратно Выкупленные привилегированные акции</t>
  </si>
  <si>
    <t xml:space="preserve">Капитальные резервы </t>
  </si>
  <si>
    <t xml:space="preserve">Нераспределенная прибыль </t>
  </si>
  <si>
    <t>г</t>
  </si>
  <si>
    <t xml:space="preserve">Интерес меньшинства в консолидированных дочерних компаниях (согласно МБС) </t>
  </si>
  <si>
    <t>II</t>
  </si>
  <si>
    <t xml:space="preserve">Нематериальные активы </t>
  </si>
  <si>
    <t>III</t>
  </si>
  <si>
    <t>IV</t>
  </si>
  <si>
    <t>КАПИТАЛ УРОВНЯ II</t>
  </si>
  <si>
    <t xml:space="preserve">Вычеты превышения Капитала Уровня II над Капиталом Уровня I </t>
  </si>
  <si>
    <t>V</t>
  </si>
  <si>
    <t>VIII</t>
  </si>
  <si>
    <t>№</t>
  </si>
  <si>
    <t>(Д)</t>
  </si>
  <si>
    <t>(Е)</t>
  </si>
  <si>
    <t>Другие ценные бумаги</t>
  </si>
  <si>
    <t>(Ж)</t>
  </si>
  <si>
    <t>Аккредитивы</t>
  </si>
  <si>
    <t>ИЗМЕНЕНИЯ В СОБСТВЕННОМ КАПИТАЛЕ</t>
  </si>
  <si>
    <t>из них</t>
  </si>
  <si>
    <t>Отрасль экономики</t>
  </si>
  <si>
    <t>Сумма кредита</t>
  </si>
  <si>
    <t>Депозиты</t>
  </si>
  <si>
    <t>Гарантированные Правительством Республики Узбекистан</t>
  </si>
  <si>
    <t>Транспортные средства</t>
  </si>
  <si>
    <t>Инвентарь</t>
  </si>
  <si>
    <t>Недвижимость</t>
  </si>
  <si>
    <t>Оборудование</t>
  </si>
  <si>
    <t>Векселя (облигации)</t>
  </si>
  <si>
    <t>Акции</t>
  </si>
  <si>
    <t>Гарантия третьей стороны</t>
  </si>
  <si>
    <t xml:space="preserve">Поручительства третьей стороны </t>
  </si>
  <si>
    <t>Страховой полис</t>
  </si>
  <si>
    <t>Необеспеченные</t>
  </si>
  <si>
    <t>Другое обеспечение</t>
  </si>
  <si>
    <t>Код</t>
  </si>
  <si>
    <t>(А)</t>
  </si>
  <si>
    <t>(З)</t>
  </si>
  <si>
    <t>(И)</t>
  </si>
  <si>
    <t>(К)</t>
  </si>
  <si>
    <t>(Л)</t>
  </si>
  <si>
    <t>(М)</t>
  </si>
  <si>
    <t>(Н)</t>
  </si>
  <si>
    <t>(О)</t>
  </si>
  <si>
    <t>(П)</t>
  </si>
  <si>
    <t>(Р)</t>
  </si>
  <si>
    <t>(С)</t>
  </si>
  <si>
    <t>Промышленность</t>
  </si>
  <si>
    <t xml:space="preserve">         Физические лица</t>
  </si>
  <si>
    <t xml:space="preserve">         Государственные предприятия</t>
  </si>
  <si>
    <t xml:space="preserve">         Совместные и иностранные предприятия</t>
  </si>
  <si>
    <t xml:space="preserve">         Частные товарищества и корпорации</t>
  </si>
  <si>
    <t xml:space="preserve">         Правительство</t>
  </si>
  <si>
    <t xml:space="preserve">         Прочие</t>
  </si>
  <si>
    <t xml:space="preserve">          Итого по промышленности</t>
  </si>
  <si>
    <t>Сельское хозяйство</t>
  </si>
  <si>
    <t xml:space="preserve">         Фермерское хозяйство</t>
  </si>
  <si>
    <t xml:space="preserve">         Итого по сельскому хозяйству</t>
  </si>
  <si>
    <t>Транспорт и коммуникации</t>
  </si>
  <si>
    <t xml:space="preserve">         Итого по транспорту и коммуникациям</t>
  </si>
  <si>
    <t>Строительство</t>
  </si>
  <si>
    <t xml:space="preserve">         Итого по строительству</t>
  </si>
  <si>
    <t>Торговля и общественное питание</t>
  </si>
  <si>
    <t xml:space="preserve">         Итого по торговле и общественному питанию</t>
  </si>
  <si>
    <t>Материально-техническое снабжение и сбыт</t>
  </si>
  <si>
    <t xml:space="preserve">        Итого по материально-техническому снабжению и сбыту</t>
  </si>
  <si>
    <t>Жилищно-коммунальные услуги</t>
  </si>
  <si>
    <t xml:space="preserve">        Итого по жилищно-коммунальным услугам</t>
  </si>
  <si>
    <t>Другие отрасли</t>
  </si>
  <si>
    <t xml:space="preserve">         Центральный банк</t>
  </si>
  <si>
    <t xml:space="preserve">         Другие банки</t>
  </si>
  <si>
    <t xml:space="preserve">         Небанковские финансовые институты</t>
  </si>
  <si>
    <t xml:space="preserve">         Негосударственные некоммерческие организации </t>
  </si>
  <si>
    <t xml:space="preserve">         Бюджетные организации</t>
  </si>
  <si>
    <t xml:space="preserve">         Итого по другим отраслям</t>
  </si>
  <si>
    <t>Кредитные и лизинговые операции</t>
  </si>
  <si>
    <t xml:space="preserve">    Итого кредита и лизинга</t>
  </si>
  <si>
    <t>Всего задолжность по кредитам</t>
  </si>
  <si>
    <t>%</t>
  </si>
  <si>
    <t>Реструктуризированные кредиты</t>
  </si>
  <si>
    <t>Просроченная задолжность</t>
  </si>
  <si>
    <t>Всего</t>
  </si>
  <si>
    <t>1-30 дней</t>
  </si>
  <si>
    <t>31-60 дней</t>
  </si>
  <si>
    <t>61-90 дней</t>
  </si>
  <si>
    <t>91-180 дней</t>
  </si>
  <si>
    <t>181-365 дней</t>
  </si>
  <si>
    <t>Свыше 2 лет</t>
  </si>
  <si>
    <t>В ходе судебного разбирательства</t>
  </si>
  <si>
    <t>По типу клиента</t>
  </si>
  <si>
    <t>Центральный банк</t>
  </si>
  <si>
    <t>Другие банки</t>
  </si>
  <si>
    <t>Правительство</t>
  </si>
  <si>
    <t>Физические лица</t>
  </si>
  <si>
    <t>Государственные предприятия</t>
  </si>
  <si>
    <t>Совместные и иностранные предприятия</t>
  </si>
  <si>
    <t>Частные товарищества и корпорации</t>
  </si>
  <si>
    <t>Фермерское хозяйство</t>
  </si>
  <si>
    <t>Небанковские финансовые институты</t>
  </si>
  <si>
    <t xml:space="preserve">Негосударственные некоммерческие организации </t>
  </si>
  <si>
    <t>Бюджетные организации</t>
  </si>
  <si>
    <t>Прочие</t>
  </si>
  <si>
    <t>Итого кредита и лизинга</t>
  </si>
  <si>
    <t>По сектору экономики</t>
  </si>
  <si>
    <t>Другие сектора</t>
  </si>
  <si>
    <t xml:space="preserve"> Статьи баланса</t>
  </si>
  <si>
    <t>Общая сумма</t>
  </si>
  <si>
    <t>Стандартные</t>
  </si>
  <si>
    <t>Субстандартные</t>
  </si>
  <si>
    <t>Сомнительные</t>
  </si>
  <si>
    <t>Безнадежные</t>
  </si>
  <si>
    <t>А</t>
  </si>
  <si>
    <t>Б</t>
  </si>
  <si>
    <t>Г</t>
  </si>
  <si>
    <t>Д</t>
  </si>
  <si>
    <t>Ж</t>
  </si>
  <si>
    <t>З</t>
  </si>
  <si>
    <t>И</t>
  </si>
  <si>
    <t>К</t>
  </si>
  <si>
    <t>Л</t>
  </si>
  <si>
    <t>М</t>
  </si>
  <si>
    <t>Н</t>
  </si>
  <si>
    <t>Другие классифицированные активы</t>
  </si>
  <si>
    <t>Всего классифицированных активов</t>
  </si>
  <si>
    <t>Наименования клиента</t>
  </si>
  <si>
    <t>Номер группы</t>
  </si>
  <si>
    <t>Пересмотрения</t>
  </si>
  <si>
    <t>Классификация</t>
  </si>
  <si>
    <t>Источник кредита</t>
  </si>
  <si>
    <t>В</t>
  </si>
  <si>
    <t>Е</t>
  </si>
  <si>
    <t>Часть 1 Списания и возврат</t>
  </si>
  <si>
    <t>Списание - А</t>
  </si>
  <si>
    <t>Возврат - Б</t>
  </si>
  <si>
    <t>в иностранной валюте</t>
  </si>
  <si>
    <t>1. Промышленность</t>
  </si>
  <si>
    <t>2. Сельское хозяйство</t>
  </si>
  <si>
    <t>3. Транспорт и коммуникации</t>
  </si>
  <si>
    <t>4. Строительство</t>
  </si>
  <si>
    <t>5. Торговля и общественное питание</t>
  </si>
  <si>
    <t>6. Материально-техническое снабжение и сбыт</t>
  </si>
  <si>
    <t>7. Жилищно-коммунальные услуги</t>
  </si>
  <si>
    <t>8. Другие сектора</t>
  </si>
  <si>
    <t>9. Итого</t>
  </si>
  <si>
    <t>Часть 2</t>
  </si>
  <si>
    <t>Изменения в резерве возможных убытков по кредитам и лизингу</t>
  </si>
  <si>
    <t>1. Остаток на начало текущего года</t>
  </si>
  <si>
    <t>2. Плюс: Возвращенные платежи</t>
  </si>
  <si>
    <t>3. Минус: Списанные кредиты и лизинги</t>
  </si>
  <si>
    <t>4. Отчисления в резерв по состоянию на дату от начала года</t>
  </si>
  <si>
    <t>5. Поправки</t>
  </si>
  <si>
    <t>6. Текущий баланс</t>
  </si>
  <si>
    <t>ВСЕГО</t>
  </si>
  <si>
    <t>Бессрочные</t>
  </si>
  <si>
    <t>3.</t>
  </si>
  <si>
    <t>К получению из других банков</t>
  </si>
  <si>
    <t>Другие активы</t>
  </si>
  <si>
    <t>1.1</t>
  </si>
  <si>
    <t>Депозиты до востребования</t>
  </si>
  <si>
    <t>1.2</t>
  </si>
  <si>
    <t>1.3</t>
  </si>
  <si>
    <t>Срочные депозиты</t>
  </si>
  <si>
    <t>1.4</t>
  </si>
  <si>
    <t>Наименование экономического норматива</t>
  </si>
  <si>
    <t>Формула</t>
  </si>
  <si>
    <t>Фактическое значение</t>
  </si>
  <si>
    <t>Нормативное значение</t>
  </si>
  <si>
    <t>Отклонение</t>
  </si>
  <si>
    <t xml:space="preserve">                              A</t>
  </si>
  <si>
    <t>Показатели достаточности капитала</t>
  </si>
  <si>
    <t>Коэффициент достаточности капитала</t>
  </si>
  <si>
    <t>Скорректированная общая капитала, основанного на риске</t>
  </si>
  <si>
    <t>Мин</t>
  </si>
  <si>
    <t>Активы с учетом риска</t>
  </si>
  <si>
    <t>Коэффициент достаточности Капитала Уровня 1</t>
  </si>
  <si>
    <t>Капитал Уровня I</t>
  </si>
  <si>
    <t>Левераж</t>
  </si>
  <si>
    <t>2.1</t>
  </si>
  <si>
    <t>Нормативы по операциям с заемщиками</t>
  </si>
  <si>
    <t>3.1</t>
  </si>
  <si>
    <t>Макс</t>
  </si>
  <si>
    <t>3.2</t>
  </si>
  <si>
    <t>Нормативы по операциям с ценными бумагами</t>
  </si>
  <si>
    <t>4.1</t>
  </si>
  <si>
    <t xml:space="preserve">Максимальный размер инвестиций в ценные бумаги одного эмитента </t>
  </si>
  <si>
    <t>Инвестиции в негосударственные ценные бумаги одного эмитента</t>
  </si>
  <si>
    <t xml:space="preserve">Максимальный общий размер инвестиций в ценные бумаги для купли- продажи  </t>
  </si>
  <si>
    <t xml:space="preserve">Общий размер инвестиций в ценные бумаги для купли- продажи  </t>
  </si>
  <si>
    <t xml:space="preserve">Максимальный общий размер инвестиций в уставной капитал и другие ценные бумаги всех эмитентов  </t>
  </si>
  <si>
    <t xml:space="preserve">Общий размер инвестиций в уставной капитал и другие ценные бумаги всех эмитентов  </t>
  </si>
  <si>
    <t xml:space="preserve">               Нормативы показателей по операциям со связанными лицами (инсайдерами)</t>
  </si>
  <si>
    <t xml:space="preserve"> 5.1</t>
  </si>
  <si>
    <t>РАЗНАЯ ИНФОРМАЦИЯ</t>
  </si>
  <si>
    <t xml:space="preserve">КАПИТАЛ УРОВНЯ 1 </t>
  </si>
  <si>
    <t>ОСНОВНОЙ КАПИТАЛ УРОВНЯ 1</t>
  </si>
  <si>
    <t>Обыкновенные Акции, чистые</t>
  </si>
  <si>
    <t>Добавленный капитал - Обыкновенные</t>
  </si>
  <si>
    <t>1.1.</t>
  </si>
  <si>
    <t>1.2.</t>
  </si>
  <si>
    <t>1.3.</t>
  </si>
  <si>
    <t>Нераспределенная прибыль (убыток), в том числе капитальные резервы</t>
  </si>
  <si>
    <t xml:space="preserve">Убыток за предыдущие периоды </t>
  </si>
  <si>
    <t xml:space="preserve">Убыток за текущий год </t>
  </si>
  <si>
    <t>1.4.</t>
  </si>
  <si>
    <t>1.5.</t>
  </si>
  <si>
    <t xml:space="preserve">Итого основного капитала уровня I до вычетов </t>
  </si>
  <si>
    <t>Вычеты из суммы основного капитала уровня I</t>
  </si>
  <si>
    <t>I</t>
  </si>
  <si>
    <t>ВСЕГО СКОРРЕКТИРОВАННЫЙ ОСНОВНОЙ КАПИТАЛ УРОВНЯ I</t>
  </si>
  <si>
    <t>ДОБАВЛЕННЫЙ КАПИТАЛ УРОВНЯ 1</t>
  </si>
  <si>
    <t>2.1.</t>
  </si>
  <si>
    <t>2.2.</t>
  </si>
  <si>
    <t xml:space="preserve">Добавленный капитал - Привилегированные </t>
  </si>
  <si>
    <t>2.3.</t>
  </si>
  <si>
    <t>Интерес меньшинства в консолидированных дочерних компаниях</t>
  </si>
  <si>
    <t>2.4.</t>
  </si>
  <si>
    <t>ВСЕГО ДОБАВЛЕННЫЙ КАПИТАЛ УРОВНЯ I</t>
  </si>
  <si>
    <t>ВСЕГО СКОРРЕКТИРОВАННЫЙ КАПИТАЛ УРОВНЯ I</t>
  </si>
  <si>
    <t>3.1.</t>
  </si>
  <si>
    <t>3.2.</t>
  </si>
  <si>
    <t>3.3.</t>
  </si>
  <si>
    <t>3.4.</t>
  </si>
  <si>
    <t>Другие инструменты капитала (не более 1/3 части капитала 1 уровня после вычетов)</t>
  </si>
  <si>
    <t>3.5.</t>
  </si>
  <si>
    <t>3.6.</t>
  </si>
  <si>
    <t xml:space="preserve">ВСЕГО РЕГУЛЯТИВНЫЙ КАПИТАЛ </t>
  </si>
  <si>
    <t>ОБЩАЯ  СУММА АКТИВОВ ВЗВЕШЕННЫХ С УЧЕТОМ РИСКА</t>
  </si>
  <si>
    <t>КОЭФФИЦИЕНТ ОСНОВНОГО КАПИТАЛА УРОВНЯ I (I/VI)</t>
  </si>
  <si>
    <t>КОЭФФИЦИЕНТ КАПИТАЛА УРОВНЯ I (III/VI)</t>
  </si>
  <si>
    <t>КОЭФФИЦИЕНТ ОБЩЕЙ СУММЫ КАПИТАЛА, ОСНОВАННОГО НА РИСКЕ (V/VI)</t>
  </si>
  <si>
    <t>Забалансовые инструменты</t>
  </si>
  <si>
    <t>Деривативные (производные) инструменты</t>
  </si>
  <si>
    <t xml:space="preserve">Минус: Строка 1.6. Итого вычетов из суммы основного капитала Уровня 1 </t>
  </si>
  <si>
    <t>1.6.</t>
  </si>
  <si>
    <t>Итого</t>
  </si>
  <si>
    <t>в национальной валюте</t>
  </si>
  <si>
    <t>в иностранной валюте 
(в экв. в сумах)</t>
  </si>
  <si>
    <t>Процентные расходы по депозитам до востребования</t>
  </si>
  <si>
    <t>Процентные расходы по срочным депозитам</t>
  </si>
  <si>
    <t>Процентные расходы по счетам к оплате в ЦБРУ</t>
  </si>
  <si>
    <t>Процентные расходы по счетам к оплате в другие банки</t>
  </si>
  <si>
    <t>Итого процентных расходов по депозитам</t>
  </si>
  <si>
    <t>Процентные расходы по кредитам к оплате</t>
  </si>
  <si>
    <t>Процентные расходы по соглашениям о продаже ц/б с последующим выкупом</t>
  </si>
  <si>
    <t>Другие процентные расходы</t>
  </si>
  <si>
    <t>Итого процентных расходов по займам</t>
  </si>
  <si>
    <t>Итого процентных расходов</t>
  </si>
  <si>
    <t>Процентные доходы по счетам в ЦБРУ</t>
  </si>
  <si>
    <t>Процентные доходы по счетам в других банках</t>
  </si>
  <si>
    <t>Процентные доходы по купленным векселям</t>
  </si>
  <si>
    <t xml:space="preserve">Процентные доходы по инвестициям       </t>
  </si>
  <si>
    <t>Процентные доходы по счетам купли-продажи ценных бумаг</t>
  </si>
  <si>
    <t>Процентные доходы по обязательствам клиентов</t>
  </si>
  <si>
    <t xml:space="preserve">Процентные доходы по обяз-вам клиентов по непогашенным акцептам этого банка </t>
  </si>
  <si>
    <t>Процент, Дисконт (Скидки) и взносы по кредитным и лизинговым операциям</t>
  </si>
  <si>
    <t>Процентные доходы по соглашениям о покупке ценных бумаг с обратным выкупом</t>
  </si>
  <si>
    <t>Другие процентные доходы</t>
  </si>
  <si>
    <t>Итого процентных доходов</t>
  </si>
  <si>
    <t xml:space="preserve">1. </t>
  </si>
  <si>
    <t xml:space="preserve">    a.</t>
  </si>
  <si>
    <t xml:space="preserve">    б.</t>
  </si>
  <si>
    <t xml:space="preserve">    в.</t>
  </si>
  <si>
    <t xml:space="preserve">    г.</t>
  </si>
  <si>
    <t xml:space="preserve">    д.</t>
  </si>
  <si>
    <t xml:space="preserve">    е. </t>
  </si>
  <si>
    <t xml:space="preserve">    ж.</t>
  </si>
  <si>
    <t xml:space="preserve">    з.</t>
  </si>
  <si>
    <t xml:space="preserve">    и.</t>
  </si>
  <si>
    <t xml:space="preserve">    к.</t>
  </si>
  <si>
    <t xml:space="preserve"> л.</t>
  </si>
  <si>
    <t xml:space="preserve">2. </t>
  </si>
  <si>
    <t xml:space="preserve">     а.</t>
  </si>
  <si>
    <t xml:space="preserve">     б.</t>
  </si>
  <si>
    <t xml:space="preserve">     в.</t>
  </si>
  <si>
    <t xml:space="preserve">     г.</t>
  </si>
  <si>
    <t xml:space="preserve">     д.</t>
  </si>
  <si>
    <t xml:space="preserve">     е.</t>
  </si>
  <si>
    <t xml:space="preserve">     ж.</t>
  </si>
  <si>
    <t xml:space="preserve">     з.</t>
  </si>
  <si>
    <t xml:space="preserve">     и.</t>
  </si>
  <si>
    <t xml:space="preserve">     л.</t>
  </si>
  <si>
    <t xml:space="preserve">   а.</t>
  </si>
  <si>
    <t xml:space="preserve">4. </t>
  </si>
  <si>
    <t xml:space="preserve">     а. </t>
  </si>
  <si>
    <t xml:space="preserve">     б. </t>
  </si>
  <si>
    <t xml:space="preserve">     в. </t>
  </si>
  <si>
    <t xml:space="preserve">     г. </t>
  </si>
  <si>
    <t xml:space="preserve">     д. </t>
  </si>
  <si>
    <t xml:space="preserve">     е. </t>
  </si>
  <si>
    <t xml:space="preserve">5. </t>
  </si>
  <si>
    <t xml:space="preserve">6.  </t>
  </si>
  <si>
    <t xml:space="preserve">7. </t>
  </si>
  <si>
    <t xml:space="preserve">    а. </t>
  </si>
  <si>
    <t xml:space="preserve">    б. </t>
  </si>
  <si>
    <t xml:space="preserve">    г. </t>
  </si>
  <si>
    <t xml:space="preserve">    д. </t>
  </si>
  <si>
    <t xml:space="preserve">    е.</t>
  </si>
  <si>
    <t xml:space="preserve">    ж. </t>
  </si>
  <si>
    <t xml:space="preserve">    з. </t>
  </si>
  <si>
    <t xml:space="preserve">9. </t>
  </si>
  <si>
    <t xml:space="preserve">      а. </t>
  </si>
  <si>
    <t xml:space="preserve">10. </t>
  </si>
  <si>
    <t xml:space="preserve">       а. </t>
  </si>
  <si>
    <t xml:space="preserve">       б. </t>
  </si>
  <si>
    <t>ПРОЦЕНТНЫЕ РАСХОДЫ</t>
  </si>
  <si>
    <t>Минус: Оценка возможных убытков по кредитам и лизингу</t>
  </si>
  <si>
    <t>Чистые процентные доходы после оценки возможных убытков по кредитам и лизингу</t>
  </si>
  <si>
    <t>БЕСПРОЦЕНТНЫЕ ДОХОДЫ</t>
  </si>
  <si>
    <t>Доходы от комиссий и платы за услуги</t>
  </si>
  <si>
    <t>Прибыль в иностранной валюте</t>
  </si>
  <si>
    <t xml:space="preserve">Прибыль от коммерческих операций </t>
  </si>
  <si>
    <t>Прибыль и дивиденды от инвестиций</t>
  </si>
  <si>
    <t>Другие беспроцентные доходы</t>
  </si>
  <si>
    <t>Итого беспроцентных доходов</t>
  </si>
  <si>
    <t>БЕСПРОЦЕНТНЫЕ РАСХОДЫ</t>
  </si>
  <si>
    <t>Комиссионные расходы и расходы за услуги</t>
  </si>
  <si>
    <t>Убытки в иностранной валюте</t>
  </si>
  <si>
    <t>Убытки от инвестиций</t>
  </si>
  <si>
    <t>Другие беспроцентные расходы</t>
  </si>
  <si>
    <t>Итого беспроцентных расходов</t>
  </si>
  <si>
    <t>ЧИСТЫЙ ДОХОД ДО ОПЕРАЦИОННЫХ РАСХОДОВ</t>
  </si>
  <si>
    <t>ОПЕРАЦИОННЫЕ РАСХОДЫ</t>
  </si>
  <si>
    <t>Заработная плата и другие расходы на сотрудников</t>
  </si>
  <si>
    <t>из них, выплаты основному руководящему персоналу</t>
  </si>
  <si>
    <t>Аренда и содержание</t>
  </si>
  <si>
    <t>Командировочные и транспортные расходы</t>
  </si>
  <si>
    <t>Административные расходы</t>
  </si>
  <si>
    <t>Репрезентация и благотворительность</t>
  </si>
  <si>
    <t>Расходы на износ</t>
  </si>
  <si>
    <t>Итого операционных расходов</t>
  </si>
  <si>
    <t>ЧИСТАЯ ПРИБЫЛЬ ДО УПЛАТЫ НАЛОГОВ И ДРУГИХ ПОПРАВОК</t>
  </si>
  <si>
    <t xml:space="preserve">Оценка налога на прибыль </t>
  </si>
  <si>
    <t>ДОХОД ДО ВВЕДЕНИЯ ПОПРАВОК</t>
  </si>
  <si>
    <t>Непредвиденные доходы или убытки, чистые</t>
  </si>
  <si>
    <t>Другие поправки к прибыли, чистые</t>
  </si>
  <si>
    <t>ЧИСТАЯ ПРИБЫЛЬ (УБЫТКИ)</t>
  </si>
  <si>
    <t>Таблица-2</t>
  </si>
  <si>
    <t>тыс. сум</t>
  </si>
  <si>
    <t>Состав активов*</t>
  </si>
  <si>
    <t>Остаток</t>
  </si>
  <si>
    <t>Категория качества</t>
  </si>
  <si>
    <t>Просроченная задолженность (брутто)</t>
  </si>
  <si>
    <t>Резерв на возможные потери</t>
  </si>
  <si>
    <t>итого</t>
  </si>
  <si>
    <t>до 30 дней</t>
  </si>
  <si>
    <t>от 31 до 90 дней</t>
  </si>
  <si>
    <t>от 91 до 180 дней</t>
  </si>
  <si>
    <t>свыше 180 дней</t>
  </si>
  <si>
    <t>фактически сформированный</t>
  </si>
  <si>
    <t>по категориям качества</t>
  </si>
  <si>
    <t>О</t>
  </si>
  <si>
    <t>П</t>
  </si>
  <si>
    <t>Р</t>
  </si>
  <si>
    <t>С</t>
  </si>
  <si>
    <t>Ценные бумаги для купли и продажи</t>
  </si>
  <si>
    <t>Инвестиции в ценные бумаги, имеющиеся в наличии для продажи</t>
  </si>
  <si>
    <t>Драгоценные металлы, камни и монеты для купли и продажи</t>
  </si>
  <si>
    <t>Купленные дебиторские задолженности - Факторинг</t>
  </si>
  <si>
    <t>Купленные векселя</t>
  </si>
  <si>
    <t>Обязательства клиентов по траттам под аккредитив и/или трастовые документы</t>
  </si>
  <si>
    <t>Обязательства лиентов по непогашенным акцептам банка</t>
  </si>
  <si>
    <t>9</t>
  </si>
  <si>
    <t>Купленные по сделкам РЕПО ценные бумаги</t>
  </si>
  <si>
    <t>10</t>
  </si>
  <si>
    <t>Краткосрочные кредиты, предоставленные ЦБРУ</t>
  </si>
  <si>
    <t>11</t>
  </si>
  <si>
    <t>Краткосрочные кредиты, предоставленные другим банкам</t>
  </si>
  <si>
    <t>12</t>
  </si>
  <si>
    <t>Краткосрочные кредиты, предоставленные правительству</t>
  </si>
  <si>
    <t>13</t>
  </si>
  <si>
    <t>Краткосрочные кредиты, предоставленные бюджетным организациям</t>
  </si>
  <si>
    <t>14</t>
  </si>
  <si>
    <t>Краткосрочные кредиты, предоставленные физическим лицам</t>
  </si>
  <si>
    <t>15</t>
  </si>
  <si>
    <t>Краткосрочные кредиты, предоставленные индивидуальным предпринимателям</t>
  </si>
  <si>
    <t>16</t>
  </si>
  <si>
    <t>Краткосрочные кредиты, предоставленные государственным предприятиям, организациям и учреждениям</t>
  </si>
  <si>
    <t>17</t>
  </si>
  <si>
    <t>Краткосрочные кредиты, предоставленные при содействии Государственного фонда поддержки развития предпринимательской деятельности</t>
  </si>
  <si>
    <t>18</t>
  </si>
  <si>
    <t>Краткосрочные кредиты, предоставленные предприятиям с участием иностранного капитала</t>
  </si>
  <si>
    <t>19</t>
  </si>
  <si>
    <t>Краткосрочные кредиты, предоставленные негосударственным некоммерческим организациям</t>
  </si>
  <si>
    <t>20</t>
  </si>
  <si>
    <t>Краткосрочные кредиты, предоставленные частным предприятиям, хозяйственным товариществам и обществам</t>
  </si>
  <si>
    <t>21</t>
  </si>
  <si>
    <t>Краткосрочные кредиты, предоставленные небанковским финансовым институтам</t>
  </si>
  <si>
    <t>22</t>
  </si>
  <si>
    <t>Долгосрочные кредиты, предоставленные при содействии Государственного фонда поддержки развития предпринимательской деятельности</t>
  </si>
  <si>
    <t>23</t>
  </si>
  <si>
    <t>Долгосрочные кредиты, предоставленные другим банкам</t>
  </si>
  <si>
    <t>24</t>
  </si>
  <si>
    <t xml:space="preserve">Долгосрочные кредиты, предоставленные правительству </t>
  </si>
  <si>
    <t>25</t>
  </si>
  <si>
    <t>Долгосрочные кредиты, предоставленные бюджетным организациям</t>
  </si>
  <si>
    <t>26</t>
  </si>
  <si>
    <t>Долгосрочные кредиты, предоставленные физическим лицам</t>
  </si>
  <si>
    <t>27</t>
  </si>
  <si>
    <t>Долгосрочные кредиты, предоставленные индивидуальным предпринимателям</t>
  </si>
  <si>
    <t>28</t>
  </si>
  <si>
    <t>Долгосрочные кредиты, предоставленные государственным предприятиям, организациям и учреждениям</t>
  </si>
  <si>
    <t>29</t>
  </si>
  <si>
    <t>30</t>
  </si>
  <si>
    <t xml:space="preserve">Долгосрочные кредиты, предоставленные предприятиям с участием иностранного капитала </t>
  </si>
  <si>
    <t>31</t>
  </si>
  <si>
    <t>Долгосрочные кредиты, предоставленные небанковским финансовым институтам</t>
  </si>
  <si>
    <t>32</t>
  </si>
  <si>
    <t xml:space="preserve">Долгосрочные кредиты, предоставленные частным предприятиям, хозяйственным товариществам и обществам </t>
  </si>
  <si>
    <t>33</t>
  </si>
  <si>
    <t>Кредиты и лизинг, находящиеся в процессе судебного разбирательства</t>
  </si>
  <si>
    <t>34</t>
  </si>
  <si>
    <t>Инвестиции в зависимые хозяйственные общества, совместные предприятия и дочерние хозяйственные общества</t>
  </si>
  <si>
    <t>35</t>
  </si>
  <si>
    <t>Инвестиции в долговые ценные бумаги, удерживаемые до погашения</t>
  </si>
  <si>
    <t>36</t>
  </si>
  <si>
    <t>Начисленные проценты к получению</t>
  </si>
  <si>
    <t>37</t>
  </si>
  <si>
    <t>Начисленные беспроцентные доходы к получению</t>
  </si>
  <si>
    <t>38</t>
  </si>
  <si>
    <t>Другое собственное имущество банка</t>
  </si>
  <si>
    <t>39</t>
  </si>
  <si>
    <t>ЗАБАЛАНСОВЫЕ СТАТЬИ</t>
  </si>
  <si>
    <t xml:space="preserve">Гарантии и поручетельства </t>
  </si>
  <si>
    <t>Состав активов банка формируется в соответсвии с Планом счетов</t>
  </si>
  <si>
    <t xml:space="preserve">1 . </t>
  </si>
  <si>
    <t xml:space="preserve">a.  </t>
  </si>
  <si>
    <t xml:space="preserve">б.  </t>
  </si>
  <si>
    <t xml:space="preserve">в.  </t>
  </si>
  <si>
    <t xml:space="preserve">г.  </t>
  </si>
  <si>
    <t xml:space="preserve">д.  </t>
  </si>
  <si>
    <t xml:space="preserve">е.  </t>
  </si>
  <si>
    <t xml:space="preserve">ж.  </t>
  </si>
  <si>
    <t xml:space="preserve">з.   </t>
  </si>
  <si>
    <t xml:space="preserve">и.   </t>
  </si>
  <si>
    <t xml:space="preserve">2.  </t>
  </si>
  <si>
    <t xml:space="preserve">3.  </t>
  </si>
  <si>
    <t xml:space="preserve">4.  </t>
  </si>
  <si>
    <t xml:space="preserve">5.  </t>
  </si>
  <si>
    <t xml:space="preserve">    A.  </t>
  </si>
  <si>
    <t xml:space="preserve">    Б. </t>
  </si>
  <si>
    <t xml:space="preserve">    В. </t>
  </si>
  <si>
    <t xml:space="preserve">8. </t>
  </si>
  <si>
    <t xml:space="preserve">а. </t>
  </si>
  <si>
    <t xml:space="preserve">б. </t>
  </si>
  <si>
    <t xml:space="preserve">в. </t>
  </si>
  <si>
    <t xml:space="preserve">г. </t>
  </si>
  <si>
    <t xml:space="preserve"> д. </t>
  </si>
  <si>
    <t xml:space="preserve">9.  </t>
  </si>
  <si>
    <t>ПРОЦЕНТНЫЕ ДОХОДЫ ПО КРЕДИТНЫМ И ЛИЗИНГОВЫМ ОПЕРАЦИЯМ</t>
  </si>
  <si>
    <t>Кредиты и лизинговые операции ЦБРУ</t>
  </si>
  <si>
    <t>Кредиты и лизинговые операции другим банкам</t>
  </si>
  <si>
    <t xml:space="preserve">Кредиты и лизинговые операции Правительству </t>
  </si>
  <si>
    <t>Кредиты и лизинговые операции физическим лицам</t>
  </si>
  <si>
    <t>Кредиты и лизинговые операции государственным предприятиям</t>
  </si>
  <si>
    <t xml:space="preserve">Кредиты и лизинговые операции совместным и иностранным предприятиям  </t>
  </si>
  <si>
    <t>Кредиты и лизинговые операции частным товариществам и корпорациям</t>
  </si>
  <si>
    <t xml:space="preserve">Другие кредиты и лизинговые операции </t>
  </si>
  <si>
    <t>ИТОГО ПРОЦЕНТНЫХ ДОХОДОВ ПО КРЕДИТНЫМ И ЛИЗИНГОВЫМ ОПЕРАЦИЯМ</t>
  </si>
  <si>
    <t>ПРОЦЕНТНЫЕ ДОХОДЫ ПО КОРРЕСПОНДЕНТСКИМ СЧЕТАМ</t>
  </si>
  <si>
    <t>К получению из ЦБРУ</t>
  </si>
  <si>
    <t>ИТОГО ПРОЦЕНТНЫХ ДОХОДОВ ПО КОРРЕСПОНДЕНТСКИМ СЧЕТАМ</t>
  </si>
  <si>
    <t>ПРОЦЕНТНЫЕ ДОХОДЫ ПО СЧЕТАМ КУПЛИ-ПРОДАЖИ Ц/Б</t>
  </si>
  <si>
    <t>Государственные казначейские ценные бумаги</t>
  </si>
  <si>
    <t>Облигации и ценные бумаги ЦБРУ</t>
  </si>
  <si>
    <t>Ценные бумаги государственных корпораций</t>
  </si>
  <si>
    <t>Еврооблигации</t>
  </si>
  <si>
    <t>Частные ценные бумаги</t>
  </si>
  <si>
    <t>ИТОГО ПРОЦЕНТНЫХ ДОХОДОВ ПО СЧЕТАМ КУПЛИ-ПРОДАЖИ Ц/Б</t>
  </si>
  <si>
    <t>ПРОЦЕНТНЫЕ ДОХОДЫ ПО ИНВЕСТИЦИЯМ</t>
  </si>
  <si>
    <t>Государственные облигации</t>
  </si>
  <si>
    <t>Частные  облигации</t>
  </si>
  <si>
    <t>ИТОГО ПРОЦЕНТНЫХ ДОХОДОВ ПО ИНВЕСТИЦИЯМ</t>
  </si>
  <si>
    <t>ДРУГИЕ ПРОЦЕНТНЫЕ ДОХОДЫ</t>
  </si>
  <si>
    <t>Процентные доходы по соглашениям о покупке ц/б c обратным выкупом</t>
  </si>
  <si>
    <t>ИТОГО ПРОЦЕНТНЫХ ДОХОДОВ</t>
  </si>
  <si>
    <t>ПРОЦЕНТНЫЕ РАСХОДЫ ПО ДЕПОЗИТАМ</t>
  </si>
  <si>
    <t xml:space="preserve">Частные товарищества и корпорации </t>
  </si>
  <si>
    <t>Другие депозиты</t>
  </si>
  <si>
    <t>Итого процентных расходов по депозитам до востребования</t>
  </si>
  <si>
    <t>Итого процентных расходов по срочным депозитам</t>
  </si>
  <si>
    <t>ИТОГО ПРОЦЕНТНЫХ РАСХОДОВ ПО ДЕПОЗИТАМ</t>
  </si>
  <si>
    <t>ПРОЦЕНТНЫЕ РАСХОДЫ ПО ДРУГИМ ОБЯЗАТЕЛЬСТВАМ</t>
  </si>
  <si>
    <t>Процентные расходы по непогашенным акцептам</t>
  </si>
  <si>
    <t>ИТОГО ПРОЦЕНТНЫХ РАСХОДОВ ПО ДРУГИМ ОБЯЗАТЕЛЬСТВАМ</t>
  </si>
  <si>
    <t>ИТОГО ПРОЦЕНТНЫХ РАСХОДОВ</t>
  </si>
  <si>
    <t xml:space="preserve">3. </t>
  </si>
  <si>
    <t xml:space="preserve">6. </t>
  </si>
  <si>
    <t>Итого собственного капитала первоначально определенного за прошлый год</t>
  </si>
  <si>
    <t>Исправления в собственном капитале не показанные в отчете за прошлый год, чистые</t>
  </si>
  <si>
    <t>Исправленный баланс на конец прошлого календарного года (сумма строк 1 и 2)</t>
  </si>
  <si>
    <t>Чистый прибыль (убыток) по состоянию на дату от начала года</t>
  </si>
  <si>
    <t>Продажа, Обмен, Приобретение или выкуп акций, за текущий год (чистая выручка)</t>
  </si>
  <si>
    <t>Изменения в оценочной стоимости прироста над первонач. стоимостью, за текущий год (чистые)</t>
  </si>
  <si>
    <t>МИНУС: Денежные дивиденды объявленные по привилегированным акциям</t>
  </si>
  <si>
    <t>МИНУС: Денежные дивиденды объявленные по обыкновенным акциям</t>
  </si>
  <si>
    <t>Другие статьи влияющие на собственный капитал за текущий год (чистые)</t>
  </si>
  <si>
    <t>Итого собственного капитала на конец текущего периода (сумма строк с 3 по 10)</t>
  </si>
  <si>
    <t>основной долг</t>
  </si>
  <si>
    <t>процент</t>
  </si>
  <si>
    <t>из них, в иностранной валюте (в экв. в сумах)</t>
  </si>
  <si>
    <t>из них необеспеченные</t>
  </si>
  <si>
    <r>
      <t>(В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</si>
  <si>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(Г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</si>
  <si>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(Д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</si>
  <si>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(Е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</si>
  <si>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(Ж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</si>
  <si>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(З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</si>
  <si>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(И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</si>
  <si>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(К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</si>
  <si>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(Л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</si>
  <si>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(М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</si>
  <si>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(Н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</si>
  <si>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(О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)=(Ж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)+(И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)+(Л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)+(Н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</si>
  <si>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t>Таблица-3</t>
  </si>
  <si>
    <t>4.1.</t>
  </si>
  <si>
    <t>4.2.</t>
  </si>
  <si>
    <t xml:space="preserve">Кассовая наличность и другие платежные документы </t>
  </si>
  <si>
    <t>Таблица-11</t>
  </si>
  <si>
    <t>ИНН</t>
  </si>
  <si>
    <t>Вид деятельности</t>
  </si>
  <si>
    <t xml:space="preserve">Код валюты </t>
  </si>
  <si>
    <t>Кредиты и лизинги</t>
  </si>
  <si>
    <t>Инвестиции</t>
  </si>
  <si>
    <t>Гарантии</t>
  </si>
  <si>
    <t>Сумма залога</t>
  </si>
  <si>
    <t>Резерв</t>
  </si>
  <si>
    <t>САМЫЙ КРУПНЫЙ АКТИВ, ВЫДАННЫЙ БАНКОМ ОДНОМУ ИНСАЙДЕРУ</t>
  </si>
  <si>
    <t xml:space="preserve">1.  </t>
  </si>
  <si>
    <t>Численность работников банка по штатному расписанию</t>
  </si>
  <si>
    <t>Фактическая численность работников банка</t>
  </si>
  <si>
    <t xml:space="preserve">Количество филиалов  </t>
  </si>
  <si>
    <t>Количество мини банков</t>
  </si>
  <si>
    <t>Клиенская база банка</t>
  </si>
  <si>
    <t>Рейтинг банка</t>
  </si>
  <si>
    <t>Названия рейтинговой компании</t>
  </si>
  <si>
    <t>Оценка рейтинга банка</t>
  </si>
  <si>
    <t>Общее количество отделений банка, включая административный, филиалы, 
и представительства банка.</t>
  </si>
  <si>
    <t xml:space="preserve">      из них,</t>
  </si>
  <si>
    <t>Численность работников банка,  включая административный, филиалы, 
и представительства банка.</t>
  </si>
  <si>
    <t>Коэффициент достаточности основного Капитала Уровня 1</t>
  </si>
  <si>
    <t>Основной капитал Уровня I</t>
  </si>
  <si>
    <t>Максимальный размер риска на одного заемщика или группу взаимосвязанных заемщиков,Обеспеченные активами</t>
  </si>
  <si>
    <t>Максимальный размер риска на одного заемщика или группу взаимосвязанных заемщиков, Необеспеченные активы</t>
  </si>
  <si>
    <t>Максимальный размер риска для всех крупных активов</t>
  </si>
  <si>
    <t>Совокупная сумма крупных активов</t>
  </si>
  <si>
    <t>Совокупная сумма  активов предоставленых банком всем инсайдерам</t>
  </si>
  <si>
    <t xml:space="preserve">Сумма выданным активам одному инсайдеру или группе связанных лиц, Обеспеченный активом </t>
  </si>
  <si>
    <t>Совокупная сумма  активов выданных инсайдерам</t>
  </si>
  <si>
    <t xml:space="preserve">3.1. </t>
  </si>
  <si>
    <t>Сумма</t>
  </si>
  <si>
    <t>От 31 до 90 дней</t>
  </si>
  <si>
    <t>От 91 до 180 дней</t>
  </si>
  <si>
    <t>3.4</t>
  </si>
  <si>
    <t>К получению из других банков - Депозиты (чистые)</t>
  </si>
  <si>
    <t>Ценные бумаги, выпущенные странами с низким уровня риска</t>
  </si>
  <si>
    <t>Другие легко реализуемые ценные бумаги</t>
  </si>
  <si>
    <t>Итого ликвидных активов</t>
  </si>
  <si>
    <t>Обеспечения</t>
  </si>
  <si>
    <t>Вид залога</t>
  </si>
  <si>
    <t>Е1</t>
  </si>
  <si>
    <t>Е2</t>
  </si>
  <si>
    <t>Е3</t>
  </si>
  <si>
    <t>Е4</t>
  </si>
  <si>
    <t>Е5</t>
  </si>
  <si>
    <t>Таблица-12</t>
  </si>
  <si>
    <t>Убытки по счетам купли-продажи</t>
  </si>
  <si>
    <t>Таблица-4</t>
  </si>
  <si>
    <t>Таблица-8</t>
  </si>
  <si>
    <t>жилая недвижимость</t>
  </si>
  <si>
    <t>коммерческая недвижимость</t>
  </si>
  <si>
    <t>(К1)</t>
  </si>
  <si>
    <t>Таблица-13</t>
  </si>
  <si>
    <t>Таблица-20</t>
  </si>
  <si>
    <t>Таблица-10</t>
  </si>
  <si>
    <t>Таблица-9</t>
  </si>
  <si>
    <t>(Е1)</t>
  </si>
  <si>
    <t>(З1)</t>
  </si>
  <si>
    <t>(И1)</t>
  </si>
  <si>
    <t>(Л1)</t>
  </si>
  <si>
    <t>(М1)</t>
  </si>
  <si>
    <t>(Н1)</t>
  </si>
  <si>
    <t>(О1)</t>
  </si>
  <si>
    <t>(П1)</t>
  </si>
  <si>
    <t>(Р1)</t>
  </si>
  <si>
    <t>Таблица-5</t>
  </si>
  <si>
    <t>всего</t>
  </si>
  <si>
    <t xml:space="preserve">в том числе </t>
  </si>
  <si>
    <t>ипотечный кредит</t>
  </si>
  <si>
    <t>автокредит</t>
  </si>
  <si>
    <t>средневзвешенные процентные ставки</t>
  </si>
  <si>
    <t>Вклады (депозиты) физических лиц</t>
  </si>
  <si>
    <t>Вклады (депозиты) юридических лиц</t>
  </si>
  <si>
    <t>общая сумма
 (тыс. сум)</t>
  </si>
  <si>
    <t>другие активы*</t>
  </si>
  <si>
    <t>другие кредиты физическим лицам</t>
  </si>
  <si>
    <t>остаток всего</t>
  </si>
  <si>
    <t>Виды кредитования</t>
  </si>
  <si>
    <t>в том числе</t>
  </si>
  <si>
    <t>в национальный валюте</t>
  </si>
  <si>
    <t>другие кредиты юридическим лицам</t>
  </si>
  <si>
    <t>2.5.</t>
  </si>
  <si>
    <t>ВСЕГО АКТИВОВ</t>
  </si>
  <si>
    <t>40</t>
  </si>
  <si>
    <t>41</t>
  </si>
  <si>
    <t>(И2)</t>
  </si>
  <si>
    <t>в том числе, анализ временной задолженности</t>
  </si>
  <si>
    <t>потребительские кредиты</t>
  </si>
  <si>
    <t>микрокредит</t>
  </si>
  <si>
    <t>синдицированные кредит</t>
  </si>
  <si>
    <t>лизинг</t>
  </si>
  <si>
    <t>факторинг</t>
  </si>
  <si>
    <t>межбанковский кредит</t>
  </si>
  <si>
    <t>ДАННЫЕ О СРЕДНЕВЗВЕШЕННЫХ ПРОЦЕНТНЫХ СТАВКАХ ПО КРЕДИТАМ</t>
  </si>
  <si>
    <r>
      <t xml:space="preserve">    а</t>
    </r>
    <r>
      <rPr>
        <b/>
        <sz val="7"/>
        <rFont val="Arial Cyr"/>
        <family val="2"/>
        <charset val="204"/>
      </rPr>
      <t>1</t>
    </r>
    <r>
      <rPr>
        <sz val="10"/>
        <rFont val="Arial Cyr"/>
        <family val="2"/>
        <charset val="204"/>
      </rPr>
      <t>)</t>
    </r>
  </si>
  <si>
    <t xml:space="preserve">ИТОГО КРУПНЫХ АКТИВОВ </t>
  </si>
  <si>
    <t xml:space="preserve">САМЫЙ КРУПНЫЙ АКТИВ, ВЫДАННЫЙ БАНКОМ </t>
  </si>
  <si>
    <t>Таблица-21</t>
  </si>
  <si>
    <t>ДАННЫЕ О СРЕДНЕВЗВЕШЕННЫХ ПРОЦЕНТНЫХ СТАВКАХ
 ПО ПРИВЛЕЧЕННЫМ ДЕПОЗИТАМ БАНКОВ</t>
  </si>
  <si>
    <t>Таблица-22</t>
  </si>
  <si>
    <t>Таблица-23</t>
  </si>
  <si>
    <t>Таблица-7</t>
  </si>
  <si>
    <t>Текущая задолженность</t>
  </si>
  <si>
    <t>От 181 до 365 дней</t>
  </si>
  <si>
    <t>От 366 до 730 дней</t>
  </si>
  <si>
    <t xml:space="preserve">ОТЧЕТ О ФИНАНСОВЫХ РЕЗУЛЬТАТАХ </t>
  </si>
  <si>
    <t>ИНФОРМАЦИЯ О КАЧЕСТВЕ АКТИВОВ, ОЦЕНИВАЕМЫХ В ЦЕЛЯХ СОЗДАНИЯ РЕЗЕРВА НА ВОЗМОЖНЫЕ ПОТЕРИ</t>
  </si>
  <si>
    <t>ОТЧЕТ О СДЕЛКАХ, ЗАКЛЮЧЕННЫХ СО СВЯЗАННЫМИ ЛИЦАМИ</t>
  </si>
  <si>
    <t>ОТЧЕТ О CПИСАННЫХ И ВОЗВРАЩЕННЫХ ПЛАТЕЖАХ ИЗ РЕЗЕРВА ВОЗМОЖНЫХ ПОТЕРЬ ПО КРЕДИТАМ И ЛИЗИНГУ</t>
  </si>
  <si>
    <t>Показатели ликвидности</t>
  </si>
  <si>
    <t>Т</t>
  </si>
  <si>
    <t>РАСЧЕТ РЕГУЛЯТИВНОГО КАПИТАЛА БАНКА</t>
  </si>
  <si>
    <t>Активы + забалансовые инструменты+ деривативные (производные) инструменты - вычеты из суммы основного капитала уровня I</t>
  </si>
  <si>
    <t>ИТОГО АКТИВОВ ПО СВЯЗАННЫМ ЛИЦАМ</t>
  </si>
  <si>
    <t>Сумма выданным активам одному инсайдеру или группе связанных лиц, Обеспеченные активы</t>
  </si>
  <si>
    <t>Количество розничных касс вне банка (филиалы)</t>
  </si>
  <si>
    <t>(Б1)</t>
  </si>
  <si>
    <t>(Б2)</t>
  </si>
  <si>
    <t>(Б3)</t>
  </si>
  <si>
    <t>(Б4)</t>
  </si>
  <si>
    <t>Физические лица (льготные кредиты)</t>
  </si>
  <si>
    <t>Юридические лица (льготные кредиты)</t>
  </si>
  <si>
    <t>Физические лица (коммерческие кредиты)</t>
  </si>
  <si>
    <t>Юридические лица (коммерческие кредиты)</t>
  </si>
  <si>
    <t>4.3.</t>
  </si>
  <si>
    <t>4.4.</t>
  </si>
  <si>
    <t>4.5.</t>
  </si>
  <si>
    <t>4.6.</t>
  </si>
  <si>
    <t>Основные средства</t>
  </si>
  <si>
    <t>42</t>
  </si>
  <si>
    <t>средне-взвешенные процентные ставки</t>
  </si>
  <si>
    <t xml:space="preserve"> Нематериальные активы</t>
  </si>
  <si>
    <t xml:space="preserve"> Нереализованная прибыль при ревальвации производных инструментов</t>
  </si>
  <si>
    <t xml:space="preserve"> Купля-продажа валюты и валютные позиции</t>
  </si>
  <si>
    <t xml:space="preserve"> Транзитные счета</t>
  </si>
  <si>
    <t xml:space="preserve"> Транзитные счета по средствам к списанию с пластиковых карт клиентов</t>
  </si>
  <si>
    <t xml:space="preserve">Лизинг (Финансовая аренда) </t>
  </si>
  <si>
    <t>43</t>
  </si>
  <si>
    <t>44</t>
  </si>
  <si>
    <t>45</t>
  </si>
  <si>
    <t>46</t>
  </si>
  <si>
    <t>47</t>
  </si>
  <si>
    <t>48</t>
  </si>
  <si>
    <t>Начисляемые 
кредиты</t>
  </si>
  <si>
    <t>Долгосрочные кредиты, предоставленные негосударственным некоммерческим организациям</t>
  </si>
  <si>
    <t>366-730 дней</t>
  </si>
  <si>
    <t>Краткосрочные кредиты, предоставленные для производства сельскохозяйственной продукции, закупаемой для государственных нужд</t>
  </si>
  <si>
    <t>Долгосрочные кредиты, предоставленные для производства сельскохозяйственной продукции, закупаемой для государственных нужд</t>
  </si>
  <si>
    <t>49</t>
  </si>
  <si>
    <t>50</t>
  </si>
  <si>
    <t>У</t>
  </si>
  <si>
    <t>Ликвидные активы</t>
  </si>
  <si>
    <t>Физлица</t>
  </si>
  <si>
    <t>Юрзлица</t>
  </si>
  <si>
    <t>Сроки, погашения средств</t>
  </si>
  <si>
    <t>От 1 до 7 дней</t>
  </si>
  <si>
    <t>От 8 до 30 дней</t>
  </si>
  <si>
    <t>Итого (сумма строк 1, 2, 3, 4, 5, 6, 7, 8 )</t>
  </si>
  <si>
    <t>Кредиты переведённые в статус ненаращивания процентов</t>
  </si>
  <si>
    <t>Нацвалюта</t>
  </si>
  <si>
    <t>Инвалюта</t>
  </si>
  <si>
    <t>51</t>
  </si>
  <si>
    <t>Отсроченная дебиторская задолженность</t>
  </si>
  <si>
    <t>ОТЧЕТ О КРУПНЫХ РИСКАХ</t>
  </si>
  <si>
    <t>КРЕДИТЫ И ЛИЗИНГИ К ПОЛУЧЕНИЮ ПО ОТРАСЛЯМ ЭКОНОМИКИ, ТИПАМ КЛИЕНТОВ И ПО ТИПУ ОБЕСПЕЧЕНИЯ</t>
  </si>
  <si>
    <t>АНАЛИЗ ПРОСРОЧЕННЫХ КРЕДИТОВ И ФИНАНСОВОГО ЛИЗИНГА К ПОЛУЧЕНИЮ</t>
  </si>
  <si>
    <t>ОТЧЕТ О КЛАССИФИКАЦИИ АКТИВОВ ПО СТЕПЕНИ РИСКА</t>
  </si>
  <si>
    <t xml:space="preserve">   б.</t>
  </si>
  <si>
    <t>Минус: Оценка возможных убытков по в ценным бумагам</t>
  </si>
  <si>
    <t xml:space="preserve">   в.</t>
  </si>
  <si>
    <t xml:space="preserve">Минус: Оценка возможных убытков по инвестициям </t>
  </si>
  <si>
    <t xml:space="preserve">   г.</t>
  </si>
  <si>
    <t xml:space="preserve">Минус: Оценка возможных убытков по другим активам </t>
  </si>
  <si>
    <t>ЧИСТЫЕ ПРОЦЕНТНЫЕ ДОХОДЫ ДО ОЦЕНКИ ВОЗМОЖНЫХ УБЫТКОВ ПО АКТИВАМ</t>
  </si>
  <si>
    <t>Страхование</t>
  </si>
  <si>
    <t>Налоги</t>
  </si>
  <si>
    <t xml:space="preserve">    и. </t>
  </si>
  <si>
    <t>Штрафы и пеня</t>
  </si>
  <si>
    <t xml:space="preserve">    к. </t>
  </si>
  <si>
    <t>Другие операционные расходы</t>
  </si>
  <si>
    <t xml:space="preserve">   л. </t>
  </si>
  <si>
    <t xml:space="preserve">Прибыль за текущий год </t>
  </si>
  <si>
    <t>Республика Каракалпакстан</t>
  </si>
  <si>
    <t>Андижанская область</t>
  </si>
  <si>
    <t>Бухарская область</t>
  </si>
  <si>
    <t>Джизакская область</t>
  </si>
  <si>
    <t>Кашкадарьинская область</t>
  </si>
  <si>
    <t>Навоийская область</t>
  </si>
  <si>
    <t>Наманганская область</t>
  </si>
  <si>
    <t>Самаркандская область</t>
  </si>
  <si>
    <t>Сурхандарьинская область</t>
  </si>
  <si>
    <t>Сырдарьинская область</t>
  </si>
  <si>
    <t>Ташкентская область</t>
  </si>
  <si>
    <t>Ферганская область</t>
  </si>
  <si>
    <t>Хорезмская область</t>
  </si>
  <si>
    <t>г. Ташкент</t>
  </si>
  <si>
    <t xml:space="preserve">По регионам </t>
  </si>
  <si>
    <t>Таблица-20 А</t>
  </si>
  <si>
    <t>Сроки</t>
  </si>
  <si>
    <t xml:space="preserve"> Списанные на внебаланс </t>
  </si>
  <si>
    <t>Реструктуризи-рованные кредиты</t>
  </si>
  <si>
    <t xml:space="preserve">до 1 года </t>
  </si>
  <si>
    <t>От 1 до 5 лет</t>
  </si>
  <si>
    <t>От 5 до 10 лет</t>
  </si>
  <si>
    <t>От 10 до 15 лет</t>
  </si>
  <si>
    <t>Свыше 15 лет</t>
  </si>
  <si>
    <t xml:space="preserve">Остаток </t>
  </si>
  <si>
    <t>средневзвешенные % ставки</t>
  </si>
  <si>
    <t>в нацвалюте</t>
  </si>
  <si>
    <t>в инвалюте</t>
  </si>
  <si>
    <t>Ф</t>
  </si>
  <si>
    <t>Х</t>
  </si>
  <si>
    <t>Ц</t>
  </si>
  <si>
    <t>Ч</t>
  </si>
  <si>
    <t>Ш</t>
  </si>
  <si>
    <t>Щ</t>
  </si>
  <si>
    <t xml:space="preserve">Физические лица </t>
  </si>
  <si>
    <r>
      <t xml:space="preserve"> Ипотечные кредиты </t>
    </r>
    <r>
      <rPr>
        <b/>
        <sz val="14"/>
        <color rgb="FF000000"/>
        <rFont val="Times New Roman"/>
        <family val="1"/>
        <charset val="204"/>
      </rPr>
      <t xml:space="preserve">(льготные)
</t>
    </r>
    <r>
      <rPr>
        <sz val="14"/>
        <color rgb="FF000000"/>
        <rFont val="Times New Roman"/>
        <family val="1"/>
        <charset val="204"/>
      </rPr>
      <t>в том числе:</t>
    </r>
  </si>
  <si>
    <t>на приобретение недвижимого имущества</t>
  </si>
  <si>
    <t>на ремонт недвижимого имущества</t>
  </si>
  <si>
    <t>на строительство недвижимого имущества</t>
  </si>
  <si>
    <r>
      <t xml:space="preserve"> Ипотечные кредиты </t>
    </r>
    <r>
      <rPr>
        <b/>
        <sz val="14"/>
        <color rgb="FF000000"/>
        <rFont val="Times New Roman"/>
        <family val="1"/>
        <charset val="204"/>
      </rPr>
      <t xml:space="preserve">(коммерческие)
</t>
    </r>
    <r>
      <rPr>
        <sz val="14"/>
        <color rgb="FF000000"/>
        <rFont val="Times New Roman"/>
        <family val="1"/>
        <charset val="204"/>
      </rPr>
      <t>в том числе:</t>
    </r>
  </si>
  <si>
    <t>Юридические лица</t>
  </si>
  <si>
    <t>на реконструкцию недвижимого имущества</t>
  </si>
  <si>
    <t>из них на приобретения автомобиля</t>
  </si>
  <si>
    <t>РАСЧЕТ ПРУДЕНЦИАЛЬНЫХ НОРМАТИВОВ</t>
  </si>
  <si>
    <t>кредиты, выданные на формирование стартового капитала</t>
  </si>
  <si>
    <t>кредиты на пополнение оборотных средств</t>
  </si>
  <si>
    <t>кредиты, выданные на приобретение, модернизацию или приватизацию основных средств</t>
  </si>
  <si>
    <t>кредиты, выданные на покрытие затрат, связанных с импортом и экспортом продукции</t>
  </si>
  <si>
    <t>кредиты, выданные по отдельным решениям правительства</t>
  </si>
  <si>
    <t>микрозайм (все нецелевые кредиты)</t>
  </si>
  <si>
    <t>в том числе по видам кредитования</t>
  </si>
  <si>
    <t>другие виды кредитования</t>
  </si>
  <si>
    <t>в том числе по цели кредитования</t>
  </si>
  <si>
    <t>другие цели кредитования</t>
  </si>
  <si>
    <t>Информация о структуре кредитного портфеля</t>
  </si>
  <si>
    <t xml:space="preserve">  д.</t>
  </si>
  <si>
    <t>90908-90958</t>
  </si>
  <si>
    <t>Краткосрочные обязательства</t>
  </si>
  <si>
    <t xml:space="preserve">               Нормативный показатель по инвестициям банка в недвижимость</t>
  </si>
  <si>
    <t xml:space="preserve"> 6.1</t>
  </si>
  <si>
    <t>Совокупная сумма всех инвестиций банка в недвижимость</t>
  </si>
  <si>
    <t>Сумма всех инвестиций банка в недвижимость</t>
  </si>
  <si>
    <t xml:space="preserve">Количество центров банковских услуг </t>
  </si>
  <si>
    <t>в том числе имеющие основной счет в банке</t>
  </si>
  <si>
    <t xml:space="preserve">Показатели финансовой устойчивости </t>
  </si>
  <si>
    <t>Основные показатели</t>
  </si>
  <si>
    <t>Регулятивный капитал к активам взвешанных с учетом риска</t>
  </si>
  <si>
    <t>Всего Регулятивный капитал</t>
  </si>
  <si>
    <t>Активы взвешанные с учетом риска</t>
  </si>
  <si>
    <t>Регулятивный  капитал 1 - уровня к Активам взвешанных с учетом риска</t>
  </si>
  <si>
    <t>Регулятивный капитал 1- уровня</t>
  </si>
  <si>
    <t>Недействующие ссуды за вычетом резервов/общий объем капитала</t>
  </si>
  <si>
    <t>Недействующие ссуды за вычетом резервов</t>
  </si>
  <si>
    <t>Совокупный капитал на конец периода</t>
  </si>
  <si>
    <t>Недействующие ссуды/общая сумма ссуд</t>
  </si>
  <si>
    <t>Недействующие ссуды</t>
  </si>
  <si>
    <t>Общая сумма ссуд</t>
  </si>
  <si>
    <t>Рентабельность активов</t>
  </si>
  <si>
    <t>Чистая прибыль до уплаты налогов</t>
  </si>
  <si>
    <t>Всего активы (средний за период)</t>
  </si>
  <si>
    <t>Рентабельность капитала</t>
  </si>
  <si>
    <t>Совокупный капитал (средний за период)</t>
  </si>
  <si>
    <t>Процентная маржа/валовой доход</t>
  </si>
  <si>
    <t xml:space="preserve">Процентная маржа </t>
  </si>
  <si>
    <t xml:space="preserve">Валовой доход </t>
  </si>
  <si>
    <t>Непроцентные расходы/валовой доход</t>
  </si>
  <si>
    <t>Непроцентные расходы</t>
  </si>
  <si>
    <t>Валовой доход</t>
  </si>
  <si>
    <t>Ликвидные активы/всего активы</t>
  </si>
  <si>
    <t>Всего активы</t>
  </si>
  <si>
    <t>Ликвидные активы/краткосрочные обязательства</t>
  </si>
  <si>
    <t>Совокупный капитал на конец периода/Всего активы</t>
  </si>
  <si>
    <t>Чистая открытая валютная позиция /Совокупный капитал на конец периода</t>
  </si>
  <si>
    <t xml:space="preserve">Чистая открытая валютная позиция </t>
  </si>
  <si>
    <t>Актив</t>
  </si>
  <si>
    <t>Капитал</t>
  </si>
  <si>
    <t xml:space="preserve">Наличные денежные средства и Драгоценные металлы </t>
  </si>
  <si>
    <t>Максимальный размер риска на одного заемщика или группу взаимосвязанных заемщиков, Обеспеченные активами</t>
  </si>
  <si>
    <t>Е6</t>
  </si>
  <si>
    <t>Месяц</t>
  </si>
  <si>
    <t>1 января</t>
  </si>
  <si>
    <t>1 февраль</t>
  </si>
  <si>
    <t>1 март</t>
  </si>
  <si>
    <t>1 апрель</t>
  </si>
  <si>
    <t>1 май</t>
  </si>
  <si>
    <t>1 июнь</t>
  </si>
  <si>
    <t>1 июль</t>
  </si>
  <si>
    <t>1 август</t>
  </si>
  <si>
    <t>1 сентябрь</t>
  </si>
  <si>
    <t>1 октябрь</t>
  </si>
  <si>
    <t>1 ноябрь</t>
  </si>
  <si>
    <t>1 декабрь</t>
  </si>
  <si>
    <t>1 январь</t>
  </si>
  <si>
    <t xml:space="preserve"> 5.2</t>
  </si>
  <si>
    <t>Межбанковские кредиты и депозиты</t>
  </si>
  <si>
    <t>-</t>
  </si>
  <si>
    <t>Индивидуальные предприниматели</t>
  </si>
  <si>
    <t>Максимальный размер риска на один банк или группу взаимосвязанных заемщиков банков по межбанковским кредитам и депозитам</t>
  </si>
  <si>
    <t>Подпись Председателя Правления:</t>
  </si>
  <si>
    <t xml:space="preserve">Чистая прибыль </t>
  </si>
  <si>
    <t>№3</t>
  </si>
  <si>
    <t>"Тошкент Чинни Заводи" МЧЖ</t>
  </si>
  <si>
    <t>"Алока Актив" МЧЖ</t>
  </si>
  <si>
    <t>305186248</t>
  </si>
  <si>
    <t>"Алокализинг" МЧЖ</t>
  </si>
  <si>
    <t>305675865</t>
  </si>
  <si>
    <t>"Уздижитал ТВ" МЧЖ</t>
  </si>
  <si>
    <t>207027936</t>
  </si>
  <si>
    <t>"Пеймент Агригайшн Системс" МЧЖ</t>
  </si>
  <si>
    <t>305148809</t>
  </si>
  <si>
    <t>"Оила даврасида газетаси тахририяти" МЧЖ</t>
  </si>
  <si>
    <t>207151206</t>
  </si>
  <si>
    <t>АО СК "Алском"</t>
  </si>
  <si>
    <t>201941144</t>
  </si>
  <si>
    <t>Маматов Улугбек Фуркат угли</t>
  </si>
  <si>
    <t>545091429</t>
  </si>
  <si>
    <t>Жумаев Ҳафиз Ҳусенович</t>
  </si>
  <si>
    <t>486784282</t>
  </si>
  <si>
    <t>Ибрагимов Азизбек Кэлдибек ўғли</t>
  </si>
  <si>
    <t>506643954</t>
  </si>
  <si>
    <t>Хасанов Назиржон Набижанович</t>
  </si>
  <si>
    <t>496418880</t>
  </si>
  <si>
    <t>Расулов Абдурахмон Муратович</t>
  </si>
  <si>
    <t>460627292</t>
  </si>
  <si>
    <t>Ганиев Шерали Алижон угли</t>
  </si>
  <si>
    <t>510888885</t>
  </si>
  <si>
    <t>Абдурашидова Нигора Ибрагимовна</t>
  </si>
  <si>
    <t>487802528</t>
  </si>
  <si>
    <t>Пўлатова Ҳилола Ғайрат қизи</t>
  </si>
  <si>
    <t>497547744</t>
  </si>
  <si>
    <t>Аслонов Низомжон Аслонович</t>
  </si>
  <si>
    <t>514658789</t>
  </si>
  <si>
    <t>Ботиров Бекзод Косимович</t>
  </si>
  <si>
    <t>495549767</t>
  </si>
  <si>
    <t>Абдуллаев Учкун Аширович</t>
  </si>
  <si>
    <t>487873266</t>
  </si>
  <si>
    <t>514610438</t>
  </si>
  <si>
    <t>Полвонов Асроржон Абдулхаевич</t>
  </si>
  <si>
    <t>509499854</t>
  </si>
  <si>
    <t>Хакбердиев Зафар Алишер угли</t>
  </si>
  <si>
    <t>508642376</t>
  </si>
  <si>
    <t>496259336</t>
  </si>
  <si>
    <t>Умурбаев Азиз Махсадбекович</t>
  </si>
  <si>
    <t>498620804</t>
  </si>
  <si>
    <t>Гайбуллоев Сухроб Одил ўғли</t>
  </si>
  <si>
    <t>501987649</t>
  </si>
  <si>
    <t>499601185</t>
  </si>
  <si>
    <t>Раҳматов Аҳад Комил ўғли</t>
  </si>
  <si>
    <t>500261635</t>
  </si>
  <si>
    <t>Раззакова Дилором Шараф кизи</t>
  </si>
  <si>
    <t>517275235</t>
  </si>
  <si>
    <t>511420770</t>
  </si>
  <si>
    <t>Утамова Шоира Абдуразаковна</t>
  </si>
  <si>
    <t>532588471</t>
  </si>
  <si>
    <t>Рустамов Сарвар Сувонкулович</t>
  </si>
  <si>
    <t>499355491</t>
  </si>
  <si>
    <t>Гуломов Шарофиддин Шарифжон ўғли</t>
  </si>
  <si>
    <t>515556883</t>
  </si>
  <si>
    <t>Кахаров Элдиёр Холмуродович</t>
  </si>
  <si>
    <t>473452774</t>
  </si>
  <si>
    <t>Ахтамов Шароф Ахтам ўғли</t>
  </si>
  <si>
    <t>524032978</t>
  </si>
  <si>
    <t>Тошпулатов Бекзод</t>
  </si>
  <si>
    <t>499849485</t>
  </si>
  <si>
    <t>Рахимназаров Йулдош Бозорович</t>
  </si>
  <si>
    <t/>
  </si>
  <si>
    <t>Файзиев Сардор Собирович</t>
  </si>
  <si>
    <t>493989601</t>
  </si>
  <si>
    <t>Каримов Сирожиддин Уролович</t>
  </si>
  <si>
    <t>496128672</t>
  </si>
  <si>
    <t>507554580</t>
  </si>
  <si>
    <t>Маткаримов Санжар Юлдош ўғли</t>
  </si>
  <si>
    <t>523640490</t>
  </si>
  <si>
    <t>Авазов Баҳодир Бахтиёрович</t>
  </si>
  <si>
    <t>494549830</t>
  </si>
  <si>
    <t>Тураев Шавкат Абдузоирович</t>
  </si>
  <si>
    <t>496318340</t>
  </si>
  <si>
    <t>Ибрахимов Ибрахимжон Отаназарович</t>
  </si>
  <si>
    <t>495392918</t>
  </si>
  <si>
    <t>Холов Хуршиджон Худойбердиевич</t>
  </si>
  <si>
    <t>513726894</t>
  </si>
  <si>
    <t>Буранова Мунаввар Омановна</t>
  </si>
  <si>
    <t>АК "Ўзбектелеком"</t>
  </si>
  <si>
    <t>203366731</t>
  </si>
  <si>
    <t>Навоийский горно-метал. ком.</t>
  </si>
  <si>
    <t>"Универсал Мобайл Системс" МЧЖ</t>
  </si>
  <si>
    <t>ХЁАТ "Ориент Финанс банк"</t>
  </si>
  <si>
    <t>Moody's</t>
  </si>
  <si>
    <t>B1/NP, B2/NP, Stable</t>
  </si>
  <si>
    <t>Худойбердиев Кахрамон Абдуназарович</t>
  </si>
  <si>
    <t>490485109</t>
  </si>
  <si>
    <t>Халавов Фаррух Истамович</t>
  </si>
  <si>
    <t>513199657</t>
  </si>
  <si>
    <t>Холиқов Зохид  Рашидович</t>
  </si>
  <si>
    <t>АК "Алокабанк"</t>
  </si>
  <si>
    <t>498628800</t>
  </si>
  <si>
    <t>454843114</t>
  </si>
  <si>
    <t>Ходжаниязов Уткир Юсупович</t>
  </si>
  <si>
    <t>Гуломова Инобат Анваровна</t>
  </si>
  <si>
    <t>Файзиев Сирожиддин Собир ўғли</t>
  </si>
  <si>
    <t>Адилов Абдужалол Халматович</t>
  </si>
  <si>
    <t>Жураева Гавхар Нуритдинова</t>
  </si>
  <si>
    <t>Набижонов Муҳаммадносир нодир ўғли</t>
  </si>
  <si>
    <t>Усмонов Шухрат Собиржонович</t>
  </si>
  <si>
    <t>Халавов Фируз Истамович</t>
  </si>
  <si>
    <t>Axmedova Moxira Shogdorovna</t>
  </si>
  <si>
    <t>Mallayev Elyor Ibroximovich</t>
  </si>
  <si>
    <t>Умаркулова Зиёда XXX</t>
  </si>
  <si>
    <t>540576855</t>
  </si>
  <si>
    <t>501360789</t>
  </si>
  <si>
    <t>489072043</t>
  </si>
  <si>
    <t>"Ўзбектелеком" АЖ</t>
  </si>
  <si>
    <t xml:space="preserve"> "Нано Лизинг Компанияси" МЧЖ</t>
  </si>
  <si>
    <t>207137166</t>
  </si>
  <si>
    <t xml:space="preserve"> "IT-INVEST" МЧЖ</t>
  </si>
  <si>
    <t>305059128</t>
  </si>
  <si>
    <t>538664452</t>
  </si>
  <si>
    <t>499944186</t>
  </si>
  <si>
    <t>517681744</t>
  </si>
  <si>
    <t>Мирзаев Мақсуд Баходирович</t>
  </si>
  <si>
    <t>Қадомов Махмудбек Баходир ўғли</t>
  </si>
  <si>
    <t>Саидов Эгамжон Шахриёр ўғли</t>
  </si>
  <si>
    <t>Мусаев Илхомжон Рустам ўғли</t>
  </si>
  <si>
    <t>Прочие (1 250 физ. лиц)</t>
  </si>
  <si>
    <t>Муратбаева Халима Аллабай қизи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</si>
</sst>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2">
    <numFmt numFmtId="164" formatCode="#,##0&quot;р.&quot;;[Red]\-#,##0&quot;р.&quot;"/>
    <numFmt numFmtId="165" formatCode="_-* #,##0_р_._-;\-* #,##0_р_._-;_-* &quot;-&quot;_р_._-;_-@_-"/>
    <numFmt numFmtId="166" formatCode="_-* #,##0.00_р_._-;\-* #,##0.00_р_._-;_-* &quot;-&quot;??_р_._-;_-@_-"/>
    <numFmt numFmtId="167" formatCode="\-############"/>
    <numFmt numFmtId="168" formatCode="\-##########"/>
    <numFmt numFmtId="169" formatCode="0.000"/>
    <numFmt numFmtId="170" formatCode="_-* #,##0_р_._-;\-* #,##0_р_._-;_-* &quot;-&quot;??_р_._-;_-@_-"/>
    <numFmt numFmtId="171" formatCode="[$-F800]dddd\,\ mmmm\ dd\,\ yyyy"/>
    <numFmt numFmtId="172" formatCode="0.0%"/>
    <numFmt numFmtId="173" formatCode="#,##0.0"/>
    <numFmt numFmtId="174" formatCode="\$#.00"/>
    <numFmt numFmtId="175" formatCode="#"/>
    <numFmt numFmtId="176" formatCode="%#.00"/>
    <numFmt numFmtId="177" formatCode="#.00"/>
    <numFmt numFmtId="178" formatCode="_(* #,##0.00_);_(* \(#,##0.00\);_(* &quot;-&quot;??_);_(@_)"/>
    <numFmt numFmtId="179" formatCode="#,##0&quot; &quot;;\-#,##0&quot; &quot;"/>
    <numFmt numFmtId="180" formatCode="_-* #,##0.00_ _-;\-* #,##0.00_ _-;_-* &quot;-&quot;??_ _-;_-@_-"/>
    <numFmt numFmtId="181" formatCode="#&quot; &quot;##0&quot; &quot;;\-#&quot; &quot;##0&quot; &quot;"/>
    <numFmt numFmtId="182" formatCode="_-* #,##0.00\ _с_ў_м_-;\-* #,##0.00\ _с_ў_м_-;_-* &quot;-&quot;??\ _с_ў_м_-;_-@_-"/>
    <numFmt numFmtId="183" formatCode="#,##0.0_р_."/>
    <numFmt numFmtId="184" formatCode="&quot;   &quot;@"/>
    <numFmt numFmtId="185" formatCode="&quot;      &quot;@"/>
    <numFmt numFmtId="186" formatCode="&quot;            &quot;@"/>
    <numFmt numFmtId="187" formatCode="_-* #,##0.00\ &quot;сум&quot;_-;\-* #,##0.00\ &quot;сум&quot;_-;_-* &quot;-&quot;??\ &quot;сум&quot;_-;_-@_-"/>
    <numFmt numFmtId="188" formatCode="&quot;$&quot;#,##0\ ;\(&quot;$&quot;#,##0\)"/>
    <numFmt numFmtId="189" formatCode="_([$€-2]* #,##0.00_);_([$€-2]* \(#,##0.00\);_([$€-2]* &quot;-&quot;??_)"/>
    <numFmt numFmtId="190" formatCode="General_)"/>
    <numFmt numFmtId="191" formatCode="_(* #,##0_);_(* \(#,##0\);_(* &quot;-&quot;_);_(@_)"/>
    <numFmt numFmtId="192" formatCode="_(&quot;$&quot;* #,##0_);_(&quot;$&quot;* \(#,##0\);_(&quot;$&quot;* &quot;-&quot;_);_(@_)"/>
    <numFmt numFmtId="193" formatCode="_(&quot;$&quot;* #,##0.00_);_(&quot;$&quot;* \(#,##0.00\);_(&quot;$&quot;* &quot;-&quot;??_);_(@_)"/>
    <numFmt numFmtId="194" formatCode="[Black]#,##0.0;[Black]\-#,##0.0;;"/>
    <numFmt numFmtId="195" formatCode="0.0"/>
  </numFmts>
  <fonts count="147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family val="2"/>
      <charset val="204"/>
    </font>
    <font>
      <sz val="10"/>
      <name val="Arial Cyr"/>
      <family val="2"/>
      <charset val="204"/>
    </font>
    <font>
      <b/>
      <sz val="12"/>
      <name val="Arial Cyr"/>
      <family val="2"/>
      <charset val="204"/>
    </font>
    <font>
      <b/>
      <sz val="10"/>
      <name val="Arial Cyr"/>
      <family val="2"/>
      <charset val="204"/>
    </font>
    <font>
      <b/>
      <sz val="10"/>
      <name val="Arial Cyr"/>
      <family val="2"/>
      <charset val="204"/>
    </font>
    <font>
      <sz val="10"/>
      <name val="Times New Roman"/>
      <family val="1"/>
    </font>
    <font>
      <sz val="12"/>
      <name val="Arial Cyr"/>
      <family val="2"/>
      <charset val="204"/>
    </font>
    <font>
      <sz val="10"/>
      <name val="Times New Roman Cyr"/>
      <family val="1"/>
      <charset val="204"/>
    </font>
    <font>
      <sz val="10"/>
      <color indexed="9"/>
      <name val="Arial Cyr"/>
      <family val="2"/>
      <charset val="204"/>
    </font>
    <font>
      <b/>
      <sz val="11"/>
      <name val="Arial Cyr"/>
      <family val="2"/>
      <charset val="204"/>
    </font>
    <font>
      <b/>
      <sz val="14"/>
      <name val="Arial Cyr"/>
      <family val="2"/>
      <charset val="204"/>
    </font>
    <font>
      <sz val="10"/>
      <color indexed="22"/>
      <name val="Arial Cyr"/>
      <family val="2"/>
      <charset val="204"/>
    </font>
    <font>
      <sz val="11"/>
      <name val="Arial Cyr"/>
      <family val="2"/>
      <charset val="204"/>
    </font>
    <font>
      <b/>
      <sz val="12"/>
      <name val="Times New Roman"/>
      <family val="1"/>
      <charset val="204"/>
    </font>
    <font>
      <sz val="9"/>
      <name val="Arial Cyr"/>
      <family val="2"/>
      <charset val="204"/>
    </font>
    <font>
      <sz val="8"/>
      <name val="Arial Cyr"/>
      <family val="2"/>
      <charset val="204"/>
    </font>
    <font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sz val="10"/>
      <name val="Times New Roman Cyr"/>
      <family val="1"/>
      <charset val="204"/>
    </font>
    <font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sz val="10"/>
      <color indexed="55"/>
      <name val="Arial Cyr"/>
      <family val="2"/>
      <charset val="204"/>
    </font>
    <font>
      <b/>
      <sz val="10"/>
      <color indexed="10"/>
      <name val="Times New Roman Cyr"/>
      <family val="1"/>
      <charset val="204"/>
    </font>
    <font>
      <sz val="8"/>
      <name val="Arial Cyr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0"/>
      <name val="Times New Roman Cyr"/>
      <charset val="204"/>
    </font>
    <font>
      <b/>
      <sz val="10"/>
      <name val="Arial Cyr"/>
      <charset val="204"/>
    </font>
    <font>
      <i/>
      <sz val="10"/>
      <name val="Arial Cyr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0"/>
      <name val="Times New Roman Cyr"/>
      <charset val="204"/>
    </font>
    <font>
      <b/>
      <sz val="8"/>
      <name val="Arial Cyr"/>
      <charset val="204"/>
    </font>
    <font>
      <sz val="10"/>
      <name val="Arial Cyr"/>
      <charset val="204"/>
    </font>
    <font>
      <sz val="10"/>
      <color rgb="FFFF00FF"/>
      <name val="Arial Cyr"/>
      <family val="2"/>
      <charset val="204"/>
    </font>
    <font>
      <sz val="12"/>
      <color rgb="FFFF00FF"/>
      <name val="Arial Cyr"/>
      <family val="2"/>
      <charset val="204"/>
    </font>
    <font>
      <b/>
      <sz val="10"/>
      <color rgb="FFFF00FF"/>
      <name val="Arial Cyr"/>
      <family val="2"/>
      <charset val="204"/>
    </font>
    <font>
      <sz val="14"/>
      <name val="Arial Cyr"/>
      <family val="2"/>
      <charset val="204"/>
    </font>
    <font>
      <sz val="10"/>
      <color theme="0" tint="-0.34998626667073579"/>
      <name val="Arial Cyr"/>
      <family val="2"/>
      <charset val="204"/>
    </font>
    <font>
      <b/>
      <sz val="14"/>
      <color rgb="FF000000"/>
      <name val="Times New Roman"/>
      <family val="1"/>
      <charset val="204"/>
    </font>
    <font>
      <sz val="14"/>
      <name val="Times New Roman"/>
      <family val="1"/>
      <charset val="204"/>
    </font>
    <font>
      <sz val="12"/>
      <color theme="0" tint="-0.34998626667073579"/>
      <name val="Arial Cyr"/>
      <family val="2"/>
      <charset val="204"/>
    </font>
    <font>
      <b/>
      <sz val="16"/>
      <name val="Arial Cyr"/>
      <family val="2"/>
      <charset val="204"/>
    </font>
    <font>
      <b/>
      <sz val="10"/>
      <color theme="0" tint="-0.34998626667073579"/>
      <name val="Times New Roman Cyr"/>
      <family val="1"/>
      <charset val="204"/>
    </font>
    <font>
      <sz val="8"/>
      <color rgb="FFCC00CC"/>
      <name val="Arial Cyr"/>
      <family val="2"/>
      <charset val="204"/>
    </font>
    <font>
      <sz val="10"/>
      <color rgb="FFCC00CC"/>
      <name val="Arial Cyr"/>
      <family val="2"/>
      <charset val="204"/>
    </font>
    <font>
      <b/>
      <sz val="14"/>
      <name val="Arial Cyr"/>
      <charset val="204"/>
    </font>
    <font>
      <i/>
      <sz val="12"/>
      <color rgb="FF000000"/>
      <name val="Times New Roman"/>
      <family val="1"/>
      <charset val="204"/>
    </font>
    <font>
      <b/>
      <sz val="14"/>
      <name val="Times New Roman"/>
      <family val="1"/>
      <charset val="204"/>
    </font>
    <font>
      <sz val="10"/>
      <color rgb="FF7030A0"/>
      <name val="Times New Roman Cyr"/>
      <charset val="204"/>
    </font>
    <font>
      <b/>
      <sz val="11"/>
      <name val="Arial Cyr"/>
      <charset val="204"/>
    </font>
    <font>
      <b/>
      <sz val="12"/>
      <name val="Arial Cyr"/>
      <charset val="204"/>
    </font>
    <font>
      <sz val="10"/>
      <color rgb="FF000000"/>
      <name val="Times New Roman"/>
      <family val="1"/>
      <charset val="204"/>
    </font>
    <font>
      <b/>
      <sz val="7"/>
      <name val="Arial Cyr"/>
      <family val="2"/>
      <charset val="204"/>
    </font>
    <font>
      <sz val="10"/>
      <color rgb="FFFF0000"/>
      <name val="Times New Roman Cyr"/>
      <family val="1"/>
      <charset val="204"/>
    </font>
    <font>
      <sz val="10"/>
      <color rgb="FFFF0000"/>
      <name val="Arial Cyr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2"/>
      <name val="Arial Cyr"/>
      <charset val="204"/>
    </font>
    <font>
      <sz val="11"/>
      <name val="Times New Roman"/>
      <family val="1"/>
      <charset val="204"/>
    </font>
    <font>
      <sz val="10"/>
      <color theme="0" tint="-0.499984740745262"/>
      <name val="Arial Cyr"/>
      <family val="2"/>
      <charset val="204"/>
    </font>
    <font>
      <sz val="10"/>
      <color theme="0" tint="-0.34998626667073579"/>
      <name val="Times New Roman Cyr"/>
      <family val="1"/>
      <charset val="204"/>
    </font>
    <font>
      <b/>
      <sz val="10"/>
      <color theme="0" tint="-0.34998626667073579"/>
      <name val="Times New Roman Cyr"/>
      <charset val="204"/>
    </font>
    <font>
      <sz val="10"/>
      <color theme="0" tint="-0.34998626667073579"/>
      <name val="Times New Roman Cyr"/>
      <charset val="204"/>
    </font>
    <font>
      <sz val="8"/>
      <color theme="0" tint="-0.34998626667073579"/>
      <name val="Arial Cyr"/>
      <family val="2"/>
      <charset val="204"/>
    </font>
    <font>
      <sz val="12"/>
      <color theme="1"/>
      <name val="Times New Roman"/>
      <family val="1"/>
      <charset val="204"/>
    </font>
    <font>
      <i/>
      <sz val="12"/>
      <name val="Arial Cyr"/>
      <family val="2"/>
      <charset val="204"/>
    </font>
    <font>
      <sz val="11"/>
      <name val="Arial Cyr"/>
      <charset val="204"/>
    </font>
    <font>
      <sz val="10"/>
      <color rgb="FFFF0000"/>
      <name val="Times New Roman Cyr"/>
      <charset val="204"/>
    </font>
    <font>
      <sz val="16"/>
      <name val="Arial Cyr"/>
      <family val="2"/>
      <charset val="204"/>
    </font>
    <font>
      <b/>
      <sz val="16"/>
      <color rgb="FF000000"/>
      <name val="Times New Roman"/>
      <family val="1"/>
      <charset val="204"/>
    </font>
    <font>
      <b/>
      <sz val="18"/>
      <name val="Arial Cyr"/>
      <family val="2"/>
      <charset val="204"/>
    </font>
    <font>
      <sz val="18"/>
      <name val="Arial Cyr"/>
      <family val="2"/>
      <charset val="204"/>
    </font>
    <font>
      <sz val="18"/>
      <color theme="0" tint="-0.34998626667073579"/>
      <name val="Arial Cyr"/>
      <family val="2"/>
      <charset val="204"/>
    </font>
    <font>
      <sz val="14"/>
      <color rgb="FF000000"/>
      <name val="Times New Roman"/>
      <family val="1"/>
      <charset val="204"/>
    </font>
    <font>
      <sz val="16"/>
      <name val="Times New Roman"/>
      <family val="1"/>
      <charset val="204"/>
    </font>
    <font>
      <b/>
      <sz val="18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2"/>
      <color theme="0" tint="-0.249977111117893"/>
      <name val="Times New Roman"/>
      <family val="1"/>
      <charset val="204"/>
    </font>
    <font>
      <sz val="12"/>
      <color theme="0" tint="-0.499984740745262"/>
      <name val="Times New Roman"/>
      <family val="1"/>
      <charset val="204"/>
    </font>
    <font>
      <b/>
      <sz val="20"/>
      <color rgb="FFFF0000"/>
      <name val="Arial Cyr"/>
      <charset val="204"/>
    </font>
    <font>
      <sz val="12"/>
      <color theme="0" tint="-0.249977111117893"/>
      <name val="Arial Cyr"/>
      <family val="2"/>
      <charset val="204"/>
    </font>
    <font>
      <i/>
      <sz val="14"/>
      <color rgb="FF000000"/>
      <name val="Times New Roman"/>
      <family val="1"/>
      <charset val="204"/>
    </font>
    <font>
      <i/>
      <sz val="14"/>
      <name val="Times New Roman"/>
      <family val="1"/>
      <charset val="204"/>
    </font>
    <font>
      <sz val="1"/>
      <color indexed="8"/>
      <name val="Courier"/>
      <family val="1"/>
      <charset val="204"/>
    </font>
    <font>
      <b/>
      <sz val="1"/>
      <color indexed="8"/>
      <name val="Courier"/>
      <family val="1"/>
      <charset val="204"/>
    </font>
    <font>
      <sz val="12"/>
      <color indexed="8"/>
      <name val="Courier"/>
      <family val="3"/>
    </font>
    <font>
      <b/>
      <sz val="18"/>
      <color indexed="8"/>
      <name val="Courier"/>
      <family val="3"/>
    </font>
    <font>
      <b/>
      <sz val="12"/>
      <color indexed="8"/>
      <name val="Courier"/>
      <family val="3"/>
    </font>
    <font>
      <b/>
      <sz val="8"/>
      <name val="Arial"/>
      <family val="2"/>
      <charset val="204"/>
    </font>
    <font>
      <sz val="10"/>
      <name val="Times Armenian"/>
    </font>
    <font>
      <sz val="11"/>
      <color theme="1"/>
      <name val="Times New Roman"/>
      <family val="2"/>
      <charset val="204"/>
    </font>
    <font>
      <sz val="12"/>
      <color theme="1"/>
      <name val="Calibri"/>
      <family val="2"/>
      <charset val="204"/>
      <scheme val="minor"/>
    </font>
    <font>
      <sz val="10"/>
      <name val="Arial Cyr"/>
      <charset val="186"/>
    </font>
    <font>
      <sz val="10"/>
      <color indexed="8"/>
      <name val="Arial Cyr"/>
      <family val="2"/>
      <charset val="204"/>
    </font>
    <font>
      <sz val="11"/>
      <color indexed="8"/>
      <name val="Calibri"/>
      <family val="2"/>
      <charset val="204"/>
    </font>
    <font>
      <sz val="6"/>
      <color theme="1"/>
      <name val="Calibri"/>
      <family val="2"/>
      <charset val="204"/>
      <scheme val="minor"/>
    </font>
    <font>
      <sz val="12"/>
      <name val="Journal Uzbek"/>
      <family val="2"/>
    </font>
    <font>
      <sz val="10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0"/>
      <name val="Helv"/>
      <family val="2"/>
    </font>
    <font>
      <sz val="11"/>
      <color indexed="8"/>
      <name val="Times New Roman"/>
      <family val="2"/>
      <charset val="204"/>
    </font>
    <font>
      <sz val="6"/>
      <color indexed="8"/>
      <name val="Calibri"/>
      <family val="2"/>
      <charset val="204"/>
    </font>
    <font>
      <sz val="1"/>
      <color indexed="10"/>
      <name val="Arial Cyr"/>
    </font>
    <font>
      <b/>
      <sz val="20"/>
      <color rgb="FF000000"/>
      <name val="Times New Roman"/>
      <family val="1"/>
      <charset val="204"/>
    </font>
    <font>
      <sz val="14"/>
      <color theme="0" tint="-0.249977111117893"/>
      <name val="Times New Roman"/>
      <family val="1"/>
      <charset val="204"/>
    </font>
    <font>
      <b/>
      <sz val="14"/>
      <color theme="0" tint="-0.249977111117893"/>
      <name val="Times New Roman"/>
      <family val="1"/>
      <charset val="204"/>
    </font>
    <font>
      <i/>
      <sz val="14"/>
      <color theme="0" tint="-0.249977111117893"/>
      <name val="Times New Roman"/>
      <family val="1"/>
      <charset val="204"/>
    </font>
    <font>
      <sz val="9"/>
      <color rgb="FFFF0000"/>
      <name val="Arial Cyr"/>
      <family val="2"/>
      <charset val="204"/>
    </font>
    <font>
      <b/>
      <sz val="14"/>
      <color rgb="FF7030A0"/>
      <name val="Times New Roman"/>
      <family val="1"/>
      <charset val="204"/>
    </font>
    <font>
      <b/>
      <sz val="14"/>
      <name val="Times New Roman"/>
      <family val="1"/>
    </font>
    <font>
      <sz val="14"/>
      <name val="Times New Roman"/>
      <family val="1"/>
    </font>
    <font>
      <sz val="8"/>
      <name val="Times New Roman"/>
      <family val="1"/>
    </font>
    <font>
      <sz val="11"/>
      <color indexed="9"/>
      <name val="Calibri"/>
      <family val="2"/>
      <charset val="204"/>
    </font>
    <font>
      <sz val="11"/>
      <color indexed="20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1"/>
      <name val="Arial"/>
      <family val="2"/>
      <charset val="204"/>
    </font>
    <font>
      <sz val="12"/>
      <name val="Helv"/>
      <family val="2"/>
    </font>
    <font>
      <i/>
      <sz val="11"/>
      <color indexed="23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8"/>
      <name val="Arial"/>
      <family val="2"/>
      <charset val="204"/>
    </font>
    <font>
      <b/>
      <sz val="12"/>
      <name val="Arial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62"/>
      <name val="Calibri"/>
      <family val="2"/>
      <charset val="204"/>
    </font>
    <font>
      <sz val="11"/>
      <color indexed="52"/>
      <name val="Calibri"/>
      <family val="2"/>
      <charset val="204"/>
    </font>
    <font>
      <sz val="12"/>
      <name val="Tms Rmn"/>
    </font>
    <font>
      <sz val="11"/>
      <color indexed="60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10"/>
      <name val="Calibri"/>
      <family val="2"/>
      <charset val="204"/>
    </font>
    <font>
      <b/>
      <sz val="16"/>
      <name val="Times New Roman"/>
      <family val="1"/>
    </font>
    <font>
      <sz val="16"/>
      <name val="Times New Roman"/>
      <family val="1"/>
    </font>
    <font>
      <sz val="14"/>
      <color rgb="FFFF0000"/>
      <name val="Times New Roman"/>
      <family val="1"/>
    </font>
    <font>
      <b/>
      <sz val="14"/>
      <color rgb="FFFF0000"/>
      <name val="Times New Roman"/>
      <family val="1"/>
    </font>
    <font>
      <sz val="12"/>
      <color theme="0" tint="-0.34998626667073579"/>
      <name val="Times New Roman"/>
      <family val="1"/>
      <charset val="204"/>
    </font>
    <font>
      <sz val="8"/>
      <color rgb="FFFF0000"/>
      <name val="Arial Cyr"/>
      <family val="2"/>
      <charset val="204"/>
    </font>
    <font>
      <b/>
      <sz val="20"/>
      <color rgb="FF7030A0"/>
      <name val="Arial Cyr"/>
      <charset val="204"/>
    </font>
    <font>
      <b/>
      <sz val="12"/>
      <color theme="1"/>
      <name val="Arial Cyr"/>
      <charset val="204"/>
    </font>
    <font>
      <sz val="11"/>
      <color theme="0" tint="-0.499984740745262"/>
      <name val="Times New Roman"/>
      <family val="1"/>
      <charset val="204"/>
    </font>
    <font>
      <b/>
      <sz val="11"/>
      <color theme="0" tint="-0.499984740745262"/>
      <name val="Times New Roman"/>
      <family val="1"/>
      <charset val="204"/>
    </font>
  </fonts>
  <fills count="4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gray125">
        <bgColor indexed="55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</borders>
  <cellStyleXfs count="1289">
    <xf numFmtId="0" fontId="0" fillId="0" borderId="0"/>
    <xf numFmtId="0" fontId="29" fillId="0" borderId="0"/>
    <xf numFmtId="0" fontId="2" fillId="0" borderId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33" fillId="0" borderId="0" applyNumberFormat="0" applyFont="0" applyFill="0" applyBorder="0" applyAlignment="0" applyProtection="0">
      <alignment vertical="top"/>
    </xf>
    <xf numFmtId="0" fontId="33" fillId="0" borderId="0" applyNumberFormat="0" applyFont="0" applyFill="0" applyBorder="0" applyAlignment="0" applyProtection="0">
      <alignment vertical="top"/>
    </xf>
    <xf numFmtId="0" fontId="33" fillId="0" borderId="0" applyNumberFormat="0" applyFont="0" applyFill="0" applyBorder="0" applyAlignment="0" applyProtection="0">
      <alignment vertical="top"/>
    </xf>
    <xf numFmtId="166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3" fillId="0" borderId="0" applyNumberFormat="0" applyFont="0" applyFill="0" applyBorder="0" applyAlignment="0" applyProtection="0">
      <alignment vertical="top"/>
    </xf>
    <xf numFmtId="9" fontId="2" fillId="0" borderId="0" applyFont="0" applyFill="0" applyBorder="0" applyAlignment="0" applyProtection="0"/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0" fillId="0" borderId="17">
      <protection locked="0"/>
    </xf>
    <xf numFmtId="174" fontId="92" fillId="0" borderId="0">
      <protection locked="0"/>
    </xf>
    <xf numFmtId="175" fontId="92" fillId="0" borderId="17">
      <protection locked="0"/>
    </xf>
    <xf numFmtId="176" fontId="92" fillId="0" borderId="0">
      <protection locked="0"/>
    </xf>
    <xf numFmtId="4" fontId="92" fillId="0" borderId="0">
      <protection locked="0"/>
    </xf>
    <xf numFmtId="177" fontId="92" fillId="0" borderId="0">
      <protection locked="0"/>
    </xf>
    <xf numFmtId="175" fontId="93" fillId="0" borderId="0">
      <protection locked="0"/>
    </xf>
    <xf numFmtId="175" fontId="94" fillId="0" borderId="0">
      <protection locked="0"/>
    </xf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95" fillId="0" borderId="5">
      <alignment horizontal="center"/>
    </xf>
    <xf numFmtId="165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96" fillId="0" borderId="0"/>
    <xf numFmtId="0" fontId="33" fillId="0" borderId="0"/>
    <xf numFmtId="9" fontId="39" fillId="0" borderId="0" applyFont="0" applyFill="0" applyBorder="0" applyAlignment="0" applyProtection="0"/>
    <xf numFmtId="0" fontId="97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1" fillId="0" borderId="0"/>
    <xf numFmtId="0" fontId="97" fillId="0" borderId="0"/>
    <xf numFmtId="0" fontId="1" fillId="0" borderId="0"/>
    <xf numFmtId="0" fontId="97" fillId="0" borderId="0"/>
    <xf numFmtId="0" fontId="9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1" fillId="0" borderId="0"/>
    <xf numFmtId="0" fontId="98" fillId="0" borderId="0"/>
    <xf numFmtId="0" fontId="1" fillId="0" borderId="0"/>
    <xf numFmtId="0" fontId="9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97" fillId="0" borderId="0"/>
    <xf numFmtId="0" fontId="99" fillId="0" borderId="0"/>
    <xf numFmtId="0" fontId="1" fillId="0" borderId="0"/>
    <xf numFmtId="0" fontId="1" fillId="0" borderId="0"/>
    <xf numFmtId="0" fontId="98" fillId="0" borderId="0"/>
    <xf numFmtId="0" fontId="1" fillId="0" borderId="0"/>
    <xf numFmtId="0" fontId="97" fillId="0" borderId="0"/>
    <xf numFmtId="0" fontId="100" fillId="0" borderId="0"/>
    <xf numFmtId="0" fontId="10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" fillId="0" borderId="0"/>
    <xf numFmtId="0" fontId="98" fillId="0" borderId="0"/>
    <xf numFmtId="0" fontId="97" fillId="0" borderId="0"/>
    <xf numFmtId="0" fontId="1" fillId="0" borderId="0"/>
    <xf numFmtId="0" fontId="97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98" fillId="0" borderId="0"/>
    <xf numFmtId="0" fontId="33" fillId="0" borderId="0"/>
    <xf numFmtId="0" fontId="97" fillId="0" borderId="0"/>
    <xf numFmtId="0" fontId="33" fillId="0" borderId="0"/>
    <xf numFmtId="0" fontId="10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99" fillId="0" borderId="0"/>
    <xf numFmtId="0" fontId="1" fillId="0" borderId="0"/>
    <xf numFmtId="0" fontId="97" fillId="0" borderId="0"/>
    <xf numFmtId="0" fontId="10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9" fillId="0" borderId="0"/>
    <xf numFmtId="0" fontId="97" fillId="0" borderId="0"/>
    <xf numFmtId="0" fontId="1" fillId="0" borderId="0"/>
    <xf numFmtId="0" fontId="1" fillId="0" borderId="0"/>
    <xf numFmtId="0" fontId="97" fillId="0" borderId="0"/>
    <xf numFmtId="0" fontId="1" fillId="0" borderId="0"/>
    <xf numFmtId="0" fontId="1" fillId="0" borderId="0"/>
    <xf numFmtId="0" fontId="1" fillId="0" borderId="0"/>
    <xf numFmtId="0" fontId="101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101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3" fillId="0" borderId="0"/>
    <xf numFmtId="0" fontId="39" fillId="0" borderId="0"/>
    <xf numFmtId="0" fontId="39" fillId="0" borderId="0"/>
    <xf numFmtId="0" fontId="39" fillId="0" borderId="0"/>
    <xf numFmtId="0" fontId="99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33" fillId="0" borderId="0"/>
    <xf numFmtId="0" fontId="2" fillId="0" borderId="0"/>
    <xf numFmtId="0" fontId="39" fillId="0" borderId="0"/>
    <xf numFmtId="0" fontId="1" fillId="0" borderId="0"/>
    <xf numFmtId="0" fontId="39" fillId="0" borderId="0"/>
    <xf numFmtId="0" fontId="3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" fillId="0" borderId="0"/>
    <xf numFmtId="0" fontId="1" fillId="0" borderId="0"/>
    <xf numFmtId="0" fontId="1" fillId="0" borderId="0"/>
    <xf numFmtId="0" fontId="101" fillId="0" borderId="0"/>
    <xf numFmtId="0" fontId="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97" fillId="0" borderId="0"/>
    <xf numFmtId="0" fontId="101" fillId="0" borderId="0"/>
    <xf numFmtId="0" fontId="101" fillId="0" borderId="0"/>
    <xf numFmtId="0" fontId="101" fillId="0" borderId="0"/>
    <xf numFmtId="0" fontId="97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9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97" fillId="0" borderId="0"/>
    <xf numFmtId="0" fontId="101" fillId="0" borderId="0"/>
    <xf numFmtId="0" fontId="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97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97" fillId="0" borderId="0"/>
    <xf numFmtId="0" fontId="1" fillId="0" borderId="0"/>
    <xf numFmtId="0" fontId="99" fillId="0" borderId="0"/>
    <xf numFmtId="0" fontId="97" fillId="0" borderId="0"/>
    <xf numFmtId="0" fontId="102" fillId="0" borderId="0"/>
    <xf numFmtId="0" fontId="1" fillId="0" borderId="0"/>
    <xf numFmtId="0" fontId="97" fillId="0" borderId="0"/>
    <xf numFmtId="0" fontId="1" fillId="0" borderId="0"/>
    <xf numFmtId="0" fontId="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3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97" fillId="0" borderId="0"/>
    <xf numFmtId="0" fontId="101" fillId="0" borderId="0"/>
    <xf numFmtId="0" fontId="101" fillId="0" borderId="0"/>
    <xf numFmtId="0" fontId="101" fillId="0" borderId="0"/>
    <xf numFmtId="0" fontId="97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" fillId="0" borderId="0"/>
    <xf numFmtId="0" fontId="97" fillId="0" borderId="0"/>
    <xf numFmtId="0" fontId="97" fillId="0" borderId="0"/>
    <xf numFmtId="0" fontId="97" fillId="0" borderId="0"/>
    <xf numFmtId="0" fontId="39" fillId="0" borderId="0"/>
    <xf numFmtId="0" fontId="1" fillId="0" borderId="0"/>
    <xf numFmtId="0" fontId="1" fillId="0" borderId="0"/>
    <xf numFmtId="0" fontId="103" fillId="0" borderId="0"/>
    <xf numFmtId="0" fontId="33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104" fillId="0" borderId="0"/>
    <xf numFmtId="0" fontId="39" fillId="0" borderId="0"/>
    <xf numFmtId="0" fontId="99" fillId="0" borderId="0"/>
    <xf numFmtId="0" fontId="97" fillId="0" borderId="0"/>
    <xf numFmtId="0" fontId="1" fillId="0" borderId="0"/>
    <xf numFmtId="0" fontId="1" fillId="0" borderId="0"/>
    <xf numFmtId="0" fontId="97" fillId="0" borderId="0"/>
    <xf numFmtId="0" fontId="1" fillId="0" borderId="0"/>
    <xf numFmtId="0" fontId="97" fillId="0" borderId="0"/>
    <xf numFmtId="0" fontId="1" fillId="0" borderId="0"/>
    <xf numFmtId="0" fontId="97" fillId="0" borderId="0"/>
    <xf numFmtId="0" fontId="1" fillId="0" borderId="0"/>
    <xf numFmtId="0" fontId="97" fillId="0" borderId="0"/>
    <xf numFmtId="0" fontId="1" fillId="0" borderId="0"/>
    <xf numFmtId="0" fontId="97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97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97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" fillId="0" borderId="0"/>
    <xf numFmtId="0" fontId="97" fillId="0" borderId="0"/>
    <xf numFmtId="0" fontId="1" fillId="0" borderId="0"/>
    <xf numFmtId="0" fontId="97" fillId="0" borderId="0"/>
    <xf numFmtId="0" fontId="1" fillId="0" borderId="0"/>
    <xf numFmtId="0" fontId="97" fillId="0" borderId="0"/>
    <xf numFmtId="0" fontId="1" fillId="0" borderId="0"/>
    <xf numFmtId="0" fontId="9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7" fillId="0" borderId="0"/>
    <xf numFmtId="0" fontId="39" fillId="0" borderId="0"/>
    <xf numFmtId="0" fontId="97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97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97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97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97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7" fillId="0" borderId="0"/>
    <xf numFmtId="0" fontId="97" fillId="0" borderId="0"/>
    <xf numFmtId="0" fontId="39" fillId="0" borderId="0"/>
    <xf numFmtId="0" fontId="97" fillId="0" borderId="0"/>
    <xf numFmtId="0" fontId="97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7" fillId="0" borderId="0"/>
    <xf numFmtId="0" fontId="99" fillId="0" borderId="0"/>
    <xf numFmtId="0" fontId="1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1" fillId="0" borderId="0"/>
    <xf numFmtId="0" fontId="97" fillId="0" borderId="0"/>
    <xf numFmtId="0" fontId="1" fillId="0" borderId="0"/>
    <xf numFmtId="0" fontId="97" fillId="0" borderId="0"/>
    <xf numFmtId="0" fontId="2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1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39" fillId="0" borderId="0"/>
    <xf numFmtId="0" fontId="33" fillId="0" borderId="0"/>
    <xf numFmtId="0" fontId="97" fillId="0" borderId="0"/>
    <xf numFmtId="0" fontId="97" fillId="0" borderId="0"/>
    <xf numFmtId="0" fontId="33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39" fillId="0" borderId="0"/>
    <xf numFmtId="0" fontId="97" fillId="0" borderId="0"/>
    <xf numFmtId="0" fontId="10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7" fillId="0" borderId="0"/>
    <xf numFmtId="0" fontId="1" fillId="0" borderId="0"/>
    <xf numFmtId="0" fontId="101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39" fillId="0" borderId="0"/>
    <xf numFmtId="0" fontId="97" fillId="0" borderId="0"/>
    <xf numFmtId="0" fontId="97" fillId="0" borderId="0"/>
    <xf numFmtId="0" fontId="39" fillId="0" borderId="0"/>
    <xf numFmtId="0" fontId="97" fillId="0" borderId="0"/>
    <xf numFmtId="0" fontId="9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1" fillId="0" borderId="0"/>
    <xf numFmtId="0" fontId="1" fillId="0" borderId="0"/>
    <xf numFmtId="0" fontId="39" fillId="0" borderId="0"/>
    <xf numFmtId="0" fontId="39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39" fillId="0" borderId="0"/>
    <xf numFmtId="0" fontId="98" fillId="0" borderId="0"/>
    <xf numFmtId="0" fontId="98" fillId="0" borderId="0"/>
    <xf numFmtId="0" fontId="39" fillId="0" borderId="0"/>
    <xf numFmtId="0" fontId="98" fillId="0" borderId="0"/>
    <xf numFmtId="0" fontId="98" fillId="0" borderId="0"/>
    <xf numFmtId="0" fontId="39" fillId="0" borderId="0"/>
    <xf numFmtId="0" fontId="39" fillId="0" borderId="0"/>
    <xf numFmtId="0" fontId="37" fillId="0" borderId="0"/>
    <xf numFmtId="0" fontId="1" fillId="0" borderId="0"/>
    <xf numFmtId="0" fontId="39" fillId="0" borderId="0"/>
    <xf numFmtId="0" fontId="1" fillId="0" borderId="0"/>
    <xf numFmtId="0" fontId="1" fillId="0" borderId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0" fontId="101" fillId="7" borderId="16" applyNumberFormat="0" applyFont="0" applyAlignment="0" applyProtection="0"/>
    <xf numFmtId="9" fontId="10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99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99" fillId="0" borderId="0" applyFont="0" applyFill="0" applyBorder="0" applyAlignment="0" applyProtection="0"/>
    <xf numFmtId="0" fontId="106" fillId="0" borderId="0"/>
    <xf numFmtId="165" fontId="2" fillId="0" borderId="0" applyFont="0" applyFill="0" applyBorder="0" applyAlignment="0" applyProtection="0"/>
    <xf numFmtId="165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178" fontId="33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01" fillId="0" borderId="0" applyFont="0" applyFill="0" applyBorder="0" applyAlignment="0" applyProtection="0"/>
    <xf numFmtId="164" fontId="101" fillId="0" borderId="0" applyFont="0" applyFill="0" applyBorder="0" applyAlignment="0" applyProtection="0"/>
    <xf numFmtId="164" fontId="10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07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9" fontId="33" fillId="0" borderId="0" applyFont="0" applyFill="0" applyBorder="0" applyAlignment="0" applyProtection="0"/>
    <xf numFmtId="166" fontId="107" fillId="0" borderId="0" applyFont="0" applyFill="0" applyBorder="0" applyAlignment="0" applyProtection="0"/>
    <xf numFmtId="171" fontId="33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07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07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01" fillId="0" borderId="0" applyFont="0" applyFill="0" applyBorder="0" applyAlignment="0" applyProtection="0"/>
    <xf numFmtId="166" fontId="107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07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01" fillId="0" borderId="0" applyFont="0" applyFill="0" applyBorder="0" applyAlignment="0" applyProtection="0"/>
    <xf numFmtId="166" fontId="101" fillId="0" borderId="0" applyFont="0" applyFill="0" applyBorder="0" applyAlignment="0" applyProtection="0"/>
    <xf numFmtId="166" fontId="101" fillId="0" borderId="0" applyFont="0" applyFill="0" applyBorder="0" applyAlignment="0" applyProtection="0"/>
    <xf numFmtId="166" fontId="101" fillId="0" borderId="0" applyFont="0" applyFill="0" applyBorder="0" applyAlignment="0" applyProtection="0"/>
    <xf numFmtId="166" fontId="101" fillId="0" borderId="0" applyFont="0" applyFill="0" applyBorder="0" applyAlignment="0" applyProtection="0"/>
    <xf numFmtId="166" fontId="101" fillId="0" borderId="0" applyFont="0" applyFill="0" applyBorder="0" applyAlignment="0" applyProtection="0"/>
    <xf numFmtId="166" fontId="101" fillId="0" borderId="0" applyFont="0" applyFill="0" applyBorder="0" applyAlignment="0" applyProtection="0"/>
    <xf numFmtId="166" fontId="101" fillId="0" borderId="0" applyFont="0" applyFill="0" applyBorder="0" applyAlignment="0" applyProtection="0"/>
    <xf numFmtId="166" fontId="107" fillId="0" borderId="0" applyFont="0" applyFill="0" applyBorder="0" applyAlignment="0" applyProtection="0"/>
    <xf numFmtId="178" fontId="33" fillId="0" borderId="0" applyFont="0" applyFill="0" applyBorder="0" applyAlignment="0" applyProtection="0"/>
    <xf numFmtId="178" fontId="33" fillId="0" borderId="0" applyFont="0" applyFill="0" applyBorder="0" applyAlignment="0" applyProtection="0"/>
    <xf numFmtId="178" fontId="33" fillId="0" borderId="0" applyFont="0" applyFill="0" applyBorder="0" applyAlignment="0" applyProtection="0"/>
    <xf numFmtId="178" fontId="33" fillId="0" borderId="0" applyFont="0" applyFill="0" applyBorder="0" applyAlignment="0" applyProtection="0"/>
    <xf numFmtId="178" fontId="33" fillId="0" borderId="0" applyFont="0" applyFill="0" applyBorder="0" applyAlignment="0" applyProtection="0"/>
    <xf numFmtId="178" fontId="33" fillId="0" borderId="0" applyFont="0" applyFill="0" applyBorder="0" applyAlignment="0" applyProtection="0"/>
    <xf numFmtId="178" fontId="33" fillId="0" borderId="0" applyFont="0" applyFill="0" applyBorder="0" applyAlignment="0" applyProtection="0"/>
    <xf numFmtId="178" fontId="33" fillId="0" borderId="0" applyFont="0" applyFill="0" applyBorder="0" applyAlignment="0" applyProtection="0"/>
    <xf numFmtId="178" fontId="33" fillId="0" borderId="0" applyFont="0" applyFill="0" applyBorder="0" applyAlignment="0" applyProtection="0"/>
    <xf numFmtId="178" fontId="33" fillId="0" borderId="0" applyFont="0" applyFill="0" applyBorder="0" applyAlignment="0" applyProtection="0"/>
    <xf numFmtId="166" fontId="107" fillId="0" borderId="0" applyFont="0" applyFill="0" applyBorder="0" applyAlignment="0" applyProtection="0"/>
    <xf numFmtId="166" fontId="107" fillId="0" borderId="0" applyFont="0" applyFill="0" applyBorder="0" applyAlignment="0" applyProtection="0"/>
    <xf numFmtId="166" fontId="107" fillId="0" borderId="0" applyFont="0" applyFill="0" applyBorder="0" applyAlignment="0" applyProtection="0"/>
    <xf numFmtId="173" fontId="101" fillId="0" borderId="0" applyFont="0" applyFill="0" applyBorder="0" applyAlignment="0" applyProtection="0"/>
    <xf numFmtId="166" fontId="107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07" fillId="0" borderId="0" applyFont="0" applyFill="0" applyBorder="0" applyAlignment="0" applyProtection="0"/>
    <xf numFmtId="166" fontId="107" fillId="0" borderId="0" applyFont="0" applyFill="0" applyBorder="0" applyAlignment="0" applyProtection="0"/>
    <xf numFmtId="166" fontId="108" fillId="0" borderId="0" applyFont="0" applyFill="0" applyBorder="0" applyAlignment="0" applyProtection="0"/>
    <xf numFmtId="178" fontId="33" fillId="0" borderId="0" applyFont="0" applyFill="0" applyBorder="0" applyAlignment="0" applyProtection="0"/>
    <xf numFmtId="178" fontId="33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07" fillId="0" borderId="0" applyFont="0" applyFill="0" applyBorder="0" applyAlignment="0" applyProtection="0"/>
    <xf numFmtId="166" fontId="107" fillId="0" borderId="0" applyFont="0" applyFill="0" applyBorder="0" applyAlignment="0" applyProtection="0"/>
    <xf numFmtId="178" fontId="33" fillId="0" borderId="0" applyFont="0" applyFill="0" applyBorder="0" applyAlignment="0" applyProtection="0"/>
    <xf numFmtId="166" fontId="107" fillId="0" borderId="0" applyFont="0" applyFill="0" applyBorder="0" applyAlignment="0" applyProtection="0"/>
    <xf numFmtId="166" fontId="107" fillId="0" borderId="0" applyFont="0" applyFill="0" applyBorder="0" applyAlignment="0" applyProtection="0"/>
    <xf numFmtId="178" fontId="33" fillId="0" borderId="0" applyFont="0" applyFill="0" applyBorder="0" applyAlignment="0" applyProtection="0"/>
    <xf numFmtId="166" fontId="107" fillId="0" borderId="0" applyFont="0" applyFill="0" applyBorder="0" applyAlignment="0" applyProtection="0"/>
    <xf numFmtId="166" fontId="97" fillId="0" borderId="0" applyFont="0" applyFill="0" applyBorder="0" applyAlignment="0" applyProtection="0"/>
    <xf numFmtId="166" fontId="97" fillId="0" borderId="0" applyFont="0" applyFill="0" applyBorder="0" applyAlignment="0" applyProtection="0"/>
    <xf numFmtId="178" fontId="33" fillId="0" borderId="0" applyFont="0" applyFill="0" applyBorder="0" applyAlignment="0" applyProtection="0"/>
    <xf numFmtId="166" fontId="107" fillId="0" borderId="0" applyFont="0" applyFill="0" applyBorder="0" applyAlignment="0" applyProtection="0"/>
    <xf numFmtId="178" fontId="33" fillId="0" borderId="0" applyFont="0" applyFill="0" applyBorder="0" applyAlignment="0" applyProtection="0"/>
    <xf numFmtId="166" fontId="107" fillId="0" borderId="0" applyFont="0" applyFill="0" applyBorder="0" applyAlignment="0" applyProtection="0"/>
    <xf numFmtId="178" fontId="33" fillId="0" borderId="0" applyFont="0" applyFill="0" applyBorder="0" applyAlignment="0" applyProtection="0"/>
    <xf numFmtId="178" fontId="33" fillId="0" borderId="0" applyFont="0" applyFill="0" applyBorder="0" applyAlignment="0" applyProtection="0"/>
    <xf numFmtId="178" fontId="33" fillId="0" borderId="0" applyFont="0" applyFill="0" applyBorder="0" applyAlignment="0" applyProtection="0"/>
    <xf numFmtId="166" fontId="101" fillId="0" borderId="0" applyFont="0" applyFill="0" applyBorder="0" applyAlignment="0" applyProtection="0"/>
    <xf numFmtId="166" fontId="101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10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0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0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01" fillId="0" borderId="0" applyFont="0" applyFill="0" applyBorder="0" applyAlignment="0" applyProtection="0"/>
    <xf numFmtId="178" fontId="33" fillId="0" borderId="0" applyFont="0" applyFill="0" applyBorder="0" applyAlignment="0" applyProtection="0"/>
    <xf numFmtId="166" fontId="10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0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0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80" fontId="33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81" fontId="10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07" fillId="0" borderId="0" applyFont="0" applyFill="0" applyBorder="0" applyAlignment="0" applyProtection="0"/>
    <xf numFmtId="182" fontId="99" fillId="0" borderId="0" applyFont="0" applyFill="0" applyBorder="0" applyAlignment="0" applyProtection="0"/>
    <xf numFmtId="178" fontId="33" fillId="0" borderId="0" applyFont="0" applyFill="0" applyBorder="0" applyAlignment="0" applyProtection="0"/>
    <xf numFmtId="166" fontId="97" fillId="0" borderId="0" applyFont="0" applyFill="0" applyBorder="0" applyAlignment="0" applyProtection="0"/>
    <xf numFmtId="166" fontId="97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107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97" fillId="0" borderId="0" applyFont="0" applyFill="0" applyBorder="0" applyAlignment="0" applyProtection="0"/>
    <xf numFmtId="166" fontId="97" fillId="0" borderId="0" applyFont="0" applyFill="0" applyBorder="0" applyAlignment="0" applyProtection="0"/>
    <xf numFmtId="178" fontId="33" fillId="0" borderId="0" applyFont="0" applyFill="0" applyBorder="0" applyAlignment="0" applyProtection="0"/>
    <xf numFmtId="166" fontId="97" fillId="0" borderId="0" applyFont="0" applyFill="0" applyBorder="0" applyAlignment="0" applyProtection="0"/>
    <xf numFmtId="166" fontId="97" fillId="0" borderId="0" applyFont="0" applyFill="0" applyBorder="0" applyAlignment="0" applyProtection="0"/>
    <xf numFmtId="166" fontId="10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8" fontId="33" fillId="0" borderId="0" applyFont="0" applyFill="0" applyBorder="0" applyAlignment="0" applyProtection="0"/>
    <xf numFmtId="166" fontId="10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90" fillId="0" borderId="0">
      <protection locked="0"/>
    </xf>
    <xf numFmtId="0" fontId="7" fillId="0" borderId="0">
      <alignment vertical="top"/>
    </xf>
    <xf numFmtId="184" fontId="118" fillId="0" borderId="0" applyFont="0" applyFill="0" applyBorder="0" applyAlignment="0" applyProtection="0"/>
    <xf numFmtId="185" fontId="118" fillId="0" borderId="0" applyFont="0" applyFill="0" applyBorder="0" applyAlignment="0" applyProtection="0"/>
    <xf numFmtId="0" fontId="101" fillId="22" borderId="0" applyNumberFormat="0" applyBorder="0" applyAlignment="0" applyProtection="0"/>
    <xf numFmtId="0" fontId="101" fillId="23" borderId="0" applyNumberFormat="0" applyBorder="0" applyAlignment="0" applyProtection="0"/>
    <xf numFmtId="0" fontId="101" fillId="24" borderId="0" applyNumberFormat="0" applyBorder="0" applyAlignment="0" applyProtection="0"/>
    <xf numFmtId="0" fontId="101" fillId="25" borderId="0" applyNumberFormat="0" applyBorder="0" applyAlignment="0" applyProtection="0"/>
    <xf numFmtId="0" fontId="101" fillId="26" borderId="0" applyNumberFormat="0" applyBorder="0" applyAlignment="0" applyProtection="0"/>
    <xf numFmtId="0" fontId="101" fillId="27" borderId="0" applyNumberFormat="0" applyBorder="0" applyAlignment="0" applyProtection="0"/>
    <xf numFmtId="186" fontId="118" fillId="0" borderId="0" applyFont="0" applyFill="0" applyBorder="0" applyAlignment="0" applyProtection="0"/>
    <xf numFmtId="0" fontId="101" fillId="28" borderId="0" applyNumberFormat="0" applyBorder="0" applyAlignment="0" applyProtection="0"/>
    <xf numFmtId="0" fontId="101" fillId="29" borderId="0" applyNumberFormat="0" applyBorder="0" applyAlignment="0" applyProtection="0"/>
    <xf numFmtId="0" fontId="101" fillId="30" borderId="0" applyNumberFormat="0" applyBorder="0" applyAlignment="0" applyProtection="0"/>
    <xf numFmtId="0" fontId="101" fillId="25" borderId="0" applyNumberFormat="0" applyBorder="0" applyAlignment="0" applyProtection="0"/>
    <xf numFmtId="0" fontId="101" fillId="28" borderId="0" applyNumberFormat="0" applyBorder="0" applyAlignment="0" applyProtection="0"/>
    <xf numFmtId="0" fontId="101" fillId="31" borderId="0" applyNumberFormat="0" applyBorder="0" applyAlignment="0" applyProtection="0"/>
    <xf numFmtId="0" fontId="119" fillId="32" borderId="0" applyNumberFormat="0" applyBorder="0" applyAlignment="0" applyProtection="0"/>
    <xf numFmtId="0" fontId="119" fillId="29" borderId="0" applyNumberFormat="0" applyBorder="0" applyAlignment="0" applyProtection="0"/>
    <xf numFmtId="0" fontId="119" fillId="30" borderId="0" applyNumberFormat="0" applyBorder="0" applyAlignment="0" applyProtection="0"/>
    <xf numFmtId="0" fontId="119" fillId="33" borderId="0" applyNumberFormat="0" applyBorder="0" applyAlignment="0" applyProtection="0"/>
    <xf numFmtId="0" fontId="119" fillId="34" borderId="0" applyNumberFormat="0" applyBorder="0" applyAlignment="0" applyProtection="0"/>
    <xf numFmtId="0" fontId="119" fillId="35" borderId="0" applyNumberFormat="0" applyBorder="0" applyAlignment="0" applyProtection="0"/>
    <xf numFmtId="0" fontId="119" fillId="36" borderId="0" applyNumberFormat="0" applyBorder="0" applyAlignment="0" applyProtection="0"/>
    <xf numFmtId="0" fontId="119" fillId="37" borderId="0" applyNumberFormat="0" applyBorder="0" applyAlignment="0" applyProtection="0"/>
    <xf numFmtId="0" fontId="119" fillId="38" borderId="0" applyNumberFormat="0" applyBorder="0" applyAlignment="0" applyProtection="0"/>
    <xf numFmtId="0" fontId="119" fillId="33" borderId="0" applyNumberFormat="0" applyBorder="0" applyAlignment="0" applyProtection="0"/>
    <xf numFmtId="0" fontId="119" fillId="34" borderId="0" applyNumberFormat="0" applyBorder="0" applyAlignment="0" applyProtection="0"/>
    <xf numFmtId="0" fontId="119" fillId="39" borderId="0" applyNumberFormat="0" applyBorder="0" applyAlignment="0" applyProtection="0"/>
    <xf numFmtId="0" fontId="120" fillId="23" borderId="0" applyNumberFormat="0" applyBorder="0" applyAlignment="0" applyProtection="0"/>
    <xf numFmtId="0" fontId="121" fillId="40" borderId="20" applyNumberFormat="0" applyAlignment="0" applyProtection="0"/>
    <xf numFmtId="0" fontId="122" fillId="41" borderId="21" applyNumberFormat="0" applyAlignment="0" applyProtection="0"/>
    <xf numFmtId="178" fontId="123" fillId="0" borderId="0" applyFont="0" applyFill="0" applyBorder="0" applyAlignment="0" applyProtection="0"/>
    <xf numFmtId="3" fontId="33" fillId="0" borderId="0" applyFont="0" applyFill="0" applyBorder="0" applyAlignment="0" applyProtection="0"/>
    <xf numFmtId="0" fontId="15" fillId="0" borderId="0" applyNumberFormat="0" applyFont="0" applyFill="0" applyBorder="0" applyAlignment="0"/>
    <xf numFmtId="187" fontId="33" fillId="0" borderId="0" applyFont="0" applyFill="0" applyBorder="0" applyAlignment="0" applyProtection="0"/>
    <xf numFmtId="188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189" fontId="22" fillId="0" borderId="0" applyFont="0" applyFill="0" applyBorder="0" applyAlignment="0" applyProtection="0"/>
    <xf numFmtId="190" fontId="124" fillId="0" borderId="0"/>
    <xf numFmtId="0" fontId="125" fillId="0" borderId="0" applyNumberFormat="0" applyFill="0" applyBorder="0" applyAlignment="0" applyProtection="0"/>
    <xf numFmtId="2" fontId="33" fillId="0" borderId="0" applyFont="0" applyFill="0" applyBorder="0" applyAlignment="0" applyProtection="0"/>
    <xf numFmtId="0" fontId="126" fillId="24" borderId="0" applyNumberFormat="0" applyBorder="0" applyAlignment="0" applyProtection="0"/>
    <xf numFmtId="0" fontId="127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29" fillId="0" borderId="22" applyNumberFormat="0" applyFill="0" applyAlignment="0" applyProtection="0"/>
    <xf numFmtId="0" fontId="129" fillId="0" borderId="0" applyNumberFormat="0" applyFill="0" applyBorder="0" applyAlignment="0" applyProtection="0"/>
    <xf numFmtId="173" fontId="118" fillId="0" borderId="0" applyFont="0" applyFill="0" applyBorder="0" applyAlignment="0" applyProtection="0"/>
    <xf numFmtId="0" fontId="130" fillId="27" borderId="20" applyNumberFormat="0" applyAlignment="0" applyProtection="0"/>
    <xf numFmtId="0" fontId="131" fillId="0" borderId="23" applyNumberFormat="0" applyFill="0" applyAlignment="0" applyProtection="0"/>
    <xf numFmtId="191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92" fontId="7" fillId="0" borderId="0" applyFont="0" applyFill="0" applyBorder="0" applyAlignment="0" applyProtection="0"/>
    <xf numFmtId="193" fontId="7" fillId="0" borderId="0" applyFont="0" applyFill="0" applyBorder="0" applyAlignment="0" applyProtection="0"/>
    <xf numFmtId="173" fontId="132" fillId="0" borderId="0" applyFill="0" applyBorder="0"/>
    <xf numFmtId="0" fontId="133" fillId="42" borderId="0" applyNumberFormat="0" applyBorder="0" applyAlignment="0" applyProtection="0"/>
    <xf numFmtId="0" fontId="132" fillId="0" borderId="0"/>
    <xf numFmtId="0" fontId="39" fillId="43" borderId="24" applyNumberFormat="0" applyFont="0" applyAlignment="0" applyProtection="0"/>
    <xf numFmtId="0" fontId="134" fillId="40" borderId="25" applyNumberFormat="0" applyAlignment="0" applyProtection="0"/>
    <xf numFmtId="9" fontId="33" fillId="0" borderId="0" applyFont="0" applyFill="0" applyBorder="0" applyAlignment="0" applyProtection="0"/>
    <xf numFmtId="194" fontId="118" fillId="0" borderId="0" applyFont="0" applyFill="0" applyBorder="0" applyAlignment="0" applyProtection="0"/>
    <xf numFmtId="0" fontId="135" fillId="0" borderId="0" applyNumberFormat="0" applyFill="0" applyBorder="0" applyAlignment="0" applyProtection="0"/>
    <xf numFmtId="0" fontId="33" fillId="0" borderId="26" applyNumberFormat="0" applyFont="0" applyFill="0" applyAlignment="0" applyProtection="0"/>
    <xf numFmtId="0" fontId="136" fillId="0" borderId="0" applyNumberFormat="0" applyFill="0" applyBorder="0" applyAlignment="0" applyProtection="0"/>
  </cellStyleXfs>
  <cellXfs count="839">
    <xf numFmtId="0" fontId="0" fillId="0" borderId="0" xfId="0"/>
    <xf numFmtId="0" fontId="3" fillId="0" borderId="0" xfId="0" applyFont="1"/>
    <xf numFmtId="0" fontId="3" fillId="0" borderId="0" xfId="0" applyFont="1" applyBorder="1"/>
    <xf numFmtId="0" fontId="3" fillId="0" borderId="0" xfId="0" applyFont="1" applyProtection="1">
      <protection hidden="1"/>
    </xf>
    <xf numFmtId="0" fontId="3" fillId="0" borderId="0" xfId="0" applyFont="1" applyBorder="1" applyProtection="1">
      <protection hidden="1"/>
    </xf>
    <xf numFmtId="0" fontId="6" fillId="0" borderId="0" xfId="0" applyFont="1" applyBorder="1"/>
    <xf numFmtId="3" fontId="3" fillId="2" borderId="3" xfId="0" applyNumberFormat="1" applyFont="1" applyFill="1" applyBorder="1"/>
    <xf numFmtId="0" fontId="4" fillId="0" borderId="0" xfId="0" applyFont="1" applyBorder="1" applyAlignment="1">
      <alignment horizontal="centerContinuous"/>
    </xf>
    <xf numFmtId="3" fontId="3" fillId="0" borderId="1" xfId="0" applyNumberFormat="1" applyFont="1" applyBorder="1" applyProtection="1"/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Protection="1"/>
    <xf numFmtId="3" fontId="12" fillId="0" borderId="0" xfId="0" applyNumberFormat="1" applyFont="1" applyBorder="1" applyAlignment="1">
      <alignment horizontal="centerContinuous"/>
    </xf>
    <xf numFmtId="3" fontId="3" fillId="0" borderId="1" xfId="0" applyNumberFormat="1" applyFont="1" applyBorder="1" applyProtection="1">
      <protection locked="0"/>
    </xf>
    <xf numFmtId="3" fontId="3" fillId="0" borderId="0" xfId="0" applyNumberFormat="1" applyFont="1"/>
    <xf numFmtId="0" fontId="3" fillId="0" borderId="0" xfId="0" applyFont="1" applyFill="1"/>
    <xf numFmtId="3" fontId="3" fillId="0" borderId="0" xfId="0" applyNumberFormat="1" applyFont="1" applyAlignment="1">
      <alignment horizontal="centerContinuous"/>
    </xf>
    <xf numFmtId="3" fontId="6" fillId="0" borderId="0" xfId="0" applyNumberFormat="1" applyFont="1" applyAlignment="1">
      <alignment horizontal="centerContinuous"/>
    </xf>
    <xf numFmtId="3" fontId="3" fillId="0" borderId="1" xfId="0" applyNumberFormat="1" applyFont="1" applyBorder="1" applyAlignment="1" applyProtection="1">
      <alignment horizontal="right"/>
      <protection locked="0"/>
    </xf>
    <xf numFmtId="0" fontId="12" fillId="0" borderId="0" xfId="0" applyFont="1" applyAlignment="1">
      <alignment horizontal="centerContinuous"/>
    </xf>
    <xf numFmtId="3" fontId="6" fillId="0" borderId="1" xfId="0" quotePrefix="1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3" fontId="4" fillId="0" borderId="0" xfId="0" applyNumberFormat="1" applyFont="1" applyAlignment="1">
      <alignment horizontal="center"/>
    </xf>
    <xf numFmtId="3" fontId="3" fillId="0" borderId="0" xfId="0" applyNumberFormat="1" applyFont="1" applyBorder="1"/>
    <xf numFmtId="0" fontId="3" fillId="0" borderId="0" xfId="0" applyFont="1" applyAlignment="1">
      <alignment wrapText="1"/>
    </xf>
    <xf numFmtId="0" fontId="8" fillId="0" borderId="0" xfId="0" applyFont="1"/>
    <xf numFmtId="3" fontId="6" fillId="0" borderId="0" xfId="0" applyNumberFormat="1" applyFont="1" applyAlignment="1">
      <alignment horizontal="center" vertical="center"/>
    </xf>
    <xf numFmtId="3" fontId="6" fillId="0" borderId="0" xfId="0" quotePrefix="1" applyNumberFormat="1" applyFont="1" applyAlignment="1">
      <alignment horizontal="left"/>
    </xf>
    <xf numFmtId="0" fontId="6" fillId="0" borderId="0" xfId="0" applyFont="1" applyAlignment="1">
      <alignment vertical="center"/>
    </xf>
    <xf numFmtId="0" fontId="6" fillId="0" borderId="0" xfId="0" applyFont="1"/>
    <xf numFmtId="3" fontId="6" fillId="0" borderId="0" xfId="0" applyNumberFormat="1" applyFont="1" applyBorder="1"/>
    <xf numFmtId="0" fontId="8" fillId="0" borderId="0" xfId="0" applyFont="1" applyBorder="1"/>
    <xf numFmtId="0" fontId="6" fillId="0" borderId="0" xfId="0" applyFont="1" applyBorder="1" applyAlignment="1" applyProtection="1">
      <alignment vertical="center"/>
    </xf>
    <xf numFmtId="0" fontId="3" fillId="0" borderId="0" xfId="0" applyFont="1" applyAlignment="1" applyProtection="1">
      <alignment vertical="center"/>
      <protection hidden="1"/>
    </xf>
    <xf numFmtId="0" fontId="7" fillId="0" borderId="0" xfId="0" applyFont="1" applyAlignment="1" applyProtection="1">
      <alignment horizontal="centerContinuous"/>
    </xf>
    <xf numFmtId="3" fontId="3" fillId="0" borderId="0" xfId="0" applyNumberFormat="1" applyFont="1" applyBorder="1" applyAlignment="1">
      <alignment horizontal="center"/>
    </xf>
    <xf numFmtId="3" fontId="6" fillId="0" borderId="0" xfId="0" applyNumberFormat="1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textRotation="90" wrapText="1"/>
    </xf>
    <xf numFmtId="171" fontId="3" fillId="0" borderId="0" xfId="0" applyNumberFormat="1" applyFont="1"/>
    <xf numFmtId="3" fontId="3" fillId="0" borderId="1" xfId="0" applyNumberFormat="1" applyFont="1" applyBorder="1" applyAlignment="1" applyProtection="1">
      <alignment vertical="center"/>
      <protection locked="0"/>
    </xf>
    <xf numFmtId="0" fontId="4" fillId="0" borderId="0" xfId="0" applyFont="1" applyBorder="1" applyAlignment="1">
      <alignment horizontal="center"/>
    </xf>
    <xf numFmtId="0" fontId="3" fillId="0" borderId="0" xfId="0" applyFont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18" fillId="0" borderId="0" xfId="5" applyNumberFormat="1" applyFont="1" applyFill="1" applyBorder="1" applyAlignment="1" applyProtection="1">
      <alignment vertical="center"/>
    </xf>
    <xf numFmtId="0" fontId="18" fillId="0" borderId="0" xfId="5" applyNumberFormat="1" applyFont="1" applyFill="1" applyBorder="1" applyAlignment="1" applyProtection="1">
      <alignment vertical="top"/>
    </xf>
    <xf numFmtId="0" fontId="18" fillId="0" borderId="0" xfId="5" applyNumberFormat="1" applyFont="1" applyFill="1" applyBorder="1" applyAlignment="1" applyProtection="1">
      <alignment vertical="top" wrapText="1"/>
    </xf>
    <xf numFmtId="0" fontId="15" fillId="0" borderId="0" xfId="5" applyNumberFormat="1" applyFont="1" applyFill="1" applyBorder="1" applyAlignment="1" applyProtection="1">
      <alignment horizontal="center" vertical="center"/>
    </xf>
    <xf numFmtId="49" fontId="34" fillId="5" borderId="1" xfId="5" applyNumberFormat="1" applyFont="1" applyFill="1" applyBorder="1" applyAlignment="1" applyProtection="1">
      <alignment horizontal="center" vertical="center" wrapText="1"/>
    </xf>
    <xf numFmtId="49" fontId="35" fillId="0" borderId="1" xfId="5" applyNumberFormat="1" applyFont="1" applyFill="1" applyBorder="1" applyAlignment="1" applyProtection="1">
      <alignment horizontal="center" vertical="center" wrapText="1"/>
    </xf>
    <xf numFmtId="0" fontId="36" fillId="0" borderId="0" xfId="5" applyNumberFormat="1" applyFont="1" applyFill="1" applyBorder="1" applyAlignment="1" applyProtection="1">
      <alignment horizontal="center" vertical="center"/>
    </xf>
    <xf numFmtId="0" fontId="36" fillId="0" borderId="0" xfId="5" applyNumberFormat="1" applyFont="1" applyFill="1" applyBorder="1" applyAlignment="1" applyProtection="1">
      <alignment vertical="top" wrapText="1"/>
    </xf>
    <xf numFmtId="171" fontId="2" fillId="0" borderId="0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5" fillId="0" borderId="0" xfId="0" applyFont="1" applyBorder="1" applyAlignment="1">
      <alignment horizontal="center"/>
    </xf>
    <xf numFmtId="0" fontId="32" fillId="0" borderId="0" xfId="0" applyFont="1" applyBorder="1" applyAlignment="1">
      <alignment horizontal="center"/>
    </xf>
    <xf numFmtId="0" fontId="32" fillId="0" borderId="0" xfId="0" applyFont="1" applyFill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3" fontId="3" fillId="0" borderId="1" xfId="0" applyNumberFormat="1" applyFont="1" applyBorder="1" applyAlignment="1" applyProtection="1">
      <alignment horizontal="right" vertical="center"/>
      <protection locked="0"/>
    </xf>
    <xf numFmtId="3" fontId="3" fillId="0" borderId="3" xfId="0" applyNumberFormat="1" applyFont="1" applyBorder="1" applyAlignment="1" applyProtection="1">
      <alignment vertical="center"/>
      <protection locked="0"/>
    </xf>
    <xf numFmtId="167" fontId="3" fillId="0" borderId="3" xfId="0" applyNumberFormat="1" applyFont="1" applyBorder="1" applyAlignment="1" applyProtection="1">
      <alignment vertical="center"/>
      <protection locked="0"/>
    </xf>
    <xf numFmtId="3" fontId="6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Fill="1" applyBorder="1" applyAlignment="1" applyProtection="1">
      <alignment vertical="center"/>
    </xf>
    <xf numFmtId="3" fontId="5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3" fontId="4" fillId="0" borderId="0" xfId="0" applyNumberFormat="1" applyFont="1" applyAlignment="1" applyProtection="1">
      <alignment horizontal="center"/>
    </xf>
    <xf numFmtId="3" fontId="3" fillId="0" borderId="0" xfId="0" applyNumberFormat="1" applyFont="1" applyBorder="1" applyProtection="1"/>
    <xf numFmtId="0" fontId="2" fillId="0" borderId="1" xfId="0" applyFont="1" applyFill="1" applyBorder="1" applyAlignment="1" applyProtection="1">
      <alignment vertical="center"/>
      <protection locked="0"/>
    </xf>
    <xf numFmtId="3" fontId="2" fillId="0" borderId="1" xfId="0" applyNumberFormat="1" applyFont="1" applyFill="1" applyBorder="1" applyAlignment="1" applyProtection="1">
      <alignment vertical="center"/>
      <protection locked="0"/>
    </xf>
    <xf numFmtId="3" fontId="2" fillId="0" borderId="1" xfId="0" applyNumberFormat="1" applyFont="1" applyFill="1" applyBorder="1" applyAlignment="1" applyProtection="1">
      <alignment horizontal="right" vertical="center"/>
      <protection locked="0"/>
    </xf>
    <xf numFmtId="0" fontId="0" fillId="0" borderId="1" xfId="0" applyFill="1" applyBorder="1" applyAlignment="1" applyProtection="1">
      <alignment vertical="center"/>
      <protection locked="0"/>
    </xf>
    <xf numFmtId="3" fontId="2" fillId="0" borderId="1" xfId="0" applyNumberFormat="1" applyFont="1" applyBorder="1" applyAlignment="1" applyProtection="1">
      <alignment vertical="center"/>
      <protection locked="0"/>
    </xf>
    <xf numFmtId="3" fontId="3" fillId="0" borderId="1" xfId="0" applyNumberFormat="1" applyFont="1" applyBorder="1" applyAlignment="1" applyProtection="1">
      <alignment vertical="center" wrapText="1"/>
      <protection locked="0"/>
    </xf>
    <xf numFmtId="3" fontId="3" fillId="0" borderId="1" xfId="0" applyNumberFormat="1" applyFont="1" applyBorder="1" applyAlignment="1" applyProtection="1">
      <alignment horizontal="center" vertical="center"/>
      <protection locked="0"/>
    </xf>
    <xf numFmtId="0" fontId="32" fillId="0" borderId="4" xfId="0" applyFont="1" applyBorder="1" applyAlignment="1">
      <alignment horizontal="center" vertical="center"/>
    </xf>
    <xf numFmtId="3" fontId="32" fillId="0" borderId="1" xfId="0" applyNumberFormat="1" applyFont="1" applyBorder="1" applyAlignment="1" applyProtection="1">
      <alignment horizontal="center" vertical="center"/>
      <protection locked="0"/>
    </xf>
    <xf numFmtId="0" fontId="32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 wrapText="1" indent="2"/>
    </xf>
    <xf numFmtId="0" fontId="3" fillId="0" borderId="1" xfId="0" applyFont="1" applyBorder="1" applyAlignment="1">
      <alignment horizontal="left" vertical="center" wrapText="1" indent="4"/>
    </xf>
    <xf numFmtId="0" fontId="32" fillId="0" borderId="1" xfId="0" applyFont="1" applyBorder="1" applyAlignment="1">
      <alignment horizontal="left" vertical="center" wrapText="1" indent="4"/>
    </xf>
    <xf numFmtId="0" fontId="34" fillId="5" borderId="1" xfId="5" applyNumberFormat="1" applyFont="1" applyFill="1" applyBorder="1" applyAlignment="1" applyProtection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3" fontId="2" fillId="0" borderId="3" xfId="2" applyNumberFormat="1" applyFont="1" applyFill="1" applyBorder="1" applyProtection="1">
      <protection locked="0"/>
    </xf>
    <xf numFmtId="0" fontId="6" fillId="0" borderId="2" xfId="0" applyFont="1" applyBorder="1" applyAlignment="1">
      <alignment horizontal="left" vertical="center" indent="1"/>
    </xf>
    <xf numFmtId="3" fontId="3" fillId="0" borderId="1" xfId="0" applyNumberFormat="1" applyFont="1" applyFill="1" applyBorder="1" applyAlignment="1">
      <alignment vertical="center"/>
    </xf>
    <xf numFmtId="0" fontId="3" fillId="0" borderId="0" xfId="0" applyFont="1" applyFill="1" applyAlignment="1">
      <alignment vertical="center"/>
    </xf>
    <xf numFmtId="3" fontId="5" fillId="0" borderId="1" xfId="0" applyNumberFormat="1" applyFont="1" applyFill="1" applyBorder="1" applyAlignment="1">
      <alignment horizontal="center" vertical="center" wrapText="1"/>
    </xf>
    <xf numFmtId="3" fontId="2" fillId="0" borderId="1" xfId="0" applyNumberFormat="1" applyFont="1" applyFill="1" applyBorder="1" applyAlignment="1">
      <alignment horizontal="left" vertical="center"/>
    </xf>
    <xf numFmtId="3" fontId="6" fillId="0" borderId="1" xfId="0" applyNumberFormat="1" applyFont="1" applyFill="1" applyBorder="1" applyAlignment="1">
      <alignment horizontal="center" vertical="center"/>
    </xf>
    <xf numFmtId="3" fontId="31" fillId="0" borderId="1" xfId="0" applyNumberFormat="1" applyFont="1" applyFill="1" applyBorder="1" applyAlignment="1">
      <alignment horizontal="right" vertical="center" wrapText="1"/>
    </xf>
    <xf numFmtId="3" fontId="5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41" fillId="0" borderId="0" xfId="0" applyFont="1"/>
    <xf numFmtId="3" fontId="42" fillId="0" borderId="0" xfId="0" applyNumberFormat="1" applyFont="1" applyAlignment="1">
      <alignment horizontal="center" vertical="center"/>
    </xf>
    <xf numFmtId="0" fontId="40" fillId="0" borderId="0" xfId="0" applyFont="1" applyAlignment="1">
      <alignment vertical="center"/>
    </xf>
    <xf numFmtId="0" fontId="40" fillId="0" borderId="0" xfId="0" applyFont="1"/>
    <xf numFmtId="0" fontId="42" fillId="0" borderId="0" xfId="0" applyFont="1" applyAlignment="1">
      <alignment vertical="center"/>
    </xf>
    <xf numFmtId="0" fontId="42" fillId="0" borderId="0" xfId="0" applyFont="1"/>
    <xf numFmtId="170" fontId="41" fillId="0" borderId="0" xfId="4" applyNumberFormat="1" applyFont="1"/>
    <xf numFmtId="0" fontId="3" fillId="0" borderId="0" xfId="0" applyFont="1" applyAlignment="1" applyProtection="1">
      <alignment vertical="center"/>
    </xf>
    <xf numFmtId="0" fontId="3" fillId="0" borderId="0" xfId="0" applyFont="1" applyProtection="1"/>
    <xf numFmtId="0" fontId="3" fillId="0" borderId="0" xfId="0" applyFont="1" applyBorder="1" applyProtection="1"/>
    <xf numFmtId="3" fontId="5" fillId="0" borderId="4" xfId="0" applyNumberFormat="1" applyFont="1" applyFill="1" applyBorder="1" applyAlignment="1" applyProtection="1">
      <alignment horizontal="left" vertical="center" indent="2"/>
    </xf>
    <xf numFmtId="3" fontId="5" fillId="0" borderId="8" xfId="0" applyNumberFormat="1" applyFont="1" applyFill="1" applyBorder="1" applyAlignment="1" applyProtection="1">
      <alignment horizontal="left" vertical="center" indent="2"/>
    </xf>
    <xf numFmtId="3" fontId="5" fillId="0" borderId="6" xfId="0" applyNumberFormat="1" applyFont="1" applyFill="1" applyBorder="1" applyAlignment="1" applyProtection="1">
      <alignment horizontal="left" vertical="center" indent="2"/>
    </xf>
    <xf numFmtId="3" fontId="3" fillId="0" borderId="1" xfId="0" applyNumberFormat="1" applyFont="1" applyFill="1" applyBorder="1" applyAlignment="1" applyProtection="1">
      <alignment horizontal="right" vertical="center"/>
    </xf>
    <xf numFmtId="0" fontId="43" fillId="0" borderId="0" xfId="0" applyFont="1"/>
    <xf numFmtId="3" fontId="43" fillId="0" borderId="0" xfId="0" applyNumberFormat="1" applyFont="1" applyBorder="1" applyAlignment="1">
      <alignment horizontal="centerContinuous"/>
    </xf>
    <xf numFmtId="0" fontId="8" fillId="0" borderId="0" xfId="0" applyFont="1" applyAlignment="1">
      <alignment vertical="center"/>
    </xf>
    <xf numFmtId="3" fontId="4" fillId="0" borderId="1" xfId="0" applyNumberFormat="1" applyFont="1" applyBorder="1" applyAlignment="1">
      <alignment horizontal="center" vertical="center"/>
    </xf>
    <xf numFmtId="3" fontId="8" fillId="0" borderId="1" xfId="0" applyNumberFormat="1" applyFont="1" applyBorder="1" applyAlignment="1">
      <alignment vertical="center"/>
    </xf>
    <xf numFmtId="3" fontId="8" fillId="0" borderId="1" xfId="0" applyNumberFormat="1" applyFont="1" applyBorder="1" applyAlignment="1" applyProtection="1">
      <alignment horizontal="right" vertical="center"/>
      <protection locked="0"/>
    </xf>
    <xf numFmtId="3" fontId="8" fillId="0" borderId="1" xfId="0" applyNumberFormat="1" applyFont="1" applyFill="1" applyBorder="1" applyAlignment="1">
      <alignment vertical="center"/>
    </xf>
    <xf numFmtId="0" fontId="8" fillId="0" borderId="1" xfId="0" applyFont="1" applyFill="1" applyBorder="1" applyAlignment="1">
      <alignment vertical="center" wrapText="1"/>
    </xf>
    <xf numFmtId="3" fontId="8" fillId="0" borderId="1" xfId="0" applyNumberFormat="1" applyFont="1" applyBorder="1" applyAlignment="1" applyProtection="1">
      <alignment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4" fillId="0" borderId="0" xfId="0" applyFont="1" applyAlignment="1">
      <alignment horizontal="center"/>
    </xf>
    <xf numFmtId="0" fontId="4" fillId="0" borderId="0" xfId="0" applyFont="1" applyBorder="1"/>
    <xf numFmtId="0" fontId="44" fillId="0" borderId="0" xfId="0" applyFont="1" applyProtection="1">
      <protection hidden="1"/>
    </xf>
    <xf numFmtId="0" fontId="2" fillId="0" borderId="0" xfId="0" applyFont="1" applyFill="1" applyProtection="1"/>
    <xf numFmtId="0" fontId="2" fillId="0" borderId="0" xfId="0" applyFont="1" applyBorder="1" applyProtection="1"/>
    <xf numFmtId="170" fontId="24" fillId="0" borderId="0" xfId="4" applyNumberFormat="1" applyFont="1" applyBorder="1" applyAlignment="1" applyProtection="1">
      <alignment horizontal="center" vertical="center" wrapText="1"/>
    </xf>
    <xf numFmtId="0" fontId="21" fillId="0" borderId="0" xfId="0" applyFont="1" applyProtection="1"/>
    <xf numFmtId="0" fontId="21" fillId="0" borderId="0" xfId="0" applyFont="1" applyBorder="1" applyAlignment="1" applyProtection="1">
      <alignment wrapText="1"/>
    </xf>
    <xf numFmtId="0" fontId="21" fillId="0" borderId="0" xfId="0" applyFont="1" applyAlignment="1" applyProtection="1">
      <alignment vertical="center"/>
    </xf>
    <xf numFmtId="0" fontId="21" fillId="0" borderId="1" xfId="0" applyFont="1" applyBorder="1" applyAlignment="1" applyProtection="1">
      <alignment horizontal="center" wrapText="1"/>
    </xf>
    <xf numFmtId="0" fontId="20" fillId="0" borderId="1" xfId="0" applyFont="1" applyBorder="1" applyAlignment="1" applyProtection="1">
      <alignment horizontal="center" vertical="center"/>
    </xf>
    <xf numFmtId="170" fontId="20" fillId="0" borderId="1" xfId="4" applyNumberFormat="1" applyFont="1" applyBorder="1" applyAlignment="1" applyProtection="1">
      <alignment horizontal="left" vertical="center"/>
    </xf>
    <xf numFmtId="3" fontId="20" fillId="0" borderId="1" xfId="4" applyNumberFormat="1" applyFont="1" applyBorder="1" applyAlignment="1" applyProtection="1">
      <alignment horizontal="center" vertical="center"/>
    </xf>
    <xf numFmtId="0" fontId="21" fillId="0" borderId="1" xfId="0" applyFont="1" applyFill="1" applyBorder="1" applyAlignment="1" applyProtection="1">
      <alignment horizontal="center" wrapText="1"/>
    </xf>
    <xf numFmtId="3" fontId="21" fillId="0" borderId="1" xfId="4" applyNumberFormat="1" applyFont="1" applyFill="1" applyBorder="1" applyAlignment="1" applyProtection="1">
      <alignment horizontal="center" wrapText="1"/>
    </xf>
    <xf numFmtId="3" fontId="30" fillId="0" borderId="1" xfId="4" applyNumberFormat="1" applyFont="1" applyFill="1" applyBorder="1" applyAlignment="1" applyProtection="1">
      <alignment horizontal="center" wrapText="1"/>
    </xf>
    <xf numFmtId="0" fontId="20" fillId="0" borderId="1" xfId="0" applyFont="1" applyFill="1" applyBorder="1" applyAlignment="1" applyProtection="1">
      <alignment horizontal="center" vertical="center" wrapText="1"/>
    </xf>
    <xf numFmtId="0" fontId="20" fillId="0" borderId="1" xfId="0" applyFont="1" applyFill="1" applyBorder="1" applyAlignment="1" applyProtection="1">
      <alignment horizontal="left" vertical="center" wrapText="1" indent="2"/>
    </xf>
    <xf numFmtId="0" fontId="27" fillId="0" borderId="0" xfId="0" applyFont="1" applyFill="1" applyAlignment="1" applyProtection="1">
      <alignment vertical="center"/>
    </xf>
    <xf numFmtId="0" fontId="20" fillId="0" borderId="0" xfId="0" applyFont="1" applyFill="1" applyAlignment="1" applyProtection="1">
      <alignment vertical="center"/>
    </xf>
    <xf numFmtId="0" fontId="20" fillId="0" borderId="1" xfId="0" applyFont="1" applyFill="1" applyBorder="1" applyAlignment="1" applyProtection="1">
      <alignment horizontal="left" vertical="center" indent="2"/>
    </xf>
    <xf numFmtId="0" fontId="21" fillId="0" borderId="1" xfId="0" applyFont="1" applyFill="1" applyBorder="1" applyAlignment="1" applyProtection="1">
      <alignment horizontal="center" vertical="center" wrapText="1"/>
    </xf>
    <xf numFmtId="0" fontId="30" fillId="0" borderId="1" xfId="0" applyFont="1" applyFill="1" applyBorder="1" applyAlignment="1" applyProtection="1">
      <alignment horizontal="center" wrapText="1"/>
    </xf>
    <xf numFmtId="0" fontId="30" fillId="0" borderId="0" xfId="0" applyFont="1" applyProtection="1"/>
    <xf numFmtId="0" fontId="30" fillId="0" borderId="1" xfId="0" applyFont="1" applyFill="1" applyBorder="1" applyAlignment="1" applyProtection="1">
      <alignment horizontal="center" vertical="center" wrapText="1"/>
    </xf>
    <xf numFmtId="0" fontId="30" fillId="0" borderId="0" xfId="0" applyFont="1" applyAlignment="1" applyProtection="1">
      <alignment vertical="center"/>
    </xf>
    <xf numFmtId="0" fontId="21" fillId="0" borderId="1" xfId="0" applyFont="1" applyBorder="1" applyAlignment="1" applyProtection="1">
      <alignment horizontal="center" vertical="center" wrapText="1"/>
    </xf>
    <xf numFmtId="0" fontId="20" fillId="0" borderId="1" xfId="0" applyFont="1" applyBorder="1" applyAlignment="1" applyProtection="1">
      <alignment horizontal="left" vertical="center" indent="2"/>
    </xf>
    <xf numFmtId="0" fontId="20" fillId="0" borderId="1" xfId="0" applyFont="1" applyBorder="1" applyAlignment="1" applyProtection="1">
      <alignment horizontal="left" vertical="center" wrapText="1" indent="2"/>
    </xf>
    <xf numFmtId="3" fontId="30" fillId="0" borderId="1" xfId="4" applyNumberFormat="1" applyFont="1" applyBorder="1" applyAlignment="1" applyProtection="1">
      <alignment horizontal="center" vertical="center" wrapText="1"/>
    </xf>
    <xf numFmtId="0" fontId="21" fillId="0" borderId="0" xfId="0" applyFont="1" applyFill="1" applyAlignment="1" applyProtection="1">
      <alignment vertical="center"/>
    </xf>
    <xf numFmtId="0" fontId="37" fillId="0" borderId="1" xfId="0" applyFont="1" applyFill="1" applyBorder="1" applyAlignment="1" applyProtection="1">
      <alignment horizontal="center" vertical="center" wrapText="1"/>
    </xf>
    <xf numFmtId="0" fontId="37" fillId="0" borderId="1" xfId="0" applyFont="1" applyFill="1" applyBorder="1" applyAlignment="1" applyProtection="1">
      <alignment horizontal="left" vertical="center" wrapText="1" indent="2"/>
    </xf>
    <xf numFmtId="3" fontId="37" fillId="0" borderId="1" xfId="4" applyNumberFormat="1" applyFont="1" applyFill="1" applyBorder="1" applyAlignment="1" applyProtection="1">
      <alignment horizontal="center"/>
    </xf>
    <xf numFmtId="0" fontId="37" fillId="0" borderId="0" xfId="0" applyFont="1" applyFill="1" applyAlignment="1" applyProtection="1">
      <alignment vertical="center"/>
    </xf>
    <xf numFmtId="0" fontId="37" fillId="0" borderId="1" xfId="0" applyFont="1" applyBorder="1" applyAlignment="1" applyProtection="1">
      <alignment horizontal="center" vertical="center" wrapText="1"/>
    </xf>
    <xf numFmtId="0" fontId="37" fillId="0" borderId="1" xfId="0" applyFont="1" applyBorder="1" applyAlignment="1" applyProtection="1">
      <alignment horizontal="left" vertical="center" wrapText="1" indent="2"/>
    </xf>
    <xf numFmtId="0" fontId="37" fillId="0" borderId="0" xfId="0" applyFont="1" applyAlignment="1" applyProtection="1">
      <alignment vertical="center"/>
    </xf>
    <xf numFmtId="0" fontId="20" fillId="0" borderId="0" xfId="0" applyFont="1" applyBorder="1" applyProtection="1"/>
    <xf numFmtId="170" fontId="21" fillId="0" borderId="0" xfId="4" applyNumberFormat="1" applyFont="1" applyProtection="1"/>
    <xf numFmtId="0" fontId="20" fillId="0" borderId="0" xfId="0" applyFont="1" applyFill="1" applyBorder="1" applyAlignment="1" applyProtection="1">
      <alignment horizontal="right"/>
    </xf>
    <xf numFmtId="171" fontId="21" fillId="0" borderId="0" xfId="0" applyNumberFormat="1" applyFont="1" applyBorder="1" applyAlignment="1" applyProtection="1">
      <alignment wrapText="1"/>
    </xf>
    <xf numFmtId="3" fontId="37" fillId="0" borderId="1" xfId="4" applyNumberFormat="1" applyFont="1" applyBorder="1" applyAlignment="1" applyProtection="1">
      <alignment horizontal="center" vertical="center"/>
      <protection locked="0"/>
    </xf>
    <xf numFmtId="3" fontId="20" fillId="0" borderId="1" xfId="4" applyNumberFormat="1" applyFont="1" applyBorder="1" applyAlignment="1" applyProtection="1">
      <alignment horizontal="center" vertical="center"/>
      <protection locked="0"/>
    </xf>
    <xf numFmtId="3" fontId="21" fillId="0" borderId="1" xfId="4" applyNumberFormat="1" applyFont="1" applyFill="1" applyBorder="1" applyAlignment="1" applyProtection="1">
      <alignment horizontal="center" wrapText="1"/>
      <protection locked="0"/>
    </xf>
    <xf numFmtId="0" fontId="30" fillId="0" borderId="1" xfId="0" applyFont="1" applyBorder="1" applyAlignment="1" applyProtection="1">
      <alignment horizontal="center" vertical="center" wrapText="1"/>
    </xf>
    <xf numFmtId="0" fontId="30" fillId="0" borderId="1" xfId="0" applyFont="1" applyBorder="1" applyAlignment="1" applyProtection="1">
      <alignment horizontal="left" vertical="center" wrapText="1" indent="2"/>
    </xf>
    <xf numFmtId="10" fontId="30" fillId="0" borderId="1" xfId="3" applyNumberFormat="1" applyFont="1" applyFill="1" applyBorder="1" applyAlignment="1" applyProtection="1">
      <alignment horizontal="center" vertical="center"/>
    </xf>
    <xf numFmtId="0" fontId="18" fillId="0" borderId="0" xfId="6" applyNumberFormat="1" applyFont="1" applyFill="1" applyBorder="1" applyAlignment="1" applyProtection="1">
      <alignment vertical="top"/>
    </xf>
    <xf numFmtId="0" fontId="18" fillId="0" borderId="0" xfId="6" applyNumberFormat="1" applyFont="1" applyFill="1" applyBorder="1" applyAlignment="1" applyProtection="1">
      <alignment horizontal="center" vertical="center"/>
    </xf>
    <xf numFmtId="0" fontId="35" fillId="0" borderId="1" xfId="6" applyNumberFormat="1" applyFont="1" applyFill="1" applyBorder="1" applyAlignment="1" applyProtection="1">
      <alignment horizontal="left" vertical="center" wrapText="1" indent="2"/>
    </xf>
    <xf numFmtId="0" fontId="36" fillId="0" borderId="1" xfId="6" applyNumberFormat="1" applyFont="1" applyFill="1" applyBorder="1" applyAlignment="1" applyProtection="1">
      <alignment horizontal="left" vertical="center" wrapText="1" indent="2"/>
    </xf>
    <xf numFmtId="16" fontId="35" fillId="0" borderId="1" xfId="6" applyNumberFormat="1" applyFont="1" applyFill="1" applyBorder="1" applyAlignment="1" applyProtection="1">
      <alignment horizontal="left" vertical="center" wrapText="1" indent="2"/>
    </xf>
    <xf numFmtId="0" fontId="46" fillId="0" borderId="0" xfId="6" applyNumberFormat="1" applyFont="1" applyFill="1" applyBorder="1" applyAlignment="1" applyProtection="1">
      <alignment vertical="center"/>
    </xf>
    <xf numFmtId="0" fontId="3" fillId="0" borderId="0" xfId="0" applyFont="1" applyAlignment="1" applyProtection="1">
      <alignment vertical="center" wrapText="1"/>
    </xf>
    <xf numFmtId="0" fontId="47" fillId="0" borderId="0" xfId="0" applyFont="1"/>
    <xf numFmtId="170" fontId="47" fillId="0" borderId="0" xfId="4" applyNumberFormat="1" applyFont="1"/>
    <xf numFmtId="0" fontId="13" fillId="0" borderId="0" xfId="0" applyFont="1" applyProtection="1"/>
    <xf numFmtId="0" fontId="10" fillId="0" borderId="0" xfId="0" applyFont="1" applyAlignment="1" applyProtection="1">
      <alignment vertical="center" wrapText="1"/>
    </xf>
    <xf numFmtId="0" fontId="13" fillId="0" borderId="0" xfId="0" applyFont="1" applyAlignment="1" applyProtection="1">
      <alignment vertical="center" wrapText="1"/>
    </xf>
    <xf numFmtId="3" fontId="3" fillId="4" borderId="7" xfId="0" applyNumberFormat="1" applyFont="1" applyFill="1" applyBorder="1" applyAlignment="1" applyProtection="1">
      <alignment horizontal="right" vertical="top"/>
    </xf>
    <xf numFmtId="3" fontId="3" fillId="4" borderId="11" xfId="0" applyNumberFormat="1" applyFont="1" applyFill="1" applyBorder="1" applyAlignment="1" applyProtection="1">
      <alignment horizontal="right" vertical="top"/>
    </xf>
    <xf numFmtId="3" fontId="3" fillId="4" borderId="15" xfId="0" applyNumberFormat="1" applyFont="1" applyFill="1" applyBorder="1" applyAlignment="1" applyProtection="1">
      <alignment horizontal="right" vertical="top"/>
    </xf>
    <xf numFmtId="0" fontId="13" fillId="0" borderId="0" xfId="0" applyFont="1" applyAlignment="1" applyProtection="1">
      <alignment vertical="center"/>
    </xf>
    <xf numFmtId="3" fontId="3" fillId="4" borderId="2" xfId="0" applyNumberFormat="1" applyFont="1" applyFill="1" applyBorder="1" applyAlignment="1" applyProtection="1">
      <alignment horizontal="right" vertical="top"/>
    </xf>
    <xf numFmtId="3" fontId="3" fillId="4" borderId="9" xfId="0" applyNumberFormat="1" applyFont="1" applyFill="1" applyBorder="1" applyAlignment="1" applyProtection="1">
      <alignment horizontal="right" vertical="top"/>
    </xf>
    <xf numFmtId="3" fontId="3" fillId="4" borderId="14" xfId="0" applyNumberFormat="1" applyFont="1" applyFill="1" applyBorder="1" applyAlignment="1" applyProtection="1">
      <alignment horizontal="right" vertical="top"/>
    </xf>
    <xf numFmtId="0" fontId="13" fillId="0" borderId="0" xfId="0" applyFont="1" applyBorder="1" applyProtection="1"/>
    <xf numFmtId="171" fontId="6" fillId="0" borderId="0" xfId="0" applyNumberFormat="1" applyFont="1" applyAlignment="1" applyProtection="1">
      <alignment horizontal="center"/>
    </xf>
    <xf numFmtId="3" fontId="21" fillId="0" borderId="1" xfId="4" applyNumberFormat="1" applyFont="1" applyFill="1" applyBorder="1" applyAlignment="1" applyProtection="1">
      <alignment horizontal="center" vertical="center" wrapText="1"/>
      <protection locked="0"/>
    </xf>
    <xf numFmtId="3" fontId="30" fillId="0" borderId="1" xfId="4" applyNumberFormat="1" applyFont="1" applyFill="1" applyBorder="1" applyAlignment="1" applyProtection="1">
      <alignment horizontal="center" vertical="center" wrapText="1"/>
      <protection locked="0"/>
    </xf>
    <xf numFmtId="3" fontId="30" fillId="0" borderId="1" xfId="4" applyNumberFormat="1" applyFont="1" applyFill="1" applyBorder="1" applyAlignment="1" applyProtection="1">
      <alignment horizontal="center" vertical="center" wrapText="1"/>
    </xf>
    <xf numFmtId="3" fontId="37" fillId="0" borderId="1" xfId="4" applyNumberFormat="1" applyFont="1" applyFill="1" applyBorder="1" applyAlignment="1" applyProtection="1">
      <alignment horizontal="center" vertical="center" wrapText="1"/>
      <protection locked="0"/>
    </xf>
    <xf numFmtId="166" fontId="49" fillId="0" borderId="0" xfId="4" applyFont="1" applyFill="1" applyBorder="1" applyAlignment="1" applyProtection="1">
      <alignment vertical="center"/>
    </xf>
    <xf numFmtId="0" fontId="50" fillId="0" borderId="0" xfId="0" applyFont="1" applyBorder="1" applyProtection="1"/>
    <xf numFmtId="0" fontId="51" fillId="0" borderId="0" xfId="0" applyFont="1" applyBorder="1" applyProtection="1"/>
    <xf numFmtId="0" fontId="46" fillId="0" borderId="0" xfId="5" applyNumberFormat="1" applyFont="1" applyFill="1" applyBorder="1" applyAlignment="1" applyProtection="1">
      <alignment horizontal="center" vertical="center"/>
    </xf>
    <xf numFmtId="0" fontId="30" fillId="0" borderId="1" xfId="0" applyFont="1" applyFill="1" applyBorder="1" applyAlignment="1" applyProtection="1">
      <alignment horizontal="left" vertical="center" indent="2"/>
    </xf>
    <xf numFmtId="0" fontId="18" fillId="0" borderId="1" xfId="6" applyNumberFormat="1" applyFont="1" applyFill="1" applyBorder="1" applyAlignment="1" applyProtection="1">
      <alignment horizontal="left" vertical="center" wrapText="1" indent="2"/>
    </xf>
    <xf numFmtId="3" fontId="18" fillId="0" borderId="0" xfId="5" applyNumberFormat="1" applyFont="1" applyFill="1" applyBorder="1" applyAlignment="1" applyProtection="1">
      <alignment vertical="top"/>
    </xf>
    <xf numFmtId="3" fontId="34" fillId="5" borderId="1" xfId="5" applyNumberFormat="1" applyFont="1" applyFill="1" applyBorder="1" applyAlignment="1" applyProtection="1">
      <alignment horizontal="center" vertical="center" wrapText="1"/>
    </xf>
    <xf numFmtId="0" fontId="35" fillId="5" borderId="1" xfId="6" applyNumberFormat="1" applyFont="1" applyFill="1" applyBorder="1" applyAlignment="1" applyProtection="1">
      <alignment horizontal="left" vertical="center" wrapText="1" indent="2"/>
    </xf>
    <xf numFmtId="3" fontId="55" fillId="0" borderId="1" xfId="4" applyNumberFormat="1" applyFont="1" applyFill="1" applyBorder="1" applyAlignment="1" applyProtection="1">
      <alignment horizontal="center"/>
    </xf>
    <xf numFmtId="0" fontId="18" fillId="0" borderId="0" xfId="6" applyNumberFormat="1" applyFont="1" applyFill="1" applyBorder="1" applyAlignment="1" applyProtection="1">
      <alignment horizontal="center" vertical="top"/>
    </xf>
    <xf numFmtId="15" fontId="18" fillId="0" borderId="0" xfId="6" applyNumberFormat="1" applyFont="1" applyFill="1" applyBorder="1" applyAlignment="1" applyProtection="1">
      <alignment vertical="top"/>
    </xf>
    <xf numFmtId="0" fontId="56" fillId="0" borderId="0" xfId="0" applyFont="1" applyBorder="1" applyAlignment="1">
      <alignment horizontal="center" vertical="center"/>
    </xf>
    <xf numFmtId="171" fontId="0" fillId="0" borderId="0" xfId="0" applyNumberFormat="1" applyFont="1" applyBorder="1" applyAlignment="1">
      <alignment horizontal="left" indent="2"/>
    </xf>
    <xf numFmtId="15" fontId="37" fillId="0" borderId="0" xfId="0" applyNumberFormat="1" applyFont="1" applyBorder="1" applyAlignment="1" applyProtection="1">
      <alignment horizontal="left" wrapText="1" indent="3"/>
    </xf>
    <xf numFmtId="170" fontId="24" fillId="0" borderId="0" xfId="4" applyNumberFormat="1" applyFont="1" applyBorder="1" applyAlignment="1" applyProtection="1">
      <alignment horizontal="left" indent="2"/>
    </xf>
    <xf numFmtId="171" fontId="0" fillId="0" borderId="0" xfId="0" quotePrefix="1" applyNumberFormat="1" applyFont="1" applyBorder="1" applyAlignment="1">
      <alignment horizontal="left"/>
    </xf>
    <xf numFmtId="3" fontId="31" fillId="0" borderId="0" xfId="0" applyNumberFormat="1" applyFont="1"/>
    <xf numFmtId="3" fontId="57" fillId="0" borderId="0" xfId="0" applyNumberFormat="1" applyFont="1" applyAlignment="1">
      <alignment horizontal="center"/>
    </xf>
    <xf numFmtId="0" fontId="54" fillId="0" borderId="0" xfId="6" applyNumberFormat="1" applyFont="1" applyFill="1" applyBorder="1" applyAlignment="1" applyProtection="1">
      <alignment horizontal="center" vertical="top"/>
    </xf>
    <xf numFmtId="15" fontId="58" fillId="0" borderId="0" xfId="6" applyNumberFormat="1" applyFont="1" applyFill="1" applyBorder="1" applyAlignment="1" applyProtection="1">
      <alignment horizontal="center" vertical="center"/>
    </xf>
    <xf numFmtId="171" fontId="0" fillId="0" borderId="0" xfId="0" applyNumberFormat="1" applyFont="1" applyBorder="1" applyAlignment="1">
      <alignment horizontal="center"/>
    </xf>
    <xf numFmtId="3" fontId="18" fillId="0" borderId="1" xfId="5" applyNumberFormat="1" applyFont="1" applyFill="1" applyBorder="1" applyAlignment="1" applyProtection="1">
      <alignment horizontal="center" vertical="center" wrapText="1"/>
      <protection locked="0"/>
    </xf>
    <xf numFmtId="0" fontId="18" fillId="0" borderId="1" xfId="5" applyNumberFormat="1" applyFont="1" applyFill="1" applyBorder="1" applyAlignment="1" applyProtection="1">
      <alignment horizontal="center" vertical="center" wrapText="1"/>
      <protection locked="0"/>
    </xf>
    <xf numFmtId="3" fontId="18" fillId="0" borderId="1" xfId="5" applyNumberFormat="1" applyFont="1" applyFill="1" applyBorder="1" applyAlignment="1" applyProtection="1">
      <alignment horizontal="center" vertical="top" wrapText="1"/>
      <protection locked="0"/>
    </xf>
    <xf numFmtId="3" fontId="2" fillId="0" borderId="1" xfId="0" applyNumberFormat="1" applyFont="1" applyFill="1" applyBorder="1" applyAlignment="1">
      <alignment vertical="center"/>
    </xf>
    <xf numFmtId="0" fontId="60" fillId="0" borderId="1" xfId="0" applyFont="1" applyFill="1" applyBorder="1" applyAlignment="1" applyProtection="1">
      <alignment horizontal="center" vertical="center" wrapText="1"/>
    </xf>
    <xf numFmtId="0" fontId="30" fillId="0" borderId="1" xfId="0" applyFont="1" applyBorder="1" applyAlignment="1" applyProtection="1">
      <alignment horizontal="center" wrapText="1"/>
    </xf>
    <xf numFmtId="0" fontId="7" fillId="0" borderId="0" xfId="0" applyFont="1" applyBorder="1" applyAlignment="1" applyProtection="1">
      <alignment horizontal="centerContinuous" vertical="center"/>
    </xf>
    <xf numFmtId="3" fontId="3" fillId="0" borderId="3" xfId="0" applyNumberFormat="1" applyFont="1" applyBorder="1" applyAlignment="1" applyProtection="1">
      <alignment vertical="center"/>
    </xf>
    <xf numFmtId="3" fontId="2" fillId="0" borderId="1" xfId="0" applyNumberFormat="1" applyFont="1" applyBorder="1" applyAlignment="1" applyProtection="1">
      <alignment horizontal="right"/>
      <protection locked="0"/>
    </xf>
    <xf numFmtId="0" fontId="4" fillId="0" borderId="0" xfId="0" applyFont="1" applyBorder="1" applyAlignment="1" applyProtection="1">
      <alignment horizontal="center" vertical="center" wrapText="1"/>
    </xf>
    <xf numFmtId="0" fontId="34" fillId="0" borderId="0" xfId="6" applyNumberFormat="1" applyFont="1" applyFill="1" applyBorder="1" applyAlignment="1" applyProtection="1">
      <alignment horizontal="center" vertical="center"/>
    </xf>
    <xf numFmtId="0" fontId="18" fillId="0" borderId="1" xfId="6" applyNumberFormat="1" applyFont="1" applyFill="1" applyBorder="1" applyAlignment="1" applyProtection="1">
      <alignment horizontal="center" vertical="center" wrapText="1"/>
    </xf>
    <xf numFmtId="9" fontId="2" fillId="0" borderId="1" xfId="0" applyNumberFormat="1" applyFont="1" applyBorder="1" applyAlignment="1" applyProtection="1">
      <alignment vertical="center"/>
    </xf>
    <xf numFmtId="1" fontId="8" fillId="0" borderId="1" xfId="0" applyNumberFormat="1" applyFont="1" applyBorder="1" applyAlignment="1" applyProtection="1">
      <alignment vertical="center"/>
    </xf>
    <xf numFmtId="9" fontId="8" fillId="0" borderId="1" xfId="0" applyNumberFormat="1" applyFont="1" applyBorder="1" applyAlignment="1" applyProtection="1">
      <alignment vertical="center"/>
    </xf>
    <xf numFmtId="9" fontId="2" fillId="0" borderId="1" xfId="0" applyNumberFormat="1" applyFont="1" applyBorder="1" applyProtection="1"/>
    <xf numFmtId="3" fontId="6" fillId="0" borderId="1" xfId="0" applyNumberFormat="1" applyFont="1" applyBorder="1" applyAlignment="1" applyProtection="1">
      <alignment horizontal="center" vertical="center" wrapText="1"/>
    </xf>
    <xf numFmtId="3" fontId="21" fillId="0" borderId="1" xfId="4" applyNumberFormat="1" applyFont="1" applyFill="1" applyBorder="1" applyAlignment="1" applyProtection="1">
      <alignment horizontal="center" vertical="center" wrapText="1"/>
    </xf>
    <xf numFmtId="0" fontId="37" fillId="0" borderId="1" xfId="0" applyFont="1" applyFill="1" applyBorder="1" applyAlignment="1" applyProtection="1">
      <alignment horizontal="left" vertical="center" wrapText="1" indent="1"/>
    </xf>
    <xf numFmtId="0" fontId="37" fillId="0" borderId="1" xfId="0" applyFont="1" applyFill="1" applyBorder="1" applyAlignment="1" applyProtection="1">
      <alignment horizontal="left" vertical="center" indent="1"/>
    </xf>
    <xf numFmtId="0" fontId="21" fillId="0" borderId="1" xfId="0" applyFont="1" applyBorder="1" applyAlignment="1" applyProtection="1">
      <alignment horizontal="left" vertical="center" wrapText="1" indent="1"/>
    </xf>
    <xf numFmtId="0" fontId="21" fillId="0" borderId="1" xfId="0" applyFont="1" applyFill="1" applyBorder="1" applyAlignment="1" applyProtection="1">
      <alignment horizontal="left" vertical="center" wrapText="1" indent="1"/>
    </xf>
    <xf numFmtId="9" fontId="34" fillId="0" borderId="0" xfId="3" applyFont="1" applyFill="1" applyBorder="1" applyAlignment="1" applyProtection="1">
      <alignment horizontal="center" vertical="center"/>
    </xf>
    <xf numFmtId="9" fontId="35" fillId="0" borderId="1" xfId="3" applyFont="1" applyFill="1" applyBorder="1" applyAlignment="1" applyProtection="1">
      <alignment horizontal="center" vertical="center" wrapText="1"/>
    </xf>
    <xf numFmtId="9" fontId="18" fillId="0" borderId="0" xfId="3" applyFont="1" applyFill="1" applyBorder="1" applyAlignment="1" applyProtection="1">
      <alignment vertical="top"/>
    </xf>
    <xf numFmtId="9" fontId="18" fillId="0" borderId="1" xfId="3" applyFont="1" applyFill="1" applyBorder="1" applyAlignment="1" applyProtection="1">
      <alignment horizontal="center" vertical="center" wrapText="1"/>
    </xf>
    <xf numFmtId="172" fontId="35" fillId="0" borderId="1" xfId="3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>
      <alignment horizontal="left" vertical="center" indent="2"/>
    </xf>
    <xf numFmtId="0" fontId="3" fillId="0" borderId="1" xfId="0" applyFont="1" applyFill="1" applyBorder="1" applyAlignment="1">
      <alignment horizontal="left" vertical="center" indent="2"/>
    </xf>
    <xf numFmtId="0" fontId="3" fillId="0" borderId="1" xfId="0" applyFont="1" applyBorder="1" applyAlignment="1">
      <alignment horizontal="left" vertical="center" indent="2"/>
    </xf>
    <xf numFmtId="0" fontId="3" fillId="0" borderId="1" xfId="0" quotePrefix="1" applyFont="1" applyBorder="1" applyAlignment="1">
      <alignment horizontal="left" vertical="center" indent="2"/>
    </xf>
    <xf numFmtId="0" fontId="6" fillId="0" borderId="1" xfId="0" quotePrefix="1" applyFont="1" applyBorder="1" applyAlignment="1">
      <alignment horizontal="left" vertical="center" indent="2"/>
    </xf>
    <xf numFmtId="3" fontId="57" fillId="3" borderId="1" xfId="0" applyNumberFormat="1" applyFont="1" applyFill="1" applyBorder="1" applyAlignment="1" applyProtection="1">
      <alignment horizontal="center" vertical="center" wrapText="1"/>
    </xf>
    <xf numFmtId="3" fontId="63" fillId="3" borderId="1" xfId="0" applyNumberFormat="1" applyFont="1" applyFill="1" applyBorder="1" applyAlignment="1" applyProtection="1">
      <alignment horizontal="center" vertical="center" wrapText="1"/>
    </xf>
    <xf numFmtId="9" fontId="63" fillId="3" borderId="1" xfId="3" applyFont="1" applyFill="1" applyBorder="1" applyAlignment="1" applyProtection="1">
      <alignment horizontal="center" vertical="center" wrapText="1"/>
    </xf>
    <xf numFmtId="3" fontId="56" fillId="3" borderId="1" xfId="0" applyNumberFormat="1" applyFont="1" applyFill="1" applyBorder="1" applyAlignment="1" applyProtection="1">
      <alignment horizontal="center" vertical="center" wrapText="1"/>
    </xf>
    <xf numFmtId="3" fontId="31" fillId="3" borderId="1" xfId="0" applyNumberFormat="1" applyFont="1" applyFill="1" applyBorder="1" applyAlignment="1" applyProtection="1">
      <alignment horizontal="center" vertical="center" wrapText="1"/>
    </xf>
    <xf numFmtId="3" fontId="6" fillId="0" borderId="0" xfId="0" quotePrefix="1" applyNumberFormat="1" applyFont="1" applyBorder="1" applyAlignment="1">
      <alignment horizontal="left"/>
    </xf>
    <xf numFmtId="0" fontId="4" fillId="0" borderId="0" xfId="0" applyFont="1" applyBorder="1" applyAlignment="1">
      <alignment horizontal="centerContinuous" vertical="center"/>
    </xf>
    <xf numFmtId="3" fontId="18" fillId="0" borderId="1" xfId="5" applyNumberFormat="1" applyFont="1" applyFill="1" applyBorder="1" applyAlignment="1" applyProtection="1">
      <alignment horizontal="center" vertical="center" wrapText="1"/>
    </xf>
    <xf numFmtId="0" fontId="18" fillId="0" borderId="1" xfId="5" applyNumberFormat="1" applyFont="1" applyFill="1" applyBorder="1" applyAlignment="1" applyProtection="1">
      <alignment horizontal="center" vertical="center" wrapText="1"/>
    </xf>
    <xf numFmtId="0" fontId="18" fillId="0" borderId="1" xfId="5" applyNumberFormat="1" applyFont="1" applyFill="1" applyBorder="1" applyAlignment="1" applyProtection="1">
      <alignment vertical="center" wrapText="1"/>
    </xf>
    <xf numFmtId="0" fontId="18" fillId="0" borderId="0" xfId="5" applyNumberFormat="1" applyFont="1" applyFill="1" applyBorder="1" applyAlignment="1" applyProtection="1">
      <alignment vertical="center" wrapText="1"/>
    </xf>
    <xf numFmtId="0" fontId="30" fillId="0" borderId="1" xfId="0" applyFont="1" applyFill="1" applyBorder="1" applyAlignment="1" applyProtection="1">
      <alignment horizontal="left" vertical="center" wrapText="1" indent="2"/>
    </xf>
    <xf numFmtId="3" fontId="3" fillId="0" borderId="1" xfId="0" applyNumberFormat="1" applyFont="1" applyBorder="1" applyAlignment="1">
      <alignment horizontal="left" vertical="center" wrapText="1" indent="1"/>
    </xf>
    <xf numFmtId="3" fontId="5" fillId="0" borderId="1" xfId="0" applyNumberFormat="1" applyFont="1" applyBorder="1" applyAlignment="1">
      <alignment horizontal="left" vertical="center" indent="1"/>
    </xf>
    <xf numFmtId="3" fontId="5" fillId="0" borderId="1" xfId="0" applyNumberFormat="1" applyFont="1" applyBorder="1" applyAlignment="1" applyProtection="1">
      <alignment vertical="center"/>
      <protection hidden="1"/>
    </xf>
    <xf numFmtId="3" fontId="3" fillId="0" borderId="1" xfId="0" applyNumberFormat="1" applyFont="1" applyBorder="1" applyAlignment="1" applyProtection="1">
      <alignment vertical="center"/>
      <protection hidden="1"/>
    </xf>
    <xf numFmtId="168" fontId="3" fillId="0" borderId="1" xfId="0" applyNumberFormat="1" applyFont="1" applyBorder="1" applyAlignment="1" applyProtection="1">
      <alignment vertical="center"/>
      <protection hidden="1"/>
    </xf>
    <xf numFmtId="3" fontId="18" fillId="3" borderId="5" xfId="0" applyNumberFormat="1" applyFont="1" applyFill="1" applyBorder="1" applyAlignment="1" applyProtection="1">
      <alignment horizontal="center" vertical="center" wrapText="1"/>
    </xf>
    <xf numFmtId="3" fontId="31" fillId="0" borderId="3" xfId="0" applyNumberFormat="1" applyFont="1" applyBorder="1" applyAlignment="1" applyProtection="1">
      <alignment vertical="center"/>
    </xf>
    <xf numFmtId="3" fontId="15" fillId="3" borderId="1" xfId="0" applyNumberFormat="1" applyFont="1" applyFill="1" applyBorder="1" applyAlignment="1" applyProtection="1">
      <alignment horizontal="center" vertical="center" wrapText="1"/>
    </xf>
    <xf numFmtId="0" fontId="34" fillId="5" borderId="1" xfId="6" applyNumberFormat="1" applyFont="1" applyFill="1" applyBorder="1" applyAlignment="1" applyProtection="1">
      <alignment horizontal="left" vertical="center" wrapText="1" indent="2"/>
    </xf>
    <xf numFmtId="0" fontId="53" fillId="5" borderId="1" xfId="6" applyNumberFormat="1" applyFont="1" applyFill="1" applyBorder="1" applyAlignment="1" applyProtection="1">
      <alignment horizontal="left" vertical="center" wrapText="1" indent="4"/>
    </xf>
    <xf numFmtId="0" fontId="35" fillId="5" borderId="1" xfId="6" applyNumberFormat="1" applyFont="1" applyFill="1" applyBorder="1" applyAlignment="1" applyProtection="1">
      <alignment horizontal="left" vertical="center" wrapText="1" indent="1"/>
    </xf>
    <xf numFmtId="0" fontId="35" fillId="0" borderId="1" xfId="6" applyNumberFormat="1" applyFont="1" applyFill="1" applyBorder="1" applyAlignment="1" applyProtection="1">
      <alignment horizontal="left" vertical="center" wrapText="1" indent="1"/>
    </xf>
    <xf numFmtId="3" fontId="31" fillId="0" borderId="1" xfId="0" applyNumberFormat="1" applyFont="1" applyFill="1" applyBorder="1" applyAlignment="1">
      <alignment horizontal="center" vertical="center" wrapText="1"/>
    </xf>
    <xf numFmtId="0" fontId="66" fillId="0" borderId="0" xfId="0" applyFont="1" applyProtection="1"/>
    <xf numFmtId="166" fontId="66" fillId="0" borderId="0" xfId="4" applyFont="1" applyBorder="1" applyProtection="1"/>
    <xf numFmtId="0" fontId="66" fillId="0" borderId="0" xfId="0" applyFont="1" applyAlignment="1" applyProtection="1">
      <alignment vertical="center"/>
    </xf>
    <xf numFmtId="166" fontId="66" fillId="0" borderId="0" xfId="4" applyFont="1" applyBorder="1" applyAlignment="1" applyProtection="1">
      <alignment vertical="center"/>
    </xf>
    <xf numFmtId="0" fontId="49" fillId="0" borderId="0" xfId="0" applyFont="1" applyFill="1" applyAlignment="1" applyProtection="1">
      <alignment vertical="center"/>
    </xf>
    <xf numFmtId="3" fontId="67" fillId="0" borderId="0" xfId="0" applyNumberFormat="1" applyFont="1" applyProtection="1"/>
    <xf numFmtId="166" fontId="67" fillId="0" borderId="0" xfId="4" applyFont="1" applyBorder="1" applyProtection="1"/>
    <xf numFmtId="0" fontId="67" fillId="0" borderId="0" xfId="0" applyFont="1" applyProtection="1"/>
    <xf numFmtId="0" fontId="67" fillId="0" borderId="0" xfId="0" applyFont="1" applyAlignment="1" applyProtection="1">
      <alignment vertical="center"/>
    </xf>
    <xf numFmtId="166" fontId="67" fillId="0" borderId="0" xfId="4" applyFont="1" applyBorder="1" applyAlignment="1" applyProtection="1">
      <alignment vertical="center"/>
    </xf>
    <xf numFmtId="170" fontId="67" fillId="0" borderId="0" xfId="4" applyNumberFormat="1" applyFont="1" applyAlignment="1" applyProtection="1">
      <alignment vertical="center"/>
    </xf>
    <xf numFmtId="3" fontId="66" fillId="0" borderId="0" xfId="0" applyNumberFormat="1" applyFont="1" applyAlignment="1" applyProtection="1">
      <alignment vertical="center"/>
    </xf>
    <xf numFmtId="0" fontId="66" fillId="0" borderId="0" xfId="0" applyFont="1" applyFill="1" applyAlignment="1" applyProtection="1">
      <alignment vertical="center"/>
    </xf>
    <xf numFmtId="166" fontId="66" fillId="0" borderId="0" xfId="4" applyFont="1" applyFill="1" applyBorder="1" applyAlignment="1" applyProtection="1">
      <alignment vertical="center"/>
    </xf>
    <xf numFmtId="3" fontId="66" fillId="0" borderId="0" xfId="0" applyNumberFormat="1" applyFont="1" applyFill="1" applyAlignment="1" applyProtection="1">
      <alignment vertical="center"/>
    </xf>
    <xf numFmtId="0" fontId="68" fillId="0" borderId="0" xfId="0" applyFont="1" applyFill="1" applyAlignment="1" applyProtection="1">
      <alignment vertical="center"/>
    </xf>
    <xf numFmtId="166" fontId="68" fillId="0" borderId="0" xfId="4" applyFont="1" applyFill="1" applyBorder="1" applyAlignment="1" applyProtection="1">
      <alignment vertical="center"/>
    </xf>
    <xf numFmtId="3" fontId="68" fillId="0" borderId="0" xfId="0" applyNumberFormat="1" applyFont="1" applyFill="1" applyAlignment="1" applyProtection="1">
      <alignment vertical="center"/>
    </xf>
    <xf numFmtId="0" fontId="68" fillId="0" borderId="0" xfId="0" applyFont="1" applyAlignment="1" applyProtection="1">
      <alignment vertical="center"/>
    </xf>
    <xf numFmtId="166" fontId="68" fillId="0" borderId="0" xfId="4" applyFont="1" applyBorder="1" applyAlignment="1" applyProtection="1">
      <alignment vertical="center"/>
    </xf>
    <xf numFmtId="0" fontId="69" fillId="0" borderId="0" xfId="0" applyFont="1"/>
    <xf numFmtId="0" fontId="69" fillId="0" borderId="0" xfId="0" applyFont="1" applyAlignment="1">
      <alignment vertical="center"/>
    </xf>
    <xf numFmtId="3" fontId="69" fillId="0" borderId="0" xfId="0" applyNumberFormat="1" applyFont="1" applyAlignment="1">
      <alignment vertical="center"/>
    </xf>
    <xf numFmtId="0" fontId="18" fillId="0" borderId="0" xfId="0" applyFont="1"/>
    <xf numFmtId="0" fontId="70" fillId="0" borderId="0" xfId="0" applyFont="1"/>
    <xf numFmtId="0" fontId="62" fillId="0" borderId="0" xfId="0" applyFont="1"/>
    <xf numFmtId="49" fontId="34" fillId="6" borderId="1" xfId="5" applyNumberFormat="1" applyFont="1" applyFill="1" applyBorder="1" applyAlignment="1" applyProtection="1">
      <alignment horizontal="center" vertical="center" wrapText="1"/>
    </xf>
    <xf numFmtId="0" fontId="34" fillId="6" borderId="1" xfId="5" applyNumberFormat="1" applyFont="1" applyFill="1" applyBorder="1" applyAlignment="1" applyProtection="1">
      <alignment horizontal="center" vertical="center" wrapText="1"/>
    </xf>
    <xf numFmtId="3" fontId="34" fillId="6" borderId="1" xfId="5" applyNumberFormat="1" applyFont="1" applyFill="1" applyBorder="1" applyAlignment="1" applyProtection="1">
      <alignment horizontal="center" vertical="center" wrapText="1"/>
    </xf>
    <xf numFmtId="49" fontId="18" fillId="6" borderId="1" xfId="5" applyNumberFormat="1" applyFont="1" applyFill="1" applyBorder="1" applyAlignment="1" applyProtection="1">
      <alignment horizontal="center" vertical="center" wrapText="1"/>
    </xf>
    <xf numFmtId="0" fontId="15" fillId="6" borderId="1" xfId="5" applyNumberFormat="1" applyFont="1" applyFill="1" applyBorder="1" applyAlignment="1" applyProtection="1">
      <alignment horizontal="center" vertical="center" wrapText="1"/>
    </xf>
    <xf numFmtId="3" fontId="18" fillId="6" borderId="1" xfId="5" applyNumberFormat="1" applyFont="1" applyFill="1" applyBorder="1" applyAlignment="1" applyProtection="1">
      <alignment horizontal="center" vertical="center" wrapText="1"/>
    </xf>
    <xf numFmtId="3" fontId="14" fillId="3" borderId="1" xfId="0" applyNumberFormat="1" applyFont="1" applyFill="1" applyBorder="1" applyProtection="1"/>
    <xf numFmtId="3" fontId="14" fillId="0" borderId="1" xfId="0" applyNumberFormat="1" applyFont="1" applyBorder="1" applyAlignment="1" applyProtection="1">
      <alignment vertical="center"/>
    </xf>
    <xf numFmtId="3" fontId="14" fillId="0" borderId="1" xfId="0" applyNumberFormat="1" applyFont="1" applyBorder="1" applyAlignment="1" applyProtection="1">
      <alignment vertical="center"/>
      <protection locked="0"/>
    </xf>
    <xf numFmtId="3" fontId="14" fillId="3" borderId="1" xfId="0" applyNumberFormat="1" applyFont="1" applyFill="1" applyBorder="1" applyAlignment="1" applyProtection="1">
      <alignment vertical="center"/>
    </xf>
    <xf numFmtId="3" fontId="14" fillId="3" borderId="1" xfId="0" applyNumberFormat="1" applyFont="1" applyFill="1" applyBorder="1" applyAlignment="1" applyProtection="1">
      <alignment vertical="center"/>
      <protection locked="0"/>
    </xf>
    <xf numFmtId="3" fontId="14" fillId="3" borderId="1" xfId="0" applyNumberFormat="1" applyFont="1" applyFill="1" applyBorder="1" applyAlignment="1" applyProtection="1">
      <alignment horizontal="center" vertical="center" textRotation="90" wrapText="1"/>
    </xf>
    <xf numFmtId="0" fontId="73" fillId="0" borderId="0" xfId="0" applyFont="1" applyAlignment="1" applyProtection="1">
      <alignment vertical="center"/>
    </xf>
    <xf numFmtId="3" fontId="37" fillId="0" borderId="1" xfId="4" applyNumberFormat="1" applyFont="1" applyFill="1" applyBorder="1" applyAlignment="1" applyProtection="1">
      <alignment horizontal="center"/>
      <protection locked="0"/>
    </xf>
    <xf numFmtId="166" fontId="73" fillId="0" borderId="0" xfId="4" applyFont="1" applyBorder="1" applyAlignment="1" applyProtection="1">
      <alignment vertical="center"/>
    </xf>
    <xf numFmtId="3" fontId="73" fillId="0" borderId="1" xfId="4" applyNumberFormat="1" applyFont="1" applyFill="1" applyBorder="1" applyAlignment="1" applyProtection="1">
      <alignment horizontal="center"/>
    </xf>
    <xf numFmtId="3" fontId="48" fillId="0" borderId="0" xfId="0" applyNumberFormat="1" applyFont="1" applyBorder="1" applyAlignment="1">
      <alignment horizontal="center"/>
    </xf>
    <xf numFmtId="0" fontId="54" fillId="0" borderId="0" xfId="5" applyNumberFormat="1" applyFont="1" applyFill="1" applyBorder="1" applyAlignment="1" applyProtection="1">
      <alignment horizontal="center" vertical="center"/>
    </xf>
    <xf numFmtId="3" fontId="52" fillId="3" borderId="5" xfId="0" applyNumberFormat="1" applyFont="1" applyFill="1" applyBorder="1" applyAlignment="1" applyProtection="1">
      <alignment horizontal="center" vertical="center" wrapText="1"/>
    </xf>
    <xf numFmtId="3" fontId="8" fillId="0" borderId="10" xfId="0" applyNumberFormat="1" applyFont="1" applyBorder="1"/>
    <xf numFmtId="3" fontId="8" fillId="0" borderId="0" xfId="0" applyNumberFormat="1" applyFont="1" applyBorder="1"/>
    <xf numFmtId="3" fontId="4" fillId="0" borderId="0" xfId="0" applyNumberFormat="1" applyFont="1" applyBorder="1"/>
    <xf numFmtId="171" fontId="12" fillId="0" borderId="10" xfId="0" applyNumberFormat="1" applyFont="1" applyBorder="1" applyAlignment="1">
      <alignment horizontal="centerContinuous"/>
    </xf>
    <xf numFmtId="0" fontId="43" fillId="0" borderId="0" xfId="0" applyFont="1" applyBorder="1"/>
    <xf numFmtId="3" fontId="76" fillId="0" borderId="0" xfId="0" applyNumberFormat="1" applyFont="1" applyBorder="1" applyAlignment="1">
      <alignment horizontal="centerContinuous"/>
    </xf>
    <xf numFmtId="3" fontId="77" fillId="0" borderId="0" xfId="0" applyNumberFormat="1" applyFont="1" applyBorder="1" applyAlignment="1">
      <alignment horizontal="centerContinuous"/>
    </xf>
    <xf numFmtId="0" fontId="77" fillId="0" borderId="0" xfId="0" applyFont="1" applyBorder="1"/>
    <xf numFmtId="3" fontId="76" fillId="0" borderId="0" xfId="0" applyNumberFormat="1" applyFont="1" applyBorder="1" applyAlignment="1">
      <alignment horizontal="center"/>
    </xf>
    <xf numFmtId="0" fontId="78" fillId="0" borderId="0" xfId="0" applyFont="1"/>
    <xf numFmtId="0" fontId="77" fillId="0" borderId="0" xfId="0" applyFont="1"/>
    <xf numFmtId="0" fontId="79" fillId="0" borderId="0" xfId="5" applyNumberFormat="1" applyFont="1" applyFill="1" applyBorder="1" applyAlignment="1" applyProtection="1">
      <alignment horizontal="right" vertical="top" indent="2"/>
    </xf>
    <xf numFmtId="0" fontId="80" fillId="0" borderId="0" xfId="5" applyNumberFormat="1" applyFont="1" applyFill="1" applyBorder="1" applyAlignment="1" applyProtection="1">
      <alignment vertical="top"/>
    </xf>
    <xf numFmtId="3" fontId="80" fillId="0" borderId="0" xfId="5" applyNumberFormat="1" applyFont="1" applyFill="1" applyBorder="1" applyAlignment="1" applyProtection="1">
      <alignment vertical="top"/>
    </xf>
    <xf numFmtId="0" fontId="82" fillId="5" borderId="1" xfId="6" applyNumberFormat="1" applyFont="1" applyFill="1" applyBorder="1" applyAlignment="1" applyProtection="1">
      <alignment horizontal="center" vertical="center" wrapText="1"/>
    </xf>
    <xf numFmtId="0" fontId="82" fillId="5" borderId="1" xfId="6" applyNumberFormat="1" applyFont="1" applyFill="1" applyBorder="1" applyAlignment="1" applyProtection="1">
      <alignment horizontal="left" vertical="center" wrapText="1" indent="2"/>
    </xf>
    <xf numFmtId="9" fontId="64" fillId="5" borderId="1" xfId="3" applyFont="1" applyFill="1" applyBorder="1" applyAlignment="1" applyProtection="1">
      <alignment horizontal="center" vertical="center" wrapText="1"/>
      <protection locked="0"/>
    </xf>
    <xf numFmtId="0" fontId="64" fillId="0" borderId="0" xfId="6" applyNumberFormat="1" applyFont="1" applyFill="1" applyBorder="1" applyAlignment="1" applyProtection="1">
      <alignment horizontal="center" vertical="center"/>
    </xf>
    <xf numFmtId="0" fontId="64" fillId="0" borderId="0" xfId="6" applyNumberFormat="1" applyFont="1" applyFill="1" applyBorder="1" applyAlignment="1" applyProtection="1">
      <alignment vertical="center"/>
    </xf>
    <xf numFmtId="0" fontId="83" fillId="5" borderId="1" xfId="6" applyNumberFormat="1" applyFont="1" applyFill="1" applyBorder="1" applyAlignment="1" applyProtection="1">
      <alignment horizontal="left" vertical="center" wrapText="1" indent="1"/>
    </xf>
    <xf numFmtId="173" fontId="18" fillId="0" borderId="1" xfId="6" applyNumberFormat="1" applyFont="1" applyFill="1" applyBorder="1" applyAlignment="1" applyProtection="1">
      <alignment horizontal="center" vertical="center" wrapText="1"/>
    </xf>
    <xf numFmtId="173" fontId="18" fillId="0" borderId="1" xfId="6" applyNumberFormat="1" applyFont="1" applyFill="1" applyBorder="1" applyAlignment="1" applyProtection="1">
      <alignment horizontal="center" vertical="center" wrapText="1"/>
      <protection locked="0"/>
    </xf>
    <xf numFmtId="173" fontId="15" fillId="0" borderId="1" xfId="6" applyNumberFormat="1" applyFont="1" applyFill="1" applyBorder="1" applyAlignment="1" applyProtection="1">
      <alignment horizontal="center" vertical="center" wrapText="1"/>
    </xf>
    <xf numFmtId="172" fontId="34" fillId="0" borderId="1" xfId="3" applyNumberFormat="1" applyFont="1" applyFill="1" applyBorder="1" applyAlignment="1" applyProtection="1">
      <alignment horizontal="center" vertical="center" wrapText="1"/>
    </xf>
    <xf numFmtId="3" fontId="0" fillId="0" borderId="1" xfId="0" applyNumberFormat="1" applyFont="1" applyFill="1" applyBorder="1" applyAlignment="1" applyProtection="1">
      <alignment horizontal="center" vertical="center" wrapText="1"/>
      <protection locked="0"/>
    </xf>
    <xf numFmtId="3" fontId="0" fillId="0" borderId="1" xfId="0" applyNumberFormat="1" applyFont="1" applyFill="1" applyBorder="1" applyAlignment="1" applyProtection="1">
      <alignment vertical="center"/>
    </xf>
    <xf numFmtId="3" fontId="0" fillId="0" borderId="1" xfId="0" applyNumberFormat="1" applyFont="1" applyFill="1" applyBorder="1" applyAlignment="1">
      <alignment horizontal="right" vertical="center" wrapText="1"/>
    </xf>
    <xf numFmtId="9" fontId="8" fillId="0" borderId="1" xfId="3" applyFont="1" applyBorder="1" applyAlignment="1" applyProtection="1">
      <alignment horizontal="right" vertical="center"/>
      <protection locked="0"/>
    </xf>
    <xf numFmtId="9" fontId="14" fillId="0" borderId="1" xfId="3" applyFont="1" applyBorder="1" applyAlignment="1" applyProtection="1">
      <alignment vertical="center"/>
      <protection locked="0"/>
    </xf>
    <xf numFmtId="9" fontId="14" fillId="3" borderId="1" xfId="3" applyFont="1" applyFill="1" applyBorder="1" applyAlignment="1" applyProtection="1">
      <alignment vertical="center"/>
      <protection locked="0"/>
    </xf>
    <xf numFmtId="9" fontId="14" fillId="3" borderId="1" xfId="3" applyFont="1" applyFill="1" applyBorder="1" applyAlignment="1" applyProtection="1">
      <alignment vertical="center"/>
    </xf>
    <xf numFmtId="9" fontId="14" fillId="0" borderId="1" xfId="3" applyFont="1" applyBorder="1" applyAlignment="1" applyProtection="1">
      <alignment vertical="center"/>
    </xf>
    <xf numFmtId="3" fontId="84" fillId="0" borderId="0" xfId="5" applyNumberFormat="1" applyFont="1" applyFill="1" applyBorder="1" applyAlignment="1" applyProtection="1">
      <alignment vertical="top"/>
    </xf>
    <xf numFmtId="3" fontId="18" fillId="3" borderId="1" xfId="0" applyNumberFormat="1" applyFont="1" applyFill="1" applyBorder="1" applyAlignment="1" applyProtection="1">
      <alignment horizontal="center" vertical="center" wrapText="1"/>
    </xf>
    <xf numFmtId="3" fontId="22" fillId="5" borderId="1" xfId="8" applyNumberFormat="1" applyFont="1" applyFill="1" applyBorder="1" applyAlignment="1" applyProtection="1">
      <alignment horizontal="center" vertical="center" wrapText="1"/>
      <protection locked="0"/>
    </xf>
    <xf numFmtId="173" fontId="19" fillId="5" borderId="1" xfId="8" applyNumberFormat="1" applyFont="1" applyFill="1" applyBorder="1" applyAlignment="1" applyProtection="1">
      <alignment horizontal="center" vertical="center" wrapText="1"/>
    </xf>
    <xf numFmtId="172" fontId="19" fillId="5" borderId="1" xfId="3" applyNumberFormat="1" applyFont="1" applyFill="1" applyBorder="1" applyAlignment="1" applyProtection="1">
      <alignment horizontal="center" vertical="center" wrapText="1"/>
    </xf>
    <xf numFmtId="3" fontId="18" fillId="3" borderId="5" xfId="0" applyNumberFormat="1" applyFont="1" applyFill="1" applyBorder="1" applyAlignment="1" applyProtection="1">
      <alignment horizontal="center" vertical="center" wrapText="1"/>
    </xf>
    <xf numFmtId="0" fontId="85" fillId="0" borderId="0" xfId="6" applyNumberFormat="1" applyFont="1" applyFill="1" applyBorder="1" applyAlignment="1" applyProtection="1">
      <alignment horizontal="center" vertical="top"/>
    </xf>
    <xf numFmtId="0" fontId="85" fillId="0" borderId="0" xfId="6" applyNumberFormat="1" applyFont="1" applyFill="1" applyBorder="1" applyAlignment="1" applyProtection="1">
      <alignment vertical="top"/>
    </xf>
    <xf numFmtId="173" fontId="85" fillId="0" borderId="0" xfId="6" applyNumberFormat="1" applyFont="1" applyFill="1" applyBorder="1" applyAlignment="1" applyProtection="1">
      <alignment horizontal="center" vertical="top"/>
    </xf>
    <xf numFmtId="170" fontId="18" fillId="0" borderId="0" xfId="4" applyNumberFormat="1" applyFont="1" applyFill="1" applyBorder="1" applyAlignment="1" applyProtection="1">
      <alignment vertical="top"/>
    </xf>
    <xf numFmtId="170" fontId="85" fillId="0" borderId="0" xfId="4" applyNumberFormat="1" applyFont="1" applyFill="1" applyBorder="1" applyAlignment="1" applyProtection="1">
      <alignment horizontal="center" vertical="top"/>
    </xf>
    <xf numFmtId="0" fontId="8" fillId="0" borderId="0" xfId="0" applyFont="1" applyProtection="1"/>
    <xf numFmtId="3" fontId="22" fillId="5" borderId="1" xfId="8" applyNumberFormat="1" applyFont="1" applyFill="1" applyBorder="1" applyAlignment="1" applyProtection="1">
      <alignment horizontal="center" vertical="center" wrapText="1"/>
    </xf>
    <xf numFmtId="3" fontId="9" fillId="0" borderId="1" xfId="4" applyNumberFormat="1" applyFont="1" applyFill="1" applyBorder="1" applyAlignment="1" applyProtection="1">
      <alignment horizontal="center" vertical="center" wrapText="1"/>
    </xf>
    <xf numFmtId="3" fontId="86" fillId="0" borderId="0" xfId="0" applyNumberFormat="1" applyFont="1" applyBorder="1" applyAlignment="1">
      <alignment horizontal="center" vertical="center"/>
    </xf>
    <xf numFmtId="0" fontId="70" fillId="0" borderId="0" xfId="0" applyFont="1" applyFill="1"/>
    <xf numFmtId="0" fontId="0" fillId="0" borderId="0" xfId="0" applyFill="1"/>
    <xf numFmtId="0" fontId="2" fillId="0" borderId="0" xfId="0" applyFont="1" applyFill="1" applyAlignment="1">
      <alignment vertical="center"/>
    </xf>
    <xf numFmtId="3" fontId="56" fillId="3" borderId="5" xfId="0" applyNumberFormat="1" applyFont="1" applyFill="1" applyBorder="1" applyAlignment="1" applyProtection="1">
      <alignment horizontal="center" vertical="center" textRotation="90" wrapText="1"/>
    </xf>
    <xf numFmtId="3" fontId="56" fillId="3" borderId="5" xfId="0" applyNumberFormat="1" applyFont="1" applyFill="1" applyBorder="1" applyAlignment="1" applyProtection="1">
      <alignment horizontal="center" vertical="center" wrapText="1"/>
    </xf>
    <xf numFmtId="3" fontId="56" fillId="3" borderId="1" xfId="0" applyNumberFormat="1" applyFont="1" applyFill="1" applyBorder="1" applyAlignment="1" applyProtection="1">
      <alignment horizontal="center" vertical="center" wrapText="1"/>
    </xf>
    <xf numFmtId="3" fontId="56" fillId="3" borderId="1" xfId="0" applyNumberFormat="1" applyFont="1" applyFill="1" applyBorder="1" applyAlignment="1" applyProtection="1">
      <alignment horizontal="center" vertical="center" textRotation="90" wrapText="1"/>
    </xf>
    <xf numFmtId="49" fontId="18" fillId="0" borderId="1" xfId="5" applyNumberFormat="1" applyFont="1" applyFill="1" applyBorder="1" applyAlignment="1" applyProtection="1">
      <alignment horizontal="center" vertical="center" wrapText="1"/>
    </xf>
    <xf numFmtId="0" fontId="18" fillId="0" borderId="0" xfId="0" applyFont="1" applyFill="1"/>
    <xf numFmtId="0" fontId="39" fillId="0" borderId="0" xfId="0" applyFont="1" applyFill="1"/>
    <xf numFmtId="3" fontId="3" fillId="0" borderId="0" xfId="0" applyNumberFormat="1" applyFont="1" applyAlignment="1" applyProtection="1">
      <alignment horizontal="center"/>
    </xf>
    <xf numFmtId="3" fontId="57" fillId="0" borderId="0" xfId="0" applyNumberFormat="1" applyFont="1" applyAlignment="1" applyProtection="1">
      <alignment horizontal="center"/>
    </xf>
    <xf numFmtId="0" fontId="73" fillId="20" borderId="1" xfId="0" applyFont="1" applyFill="1" applyBorder="1" applyAlignment="1" applyProtection="1">
      <alignment horizontal="left" vertical="center" wrapText="1" indent="1"/>
    </xf>
    <xf numFmtId="0" fontId="46" fillId="0" borderId="0" xfId="10" applyNumberFormat="1" applyFont="1" applyFill="1" applyBorder="1" applyAlignment="1" applyProtection="1">
      <alignment vertical="top"/>
    </xf>
    <xf numFmtId="9" fontId="46" fillId="0" borderId="0" xfId="11" applyFont="1" applyFill="1" applyBorder="1" applyAlignment="1" applyProtection="1">
      <alignment vertical="top"/>
    </xf>
    <xf numFmtId="0" fontId="46" fillId="0" borderId="0" xfId="10" applyNumberFormat="1" applyFont="1" applyFill="1" applyBorder="1" applyAlignment="1" applyProtection="1">
      <alignment vertical="center"/>
    </xf>
    <xf numFmtId="0" fontId="45" fillId="0" borderId="9" xfId="10" applyNumberFormat="1" applyFont="1" applyFill="1" applyBorder="1" applyAlignment="1" applyProtection="1">
      <alignment vertical="center"/>
    </xf>
    <xf numFmtId="0" fontId="46" fillId="0" borderId="0" xfId="10" applyNumberFormat="1" applyFont="1" applyFill="1" applyBorder="1" applyAlignment="1" applyProtection="1">
      <alignment horizontal="center" vertical="center"/>
    </xf>
    <xf numFmtId="0" fontId="79" fillId="5" borderId="1" xfId="10" applyNumberFormat="1" applyFont="1" applyFill="1" applyBorder="1" applyAlignment="1" applyProtection="1">
      <alignment horizontal="left" vertical="center" wrapText="1" indent="2"/>
    </xf>
    <xf numFmtId="0" fontId="45" fillId="5" borderId="1" xfId="10" applyNumberFormat="1" applyFont="1" applyFill="1" applyBorder="1" applyAlignment="1" applyProtection="1">
      <alignment horizontal="left" vertical="center" wrapText="1" indent="2"/>
    </xf>
    <xf numFmtId="3" fontId="54" fillId="0" borderId="1" xfId="10" applyNumberFormat="1" applyFont="1" applyFill="1" applyBorder="1" applyAlignment="1" applyProtection="1">
      <alignment horizontal="center" vertical="center" wrapText="1"/>
    </xf>
    <xf numFmtId="172" fontId="45" fillId="0" borderId="1" xfId="11" applyNumberFormat="1" applyFont="1" applyFill="1" applyBorder="1" applyAlignment="1" applyProtection="1">
      <alignment horizontal="center" vertical="center" wrapText="1"/>
    </xf>
    <xf numFmtId="0" fontId="79" fillId="21" borderId="1" xfId="10" applyNumberFormat="1" applyFont="1" applyFill="1" applyBorder="1" applyAlignment="1" applyProtection="1">
      <alignment horizontal="center" vertical="center" wrapText="1"/>
    </xf>
    <xf numFmtId="0" fontId="79" fillId="21" borderId="1" xfId="10" applyNumberFormat="1" applyFont="1" applyFill="1" applyBorder="1" applyAlignment="1" applyProtection="1">
      <alignment horizontal="left" vertical="center" wrapText="1" indent="1"/>
    </xf>
    <xf numFmtId="172" fontId="79" fillId="0" borderId="1" xfId="11" applyNumberFormat="1" applyFont="1" applyFill="1" applyBorder="1" applyAlignment="1" applyProtection="1">
      <alignment horizontal="center" vertical="center" wrapText="1"/>
      <protection locked="0"/>
    </xf>
    <xf numFmtId="0" fontId="88" fillId="0" borderId="1" xfId="10" applyNumberFormat="1" applyFont="1" applyFill="1" applyBorder="1" applyAlignment="1" applyProtection="1">
      <alignment horizontal="center" vertical="center" wrapText="1"/>
    </xf>
    <xf numFmtId="0" fontId="88" fillId="5" borderId="1" xfId="10" applyNumberFormat="1" applyFont="1" applyFill="1" applyBorder="1" applyAlignment="1" applyProtection="1">
      <alignment horizontal="left" vertical="center" wrapText="1" indent="1"/>
    </xf>
    <xf numFmtId="0" fontId="89" fillId="0" borderId="0" xfId="10" applyNumberFormat="1" applyFont="1" applyFill="1" applyBorder="1" applyAlignment="1" applyProtection="1">
      <alignment horizontal="center" vertical="center"/>
    </xf>
    <xf numFmtId="0" fontId="79" fillId="0" borderId="1" xfId="10" applyNumberFormat="1" applyFont="1" applyFill="1" applyBorder="1" applyAlignment="1" applyProtection="1">
      <alignment horizontal="center" vertical="center" wrapText="1"/>
    </xf>
    <xf numFmtId="0" fontId="79" fillId="0" borderId="1" xfId="10" applyNumberFormat="1" applyFont="1" applyFill="1" applyBorder="1" applyAlignment="1" applyProtection="1">
      <alignment horizontal="left" vertical="center" wrapText="1" indent="1"/>
    </xf>
    <xf numFmtId="3" fontId="2" fillId="0" borderId="1" xfId="0" applyNumberFormat="1" applyFont="1" applyFill="1" applyBorder="1" applyAlignment="1">
      <alignment horizontal="left" vertical="center" wrapText="1"/>
    </xf>
    <xf numFmtId="0" fontId="37" fillId="20" borderId="1" xfId="0" applyFont="1" applyFill="1" applyBorder="1" applyAlignment="1" applyProtection="1">
      <alignment horizontal="left" vertical="center" wrapText="1" indent="1"/>
    </xf>
    <xf numFmtId="3" fontId="7" fillId="0" borderId="3" xfId="0" applyNumberFormat="1" applyFont="1" applyBorder="1" applyAlignment="1" applyProtection="1">
      <alignment vertical="center"/>
      <protection locked="0"/>
    </xf>
    <xf numFmtId="3" fontId="7" fillId="0" borderId="3" xfId="0" applyNumberFormat="1" applyFont="1" applyBorder="1" applyAlignment="1" applyProtection="1">
      <alignment vertical="center"/>
    </xf>
    <xf numFmtId="0" fontId="54" fillId="0" borderId="0" xfId="10" applyNumberFormat="1" applyFont="1" applyFill="1" applyBorder="1" applyAlignment="1" applyProtection="1">
      <alignment horizontal="center" vertical="center"/>
    </xf>
    <xf numFmtId="0" fontId="79" fillId="0" borderId="0" xfId="10" applyNumberFormat="1" applyFont="1" applyFill="1" applyBorder="1" applyAlignment="1" applyProtection="1">
      <alignment horizontal="center" vertical="center" wrapText="1"/>
    </xf>
    <xf numFmtId="0" fontId="79" fillId="0" borderId="0" xfId="10" applyNumberFormat="1" applyFont="1" applyFill="1" applyBorder="1" applyAlignment="1" applyProtection="1">
      <alignment horizontal="left" vertical="center" wrapText="1" indent="1"/>
    </xf>
    <xf numFmtId="173" fontId="46" fillId="0" borderId="0" xfId="10" applyNumberFormat="1" applyFont="1" applyFill="1" applyBorder="1" applyAlignment="1" applyProtection="1">
      <alignment horizontal="center" vertical="center" wrapText="1"/>
    </xf>
    <xf numFmtId="0" fontId="18" fillId="0" borderId="0" xfId="10" applyNumberFormat="1" applyFont="1" applyFill="1" applyBorder="1" applyAlignment="1" applyProtection="1">
      <alignment horizontal="center" vertical="top"/>
    </xf>
    <xf numFmtId="0" fontId="18" fillId="0" borderId="0" xfId="10" applyNumberFormat="1" applyFont="1" applyFill="1" applyBorder="1" applyAlignment="1" applyProtection="1">
      <alignment vertical="top"/>
    </xf>
    <xf numFmtId="0" fontId="4" fillId="0" borderId="0" xfId="0" applyFont="1" applyBorder="1" applyAlignment="1" applyProtection="1">
      <alignment horizontal="center" vertical="center" wrapText="1"/>
    </xf>
    <xf numFmtId="3" fontId="18" fillId="3" borderId="5" xfId="0" applyNumberFormat="1" applyFont="1" applyFill="1" applyBorder="1" applyAlignment="1" applyProtection="1">
      <alignment horizontal="center" vertical="center" wrapText="1"/>
    </xf>
    <xf numFmtId="3" fontId="64" fillId="3" borderId="5" xfId="0" applyNumberFormat="1" applyFont="1" applyFill="1" applyBorder="1" applyAlignment="1" applyProtection="1">
      <alignment horizontal="center" vertical="center" wrapText="1"/>
    </xf>
    <xf numFmtId="3" fontId="46" fillId="3" borderId="5" xfId="0" applyNumberFormat="1" applyFont="1" applyFill="1" applyBorder="1" applyAlignment="1" applyProtection="1">
      <alignment horizontal="center" vertical="center" wrapText="1"/>
    </xf>
    <xf numFmtId="3" fontId="46" fillId="3" borderId="1" xfId="0" applyNumberFormat="1" applyFont="1" applyFill="1" applyBorder="1" applyAlignment="1" applyProtection="1">
      <alignment horizontal="center" vertical="center" wrapText="1"/>
    </xf>
    <xf numFmtId="3" fontId="4" fillId="0" borderId="1" xfId="0" applyNumberFormat="1" applyFont="1" applyFill="1" applyBorder="1" applyAlignment="1">
      <alignment horizontal="center" vertical="center"/>
    </xf>
    <xf numFmtId="0" fontId="69" fillId="0" borderId="0" xfId="0" applyFont="1" applyFill="1" applyAlignment="1">
      <alignment vertical="center"/>
    </xf>
    <xf numFmtId="0" fontId="79" fillId="5" borderId="1" xfId="10" applyNumberFormat="1" applyFont="1" applyFill="1" applyBorder="1" applyAlignment="1" applyProtection="1">
      <alignment horizontal="left" vertical="center" wrapText="1" indent="1"/>
    </xf>
    <xf numFmtId="3" fontId="46" fillId="0" borderId="1" xfId="10" applyNumberFormat="1" applyFont="1" applyFill="1" applyBorder="1" applyAlignment="1" applyProtection="1">
      <alignment horizontal="center" vertical="center" wrapText="1"/>
    </xf>
    <xf numFmtId="3" fontId="46" fillId="0" borderId="1" xfId="10" applyNumberFormat="1" applyFont="1" applyFill="1" applyBorder="1" applyAlignment="1" applyProtection="1">
      <alignment horizontal="center" vertical="center" wrapText="1"/>
      <protection locked="0"/>
    </xf>
    <xf numFmtId="3" fontId="54" fillId="21" borderId="1" xfId="10" applyNumberFormat="1" applyFont="1" applyFill="1" applyBorder="1" applyAlignment="1" applyProtection="1">
      <alignment horizontal="center" vertical="center" wrapText="1"/>
    </xf>
    <xf numFmtId="172" fontId="45" fillId="21" borderId="1" xfId="11" applyNumberFormat="1" applyFont="1" applyFill="1" applyBorder="1" applyAlignment="1" applyProtection="1">
      <alignment horizontal="center" vertical="center" wrapText="1"/>
    </xf>
    <xf numFmtId="172" fontId="79" fillId="0" borderId="0" xfId="11" applyNumberFormat="1" applyFont="1" applyFill="1" applyBorder="1" applyAlignment="1" applyProtection="1">
      <alignment horizontal="center" vertical="center" wrapText="1"/>
    </xf>
    <xf numFmtId="0" fontId="8" fillId="0" borderId="0" xfId="0" applyFont="1" applyAlignment="1" applyProtection="1">
      <alignment vertical="center"/>
    </xf>
    <xf numFmtId="0" fontId="4" fillId="0" borderId="0" xfId="0" applyFont="1" applyBorder="1" applyProtection="1"/>
    <xf numFmtId="0" fontId="8" fillId="0" borderId="0" xfId="0" applyFont="1" applyAlignment="1" applyProtection="1">
      <alignment vertical="center"/>
      <protection locked="0"/>
    </xf>
    <xf numFmtId="0" fontId="4" fillId="0" borderId="0" xfId="0" applyFont="1" applyBorder="1" applyProtection="1">
      <protection locked="0"/>
    </xf>
    <xf numFmtId="0" fontId="8" fillId="0" borderId="0" xfId="0" applyFont="1" applyProtection="1">
      <protection locked="0"/>
    </xf>
    <xf numFmtId="0" fontId="4" fillId="0" borderId="0" xfId="0" applyFont="1" applyAlignment="1" applyProtection="1">
      <alignment horizontal="center" vertical="center" wrapText="1"/>
    </xf>
    <xf numFmtId="171" fontId="0" fillId="0" borderId="0" xfId="0" applyNumberFormat="1" applyFont="1" applyBorder="1" applyAlignment="1" applyProtection="1">
      <alignment horizontal="left" indent="2"/>
    </xf>
    <xf numFmtId="3" fontId="3" fillId="2" borderId="3" xfId="0" applyNumberFormat="1" applyFont="1" applyFill="1" applyBorder="1" applyAlignment="1" applyProtection="1">
      <alignment vertical="center"/>
    </xf>
    <xf numFmtId="3" fontId="3" fillId="0" borderId="3" xfId="0" applyNumberFormat="1" applyFont="1" applyFill="1" applyBorder="1" applyAlignment="1" applyProtection="1">
      <alignment vertical="center"/>
    </xf>
    <xf numFmtId="0" fontId="111" fillId="0" borderId="0" xfId="10" applyNumberFormat="1" applyFont="1" applyFill="1" applyBorder="1" applyAlignment="1" applyProtection="1">
      <alignment vertical="top"/>
    </xf>
    <xf numFmtId="0" fontId="111" fillId="0" borderId="0" xfId="10" applyNumberFormat="1" applyFont="1" applyFill="1" applyBorder="1" applyAlignment="1" applyProtection="1">
      <alignment vertical="center"/>
    </xf>
    <xf numFmtId="0" fontId="111" fillId="0" borderId="0" xfId="10" applyNumberFormat="1" applyFont="1" applyFill="1" applyBorder="1" applyAlignment="1" applyProtection="1">
      <alignment horizontal="center" vertical="center"/>
    </xf>
    <xf numFmtId="3" fontId="111" fillId="3" borderId="1" xfId="0" applyNumberFormat="1" applyFont="1" applyFill="1" applyBorder="1" applyAlignment="1" applyProtection="1">
      <alignment horizontal="center" vertical="center" wrapText="1"/>
    </xf>
    <xf numFmtId="3" fontId="111" fillId="0" borderId="0" xfId="10" applyNumberFormat="1" applyFont="1" applyFill="1" applyBorder="1" applyAlignment="1" applyProtection="1">
      <alignment horizontal="center" vertical="center"/>
    </xf>
    <xf numFmtId="0" fontId="112" fillId="0" borderId="0" xfId="10" applyNumberFormat="1" applyFont="1" applyFill="1" applyBorder="1" applyAlignment="1" applyProtection="1">
      <alignment horizontal="center" vertical="center"/>
    </xf>
    <xf numFmtId="0" fontId="113" fillId="0" borderId="0" xfId="10" applyNumberFormat="1" applyFont="1" applyFill="1" applyBorder="1" applyAlignment="1" applyProtection="1">
      <alignment horizontal="center" vertical="center"/>
    </xf>
    <xf numFmtId="0" fontId="87" fillId="0" borderId="0" xfId="0" applyFont="1" applyProtection="1">
      <protection locked="0"/>
    </xf>
    <xf numFmtId="0" fontId="84" fillId="0" borderId="0" xfId="6" applyNumberFormat="1" applyFont="1" applyFill="1" applyBorder="1" applyAlignment="1" applyProtection="1">
      <alignment vertical="top"/>
    </xf>
    <xf numFmtId="0" fontId="87" fillId="0" borderId="0" xfId="0" applyFont="1" applyProtection="1"/>
    <xf numFmtId="0" fontId="84" fillId="0" borderId="0" xfId="10" applyNumberFormat="1" applyFont="1" applyFill="1" applyBorder="1" applyAlignment="1" applyProtection="1">
      <alignment vertical="top"/>
    </xf>
    <xf numFmtId="170" fontId="61" fillId="0" borderId="0" xfId="4" applyNumberFormat="1" applyFont="1"/>
    <xf numFmtId="0" fontId="61" fillId="0" borderId="0" xfId="0" applyFont="1"/>
    <xf numFmtId="170" fontId="114" fillId="0" borderId="0" xfId="4" applyNumberFormat="1" applyFont="1"/>
    <xf numFmtId="3" fontId="115" fillId="0" borderId="0" xfId="10" applyNumberFormat="1" applyFont="1" applyFill="1" applyBorder="1" applyAlignment="1" applyProtection="1">
      <alignment horizontal="center" vertical="center"/>
    </xf>
    <xf numFmtId="166" fontId="111" fillId="0" borderId="0" xfId="4" applyFont="1" applyFill="1" applyBorder="1" applyAlignment="1" applyProtection="1">
      <alignment horizontal="center" vertical="center"/>
    </xf>
    <xf numFmtId="0" fontId="117" fillId="0" borderId="0" xfId="0" applyFont="1" applyFill="1" applyProtection="1"/>
    <xf numFmtId="0" fontId="117" fillId="0" borderId="0" xfId="0" applyFont="1" applyFill="1" applyBorder="1" applyAlignment="1" applyProtection="1"/>
    <xf numFmtId="14" fontId="117" fillId="0" borderId="0" xfId="0" applyNumberFormat="1" applyFont="1" applyFill="1" applyProtection="1"/>
    <xf numFmtId="0" fontId="116" fillId="0" borderId="1" xfId="1226" applyFont="1" applyFill="1" applyBorder="1" applyAlignment="1" applyProtection="1">
      <alignment horizontal="left" vertical="center" wrapText="1"/>
    </xf>
    <xf numFmtId="0" fontId="117" fillId="0" borderId="18" xfId="1226" applyFont="1" applyFill="1" applyBorder="1" applyAlignment="1" applyProtection="1">
      <alignment horizontal="left" vertical="center" wrapText="1" indent="2"/>
    </xf>
    <xf numFmtId="0" fontId="117" fillId="0" borderId="19" xfId="1226" applyFont="1" applyFill="1" applyBorder="1" applyAlignment="1" applyProtection="1">
      <alignment horizontal="left" vertical="center" wrapText="1" indent="2"/>
    </xf>
    <xf numFmtId="0" fontId="117" fillId="0" borderId="0" xfId="0" applyFont="1" applyFill="1" applyAlignment="1" applyProtection="1">
      <alignment wrapText="1"/>
    </xf>
    <xf numFmtId="0" fontId="117" fillId="0" borderId="0" xfId="0" applyFont="1" applyFill="1" applyAlignment="1" applyProtection="1">
      <alignment horizontal="center"/>
    </xf>
    <xf numFmtId="0" fontId="138" fillId="0" borderId="0" xfId="0" applyFont="1" applyFill="1" applyProtection="1"/>
    <xf numFmtId="0" fontId="2" fillId="0" borderId="1" xfId="0" applyFont="1" applyFill="1" applyBorder="1" applyAlignment="1" applyProtection="1">
      <alignment horizontal="left" vertical="center" wrapText="1" indent="2"/>
    </xf>
    <xf numFmtId="14" fontId="117" fillId="0" borderId="0" xfId="0" applyNumberFormat="1" applyFont="1" applyFill="1" applyAlignment="1" applyProtection="1">
      <alignment horizontal="center" vertical="center"/>
    </xf>
    <xf numFmtId="0" fontId="117" fillId="0" borderId="0" xfId="0" applyFont="1" applyFill="1" applyAlignment="1" applyProtection="1">
      <alignment horizontal="center" vertical="center" wrapText="1"/>
    </xf>
    <xf numFmtId="0" fontId="117" fillId="0" borderId="0" xfId="0" applyFont="1" applyFill="1" applyAlignment="1" applyProtection="1">
      <alignment horizontal="center" vertical="center"/>
    </xf>
    <xf numFmtId="14" fontId="117" fillId="0" borderId="0" xfId="0" applyNumberFormat="1" applyFont="1" applyFill="1" applyAlignment="1" applyProtection="1">
      <alignment horizontal="center" vertical="center" wrapText="1"/>
    </xf>
    <xf numFmtId="0" fontId="17" fillId="0" borderId="0" xfId="0" applyFont="1" applyFill="1" applyProtection="1"/>
    <xf numFmtId="0" fontId="17" fillId="0" borderId="0" xfId="0" applyFont="1" applyFill="1" applyAlignment="1" applyProtection="1">
      <alignment horizontal="center"/>
    </xf>
    <xf numFmtId="3" fontId="17" fillId="0" borderId="0" xfId="0" applyNumberFormat="1" applyFont="1" applyFill="1" applyAlignment="1" applyProtection="1">
      <alignment horizontal="center"/>
    </xf>
    <xf numFmtId="0" fontId="137" fillId="0" borderId="0" xfId="0" applyFont="1" applyFill="1" applyBorder="1" applyAlignment="1" applyProtection="1">
      <alignment vertical="center" wrapText="1"/>
    </xf>
    <xf numFmtId="49" fontId="5" fillId="0" borderId="1" xfId="0" applyNumberFormat="1" applyFont="1" applyFill="1" applyBorder="1" applyAlignment="1" applyProtection="1">
      <alignment horizontal="center" vertical="center"/>
    </xf>
    <xf numFmtId="0" fontId="137" fillId="0" borderId="0" xfId="0" applyFont="1" applyFill="1" applyBorder="1" applyAlignment="1" applyProtection="1">
      <alignment horizontal="center" vertical="center" wrapText="1"/>
    </xf>
    <xf numFmtId="0" fontId="139" fillId="0" borderId="0" xfId="0" applyFont="1" applyFill="1" applyProtection="1"/>
    <xf numFmtId="195" fontId="139" fillId="0" borderId="0" xfId="0" applyNumberFormat="1" applyFont="1" applyFill="1" applyProtection="1"/>
    <xf numFmtId="195" fontId="140" fillId="0" borderId="0" xfId="0" applyNumberFormat="1" applyFont="1" applyFill="1" applyProtection="1"/>
    <xf numFmtId="0" fontId="31" fillId="0" borderId="1" xfId="0" applyFont="1" applyFill="1" applyBorder="1" applyAlignment="1" applyProtection="1">
      <alignment horizontal="left" vertical="center" wrapText="1" indent="2"/>
    </xf>
    <xf numFmtId="49" fontId="139" fillId="0" borderId="0" xfId="0" applyNumberFormat="1" applyFont="1" applyFill="1" applyProtection="1"/>
    <xf numFmtId="0" fontId="139" fillId="0" borderId="0" xfId="0" applyFont="1" applyFill="1" applyAlignment="1" applyProtection="1">
      <alignment horizontal="center"/>
    </xf>
    <xf numFmtId="171" fontId="6" fillId="0" borderId="0" xfId="0" quotePrefix="1" applyNumberFormat="1" applyFont="1" applyAlignment="1" applyProtection="1">
      <alignment horizontal="centerContinuous" vertical="center"/>
    </xf>
    <xf numFmtId="0" fontId="3" fillId="0" borderId="0" xfId="0" applyFont="1" applyAlignment="1" applyProtection="1">
      <alignment horizontal="centerContinuous"/>
    </xf>
    <xf numFmtId="171" fontId="0" fillId="0" borderId="0" xfId="0" applyNumberFormat="1" applyFont="1" applyAlignment="1" applyProtection="1"/>
    <xf numFmtId="0" fontId="6" fillId="0" borderId="1" xfId="0" applyFont="1" applyBorder="1" applyAlignment="1" applyProtection="1">
      <alignment horizontal="center" vertical="center"/>
    </xf>
    <xf numFmtId="2" fontId="3" fillId="0" borderId="5" xfId="0" applyNumberFormat="1" applyFont="1" applyBorder="1" applyAlignment="1" applyProtection="1">
      <alignment horizontal="center" vertical="center"/>
    </xf>
    <xf numFmtId="169" fontId="3" fillId="0" borderId="3" xfId="0" applyNumberFormat="1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</xf>
    <xf numFmtId="0" fontId="31" fillId="0" borderId="1" xfId="0" applyFont="1" applyFill="1" applyBorder="1" applyAlignment="1" applyProtection="1">
      <alignment horizontal="left" vertical="center" indent="4"/>
    </xf>
    <xf numFmtId="0" fontId="32" fillId="0" borderId="1" xfId="0" applyFont="1" applyFill="1" applyBorder="1" applyAlignment="1" applyProtection="1">
      <alignment horizontal="left" vertical="center" indent="4"/>
    </xf>
    <xf numFmtId="2" fontId="3" fillId="0" borderId="3" xfId="0" applyNumberFormat="1" applyFont="1" applyFill="1" applyBorder="1" applyAlignment="1" applyProtection="1">
      <alignment horizontal="center" vertical="center"/>
    </xf>
    <xf numFmtId="0" fontId="16" fillId="0" borderId="4" xfId="0" applyFont="1" applyFill="1" applyBorder="1" applyAlignment="1" applyProtection="1">
      <alignment horizontal="centerContinuous" vertical="center" wrapText="1"/>
    </xf>
    <xf numFmtId="0" fontId="16" fillId="0" borderId="8" xfId="0" applyFont="1" applyFill="1" applyBorder="1" applyAlignment="1" applyProtection="1">
      <alignment horizontal="centerContinuous" vertical="center"/>
    </xf>
    <xf numFmtId="0" fontId="16" fillId="0" borderId="6" xfId="0" applyFont="1" applyFill="1" applyBorder="1" applyAlignment="1" applyProtection="1">
      <alignment horizontal="centerContinuous" vertical="center"/>
    </xf>
    <xf numFmtId="0" fontId="16" fillId="0" borderId="2" xfId="0" applyFont="1" applyFill="1" applyBorder="1" applyAlignment="1" applyProtection="1">
      <alignment horizontal="centerContinuous" vertical="center"/>
    </xf>
    <xf numFmtId="0" fontId="16" fillId="0" borderId="9" xfId="0" applyFont="1" applyFill="1" applyBorder="1" applyAlignment="1" applyProtection="1">
      <alignment horizontal="centerContinuous" vertical="center"/>
    </xf>
    <xf numFmtId="0" fontId="16" fillId="0" borderId="14" xfId="0" applyFont="1" applyFill="1" applyBorder="1" applyAlignment="1" applyProtection="1">
      <alignment horizontal="centerContinuous" vertical="center"/>
    </xf>
    <xf numFmtId="170" fontId="117" fillId="0" borderId="0" xfId="4" applyNumberFormat="1" applyFont="1" applyFill="1" applyAlignment="1" applyProtection="1">
      <alignment horizontal="center" vertical="center"/>
      <protection locked="0"/>
    </xf>
    <xf numFmtId="3" fontId="56" fillId="3" borderId="5" xfId="0" applyNumberFormat="1" applyFont="1" applyFill="1" applyBorder="1" applyAlignment="1" applyProtection="1">
      <alignment horizontal="center" vertical="center" textRotation="90" wrapText="1"/>
    </xf>
    <xf numFmtId="3" fontId="56" fillId="3" borderId="5" xfId="0" applyNumberFormat="1" applyFont="1" applyFill="1" applyBorder="1" applyAlignment="1" applyProtection="1">
      <alignment horizontal="center" vertical="center" wrapText="1"/>
    </xf>
    <xf numFmtId="3" fontId="54" fillId="3" borderId="1" xfId="0" applyNumberFormat="1" applyFont="1" applyFill="1" applyBorder="1" applyAlignment="1" applyProtection="1">
      <alignment horizontal="center" vertical="center" wrapText="1"/>
    </xf>
    <xf numFmtId="171" fontId="54" fillId="3" borderId="1" xfId="0" applyNumberFormat="1" applyFont="1" applyFill="1" applyBorder="1" applyAlignment="1" applyProtection="1">
      <alignment horizontal="center" vertical="center" wrapText="1"/>
    </xf>
    <xf numFmtId="0" fontId="137" fillId="0" borderId="0" xfId="0" applyFont="1" applyFill="1" applyBorder="1" applyAlignment="1" applyProtection="1">
      <alignment horizontal="left" vertical="center" wrapText="1" indent="2"/>
    </xf>
    <xf numFmtId="0" fontId="32" fillId="0" borderId="4" xfId="0" applyFont="1" applyFill="1" applyBorder="1" applyAlignment="1">
      <alignment horizontal="center" vertical="center"/>
    </xf>
    <xf numFmtId="0" fontId="32" fillId="0" borderId="1" xfId="0" applyFont="1" applyFill="1" applyBorder="1" applyAlignment="1">
      <alignment horizontal="left" vertical="center" wrapText="1" indent="4"/>
    </xf>
    <xf numFmtId="3" fontId="32" fillId="0" borderId="1" xfId="0" applyNumberFormat="1" applyFont="1" applyFill="1" applyBorder="1" applyAlignment="1" applyProtection="1">
      <alignment horizontal="center" vertical="center"/>
      <protection locked="0"/>
    </xf>
    <xf numFmtId="0" fontId="32" fillId="0" borderId="0" xfId="0" applyFont="1" applyFill="1" applyAlignment="1">
      <alignment vertical="center"/>
    </xf>
    <xf numFmtId="0" fontId="2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 indent="4"/>
    </xf>
    <xf numFmtId="3" fontId="3" fillId="0" borderId="1" xfId="0" applyNumberFormat="1" applyFont="1" applyFill="1" applyBorder="1" applyAlignment="1" applyProtection="1">
      <alignment horizontal="center" vertical="center"/>
      <protection locked="0"/>
    </xf>
    <xf numFmtId="2" fontId="2" fillId="0" borderId="12" xfId="0" applyNumberFormat="1" applyFont="1" applyFill="1" applyBorder="1" applyAlignment="1" applyProtection="1">
      <alignment horizontal="center" vertical="center"/>
    </xf>
    <xf numFmtId="2" fontId="2" fillId="0" borderId="3" xfId="0" applyNumberFormat="1" applyFont="1" applyFill="1" applyBorder="1" applyAlignment="1" applyProtection="1">
      <alignment horizontal="center" vertical="center"/>
    </xf>
    <xf numFmtId="2" fontId="2" fillId="0" borderId="5" xfId="0" applyNumberFormat="1" applyFont="1" applyFill="1" applyBorder="1" applyAlignment="1" applyProtection="1">
      <alignment horizontal="center" vertical="center"/>
    </xf>
    <xf numFmtId="0" fontId="2" fillId="0" borderId="0" xfId="0" applyFont="1" applyFill="1" applyAlignment="1" applyProtection="1">
      <alignment vertical="center"/>
    </xf>
    <xf numFmtId="0" fontId="5" fillId="0" borderId="0" xfId="0" applyFont="1" applyFill="1" applyBorder="1" applyProtection="1"/>
    <xf numFmtId="3" fontId="52" fillId="0" borderId="0" xfId="0" applyNumberFormat="1" applyFont="1" applyBorder="1" applyAlignment="1">
      <alignment horizontal="center"/>
    </xf>
    <xf numFmtId="15" fontId="46" fillId="0" borderId="0" xfId="5" applyNumberFormat="1" applyFont="1" applyFill="1" applyBorder="1" applyAlignment="1" applyProtection="1">
      <alignment horizontal="center" vertical="top"/>
    </xf>
    <xf numFmtId="3" fontId="8" fillId="0" borderId="0" xfId="0" applyNumberFormat="1" applyFont="1" applyBorder="1" applyAlignment="1">
      <alignment vertical="top"/>
    </xf>
    <xf numFmtId="3" fontId="3" fillId="0" borderId="0" xfId="0" applyNumberFormat="1" applyFont="1" applyAlignment="1">
      <alignment horizontal="center"/>
    </xf>
    <xf numFmtId="3" fontId="3" fillId="0" borderId="0" xfId="0" applyNumberFormat="1" applyFont="1" applyBorder="1" applyAlignment="1" applyProtection="1">
      <alignment horizontal="center"/>
    </xf>
    <xf numFmtId="171" fontId="0" fillId="0" borderId="9" xfId="0" applyNumberFormat="1" applyFont="1" applyBorder="1" applyAlignment="1" applyProtection="1">
      <alignment horizontal="centerContinuous"/>
    </xf>
    <xf numFmtId="173" fontId="141" fillId="0" borderId="0" xfId="6" applyNumberFormat="1" applyFont="1" applyFill="1" applyBorder="1" applyAlignment="1" applyProtection="1">
      <alignment horizontal="center" vertical="center"/>
    </xf>
    <xf numFmtId="0" fontId="142" fillId="0" borderId="0" xfId="0" applyFont="1"/>
    <xf numFmtId="0" fontId="142" fillId="0" borderId="0" xfId="0" applyFont="1" applyAlignment="1">
      <alignment vertical="center"/>
    </xf>
    <xf numFmtId="3" fontId="142" fillId="0" borderId="0" xfId="0" applyNumberFormat="1" applyFont="1" applyAlignment="1">
      <alignment vertical="center"/>
    </xf>
    <xf numFmtId="0" fontId="61" fillId="0" borderId="0" xfId="0" applyFont="1" applyAlignment="1">
      <alignment vertical="center"/>
    </xf>
    <xf numFmtId="0" fontId="142" fillId="0" borderId="0" xfId="0" applyFont="1" applyFill="1" applyAlignment="1">
      <alignment vertical="center"/>
    </xf>
    <xf numFmtId="2" fontId="3" fillId="0" borderId="5" xfId="0" applyNumberFormat="1" applyFont="1" applyFill="1" applyBorder="1" applyAlignment="1" applyProtection="1">
      <alignment horizontal="center" vertical="center"/>
    </xf>
    <xf numFmtId="2" fontId="3" fillId="0" borderId="12" xfId="0" applyNumberFormat="1" applyFont="1" applyFill="1" applyBorder="1" applyAlignment="1" applyProtection="1">
      <alignment horizontal="center" vertical="center"/>
    </xf>
    <xf numFmtId="3" fontId="23" fillId="3" borderId="1" xfId="0" applyNumberFormat="1" applyFont="1" applyFill="1" applyBorder="1" applyAlignment="1" applyProtection="1">
      <alignment horizontal="center" vertical="center" wrapText="1"/>
    </xf>
    <xf numFmtId="0" fontId="2" fillId="0" borderId="2" xfId="0" applyFont="1" applyFill="1" applyBorder="1" applyAlignment="1" applyProtection="1">
      <alignment horizontal="center" vertical="center" wrapText="1"/>
    </xf>
    <xf numFmtId="169" fontId="7" fillId="0" borderId="5" xfId="0" applyNumberFormat="1" applyFont="1" applyFill="1" applyBorder="1" applyAlignment="1" applyProtection="1">
      <alignment horizontal="center" vertical="center"/>
    </xf>
    <xf numFmtId="0" fontId="143" fillId="0" borderId="0" xfId="0" applyFont="1" applyAlignment="1" applyProtection="1">
      <alignment horizontal="center" vertical="center"/>
    </xf>
    <xf numFmtId="0" fontId="56" fillId="0" borderId="0" xfId="0" applyFont="1" applyBorder="1" applyAlignment="1" applyProtection="1">
      <alignment horizontal="center" vertical="center"/>
      <protection locked="0"/>
    </xf>
    <xf numFmtId="0" fontId="4" fillId="0" borderId="0" xfId="0" applyFont="1" applyBorder="1" applyAlignment="1" applyProtection="1">
      <alignment horizontal="center" wrapText="1"/>
    </xf>
    <xf numFmtId="0" fontId="4" fillId="0" borderId="0" xfId="0" applyFont="1" applyBorder="1" applyAlignment="1" applyProtection="1">
      <alignment horizontal="center"/>
    </xf>
    <xf numFmtId="171" fontId="2" fillId="0" borderId="0" xfId="0" applyNumberFormat="1" applyFont="1" applyBorder="1" applyAlignment="1" applyProtection="1">
      <alignment horizontal="center" wrapText="1"/>
    </xf>
    <xf numFmtId="0" fontId="5" fillId="0" borderId="2" xfId="0" applyFont="1" applyBorder="1" applyAlignment="1" applyProtection="1">
      <alignment horizontal="center" vertical="center" wrapText="1"/>
    </xf>
    <xf numFmtId="0" fontId="6" fillId="0" borderId="2" xfId="0" applyFont="1" applyBorder="1" applyAlignment="1" applyProtection="1">
      <alignment horizontal="left" vertical="center" indent="1"/>
    </xf>
    <xf numFmtId="0" fontId="2" fillId="0" borderId="2" xfId="0" applyFont="1" applyBorder="1" applyAlignment="1" applyProtection="1">
      <alignment horizontal="center" vertical="center" wrapText="1"/>
    </xf>
    <xf numFmtId="0" fontId="3" fillId="0" borderId="2" xfId="0" applyFont="1" applyBorder="1" applyAlignment="1" applyProtection="1">
      <alignment horizontal="left" vertical="center" indent="1"/>
    </xf>
    <xf numFmtId="0" fontId="3" fillId="0" borderId="2" xfId="0" applyFont="1" applyBorder="1" applyAlignment="1" applyProtection="1">
      <alignment horizontal="left" vertical="center" wrapText="1" indent="1"/>
    </xf>
    <xf numFmtId="0" fontId="2" fillId="0" borderId="1" xfId="0" applyFont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horizontal="left" vertical="center" wrapText="1" indent="1"/>
    </xf>
    <xf numFmtId="0" fontId="3" fillId="0" borderId="1" xfId="0" applyFont="1" applyBorder="1" applyAlignment="1" applyProtection="1">
      <alignment horizontal="left" vertical="center" indent="1"/>
    </xf>
    <xf numFmtId="0" fontId="2" fillId="0" borderId="2" xfId="0" quotePrefix="1" applyFont="1" applyBorder="1" applyAlignment="1" applyProtection="1">
      <alignment horizontal="center" vertical="center" wrapText="1"/>
    </xf>
    <xf numFmtId="0" fontId="3" fillId="0" borderId="2" xfId="0" quotePrefix="1" applyFont="1" applyBorder="1" applyAlignment="1" applyProtection="1">
      <alignment horizontal="left" vertical="center" wrapText="1" indent="1"/>
    </xf>
    <xf numFmtId="0" fontId="3" fillId="0" borderId="2" xfId="0" quotePrefix="1" applyFont="1" applyBorder="1" applyAlignment="1" applyProtection="1">
      <alignment horizontal="left" vertical="center" indent="1"/>
    </xf>
    <xf numFmtId="0" fontId="6" fillId="0" borderId="2" xfId="0" quotePrefix="1" applyFont="1" applyBorder="1" applyAlignment="1" applyProtection="1">
      <alignment horizontal="left" vertical="center" indent="1"/>
    </xf>
    <xf numFmtId="3" fontId="26" fillId="0" borderId="0" xfId="0" applyNumberFormat="1" applyFont="1" applyBorder="1" applyProtection="1"/>
    <xf numFmtId="0" fontId="3" fillId="0" borderId="2" xfId="0" applyFont="1" applyFill="1" applyBorder="1" applyAlignment="1" applyProtection="1">
      <alignment horizontal="left" vertical="center" indent="1"/>
    </xf>
    <xf numFmtId="0" fontId="5" fillId="0" borderId="2" xfId="0" applyFont="1" applyFill="1" applyBorder="1" applyAlignment="1" applyProtection="1">
      <alignment horizontal="center" vertical="center" wrapText="1"/>
    </xf>
    <xf numFmtId="0" fontId="6" fillId="0" borderId="2" xfId="0" applyFont="1" applyFill="1" applyBorder="1" applyAlignment="1" applyProtection="1">
      <alignment horizontal="left" vertical="center" indent="1"/>
    </xf>
    <xf numFmtId="0" fontId="2" fillId="0" borderId="2" xfId="0" quotePrefix="1" applyFont="1" applyFill="1" applyBorder="1" applyAlignment="1" applyProtection="1">
      <alignment horizontal="center" vertical="center" wrapText="1"/>
    </xf>
    <xf numFmtId="0" fontId="3" fillId="0" borderId="2" xfId="0" quotePrefix="1" applyFont="1" applyFill="1" applyBorder="1" applyAlignment="1" applyProtection="1">
      <alignment horizontal="left" vertical="center" indent="1"/>
    </xf>
    <xf numFmtId="0" fontId="5" fillId="0" borderId="2" xfId="0" quotePrefix="1" applyFont="1" applyFill="1" applyBorder="1" applyAlignment="1" applyProtection="1">
      <alignment horizontal="center" vertical="center" wrapText="1"/>
    </xf>
    <xf numFmtId="0" fontId="6" fillId="0" borderId="2" xfId="0" quotePrefix="1" applyFont="1" applyFill="1" applyBorder="1" applyAlignment="1" applyProtection="1">
      <alignment horizontal="left" vertical="center" indent="1"/>
    </xf>
    <xf numFmtId="0" fontId="31" fillId="0" borderId="2" xfId="0" applyFont="1" applyFill="1" applyBorder="1" applyAlignment="1" applyProtection="1">
      <alignment horizontal="center" vertical="center" wrapText="1"/>
    </xf>
    <xf numFmtId="0" fontId="5" fillId="0" borderId="2" xfId="0" applyFont="1" applyFill="1" applyBorder="1" applyAlignment="1" applyProtection="1">
      <alignment horizontal="left" vertical="center" wrapText="1" indent="1"/>
    </xf>
    <xf numFmtId="0" fontId="5" fillId="0" borderId="0" xfId="0" applyFont="1" applyBorder="1" applyProtection="1"/>
    <xf numFmtId="0" fontId="2" fillId="0" borderId="2" xfId="0" quotePrefix="1" applyFont="1" applyFill="1" applyBorder="1" applyAlignment="1" applyProtection="1">
      <alignment horizontal="left" vertical="center" indent="1"/>
    </xf>
    <xf numFmtId="0" fontId="2" fillId="0" borderId="2" xfId="0" applyFont="1" applyFill="1" applyBorder="1" applyAlignment="1" applyProtection="1">
      <alignment horizontal="left" vertical="center" indent="1"/>
    </xf>
    <xf numFmtId="3" fontId="22" fillId="4" borderId="1" xfId="0" applyNumberFormat="1" applyFont="1" applyFill="1" applyBorder="1" applyAlignment="1" applyProtection="1">
      <alignment horizontal="right" vertical="center"/>
    </xf>
    <xf numFmtId="0" fontId="2" fillId="0" borderId="2" xfId="0" applyFont="1" applyFill="1" applyBorder="1" applyAlignment="1" applyProtection="1">
      <alignment horizontal="left" vertical="center" wrapText="1" indent="1"/>
    </xf>
    <xf numFmtId="0" fontId="3" fillId="0" borderId="0" xfId="0" quotePrefix="1" applyFont="1" applyBorder="1" applyAlignment="1" applyProtection="1">
      <alignment horizontal="left"/>
    </xf>
    <xf numFmtId="0" fontId="5" fillId="0" borderId="0" xfId="0" applyFont="1" applyBorder="1" applyAlignment="1" applyProtection="1">
      <alignment horizontal="center" vertical="center" wrapText="1"/>
    </xf>
    <xf numFmtId="0" fontId="5" fillId="0" borderId="0" xfId="0" applyFont="1" applyBorder="1" applyAlignment="1" applyProtection="1">
      <alignment horizontal="center" wrapText="1"/>
    </xf>
    <xf numFmtId="0" fontId="32" fillId="0" borderId="0" xfId="0" applyFont="1" applyBorder="1" applyAlignment="1" applyProtection="1">
      <alignment horizontal="center" wrapText="1"/>
    </xf>
    <xf numFmtId="0" fontId="32" fillId="0" borderId="0" xfId="0" applyFont="1" applyFill="1" applyBorder="1" applyAlignment="1" applyProtection="1">
      <alignment horizontal="center" wrapText="1"/>
    </xf>
    <xf numFmtId="0" fontId="2" fillId="0" borderId="0" xfId="0" applyFont="1" applyBorder="1" applyAlignment="1" applyProtection="1">
      <alignment horizontal="center" wrapText="1"/>
    </xf>
    <xf numFmtId="0" fontId="3" fillId="0" borderId="0" xfId="0" applyFont="1" applyFill="1" applyProtection="1"/>
    <xf numFmtId="0" fontId="5" fillId="0" borderId="0" xfId="0" applyFont="1" applyAlignment="1" applyProtection="1">
      <alignment vertical="center"/>
    </xf>
    <xf numFmtId="0" fontId="6" fillId="0" borderId="0" xfId="0" applyFont="1" applyProtection="1"/>
    <xf numFmtId="0" fontId="5" fillId="0" borderId="0" xfId="0" applyFont="1" applyFill="1" applyProtection="1"/>
    <xf numFmtId="0" fontId="81" fillId="0" borderId="0" xfId="5" applyNumberFormat="1" applyFont="1" applyFill="1" applyBorder="1" applyAlignment="1" applyProtection="1">
      <alignment horizontal="center" vertical="top"/>
      <protection locked="0"/>
    </xf>
    <xf numFmtId="3" fontId="14" fillId="0" borderId="1" xfId="0" applyNumberFormat="1" applyFont="1" applyFill="1" applyBorder="1" applyAlignment="1" applyProtection="1">
      <alignment vertical="center"/>
      <protection locked="0"/>
    </xf>
    <xf numFmtId="3" fontId="2" fillId="0" borderId="1" xfId="0" applyNumberFormat="1" applyFont="1" applyBorder="1" applyAlignment="1" applyProtection="1">
      <alignment vertical="center" wrapText="1"/>
      <protection locked="0"/>
    </xf>
    <xf numFmtId="0" fontId="5" fillId="0" borderId="0" xfId="0" applyFont="1" applyBorder="1" applyAlignment="1" applyProtection="1">
      <alignment vertical="center"/>
    </xf>
    <xf numFmtId="3" fontId="14" fillId="0" borderId="1" xfId="0" applyNumberFormat="1" applyFont="1" applyBorder="1" applyAlignment="1" applyProtection="1">
      <alignment horizontal="right" vertical="center"/>
      <protection locked="0"/>
    </xf>
    <xf numFmtId="0" fontId="2" fillId="0" borderId="0" xfId="0" applyFont="1" applyBorder="1" applyAlignment="1" applyProtection="1">
      <alignment horizontal="center" vertical="center"/>
    </xf>
    <xf numFmtId="0" fontId="2" fillId="0" borderId="2" xfId="0" applyFont="1" applyBorder="1" applyAlignment="1" applyProtection="1">
      <alignment horizontal="center" vertical="center"/>
    </xf>
    <xf numFmtId="3" fontId="48" fillId="0" borderId="0" xfId="0" applyNumberFormat="1" applyFont="1" applyBorder="1" applyAlignment="1" applyProtection="1">
      <alignment horizontal="centerContinuous" vertical="center"/>
    </xf>
    <xf numFmtId="3" fontId="48" fillId="0" borderId="0" xfId="0" applyNumberFormat="1" applyFont="1" applyBorder="1" applyAlignment="1" applyProtection="1">
      <alignment horizontal="centerContinuous"/>
    </xf>
    <xf numFmtId="3" fontId="12" fillId="0" borderId="0" xfId="0" applyNumberFormat="1" applyFont="1" applyBorder="1" applyAlignment="1" applyProtection="1">
      <alignment horizontal="centerContinuous"/>
    </xf>
    <xf numFmtId="0" fontId="74" fillId="0" borderId="0" xfId="0" applyFont="1" applyProtection="1"/>
    <xf numFmtId="3" fontId="4" fillId="0" borderId="0" xfId="0" applyNumberFormat="1" applyFont="1" applyBorder="1" applyAlignment="1" applyProtection="1">
      <alignment horizontal="centerContinuous"/>
    </xf>
    <xf numFmtId="0" fontId="57" fillId="0" borderId="0" xfId="0" applyFont="1" applyBorder="1" applyAlignment="1" applyProtection="1">
      <alignment horizontal="center"/>
    </xf>
    <xf numFmtId="3" fontId="72" fillId="0" borderId="0" xfId="0" applyNumberFormat="1" applyFont="1" applyBorder="1" applyProtection="1"/>
    <xf numFmtId="3" fontId="72" fillId="0" borderId="0" xfId="0" applyNumberFormat="1" applyFont="1" applyBorder="1" applyAlignment="1" applyProtection="1">
      <alignment horizontal="center"/>
    </xf>
    <xf numFmtId="0" fontId="14" fillId="0" borderId="0" xfId="0" applyFont="1" applyProtection="1"/>
    <xf numFmtId="3" fontId="14" fillId="3" borderId="1" xfId="0" applyNumberFormat="1" applyFont="1" applyFill="1" applyBorder="1" applyAlignment="1" applyProtection="1">
      <alignment horizontal="center" vertical="center"/>
    </xf>
    <xf numFmtId="0" fontId="14" fillId="0" borderId="0" xfId="0" applyFont="1" applyBorder="1" applyAlignment="1" applyProtection="1">
      <alignment horizontal="center" vertical="center" textRotation="90" wrapText="1"/>
    </xf>
    <xf numFmtId="0" fontId="14" fillId="0" borderId="0" xfId="0" applyFont="1" applyBorder="1" applyProtection="1"/>
    <xf numFmtId="3" fontId="71" fillId="0" borderId="3" xfId="0" applyNumberFormat="1" applyFont="1" applyBorder="1" applyAlignment="1" applyProtection="1">
      <alignment horizontal="center" vertical="center"/>
    </xf>
    <xf numFmtId="3" fontId="8" fillId="0" borderId="3" xfId="0" applyNumberFormat="1" applyFont="1" applyBorder="1" applyAlignment="1" applyProtection="1">
      <alignment horizontal="center" vertical="center"/>
    </xf>
    <xf numFmtId="3" fontId="8" fillId="0" borderId="3" xfId="0" applyNumberFormat="1" applyFont="1" applyFill="1" applyBorder="1" applyAlignment="1" applyProtection="1">
      <alignment horizontal="center" vertical="center"/>
    </xf>
    <xf numFmtId="3" fontId="8" fillId="0" borderId="3" xfId="0" quotePrefix="1" applyNumberFormat="1" applyFont="1" applyBorder="1" applyAlignment="1" applyProtection="1">
      <alignment horizontal="center" vertical="center"/>
    </xf>
    <xf numFmtId="0" fontId="8" fillId="0" borderId="3" xfId="0" applyFont="1" applyBorder="1" applyAlignment="1" applyProtection="1">
      <alignment horizontal="center" vertical="center"/>
    </xf>
    <xf numFmtId="0" fontId="8" fillId="0" borderId="0" xfId="0" applyFont="1" applyAlignment="1" applyProtection="1">
      <alignment horizontal="center" vertical="center"/>
    </xf>
    <xf numFmtId="3" fontId="14" fillId="3" borderId="1" xfId="0" applyNumberFormat="1" applyFont="1" applyFill="1" applyBorder="1" applyAlignment="1" applyProtection="1">
      <alignment horizontal="center"/>
    </xf>
    <xf numFmtId="3" fontId="11" fillId="3" borderId="1" xfId="0" applyNumberFormat="1" applyFont="1" applyFill="1" applyBorder="1" applyProtection="1"/>
    <xf numFmtId="3" fontId="14" fillId="0" borderId="1" xfId="0" applyNumberFormat="1" applyFont="1" applyBorder="1" applyAlignment="1" applyProtection="1">
      <alignment horizontal="center" vertical="center"/>
    </xf>
    <xf numFmtId="3" fontId="14" fillId="0" borderId="0" xfId="0" applyNumberFormat="1" applyFont="1" applyProtection="1"/>
    <xf numFmtId="9" fontId="14" fillId="0" borderId="0" xfId="0" applyNumberFormat="1" applyFont="1" applyProtection="1"/>
    <xf numFmtId="3" fontId="14" fillId="0" borderId="1" xfId="0" applyNumberFormat="1" applyFont="1" applyFill="1" applyBorder="1" applyAlignment="1" applyProtection="1">
      <alignment horizontal="center" vertical="center"/>
    </xf>
    <xf numFmtId="3" fontId="14" fillId="0" borderId="1" xfId="0" applyNumberFormat="1" applyFont="1" applyFill="1" applyBorder="1" applyAlignment="1" applyProtection="1">
      <alignment vertical="center"/>
    </xf>
    <xf numFmtId="0" fontId="14" fillId="0" borderId="0" xfId="0" applyFont="1" applyFill="1" applyProtection="1"/>
    <xf numFmtId="3" fontId="14" fillId="0" borderId="1" xfId="0" quotePrefix="1" applyNumberFormat="1" applyFont="1" applyFill="1" applyBorder="1" applyAlignment="1" applyProtection="1">
      <alignment horizontal="left" vertical="center"/>
    </xf>
    <xf numFmtId="3" fontId="11" fillId="3" borderId="1" xfId="0" applyNumberFormat="1" applyFont="1" applyFill="1" applyBorder="1" applyAlignment="1" applyProtection="1">
      <alignment vertical="center"/>
    </xf>
    <xf numFmtId="0" fontId="14" fillId="0" borderId="0" xfId="0" applyFont="1" applyFill="1" applyBorder="1" applyProtection="1"/>
    <xf numFmtId="3" fontId="3" fillId="0" borderId="0" xfId="0" applyNumberFormat="1" applyFont="1" applyProtection="1"/>
    <xf numFmtId="3" fontId="10" fillId="0" borderId="0" xfId="0" applyNumberFormat="1" applyFont="1" applyProtection="1"/>
    <xf numFmtId="3" fontId="44" fillId="0" borderId="0" xfId="0" applyNumberFormat="1" applyFont="1" applyProtection="1"/>
    <xf numFmtId="0" fontId="10" fillId="0" borderId="0" xfId="0" applyFont="1" applyProtection="1"/>
    <xf numFmtId="3" fontId="65" fillId="0" borderId="0" xfId="0" applyNumberFormat="1" applyFont="1" applyProtection="1"/>
    <xf numFmtId="0" fontId="4" fillId="0" borderId="0" xfId="0" applyFont="1" applyBorder="1" applyAlignment="1" applyProtection="1">
      <alignment horizontal="center" vertical="center"/>
    </xf>
    <xf numFmtId="171" fontId="2" fillId="0" borderId="0" xfId="0" quotePrefix="1" applyNumberFormat="1" applyFont="1" applyBorder="1" applyAlignment="1" applyProtection="1">
      <alignment horizontal="center" vertical="center"/>
    </xf>
    <xf numFmtId="0" fontId="57" fillId="0" borderId="0" xfId="0" applyFont="1" applyBorder="1" applyAlignment="1" applyProtection="1">
      <alignment horizontal="left" indent="1"/>
    </xf>
    <xf numFmtId="171" fontId="0" fillId="0" borderId="0" xfId="0" quotePrefix="1" applyNumberFormat="1" applyFont="1" applyBorder="1" applyAlignment="1" applyProtection="1">
      <alignment horizontal="left"/>
    </xf>
    <xf numFmtId="0" fontId="2" fillId="0" borderId="4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 indent="2"/>
    </xf>
    <xf numFmtId="0" fontId="0" fillId="0" borderId="2" xfId="0" applyFont="1" applyBorder="1" applyAlignment="1" applyProtection="1">
      <alignment horizontal="center" vertical="center"/>
    </xf>
    <xf numFmtId="0" fontId="3" fillId="0" borderId="2" xfId="0" quotePrefix="1" applyFont="1" applyBorder="1" applyAlignment="1" applyProtection="1">
      <alignment horizontal="left" vertical="center" indent="2"/>
    </xf>
    <xf numFmtId="0" fontId="3" fillId="0" borderId="2" xfId="0" applyFont="1" applyBorder="1" applyAlignment="1" applyProtection="1">
      <alignment horizontal="left" vertical="center" indent="2"/>
    </xf>
    <xf numFmtId="0" fontId="44" fillId="0" borderId="0" xfId="0" applyFont="1" applyProtection="1"/>
    <xf numFmtId="3" fontId="44" fillId="0" borderId="0" xfId="0" applyNumberFormat="1" applyFont="1" applyAlignment="1" applyProtection="1">
      <alignment vertical="center"/>
    </xf>
    <xf numFmtId="0" fontId="5" fillId="0" borderId="0" xfId="0" applyFont="1" applyBorder="1" applyAlignment="1" applyProtection="1">
      <alignment horizontal="center" vertical="center"/>
    </xf>
    <xf numFmtId="0" fontId="32" fillId="0" borderId="0" xfId="0" applyFont="1" applyBorder="1" applyAlignment="1" applyProtection="1">
      <alignment horizontal="center"/>
    </xf>
    <xf numFmtId="0" fontId="32" fillId="0" borderId="0" xfId="0" applyFont="1" applyFill="1" applyBorder="1" applyAlignment="1" applyProtection="1">
      <alignment horizontal="center"/>
    </xf>
    <xf numFmtId="0" fontId="2" fillId="0" borderId="0" xfId="0" applyFont="1" applyAlignment="1" applyProtection="1">
      <alignment horizontal="center"/>
    </xf>
    <xf numFmtId="0" fontId="2" fillId="0" borderId="1" xfId="0" applyFont="1" applyBorder="1" applyAlignment="1" applyProtection="1">
      <alignment vertical="center"/>
    </xf>
    <xf numFmtId="10" fontId="116" fillId="0" borderId="1" xfId="1226" applyNumberFormat="1" applyFont="1" applyFill="1" applyBorder="1" applyAlignment="1" applyProtection="1">
      <alignment horizontal="center" vertical="center" wrapText="1"/>
    </xf>
    <xf numFmtId="183" fontId="117" fillId="0" borderId="18" xfId="1226" applyNumberFormat="1" applyFont="1" applyFill="1" applyBorder="1" applyAlignment="1" applyProtection="1">
      <alignment horizontal="center" vertical="center" wrapText="1"/>
    </xf>
    <xf numFmtId="183" fontId="117" fillId="0" borderId="19" xfId="1226" applyNumberFormat="1" applyFont="1" applyFill="1" applyBorder="1" applyAlignment="1" applyProtection="1">
      <alignment horizontal="center" vertical="center" wrapText="1"/>
    </xf>
    <xf numFmtId="3" fontId="117" fillId="0" borderId="0" xfId="0" applyNumberFormat="1" applyFont="1" applyFill="1" applyProtection="1"/>
    <xf numFmtId="3" fontId="117" fillId="0" borderId="0" xfId="0" applyNumberFormat="1" applyFont="1" applyFill="1" applyAlignment="1" applyProtection="1">
      <alignment horizontal="center"/>
    </xf>
    <xf numFmtId="3" fontId="144" fillId="3" borderId="1" xfId="0" applyNumberFormat="1" applyFont="1" applyFill="1" applyBorder="1" applyAlignment="1" applyProtection="1">
      <alignment horizontal="center" vertical="center" wrapText="1"/>
    </xf>
    <xf numFmtId="3" fontId="2" fillId="0" borderId="3" xfId="0" applyNumberFormat="1" applyFont="1" applyFill="1" applyBorder="1" applyProtection="1"/>
    <xf numFmtId="0" fontId="2" fillId="0" borderId="1" xfId="0" applyFont="1" applyFill="1" applyBorder="1" applyAlignment="1" applyProtection="1">
      <alignment horizontal="center" vertical="center"/>
    </xf>
    <xf numFmtId="0" fontId="31" fillId="0" borderId="1" xfId="0" applyFont="1" applyFill="1" applyBorder="1" applyAlignment="1" applyProtection="1">
      <alignment horizontal="center" vertical="center"/>
    </xf>
    <xf numFmtId="3" fontId="85" fillId="0" borderId="0" xfId="6" applyNumberFormat="1" applyFont="1" applyFill="1" applyBorder="1" applyAlignment="1" applyProtection="1">
      <alignment horizontal="center" vertical="top"/>
    </xf>
    <xf numFmtId="170" fontId="85" fillId="0" borderId="0" xfId="4" applyNumberFormat="1" applyFont="1" applyFill="1" applyBorder="1" applyAlignment="1" applyProtection="1">
      <alignment vertical="top"/>
    </xf>
    <xf numFmtId="3" fontId="145" fillId="0" borderId="0" xfId="6" applyNumberFormat="1" applyFont="1" applyFill="1" applyBorder="1" applyAlignment="1" applyProtection="1">
      <alignment horizontal="center" vertical="center"/>
    </xf>
    <xf numFmtId="3" fontId="146" fillId="0" borderId="0" xfId="6" applyNumberFormat="1" applyFont="1" applyFill="1" applyBorder="1" applyAlignment="1" applyProtection="1">
      <alignment horizontal="center" vertical="center"/>
    </xf>
    <xf numFmtId="0" fontId="2" fillId="0" borderId="0" xfId="0" applyFont="1" applyProtection="1"/>
    <xf numFmtId="169" fontId="7" fillId="0" borderId="5" xfId="0" applyNumberFormat="1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center" vertical="center" wrapText="1"/>
    </xf>
    <xf numFmtId="0" fontId="137" fillId="0" borderId="0" xfId="0" applyFont="1" applyFill="1" applyBorder="1" applyAlignment="1" applyProtection="1">
      <alignment horizontal="center" vertical="center" wrapText="1"/>
    </xf>
    <xf numFmtId="49" fontId="2" fillId="0" borderId="1" xfId="0" applyNumberFormat="1" applyFont="1" applyBorder="1" applyAlignment="1" applyProtection="1">
      <alignment horizontal="center" vertical="center"/>
      <protection locked="0"/>
    </xf>
    <xf numFmtId="0" fontId="75" fillId="0" borderId="0" xfId="5" applyNumberFormat="1" applyFont="1" applyFill="1" applyBorder="1" applyAlignment="1" applyProtection="1">
      <alignment horizontal="center" vertical="center" wrapText="1"/>
    </xf>
    <xf numFmtId="0" fontId="75" fillId="0" borderId="0" xfId="5" applyNumberFormat="1" applyFont="1" applyFill="1" applyBorder="1" applyAlignment="1" applyProtection="1">
      <alignment horizontal="center" vertical="center"/>
    </xf>
    <xf numFmtId="0" fontId="52" fillId="0" borderId="0" xfId="0" applyFont="1" applyBorder="1" applyAlignment="1" applyProtection="1">
      <alignment horizontal="center" vertical="center" wrapText="1"/>
    </xf>
    <xf numFmtId="3" fontId="52" fillId="3" borderId="5" xfId="0" applyNumberFormat="1" applyFont="1" applyFill="1" applyBorder="1" applyAlignment="1" applyProtection="1">
      <alignment horizontal="center" vertical="center" wrapText="1"/>
    </xf>
    <xf numFmtId="3" fontId="52" fillId="3" borderId="12" xfId="0" applyNumberFormat="1" applyFont="1" applyFill="1" applyBorder="1" applyAlignment="1" applyProtection="1">
      <alignment horizontal="center" vertical="center" wrapText="1"/>
    </xf>
    <xf numFmtId="3" fontId="52" fillId="3" borderId="3" xfId="0" applyNumberFormat="1" applyFont="1" applyFill="1" applyBorder="1" applyAlignment="1" applyProtection="1">
      <alignment horizontal="center" vertical="center" wrapText="1"/>
    </xf>
    <xf numFmtId="3" fontId="52" fillId="3" borderId="7" xfId="0" applyNumberFormat="1" applyFont="1" applyFill="1" applyBorder="1" applyAlignment="1" applyProtection="1">
      <alignment horizontal="center" vertical="center" wrapText="1"/>
    </xf>
    <xf numFmtId="3" fontId="52" fillId="3" borderId="11" xfId="0" applyNumberFormat="1" applyFont="1" applyFill="1" applyBorder="1" applyAlignment="1" applyProtection="1">
      <alignment horizontal="center" vertical="center" wrapText="1"/>
    </xf>
    <xf numFmtId="3" fontId="52" fillId="3" borderId="15" xfId="0" applyNumberFormat="1" applyFont="1" applyFill="1" applyBorder="1" applyAlignment="1" applyProtection="1">
      <alignment horizontal="center" vertical="center" wrapText="1"/>
    </xf>
    <xf numFmtId="3" fontId="52" fillId="3" borderId="10" xfId="0" applyNumberFormat="1" applyFont="1" applyFill="1" applyBorder="1" applyAlignment="1" applyProtection="1">
      <alignment horizontal="center" vertical="center" wrapText="1"/>
    </xf>
    <xf numFmtId="3" fontId="52" fillId="3" borderId="0" xfId="0" applyNumberFormat="1" applyFont="1" applyFill="1" applyBorder="1" applyAlignment="1" applyProtection="1">
      <alignment horizontal="center" vertical="center" wrapText="1"/>
    </xf>
    <xf numFmtId="3" fontId="52" fillId="3" borderId="13" xfId="0" applyNumberFormat="1" applyFont="1" applyFill="1" applyBorder="1" applyAlignment="1" applyProtection="1">
      <alignment horizontal="center" vertical="center" wrapText="1"/>
    </xf>
    <xf numFmtId="3" fontId="52" fillId="3" borderId="2" xfId="0" applyNumberFormat="1" applyFont="1" applyFill="1" applyBorder="1" applyAlignment="1" applyProtection="1">
      <alignment horizontal="center" vertical="center" wrapText="1"/>
    </xf>
    <xf numFmtId="3" fontId="52" fillId="3" borderId="9" xfId="0" applyNumberFormat="1" applyFont="1" applyFill="1" applyBorder="1" applyAlignment="1" applyProtection="1">
      <alignment horizontal="center" vertical="center" wrapText="1"/>
    </xf>
    <xf numFmtId="3" fontId="52" fillId="3" borderId="14" xfId="0" applyNumberFormat="1" applyFont="1" applyFill="1" applyBorder="1" applyAlignment="1" applyProtection="1">
      <alignment horizontal="center" vertical="center" wrapText="1"/>
    </xf>
    <xf numFmtId="3" fontId="52" fillId="3" borderId="4" xfId="0" applyNumberFormat="1" applyFont="1" applyFill="1" applyBorder="1" applyAlignment="1" applyProtection="1">
      <alignment horizontal="center" vertical="center" wrapText="1"/>
    </xf>
    <xf numFmtId="3" fontId="52" fillId="3" borderId="8" xfId="0" applyNumberFormat="1" applyFont="1" applyFill="1" applyBorder="1" applyAlignment="1" applyProtection="1">
      <alignment horizontal="center" vertical="center" wrapText="1"/>
    </xf>
    <xf numFmtId="3" fontId="52" fillId="3" borderId="6" xfId="0" applyNumberFormat="1" applyFont="1" applyFill="1" applyBorder="1" applyAlignment="1" applyProtection="1">
      <alignment horizontal="center" vertical="center" wrapText="1"/>
    </xf>
    <xf numFmtId="171" fontId="54" fillId="0" borderId="9" xfId="5" applyNumberFormat="1" applyFont="1" applyFill="1" applyBorder="1" applyAlignment="1" applyProtection="1">
      <alignment horizontal="center" vertical="top" wrapText="1"/>
      <protection locked="0"/>
    </xf>
    <xf numFmtId="3" fontId="14" fillId="3" borderId="5" xfId="0" applyNumberFormat="1" applyFont="1" applyFill="1" applyBorder="1" applyAlignment="1" applyProtection="1">
      <alignment horizontal="center" vertical="center"/>
    </xf>
    <xf numFmtId="3" fontId="14" fillId="3" borderId="12" xfId="0" applyNumberFormat="1" applyFont="1" applyFill="1" applyBorder="1" applyAlignment="1" applyProtection="1">
      <alignment horizontal="center" vertical="center"/>
    </xf>
    <xf numFmtId="3" fontId="14" fillId="3" borderId="3" xfId="0" applyNumberFormat="1" applyFont="1" applyFill="1" applyBorder="1" applyAlignment="1" applyProtection="1">
      <alignment horizontal="center" vertical="center"/>
    </xf>
    <xf numFmtId="3" fontId="14" fillId="3" borderId="5" xfId="0" applyNumberFormat="1" applyFont="1" applyFill="1" applyBorder="1" applyAlignment="1" applyProtection="1">
      <alignment horizontal="center" vertical="center" wrapText="1"/>
    </xf>
    <xf numFmtId="3" fontId="14" fillId="3" borderId="12" xfId="0" applyNumberFormat="1" applyFont="1" applyFill="1" applyBorder="1" applyAlignment="1" applyProtection="1">
      <alignment horizontal="center" vertical="center" wrapText="1"/>
    </xf>
    <xf numFmtId="3" fontId="14" fillId="3" borderId="3" xfId="0" applyNumberFormat="1" applyFont="1" applyFill="1" applyBorder="1" applyAlignment="1" applyProtection="1">
      <alignment horizontal="center" vertical="center" wrapText="1"/>
    </xf>
    <xf numFmtId="3" fontId="14" fillId="3" borderId="1" xfId="0" applyNumberFormat="1" applyFont="1" applyFill="1" applyBorder="1" applyAlignment="1" applyProtection="1">
      <alignment horizontal="center" vertical="center" textRotation="90" wrapText="1"/>
    </xf>
    <xf numFmtId="3" fontId="14" fillId="3" borderId="1" xfId="0" applyNumberFormat="1" applyFont="1" applyFill="1" applyBorder="1" applyAlignment="1" applyProtection="1">
      <alignment horizontal="center" vertical="center"/>
    </xf>
    <xf numFmtId="3" fontId="14" fillId="3" borderId="1" xfId="0" applyNumberFormat="1" applyFont="1" applyFill="1" applyBorder="1" applyAlignment="1" applyProtection="1">
      <alignment horizontal="center" vertical="center" wrapText="1"/>
    </xf>
    <xf numFmtId="171" fontId="72" fillId="0" borderId="0" xfId="0" applyNumberFormat="1" applyFont="1" applyBorder="1" applyAlignment="1" applyProtection="1">
      <alignment horizontal="center"/>
    </xf>
    <xf numFmtId="3" fontId="57" fillId="3" borderId="4" xfId="0" applyNumberFormat="1" applyFont="1" applyFill="1" applyBorder="1" applyAlignment="1" applyProtection="1">
      <alignment horizontal="center" vertical="center" wrapText="1"/>
    </xf>
    <xf numFmtId="3" fontId="57" fillId="3" borderId="6" xfId="0" applyNumberFormat="1" applyFont="1" applyFill="1" applyBorder="1" applyAlignment="1" applyProtection="1">
      <alignment horizontal="center" vertical="center" wrapText="1"/>
    </xf>
    <xf numFmtId="3" fontId="57" fillId="3" borderId="8" xfId="0" applyNumberFormat="1" applyFont="1" applyFill="1" applyBorder="1" applyAlignment="1" applyProtection="1">
      <alignment horizontal="center" vertical="center" wrapText="1"/>
    </xf>
    <xf numFmtId="171" fontId="0" fillId="0" borderId="9" xfId="0" applyNumberFormat="1" applyFont="1" applyBorder="1" applyAlignment="1">
      <alignment horizontal="center"/>
    </xf>
    <xf numFmtId="3" fontId="57" fillId="3" borderId="7" xfId="0" applyNumberFormat="1" applyFont="1" applyFill="1" applyBorder="1" applyAlignment="1" applyProtection="1">
      <alignment horizontal="center" vertical="center" wrapText="1"/>
    </xf>
    <xf numFmtId="3" fontId="57" fillId="3" borderId="15" xfId="0" applyNumberFormat="1" applyFont="1" applyFill="1" applyBorder="1" applyAlignment="1" applyProtection="1">
      <alignment horizontal="center" vertical="center" wrapText="1"/>
    </xf>
    <xf numFmtId="3" fontId="57" fillId="3" borderId="2" xfId="0" applyNumberFormat="1" applyFont="1" applyFill="1" applyBorder="1" applyAlignment="1" applyProtection="1">
      <alignment horizontal="center" vertical="center" wrapText="1"/>
    </xf>
    <xf numFmtId="3" fontId="57" fillId="3" borderId="14" xfId="0" applyNumberFormat="1" applyFont="1" applyFill="1" applyBorder="1" applyAlignment="1" applyProtection="1">
      <alignment horizontal="center" vertical="center" wrapText="1"/>
    </xf>
    <xf numFmtId="3" fontId="57" fillId="3" borderId="5" xfId="0" applyNumberFormat="1" applyFont="1" applyFill="1" applyBorder="1" applyAlignment="1" applyProtection="1">
      <alignment horizontal="center" vertical="center" wrapText="1"/>
    </xf>
    <xf numFmtId="3" fontId="57" fillId="3" borderId="12" xfId="0" applyNumberFormat="1" applyFont="1" applyFill="1" applyBorder="1" applyAlignment="1" applyProtection="1">
      <alignment horizontal="center" vertical="center" wrapText="1"/>
    </xf>
    <xf numFmtId="3" fontId="57" fillId="3" borderId="3" xfId="0" applyNumberFormat="1" applyFont="1" applyFill="1" applyBorder="1" applyAlignment="1" applyProtection="1">
      <alignment horizontal="center" vertical="center" wrapText="1"/>
    </xf>
    <xf numFmtId="0" fontId="48" fillId="0" borderId="0" xfId="0" applyFont="1" applyAlignment="1" applyProtection="1">
      <alignment horizontal="center" vertical="center"/>
    </xf>
    <xf numFmtId="171" fontId="0" fillId="0" borderId="9" xfId="0" applyNumberFormat="1" applyFont="1" applyBorder="1" applyAlignment="1" applyProtection="1">
      <alignment horizontal="center"/>
    </xf>
    <xf numFmtId="0" fontId="18" fillId="0" borderId="0" xfId="0" applyFont="1" applyAlignment="1">
      <alignment horizontal="left" indent="1"/>
    </xf>
    <xf numFmtId="3" fontId="56" fillId="3" borderId="4" xfId="0" applyNumberFormat="1" applyFont="1" applyFill="1" applyBorder="1" applyAlignment="1" applyProtection="1">
      <alignment horizontal="center" vertical="center" wrapText="1"/>
    </xf>
    <xf numFmtId="3" fontId="56" fillId="3" borderId="8" xfId="0" applyNumberFormat="1" applyFont="1" applyFill="1" applyBorder="1" applyAlignment="1" applyProtection="1">
      <alignment horizontal="center" vertical="center" wrapText="1"/>
    </xf>
    <xf numFmtId="3" fontId="56" fillId="3" borderId="6" xfId="0" applyNumberFormat="1" applyFont="1" applyFill="1" applyBorder="1" applyAlignment="1" applyProtection="1">
      <alignment horizontal="center" vertical="center" wrapText="1"/>
    </xf>
    <xf numFmtId="3" fontId="56" fillId="3" borderId="5" xfId="0" applyNumberFormat="1" applyFont="1" applyFill="1" applyBorder="1" applyAlignment="1" applyProtection="1">
      <alignment horizontal="center" vertical="center" textRotation="90" wrapText="1"/>
    </xf>
    <xf numFmtId="3" fontId="56" fillId="3" borderId="3" xfId="0" applyNumberFormat="1" applyFont="1" applyFill="1" applyBorder="1" applyAlignment="1" applyProtection="1">
      <alignment horizontal="center" vertical="center" textRotation="90" wrapText="1"/>
    </xf>
    <xf numFmtId="3" fontId="56" fillId="3" borderId="5" xfId="0" applyNumberFormat="1" applyFont="1" applyFill="1" applyBorder="1" applyAlignment="1" applyProtection="1">
      <alignment horizontal="center" vertical="center" wrapText="1"/>
    </xf>
    <xf numFmtId="3" fontId="56" fillId="3" borderId="3" xfId="0" applyNumberFormat="1" applyFont="1" applyFill="1" applyBorder="1" applyAlignment="1" applyProtection="1">
      <alignment horizontal="center" vertical="center" wrapText="1"/>
    </xf>
    <xf numFmtId="0" fontId="3" fillId="0" borderId="4" xfId="0" applyFont="1" applyBorder="1" applyAlignment="1">
      <alignment horizontal="left" vertical="center" wrapText="1" indent="1"/>
    </xf>
    <xf numFmtId="0" fontId="3" fillId="0" borderId="6" xfId="0" applyFont="1" applyBorder="1" applyAlignment="1">
      <alignment horizontal="left" vertical="center" wrapText="1" indent="1"/>
    </xf>
    <xf numFmtId="3" fontId="4" fillId="0" borderId="0" xfId="0" applyNumberFormat="1" applyFont="1" applyAlignment="1">
      <alignment horizontal="center" vertical="center" wrapText="1"/>
    </xf>
    <xf numFmtId="0" fontId="4" fillId="0" borderId="0" xfId="0" applyFont="1" applyBorder="1" applyAlignment="1" applyProtection="1">
      <alignment horizontal="left" vertical="center" indent="2"/>
    </xf>
    <xf numFmtId="0" fontId="8" fillId="0" borderId="0" xfId="0" applyFont="1" applyBorder="1" applyAlignment="1" applyProtection="1">
      <alignment horizontal="left" vertical="center" indent="2"/>
    </xf>
    <xf numFmtId="3" fontId="56" fillId="3" borderId="1" xfId="0" applyNumberFormat="1" applyFont="1" applyFill="1" applyBorder="1" applyAlignment="1" applyProtection="1">
      <alignment horizontal="center" vertical="center" wrapText="1"/>
    </xf>
    <xf numFmtId="0" fontId="45" fillId="0" borderId="0" xfId="6" applyNumberFormat="1" applyFont="1" applyFill="1" applyBorder="1" applyAlignment="1" applyProtection="1">
      <alignment horizontal="center" vertical="center" wrapText="1"/>
    </xf>
    <xf numFmtId="3" fontId="18" fillId="3" borderId="5" xfId="0" applyNumberFormat="1" applyFont="1" applyFill="1" applyBorder="1" applyAlignment="1" applyProtection="1">
      <alignment horizontal="center" vertical="center" wrapText="1"/>
    </xf>
    <xf numFmtId="3" fontId="18" fillId="3" borderId="12" xfId="0" applyNumberFormat="1" applyFont="1" applyFill="1" applyBorder="1" applyAlignment="1" applyProtection="1">
      <alignment horizontal="center" vertical="center" wrapText="1"/>
    </xf>
    <xf numFmtId="3" fontId="18" fillId="3" borderId="3" xfId="0" applyNumberFormat="1" applyFont="1" applyFill="1" applyBorder="1" applyAlignment="1" applyProtection="1">
      <alignment horizontal="center" vertical="center" wrapText="1"/>
    </xf>
    <xf numFmtId="0" fontId="34" fillId="0" borderId="0" xfId="6" applyNumberFormat="1" applyFont="1" applyFill="1" applyBorder="1" applyAlignment="1" applyProtection="1">
      <alignment horizontal="center" vertical="center"/>
    </xf>
    <xf numFmtId="3" fontId="18" fillId="3" borderId="7" xfId="0" applyNumberFormat="1" applyFont="1" applyFill="1" applyBorder="1" applyAlignment="1" applyProtection="1">
      <alignment horizontal="center" vertical="center" wrapText="1"/>
    </xf>
    <xf numFmtId="3" fontId="18" fillId="3" borderId="15" xfId="0" applyNumberFormat="1" applyFont="1" applyFill="1" applyBorder="1" applyAlignment="1" applyProtection="1">
      <alignment horizontal="center" vertical="center" wrapText="1"/>
    </xf>
    <xf numFmtId="3" fontId="18" fillId="3" borderId="2" xfId="0" applyNumberFormat="1" applyFont="1" applyFill="1" applyBorder="1" applyAlignment="1" applyProtection="1">
      <alignment horizontal="center" vertical="center" wrapText="1"/>
    </xf>
    <xf numFmtId="3" fontId="18" fillId="3" borderId="14" xfId="0" applyNumberFormat="1" applyFont="1" applyFill="1" applyBorder="1" applyAlignment="1" applyProtection="1">
      <alignment horizontal="center" vertical="center" wrapText="1"/>
    </xf>
    <xf numFmtId="3" fontId="18" fillId="3" borderId="4" xfId="0" applyNumberFormat="1" applyFont="1" applyFill="1" applyBorder="1" applyAlignment="1" applyProtection="1">
      <alignment horizontal="center" vertical="center" wrapText="1"/>
    </xf>
    <xf numFmtId="3" fontId="18" fillId="3" borderId="8" xfId="0" applyNumberFormat="1" applyFont="1" applyFill="1" applyBorder="1" applyAlignment="1" applyProtection="1">
      <alignment horizontal="center" vertical="center" wrapText="1"/>
    </xf>
    <xf numFmtId="3" fontId="18" fillId="3" borderId="6" xfId="0" applyNumberFormat="1" applyFont="1" applyFill="1" applyBorder="1" applyAlignment="1" applyProtection="1">
      <alignment horizontal="center" vertical="center" wrapText="1"/>
    </xf>
    <xf numFmtId="171" fontId="31" fillId="0" borderId="9" xfId="0" applyNumberFormat="1" applyFont="1" applyBorder="1" applyAlignment="1" applyProtection="1">
      <alignment horizontal="center" wrapText="1"/>
    </xf>
    <xf numFmtId="3" fontId="46" fillId="3" borderId="1" xfId="0" applyNumberFormat="1" applyFont="1" applyFill="1" applyBorder="1" applyAlignment="1" applyProtection="1">
      <alignment horizontal="center" vertical="center" wrapText="1"/>
    </xf>
    <xf numFmtId="0" fontId="110" fillId="0" borderId="0" xfId="10" applyNumberFormat="1" applyFont="1" applyFill="1" applyBorder="1" applyAlignment="1" applyProtection="1">
      <alignment horizontal="center" vertical="center" wrapText="1"/>
    </xf>
    <xf numFmtId="3" fontId="46" fillId="3" borderId="5" xfId="0" applyNumberFormat="1" applyFont="1" applyFill="1" applyBorder="1" applyAlignment="1" applyProtection="1">
      <alignment horizontal="center" vertical="center" wrapText="1"/>
    </xf>
    <xf numFmtId="3" fontId="46" fillId="3" borderId="12" xfId="0" applyNumberFormat="1" applyFont="1" applyFill="1" applyBorder="1" applyAlignment="1" applyProtection="1">
      <alignment horizontal="center" vertical="center" wrapText="1"/>
    </xf>
    <xf numFmtId="3" fontId="46" fillId="3" borderId="3" xfId="0" applyNumberFormat="1" applyFont="1" applyFill="1" applyBorder="1" applyAlignment="1" applyProtection="1">
      <alignment horizontal="center" vertical="center" wrapText="1"/>
    </xf>
    <xf numFmtId="3" fontId="46" fillId="3" borderId="7" xfId="0" applyNumberFormat="1" applyFont="1" applyFill="1" applyBorder="1" applyAlignment="1" applyProtection="1">
      <alignment horizontal="center" vertical="center" wrapText="1"/>
    </xf>
    <xf numFmtId="3" fontId="46" fillId="3" borderId="11" xfId="0" applyNumberFormat="1" applyFont="1" applyFill="1" applyBorder="1" applyAlignment="1" applyProtection="1">
      <alignment horizontal="center" vertical="center" wrapText="1"/>
    </xf>
    <xf numFmtId="3" fontId="46" fillId="3" borderId="15" xfId="0" applyNumberFormat="1" applyFont="1" applyFill="1" applyBorder="1" applyAlignment="1" applyProtection="1">
      <alignment horizontal="center" vertical="center" wrapText="1"/>
    </xf>
    <xf numFmtId="3" fontId="46" fillId="3" borderId="2" xfId="0" applyNumberFormat="1" applyFont="1" applyFill="1" applyBorder="1" applyAlignment="1" applyProtection="1">
      <alignment horizontal="center" vertical="center" wrapText="1"/>
    </xf>
    <xf numFmtId="3" fontId="46" fillId="3" borderId="9" xfId="0" applyNumberFormat="1" applyFont="1" applyFill="1" applyBorder="1" applyAlignment="1" applyProtection="1">
      <alignment horizontal="center" vertical="center" wrapText="1"/>
    </xf>
    <xf numFmtId="3" fontId="46" fillId="3" borderId="14" xfId="0" applyNumberFormat="1" applyFont="1" applyFill="1" applyBorder="1" applyAlignment="1" applyProtection="1">
      <alignment horizontal="center" vertical="center" wrapText="1"/>
    </xf>
    <xf numFmtId="171" fontId="72" fillId="0" borderId="9" xfId="0" applyNumberFormat="1" applyFont="1" applyBorder="1" applyAlignment="1" applyProtection="1">
      <alignment horizontal="center" wrapText="1"/>
    </xf>
    <xf numFmtId="0" fontId="24" fillId="0" borderId="0" xfId="0" applyFont="1" applyBorder="1" applyAlignment="1" applyProtection="1">
      <alignment horizontal="center" vertical="center"/>
    </xf>
    <xf numFmtId="0" fontId="25" fillId="0" borderId="0" xfId="0" applyFont="1" applyBorder="1" applyAlignment="1" applyProtection="1">
      <alignment horizontal="center" vertical="center"/>
    </xf>
    <xf numFmtId="3" fontId="18" fillId="3" borderId="1" xfId="0" applyNumberFormat="1" applyFont="1" applyFill="1" applyBorder="1" applyAlignment="1" applyProtection="1">
      <alignment horizontal="center" vertical="center" wrapText="1"/>
    </xf>
    <xf numFmtId="171" fontId="18" fillId="0" borderId="9" xfId="6" applyNumberFormat="1" applyFont="1" applyFill="1" applyBorder="1" applyAlignment="1" applyProtection="1">
      <alignment horizontal="center" vertical="top"/>
    </xf>
    <xf numFmtId="0" fontId="45" fillId="0" borderId="0" xfId="6" applyNumberFormat="1" applyFont="1" applyFill="1" applyBorder="1" applyAlignment="1" applyProtection="1">
      <alignment horizontal="center" vertical="top" wrapText="1"/>
    </xf>
    <xf numFmtId="2" fontId="3" fillId="0" borderId="5" xfId="0" applyNumberFormat="1" applyFont="1" applyFill="1" applyBorder="1" applyAlignment="1" applyProtection="1">
      <alignment horizontal="center" vertical="center"/>
    </xf>
    <xf numFmtId="2" fontId="3" fillId="0" borderId="12" xfId="0" applyNumberFormat="1" applyFont="1" applyFill="1" applyBorder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</xf>
    <xf numFmtId="0" fontId="15" fillId="0" borderId="0" xfId="0" applyFont="1" applyFill="1" applyAlignment="1" applyProtection="1">
      <alignment horizontal="center" vertical="center" wrapText="1"/>
    </xf>
    <xf numFmtId="0" fontId="3" fillId="0" borderId="4" xfId="0" applyFont="1" applyBorder="1" applyAlignment="1" applyProtection="1">
      <alignment horizontal="center" vertical="center"/>
    </xf>
    <xf numFmtId="0" fontId="3" fillId="0" borderId="8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center" vertical="center"/>
    </xf>
    <xf numFmtId="169" fontId="7" fillId="0" borderId="5" xfId="0" applyNumberFormat="1" applyFont="1" applyBorder="1" applyAlignment="1" applyProtection="1">
      <alignment horizontal="center" vertical="center"/>
    </xf>
    <xf numFmtId="169" fontId="2" fillId="0" borderId="12" xfId="0" applyNumberFormat="1" applyFont="1" applyBorder="1" applyAlignment="1" applyProtection="1">
      <alignment horizontal="center" vertical="center"/>
    </xf>
    <xf numFmtId="0" fontId="16" fillId="0" borderId="7" xfId="0" applyFont="1" applyBorder="1" applyAlignment="1" applyProtection="1">
      <alignment horizontal="center" vertical="center"/>
    </xf>
    <xf numFmtId="0" fontId="16" fillId="0" borderId="11" xfId="0" applyFont="1" applyBorder="1" applyAlignment="1" applyProtection="1">
      <alignment horizontal="center" vertical="center"/>
    </xf>
    <xf numFmtId="0" fontId="16" fillId="0" borderId="15" xfId="0" applyFont="1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center"/>
    </xf>
    <xf numFmtId="0" fontId="6" fillId="0" borderId="8" xfId="0" applyFont="1" applyBorder="1" applyAlignment="1" applyProtection="1">
      <alignment horizontal="center"/>
    </xf>
    <xf numFmtId="0" fontId="6" fillId="0" borderId="6" xfId="0" applyFont="1" applyBorder="1" applyAlignment="1" applyProtection="1">
      <alignment horizontal="center"/>
    </xf>
    <xf numFmtId="169" fontId="7" fillId="0" borderId="1" xfId="0" applyNumberFormat="1" applyFont="1" applyFill="1" applyBorder="1" applyAlignment="1" applyProtection="1">
      <alignment horizontal="center" vertical="center"/>
    </xf>
    <xf numFmtId="169" fontId="2" fillId="0" borderId="1" xfId="0" applyNumberFormat="1" applyFont="1" applyFill="1" applyBorder="1" applyAlignment="1" applyProtection="1">
      <alignment horizontal="center" vertical="center"/>
    </xf>
    <xf numFmtId="3" fontId="23" fillId="3" borderId="1" xfId="0" applyNumberFormat="1" applyFont="1" applyFill="1" applyBorder="1" applyAlignment="1" applyProtection="1">
      <alignment horizontal="center" vertical="center" wrapText="1"/>
    </xf>
    <xf numFmtId="49" fontId="2" fillId="0" borderId="5" xfId="0" applyNumberFormat="1" applyFont="1" applyBorder="1" applyAlignment="1" applyProtection="1">
      <alignment horizontal="center" vertical="center"/>
    </xf>
    <xf numFmtId="49" fontId="2" fillId="0" borderId="3" xfId="0" applyNumberFormat="1" applyFont="1" applyBorder="1" applyAlignment="1" applyProtection="1">
      <alignment horizontal="center" vertical="center"/>
    </xf>
    <xf numFmtId="0" fontId="2" fillId="0" borderId="11" xfId="0" applyFont="1" applyBorder="1" applyAlignment="1" applyProtection="1">
      <alignment horizontal="center" vertical="center"/>
    </xf>
    <xf numFmtId="0" fontId="2" fillId="0" borderId="15" xfId="0" applyFont="1" applyBorder="1" applyAlignment="1" applyProtection="1">
      <alignment horizontal="center" vertical="center"/>
    </xf>
    <xf numFmtId="0" fontId="2" fillId="0" borderId="2" xfId="0" applyFont="1" applyBorder="1" applyAlignment="1" applyProtection="1">
      <alignment horizontal="center" vertical="center"/>
    </xf>
    <xf numFmtId="0" fontId="2" fillId="0" borderId="9" xfId="0" applyFont="1" applyBorder="1" applyAlignment="1" applyProtection="1">
      <alignment horizontal="center" vertical="center"/>
    </xf>
    <xf numFmtId="0" fontId="2" fillId="0" borderId="14" xfId="0" applyFont="1" applyBorder="1" applyAlignment="1" applyProtection="1">
      <alignment horizontal="center" vertical="center"/>
    </xf>
    <xf numFmtId="0" fontId="16" fillId="0" borderId="4" xfId="0" applyFont="1" applyBorder="1" applyAlignment="1" applyProtection="1">
      <alignment horizontal="center" vertical="center" wrapText="1"/>
    </xf>
    <xf numFmtId="0" fontId="16" fillId="0" borderId="8" xfId="0" applyFont="1" applyBorder="1" applyAlignment="1" applyProtection="1">
      <alignment horizontal="center" vertical="center" wrapText="1"/>
    </xf>
    <xf numFmtId="0" fontId="16" fillId="0" borderId="6" xfId="0" applyFont="1" applyBorder="1" applyAlignment="1" applyProtection="1">
      <alignment horizontal="center" vertical="center" wrapText="1"/>
    </xf>
    <xf numFmtId="0" fontId="4" fillId="0" borderId="9" xfId="0" applyFont="1" applyBorder="1" applyAlignment="1" applyProtection="1">
      <alignment horizontal="center"/>
    </xf>
    <xf numFmtId="0" fontId="16" fillId="0" borderId="4" xfId="0" applyFont="1" applyBorder="1" applyAlignment="1" applyProtection="1">
      <alignment horizontal="center"/>
    </xf>
    <xf numFmtId="0" fontId="16" fillId="0" borderId="8" xfId="0" applyFont="1" applyBorder="1" applyAlignment="1" applyProtection="1">
      <alignment horizontal="center"/>
    </xf>
    <xf numFmtId="0" fontId="16" fillId="0" borderId="6" xfId="0" applyFont="1" applyBorder="1" applyAlignment="1" applyProtection="1">
      <alignment horizontal="center"/>
    </xf>
    <xf numFmtId="0" fontId="16" fillId="0" borderId="7" xfId="0" applyFont="1" applyBorder="1" applyAlignment="1" applyProtection="1">
      <alignment horizontal="center" vertical="center" wrapText="1"/>
    </xf>
    <xf numFmtId="0" fontId="16" fillId="0" borderId="11" xfId="0" quotePrefix="1" applyFont="1" applyBorder="1" applyAlignment="1" applyProtection="1">
      <alignment horizontal="center" vertical="center" wrapText="1"/>
    </xf>
    <xf numFmtId="0" fontId="16" fillId="0" borderId="15" xfId="0" quotePrefix="1" applyFont="1" applyBorder="1" applyAlignment="1" applyProtection="1">
      <alignment horizontal="center" vertical="center" wrapText="1"/>
    </xf>
    <xf numFmtId="0" fontId="2" fillId="0" borderId="10" xfId="0" applyFont="1" applyBorder="1" applyAlignment="1" applyProtection="1">
      <alignment horizontal="center" vertical="center"/>
    </xf>
    <xf numFmtId="0" fontId="2" fillId="0" borderId="0" xfId="0" applyFont="1" applyBorder="1" applyAlignment="1" applyProtection="1">
      <alignment horizontal="center" vertical="center"/>
    </xf>
    <xf numFmtId="0" fontId="2" fillId="0" borderId="1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/>
    </xf>
    <xf numFmtId="0" fontId="16" fillId="0" borderId="4" xfId="0" applyFont="1" applyBorder="1" applyAlignment="1" applyProtection="1">
      <alignment horizontal="center" vertical="center"/>
    </xf>
    <xf numFmtId="0" fontId="16" fillId="0" borderId="8" xfId="0" applyFont="1" applyBorder="1" applyAlignment="1" applyProtection="1">
      <alignment horizontal="center" vertical="center"/>
    </xf>
    <xf numFmtId="0" fontId="16" fillId="0" borderId="6" xfId="0" applyFont="1" applyBorder="1" applyAlignment="1" applyProtection="1">
      <alignment horizontal="center" vertical="center"/>
    </xf>
    <xf numFmtId="0" fontId="16" fillId="0" borderId="7" xfId="0" applyFont="1" applyBorder="1" applyAlignment="1" applyProtection="1">
      <alignment horizontal="center"/>
    </xf>
    <xf numFmtId="0" fontId="16" fillId="0" borderId="11" xfId="0" applyFont="1" applyBorder="1" applyAlignment="1" applyProtection="1">
      <alignment horizontal="center"/>
    </xf>
    <xf numFmtId="0" fontId="16" fillId="0" borderId="15" xfId="0" applyFont="1" applyBorder="1" applyAlignment="1" applyProtection="1">
      <alignment horizontal="center"/>
    </xf>
    <xf numFmtId="49" fontId="2" fillId="0" borderId="5" xfId="0" applyNumberFormat="1" applyFont="1" applyFill="1" applyBorder="1" applyAlignment="1" applyProtection="1">
      <alignment horizontal="center" vertical="center"/>
    </xf>
    <xf numFmtId="49" fontId="2" fillId="0" borderId="12" xfId="0" applyNumberFormat="1" applyFont="1" applyFill="1" applyBorder="1" applyAlignment="1" applyProtection="1">
      <alignment horizontal="center" vertical="center"/>
    </xf>
    <xf numFmtId="49" fontId="2" fillId="0" borderId="3" xfId="0" applyNumberFormat="1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 applyProtection="1">
      <alignment horizontal="center" vertical="center" wrapText="1"/>
    </xf>
    <xf numFmtId="0" fontId="16" fillId="0" borderId="7" xfId="0" quotePrefix="1" applyFont="1" applyFill="1" applyBorder="1" applyAlignment="1" applyProtection="1">
      <alignment horizontal="center" vertical="center"/>
    </xf>
    <xf numFmtId="0" fontId="16" fillId="0" borderId="11" xfId="0" quotePrefix="1" applyFont="1" applyFill="1" applyBorder="1" applyAlignment="1" applyProtection="1">
      <alignment horizontal="center" vertical="center"/>
    </xf>
    <xf numFmtId="0" fontId="16" fillId="0" borderId="10" xfId="0" quotePrefix="1" applyFont="1" applyFill="1" applyBorder="1" applyAlignment="1" applyProtection="1">
      <alignment horizontal="center" vertical="center"/>
    </xf>
    <xf numFmtId="0" fontId="16" fillId="0" borderId="0" xfId="0" quotePrefix="1" applyFont="1" applyFill="1" applyBorder="1" applyAlignment="1" applyProtection="1">
      <alignment horizontal="center" vertical="center"/>
    </xf>
    <xf numFmtId="0" fontId="16" fillId="0" borderId="2" xfId="0" quotePrefix="1" applyFont="1" applyFill="1" applyBorder="1" applyAlignment="1" applyProtection="1">
      <alignment horizontal="center" vertical="center"/>
    </xf>
    <xf numFmtId="0" fontId="16" fillId="0" borderId="9" xfId="0" quotePrefix="1" applyFont="1" applyFill="1" applyBorder="1" applyAlignment="1" applyProtection="1">
      <alignment horizontal="center" vertical="center"/>
    </xf>
    <xf numFmtId="0" fontId="3" fillId="0" borderId="7" xfId="0" applyFont="1" applyFill="1" applyBorder="1" applyAlignment="1" applyProtection="1">
      <alignment horizontal="center" vertical="center" wrapText="1"/>
    </xf>
    <xf numFmtId="0" fontId="3" fillId="0" borderId="11" xfId="0" applyFont="1" applyFill="1" applyBorder="1" applyAlignment="1" applyProtection="1">
      <alignment horizontal="center" vertical="center" wrapText="1"/>
    </xf>
    <xf numFmtId="0" fontId="3" fillId="0" borderId="15" xfId="0" applyFont="1" applyFill="1" applyBorder="1" applyAlignment="1" applyProtection="1">
      <alignment horizontal="center" vertical="center" wrapText="1"/>
    </xf>
    <xf numFmtId="0" fontId="3" fillId="0" borderId="2" xfId="0" applyFont="1" applyFill="1" applyBorder="1" applyAlignment="1" applyProtection="1">
      <alignment horizontal="center" vertical="center" wrapText="1"/>
    </xf>
    <xf numFmtId="0" fontId="3" fillId="0" borderId="9" xfId="0" applyFont="1" applyFill="1" applyBorder="1" applyAlignment="1" applyProtection="1">
      <alignment horizontal="center" vertical="center" wrapText="1"/>
    </xf>
    <xf numFmtId="0" fontId="3" fillId="0" borderId="14" xfId="0" applyFont="1" applyFill="1" applyBorder="1" applyAlignment="1" applyProtection="1">
      <alignment horizontal="center" vertical="center" wrapText="1"/>
    </xf>
    <xf numFmtId="0" fontId="16" fillId="0" borderId="10" xfId="0" applyFont="1" applyFill="1" applyBorder="1" applyAlignment="1" applyProtection="1">
      <alignment horizontal="center" vertical="center" wrapText="1"/>
    </xf>
    <xf numFmtId="0" fontId="16" fillId="0" borderId="0" xfId="0" quotePrefix="1" applyFont="1" applyFill="1" applyBorder="1" applyAlignment="1" applyProtection="1">
      <alignment horizontal="center" vertical="center" wrapText="1"/>
    </xf>
    <xf numFmtId="0" fontId="16" fillId="0" borderId="13" xfId="0" quotePrefix="1" applyFont="1" applyFill="1" applyBorder="1" applyAlignment="1" applyProtection="1">
      <alignment horizontal="center" vertical="center" wrapText="1"/>
    </xf>
    <xf numFmtId="0" fontId="2" fillId="0" borderId="2" xfId="0" applyFont="1" applyFill="1" applyBorder="1" applyAlignment="1" applyProtection="1">
      <alignment horizontal="center" vertical="center" wrapText="1"/>
    </xf>
    <xf numFmtId="0" fontId="2" fillId="0" borderId="9" xfId="0" applyFont="1" applyFill="1" applyBorder="1" applyAlignment="1" applyProtection="1">
      <alignment horizontal="center" vertical="center" wrapText="1"/>
    </xf>
    <xf numFmtId="0" fontId="2" fillId="0" borderId="14" xfId="0" applyFont="1" applyFill="1" applyBorder="1" applyAlignment="1" applyProtection="1">
      <alignment horizontal="center" vertical="center" wrapText="1"/>
    </xf>
    <xf numFmtId="169" fontId="7" fillId="0" borderId="5" xfId="0" applyNumberFormat="1" applyFont="1" applyFill="1" applyBorder="1" applyAlignment="1" applyProtection="1">
      <alignment horizontal="center" vertical="center"/>
    </xf>
    <xf numFmtId="169" fontId="2" fillId="0" borderId="3" xfId="0" applyNumberFormat="1" applyFont="1" applyFill="1" applyBorder="1" applyAlignment="1" applyProtection="1">
      <alignment horizontal="center" vertical="center"/>
    </xf>
    <xf numFmtId="0" fontId="16" fillId="0" borderId="4" xfId="0" applyFont="1" applyFill="1" applyBorder="1" applyAlignment="1" applyProtection="1">
      <alignment horizontal="center" vertical="center"/>
    </xf>
    <xf numFmtId="0" fontId="16" fillId="0" borderId="8" xfId="0" applyFont="1" applyFill="1" applyBorder="1" applyAlignment="1" applyProtection="1">
      <alignment horizontal="center" vertical="center"/>
    </xf>
    <xf numFmtId="0" fontId="16" fillId="0" borderId="6" xfId="0" applyFont="1" applyFill="1" applyBorder="1" applyAlignment="1" applyProtection="1">
      <alignment horizontal="center" vertical="center"/>
    </xf>
    <xf numFmtId="0" fontId="16" fillId="0" borderId="7" xfId="0" quotePrefix="1" applyFont="1" applyFill="1" applyBorder="1" applyAlignment="1" applyProtection="1">
      <alignment horizontal="center" vertical="center" wrapText="1"/>
    </xf>
    <xf numFmtId="0" fontId="16" fillId="0" borderId="11" xfId="0" quotePrefix="1" applyFont="1" applyFill="1" applyBorder="1" applyAlignment="1" applyProtection="1">
      <alignment horizontal="center" vertical="center" wrapText="1"/>
    </xf>
    <xf numFmtId="0" fontId="16" fillId="0" borderId="15" xfId="0" quotePrefix="1" applyFont="1" applyFill="1" applyBorder="1" applyAlignment="1" applyProtection="1">
      <alignment horizontal="center" vertical="center" wrapText="1"/>
    </xf>
    <xf numFmtId="0" fontId="2" fillId="0" borderId="10" xfId="0" applyFont="1" applyFill="1" applyBorder="1" applyAlignment="1" applyProtection="1">
      <alignment horizontal="center" vertical="center" wrapText="1"/>
    </xf>
    <xf numFmtId="0" fontId="2" fillId="0" borderId="0" xfId="0" applyFont="1" applyFill="1" applyBorder="1" applyAlignment="1" applyProtection="1">
      <alignment horizontal="center" vertical="center" wrapText="1"/>
    </xf>
    <xf numFmtId="0" fontId="2" fillId="0" borderId="13" xfId="0" applyFont="1" applyFill="1" applyBorder="1" applyAlignment="1" applyProtection="1">
      <alignment horizontal="center" vertical="center" wrapText="1"/>
    </xf>
    <xf numFmtId="169" fontId="7" fillId="0" borderId="5" xfId="0" applyNumberFormat="1" applyFont="1" applyBorder="1" applyAlignment="1" applyProtection="1">
      <alignment horizontal="center" vertical="center"/>
      <protection locked="0"/>
    </xf>
    <xf numFmtId="169" fontId="2" fillId="0" borderId="3" xfId="0" applyNumberFormat="1" applyFont="1" applyBorder="1" applyAlignment="1" applyProtection="1">
      <alignment horizontal="center" vertical="center"/>
      <protection locked="0"/>
    </xf>
    <xf numFmtId="0" fontId="0" fillId="0" borderId="3" xfId="0" applyBorder="1" applyProtection="1"/>
    <xf numFmtId="0" fontId="6" fillId="0" borderId="4" xfId="0" applyFont="1" applyFill="1" applyBorder="1" applyAlignment="1" applyProtection="1">
      <alignment horizontal="center"/>
    </xf>
    <xf numFmtId="0" fontId="6" fillId="0" borderId="8" xfId="0" applyFont="1" applyFill="1" applyBorder="1" applyAlignment="1" applyProtection="1">
      <alignment horizontal="center"/>
    </xf>
    <xf numFmtId="0" fontId="6" fillId="0" borderId="6" xfId="0" applyFont="1" applyFill="1" applyBorder="1" applyAlignment="1" applyProtection="1">
      <alignment horizontal="center"/>
    </xf>
    <xf numFmtId="0" fontId="0" fillId="0" borderId="1" xfId="0" applyFont="1" applyFill="1" applyBorder="1" applyAlignment="1" applyProtection="1">
      <alignment horizontal="center" vertical="center" wrapText="1"/>
    </xf>
    <xf numFmtId="0" fontId="0" fillId="0" borderId="7" xfId="0" applyFont="1" applyFill="1" applyBorder="1" applyAlignment="1" applyProtection="1">
      <alignment horizontal="center" vertical="center" wrapText="1"/>
    </xf>
    <xf numFmtId="0" fontId="0" fillId="0" borderId="11" xfId="0" applyFont="1" applyFill="1" applyBorder="1" applyAlignment="1" applyProtection="1">
      <alignment horizontal="center" vertical="center" wrapText="1"/>
    </xf>
    <xf numFmtId="0" fontId="0" fillId="0" borderId="15" xfId="0" applyFont="1" applyFill="1" applyBorder="1" applyAlignment="1" applyProtection="1">
      <alignment horizontal="center" vertical="center" wrapText="1"/>
    </xf>
    <xf numFmtId="0" fontId="0" fillId="0" borderId="2" xfId="0" applyFont="1" applyFill="1" applyBorder="1" applyAlignment="1" applyProtection="1">
      <alignment horizontal="center" vertical="center" wrapText="1"/>
    </xf>
    <xf numFmtId="0" fontId="0" fillId="0" borderId="9" xfId="0" applyFont="1" applyFill="1" applyBorder="1" applyAlignment="1" applyProtection="1">
      <alignment horizontal="center" vertical="center" wrapText="1"/>
    </xf>
    <xf numFmtId="0" fontId="0" fillId="0" borderId="14" xfId="0" applyFont="1" applyFill="1" applyBorder="1" applyAlignment="1" applyProtection="1">
      <alignment horizontal="center" vertical="center" wrapText="1"/>
    </xf>
    <xf numFmtId="0" fontId="5" fillId="0" borderId="4" xfId="0" applyFont="1" applyFill="1" applyBorder="1" applyAlignment="1" applyProtection="1">
      <alignment horizontal="center"/>
    </xf>
    <xf numFmtId="0" fontId="5" fillId="0" borderId="8" xfId="0" applyFont="1" applyFill="1" applyBorder="1" applyAlignment="1" applyProtection="1">
      <alignment horizontal="center"/>
    </xf>
    <xf numFmtId="0" fontId="5" fillId="0" borderId="6" xfId="0" applyFont="1" applyFill="1" applyBorder="1" applyAlignment="1" applyProtection="1">
      <alignment horizontal="center"/>
    </xf>
    <xf numFmtId="0" fontId="16" fillId="0" borderId="11" xfId="0" applyFont="1" applyFill="1" applyBorder="1" applyAlignment="1" applyProtection="1">
      <alignment horizontal="center" vertical="center" wrapText="1"/>
    </xf>
    <xf numFmtId="0" fontId="2" fillId="0" borderId="11" xfId="0" applyFont="1" applyFill="1" applyBorder="1" applyAlignment="1" applyProtection="1">
      <alignment horizontal="center" vertical="center" wrapText="1"/>
    </xf>
    <xf numFmtId="0" fontId="2" fillId="0" borderId="15" xfId="0" applyFont="1" applyFill="1" applyBorder="1" applyAlignment="1" applyProtection="1">
      <alignment horizontal="center" vertical="center" wrapText="1"/>
    </xf>
    <xf numFmtId="0" fontId="16" fillId="0" borderId="4" xfId="0" applyFont="1" applyFill="1" applyBorder="1" applyAlignment="1" applyProtection="1">
      <alignment horizontal="center" vertical="center" wrapText="1"/>
    </xf>
    <xf numFmtId="0" fontId="16" fillId="0" borderId="8" xfId="0" applyFont="1" applyFill="1" applyBorder="1" applyAlignment="1" applyProtection="1">
      <alignment horizontal="center" vertical="center" wrapText="1"/>
    </xf>
    <xf numFmtId="0" fontId="16" fillId="0" borderId="6" xfId="0" applyFont="1" applyFill="1" applyBorder="1" applyAlignment="1" applyProtection="1">
      <alignment horizontal="center" vertical="center" wrapText="1"/>
    </xf>
    <xf numFmtId="0" fontId="16" fillId="0" borderId="4" xfId="0" applyFont="1" applyFill="1" applyBorder="1" applyAlignment="1" applyProtection="1">
      <alignment horizontal="center"/>
    </xf>
    <xf numFmtId="0" fontId="16" fillId="0" borderId="8" xfId="0" applyFont="1" applyFill="1" applyBorder="1" applyAlignment="1" applyProtection="1">
      <alignment horizontal="center"/>
    </xf>
    <xf numFmtId="0" fontId="16" fillId="0" borderId="6" xfId="0" applyFont="1" applyFill="1" applyBorder="1" applyAlignment="1" applyProtection="1">
      <alignment horizontal="center"/>
    </xf>
    <xf numFmtId="0" fontId="2" fillId="0" borderId="8" xfId="0" applyFont="1" applyFill="1" applyBorder="1" applyAlignment="1" applyProtection="1">
      <alignment horizontal="center" vertical="center" wrapText="1"/>
    </xf>
    <xf numFmtId="0" fontId="2" fillId="0" borderId="6" xfId="0" applyFont="1" applyFill="1" applyBorder="1" applyAlignment="1" applyProtection="1">
      <alignment horizontal="center" vertical="center" wrapText="1"/>
    </xf>
    <xf numFmtId="169" fontId="2" fillId="0" borderId="12" xfId="0" applyNumberFormat="1" applyFont="1" applyFill="1" applyBorder="1" applyAlignment="1" applyProtection="1">
      <alignment horizontal="center" vertical="center"/>
    </xf>
    <xf numFmtId="0" fontId="16" fillId="0" borderId="7" xfId="0" applyFont="1" applyFill="1" applyBorder="1" applyAlignment="1" applyProtection="1">
      <alignment horizontal="center" vertical="center" wrapText="1"/>
    </xf>
    <xf numFmtId="0" fontId="5" fillId="0" borderId="4" xfId="0" applyFont="1" applyFill="1" applyBorder="1" applyAlignment="1" applyProtection="1">
      <alignment horizontal="left"/>
    </xf>
    <xf numFmtId="0" fontId="5" fillId="0" borderId="8" xfId="0" applyFont="1" applyFill="1" applyBorder="1" applyAlignment="1" applyProtection="1">
      <alignment horizontal="left"/>
    </xf>
    <xf numFmtId="0" fontId="5" fillId="0" borderId="6" xfId="0" applyFont="1" applyFill="1" applyBorder="1" applyAlignment="1" applyProtection="1">
      <alignment horizontal="left"/>
    </xf>
    <xf numFmtId="0" fontId="16" fillId="0" borderId="1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center" wrapText="1"/>
    </xf>
    <xf numFmtId="0" fontId="16" fillId="0" borderId="2" xfId="0" quotePrefix="1" applyFont="1" applyFill="1" applyBorder="1" applyAlignment="1" applyProtection="1">
      <alignment horizontal="center" vertical="center" wrapText="1"/>
    </xf>
    <xf numFmtId="0" fontId="16" fillId="0" borderId="9" xfId="0" applyFont="1" applyFill="1" applyBorder="1" applyAlignment="1" applyProtection="1">
      <alignment horizontal="center" vertical="center" wrapText="1"/>
    </xf>
    <xf numFmtId="0" fontId="16" fillId="0" borderId="14" xfId="0" applyFont="1" applyFill="1" applyBorder="1" applyAlignment="1" applyProtection="1">
      <alignment horizontal="center" vertical="center" wrapText="1"/>
    </xf>
    <xf numFmtId="0" fontId="137" fillId="0" borderId="0" xfId="0" applyFont="1" applyFill="1" applyBorder="1" applyAlignment="1" applyProtection="1">
      <alignment horizontal="center" vertical="center" wrapText="1"/>
    </xf>
  </cellXfs>
  <cellStyles count="1289">
    <cellStyle name="”ќђќ‘ћ‚›‰" xfId="12" xr:uid="{00000000-0005-0000-0000-000000000000}"/>
    <cellStyle name="”љ‘ђћ‚ђќќ›‰" xfId="13" xr:uid="{00000000-0005-0000-0000-000001000000}"/>
    <cellStyle name="„…ќ…†ќ›‰" xfId="14" xr:uid="{00000000-0005-0000-0000-000002000000}"/>
    <cellStyle name="‡ђѓћ‹ћ‚ћљ1" xfId="15" xr:uid="{00000000-0005-0000-0000-000003000000}"/>
    <cellStyle name="‡ђѓћ‹ћ‚ћљ2" xfId="16" xr:uid="{00000000-0005-0000-0000-000004000000}"/>
    <cellStyle name="’ћѓћ‚›‰" xfId="17" xr:uid="{00000000-0005-0000-0000-000005000000}"/>
    <cellStyle name="" xfId="18" xr:uid="{00000000-0005-0000-0000-000006000000}"/>
    <cellStyle name="" xfId="19" xr:uid="{00000000-0005-0000-0000-000007000000}"/>
    <cellStyle name="" xfId="20" xr:uid="{00000000-0005-0000-0000-000008000000}"/>
    <cellStyle name="" xfId="21" xr:uid="{00000000-0005-0000-0000-000009000000}"/>
    <cellStyle name="" xfId="22" xr:uid="{00000000-0005-0000-0000-00000A000000}"/>
    <cellStyle name="1" xfId="23" xr:uid="{00000000-0005-0000-0000-00000B000000}"/>
    <cellStyle name="2" xfId="24" xr:uid="{00000000-0005-0000-0000-00000C000000}"/>
    <cellStyle name="1 indent" xfId="1227" xr:uid="{00000000-0005-0000-0000-00000D000000}"/>
    <cellStyle name="2 indents" xfId="1228" xr:uid="{00000000-0005-0000-0000-00000E000000}"/>
    <cellStyle name="20% - Accent1" xfId="1229" xr:uid="{00000000-0005-0000-0000-00000F000000}"/>
    <cellStyle name="20% - Accent2" xfId="1230" xr:uid="{00000000-0005-0000-0000-000010000000}"/>
    <cellStyle name="20% - Accent3" xfId="1231" xr:uid="{00000000-0005-0000-0000-000011000000}"/>
    <cellStyle name="20% - Accent4" xfId="1232" xr:uid="{00000000-0005-0000-0000-000012000000}"/>
    <cellStyle name="20% - Accent5" xfId="1233" xr:uid="{00000000-0005-0000-0000-000013000000}"/>
    <cellStyle name="20% - Accent6" xfId="1234" xr:uid="{00000000-0005-0000-0000-000014000000}"/>
    <cellStyle name="20% - Акцент1 10" xfId="25" xr:uid="{00000000-0005-0000-0000-000015000000}"/>
    <cellStyle name="20% - Акцент1 11" xfId="26" xr:uid="{00000000-0005-0000-0000-000016000000}"/>
    <cellStyle name="20% - Акцент1 12" xfId="27" xr:uid="{00000000-0005-0000-0000-000017000000}"/>
    <cellStyle name="20% - Акцент1 13" xfId="28" xr:uid="{00000000-0005-0000-0000-000018000000}"/>
    <cellStyle name="20% - Акцент1 14" xfId="29" xr:uid="{00000000-0005-0000-0000-000019000000}"/>
    <cellStyle name="20% - Акцент1 15" xfId="30" xr:uid="{00000000-0005-0000-0000-00001A000000}"/>
    <cellStyle name="20% - Акцент1 16" xfId="31" xr:uid="{00000000-0005-0000-0000-00001B000000}"/>
    <cellStyle name="20% - Акцент1 17" xfId="32" xr:uid="{00000000-0005-0000-0000-00001C000000}"/>
    <cellStyle name="20% - Акцент1 18" xfId="33" xr:uid="{00000000-0005-0000-0000-00001D000000}"/>
    <cellStyle name="20% - Акцент1 19" xfId="34" xr:uid="{00000000-0005-0000-0000-00001E000000}"/>
    <cellStyle name="20% - Акцент1 2" xfId="35" xr:uid="{00000000-0005-0000-0000-00001F000000}"/>
    <cellStyle name="20% - Акцент1 20" xfId="36" xr:uid="{00000000-0005-0000-0000-000020000000}"/>
    <cellStyle name="20% - Акцент1 21" xfId="37" xr:uid="{00000000-0005-0000-0000-000021000000}"/>
    <cellStyle name="20% - Акцент1 22" xfId="38" xr:uid="{00000000-0005-0000-0000-000022000000}"/>
    <cellStyle name="20% - Акцент1 23" xfId="39" xr:uid="{00000000-0005-0000-0000-000023000000}"/>
    <cellStyle name="20% - Акцент1 24" xfId="40" xr:uid="{00000000-0005-0000-0000-000024000000}"/>
    <cellStyle name="20% - Акцент1 25" xfId="41" xr:uid="{00000000-0005-0000-0000-000025000000}"/>
    <cellStyle name="20% - Акцент1 26" xfId="42" xr:uid="{00000000-0005-0000-0000-000026000000}"/>
    <cellStyle name="20% - Акцент1 3" xfId="43" xr:uid="{00000000-0005-0000-0000-000027000000}"/>
    <cellStyle name="20% - Акцент1 4" xfId="44" xr:uid="{00000000-0005-0000-0000-000028000000}"/>
    <cellStyle name="20% - Акцент1 5" xfId="45" xr:uid="{00000000-0005-0000-0000-000029000000}"/>
    <cellStyle name="20% - Акцент1 6" xfId="46" xr:uid="{00000000-0005-0000-0000-00002A000000}"/>
    <cellStyle name="20% - Акцент1 7" xfId="47" xr:uid="{00000000-0005-0000-0000-00002B000000}"/>
    <cellStyle name="20% - Акцент1 8" xfId="48" xr:uid="{00000000-0005-0000-0000-00002C000000}"/>
    <cellStyle name="20% - Акцент1 9" xfId="49" xr:uid="{00000000-0005-0000-0000-00002D000000}"/>
    <cellStyle name="20% - Акцент2 10" xfId="50" xr:uid="{00000000-0005-0000-0000-00002E000000}"/>
    <cellStyle name="20% - Акцент2 11" xfId="51" xr:uid="{00000000-0005-0000-0000-00002F000000}"/>
    <cellStyle name="20% - Акцент2 12" xfId="52" xr:uid="{00000000-0005-0000-0000-000030000000}"/>
    <cellStyle name="20% - Акцент2 13" xfId="53" xr:uid="{00000000-0005-0000-0000-000031000000}"/>
    <cellStyle name="20% - Акцент2 14" xfId="54" xr:uid="{00000000-0005-0000-0000-000032000000}"/>
    <cellStyle name="20% - Акцент2 15" xfId="55" xr:uid="{00000000-0005-0000-0000-000033000000}"/>
    <cellStyle name="20% - Акцент2 16" xfId="56" xr:uid="{00000000-0005-0000-0000-000034000000}"/>
    <cellStyle name="20% - Акцент2 17" xfId="57" xr:uid="{00000000-0005-0000-0000-000035000000}"/>
    <cellStyle name="20% - Акцент2 18" xfId="58" xr:uid="{00000000-0005-0000-0000-000036000000}"/>
    <cellStyle name="20% - Акцент2 19" xfId="59" xr:uid="{00000000-0005-0000-0000-000037000000}"/>
    <cellStyle name="20% - Акцент2 2" xfId="60" xr:uid="{00000000-0005-0000-0000-000038000000}"/>
    <cellStyle name="20% - Акцент2 20" xfId="61" xr:uid="{00000000-0005-0000-0000-000039000000}"/>
    <cellStyle name="20% - Акцент2 21" xfId="62" xr:uid="{00000000-0005-0000-0000-00003A000000}"/>
    <cellStyle name="20% - Акцент2 22" xfId="63" xr:uid="{00000000-0005-0000-0000-00003B000000}"/>
    <cellStyle name="20% - Акцент2 23" xfId="64" xr:uid="{00000000-0005-0000-0000-00003C000000}"/>
    <cellStyle name="20% - Акцент2 24" xfId="65" xr:uid="{00000000-0005-0000-0000-00003D000000}"/>
    <cellStyle name="20% - Акцент2 25" xfId="66" xr:uid="{00000000-0005-0000-0000-00003E000000}"/>
    <cellStyle name="20% - Акцент2 26" xfId="67" xr:uid="{00000000-0005-0000-0000-00003F000000}"/>
    <cellStyle name="20% - Акцент2 3" xfId="68" xr:uid="{00000000-0005-0000-0000-000040000000}"/>
    <cellStyle name="20% - Акцент2 4" xfId="69" xr:uid="{00000000-0005-0000-0000-000041000000}"/>
    <cellStyle name="20% - Акцент2 5" xfId="70" xr:uid="{00000000-0005-0000-0000-000042000000}"/>
    <cellStyle name="20% - Акцент2 6" xfId="71" xr:uid="{00000000-0005-0000-0000-000043000000}"/>
    <cellStyle name="20% - Акцент2 7" xfId="72" xr:uid="{00000000-0005-0000-0000-000044000000}"/>
    <cellStyle name="20% - Акцент2 8" xfId="73" xr:uid="{00000000-0005-0000-0000-000045000000}"/>
    <cellStyle name="20% - Акцент2 9" xfId="74" xr:uid="{00000000-0005-0000-0000-000046000000}"/>
    <cellStyle name="20% - Акцент3 10" xfId="75" xr:uid="{00000000-0005-0000-0000-000047000000}"/>
    <cellStyle name="20% - Акцент3 11" xfId="76" xr:uid="{00000000-0005-0000-0000-000048000000}"/>
    <cellStyle name="20% - Акцент3 12" xfId="77" xr:uid="{00000000-0005-0000-0000-000049000000}"/>
    <cellStyle name="20% - Акцент3 13" xfId="78" xr:uid="{00000000-0005-0000-0000-00004A000000}"/>
    <cellStyle name="20% - Акцент3 14" xfId="79" xr:uid="{00000000-0005-0000-0000-00004B000000}"/>
    <cellStyle name="20% - Акцент3 15" xfId="80" xr:uid="{00000000-0005-0000-0000-00004C000000}"/>
    <cellStyle name="20% - Акцент3 16" xfId="81" xr:uid="{00000000-0005-0000-0000-00004D000000}"/>
    <cellStyle name="20% - Акцент3 17" xfId="82" xr:uid="{00000000-0005-0000-0000-00004E000000}"/>
    <cellStyle name="20% - Акцент3 18" xfId="83" xr:uid="{00000000-0005-0000-0000-00004F000000}"/>
    <cellStyle name="20% - Акцент3 19" xfId="84" xr:uid="{00000000-0005-0000-0000-000050000000}"/>
    <cellStyle name="20% - Акцент3 2" xfId="85" xr:uid="{00000000-0005-0000-0000-000051000000}"/>
    <cellStyle name="20% - Акцент3 20" xfId="86" xr:uid="{00000000-0005-0000-0000-000052000000}"/>
    <cellStyle name="20% - Акцент3 21" xfId="87" xr:uid="{00000000-0005-0000-0000-000053000000}"/>
    <cellStyle name="20% - Акцент3 22" xfId="88" xr:uid="{00000000-0005-0000-0000-000054000000}"/>
    <cellStyle name="20% - Акцент3 23" xfId="89" xr:uid="{00000000-0005-0000-0000-000055000000}"/>
    <cellStyle name="20% - Акцент3 24" xfId="90" xr:uid="{00000000-0005-0000-0000-000056000000}"/>
    <cellStyle name="20% - Акцент3 25" xfId="91" xr:uid="{00000000-0005-0000-0000-000057000000}"/>
    <cellStyle name="20% - Акцент3 26" xfId="92" xr:uid="{00000000-0005-0000-0000-000058000000}"/>
    <cellStyle name="20% - Акцент3 3" xfId="93" xr:uid="{00000000-0005-0000-0000-000059000000}"/>
    <cellStyle name="20% - Акцент3 4" xfId="94" xr:uid="{00000000-0005-0000-0000-00005A000000}"/>
    <cellStyle name="20% - Акцент3 5" xfId="95" xr:uid="{00000000-0005-0000-0000-00005B000000}"/>
    <cellStyle name="20% - Акцент3 6" xfId="96" xr:uid="{00000000-0005-0000-0000-00005C000000}"/>
    <cellStyle name="20% - Акцент3 7" xfId="97" xr:uid="{00000000-0005-0000-0000-00005D000000}"/>
    <cellStyle name="20% - Акцент3 8" xfId="98" xr:uid="{00000000-0005-0000-0000-00005E000000}"/>
    <cellStyle name="20% - Акцент3 9" xfId="99" xr:uid="{00000000-0005-0000-0000-00005F000000}"/>
    <cellStyle name="20% - Акцент4 10" xfId="100" xr:uid="{00000000-0005-0000-0000-000060000000}"/>
    <cellStyle name="20% - Акцент4 11" xfId="101" xr:uid="{00000000-0005-0000-0000-000061000000}"/>
    <cellStyle name="20% - Акцент4 12" xfId="102" xr:uid="{00000000-0005-0000-0000-000062000000}"/>
    <cellStyle name="20% - Акцент4 13" xfId="103" xr:uid="{00000000-0005-0000-0000-000063000000}"/>
    <cellStyle name="20% - Акцент4 14" xfId="104" xr:uid="{00000000-0005-0000-0000-000064000000}"/>
    <cellStyle name="20% - Акцент4 15" xfId="105" xr:uid="{00000000-0005-0000-0000-000065000000}"/>
    <cellStyle name="20% - Акцент4 16" xfId="106" xr:uid="{00000000-0005-0000-0000-000066000000}"/>
    <cellStyle name="20% - Акцент4 17" xfId="107" xr:uid="{00000000-0005-0000-0000-000067000000}"/>
    <cellStyle name="20% - Акцент4 18" xfId="108" xr:uid="{00000000-0005-0000-0000-000068000000}"/>
    <cellStyle name="20% - Акцент4 19" xfId="109" xr:uid="{00000000-0005-0000-0000-000069000000}"/>
    <cellStyle name="20% - Акцент4 2" xfId="110" xr:uid="{00000000-0005-0000-0000-00006A000000}"/>
    <cellStyle name="20% - Акцент4 20" xfId="111" xr:uid="{00000000-0005-0000-0000-00006B000000}"/>
    <cellStyle name="20% - Акцент4 21" xfId="112" xr:uid="{00000000-0005-0000-0000-00006C000000}"/>
    <cellStyle name="20% - Акцент4 22" xfId="113" xr:uid="{00000000-0005-0000-0000-00006D000000}"/>
    <cellStyle name="20% - Акцент4 23" xfId="114" xr:uid="{00000000-0005-0000-0000-00006E000000}"/>
    <cellStyle name="20% - Акцент4 24" xfId="115" xr:uid="{00000000-0005-0000-0000-00006F000000}"/>
    <cellStyle name="20% - Акцент4 25" xfId="116" xr:uid="{00000000-0005-0000-0000-000070000000}"/>
    <cellStyle name="20% - Акцент4 26" xfId="117" xr:uid="{00000000-0005-0000-0000-000071000000}"/>
    <cellStyle name="20% - Акцент4 3" xfId="118" xr:uid="{00000000-0005-0000-0000-000072000000}"/>
    <cellStyle name="20% - Акцент4 4" xfId="119" xr:uid="{00000000-0005-0000-0000-000073000000}"/>
    <cellStyle name="20% - Акцент4 5" xfId="120" xr:uid="{00000000-0005-0000-0000-000074000000}"/>
    <cellStyle name="20% - Акцент4 6" xfId="121" xr:uid="{00000000-0005-0000-0000-000075000000}"/>
    <cellStyle name="20% - Акцент4 7" xfId="122" xr:uid="{00000000-0005-0000-0000-000076000000}"/>
    <cellStyle name="20% - Акцент4 8" xfId="123" xr:uid="{00000000-0005-0000-0000-000077000000}"/>
    <cellStyle name="20% - Акцент4 9" xfId="124" xr:uid="{00000000-0005-0000-0000-000078000000}"/>
    <cellStyle name="20% - Акцент5 10" xfId="125" xr:uid="{00000000-0005-0000-0000-000079000000}"/>
    <cellStyle name="20% - Акцент5 11" xfId="126" xr:uid="{00000000-0005-0000-0000-00007A000000}"/>
    <cellStyle name="20% - Акцент5 12" xfId="127" xr:uid="{00000000-0005-0000-0000-00007B000000}"/>
    <cellStyle name="20% - Акцент5 13" xfId="128" xr:uid="{00000000-0005-0000-0000-00007C000000}"/>
    <cellStyle name="20% - Акцент5 14" xfId="129" xr:uid="{00000000-0005-0000-0000-00007D000000}"/>
    <cellStyle name="20% - Акцент5 15" xfId="130" xr:uid="{00000000-0005-0000-0000-00007E000000}"/>
    <cellStyle name="20% - Акцент5 16" xfId="131" xr:uid="{00000000-0005-0000-0000-00007F000000}"/>
    <cellStyle name="20% - Акцент5 17" xfId="132" xr:uid="{00000000-0005-0000-0000-000080000000}"/>
    <cellStyle name="20% - Акцент5 18" xfId="133" xr:uid="{00000000-0005-0000-0000-000081000000}"/>
    <cellStyle name="20% - Акцент5 19" xfId="134" xr:uid="{00000000-0005-0000-0000-000082000000}"/>
    <cellStyle name="20% - Акцент5 2" xfId="135" xr:uid="{00000000-0005-0000-0000-000083000000}"/>
    <cellStyle name="20% - Акцент5 20" xfId="136" xr:uid="{00000000-0005-0000-0000-000084000000}"/>
    <cellStyle name="20% - Акцент5 21" xfId="137" xr:uid="{00000000-0005-0000-0000-000085000000}"/>
    <cellStyle name="20% - Акцент5 22" xfId="138" xr:uid="{00000000-0005-0000-0000-000086000000}"/>
    <cellStyle name="20% - Акцент5 23" xfId="139" xr:uid="{00000000-0005-0000-0000-000087000000}"/>
    <cellStyle name="20% - Акцент5 24" xfId="140" xr:uid="{00000000-0005-0000-0000-000088000000}"/>
    <cellStyle name="20% - Акцент5 25" xfId="141" xr:uid="{00000000-0005-0000-0000-000089000000}"/>
    <cellStyle name="20% - Акцент5 26" xfId="142" xr:uid="{00000000-0005-0000-0000-00008A000000}"/>
    <cellStyle name="20% - Акцент5 3" xfId="143" xr:uid="{00000000-0005-0000-0000-00008B000000}"/>
    <cellStyle name="20% - Акцент5 4" xfId="144" xr:uid="{00000000-0005-0000-0000-00008C000000}"/>
    <cellStyle name="20% - Акцент5 5" xfId="145" xr:uid="{00000000-0005-0000-0000-00008D000000}"/>
    <cellStyle name="20% - Акцент5 6" xfId="146" xr:uid="{00000000-0005-0000-0000-00008E000000}"/>
    <cellStyle name="20% - Акцент5 7" xfId="147" xr:uid="{00000000-0005-0000-0000-00008F000000}"/>
    <cellStyle name="20% - Акцент5 8" xfId="148" xr:uid="{00000000-0005-0000-0000-000090000000}"/>
    <cellStyle name="20% - Акцент5 9" xfId="149" xr:uid="{00000000-0005-0000-0000-000091000000}"/>
    <cellStyle name="20% - Акцент6 10" xfId="150" xr:uid="{00000000-0005-0000-0000-000092000000}"/>
    <cellStyle name="20% - Акцент6 11" xfId="151" xr:uid="{00000000-0005-0000-0000-000093000000}"/>
    <cellStyle name="20% - Акцент6 12" xfId="152" xr:uid="{00000000-0005-0000-0000-000094000000}"/>
    <cellStyle name="20% - Акцент6 13" xfId="153" xr:uid="{00000000-0005-0000-0000-000095000000}"/>
    <cellStyle name="20% - Акцент6 14" xfId="154" xr:uid="{00000000-0005-0000-0000-000096000000}"/>
    <cellStyle name="20% - Акцент6 15" xfId="155" xr:uid="{00000000-0005-0000-0000-000097000000}"/>
    <cellStyle name="20% - Акцент6 16" xfId="156" xr:uid="{00000000-0005-0000-0000-000098000000}"/>
    <cellStyle name="20% - Акцент6 17" xfId="157" xr:uid="{00000000-0005-0000-0000-000099000000}"/>
    <cellStyle name="20% - Акцент6 18" xfId="158" xr:uid="{00000000-0005-0000-0000-00009A000000}"/>
    <cellStyle name="20% - Акцент6 19" xfId="159" xr:uid="{00000000-0005-0000-0000-00009B000000}"/>
    <cellStyle name="20% - Акцент6 2" xfId="160" xr:uid="{00000000-0005-0000-0000-00009C000000}"/>
    <cellStyle name="20% - Акцент6 20" xfId="161" xr:uid="{00000000-0005-0000-0000-00009D000000}"/>
    <cellStyle name="20% - Акцент6 21" xfId="162" xr:uid="{00000000-0005-0000-0000-00009E000000}"/>
    <cellStyle name="20% - Акцент6 22" xfId="163" xr:uid="{00000000-0005-0000-0000-00009F000000}"/>
    <cellStyle name="20% - Акцент6 23" xfId="164" xr:uid="{00000000-0005-0000-0000-0000A0000000}"/>
    <cellStyle name="20% - Акцент6 24" xfId="165" xr:uid="{00000000-0005-0000-0000-0000A1000000}"/>
    <cellStyle name="20% - Акцент6 25" xfId="166" xr:uid="{00000000-0005-0000-0000-0000A2000000}"/>
    <cellStyle name="20% - Акцент6 26" xfId="167" xr:uid="{00000000-0005-0000-0000-0000A3000000}"/>
    <cellStyle name="20% - Акцент6 3" xfId="168" xr:uid="{00000000-0005-0000-0000-0000A4000000}"/>
    <cellStyle name="20% - Акцент6 4" xfId="169" xr:uid="{00000000-0005-0000-0000-0000A5000000}"/>
    <cellStyle name="20% - Акцент6 5" xfId="170" xr:uid="{00000000-0005-0000-0000-0000A6000000}"/>
    <cellStyle name="20% - Акцент6 6" xfId="171" xr:uid="{00000000-0005-0000-0000-0000A7000000}"/>
    <cellStyle name="20% - Акцент6 7" xfId="172" xr:uid="{00000000-0005-0000-0000-0000A8000000}"/>
    <cellStyle name="20% - Акцент6 8" xfId="173" xr:uid="{00000000-0005-0000-0000-0000A9000000}"/>
    <cellStyle name="20% - Акцент6 9" xfId="174" xr:uid="{00000000-0005-0000-0000-0000AA000000}"/>
    <cellStyle name="4 indents" xfId="1235" xr:uid="{00000000-0005-0000-0000-0000AB000000}"/>
    <cellStyle name="40% - Accent1" xfId="1236" xr:uid="{00000000-0005-0000-0000-0000AC000000}"/>
    <cellStyle name="40% - Accent2" xfId="1237" xr:uid="{00000000-0005-0000-0000-0000AD000000}"/>
    <cellStyle name="40% - Accent3" xfId="1238" xr:uid="{00000000-0005-0000-0000-0000AE000000}"/>
    <cellStyle name="40% - Accent4" xfId="1239" xr:uid="{00000000-0005-0000-0000-0000AF000000}"/>
    <cellStyle name="40% - Accent5" xfId="1240" xr:uid="{00000000-0005-0000-0000-0000B0000000}"/>
    <cellStyle name="40% - Accent6" xfId="1241" xr:uid="{00000000-0005-0000-0000-0000B1000000}"/>
    <cellStyle name="40% - Акцент1 10" xfId="175" xr:uid="{00000000-0005-0000-0000-0000B2000000}"/>
    <cellStyle name="40% - Акцент1 11" xfId="176" xr:uid="{00000000-0005-0000-0000-0000B3000000}"/>
    <cellStyle name="40% - Акцент1 12" xfId="177" xr:uid="{00000000-0005-0000-0000-0000B4000000}"/>
    <cellStyle name="40% - Акцент1 13" xfId="178" xr:uid="{00000000-0005-0000-0000-0000B5000000}"/>
    <cellStyle name="40% - Акцент1 14" xfId="179" xr:uid="{00000000-0005-0000-0000-0000B6000000}"/>
    <cellStyle name="40% - Акцент1 15" xfId="180" xr:uid="{00000000-0005-0000-0000-0000B7000000}"/>
    <cellStyle name="40% - Акцент1 16" xfId="181" xr:uid="{00000000-0005-0000-0000-0000B8000000}"/>
    <cellStyle name="40% - Акцент1 17" xfId="182" xr:uid="{00000000-0005-0000-0000-0000B9000000}"/>
    <cellStyle name="40% - Акцент1 18" xfId="183" xr:uid="{00000000-0005-0000-0000-0000BA000000}"/>
    <cellStyle name="40% - Акцент1 19" xfId="184" xr:uid="{00000000-0005-0000-0000-0000BB000000}"/>
    <cellStyle name="40% - Акцент1 2" xfId="185" xr:uid="{00000000-0005-0000-0000-0000BC000000}"/>
    <cellStyle name="40% - Акцент1 20" xfId="186" xr:uid="{00000000-0005-0000-0000-0000BD000000}"/>
    <cellStyle name="40% - Акцент1 21" xfId="187" xr:uid="{00000000-0005-0000-0000-0000BE000000}"/>
    <cellStyle name="40% - Акцент1 22" xfId="188" xr:uid="{00000000-0005-0000-0000-0000BF000000}"/>
    <cellStyle name="40% - Акцент1 23" xfId="189" xr:uid="{00000000-0005-0000-0000-0000C0000000}"/>
    <cellStyle name="40% - Акцент1 24" xfId="190" xr:uid="{00000000-0005-0000-0000-0000C1000000}"/>
    <cellStyle name="40% - Акцент1 25" xfId="191" xr:uid="{00000000-0005-0000-0000-0000C2000000}"/>
    <cellStyle name="40% - Акцент1 26" xfId="192" xr:uid="{00000000-0005-0000-0000-0000C3000000}"/>
    <cellStyle name="40% - Акцент1 3" xfId="193" xr:uid="{00000000-0005-0000-0000-0000C4000000}"/>
    <cellStyle name="40% - Акцент1 4" xfId="194" xr:uid="{00000000-0005-0000-0000-0000C5000000}"/>
    <cellStyle name="40% - Акцент1 5" xfId="195" xr:uid="{00000000-0005-0000-0000-0000C6000000}"/>
    <cellStyle name="40% - Акцент1 6" xfId="196" xr:uid="{00000000-0005-0000-0000-0000C7000000}"/>
    <cellStyle name="40% - Акцент1 7" xfId="197" xr:uid="{00000000-0005-0000-0000-0000C8000000}"/>
    <cellStyle name="40% - Акцент1 8" xfId="198" xr:uid="{00000000-0005-0000-0000-0000C9000000}"/>
    <cellStyle name="40% - Акцент1 9" xfId="199" xr:uid="{00000000-0005-0000-0000-0000CA000000}"/>
    <cellStyle name="40% - Акцент2 10" xfId="200" xr:uid="{00000000-0005-0000-0000-0000CB000000}"/>
    <cellStyle name="40% - Акцент2 11" xfId="201" xr:uid="{00000000-0005-0000-0000-0000CC000000}"/>
    <cellStyle name="40% - Акцент2 12" xfId="202" xr:uid="{00000000-0005-0000-0000-0000CD000000}"/>
    <cellStyle name="40% - Акцент2 13" xfId="203" xr:uid="{00000000-0005-0000-0000-0000CE000000}"/>
    <cellStyle name="40% - Акцент2 14" xfId="204" xr:uid="{00000000-0005-0000-0000-0000CF000000}"/>
    <cellStyle name="40% - Акцент2 15" xfId="205" xr:uid="{00000000-0005-0000-0000-0000D0000000}"/>
    <cellStyle name="40% - Акцент2 16" xfId="206" xr:uid="{00000000-0005-0000-0000-0000D1000000}"/>
    <cellStyle name="40% - Акцент2 17" xfId="207" xr:uid="{00000000-0005-0000-0000-0000D2000000}"/>
    <cellStyle name="40% - Акцент2 18" xfId="208" xr:uid="{00000000-0005-0000-0000-0000D3000000}"/>
    <cellStyle name="40% - Акцент2 19" xfId="209" xr:uid="{00000000-0005-0000-0000-0000D4000000}"/>
    <cellStyle name="40% - Акцент2 2" xfId="210" xr:uid="{00000000-0005-0000-0000-0000D5000000}"/>
    <cellStyle name="40% - Акцент2 20" xfId="211" xr:uid="{00000000-0005-0000-0000-0000D6000000}"/>
    <cellStyle name="40% - Акцент2 21" xfId="212" xr:uid="{00000000-0005-0000-0000-0000D7000000}"/>
    <cellStyle name="40% - Акцент2 22" xfId="213" xr:uid="{00000000-0005-0000-0000-0000D8000000}"/>
    <cellStyle name="40% - Акцент2 23" xfId="214" xr:uid="{00000000-0005-0000-0000-0000D9000000}"/>
    <cellStyle name="40% - Акцент2 24" xfId="215" xr:uid="{00000000-0005-0000-0000-0000DA000000}"/>
    <cellStyle name="40% - Акцент2 25" xfId="216" xr:uid="{00000000-0005-0000-0000-0000DB000000}"/>
    <cellStyle name="40% - Акцент2 26" xfId="217" xr:uid="{00000000-0005-0000-0000-0000DC000000}"/>
    <cellStyle name="40% - Акцент2 3" xfId="218" xr:uid="{00000000-0005-0000-0000-0000DD000000}"/>
    <cellStyle name="40% - Акцент2 4" xfId="219" xr:uid="{00000000-0005-0000-0000-0000DE000000}"/>
    <cellStyle name="40% - Акцент2 5" xfId="220" xr:uid="{00000000-0005-0000-0000-0000DF000000}"/>
    <cellStyle name="40% - Акцент2 6" xfId="221" xr:uid="{00000000-0005-0000-0000-0000E0000000}"/>
    <cellStyle name="40% - Акцент2 7" xfId="222" xr:uid="{00000000-0005-0000-0000-0000E1000000}"/>
    <cellStyle name="40% - Акцент2 8" xfId="223" xr:uid="{00000000-0005-0000-0000-0000E2000000}"/>
    <cellStyle name="40% - Акцент2 9" xfId="224" xr:uid="{00000000-0005-0000-0000-0000E3000000}"/>
    <cellStyle name="40% - Акцент3 10" xfId="225" xr:uid="{00000000-0005-0000-0000-0000E4000000}"/>
    <cellStyle name="40% - Акцент3 11" xfId="226" xr:uid="{00000000-0005-0000-0000-0000E5000000}"/>
    <cellStyle name="40% - Акцент3 12" xfId="227" xr:uid="{00000000-0005-0000-0000-0000E6000000}"/>
    <cellStyle name="40% - Акцент3 13" xfId="228" xr:uid="{00000000-0005-0000-0000-0000E7000000}"/>
    <cellStyle name="40% - Акцент3 14" xfId="229" xr:uid="{00000000-0005-0000-0000-0000E8000000}"/>
    <cellStyle name="40% - Акцент3 15" xfId="230" xr:uid="{00000000-0005-0000-0000-0000E9000000}"/>
    <cellStyle name="40% - Акцент3 16" xfId="231" xr:uid="{00000000-0005-0000-0000-0000EA000000}"/>
    <cellStyle name="40% - Акцент3 17" xfId="232" xr:uid="{00000000-0005-0000-0000-0000EB000000}"/>
    <cellStyle name="40% - Акцент3 18" xfId="233" xr:uid="{00000000-0005-0000-0000-0000EC000000}"/>
    <cellStyle name="40% - Акцент3 19" xfId="234" xr:uid="{00000000-0005-0000-0000-0000ED000000}"/>
    <cellStyle name="40% - Акцент3 2" xfId="235" xr:uid="{00000000-0005-0000-0000-0000EE000000}"/>
    <cellStyle name="40% - Акцент3 20" xfId="236" xr:uid="{00000000-0005-0000-0000-0000EF000000}"/>
    <cellStyle name="40% - Акцент3 21" xfId="237" xr:uid="{00000000-0005-0000-0000-0000F0000000}"/>
    <cellStyle name="40% - Акцент3 22" xfId="238" xr:uid="{00000000-0005-0000-0000-0000F1000000}"/>
    <cellStyle name="40% - Акцент3 23" xfId="239" xr:uid="{00000000-0005-0000-0000-0000F2000000}"/>
    <cellStyle name="40% - Акцент3 24" xfId="240" xr:uid="{00000000-0005-0000-0000-0000F3000000}"/>
    <cellStyle name="40% - Акцент3 25" xfId="241" xr:uid="{00000000-0005-0000-0000-0000F4000000}"/>
    <cellStyle name="40% - Акцент3 26" xfId="242" xr:uid="{00000000-0005-0000-0000-0000F5000000}"/>
    <cellStyle name="40% - Акцент3 3" xfId="243" xr:uid="{00000000-0005-0000-0000-0000F6000000}"/>
    <cellStyle name="40% - Акцент3 4" xfId="244" xr:uid="{00000000-0005-0000-0000-0000F7000000}"/>
    <cellStyle name="40% - Акцент3 5" xfId="245" xr:uid="{00000000-0005-0000-0000-0000F8000000}"/>
    <cellStyle name="40% - Акцент3 6" xfId="246" xr:uid="{00000000-0005-0000-0000-0000F9000000}"/>
    <cellStyle name="40% - Акцент3 7" xfId="247" xr:uid="{00000000-0005-0000-0000-0000FA000000}"/>
    <cellStyle name="40% - Акцент3 8" xfId="248" xr:uid="{00000000-0005-0000-0000-0000FB000000}"/>
    <cellStyle name="40% - Акцент3 9" xfId="249" xr:uid="{00000000-0005-0000-0000-0000FC000000}"/>
    <cellStyle name="40% - Акцент4 10" xfId="250" xr:uid="{00000000-0005-0000-0000-0000FD000000}"/>
    <cellStyle name="40% - Акцент4 11" xfId="251" xr:uid="{00000000-0005-0000-0000-0000FE000000}"/>
    <cellStyle name="40% - Акцент4 12" xfId="252" xr:uid="{00000000-0005-0000-0000-0000FF000000}"/>
    <cellStyle name="40% - Акцент4 13" xfId="253" xr:uid="{00000000-0005-0000-0000-000000010000}"/>
    <cellStyle name="40% - Акцент4 14" xfId="254" xr:uid="{00000000-0005-0000-0000-000001010000}"/>
    <cellStyle name="40% - Акцент4 15" xfId="255" xr:uid="{00000000-0005-0000-0000-000002010000}"/>
    <cellStyle name="40% - Акцент4 16" xfId="256" xr:uid="{00000000-0005-0000-0000-000003010000}"/>
    <cellStyle name="40% - Акцент4 17" xfId="257" xr:uid="{00000000-0005-0000-0000-000004010000}"/>
    <cellStyle name="40% - Акцент4 18" xfId="258" xr:uid="{00000000-0005-0000-0000-000005010000}"/>
    <cellStyle name="40% - Акцент4 19" xfId="259" xr:uid="{00000000-0005-0000-0000-000006010000}"/>
    <cellStyle name="40% - Акцент4 2" xfId="260" xr:uid="{00000000-0005-0000-0000-000007010000}"/>
    <cellStyle name="40% - Акцент4 20" xfId="261" xr:uid="{00000000-0005-0000-0000-000008010000}"/>
    <cellStyle name="40% - Акцент4 21" xfId="262" xr:uid="{00000000-0005-0000-0000-000009010000}"/>
    <cellStyle name="40% - Акцент4 22" xfId="263" xr:uid="{00000000-0005-0000-0000-00000A010000}"/>
    <cellStyle name="40% - Акцент4 23" xfId="264" xr:uid="{00000000-0005-0000-0000-00000B010000}"/>
    <cellStyle name="40% - Акцент4 24" xfId="265" xr:uid="{00000000-0005-0000-0000-00000C010000}"/>
    <cellStyle name="40% - Акцент4 25" xfId="266" xr:uid="{00000000-0005-0000-0000-00000D010000}"/>
    <cellStyle name="40% - Акцент4 26" xfId="267" xr:uid="{00000000-0005-0000-0000-00000E010000}"/>
    <cellStyle name="40% - Акцент4 3" xfId="268" xr:uid="{00000000-0005-0000-0000-00000F010000}"/>
    <cellStyle name="40% - Акцент4 4" xfId="269" xr:uid="{00000000-0005-0000-0000-000010010000}"/>
    <cellStyle name="40% - Акцент4 5" xfId="270" xr:uid="{00000000-0005-0000-0000-000011010000}"/>
    <cellStyle name="40% - Акцент4 6" xfId="271" xr:uid="{00000000-0005-0000-0000-000012010000}"/>
    <cellStyle name="40% - Акцент4 7" xfId="272" xr:uid="{00000000-0005-0000-0000-000013010000}"/>
    <cellStyle name="40% - Акцент4 8" xfId="273" xr:uid="{00000000-0005-0000-0000-000014010000}"/>
    <cellStyle name="40% - Акцент4 9" xfId="274" xr:uid="{00000000-0005-0000-0000-000015010000}"/>
    <cellStyle name="40% - Акцент5 10" xfId="275" xr:uid="{00000000-0005-0000-0000-000016010000}"/>
    <cellStyle name="40% - Акцент5 11" xfId="276" xr:uid="{00000000-0005-0000-0000-000017010000}"/>
    <cellStyle name="40% - Акцент5 12" xfId="277" xr:uid="{00000000-0005-0000-0000-000018010000}"/>
    <cellStyle name="40% - Акцент5 13" xfId="278" xr:uid="{00000000-0005-0000-0000-000019010000}"/>
    <cellStyle name="40% - Акцент5 14" xfId="279" xr:uid="{00000000-0005-0000-0000-00001A010000}"/>
    <cellStyle name="40% - Акцент5 15" xfId="280" xr:uid="{00000000-0005-0000-0000-00001B010000}"/>
    <cellStyle name="40% - Акцент5 16" xfId="281" xr:uid="{00000000-0005-0000-0000-00001C010000}"/>
    <cellStyle name="40% - Акцент5 17" xfId="282" xr:uid="{00000000-0005-0000-0000-00001D010000}"/>
    <cellStyle name="40% - Акцент5 18" xfId="283" xr:uid="{00000000-0005-0000-0000-00001E010000}"/>
    <cellStyle name="40% - Акцент5 19" xfId="284" xr:uid="{00000000-0005-0000-0000-00001F010000}"/>
    <cellStyle name="40% - Акцент5 2" xfId="285" xr:uid="{00000000-0005-0000-0000-000020010000}"/>
    <cellStyle name="40% - Акцент5 20" xfId="286" xr:uid="{00000000-0005-0000-0000-000021010000}"/>
    <cellStyle name="40% - Акцент5 21" xfId="287" xr:uid="{00000000-0005-0000-0000-000022010000}"/>
    <cellStyle name="40% - Акцент5 22" xfId="288" xr:uid="{00000000-0005-0000-0000-000023010000}"/>
    <cellStyle name="40% - Акцент5 23" xfId="289" xr:uid="{00000000-0005-0000-0000-000024010000}"/>
    <cellStyle name="40% - Акцент5 24" xfId="290" xr:uid="{00000000-0005-0000-0000-000025010000}"/>
    <cellStyle name="40% - Акцент5 25" xfId="291" xr:uid="{00000000-0005-0000-0000-000026010000}"/>
    <cellStyle name="40% - Акцент5 26" xfId="292" xr:uid="{00000000-0005-0000-0000-000027010000}"/>
    <cellStyle name="40% - Акцент5 3" xfId="293" xr:uid="{00000000-0005-0000-0000-000028010000}"/>
    <cellStyle name="40% - Акцент5 4" xfId="294" xr:uid="{00000000-0005-0000-0000-000029010000}"/>
    <cellStyle name="40% - Акцент5 5" xfId="295" xr:uid="{00000000-0005-0000-0000-00002A010000}"/>
    <cellStyle name="40% - Акцент5 6" xfId="296" xr:uid="{00000000-0005-0000-0000-00002B010000}"/>
    <cellStyle name="40% - Акцент5 7" xfId="297" xr:uid="{00000000-0005-0000-0000-00002C010000}"/>
    <cellStyle name="40% - Акцент5 8" xfId="298" xr:uid="{00000000-0005-0000-0000-00002D010000}"/>
    <cellStyle name="40% - Акцент5 9" xfId="299" xr:uid="{00000000-0005-0000-0000-00002E010000}"/>
    <cellStyle name="40% - Акцент6 10" xfId="300" xr:uid="{00000000-0005-0000-0000-00002F010000}"/>
    <cellStyle name="40% - Акцент6 11" xfId="301" xr:uid="{00000000-0005-0000-0000-000030010000}"/>
    <cellStyle name="40% - Акцент6 12" xfId="302" xr:uid="{00000000-0005-0000-0000-000031010000}"/>
    <cellStyle name="40% - Акцент6 13" xfId="303" xr:uid="{00000000-0005-0000-0000-000032010000}"/>
    <cellStyle name="40% - Акцент6 14" xfId="304" xr:uid="{00000000-0005-0000-0000-000033010000}"/>
    <cellStyle name="40% - Акцент6 15" xfId="305" xr:uid="{00000000-0005-0000-0000-000034010000}"/>
    <cellStyle name="40% - Акцент6 16" xfId="306" xr:uid="{00000000-0005-0000-0000-000035010000}"/>
    <cellStyle name="40% - Акцент6 17" xfId="307" xr:uid="{00000000-0005-0000-0000-000036010000}"/>
    <cellStyle name="40% - Акцент6 18" xfId="308" xr:uid="{00000000-0005-0000-0000-000037010000}"/>
    <cellStyle name="40% - Акцент6 19" xfId="309" xr:uid="{00000000-0005-0000-0000-000038010000}"/>
    <cellStyle name="40% - Акцент6 2" xfId="310" xr:uid="{00000000-0005-0000-0000-000039010000}"/>
    <cellStyle name="40% - Акцент6 20" xfId="311" xr:uid="{00000000-0005-0000-0000-00003A010000}"/>
    <cellStyle name="40% - Акцент6 21" xfId="312" xr:uid="{00000000-0005-0000-0000-00003B010000}"/>
    <cellStyle name="40% - Акцент6 22" xfId="313" xr:uid="{00000000-0005-0000-0000-00003C010000}"/>
    <cellStyle name="40% - Акцент6 23" xfId="314" xr:uid="{00000000-0005-0000-0000-00003D010000}"/>
    <cellStyle name="40% - Акцент6 24" xfId="315" xr:uid="{00000000-0005-0000-0000-00003E010000}"/>
    <cellStyle name="40% - Акцент6 25" xfId="316" xr:uid="{00000000-0005-0000-0000-00003F010000}"/>
    <cellStyle name="40% - Акцент6 26" xfId="317" xr:uid="{00000000-0005-0000-0000-000040010000}"/>
    <cellStyle name="40% - Акцент6 3" xfId="318" xr:uid="{00000000-0005-0000-0000-000041010000}"/>
    <cellStyle name="40% - Акцент6 4" xfId="319" xr:uid="{00000000-0005-0000-0000-000042010000}"/>
    <cellStyle name="40% - Акцент6 5" xfId="320" xr:uid="{00000000-0005-0000-0000-000043010000}"/>
    <cellStyle name="40% - Акцент6 6" xfId="321" xr:uid="{00000000-0005-0000-0000-000044010000}"/>
    <cellStyle name="40% - Акцент6 7" xfId="322" xr:uid="{00000000-0005-0000-0000-000045010000}"/>
    <cellStyle name="40% - Акцент6 8" xfId="323" xr:uid="{00000000-0005-0000-0000-000046010000}"/>
    <cellStyle name="40% - Акцент6 9" xfId="324" xr:uid="{00000000-0005-0000-0000-000047010000}"/>
    <cellStyle name="60% - Accent1" xfId="1242" xr:uid="{00000000-0005-0000-0000-000048010000}"/>
    <cellStyle name="60% - Accent2" xfId="1243" xr:uid="{00000000-0005-0000-0000-000049010000}"/>
    <cellStyle name="60% - Accent3" xfId="1244" xr:uid="{00000000-0005-0000-0000-00004A010000}"/>
    <cellStyle name="60% - Accent4" xfId="1245" xr:uid="{00000000-0005-0000-0000-00004B010000}"/>
    <cellStyle name="60% - Accent5" xfId="1246" xr:uid="{00000000-0005-0000-0000-00004C010000}"/>
    <cellStyle name="60% - Accent6" xfId="1247" xr:uid="{00000000-0005-0000-0000-00004D010000}"/>
    <cellStyle name="Accent1" xfId="1248" xr:uid="{00000000-0005-0000-0000-00004E010000}"/>
    <cellStyle name="Accent2" xfId="1249" xr:uid="{00000000-0005-0000-0000-00004F010000}"/>
    <cellStyle name="Accent3" xfId="1250" xr:uid="{00000000-0005-0000-0000-000050010000}"/>
    <cellStyle name="Accent4" xfId="1251" xr:uid="{00000000-0005-0000-0000-000051010000}"/>
    <cellStyle name="Accent5" xfId="1252" xr:uid="{00000000-0005-0000-0000-000052010000}"/>
    <cellStyle name="Accent6" xfId="1253" xr:uid="{00000000-0005-0000-0000-000053010000}"/>
    <cellStyle name="Bad" xfId="1254" xr:uid="{00000000-0005-0000-0000-000054010000}"/>
    <cellStyle name="Calculation" xfId="1255" xr:uid="{00000000-0005-0000-0000-000055010000}"/>
    <cellStyle name="Check Cell" xfId="1256" xr:uid="{00000000-0005-0000-0000-000056010000}"/>
    <cellStyle name="Column_Title" xfId="325" xr:uid="{00000000-0005-0000-0000-000057010000}"/>
    <cellStyle name="Comma [0]_1 MAIN" xfId="326" xr:uid="{00000000-0005-0000-0000-000058010000}"/>
    <cellStyle name="Comma 2" xfId="1257" xr:uid="{00000000-0005-0000-0000-000059010000}"/>
    <cellStyle name="Comma_1 MAIN" xfId="327" xr:uid="{00000000-0005-0000-0000-00005A010000}"/>
    <cellStyle name="Comma0" xfId="1258" xr:uid="{00000000-0005-0000-0000-00005B010000}"/>
    <cellStyle name="common" xfId="1259" xr:uid="{00000000-0005-0000-0000-00005C010000}"/>
    <cellStyle name="Currency_Copy of SEI1098d" xfId="1260" xr:uid="{00000000-0005-0000-0000-00005D010000}"/>
    <cellStyle name="Currency0" xfId="1261" xr:uid="{00000000-0005-0000-0000-00005E010000}"/>
    <cellStyle name="Date" xfId="1262" xr:uid="{00000000-0005-0000-0000-00005F010000}"/>
    <cellStyle name="Euro" xfId="1263" xr:uid="{00000000-0005-0000-0000-000060010000}"/>
    <cellStyle name="Excel.Chart" xfId="1264" xr:uid="{00000000-0005-0000-0000-000061010000}"/>
    <cellStyle name="Explanatory Text" xfId="1265" xr:uid="{00000000-0005-0000-0000-000062010000}"/>
    <cellStyle name="Fixed" xfId="1266" xr:uid="{00000000-0005-0000-0000-000063010000}"/>
    <cellStyle name="Good" xfId="1267" xr:uid="{00000000-0005-0000-0000-000064010000}"/>
    <cellStyle name="Heading 1" xfId="1268" xr:uid="{00000000-0005-0000-0000-000065010000}"/>
    <cellStyle name="Heading 2" xfId="1269" xr:uid="{00000000-0005-0000-0000-000066010000}"/>
    <cellStyle name="Heading 3" xfId="1270" xr:uid="{00000000-0005-0000-0000-000067010000}"/>
    <cellStyle name="Heading 4" xfId="1271" xr:uid="{00000000-0005-0000-0000-000068010000}"/>
    <cellStyle name="imf-one decimal" xfId="1272" xr:uid="{00000000-0005-0000-0000-000069010000}"/>
    <cellStyle name="Input" xfId="1273" xr:uid="{00000000-0005-0000-0000-00006A010000}"/>
    <cellStyle name="Linked Cell" xfId="1274" xr:uid="{00000000-0005-0000-0000-00006B010000}"/>
    <cellStyle name="Millares [0]_11.1.3. bis" xfId="1275" xr:uid="{00000000-0005-0000-0000-00006C010000}"/>
    <cellStyle name="Millares_11.1.3. bis" xfId="1276" xr:uid="{00000000-0005-0000-0000-00006D010000}"/>
    <cellStyle name="Moneda [0]_11.1.3. bis" xfId="1277" xr:uid="{00000000-0005-0000-0000-00006E010000}"/>
    <cellStyle name="Moneda_11.1.3. bis" xfId="1278" xr:uid="{00000000-0005-0000-0000-00006F010000}"/>
    <cellStyle name="mystyle" xfId="1279" xr:uid="{00000000-0005-0000-0000-000070010000}"/>
    <cellStyle name="Neutral" xfId="1280" xr:uid="{00000000-0005-0000-0000-000071010000}"/>
    <cellStyle name="Normal - Style1" xfId="1281" xr:uid="{00000000-0005-0000-0000-000072010000}"/>
    <cellStyle name="Normal 2" xfId="328" xr:uid="{00000000-0005-0000-0000-000073010000}"/>
    <cellStyle name="Normal 2 2" xfId="1226" xr:uid="{00000000-0005-0000-0000-000074010000}"/>
    <cellStyle name="Normal_1 MAIN" xfId="329" xr:uid="{00000000-0005-0000-0000-000075010000}"/>
    <cellStyle name="Note" xfId="1282" xr:uid="{00000000-0005-0000-0000-000076010000}"/>
    <cellStyle name="Output" xfId="1283" xr:uid="{00000000-0005-0000-0000-000077010000}"/>
    <cellStyle name="Percent 2" xfId="330" xr:uid="{00000000-0005-0000-0000-000078010000}"/>
    <cellStyle name="Percent_Copy of SEI1098d" xfId="1284" xr:uid="{00000000-0005-0000-0000-000079010000}"/>
    <cellStyle name="percentage difference" xfId="1285" xr:uid="{00000000-0005-0000-0000-00007A010000}"/>
    <cellStyle name="Title" xfId="1286" xr:uid="{00000000-0005-0000-0000-00007B010000}"/>
    <cellStyle name="Total" xfId="1287" xr:uid="{00000000-0005-0000-0000-00007C010000}"/>
    <cellStyle name="Warning Text" xfId="1288" xr:uid="{00000000-0005-0000-0000-00007D010000}"/>
    <cellStyle name="Обычный" xfId="0" builtinId="0"/>
    <cellStyle name="Обычный 10" xfId="331" xr:uid="{00000000-0005-0000-0000-00007F010000}"/>
    <cellStyle name="Обычный 10 10" xfId="332" xr:uid="{00000000-0005-0000-0000-000080010000}"/>
    <cellStyle name="Обычный 10 11" xfId="333" xr:uid="{00000000-0005-0000-0000-000081010000}"/>
    <cellStyle name="Обычный 10 2" xfId="334" xr:uid="{00000000-0005-0000-0000-000082010000}"/>
    <cellStyle name="Обычный 10 2 2" xfId="335" xr:uid="{00000000-0005-0000-0000-000083010000}"/>
    <cellStyle name="Обычный 10 2 2 2" xfId="336" xr:uid="{00000000-0005-0000-0000-000084010000}"/>
    <cellStyle name="Обычный 10 2 3" xfId="337" xr:uid="{00000000-0005-0000-0000-000085010000}"/>
    <cellStyle name="Обычный 10 3" xfId="338" xr:uid="{00000000-0005-0000-0000-000086010000}"/>
    <cellStyle name="Обычный 10 3 2" xfId="339" xr:uid="{00000000-0005-0000-0000-000087010000}"/>
    <cellStyle name="Обычный 10 3 3" xfId="340" xr:uid="{00000000-0005-0000-0000-000088010000}"/>
    <cellStyle name="Обычный 10 4" xfId="341" xr:uid="{00000000-0005-0000-0000-000089010000}"/>
    <cellStyle name="Обычный 10 5" xfId="342" xr:uid="{00000000-0005-0000-0000-00008A010000}"/>
    <cellStyle name="Обычный 10 6" xfId="343" xr:uid="{00000000-0005-0000-0000-00008B010000}"/>
    <cellStyle name="Обычный 10 7" xfId="344" xr:uid="{00000000-0005-0000-0000-00008C010000}"/>
    <cellStyle name="Обычный 10 8" xfId="345" xr:uid="{00000000-0005-0000-0000-00008D010000}"/>
    <cellStyle name="Обычный 10 9" xfId="346" xr:uid="{00000000-0005-0000-0000-00008E010000}"/>
    <cellStyle name="Обычный 100" xfId="347" xr:uid="{00000000-0005-0000-0000-00008F010000}"/>
    <cellStyle name="Обычный 100 2" xfId="348" xr:uid="{00000000-0005-0000-0000-000090010000}"/>
    <cellStyle name="Обычный 100 2 2" xfId="349" xr:uid="{00000000-0005-0000-0000-000091010000}"/>
    <cellStyle name="Обычный 101" xfId="350" xr:uid="{00000000-0005-0000-0000-000092010000}"/>
    <cellStyle name="Обычный 102" xfId="351" xr:uid="{00000000-0005-0000-0000-000093010000}"/>
    <cellStyle name="Обычный 103" xfId="352" xr:uid="{00000000-0005-0000-0000-000094010000}"/>
    <cellStyle name="Обычный 104" xfId="353" xr:uid="{00000000-0005-0000-0000-000095010000}"/>
    <cellStyle name="Обычный 106" xfId="354" xr:uid="{00000000-0005-0000-0000-000096010000}"/>
    <cellStyle name="Обычный 107" xfId="355" xr:uid="{00000000-0005-0000-0000-000097010000}"/>
    <cellStyle name="Обычный 109" xfId="356" xr:uid="{00000000-0005-0000-0000-000098010000}"/>
    <cellStyle name="Обычный 11" xfId="357" xr:uid="{00000000-0005-0000-0000-000099010000}"/>
    <cellStyle name="Обычный 11 2" xfId="358" xr:uid="{00000000-0005-0000-0000-00009A010000}"/>
    <cellStyle name="Обычный 11 2 2" xfId="359" xr:uid="{00000000-0005-0000-0000-00009B010000}"/>
    <cellStyle name="Обычный 11 3" xfId="360" xr:uid="{00000000-0005-0000-0000-00009C010000}"/>
    <cellStyle name="Обычный 11 4" xfId="361" xr:uid="{00000000-0005-0000-0000-00009D010000}"/>
    <cellStyle name="Обычный 11 6" xfId="362" xr:uid="{00000000-0005-0000-0000-00009E010000}"/>
    <cellStyle name="Обычный 110" xfId="363" xr:uid="{00000000-0005-0000-0000-00009F010000}"/>
    <cellStyle name="Обычный 112" xfId="364" xr:uid="{00000000-0005-0000-0000-0000A0010000}"/>
    <cellStyle name="Обычный 113" xfId="365" xr:uid="{00000000-0005-0000-0000-0000A1010000}"/>
    <cellStyle name="Обычный 115" xfId="366" xr:uid="{00000000-0005-0000-0000-0000A2010000}"/>
    <cellStyle name="Обычный 116" xfId="367" xr:uid="{00000000-0005-0000-0000-0000A3010000}"/>
    <cellStyle name="Обычный 118" xfId="368" xr:uid="{00000000-0005-0000-0000-0000A4010000}"/>
    <cellStyle name="Обычный 12" xfId="369" xr:uid="{00000000-0005-0000-0000-0000A5010000}"/>
    <cellStyle name="Обычный 12 2" xfId="370" xr:uid="{00000000-0005-0000-0000-0000A6010000}"/>
    <cellStyle name="Обычный 12 2 2" xfId="371" xr:uid="{00000000-0005-0000-0000-0000A7010000}"/>
    <cellStyle name="Обычный 12 3" xfId="372" xr:uid="{00000000-0005-0000-0000-0000A8010000}"/>
    <cellStyle name="Обычный 12 4" xfId="373" xr:uid="{00000000-0005-0000-0000-0000A9010000}"/>
    <cellStyle name="Обычный 12 5" xfId="374" xr:uid="{00000000-0005-0000-0000-0000AA010000}"/>
    <cellStyle name="Обычный 12 6" xfId="375" xr:uid="{00000000-0005-0000-0000-0000AB010000}"/>
    <cellStyle name="Обычный 12 7" xfId="376" xr:uid="{00000000-0005-0000-0000-0000AC010000}"/>
    <cellStyle name="Обычный 12 8" xfId="377" xr:uid="{00000000-0005-0000-0000-0000AD010000}"/>
    <cellStyle name="Обычный 120" xfId="378" xr:uid="{00000000-0005-0000-0000-0000AE010000}"/>
    <cellStyle name="Обычный 121" xfId="379" xr:uid="{00000000-0005-0000-0000-0000AF010000}"/>
    <cellStyle name="Обычный 122" xfId="380" xr:uid="{00000000-0005-0000-0000-0000B0010000}"/>
    <cellStyle name="Обычный 123" xfId="381" xr:uid="{00000000-0005-0000-0000-0000B1010000}"/>
    <cellStyle name="Обычный 13" xfId="382" xr:uid="{00000000-0005-0000-0000-0000B2010000}"/>
    <cellStyle name="Обычный 13 2" xfId="383" xr:uid="{00000000-0005-0000-0000-0000B3010000}"/>
    <cellStyle name="Обычный 13 2 2" xfId="384" xr:uid="{00000000-0005-0000-0000-0000B4010000}"/>
    <cellStyle name="Обычный 14" xfId="385" xr:uid="{00000000-0005-0000-0000-0000B5010000}"/>
    <cellStyle name="Обычный 14 2" xfId="386" xr:uid="{00000000-0005-0000-0000-0000B6010000}"/>
    <cellStyle name="Обычный 14 2 2" xfId="387" xr:uid="{00000000-0005-0000-0000-0000B7010000}"/>
    <cellStyle name="Обычный 14 3" xfId="388" xr:uid="{00000000-0005-0000-0000-0000B8010000}"/>
    <cellStyle name="Обычный 14 4" xfId="389" xr:uid="{00000000-0005-0000-0000-0000B9010000}"/>
    <cellStyle name="Обычный 14 5" xfId="390" xr:uid="{00000000-0005-0000-0000-0000BA010000}"/>
    <cellStyle name="Обычный 144" xfId="391" xr:uid="{00000000-0005-0000-0000-0000BB010000}"/>
    <cellStyle name="Обычный 147" xfId="392" xr:uid="{00000000-0005-0000-0000-0000BC010000}"/>
    <cellStyle name="Обычный 148" xfId="393" xr:uid="{00000000-0005-0000-0000-0000BD010000}"/>
    <cellStyle name="Обычный 15" xfId="394" xr:uid="{00000000-0005-0000-0000-0000BE010000}"/>
    <cellStyle name="Обычный 15 2" xfId="395" xr:uid="{00000000-0005-0000-0000-0000BF010000}"/>
    <cellStyle name="Обычный 15 2 2" xfId="396" xr:uid="{00000000-0005-0000-0000-0000C0010000}"/>
    <cellStyle name="Обычный 15 2 3" xfId="397" xr:uid="{00000000-0005-0000-0000-0000C1010000}"/>
    <cellStyle name="Обычный 15 2 4" xfId="398" xr:uid="{00000000-0005-0000-0000-0000C2010000}"/>
    <cellStyle name="Обычный 15 2 5" xfId="399" xr:uid="{00000000-0005-0000-0000-0000C3010000}"/>
    <cellStyle name="Обычный 15 2 6" xfId="400" xr:uid="{00000000-0005-0000-0000-0000C4010000}"/>
    <cellStyle name="Обычный 15 3" xfId="401" xr:uid="{00000000-0005-0000-0000-0000C5010000}"/>
    <cellStyle name="Обычный 15 4" xfId="402" xr:uid="{00000000-0005-0000-0000-0000C6010000}"/>
    <cellStyle name="Обычный 15 5" xfId="403" xr:uid="{00000000-0005-0000-0000-0000C7010000}"/>
    <cellStyle name="Обычный 16" xfId="404" xr:uid="{00000000-0005-0000-0000-0000C8010000}"/>
    <cellStyle name="Обычный 16 10" xfId="405" xr:uid="{00000000-0005-0000-0000-0000C9010000}"/>
    <cellStyle name="Обычный 16 11" xfId="406" xr:uid="{00000000-0005-0000-0000-0000CA010000}"/>
    <cellStyle name="Обычный 16 12" xfId="407" xr:uid="{00000000-0005-0000-0000-0000CB010000}"/>
    <cellStyle name="Обычный 16 13" xfId="408" xr:uid="{00000000-0005-0000-0000-0000CC010000}"/>
    <cellStyle name="Обычный 16 14" xfId="409" xr:uid="{00000000-0005-0000-0000-0000CD010000}"/>
    <cellStyle name="Обычный 16 2" xfId="410" xr:uid="{00000000-0005-0000-0000-0000CE010000}"/>
    <cellStyle name="Обычный 16 2 2" xfId="411" xr:uid="{00000000-0005-0000-0000-0000CF010000}"/>
    <cellStyle name="Обычный 16 3" xfId="412" xr:uid="{00000000-0005-0000-0000-0000D0010000}"/>
    <cellStyle name="Обычный 16 3 2" xfId="413" xr:uid="{00000000-0005-0000-0000-0000D1010000}"/>
    <cellStyle name="Обычный 16 4" xfId="414" xr:uid="{00000000-0005-0000-0000-0000D2010000}"/>
    <cellStyle name="Обычный 16 4 2" xfId="415" xr:uid="{00000000-0005-0000-0000-0000D3010000}"/>
    <cellStyle name="Обычный 16 5" xfId="416" xr:uid="{00000000-0005-0000-0000-0000D4010000}"/>
    <cellStyle name="Обычный 16 6" xfId="417" xr:uid="{00000000-0005-0000-0000-0000D5010000}"/>
    <cellStyle name="Обычный 16 7" xfId="418" xr:uid="{00000000-0005-0000-0000-0000D6010000}"/>
    <cellStyle name="Обычный 16 8" xfId="419" xr:uid="{00000000-0005-0000-0000-0000D7010000}"/>
    <cellStyle name="Обычный 16 9" xfId="420" xr:uid="{00000000-0005-0000-0000-0000D8010000}"/>
    <cellStyle name="Обычный 17" xfId="421" xr:uid="{00000000-0005-0000-0000-0000D9010000}"/>
    <cellStyle name="Обычный 17 2" xfId="422" xr:uid="{00000000-0005-0000-0000-0000DA010000}"/>
    <cellStyle name="Обычный 17 2 2" xfId="423" xr:uid="{00000000-0005-0000-0000-0000DB010000}"/>
    <cellStyle name="Обычный 17 3" xfId="424" xr:uid="{00000000-0005-0000-0000-0000DC010000}"/>
    <cellStyle name="Обычный 17 4" xfId="425" xr:uid="{00000000-0005-0000-0000-0000DD010000}"/>
    <cellStyle name="Обычный 18" xfId="426" xr:uid="{00000000-0005-0000-0000-0000DE010000}"/>
    <cellStyle name="Обычный 18 2" xfId="427" xr:uid="{00000000-0005-0000-0000-0000DF010000}"/>
    <cellStyle name="Обычный 18 2 2" xfId="428" xr:uid="{00000000-0005-0000-0000-0000E0010000}"/>
    <cellStyle name="Обычный 18 2 2 2" xfId="429" xr:uid="{00000000-0005-0000-0000-0000E1010000}"/>
    <cellStyle name="Обычный 18 2 3" xfId="430" xr:uid="{00000000-0005-0000-0000-0000E2010000}"/>
    <cellStyle name="Обычный 18 2 4" xfId="431" xr:uid="{00000000-0005-0000-0000-0000E3010000}"/>
    <cellStyle name="Обычный 18 3" xfId="432" xr:uid="{00000000-0005-0000-0000-0000E4010000}"/>
    <cellStyle name="Обычный 18 3 2" xfId="433" xr:uid="{00000000-0005-0000-0000-0000E5010000}"/>
    <cellStyle name="Обычный 18 4" xfId="434" xr:uid="{00000000-0005-0000-0000-0000E6010000}"/>
    <cellStyle name="Обычный 18 5" xfId="435" xr:uid="{00000000-0005-0000-0000-0000E7010000}"/>
    <cellStyle name="Обычный 18 6" xfId="436" xr:uid="{00000000-0005-0000-0000-0000E8010000}"/>
    <cellStyle name="Обычный 188" xfId="437" xr:uid="{00000000-0005-0000-0000-0000E9010000}"/>
    <cellStyle name="Обычный 19" xfId="438" xr:uid="{00000000-0005-0000-0000-0000EA010000}"/>
    <cellStyle name="Обычный 19 2" xfId="439" xr:uid="{00000000-0005-0000-0000-0000EB010000}"/>
    <cellStyle name="Обычный 19 2 2" xfId="440" xr:uid="{00000000-0005-0000-0000-0000EC010000}"/>
    <cellStyle name="Обычный 19 2 3" xfId="441" xr:uid="{00000000-0005-0000-0000-0000ED010000}"/>
    <cellStyle name="Обычный 19 3" xfId="442" xr:uid="{00000000-0005-0000-0000-0000EE010000}"/>
    <cellStyle name="Обычный 190" xfId="443" xr:uid="{00000000-0005-0000-0000-0000EF010000}"/>
    <cellStyle name="Обычный 2" xfId="1" xr:uid="{00000000-0005-0000-0000-0000F0010000}"/>
    <cellStyle name="Обычный 2 10" xfId="444" xr:uid="{00000000-0005-0000-0000-0000F1010000}"/>
    <cellStyle name="Обычный 2 11" xfId="445" xr:uid="{00000000-0005-0000-0000-0000F2010000}"/>
    <cellStyle name="Обычный 2 12" xfId="446" xr:uid="{00000000-0005-0000-0000-0000F3010000}"/>
    <cellStyle name="Обычный 2 13" xfId="447" xr:uid="{00000000-0005-0000-0000-0000F4010000}"/>
    <cellStyle name="Обычный 2 14" xfId="448" xr:uid="{00000000-0005-0000-0000-0000F5010000}"/>
    <cellStyle name="Обычный 2 15" xfId="449" xr:uid="{00000000-0005-0000-0000-0000F6010000}"/>
    <cellStyle name="Обычный 2 16" xfId="450" xr:uid="{00000000-0005-0000-0000-0000F7010000}"/>
    <cellStyle name="Обычный 2 17" xfId="451" xr:uid="{00000000-0005-0000-0000-0000F8010000}"/>
    <cellStyle name="Обычный 2 18" xfId="452" xr:uid="{00000000-0005-0000-0000-0000F9010000}"/>
    <cellStyle name="Обычный 2 19" xfId="453" xr:uid="{00000000-0005-0000-0000-0000FA010000}"/>
    <cellStyle name="Обычный 2 2" xfId="454" xr:uid="{00000000-0005-0000-0000-0000FB010000}"/>
    <cellStyle name="Обычный 2 2 10" xfId="455" xr:uid="{00000000-0005-0000-0000-0000FC010000}"/>
    <cellStyle name="Обычный 2 2 10 2" xfId="456" xr:uid="{00000000-0005-0000-0000-0000FD010000}"/>
    <cellStyle name="Обычный 2 2 11" xfId="457" xr:uid="{00000000-0005-0000-0000-0000FE010000}"/>
    <cellStyle name="Обычный 2 2 11 2" xfId="458" xr:uid="{00000000-0005-0000-0000-0000FF010000}"/>
    <cellStyle name="Обычный 2 2 12" xfId="459" xr:uid="{00000000-0005-0000-0000-000000020000}"/>
    <cellStyle name="Обычный 2 2 12 2" xfId="460" xr:uid="{00000000-0005-0000-0000-000001020000}"/>
    <cellStyle name="Обычный 2 2 13" xfId="461" xr:uid="{00000000-0005-0000-0000-000002020000}"/>
    <cellStyle name="Обычный 2 2 13 2" xfId="462" xr:uid="{00000000-0005-0000-0000-000003020000}"/>
    <cellStyle name="Обычный 2 2 14" xfId="463" xr:uid="{00000000-0005-0000-0000-000004020000}"/>
    <cellStyle name="Обычный 2 2 14 2" xfId="464" xr:uid="{00000000-0005-0000-0000-000005020000}"/>
    <cellStyle name="Обычный 2 2 15" xfId="465" xr:uid="{00000000-0005-0000-0000-000006020000}"/>
    <cellStyle name="Обычный 2 2 15 2" xfId="466" xr:uid="{00000000-0005-0000-0000-000007020000}"/>
    <cellStyle name="Обычный 2 2 16" xfId="467" xr:uid="{00000000-0005-0000-0000-000008020000}"/>
    <cellStyle name="Обычный 2 2 16 2" xfId="468" xr:uid="{00000000-0005-0000-0000-000009020000}"/>
    <cellStyle name="Обычный 2 2 17" xfId="469" xr:uid="{00000000-0005-0000-0000-00000A020000}"/>
    <cellStyle name="Обычный 2 2 17 2" xfId="470" xr:uid="{00000000-0005-0000-0000-00000B020000}"/>
    <cellStyle name="Обычный 2 2 18" xfId="471" xr:uid="{00000000-0005-0000-0000-00000C020000}"/>
    <cellStyle name="Обычный 2 2 18 2" xfId="472" xr:uid="{00000000-0005-0000-0000-00000D020000}"/>
    <cellStyle name="Обычный 2 2 19" xfId="473" xr:uid="{00000000-0005-0000-0000-00000E020000}"/>
    <cellStyle name="Обычный 2 2 19 2" xfId="474" xr:uid="{00000000-0005-0000-0000-00000F020000}"/>
    <cellStyle name="Обычный 2 2 2" xfId="475" xr:uid="{00000000-0005-0000-0000-000010020000}"/>
    <cellStyle name="Обычный 2 2 2 10" xfId="476" xr:uid="{00000000-0005-0000-0000-000011020000}"/>
    <cellStyle name="Обычный 2 2 2 11" xfId="477" xr:uid="{00000000-0005-0000-0000-000012020000}"/>
    <cellStyle name="Обычный 2 2 2 12" xfId="478" xr:uid="{00000000-0005-0000-0000-000013020000}"/>
    <cellStyle name="Обычный 2 2 2 13" xfId="479" xr:uid="{00000000-0005-0000-0000-000014020000}"/>
    <cellStyle name="Обычный 2 2 2 14" xfId="480" xr:uid="{00000000-0005-0000-0000-000015020000}"/>
    <cellStyle name="Обычный 2 2 2 15" xfId="481" xr:uid="{00000000-0005-0000-0000-000016020000}"/>
    <cellStyle name="Обычный 2 2 2 16" xfId="482" xr:uid="{00000000-0005-0000-0000-000017020000}"/>
    <cellStyle name="Обычный 2 2 2 17" xfId="483" xr:uid="{00000000-0005-0000-0000-000018020000}"/>
    <cellStyle name="Обычный 2 2 2 18" xfId="484" xr:uid="{00000000-0005-0000-0000-000019020000}"/>
    <cellStyle name="Обычный 2 2 2 19" xfId="485" xr:uid="{00000000-0005-0000-0000-00001A020000}"/>
    <cellStyle name="Обычный 2 2 2 2" xfId="486" xr:uid="{00000000-0005-0000-0000-00001B020000}"/>
    <cellStyle name="Обычный 2 2 2 2 10" xfId="487" xr:uid="{00000000-0005-0000-0000-00001C020000}"/>
    <cellStyle name="Обычный 2 2 2 2 11" xfId="488" xr:uid="{00000000-0005-0000-0000-00001D020000}"/>
    <cellStyle name="Обычный 2 2 2 2 12" xfId="489" xr:uid="{00000000-0005-0000-0000-00001E020000}"/>
    <cellStyle name="Обычный 2 2 2 2 13" xfId="490" xr:uid="{00000000-0005-0000-0000-00001F020000}"/>
    <cellStyle name="Обычный 2 2 2 2 14" xfId="491" xr:uid="{00000000-0005-0000-0000-000020020000}"/>
    <cellStyle name="Обычный 2 2 2 2 15" xfId="492" xr:uid="{00000000-0005-0000-0000-000021020000}"/>
    <cellStyle name="Обычный 2 2 2 2 16" xfId="493" xr:uid="{00000000-0005-0000-0000-000022020000}"/>
    <cellStyle name="Обычный 2 2 2 2 17" xfId="494" xr:uid="{00000000-0005-0000-0000-000023020000}"/>
    <cellStyle name="Обычный 2 2 2 2 18" xfId="495" xr:uid="{00000000-0005-0000-0000-000024020000}"/>
    <cellStyle name="Обычный 2 2 2 2 19" xfId="496" xr:uid="{00000000-0005-0000-0000-000025020000}"/>
    <cellStyle name="Обычный 2 2 2 2 2" xfId="497" xr:uid="{00000000-0005-0000-0000-000026020000}"/>
    <cellStyle name="Обычный 2 2 2 2 20" xfId="498" xr:uid="{00000000-0005-0000-0000-000027020000}"/>
    <cellStyle name="Обычный 2 2 2 2 21" xfId="499" xr:uid="{00000000-0005-0000-0000-000028020000}"/>
    <cellStyle name="Обычный 2 2 2 2 22" xfId="500" xr:uid="{00000000-0005-0000-0000-000029020000}"/>
    <cellStyle name="Обычный 2 2 2 2 23" xfId="501" xr:uid="{00000000-0005-0000-0000-00002A020000}"/>
    <cellStyle name="Обычный 2 2 2 2 24" xfId="502" xr:uid="{00000000-0005-0000-0000-00002B020000}"/>
    <cellStyle name="Обычный 2 2 2 2 25" xfId="503" xr:uid="{00000000-0005-0000-0000-00002C020000}"/>
    <cellStyle name="Обычный 2 2 2 2 26" xfId="504" xr:uid="{00000000-0005-0000-0000-00002D020000}"/>
    <cellStyle name="Обычный 2 2 2 2 27" xfId="505" xr:uid="{00000000-0005-0000-0000-00002E020000}"/>
    <cellStyle name="Обычный 2 2 2 2 28" xfId="506" xr:uid="{00000000-0005-0000-0000-00002F020000}"/>
    <cellStyle name="Обычный 2 2 2 2 29" xfId="507" xr:uid="{00000000-0005-0000-0000-000030020000}"/>
    <cellStyle name="Обычный 2 2 2 2 3" xfId="508" xr:uid="{00000000-0005-0000-0000-000031020000}"/>
    <cellStyle name="Обычный 2 2 2 2 30" xfId="509" xr:uid="{00000000-0005-0000-0000-000032020000}"/>
    <cellStyle name="Обычный 2 2 2 2 4" xfId="510" xr:uid="{00000000-0005-0000-0000-000033020000}"/>
    <cellStyle name="Обычный 2 2 2 2 5" xfId="511" xr:uid="{00000000-0005-0000-0000-000034020000}"/>
    <cellStyle name="Обычный 2 2 2 2 6" xfId="512" xr:uid="{00000000-0005-0000-0000-000035020000}"/>
    <cellStyle name="Обычный 2 2 2 2 7" xfId="513" xr:uid="{00000000-0005-0000-0000-000036020000}"/>
    <cellStyle name="Обычный 2 2 2 2 8" xfId="514" xr:uid="{00000000-0005-0000-0000-000037020000}"/>
    <cellStyle name="Обычный 2 2 2 2 9" xfId="515" xr:uid="{00000000-0005-0000-0000-000038020000}"/>
    <cellStyle name="Обычный 2 2 2 20" xfId="516" xr:uid="{00000000-0005-0000-0000-000039020000}"/>
    <cellStyle name="Обычный 2 2 2 21" xfId="517" xr:uid="{00000000-0005-0000-0000-00003A020000}"/>
    <cellStyle name="Обычный 2 2 2 22" xfId="518" xr:uid="{00000000-0005-0000-0000-00003B020000}"/>
    <cellStyle name="Обычный 2 2 2 23" xfId="519" xr:uid="{00000000-0005-0000-0000-00003C020000}"/>
    <cellStyle name="Обычный 2 2 2 24" xfId="520" xr:uid="{00000000-0005-0000-0000-00003D020000}"/>
    <cellStyle name="Обычный 2 2 2 25" xfId="521" xr:uid="{00000000-0005-0000-0000-00003E020000}"/>
    <cellStyle name="Обычный 2 2 2 26" xfId="522" xr:uid="{00000000-0005-0000-0000-00003F020000}"/>
    <cellStyle name="Обычный 2 2 2 27" xfId="523" xr:uid="{00000000-0005-0000-0000-000040020000}"/>
    <cellStyle name="Обычный 2 2 2 28" xfId="524" xr:uid="{00000000-0005-0000-0000-000041020000}"/>
    <cellStyle name="Обычный 2 2 2 29" xfId="525" xr:uid="{00000000-0005-0000-0000-000042020000}"/>
    <cellStyle name="Обычный 2 2 2 3" xfId="526" xr:uid="{00000000-0005-0000-0000-000043020000}"/>
    <cellStyle name="Обычный 2 2 2 30" xfId="527" xr:uid="{00000000-0005-0000-0000-000044020000}"/>
    <cellStyle name="Обычный 2 2 2 31" xfId="528" xr:uid="{00000000-0005-0000-0000-000045020000}"/>
    <cellStyle name="Обычный 2 2 2 4" xfId="529" xr:uid="{00000000-0005-0000-0000-000046020000}"/>
    <cellStyle name="Обычный 2 2 2 5" xfId="530" xr:uid="{00000000-0005-0000-0000-000047020000}"/>
    <cellStyle name="Обычный 2 2 2 6" xfId="531" xr:uid="{00000000-0005-0000-0000-000048020000}"/>
    <cellStyle name="Обычный 2 2 2 7" xfId="532" xr:uid="{00000000-0005-0000-0000-000049020000}"/>
    <cellStyle name="Обычный 2 2 2 8" xfId="533" xr:uid="{00000000-0005-0000-0000-00004A020000}"/>
    <cellStyle name="Обычный 2 2 2 9" xfId="534" xr:uid="{00000000-0005-0000-0000-00004B020000}"/>
    <cellStyle name="Обычный 2 2 20" xfId="535" xr:uid="{00000000-0005-0000-0000-00004C020000}"/>
    <cellStyle name="Обычный 2 2 20 2" xfId="536" xr:uid="{00000000-0005-0000-0000-00004D020000}"/>
    <cellStyle name="Обычный 2 2 21" xfId="537" xr:uid="{00000000-0005-0000-0000-00004E020000}"/>
    <cellStyle name="Обычный 2 2 21 2" xfId="538" xr:uid="{00000000-0005-0000-0000-00004F020000}"/>
    <cellStyle name="Обычный 2 2 22" xfId="539" xr:uid="{00000000-0005-0000-0000-000050020000}"/>
    <cellStyle name="Обычный 2 2 22 2" xfId="540" xr:uid="{00000000-0005-0000-0000-000051020000}"/>
    <cellStyle name="Обычный 2 2 23" xfId="541" xr:uid="{00000000-0005-0000-0000-000052020000}"/>
    <cellStyle name="Обычный 2 2 23 2" xfId="542" xr:uid="{00000000-0005-0000-0000-000053020000}"/>
    <cellStyle name="Обычный 2 2 24" xfId="543" xr:uid="{00000000-0005-0000-0000-000054020000}"/>
    <cellStyle name="Обычный 2 2 24 2" xfId="544" xr:uid="{00000000-0005-0000-0000-000055020000}"/>
    <cellStyle name="Обычный 2 2 25" xfId="545" xr:uid="{00000000-0005-0000-0000-000056020000}"/>
    <cellStyle name="Обычный 2 2 25 2" xfId="546" xr:uid="{00000000-0005-0000-0000-000057020000}"/>
    <cellStyle name="Обычный 2 2 26" xfId="547" xr:uid="{00000000-0005-0000-0000-000058020000}"/>
    <cellStyle name="Обычный 2 2 26 2" xfId="548" xr:uid="{00000000-0005-0000-0000-000059020000}"/>
    <cellStyle name="Обычный 2 2 27" xfId="549" xr:uid="{00000000-0005-0000-0000-00005A020000}"/>
    <cellStyle name="Обычный 2 2 27 2" xfId="550" xr:uid="{00000000-0005-0000-0000-00005B020000}"/>
    <cellStyle name="Обычный 2 2 28" xfId="551" xr:uid="{00000000-0005-0000-0000-00005C020000}"/>
    <cellStyle name="Обычный 2 2 28 2" xfId="552" xr:uid="{00000000-0005-0000-0000-00005D020000}"/>
    <cellStyle name="Обычный 2 2 29" xfId="553" xr:uid="{00000000-0005-0000-0000-00005E020000}"/>
    <cellStyle name="Обычный 2 2 29 2" xfId="554" xr:uid="{00000000-0005-0000-0000-00005F020000}"/>
    <cellStyle name="Обычный 2 2 3" xfId="555" xr:uid="{00000000-0005-0000-0000-000060020000}"/>
    <cellStyle name="Обычный 2 2 3 2" xfId="556" xr:uid="{00000000-0005-0000-0000-000061020000}"/>
    <cellStyle name="Обычный 2 2 30" xfId="557" xr:uid="{00000000-0005-0000-0000-000062020000}"/>
    <cellStyle name="Обычный 2 2 30 2" xfId="558" xr:uid="{00000000-0005-0000-0000-000063020000}"/>
    <cellStyle name="Обычный 2 2 31" xfId="559" xr:uid="{00000000-0005-0000-0000-000064020000}"/>
    <cellStyle name="Обычный 2 2 31 2" xfId="560" xr:uid="{00000000-0005-0000-0000-000065020000}"/>
    <cellStyle name="Обычный 2 2 32" xfId="561" xr:uid="{00000000-0005-0000-0000-000066020000}"/>
    <cellStyle name="Обычный 2 2 4" xfId="562" xr:uid="{00000000-0005-0000-0000-000067020000}"/>
    <cellStyle name="Обычный 2 2 4 2" xfId="563" xr:uid="{00000000-0005-0000-0000-000068020000}"/>
    <cellStyle name="Обычный 2 2 5" xfId="564" xr:uid="{00000000-0005-0000-0000-000069020000}"/>
    <cellStyle name="Обычный 2 2 5 2" xfId="565" xr:uid="{00000000-0005-0000-0000-00006A020000}"/>
    <cellStyle name="Обычный 2 2 6" xfId="566" xr:uid="{00000000-0005-0000-0000-00006B020000}"/>
    <cellStyle name="Обычный 2 2 6 2" xfId="567" xr:uid="{00000000-0005-0000-0000-00006C020000}"/>
    <cellStyle name="Обычный 2 2 7" xfId="568" xr:uid="{00000000-0005-0000-0000-00006D020000}"/>
    <cellStyle name="Обычный 2 2 7 2" xfId="569" xr:uid="{00000000-0005-0000-0000-00006E020000}"/>
    <cellStyle name="Обычный 2 2 8" xfId="570" xr:uid="{00000000-0005-0000-0000-00006F020000}"/>
    <cellStyle name="Обычный 2 2 8 2" xfId="571" xr:uid="{00000000-0005-0000-0000-000070020000}"/>
    <cellStyle name="Обычный 2 2 9" xfId="572" xr:uid="{00000000-0005-0000-0000-000071020000}"/>
    <cellStyle name="Обычный 2 2 9 2" xfId="573" xr:uid="{00000000-0005-0000-0000-000072020000}"/>
    <cellStyle name="Обычный 2 20" xfId="574" xr:uid="{00000000-0005-0000-0000-000073020000}"/>
    <cellStyle name="Обычный 2 21" xfId="575" xr:uid="{00000000-0005-0000-0000-000074020000}"/>
    <cellStyle name="Обычный 2 22" xfId="576" xr:uid="{00000000-0005-0000-0000-000075020000}"/>
    <cellStyle name="Обычный 2 23" xfId="577" xr:uid="{00000000-0005-0000-0000-000076020000}"/>
    <cellStyle name="Обычный 2 24" xfId="578" xr:uid="{00000000-0005-0000-0000-000077020000}"/>
    <cellStyle name="Обычный 2 25" xfId="579" xr:uid="{00000000-0005-0000-0000-000078020000}"/>
    <cellStyle name="Обычный 2 26" xfId="580" xr:uid="{00000000-0005-0000-0000-000079020000}"/>
    <cellStyle name="Обычный 2 27" xfId="581" xr:uid="{00000000-0005-0000-0000-00007A020000}"/>
    <cellStyle name="Обычный 2 28" xfId="582" xr:uid="{00000000-0005-0000-0000-00007B020000}"/>
    <cellStyle name="Обычный 2 29" xfId="583" xr:uid="{00000000-0005-0000-0000-00007C020000}"/>
    <cellStyle name="Обычный 2 3" xfId="584" xr:uid="{00000000-0005-0000-0000-00007D020000}"/>
    <cellStyle name="Обычный 2 3 2" xfId="585" xr:uid="{00000000-0005-0000-0000-00007E020000}"/>
    <cellStyle name="Обычный 2 3 3" xfId="586" xr:uid="{00000000-0005-0000-0000-00007F020000}"/>
    <cellStyle name="Обычный 2 30" xfId="587" xr:uid="{00000000-0005-0000-0000-000080020000}"/>
    <cellStyle name="Обычный 2 31" xfId="588" xr:uid="{00000000-0005-0000-0000-000081020000}"/>
    <cellStyle name="Обычный 2 32" xfId="589" xr:uid="{00000000-0005-0000-0000-000082020000}"/>
    <cellStyle name="Обычный 2 33" xfId="590" xr:uid="{00000000-0005-0000-0000-000083020000}"/>
    <cellStyle name="Обычный 2 34" xfId="591" xr:uid="{00000000-0005-0000-0000-000084020000}"/>
    <cellStyle name="Обычный 2 34 2" xfId="592" xr:uid="{00000000-0005-0000-0000-000085020000}"/>
    <cellStyle name="Обычный 2 35" xfId="593" xr:uid="{00000000-0005-0000-0000-000086020000}"/>
    <cellStyle name="Обычный 2 36" xfId="594" xr:uid="{00000000-0005-0000-0000-000087020000}"/>
    <cellStyle name="Обычный 2 4" xfId="595" xr:uid="{00000000-0005-0000-0000-000088020000}"/>
    <cellStyle name="Обычный 2 4 2" xfId="596" xr:uid="{00000000-0005-0000-0000-000089020000}"/>
    <cellStyle name="Обычный 2 4 3" xfId="597" xr:uid="{00000000-0005-0000-0000-00008A020000}"/>
    <cellStyle name="Обычный 2 5" xfId="598" xr:uid="{00000000-0005-0000-0000-00008B020000}"/>
    <cellStyle name="Обычный 2 5 2" xfId="599" xr:uid="{00000000-0005-0000-0000-00008C020000}"/>
    <cellStyle name="Обычный 2 5 3" xfId="600" xr:uid="{00000000-0005-0000-0000-00008D020000}"/>
    <cellStyle name="Обычный 2 6" xfId="601" xr:uid="{00000000-0005-0000-0000-00008E020000}"/>
    <cellStyle name="Обычный 2 7" xfId="602" xr:uid="{00000000-0005-0000-0000-00008F020000}"/>
    <cellStyle name="Обычный 2 8" xfId="603" xr:uid="{00000000-0005-0000-0000-000090020000}"/>
    <cellStyle name="Обычный 2 9" xfId="604" xr:uid="{00000000-0005-0000-0000-000091020000}"/>
    <cellStyle name="Обычный 20" xfId="605" xr:uid="{00000000-0005-0000-0000-000092020000}"/>
    <cellStyle name="Обычный 20 10" xfId="606" xr:uid="{00000000-0005-0000-0000-000093020000}"/>
    <cellStyle name="Обычный 20 11" xfId="607" xr:uid="{00000000-0005-0000-0000-000094020000}"/>
    <cellStyle name="Обычный 20 12" xfId="608" xr:uid="{00000000-0005-0000-0000-000095020000}"/>
    <cellStyle name="Обычный 20 13" xfId="609" xr:uid="{00000000-0005-0000-0000-000096020000}"/>
    <cellStyle name="Обычный 20 14" xfId="610" xr:uid="{00000000-0005-0000-0000-000097020000}"/>
    <cellStyle name="Обычный 20 15" xfId="611" xr:uid="{00000000-0005-0000-0000-000098020000}"/>
    <cellStyle name="Обычный 20 16" xfId="612" xr:uid="{00000000-0005-0000-0000-000099020000}"/>
    <cellStyle name="Обычный 20 17" xfId="613" xr:uid="{00000000-0005-0000-0000-00009A020000}"/>
    <cellStyle name="Обычный 20 18" xfId="614" xr:uid="{00000000-0005-0000-0000-00009B020000}"/>
    <cellStyle name="Обычный 20 19" xfId="615" xr:uid="{00000000-0005-0000-0000-00009C020000}"/>
    <cellStyle name="Обычный 20 2" xfId="616" xr:uid="{00000000-0005-0000-0000-00009D020000}"/>
    <cellStyle name="Обычный 20 2 2" xfId="617" xr:uid="{00000000-0005-0000-0000-00009E020000}"/>
    <cellStyle name="Обычный 20 2 2 2" xfId="618" xr:uid="{00000000-0005-0000-0000-00009F020000}"/>
    <cellStyle name="Обычный 20 2 3" xfId="619" xr:uid="{00000000-0005-0000-0000-0000A0020000}"/>
    <cellStyle name="Обычный 20 2 4" xfId="620" xr:uid="{00000000-0005-0000-0000-0000A1020000}"/>
    <cellStyle name="Обычный 20 20" xfId="621" xr:uid="{00000000-0005-0000-0000-0000A2020000}"/>
    <cellStyle name="Обычный 20 21" xfId="622" xr:uid="{00000000-0005-0000-0000-0000A3020000}"/>
    <cellStyle name="Обычный 20 22" xfId="623" xr:uid="{00000000-0005-0000-0000-0000A4020000}"/>
    <cellStyle name="Обычный 20 23" xfId="624" xr:uid="{00000000-0005-0000-0000-0000A5020000}"/>
    <cellStyle name="Обычный 20 24" xfId="625" xr:uid="{00000000-0005-0000-0000-0000A6020000}"/>
    <cellStyle name="Обычный 20 25" xfId="626" xr:uid="{00000000-0005-0000-0000-0000A7020000}"/>
    <cellStyle name="Обычный 20 26" xfId="627" xr:uid="{00000000-0005-0000-0000-0000A8020000}"/>
    <cellStyle name="Обычный 20 27" xfId="628" xr:uid="{00000000-0005-0000-0000-0000A9020000}"/>
    <cellStyle name="Обычный 20 28" xfId="629" xr:uid="{00000000-0005-0000-0000-0000AA020000}"/>
    <cellStyle name="Обычный 20 29" xfId="630" xr:uid="{00000000-0005-0000-0000-0000AB020000}"/>
    <cellStyle name="Обычный 20 3" xfId="631" xr:uid="{00000000-0005-0000-0000-0000AC020000}"/>
    <cellStyle name="Обычный 20 3 2" xfId="632" xr:uid="{00000000-0005-0000-0000-0000AD020000}"/>
    <cellStyle name="Обычный 20 30" xfId="633" xr:uid="{00000000-0005-0000-0000-0000AE020000}"/>
    <cellStyle name="Обычный 20 31" xfId="634" xr:uid="{00000000-0005-0000-0000-0000AF020000}"/>
    <cellStyle name="Обычный 20 32" xfId="635" xr:uid="{00000000-0005-0000-0000-0000B0020000}"/>
    <cellStyle name="Обычный 20 4" xfId="636" xr:uid="{00000000-0005-0000-0000-0000B1020000}"/>
    <cellStyle name="Обычный 20 5" xfId="637" xr:uid="{00000000-0005-0000-0000-0000B2020000}"/>
    <cellStyle name="Обычный 20 6" xfId="638" xr:uid="{00000000-0005-0000-0000-0000B3020000}"/>
    <cellStyle name="Обычный 20 7" xfId="639" xr:uid="{00000000-0005-0000-0000-0000B4020000}"/>
    <cellStyle name="Обычный 20 8" xfId="640" xr:uid="{00000000-0005-0000-0000-0000B5020000}"/>
    <cellStyle name="Обычный 20 9" xfId="641" xr:uid="{00000000-0005-0000-0000-0000B6020000}"/>
    <cellStyle name="Обычный 21" xfId="642" xr:uid="{00000000-0005-0000-0000-0000B7020000}"/>
    <cellStyle name="Обычный 21 2" xfId="643" xr:uid="{00000000-0005-0000-0000-0000B8020000}"/>
    <cellStyle name="Обычный 21 2 2" xfId="644" xr:uid="{00000000-0005-0000-0000-0000B9020000}"/>
    <cellStyle name="Обычный 21 2 3" xfId="645" xr:uid="{00000000-0005-0000-0000-0000BA020000}"/>
    <cellStyle name="Обычный 21 2 4" xfId="646" xr:uid="{00000000-0005-0000-0000-0000BB020000}"/>
    <cellStyle name="Обычный 22" xfId="647" xr:uid="{00000000-0005-0000-0000-0000BC020000}"/>
    <cellStyle name="Обычный 22 10" xfId="648" xr:uid="{00000000-0005-0000-0000-0000BD020000}"/>
    <cellStyle name="Обычный 22 11" xfId="649" xr:uid="{00000000-0005-0000-0000-0000BE020000}"/>
    <cellStyle name="Обычный 22 12" xfId="650" xr:uid="{00000000-0005-0000-0000-0000BF020000}"/>
    <cellStyle name="Обычный 22 13" xfId="651" xr:uid="{00000000-0005-0000-0000-0000C0020000}"/>
    <cellStyle name="Обычный 22 14" xfId="652" xr:uid="{00000000-0005-0000-0000-0000C1020000}"/>
    <cellStyle name="Обычный 22 15" xfId="653" xr:uid="{00000000-0005-0000-0000-0000C2020000}"/>
    <cellStyle name="Обычный 22 16" xfId="654" xr:uid="{00000000-0005-0000-0000-0000C3020000}"/>
    <cellStyle name="Обычный 22 17" xfId="655" xr:uid="{00000000-0005-0000-0000-0000C4020000}"/>
    <cellStyle name="Обычный 22 18" xfId="656" xr:uid="{00000000-0005-0000-0000-0000C5020000}"/>
    <cellStyle name="Обычный 22 19" xfId="657" xr:uid="{00000000-0005-0000-0000-0000C6020000}"/>
    <cellStyle name="Обычный 22 2" xfId="658" xr:uid="{00000000-0005-0000-0000-0000C7020000}"/>
    <cellStyle name="Обычный 22 2 2" xfId="659" xr:uid="{00000000-0005-0000-0000-0000C8020000}"/>
    <cellStyle name="Обычный 22 2 3" xfId="660" xr:uid="{00000000-0005-0000-0000-0000C9020000}"/>
    <cellStyle name="Обычный 22 20" xfId="661" xr:uid="{00000000-0005-0000-0000-0000CA020000}"/>
    <cellStyle name="Обычный 22 21" xfId="662" xr:uid="{00000000-0005-0000-0000-0000CB020000}"/>
    <cellStyle name="Обычный 22 22" xfId="663" xr:uid="{00000000-0005-0000-0000-0000CC020000}"/>
    <cellStyle name="Обычный 22 23" xfId="664" xr:uid="{00000000-0005-0000-0000-0000CD020000}"/>
    <cellStyle name="Обычный 22 24" xfId="665" xr:uid="{00000000-0005-0000-0000-0000CE020000}"/>
    <cellStyle name="Обычный 22 25" xfId="666" xr:uid="{00000000-0005-0000-0000-0000CF020000}"/>
    <cellStyle name="Обычный 22 26" xfId="667" xr:uid="{00000000-0005-0000-0000-0000D0020000}"/>
    <cellStyle name="Обычный 22 27" xfId="668" xr:uid="{00000000-0005-0000-0000-0000D1020000}"/>
    <cellStyle name="Обычный 22 28" xfId="669" xr:uid="{00000000-0005-0000-0000-0000D2020000}"/>
    <cellStyle name="Обычный 22 29" xfId="670" xr:uid="{00000000-0005-0000-0000-0000D3020000}"/>
    <cellStyle name="Обычный 22 3" xfId="671" xr:uid="{00000000-0005-0000-0000-0000D4020000}"/>
    <cellStyle name="Обычный 22 30" xfId="672" xr:uid="{00000000-0005-0000-0000-0000D5020000}"/>
    <cellStyle name="Обычный 22 31" xfId="673" xr:uid="{00000000-0005-0000-0000-0000D6020000}"/>
    <cellStyle name="Обычный 22 32" xfId="674" xr:uid="{00000000-0005-0000-0000-0000D7020000}"/>
    <cellStyle name="Обычный 22 4" xfId="675" xr:uid="{00000000-0005-0000-0000-0000D8020000}"/>
    <cellStyle name="Обычный 22 5" xfId="676" xr:uid="{00000000-0005-0000-0000-0000D9020000}"/>
    <cellStyle name="Обычный 22 6" xfId="677" xr:uid="{00000000-0005-0000-0000-0000DA020000}"/>
    <cellStyle name="Обычный 22 7" xfId="678" xr:uid="{00000000-0005-0000-0000-0000DB020000}"/>
    <cellStyle name="Обычный 22 8" xfId="679" xr:uid="{00000000-0005-0000-0000-0000DC020000}"/>
    <cellStyle name="Обычный 22 9" xfId="680" xr:uid="{00000000-0005-0000-0000-0000DD020000}"/>
    <cellStyle name="Обычный 23" xfId="681" xr:uid="{00000000-0005-0000-0000-0000DE020000}"/>
    <cellStyle name="Обычный 24" xfId="682" xr:uid="{00000000-0005-0000-0000-0000DF020000}"/>
    <cellStyle name="Обычный 24 2" xfId="683" xr:uid="{00000000-0005-0000-0000-0000E0020000}"/>
    <cellStyle name="Обычный 24 3" xfId="684" xr:uid="{00000000-0005-0000-0000-0000E1020000}"/>
    <cellStyle name="Обычный 24 4" xfId="685" xr:uid="{00000000-0005-0000-0000-0000E2020000}"/>
    <cellStyle name="Обычный 25" xfId="686" xr:uid="{00000000-0005-0000-0000-0000E3020000}"/>
    <cellStyle name="Обычный 25 2" xfId="687" xr:uid="{00000000-0005-0000-0000-0000E4020000}"/>
    <cellStyle name="Обычный 256" xfId="688" xr:uid="{00000000-0005-0000-0000-0000E5020000}"/>
    <cellStyle name="Обычный 256 2" xfId="689" xr:uid="{00000000-0005-0000-0000-0000E6020000}"/>
    <cellStyle name="Обычный 26" xfId="690" xr:uid="{00000000-0005-0000-0000-0000E7020000}"/>
    <cellStyle name="Обычный 26 10" xfId="691" xr:uid="{00000000-0005-0000-0000-0000E8020000}"/>
    <cellStyle name="Обычный 26 11" xfId="692" xr:uid="{00000000-0005-0000-0000-0000E9020000}"/>
    <cellStyle name="Обычный 26 12" xfId="693" xr:uid="{00000000-0005-0000-0000-0000EA020000}"/>
    <cellStyle name="Обычный 26 13" xfId="694" xr:uid="{00000000-0005-0000-0000-0000EB020000}"/>
    <cellStyle name="Обычный 26 14" xfId="695" xr:uid="{00000000-0005-0000-0000-0000EC020000}"/>
    <cellStyle name="Обычный 26 15" xfId="696" xr:uid="{00000000-0005-0000-0000-0000ED020000}"/>
    <cellStyle name="Обычный 26 16" xfId="697" xr:uid="{00000000-0005-0000-0000-0000EE020000}"/>
    <cellStyle name="Обычный 26 17" xfId="698" xr:uid="{00000000-0005-0000-0000-0000EF020000}"/>
    <cellStyle name="Обычный 26 18" xfId="699" xr:uid="{00000000-0005-0000-0000-0000F0020000}"/>
    <cellStyle name="Обычный 26 19" xfId="700" xr:uid="{00000000-0005-0000-0000-0000F1020000}"/>
    <cellStyle name="Обычный 26 2" xfId="701" xr:uid="{00000000-0005-0000-0000-0000F2020000}"/>
    <cellStyle name="Обычный 26 20" xfId="702" xr:uid="{00000000-0005-0000-0000-0000F3020000}"/>
    <cellStyle name="Обычный 26 21" xfId="703" xr:uid="{00000000-0005-0000-0000-0000F4020000}"/>
    <cellStyle name="Обычный 26 22" xfId="704" xr:uid="{00000000-0005-0000-0000-0000F5020000}"/>
    <cellStyle name="Обычный 26 23" xfId="705" xr:uid="{00000000-0005-0000-0000-0000F6020000}"/>
    <cellStyle name="Обычный 26 24" xfId="706" xr:uid="{00000000-0005-0000-0000-0000F7020000}"/>
    <cellStyle name="Обычный 26 25" xfId="707" xr:uid="{00000000-0005-0000-0000-0000F8020000}"/>
    <cellStyle name="Обычный 26 26" xfId="708" xr:uid="{00000000-0005-0000-0000-0000F9020000}"/>
    <cellStyle name="Обычный 26 27" xfId="709" xr:uid="{00000000-0005-0000-0000-0000FA020000}"/>
    <cellStyle name="Обычный 26 28" xfId="710" xr:uid="{00000000-0005-0000-0000-0000FB020000}"/>
    <cellStyle name="Обычный 26 29" xfId="711" xr:uid="{00000000-0005-0000-0000-0000FC020000}"/>
    <cellStyle name="Обычный 26 3" xfId="712" xr:uid="{00000000-0005-0000-0000-0000FD020000}"/>
    <cellStyle name="Обычный 26 3 2" xfId="713" xr:uid="{00000000-0005-0000-0000-0000FE020000}"/>
    <cellStyle name="Обычный 26 30" xfId="714" xr:uid="{00000000-0005-0000-0000-0000FF020000}"/>
    <cellStyle name="Обычный 26 31" xfId="715" xr:uid="{00000000-0005-0000-0000-000000030000}"/>
    <cellStyle name="Обычный 26 32" xfId="716" xr:uid="{00000000-0005-0000-0000-000001030000}"/>
    <cellStyle name="Обычный 26 4" xfId="717" xr:uid="{00000000-0005-0000-0000-000002030000}"/>
    <cellStyle name="Обычный 26 5" xfId="718" xr:uid="{00000000-0005-0000-0000-000003030000}"/>
    <cellStyle name="Обычный 26 6" xfId="719" xr:uid="{00000000-0005-0000-0000-000004030000}"/>
    <cellStyle name="Обычный 26 7" xfId="720" xr:uid="{00000000-0005-0000-0000-000005030000}"/>
    <cellStyle name="Обычный 26 8" xfId="721" xr:uid="{00000000-0005-0000-0000-000006030000}"/>
    <cellStyle name="Обычный 26 9" xfId="722" xr:uid="{00000000-0005-0000-0000-000007030000}"/>
    <cellStyle name="Обычный 27" xfId="723" xr:uid="{00000000-0005-0000-0000-000008030000}"/>
    <cellStyle name="Обычный 27 2" xfId="724" xr:uid="{00000000-0005-0000-0000-000009030000}"/>
    <cellStyle name="Обычный 28" xfId="725" xr:uid="{00000000-0005-0000-0000-00000A030000}"/>
    <cellStyle name="Обычный 29" xfId="726" xr:uid="{00000000-0005-0000-0000-00000B030000}"/>
    <cellStyle name="Обычный 3" xfId="6" xr:uid="{00000000-0005-0000-0000-00000C030000}"/>
    <cellStyle name="Обычный 3 2" xfId="727" xr:uid="{00000000-0005-0000-0000-00000D030000}"/>
    <cellStyle name="Обычный 3 2 2" xfId="728" xr:uid="{00000000-0005-0000-0000-00000E030000}"/>
    <cellStyle name="Обычный 3 2 2 2" xfId="729" xr:uid="{00000000-0005-0000-0000-00000F030000}"/>
    <cellStyle name="Обычный 3 2 3" xfId="730" xr:uid="{00000000-0005-0000-0000-000010030000}"/>
    <cellStyle name="Обычный 3 2 4" xfId="731" xr:uid="{00000000-0005-0000-0000-000011030000}"/>
    <cellStyle name="Обычный 3 3" xfId="732" xr:uid="{00000000-0005-0000-0000-000012030000}"/>
    <cellStyle name="Обычный 3 3 2" xfId="733" xr:uid="{00000000-0005-0000-0000-000013030000}"/>
    <cellStyle name="Обычный 3 3 2 2" xfId="734" xr:uid="{00000000-0005-0000-0000-000014030000}"/>
    <cellStyle name="Обычный 3 3 3" xfId="735" xr:uid="{00000000-0005-0000-0000-000015030000}"/>
    <cellStyle name="Обычный 3 4" xfId="736" xr:uid="{00000000-0005-0000-0000-000016030000}"/>
    <cellStyle name="Обычный 3 5" xfId="737" xr:uid="{00000000-0005-0000-0000-000017030000}"/>
    <cellStyle name="Обычный 3 5 2" xfId="738" xr:uid="{00000000-0005-0000-0000-000018030000}"/>
    <cellStyle name="Обычный 3 6" xfId="739" xr:uid="{00000000-0005-0000-0000-000019030000}"/>
    <cellStyle name="Обычный 3 7" xfId="740" xr:uid="{00000000-0005-0000-0000-00001A030000}"/>
    <cellStyle name="Обычный 3 8" xfId="10" xr:uid="{00000000-0005-0000-0000-00001B030000}"/>
    <cellStyle name="Обычный 30" xfId="741" xr:uid="{00000000-0005-0000-0000-00001C030000}"/>
    <cellStyle name="Обычный 30 2" xfId="742" xr:uid="{00000000-0005-0000-0000-00001D030000}"/>
    <cellStyle name="Обычный 31" xfId="743" xr:uid="{00000000-0005-0000-0000-00001E030000}"/>
    <cellStyle name="Обычный 31 2" xfId="744" xr:uid="{00000000-0005-0000-0000-00001F030000}"/>
    <cellStyle name="Обычный 32" xfId="745" xr:uid="{00000000-0005-0000-0000-000020030000}"/>
    <cellStyle name="Обычный 32 2" xfId="746" xr:uid="{00000000-0005-0000-0000-000021030000}"/>
    <cellStyle name="Обычный 33" xfId="747" xr:uid="{00000000-0005-0000-0000-000022030000}"/>
    <cellStyle name="Обычный 33 2" xfId="748" xr:uid="{00000000-0005-0000-0000-000023030000}"/>
    <cellStyle name="Обычный 34" xfId="749" xr:uid="{00000000-0005-0000-0000-000024030000}"/>
    <cellStyle name="Обычный 34 2" xfId="750" xr:uid="{00000000-0005-0000-0000-000025030000}"/>
    <cellStyle name="Обычный 35" xfId="751" xr:uid="{00000000-0005-0000-0000-000026030000}"/>
    <cellStyle name="Обычный 35 10" xfId="752" xr:uid="{00000000-0005-0000-0000-000027030000}"/>
    <cellStyle name="Обычный 35 11" xfId="753" xr:uid="{00000000-0005-0000-0000-000028030000}"/>
    <cellStyle name="Обычный 35 12" xfId="754" xr:uid="{00000000-0005-0000-0000-000029030000}"/>
    <cellStyle name="Обычный 35 13" xfId="755" xr:uid="{00000000-0005-0000-0000-00002A030000}"/>
    <cellStyle name="Обычный 35 14" xfId="756" xr:uid="{00000000-0005-0000-0000-00002B030000}"/>
    <cellStyle name="Обычный 35 15" xfId="757" xr:uid="{00000000-0005-0000-0000-00002C030000}"/>
    <cellStyle name="Обычный 35 16" xfId="758" xr:uid="{00000000-0005-0000-0000-00002D030000}"/>
    <cellStyle name="Обычный 35 17" xfId="759" xr:uid="{00000000-0005-0000-0000-00002E030000}"/>
    <cellStyle name="Обычный 35 18" xfId="760" xr:uid="{00000000-0005-0000-0000-00002F030000}"/>
    <cellStyle name="Обычный 35 19" xfId="761" xr:uid="{00000000-0005-0000-0000-000030030000}"/>
    <cellStyle name="Обычный 35 2" xfId="762" xr:uid="{00000000-0005-0000-0000-000031030000}"/>
    <cellStyle name="Обычный 35 2 2" xfId="763" xr:uid="{00000000-0005-0000-0000-000032030000}"/>
    <cellStyle name="Обычный 35 20" xfId="764" xr:uid="{00000000-0005-0000-0000-000033030000}"/>
    <cellStyle name="Обычный 35 21" xfId="765" xr:uid="{00000000-0005-0000-0000-000034030000}"/>
    <cellStyle name="Обычный 35 22" xfId="766" xr:uid="{00000000-0005-0000-0000-000035030000}"/>
    <cellStyle name="Обычный 35 23" xfId="767" xr:uid="{00000000-0005-0000-0000-000036030000}"/>
    <cellStyle name="Обычный 35 24" xfId="768" xr:uid="{00000000-0005-0000-0000-000037030000}"/>
    <cellStyle name="Обычный 35 25" xfId="769" xr:uid="{00000000-0005-0000-0000-000038030000}"/>
    <cellStyle name="Обычный 35 26" xfId="770" xr:uid="{00000000-0005-0000-0000-000039030000}"/>
    <cellStyle name="Обычный 35 27" xfId="771" xr:uid="{00000000-0005-0000-0000-00003A030000}"/>
    <cellStyle name="Обычный 35 28" xfId="772" xr:uid="{00000000-0005-0000-0000-00003B030000}"/>
    <cellStyle name="Обычный 35 29" xfId="773" xr:uid="{00000000-0005-0000-0000-00003C030000}"/>
    <cellStyle name="Обычный 35 3" xfId="774" xr:uid="{00000000-0005-0000-0000-00003D030000}"/>
    <cellStyle name="Обычный 35 30" xfId="775" xr:uid="{00000000-0005-0000-0000-00003E030000}"/>
    <cellStyle name="Обычный 35 31" xfId="776" xr:uid="{00000000-0005-0000-0000-00003F030000}"/>
    <cellStyle name="Обычный 35 4" xfId="777" xr:uid="{00000000-0005-0000-0000-000040030000}"/>
    <cellStyle name="Обычный 35 5" xfId="778" xr:uid="{00000000-0005-0000-0000-000041030000}"/>
    <cellStyle name="Обычный 35 6" xfId="779" xr:uid="{00000000-0005-0000-0000-000042030000}"/>
    <cellStyle name="Обычный 35 7" xfId="780" xr:uid="{00000000-0005-0000-0000-000043030000}"/>
    <cellStyle name="Обычный 35 8" xfId="781" xr:uid="{00000000-0005-0000-0000-000044030000}"/>
    <cellStyle name="Обычный 35 9" xfId="782" xr:uid="{00000000-0005-0000-0000-000045030000}"/>
    <cellStyle name="Обычный 36" xfId="783" xr:uid="{00000000-0005-0000-0000-000046030000}"/>
    <cellStyle name="Обычный 36 2" xfId="784" xr:uid="{00000000-0005-0000-0000-000047030000}"/>
    <cellStyle name="Обычный 37" xfId="785" xr:uid="{00000000-0005-0000-0000-000048030000}"/>
    <cellStyle name="Обычный 37 2" xfId="786" xr:uid="{00000000-0005-0000-0000-000049030000}"/>
    <cellStyle name="Обычный 38" xfId="787" xr:uid="{00000000-0005-0000-0000-00004A030000}"/>
    <cellStyle name="Обычный 38 2" xfId="788" xr:uid="{00000000-0005-0000-0000-00004B030000}"/>
    <cellStyle name="Обычный 39" xfId="789" xr:uid="{00000000-0005-0000-0000-00004C030000}"/>
    <cellStyle name="Обычный 39 2" xfId="790" xr:uid="{00000000-0005-0000-0000-00004D030000}"/>
    <cellStyle name="Обычный 4" xfId="7" xr:uid="{00000000-0005-0000-0000-00004E030000}"/>
    <cellStyle name="Обычный 4 2" xfId="5" xr:uid="{00000000-0005-0000-0000-00004F030000}"/>
    <cellStyle name="Обычный 4 2 2" xfId="791" xr:uid="{00000000-0005-0000-0000-000050030000}"/>
    <cellStyle name="Обычный 4 2 3" xfId="792" xr:uid="{00000000-0005-0000-0000-000051030000}"/>
    <cellStyle name="Обычный 4 3" xfId="793" xr:uid="{00000000-0005-0000-0000-000052030000}"/>
    <cellStyle name="Обычный 4 3 2" xfId="794" xr:uid="{00000000-0005-0000-0000-000053030000}"/>
    <cellStyle name="Обычный 4 4" xfId="795" xr:uid="{00000000-0005-0000-0000-000054030000}"/>
    <cellStyle name="Обычный 4 4 2" xfId="796" xr:uid="{00000000-0005-0000-0000-000055030000}"/>
    <cellStyle name="Обычный 4 5" xfId="797" xr:uid="{00000000-0005-0000-0000-000056030000}"/>
    <cellStyle name="Обычный 40" xfId="798" xr:uid="{00000000-0005-0000-0000-000057030000}"/>
    <cellStyle name="Обычный 40 10" xfId="799" xr:uid="{00000000-0005-0000-0000-000058030000}"/>
    <cellStyle name="Обычный 40 11" xfId="800" xr:uid="{00000000-0005-0000-0000-000059030000}"/>
    <cellStyle name="Обычный 40 12" xfId="801" xr:uid="{00000000-0005-0000-0000-00005A030000}"/>
    <cellStyle name="Обычный 40 13" xfId="802" xr:uid="{00000000-0005-0000-0000-00005B030000}"/>
    <cellStyle name="Обычный 40 14" xfId="803" xr:uid="{00000000-0005-0000-0000-00005C030000}"/>
    <cellStyle name="Обычный 40 15" xfId="804" xr:uid="{00000000-0005-0000-0000-00005D030000}"/>
    <cellStyle name="Обычный 40 16" xfId="805" xr:uid="{00000000-0005-0000-0000-00005E030000}"/>
    <cellStyle name="Обычный 40 17" xfId="806" xr:uid="{00000000-0005-0000-0000-00005F030000}"/>
    <cellStyle name="Обычный 40 18" xfId="807" xr:uid="{00000000-0005-0000-0000-000060030000}"/>
    <cellStyle name="Обычный 40 19" xfId="808" xr:uid="{00000000-0005-0000-0000-000061030000}"/>
    <cellStyle name="Обычный 40 2" xfId="809" xr:uid="{00000000-0005-0000-0000-000062030000}"/>
    <cellStyle name="Обычный 40 2 2" xfId="810" xr:uid="{00000000-0005-0000-0000-000063030000}"/>
    <cellStyle name="Обычный 40 20" xfId="811" xr:uid="{00000000-0005-0000-0000-000064030000}"/>
    <cellStyle name="Обычный 40 21" xfId="812" xr:uid="{00000000-0005-0000-0000-000065030000}"/>
    <cellStyle name="Обычный 40 22" xfId="813" xr:uid="{00000000-0005-0000-0000-000066030000}"/>
    <cellStyle name="Обычный 40 23" xfId="814" xr:uid="{00000000-0005-0000-0000-000067030000}"/>
    <cellStyle name="Обычный 40 24" xfId="815" xr:uid="{00000000-0005-0000-0000-000068030000}"/>
    <cellStyle name="Обычный 40 25" xfId="816" xr:uid="{00000000-0005-0000-0000-000069030000}"/>
    <cellStyle name="Обычный 40 26" xfId="817" xr:uid="{00000000-0005-0000-0000-00006A030000}"/>
    <cellStyle name="Обычный 40 27" xfId="818" xr:uid="{00000000-0005-0000-0000-00006B030000}"/>
    <cellStyle name="Обычный 40 28" xfId="819" xr:uid="{00000000-0005-0000-0000-00006C030000}"/>
    <cellStyle name="Обычный 40 29" xfId="820" xr:uid="{00000000-0005-0000-0000-00006D030000}"/>
    <cellStyle name="Обычный 40 3" xfId="821" xr:uid="{00000000-0005-0000-0000-00006E030000}"/>
    <cellStyle name="Обычный 40 30" xfId="822" xr:uid="{00000000-0005-0000-0000-00006F030000}"/>
    <cellStyle name="Обычный 40 31" xfId="823" xr:uid="{00000000-0005-0000-0000-000070030000}"/>
    <cellStyle name="Обычный 40 32" xfId="824" xr:uid="{00000000-0005-0000-0000-000071030000}"/>
    <cellStyle name="Обычный 40 4" xfId="825" xr:uid="{00000000-0005-0000-0000-000072030000}"/>
    <cellStyle name="Обычный 40 5" xfId="826" xr:uid="{00000000-0005-0000-0000-000073030000}"/>
    <cellStyle name="Обычный 40 6" xfId="827" xr:uid="{00000000-0005-0000-0000-000074030000}"/>
    <cellStyle name="Обычный 40 7" xfId="828" xr:uid="{00000000-0005-0000-0000-000075030000}"/>
    <cellStyle name="Обычный 40 8" xfId="829" xr:uid="{00000000-0005-0000-0000-000076030000}"/>
    <cellStyle name="Обычный 40 9" xfId="830" xr:uid="{00000000-0005-0000-0000-000077030000}"/>
    <cellStyle name="Обычный 41" xfId="831" xr:uid="{00000000-0005-0000-0000-000078030000}"/>
    <cellStyle name="Обычный 41 10" xfId="832" xr:uid="{00000000-0005-0000-0000-000079030000}"/>
    <cellStyle name="Обычный 41 11" xfId="833" xr:uid="{00000000-0005-0000-0000-00007A030000}"/>
    <cellStyle name="Обычный 41 12" xfId="834" xr:uid="{00000000-0005-0000-0000-00007B030000}"/>
    <cellStyle name="Обычный 41 13" xfId="835" xr:uid="{00000000-0005-0000-0000-00007C030000}"/>
    <cellStyle name="Обычный 41 14" xfId="836" xr:uid="{00000000-0005-0000-0000-00007D030000}"/>
    <cellStyle name="Обычный 41 15" xfId="837" xr:uid="{00000000-0005-0000-0000-00007E030000}"/>
    <cellStyle name="Обычный 41 16" xfId="838" xr:uid="{00000000-0005-0000-0000-00007F030000}"/>
    <cellStyle name="Обычный 41 17" xfId="839" xr:uid="{00000000-0005-0000-0000-000080030000}"/>
    <cellStyle name="Обычный 41 18" xfId="840" xr:uid="{00000000-0005-0000-0000-000081030000}"/>
    <cellStyle name="Обычный 41 19" xfId="841" xr:uid="{00000000-0005-0000-0000-000082030000}"/>
    <cellStyle name="Обычный 41 2" xfId="842" xr:uid="{00000000-0005-0000-0000-000083030000}"/>
    <cellStyle name="Обычный 41 2 2" xfId="843" xr:uid="{00000000-0005-0000-0000-000084030000}"/>
    <cellStyle name="Обычный 41 20" xfId="844" xr:uid="{00000000-0005-0000-0000-000085030000}"/>
    <cellStyle name="Обычный 41 21" xfId="845" xr:uid="{00000000-0005-0000-0000-000086030000}"/>
    <cellStyle name="Обычный 41 22" xfId="846" xr:uid="{00000000-0005-0000-0000-000087030000}"/>
    <cellStyle name="Обычный 41 23" xfId="847" xr:uid="{00000000-0005-0000-0000-000088030000}"/>
    <cellStyle name="Обычный 41 24" xfId="848" xr:uid="{00000000-0005-0000-0000-000089030000}"/>
    <cellStyle name="Обычный 41 25" xfId="849" xr:uid="{00000000-0005-0000-0000-00008A030000}"/>
    <cellStyle name="Обычный 41 26" xfId="850" xr:uid="{00000000-0005-0000-0000-00008B030000}"/>
    <cellStyle name="Обычный 41 27" xfId="851" xr:uid="{00000000-0005-0000-0000-00008C030000}"/>
    <cellStyle name="Обычный 41 28" xfId="852" xr:uid="{00000000-0005-0000-0000-00008D030000}"/>
    <cellStyle name="Обычный 41 29" xfId="853" xr:uid="{00000000-0005-0000-0000-00008E030000}"/>
    <cellStyle name="Обычный 41 3" xfId="854" xr:uid="{00000000-0005-0000-0000-00008F030000}"/>
    <cellStyle name="Обычный 41 30" xfId="855" xr:uid="{00000000-0005-0000-0000-000090030000}"/>
    <cellStyle name="Обычный 41 31" xfId="856" xr:uid="{00000000-0005-0000-0000-000091030000}"/>
    <cellStyle name="Обычный 41 32" xfId="857" xr:uid="{00000000-0005-0000-0000-000092030000}"/>
    <cellStyle name="Обычный 41 4" xfId="858" xr:uid="{00000000-0005-0000-0000-000093030000}"/>
    <cellStyle name="Обычный 41 5" xfId="859" xr:uid="{00000000-0005-0000-0000-000094030000}"/>
    <cellStyle name="Обычный 41 6" xfId="860" xr:uid="{00000000-0005-0000-0000-000095030000}"/>
    <cellStyle name="Обычный 41 7" xfId="861" xr:uid="{00000000-0005-0000-0000-000096030000}"/>
    <cellStyle name="Обычный 41 8" xfId="862" xr:uid="{00000000-0005-0000-0000-000097030000}"/>
    <cellStyle name="Обычный 41 9" xfId="863" xr:uid="{00000000-0005-0000-0000-000098030000}"/>
    <cellStyle name="Обычный 42" xfId="864" xr:uid="{00000000-0005-0000-0000-000099030000}"/>
    <cellStyle name="Обычный 43" xfId="865" xr:uid="{00000000-0005-0000-0000-00009A030000}"/>
    <cellStyle name="Обычный 44" xfId="866" xr:uid="{00000000-0005-0000-0000-00009B030000}"/>
    <cellStyle name="Обычный 45" xfId="867" xr:uid="{00000000-0005-0000-0000-00009C030000}"/>
    <cellStyle name="Обычный 46" xfId="868" xr:uid="{00000000-0005-0000-0000-00009D030000}"/>
    <cellStyle name="Обычный 47" xfId="869" xr:uid="{00000000-0005-0000-0000-00009E030000}"/>
    <cellStyle name="Обычный 47 2" xfId="870" xr:uid="{00000000-0005-0000-0000-00009F030000}"/>
    <cellStyle name="Обычный 47 3" xfId="871" xr:uid="{00000000-0005-0000-0000-0000A0030000}"/>
    <cellStyle name="Обычный 47 4" xfId="872" xr:uid="{00000000-0005-0000-0000-0000A1030000}"/>
    <cellStyle name="Обычный 47 5" xfId="873" xr:uid="{00000000-0005-0000-0000-0000A2030000}"/>
    <cellStyle name="Обычный 47 6" xfId="874" xr:uid="{00000000-0005-0000-0000-0000A3030000}"/>
    <cellStyle name="Обычный 47 7" xfId="875" xr:uid="{00000000-0005-0000-0000-0000A4030000}"/>
    <cellStyle name="Обычный 48" xfId="876" xr:uid="{00000000-0005-0000-0000-0000A5030000}"/>
    <cellStyle name="Обычный 48 2" xfId="877" xr:uid="{00000000-0005-0000-0000-0000A6030000}"/>
    <cellStyle name="Обычный 48 3" xfId="878" xr:uid="{00000000-0005-0000-0000-0000A7030000}"/>
    <cellStyle name="Обычный 49" xfId="879" xr:uid="{00000000-0005-0000-0000-0000A8030000}"/>
    <cellStyle name="Обычный 5" xfId="880" xr:uid="{00000000-0005-0000-0000-0000A9030000}"/>
    <cellStyle name="Обычный 5 2" xfId="881" xr:uid="{00000000-0005-0000-0000-0000AA030000}"/>
    <cellStyle name="Обычный 5 2 2" xfId="882" xr:uid="{00000000-0005-0000-0000-0000AB030000}"/>
    <cellStyle name="Обычный 5 2 2 2" xfId="883" xr:uid="{00000000-0005-0000-0000-0000AC030000}"/>
    <cellStyle name="Обычный 5 2 3" xfId="884" xr:uid="{00000000-0005-0000-0000-0000AD030000}"/>
    <cellStyle name="Обычный 5 3" xfId="885" xr:uid="{00000000-0005-0000-0000-0000AE030000}"/>
    <cellStyle name="Обычный 5 3 2" xfId="886" xr:uid="{00000000-0005-0000-0000-0000AF030000}"/>
    <cellStyle name="Обычный 5 3 2 2" xfId="887" xr:uid="{00000000-0005-0000-0000-0000B0030000}"/>
    <cellStyle name="Обычный 5 3 3" xfId="888" xr:uid="{00000000-0005-0000-0000-0000B1030000}"/>
    <cellStyle name="Обычный 5 3 4" xfId="889" xr:uid="{00000000-0005-0000-0000-0000B2030000}"/>
    <cellStyle name="Обычный 5 4" xfId="890" xr:uid="{00000000-0005-0000-0000-0000B3030000}"/>
    <cellStyle name="Обычный 5 4 2" xfId="891" xr:uid="{00000000-0005-0000-0000-0000B4030000}"/>
    <cellStyle name="Обычный 5 5" xfId="892" xr:uid="{00000000-0005-0000-0000-0000B5030000}"/>
    <cellStyle name="Обычный 5 5 2" xfId="893" xr:uid="{00000000-0005-0000-0000-0000B6030000}"/>
    <cellStyle name="Обычный 5 6" xfId="894" xr:uid="{00000000-0005-0000-0000-0000B7030000}"/>
    <cellStyle name="Обычный 5 6 2" xfId="895" xr:uid="{00000000-0005-0000-0000-0000B8030000}"/>
    <cellStyle name="Обычный 5 7" xfId="896" xr:uid="{00000000-0005-0000-0000-0000B9030000}"/>
    <cellStyle name="Обычный 5 7 2" xfId="897" xr:uid="{00000000-0005-0000-0000-0000BA030000}"/>
    <cellStyle name="Обычный 5 8" xfId="898" xr:uid="{00000000-0005-0000-0000-0000BB030000}"/>
    <cellStyle name="Обычный 5 8 2" xfId="899" xr:uid="{00000000-0005-0000-0000-0000BC030000}"/>
    <cellStyle name="Обычный 50" xfId="900" xr:uid="{00000000-0005-0000-0000-0000BD030000}"/>
    <cellStyle name="Обычный 51" xfId="901" xr:uid="{00000000-0005-0000-0000-0000BE030000}"/>
    <cellStyle name="Обычный 52" xfId="902" xr:uid="{00000000-0005-0000-0000-0000BF030000}"/>
    <cellStyle name="Обычный 53" xfId="903" xr:uid="{00000000-0005-0000-0000-0000C0030000}"/>
    <cellStyle name="Обычный 54" xfId="904" xr:uid="{00000000-0005-0000-0000-0000C1030000}"/>
    <cellStyle name="Обычный 55" xfId="905" xr:uid="{00000000-0005-0000-0000-0000C2030000}"/>
    <cellStyle name="Обычный 56" xfId="906" xr:uid="{00000000-0005-0000-0000-0000C3030000}"/>
    <cellStyle name="Обычный 57" xfId="907" xr:uid="{00000000-0005-0000-0000-0000C4030000}"/>
    <cellStyle name="Обычный 58" xfId="908" xr:uid="{00000000-0005-0000-0000-0000C5030000}"/>
    <cellStyle name="Обычный 59" xfId="909" xr:uid="{00000000-0005-0000-0000-0000C6030000}"/>
    <cellStyle name="Обычный 6" xfId="910" xr:uid="{00000000-0005-0000-0000-0000C7030000}"/>
    <cellStyle name="Обычный 6 2" xfId="911" xr:uid="{00000000-0005-0000-0000-0000C8030000}"/>
    <cellStyle name="Обычный 6 2 2" xfId="912" xr:uid="{00000000-0005-0000-0000-0000C9030000}"/>
    <cellStyle name="Обычный 6 2 3" xfId="913" xr:uid="{00000000-0005-0000-0000-0000CA030000}"/>
    <cellStyle name="Обычный 6 3" xfId="914" xr:uid="{00000000-0005-0000-0000-0000CB030000}"/>
    <cellStyle name="Обычный 6 3 2" xfId="915" xr:uid="{00000000-0005-0000-0000-0000CC030000}"/>
    <cellStyle name="Обычный 6 4" xfId="916" xr:uid="{00000000-0005-0000-0000-0000CD030000}"/>
    <cellStyle name="Обычный 6 5" xfId="917" xr:uid="{00000000-0005-0000-0000-0000CE030000}"/>
    <cellStyle name="Обычный 6 6" xfId="918" xr:uid="{00000000-0005-0000-0000-0000CF030000}"/>
    <cellStyle name="Обычный 60" xfId="919" xr:uid="{00000000-0005-0000-0000-0000D0030000}"/>
    <cellStyle name="Обычный 61" xfId="920" xr:uid="{00000000-0005-0000-0000-0000D1030000}"/>
    <cellStyle name="Обычный 62" xfId="921" xr:uid="{00000000-0005-0000-0000-0000D2030000}"/>
    <cellStyle name="Обычный 63" xfId="922" xr:uid="{00000000-0005-0000-0000-0000D3030000}"/>
    <cellStyle name="Обычный 64" xfId="923" xr:uid="{00000000-0005-0000-0000-0000D4030000}"/>
    <cellStyle name="Обычный 65" xfId="924" xr:uid="{00000000-0005-0000-0000-0000D5030000}"/>
    <cellStyle name="Обычный 65 2" xfId="925" xr:uid="{00000000-0005-0000-0000-0000D6030000}"/>
    <cellStyle name="Обычный 66" xfId="926" xr:uid="{00000000-0005-0000-0000-0000D7030000}"/>
    <cellStyle name="Обычный 66 2" xfId="927" xr:uid="{00000000-0005-0000-0000-0000D8030000}"/>
    <cellStyle name="Обычный 66 3" xfId="928" xr:uid="{00000000-0005-0000-0000-0000D9030000}"/>
    <cellStyle name="Обычный 67" xfId="929" xr:uid="{00000000-0005-0000-0000-0000DA030000}"/>
    <cellStyle name="Обычный 68" xfId="930" xr:uid="{00000000-0005-0000-0000-0000DB030000}"/>
    <cellStyle name="Обычный 69" xfId="931" xr:uid="{00000000-0005-0000-0000-0000DC030000}"/>
    <cellStyle name="Обычный 7" xfId="932" xr:uid="{00000000-0005-0000-0000-0000DD030000}"/>
    <cellStyle name="Обычный 7 2" xfId="933" xr:uid="{00000000-0005-0000-0000-0000DE030000}"/>
    <cellStyle name="Обычный 7 2 2" xfId="934" xr:uid="{00000000-0005-0000-0000-0000DF030000}"/>
    <cellStyle name="Обычный 7 2 3" xfId="935" xr:uid="{00000000-0005-0000-0000-0000E0030000}"/>
    <cellStyle name="Обычный 7 3" xfId="936" xr:uid="{00000000-0005-0000-0000-0000E1030000}"/>
    <cellStyle name="Обычный 7 3 2" xfId="937" xr:uid="{00000000-0005-0000-0000-0000E2030000}"/>
    <cellStyle name="Обычный 7 4" xfId="938" xr:uid="{00000000-0005-0000-0000-0000E3030000}"/>
    <cellStyle name="Обычный 7 4 2" xfId="939" xr:uid="{00000000-0005-0000-0000-0000E4030000}"/>
    <cellStyle name="Обычный 7 5" xfId="940" xr:uid="{00000000-0005-0000-0000-0000E5030000}"/>
    <cellStyle name="Обычный 70" xfId="941" xr:uid="{00000000-0005-0000-0000-0000E6030000}"/>
    <cellStyle name="Обычный 71" xfId="942" xr:uid="{00000000-0005-0000-0000-0000E7030000}"/>
    <cellStyle name="Обычный 72" xfId="943" xr:uid="{00000000-0005-0000-0000-0000E8030000}"/>
    <cellStyle name="Обычный 73" xfId="944" xr:uid="{00000000-0005-0000-0000-0000E9030000}"/>
    <cellStyle name="Обычный 73 2" xfId="945" xr:uid="{00000000-0005-0000-0000-0000EA030000}"/>
    <cellStyle name="Обычный 73 3" xfId="946" xr:uid="{00000000-0005-0000-0000-0000EB030000}"/>
    <cellStyle name="Обычный 73 4" xfId="947" xr:uid="{00000000-0005-0000-0000-0000EC030000}"/>
    <cellStyle name="Обычный 74" xfId="948" xr:uid="{00000000-0005-0000-0000-0000ED030000}"/>
    <cellStyle name="Обычный 75" xfId="949" xr:uid="{00000000-0005-0000-0000-0000EE030000}"/>
    <cellStyle name="Обычный 75 2" xfId="950" xr:uid="{00000000-0005-0000-0000-0000EF030000}"/>
    <cellStyle name="Обычный 76" xfId="951" xr:uid="{00000000-0005-0000-0000-0000F0030000}"/>
    <cellStyle name="Обычный 77" xfId="952" xr:uid="{00000000-0005-0000-0000-0000F1030000}"/>
    <cellStyle name="Обычный 78" xfId="953" xr:uid="{00000000-0005-0000-0000-0000F2030000}"/>
    <cellStyle name="Обычный 78 2" xfId="954" xr:uid="{00000000-0005-0000-0000-0000F3030000}"/>
    <cellStyle name="Обычный 78 3" xfId="955" xr:uid="{00000000-0005-0000-0000-0000F4030000}"/>
    <cellStyle name="Обычный 79" xfId="956" xr:uid="{00000000-0005-0000-0000-0000F5030000}"/>
    <cellStyle name="Обычный 8" xfId="957" xr:uid="{00000000-0005-0000-0000-0000F6030000}"/>
    <cellStyle name="Обычный 8 2" xfId="958" xr:uid="{00000000-0005-0000-0000-0000F7030000}"/>
    <cellStyle name="Обычный 8 2 2" xfId="959" xr:uid="{00000000-0005-0000-0000-0000F8030000}"/>
    <cellStyle name="Обычный 8 2 3" xfId="960" xr:uid="{00000000-0005-0000-0000-0000F9030000}"/>
    <cellStyle name="Обычный 8 3" xfId="961" xr:uid="{00000000-0005-0000-0000-0000FA030000}"/>
    <cellStyle name="Обычный 8 3 2" xfId="962" xr:uid="{00000000-0005-0000-0000-0000FB030000}"/>
    <cellStyle name="Обычный 8 4" xfId="963" xr:uid="{00000000-0005-0000-0000-0000FC030000}"/>
    <cellStyle name="Обычный 8 5" xfId="964" xr:uid="{00000000-0005-0000-0000-0000FD030000}"/>
    <cellStyle name="Обычный 8 6" xfId="965" xr:uid="{00000000-0005-0000-0000-0000FE030000}"/>
    <cellStyle name="Обычный 80" xfId="966" xr:uid="{00000000-0005-0000-0000-0000FF030000}"/>
    <cellStyle name="Обычный 81" xfId="967" xr:uid="{00000000-0005-0000-0000-000000040000}"/>
    <cellStyle name="Обычный 82" xfId="968" xr:uid="{00000000-0005-0000-0000-000001040000}"/>
    <cellStyle name="Обычный 83" xfId="969" xr:uid="{00000000-0005-0000-0000-000002040000}"/>
    <cellStyle name="Обычный 84" xfId="970" xr:uid="{00000000-0005-0000-0000-000003040000}"/>
    <cellStyle name="Обычный 85" xfId="971" xr:uid="{00000000-0005-0000-0000-000004040000}"/>
    <cellStyle name="Обычный 86" xfId="972" xr:uid="{00000000-0005-0000-0000-000005040000}"/>
    <cellStyle name="Обычный 87" xfId="973" xr:uid="{00000000-0005-0000-0000-000006040000}"/>
    <cellStyle name="Обычный 87 2" xfId="974" xr:uid="{00000000-0005-0000-0000-000007040000}"/>
    <cellStyle name="Обычный 87 3" xfId="975" xr:uid="{00000000-0005-0000-0000-000008040000}"/>
    <cellStyle name="Обычный 88" xfId="976" xr:uid="{00000000-0005-0000-0000-000009040000}"/>
    <cellStyle name="Обычный 88 2" xfId="977" xr:uid="{00000000-0005-0000-0000-00000A040000}"/>
    <cellStyle name="Обычный 88 3" xfId="978" xr:uid="{00000000-0005-0000-0000-00000B040000}"/>
    <cellStyle name="Обычный 89" xfId="979" xr:uid="{00000000-0005-0000-0000-00000C040000}"/>
    <cellStyle name="Обычный 9" xfId="980" xr:uid="{00000000-0005-0000-0000-00000D040000}"/>
    <cellStyle name="Обычный 9 2" xfId="981" xr:uid="{00000000-0005-0000-0000-00000E040000}"/>
    <cellStyle name="Обычный 9 2 2" xfId="982" xr:uid="{00000000-0005-0000-0000-00000F040000}"/>
    <cellStyle name="Обычный 9 2 3" xfId="983" xr:uid="{00000000-0005-0000-0000-000010040000}"/>
    <cellStyle name="Обычный 9 3" xfId="984" xr:uid="{00000000-0005-0000-0000-000011040000}"/>
    <cellStyle name="Обычный 9 3 2" xfId="985" xr:uid="{00000000-0005-0000-0000-000012040000}"/>
    <cellStyle name="Обычный 9 4" xfId="986" xr:uid="{00000000-0005-0000-0000-000013040000}"/>
    <cellStyle name="Обычный 90" xfId="987" xr:uid="{00000000-0005-0000-0000-000014040000}"/>
    <cellStyle name="Обычный 90 2" xfId="988" xr:uid="{00000000-0005-0000-0000-000015040000}"/>
    <cellStyle name="Обычный 91" xfId="989" xr:uid="{00000000-0005-0000-0000-000016040000}"/>
    <cellStyle name="Обычный 92" xfId="990" xr:uid="{00000000-0005-0000-0000-000017040000}"/>
    <cellStyle name="Обычный 92 2" xfId="991" xr:uid="{00000000-0005-0000-0000-000018040000}"/>
    <cellStyle name="Обычный 93" xfId="992" xr:uid="{00000000-0005-0000-0000-000019040000}"/>
    <cellStyle name="Обычный 93 2" xfId="993" xr:uid="{00000000-0005-0000-0000-00001A040000}"/>
    <cellStyle name="Обычный 93 3" xfId="994" xr:uid="{00000000-0005-0000-0000-00001B040000}"/>
    <cellStyle name="Обычный 94" xfId="995" xr:uid="{00000000-0005-0000-0000-00001C040000}"/>
    <cellStyle name="Обычный 94 2" xfId="996" xr:uid="{00000000-0005-0000-0000-00001D040000}"/>
    <cellStyle name="Обычный 94 3" xfId="997" xr:uid="{00000000-0005-0000-0000-00001E040000}"/>
    <cellStyle name="Обычный 95" xfId="998" xr:uid="{00000000-0005-0000-0000-00001F040000}"/>
    <cellStyle name="Обычный 95 2" xfId="999" xr:uid="{00000000-0005-0000-0000-000020040000}"/>
    <cellStyle name="Обычный 96" xfId="1000" xr:uid="{00000000-0005-0000-0000-000021040000}"/>
    <cellStyle name="Обычный 97" xfId="1001" xr:uid="{00000000-0005-0000-0000-000022040000}"/>
    <cellStyle name="Обычный 97 2" xfId="1002" xr:uid="{00000000-0005-0000-0000-000023040000}"/>
    <cellStyle name="Обычный 98" xfId="1003" xr:uid="{00000000-0005-0000-0000-000024040000}"/>
    <cellStyle name="Обычный 99" xfId="1004" xr:uid="{00000000-0005-0000-0000-000025040000}"/>
    <cellStyle name="Обычный 99 2" xfId="1005" xr:uid="{00000000-0005-0000-0000-000026040000}"/>
    <cellStyle name="Обычный 99 2 2" xfId="1006" xr:uid="{00000000-0005-0000-0000-000027040000}"/>
    <cellStyle name="Обычный_Книга3" xfId="2" xr:uid="{00000000-0005-0000-0000-000028040000}"/>
    <cellStyle name="Примечание 10" xfId="1007" xr:uid="{00000000-0005-0000-0000-000029040000}"/>
    <cellStyle name="Примечание 11" xfId="1008" xr:uid="{00000000-0005-0000-0000-00002A040000}"/>
    <cellStyle name="Примечание 12" xfId="1009" xr:uid="{00000000-0005-0000-0000-00002B040000}"/>
    <cellStyle name="Примечание 13" xfId="1010" xr:uid="{00000000-0005-0000-0000-00002C040000}"/>
    <cellStyle name="Примечание 14" xfId="1011" xr:uid="{00000000-0005-0000-0000-00002D040000}"/>
    <cellStyle name="Примечание 15" xfId="1012" xr:uid="{00000000-0005-0000-0000-00002E040000}"/>
    <cellStyle name="Примечание 16" xfId="1013" xr:uid="{00000000-0005-0000-0000-00002F040000}"/>
    <cellStyle name="Примечание 17" xfId="1014" xr:uid="{00000000-0005-0000-0000-000030040000}"/>
    <cellStyle name="Примечание 18" xfId="1015" xr:uid="{00000000-0005-0000-0000-000031040000}"/>
    <cellStyle name="Примечание 19" xfId="1016" xr:uid="{00000000-0005-0000-0000-000032040000}"/>
    <cellStyle name="Примечание 2" xfId="1017" xr:uid="{00000000-0005-0000-0000-000033040000}"/>
    <cellStyle name="Примечание 2 2" xfId="1018" xr:uid="{00000000-0005-0000-0000-000034040000}"/>
    <cellStyle name="Примечание 2 3" xfId="1019" xr:uid="{00000000-0005-0000-0000-000035040000}"/>
    <cellStyle name="Примечание 20" xfId="1020" xr:uid="{00000000-0005-0000-0000-000036040000}"/>
    <cellStyle name="Примечание 21" xfId="1021" xr:uid="{00000000-0005-0000-0000-000037040000}"/>
    <cellStyle name="Примечание 22" xfId="1022" xr:uid="{00000000-0005-0000-0000-000038040000}"/>
    <cellStyle name="Примечание 23" xfId="1023" xr:uid="{00000000-0005-0000-0000-000039040000}"/>
    <cellStyle name="Примечание 24" xfId="1024" xr:uid="{00000000-0005-0000-0000-00003A040000}"/>
    <cellStyle name="Примечание 25" xfId="1025" xr:uid="{00000000-0005-0000-0000-00003B040000}"/>
    <cellStyle name="Примечание 26" xfId="1026" xr:uid="{00000000-0005-0000-0000-00003C040000}"/>
    <cellStyle name="Примечание 27" xfId="1027" xr:uid="{00000000-0005-0000-0000-00003D040000}"/>
    <cellStyle name="Примечание 28" xfId="1028" xr:uid="{00000000-0005-0000-0000-00003E040000}"/>
    <cellStyle name="Примечание 29" xfId="1029" xr:uid="{00000000-0005-0000-0000-00003F040000}"/>
    <cellStyle name="Примечание 3" xfId="1030" xr:uid="{00000000-0005-0000-0000-000040040000}"/>
    <cellStyle name="Примечание 3 2" xfId="1031" xr:uid="{00000000-0005-0000-0000-000041040000}"/>
    <cellStyle name="Примечание 3 3" xfId="1032" xr:uid="{00000000-0005-0000-0000-000042040000}"/>
    <cellStyle name="Примечание 30" xfId="1033" xr:uid="{00000000-0005-0000-0000-000043040000}"/>
    <cellStyle name="Примечание 4" xfId="1034" xr:uid="{00000000-0005-0000-0000-000044040000}"/>
    <cellStyle name="Примечание 4 2" xfId="1035" xr:uid="{00000000-0005-0000-0000-000045040000}"/>
    <cellStyle name="Примечание 4 3" xfId="1036" xr:uid="{00000000-0005-0000-0000-000046040000}"/>
    <cellStyle name="Примечание 5" xfId="1037" xr:uid="{00000000-0005-0000-0000-000047040000}"/>
    <cellStyle name="Примечание 5 2" xfId="1038" xr:uid="{00000000-0005-0000-0000-000048040000}"/>
    <cellStyle name="Примечание 5 3" xfId="1039" xr:uid="{00000000-0005-0000-0000-000049040000}"/>
    <cellStyle name="Примечание 6" xfId="1040" xr:uid="{00000000-0005-0000-0000-00004A040000}"/>
    <cellStyle name="Примечание 6 2" xfId="1041" xr:uid="{00000000-0005-0000-0000-00004B040000}"/>
    <cellStyle name="Примечание 6 3" xfId="1042" xr:uid="{00000000-0005-0000-0000-00004C040000}"/>
    <cellStyle name="Примечание 7" xfId="1043" xr:uid="{00000000-0005-0000-0000-00004D040000}"/>
    <cellStyle name="Примечание 7 2" xfId="1044" xr:uid="{00000000-0005-0000-0000-00004E040000}"/>
    <cellStyle name="Примечание 7 3" xfId="1045" xr:uid="{00000000-0005-0000-0000-00004F040000}"/>
    <cellStyle name="Примечание 8" xfId="1046" xr:uid="{00000000-0005-0000-0000-000050040000}"/>
    <cellStyle name="Примечание 8 2" xfId="1047" xr:uid="{00000000-0005-0000-0000-000051040000}"/>
    <cellStyle name="Примечание 8 3" xfId="1048" xr:uid="{00000000-0005-0000-0000-000052040000}"/>
    <cellStyle name="Примечание 9" xfId="1049" xr:uid="{00000000-0005-0000-0000-000053040000}"/>
    <cellStyle name="Примечание 9 2" xfId="1050" xr:uid="{00000000-0005-0000-0000-000054040000}"/>
    <cellStyle name="Процентный" xfId="3" builtinId="5"/>
    <cellStyle name="Процентный 2" xfId="9" xr:uid="{00000000-0005-0000-0000-000056040000}"/>
    <cellStyle name="Процентный 2 2" xfId="1051" xr:uid="{00000000-0005-0000-0000-000057040000}"/>
    <cellStyle name="Процентный 2 2 2" xfId="11" xr:uid="{00000000-0005-0000-0000-000058040000}"/>
    <cellStyle name="Процентный 2 2 3" xfId="1052" xr:uid="{00000000-0005-0000-0000-000059040000}"/>
    <cellStyle name="Процентный 2 3" xfId="1053" xr:uid="{00000000-0005-0000-0000-00005A040000}"/>
    <cellStyle name="Процентный 2 4" xfId="1054" xr:uid="{00000000-0005-0000-0000-00005B040000}"/>
    <cellStyle name="Процентный 2 5" xfId="1055" xr:uid="{00000000-0005-0000-0000-00005C040000}"/>
    <cellStyle name="Процентный 2 6" xfId="1056" xr:uid="{00000000-0005-0000-0000-00005D040000}"/>
    <cellStyle name="Процентный 2 7" xfId="1057" xr:uid="{00000000-0005-0000-0000-00005E040000}"/>
    <cellStyle name="Процентный 3" xfId="1058" xr:uid="{00000000-0005-0000-0000-00005F040000}"/>
    <cellStyle name="Процентный 4" xfId="1059" xr:uid="{00000000-0005-0000-0000-000060040000}"/>
    <cellStyle name="Стиль 1" xfId="1060" xr:uid="{00000000-0005-0000-0000-000061040000}"/>
    <cellStyle name="Финансовый" xfId="4" builtinId="3"/>
    <cellStyle name="Финансовый [0] 2" xfId="1061" xr:uid="{00000000-0005-0000-0000-000063040000}"/>
    <cellStyle name="Финансовый [0] 2 2" xfId="1062" xr:uid="{00000000-0005-0000-0000-000064040000}"/>
    <cellStyle name="Финансовый [0] 67" xfId="1063" xr:uid="{00000000-0005-0000-0000-000065040000}"/>
    <cellStyle name="Финансовый 10" xfId="1064" xr:uid="{00000000-0005-0000-0000-000066040000}"/>
    <cellStyle name="Финансовый 10 2" xfId="1065" xr:uid="{00000000-0005-0000-0000-000067040000}"/>
    <cellStyle name="Финансовый 11" xfId="1066" xr:uid="{00000000-0005-0000-0000-000068040000}"/>
    <cellStyle name="Финансовый 11 2" xfId="1067" xr:uid="{00000000-0005-0000-0000-000069040000}"/>
    <cellStyle name="Финансовый 13" xfId="1068" xr:uid="{00000000-0005-0000-0000-00006A040000}"/>
    <cellStyle name="Финансовый 13 2" xfId="1069" xr:uid="{00000000-0005-0000-0000-00006B040000}"/>
    <cellStyle name="Финансовый 13 3" xfId="1070" xr:uid="{00000000-0005-0000-0000-00006C040000}"/>
    <cellStyle name="Финансовый 17" xfId="1071" xr:uid="{00000000-0005-0000-0000-00006D040000}"/>
    <cellStyle name="Финансовый 19" xfId="1072" xr:uid="{00000000-0005-0000-0000-00006E040000}"/>
    <cellStyle name="Финансовый 19 2" xfId="1073" xr:uid="{00000000-0005-0000-0000-00006F040000}"/>
    <cellStyle name="Финансовый 19 3" xfId="1074" xr:uid="{00000000-0005-0000-0000-000070040000}"/>
    <cellStyle name="Финансовый 2" xfId="8" xr:uid="{00000000-0005-0000-0000-000071040000}"/>
    <cellStyle name="Финансовый 2 10" xfId="1075" xr:uid="{00000000-0005-0000-0000-000072040000}"/>
    <cellStyle name="Финансовый 2 11" xfId="1076" xr:uid="{00000000-0005-0000-0000-000073040000}"/>
    <cellStyle name="Финансовый 2 12" xfId="1077" xr:uid="{00000000-0005-0000-0000-000074040000}"/>
    <cellStyle name="Финансовый 2 13" xfId="1078" xr:uid="{00000000-0005-0000-0000-000075040000}"/>
    <cellStyle name="Финансовый 2 14" xfId="1079" xr:uid="{00000000-0005-0000-0000-000076040000}"/>
    <cellStyle name="Финансовый 2 15" xfId="1080" xr:uid="{00000000-0005-0000-0000-000077040000}"/>
    <cellStyle name="Финансовый 2 16" xfId="1081" xr:uid="{00000000-0005-0000-0000-000078040000}"/>
    <cellStyle name="Финансовый 2 17" xfId="1082" xr:uid="{00000000-0005-0000-0000-000079040000}"/>
    <cellStyle name="Финансовый 2 18" xfId="1083" xr:uid="{00000000-0005-0000-0000-00007A040000}"/>
    <cellStyle name="Финансовый 2 19" xfId="1084" xr:uid="{00000000-0005-0000-0000-00007B040000}"/>
    <cellStyle name="Финансовый 2 2" xfId="1085" xr:uid="{00000000-0005-0000-0000-00007C040000}"/>
    <cellStyle name="Финансовый 2 2 2" xfId="1086" xr:uid="{00000000-0005-0000-0000-00007D040000}"/>
    <cellStyle name="Финансовый 2 2 2 2" xfId="1087" xr:uid="{00000000-0005-0000-0000-00007E040000}"/>
    <cellStyle name="Финансовый 2 2 2 3" xfId="1088" xr:uid="{00000000-0005-0000-0000-00007F040000}"/>
    <cellStyle name="Финансовый 2 2 3" xfId="1089" xr:uid="{00000000-0005-0000-0000-000080040000}"/>
    <cellStyle name="Финансовый 2 2 4" xfId="1090" xr:uid="{00000000-0005-0000-0000-000081040000}"/>
    <cellStyle name="Финансовый 2 20" xfId="1091" xr:uid="{00000000-0005-0000-0000-000082040000}"/>
    <cellStyle name="Финансовый 2 21" xfId="1092" xr:uid="{00000000-0005-0000-0000-000083040000}"/>
    <cellStyle name="Финансовый 2 22" xfId="1093" xr:uid="{00000000-0005-0000-0000-000084040000}"/>
    <cellStyle name="Финансовый 2 23" xfId="1094" xr:uid="{00000000-0005-0000-0000-000085040000}"/>
    <cellStyle name="Финансовый 2 24" xfId="1095" xr:uid="{00000000-0005-0000-0000-000086040000}"/>
    <cellStyle name="Финансовый 2 25" xfId="1096" xr:uid="{00000000-0005-0000-0000-000087040000}"/>
    <cellStyle name="Финансовый 2 26" xfId="1097" xr:uid="{00000000-0005-0000-0000-000088040000}"/>
    <cellStyle name="Финансовый 2 27" xfId="1098" xr:uid="{00000000-0005-0000-0000-000089040000}"/>
    <cellStyle name="Финансовый 2 28" xfId="1099" xr:uid="{00000000-0005-0000-0000-00008A040000}"/>
    <cellStyle name="Финансовый 2 29" xfId="1100" xr:uid="{00000000-0005-0000-0000-00008B040000}"/>
    <cellStyle name="Финансовый 2 3" xfId="1101" xr:uid="{00000000-0005-0000-0000-00008C040000}"/>
    <cellStyle name="Финансовый 2 3 2" xfId="1102" xr:uid="{00000000-0005-0000-0000-00008D040000}"/>
    <cellStyle name="Финансовый 2 3 3" xfId="1103" xr:uid="{00000000-0005-0000-0000-00008E040000}"/>
    <cellStyle name="Финансовый 2 3 4" xfId="1104" xr:uid="{00000000-0005-0000-0000-00008F040000}"/>
    <cellStyle name="Финансовый 2 30" xfId="1105" xr:uid="{00000000-0005-0000-0000-000090040000}"/>
    <cellStyle name="Финансовый 2 4" xfId="1106" xr:uid="{00000000-0005-0000-0000-000091040000}"/>
    <cellStyle name="Финансовый 2 4 2" xfId="1107" xr:uid="{00000000-0005-0000-0000-000092040000}"/>
    <cellStyle name="Финансовый 2 4 3" xfId="1108" xr:uid="{00000000-0005-0000-0000-000093040000}"/>
    <cellStyle name="Финансовый 2 4 4" xfId="1109" xr:uid="{00000000-0005-0000-0000-000094040000}"/>
    <cellStyle name="Финансовый 2 5" xfId="1110" xr:uid="{00000000-0005-0000-0000-000095040000}"/>
    <cellStyle name="Финансовый 2 5 2" xfId="1111" xr:uid="{00000000-0005-0000-0000-000096040000}"/>
    <cellStyle name="Финансовый 2 6" xfId="1112" xr:uid="{00000000-0005-0000-0000-000097040000}"/>
    <cellStyle name="Финансовый 2 6 2" xfId="1113" xr:uid="{00000000-0005-0000-0000-000098040000}"/>
    <cellStyle name="Финансовый 2 7" xfId="1114" xr:uid="{00000000-0005-0000-0000-000099040000}"/>
    <cellStyle name="Финансовый 2 8" xfId="1115" xr:uid="{00000000-0005-0000-0000-00009A040000}"/>
    <cellStyle name="Финансовый 2 9" xfId="1116" xr:uid="{00000000-0005-0000-0000-00009B040000}"/>
    <cellStyle name="Финансовый 20" xfId="1117" xr:uid="{00000000-0005-0000-0000-00009C040000}"/>
    <cellStyle name="Финансовый 21" xfId="1118" xr:uid="{00000000-0005-0000-0000-00009D040000}"/>
    <cellStyle name="Финансовый 23" xfId="1119" xr:uid="{00000000-0005-0000-0000-00009E040000}"/>
    <cellStyle name="Финансовый 24" xfId="1120" xr:uid="{00000000-0005-0000-0000-00009F040000}"/>
    <cellStyle name="Финансовый 25" xfId="1121" xr:uid="{00000000-0005-0000-0000-0000A0040000}"/>
    <cellStyle name="Финансовый 26" xfId="1122" xr:uid="{00000000-0005-0000-0000-0000A1040000}"/>
    <cellStyle name="Финансовый 27" xfId="1123" xr:uid="{00000000-0005-0000-0000-0000A2040000}"/>
    <cellStyle name="Финансовый 28" xfId="1124" xr:uid="{00000000-0005-0000-0000-0000A3040000}"/>
    <cellStyle name="Финансовый 3" xfId="1125" xr:uid="{00000000-0005-0000-0000-0000A4040000}"/>
    <cellStyle name="Финансовый 3 10" xfId="1126" xr:uid="{00000000-0005-0000-0000-0000A5040000}"/>
    <cellStyle name="Финансовый 3 11" xfId="1127" xr:uid="{00000000-0005-0000-0000-0000A6040000}"/>
    <cellStyle name="Финансовый 3 12" xfId="1128" xr:uid="{00000000-0005-0000-0000-0000A7040000}"/>
    <cellStyle name="Финансовый 3 13" xfId="1129" xr:uid="{00000000-0005-0000-0000-0000A8040000}"/>
    <cellStyle name="Финансовый 3 14" xfId="1130" xr:uid="{00000000-0005-0000-0000-0000A9040000}"/>
    <cellStyle name="Финансовый 3 15" xfId="1131" xr:uid="{00000000-0005-0000-0000-0000AA040000}"/>
    <cellStyle name="Финансовый 3 16" xfId="1132" xr:uid="{00000000-0005-0000-0000-0000AB040000}"/>
    <cellStyle name="Финансовый 3 17" xfId="1133" xr:uid="{00000000-0005-0000-0000-0000AC040000}"/>
    <cellStyle name="Финансовый 3 18" xfId="1134" xr:uid="{00000000-0005-0000-0000-0000AD040000}"/>
    <cellStyle name="Финансовый 3 19" xfId="1135" xr:uid="{00000000-0005-0000-0000-0000AE040000}"/>
    <cellStyle name="Финансовый 3 2" xfId="1136" xr:uid="{00000000-0005-0000-0000-0000AF040000}"/>
    <cellStyle name="Финансовый 3 2 2" xfId="1137" xr:uid="{00000000-0005-0000-0000-0000B0040000}"/>
    <cellStyle name="Финансовый 3 2 2 2" xfId="1138" xr:uid="{00000000-0005-0000-0000-0000B1040000}"/>
    <cellStyle name="Финансовый 3 2 2 3" xfId="1139" xr:uid="{00000000-0005-0000-0000-0000B2040000}"/>
    <cellStyle name="Финансовый 3 2 3" xfId="1140" xr:uid="{00000000-0005-0000-0000-0000B3040000}"/>
    <cellStyle name="Финансовый 3 2 3 2" xfId="1141" xr:uid="{00000000-0005-0000-0000-0000B4040000}"/>
    <cellStyle name="Финансовый 3 2 4" xfId="1142" xr:uid="{00000000-0005-0000-0000-0000B5040000}"/>
    <cellStyle name="Финансовый 3 2 5" xfId="1143" xr:uid="{00000000-0005-0000-0000-0000B6040000}"/>
    <cellStyle name="Финансовый 3 2 6" xfId="1144" xr:uid="{00000000-0005-0000-0000-0000B7040000}"/>
    <cellStyle name="Финансовый 3 20" xfId="1145" xr:uid="{00000000-0005-0000-0000-0000B8040000}"/>
    <cellStyle name="Финансовый 3 21" xfId="1146" xr:uid="{00000000-0005-0000-0000-0000B9040000}"/>
    <cellStyle name="Финансовый 3 22" xfId="1147" xr:uid="{00000000-0005-0000-0000-0000BA040000}"/>
    <cellStyle name="Финансовый 3 3" xfId="1148" xr:uid="{00000000-0005-0000-0000-0000BB040000}"/>
    <cellStyle name="Финансовый 3 3 2" xfId="1149" xr:uid="{00000000-0005-0000-0000-0000BC040000}"/>
    <cellStyle name="Финансовый 3 3 3" xfId="1150" xr:uid="{00000000-0005-0000-0000-0000BD040000}"/>
    <cellStyle name="Финансовый 3 4" xfId="1151" xr:uid="{00000000-0005-0000-0000-0000BE040000}"/>
    <cellStyle name="Финансовый 3 4 2" xfId="1152" xr:uid="{00000000-0005-0000-0000-0000BF040000}"/>
    <cellStyle name="Финансовый 3 4 3" xfId="1153" xr:uid="{00000000-0005-0000-0000-0000C0040000}"/>
    <cellStyle name="Финансовый 3 5" xfId="1154" xr:uid="{00000000-0005-0000-0000-0000C1040000}"/>
    <cellStyle name="Финансовый 3 5 2" xfId="1155" xr:uid="{00000000-0005-0000-0000-0000C2040000}"/>
    <cellStyle name="Финансовый 3 5 3" xfId="1156" xr:uid="{00000000-0005-0000-0000-0000C3040000}"/>
    <cellStyle name="Финансовый 3 5 4" xfId="1157" xr:uid="{00000000-0005-0000-0000-0000C4040000}"/>
    <cellStyle name="Финансовый 3 6" xfId="1158" xr:uid="{00000000-0005-0000-0000-0000C5040000}"/>
    <cellStyle name="Финансовый 3 6 2" xfId="1159" xr:uid="{00000000-0005-0000-0000-0000C6040000}"/>
    <cellStyle name="Финансовый 3 7" xfId="1160" xr:uid="{00000000-0005-0000-0000-0000C7040000}"/>
    <cellStyle name="Финансовый 3 7 2" xfId="1161" xr:uid="{00000000-0005-0000-0000-0000C8040000}"/>
    <cellStyle name="Финансовый 3 8" xfId="1162" xr:uid="{00000000-0005-0000-0000-0000C9040000}"/>
    <cellStyle name="Финансовый 3 9" xfId="1163" xr:uid="{00000000-0005-0000-0000-0000CA040000}"/>
    <cellStyle name="Финансовый 30" xfId="1164" xr:uid="{00000000-0005-0000-0000-0000CB040000}"/>
    <cellStyle name="Финансовый 31" xfId="1165" xr:uid="{00000000-0005-0000-0000-0000CC040000}"/>
    <cellStyle name="Финансовый 31 2" xfId="1166" xr:uid="{00000000-0005-0000-0000-0000CD040000}"/>
    <cellStyle name="Финансовый 32" xfId="1167" xr:uid="{00000000-0005-0000-0000-0000CE040000}"/>
    <cellStyle name="Финансовый 32 2" xfId="1168" xr:uid="{00000000-0005-0000-0000-0000CF040000}"/>
    <cellStyle name="Финансовый 33" xfId="1169" xr:uid="{00000000-0005-0000-0000-0000D0040000}"/>
    <cellStyle name="Финансовый 33 2" xfId="1170" xr:uid="{00000000-0005-0000-0000-0000D1040000}"/>
    <cellStyle name="Финансовый 34" xfId="1171" xr:uid="{00000000-0005-0000-0000-0000D2040000}"/>
    <cellStyle name="Финансовый 34 2" xfId="1172" xr:uid="{00000000-0005-0000-0000-0000D3040000}"/>
    <cellStyle name="Финансовый 35" xfId="1173" xr:uid="{00000000-0005-0000-0000-0000D4040000}"/>
    <cellStyle name="Финансовый 35 2" xfId="1174" xr:uid="{00000000-0005-0000-0000-0000D5040000}"/>
    <cellStyle name="Финансовый 36" xfId="1175" xr:uid="{00000000-0005-0000-0000-0000D6040000}"/>
    <cellStyle name="Финансовый 36 2" xfId="1176" xr:uid="{00000000-0005-0000-0000-0000D7040000}"/>
    <cellStyle name="Финансовый 37" xfId="1177" xr:uid="{00000000-0005-0000-0000-0000D8040000}"/>
    <cellStyle name="Финансовый 37 2" xfId="1178" xr:uid="{00000000-0005-0000-0000-0000D9040000}"/>
    <cellStyle name="Финансовый 38" xfId="1179" xr:uid="{00000000-0005-0000-0000-0000DA040000}"/>
    <cellStyle name="Финансовый 38 2" xfId="1180" xr:uid="{00000000-0005-0000-0000-0000DB040000}"/>
    <cellStyle name="Финансовый 39" xfId="1181" xr:uid="{00000000-0005-0000-0000-0000DC040000}"/>
    <cellStyle name="Финансовый 4" xfId="1182" xr:uid="{00000000-0005-0000-0000-0000DD040000}"/>
    <cellStyle name="Финансовый 4 2" xfId="1183" xr:uid="{00000000-0005-0000-0000-0000DE040000}"/>
    <cellStyle name="Финансовый 4 2 2" xfId="1184" xr:uid="{00000000-0005-0000-0000-0000DF040000}"/>
    <cellStyle name="Финансовый 4 2 2 2" xfId="1185" xr:uid="{00000000-0005-0000-0000-0000E0040000}"/>
    <cellStyle name="Финансовый 4 2 3" xfId="1186" xr:uid="{00000000-0005-0000-0000-0000E1040000}"/>
    <cellStyle name="Финансовый 4 3" xfId="1187" xr:uid="{00000000-0005-0000-0000-0000E2040000}"/>
    <cellStyle name="Финансовый 4 3 2" xfId="1188" xr:uid="{00000000-0005-0000-0000-0000E3040000}"/>
    <cellStyle name="Финансовый 4 4" xfId="1189" xr:uid="{00000000-0005-0000-0000-0000E4040000}"/>
    <cellStyle name="Финансовый 4 4 2" xfId="1190" xr:uid="{00000000-0005-0000-0000-0000E5040000}"/>
    <cellStyle name="Финансовый 4 5" xfId="1191" xr:uid="{00000000-0005-0000-0000-0000E6040000}"/>
    <cellStyle name="Финансовый 4 6" xfId="1192" xr:uid="{00000000-0005-0000-0000-0000E7040000}"/>
    <cellStyle name="Финансовый 4 7" xfId="1193" xr:uid="{00000000-0005-0000-0000-0000E8040000}"/>
    <cellStyle name="Финансовый 4 8" xfId="1194" xr:uid="{00000000-0005-0000-0000-0000E9040000}"/>
    <cellStyle name="Финансовый 4 9" xfId="1195" xr:uid="{00000000-0005-0000-0000-0000EA040000}"/>
    <cellStyle name="Финансовый 40" xfId="1196" xr:uid="{00000000-0005-0000-0000-0000EB040000}"/>
    <cellStyle name="Финансовый 41" xfId="1197" xr:uid="{00000000-0005-0000-0000-0000EC040000}"/>
    <cellStyle name="Финансовый 42" xfId="1198" xr:uid="{00000000-0005-0000-0000-0000ED040000}"/>
    <cellStyle name="Финансовый 42 2" xfId="1199" xr:uid="{00000000-0005-0000-0000-0000EE040000}"/>
    <cellStyle name="Финансовый 44" xfId="1200" xr:uid="{00000000-0005-0000-0000-0000EF040000}"/>
    <cellStyle name="Финансовый 46" xfId="1201" xr:uid="{00000000-0005-0000-0000-0000F0040000}"/>
    <cellStyle name="Финансовый 47" xfId="1202" xr:uid="{00000000-0005-0000-0000-0000F1040000}"/>
    <cellStyle name="Финансовый 5" xfId="1203" xr:uid="{00000000-0005-0000-0000-0000F2040000}"/>
    <cellStyle name="Финансовый 5 2" xfId="1204" xr:uid="{00000000-0005-0000-0000-0000F3040000}"/>
    <cellStyle name="Финансовый 5 2 2" xfId="1205" xr:uid="{00000000-0005-0000-0000-0000F4040000}"/>
    <cellStyle name="Финансовый 5 3" xfId="1206" xr:uid="{00000000-0005-0000-0000-0000F5040000}"/>
    <cellStyle name="Финансовый 5 3 2" xfId="1207" xr:uid="{00000000-0005-0000-0000-0000F6040000}"/>
    <cellStyle name="Финансовый 5 3 3" xfId="1208" xr:uid="{00000000-0005-0000-0000-0000F7040000}"/>
    <cellStyle name="Финансовый 5 4" xfId="1209" xr:uid="{00000000-0005-0000-0000-0000F8040000}"/>
    <cellStyle name="Финансовый 5 5" xfId="1210" xr:uid="{00000000-0005-0000-0000-0000F9040000}"/>
    <cellStyle name="Финансовый 6" xfId="1211" xr:uid="{00000000-0005-0000-0000-0000FA040000}"/>
    <cellStyle name="Финансовый 6 2" xfId="1212" xr:uid="{00000000-0005-0000-0000-0000FB040000}"/>
    <cellStyle name="Финансовый 6 2 2" xfId="1213" xr:uid="{00000000-0005-0000-0000-0000FC040000}"/>
    <cellStyle name="Финансовый 6 2 3" xfId="1214" xr:uid="{00000000-0005-0000-0000-0000FD040000}"/>
    <cellStyle name="Финансовый 6 3" xfId="1215" xr:uid="{00000000-0005-0000-0000-0000FE040000}"/>
    <cellStyle name="Финансовый 6 4" xfId="1216" xr:uid="{00000000-0005-0000-0000-0000FF040000}"/>
    <cellStyle name="Финансовый 7" xfId="1217" xr:uid="{00000000-0005-0000-0000-000000050000}"/>
    <cellStyle name="Финансовый 7 2" xfId="1218" xr:uid="{00000000-0005-0000-0000-000001050000}"/>
    <cellStyle name="Финансовый 7 2 2" xfId="1219" xr:uid="{00000000-0005-0000-0000-000002050000}"/>
    <cellStyle name="Финансовый 7 2 3" xfId="1220" xr:uid="{00000000-0005-0000-0000-000003050000}"/>
    <cellStyle name="Финансовый 7 3" xfId="1221" xr:uid="{00000000-0005-0000-0000-000004050000}"/>
    <cellStyle name="Финансовый 8" xfId="1222" xr:uid="{00000000-0005-0000-0000-000005050000}"/>
    <cellStyle name="Финансовый 8 2" xfId="1223" xr:uid="{00000000-0005-0000-0000-000006050000}"/>
    <cellStyle name="Финансовый 9" xfId="1224" xr:uid="{00000000-0005-0000-0000-000007050000}"/>
    <cellStyle name="Џђћ–…ќ’ќ›‰" xfId="1225" xr:uid="{00000000-0005-0000-0000-000008050000}"/>
  </cellStyles>
  <dxfs count="257">
    <dxf>
      <font>
        <b/>
        <i val="0"/>
        <condense val="0"/>
        <extend val="0"/>
        <color auto="1"/>
      </font>
      <fill>
        <patternFill>
          <bgColor indexed="52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52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sz val="10"/>
      </font>
      <fill>
        <patternFill>
          <bgColor indexed="52"/>
        </patternFill>
      </fill>
    </dxf>
    <dxf>
      <font>
        <b/>
        <sz val="10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52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indexed="34"/>
        </patternFill>
      </fill>
    </dxf>
    <dxf>
      <fill>
        <patternFill>
          <bgColor indexed="4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indexed="34"/>
        </patternFill>
      </fill>
    </dxf>
    <dxf>
      <fill>
        <patternFill>
          <bgColor indexed="45"/>
        </patternFill>
      </fill>
    </dxf>
    <dxf>
      <fill>
        <patternFill>
          <bgColor rgb="FFFF00FF"/>
        </patternFill>
      </fill>
    </dxf>
    <dxf>
      <fill>
        <patternFill>
          <bgColor indexed="34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D9F29C"/>
      <color rgb="FFFF33CC"/>
      <color rgb="FFFF00FF"/>
      <color rgb="FFFF66FF"/>
      <color rgb="FF35E2EB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externalLink" Target="externalLinks/externalLink9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7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6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5.xml"/><Relationship Id="rId27" Type="http://schemas.openxmlformats.org/officeDocument/2006/relationships/externalLink" Target="externalLinks/externalLink10.xml"/><Relationship Id="rId30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pochta\Documents%20and%20Settings\rrgkostina\Local%20Settings\Temporary%20Internet%20Files\OLK1\UZB%20redtab%20Jan%20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ission\Uganda\Previous%20files\Data%20from%20the%20Authorities\Diskette%209\INTR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21\from%20old\21-11\2011\&#1054;&#1090;&#1095;&#1105;&#1090;%201,08,2011\CRS010071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21\from%20old\21-11\DOCUME~1\ISKAND~1\LOCALS~1\Temp\notes9A6AD0\&#1048;&#1079;&#1084;&#1077;&#1085;&#1077;&#1085;&#1080;&#1103;%2021-&#1090;&#1072;&#1073;&#1083;-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rs031L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rs031C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Latipov/Desktop/crs031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tab17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/>
      <sheetData sheetId="1"/>
      <sheetData sheetId="2"/>
      <sheetData sheetId="3"/>
      <sheetData sheetId="4"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8">
          <cell r="H28">
            <v>0</v>
          </cell>
        </row>
      </sheetData>
      <sheetData sheetId="17"/>
      <sheetData sheetId="18"/>
      <sheetData sheetId="19"/>
      <sheetData sheetId="2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Calculation of Risk Weighted As"/>
      <sheetName val="Loans Receivable"/>
      <sheetName val="9 (2)"/>
      <sheetName val="Loans to Affiliated P."/>
      <sheetName val="Twenty Largest"/>
      <sheetName val="Economic Normatives"/>
      <sheetName val="30 (2)"/>
    </sheetNames>
    <sheetDataSet>
      <sheetData sheetId="0"/>
      <sheetData sheetId="1">
        <row r="41">
          <cell r="C41">
            <v>800</v>
          </cell>
          <cell r="D41">
            <v>600</v>
          </cell>
          <cell r="E41">
            <v>200</v>
          </cell>
          <cell r="F41">
            <v>1000</v>
          </cell>
          <cell r="G41">
            <v>300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</sheetNames>
    <sheetDataSet>
      <sheetData sheetId="0">
        <row r="5">
          <cell r="C5">
            <v>252071807</v>
          </cell>
        </row>
        <row r="24">
          <cell r="C24">
            <v>5705936821</v>
          </cell>
        </row>
        <row r="45">
          <cell r="C45">
            <v>8108166331</v>
          </cell>
        </row>
        <row r="76">
          <cell r="C76">
            <v>170000000</v>
          </cell>
        </row>
        <row r="77">
          <cell r="C77">
            <v>1568529812</v>
          </cell>
        </row>
      </sheetData>
      <sheetData sheetId="1"/>
      <sheetData sheetId="2">
        <row r="6">
          <cell r="C6">
            <v>252071807</v>
          </cell>
        </row>
        <row r="21">
          <cell r="C21">
            <v>1.9137691676937976</v>
          </cell>
          <cell r="D21">
            <v>1.4845926497948265</v>
          </cell>
          <cell r="E21">
            <v>3.2242828353152291</v>
          </cell>
        </row>
        <row r="31">
          <cell r="C31">
            <v>1.1363894860288646</v>
          </cell>
          <cell r="D31">
            <v>1.0846295222245432</v>
          </cell>
          <cell r="E31">
            <v>1.226607836650039</v>
          </cell>
        </row>
        <row r="57">
          <cell r="C57">
            <v>252072058</v>
          </cell>
          <cell r="D57">
            <v>61937102</v>
          </cell>
          <cell r="E57">
            <v>190134956</v>
          </cell>
        </row>
        <row r="58">
          <cell r="C58">
            <v>376855943</v>
          </cell>
          <cell r="D58">
            <v>282195518</v>
          </cell>
          <cell r="E58">
            <v>94660425</v>
          </cell>
        </row>
        <row r="59">
          <cell r="C59">
            <v>203594061</v>
          </cell>
          <cell r="D59">
            <v>714881</v>
          </cell>
          <cell r="E59">
            <v>202879180</v>
          </cell>
        </row>
        <row r="60">
          <cell r="C60">
            <v>0</v>
          </cell>
          <cell r="D60">
            <v>0</v>
          </cell>
          <cell r="E60">
            <v>0</v>
          </cell>
          <cell r="F60">
            <v>-93040756</v>
          </cell>
          <cell r="G60">
            <v>-30179236</v>
          </cell>
          <cell r="H60">
            <v>-62861520</v>
          </cell>
        </row>
        <row r="61">
          <cell r="C61">
            <v>373805000</v>
          </cell>
          <cell r="D61">
            <v>373805000</v>
          </cell>
          <cell r="E61">
            <v>0</v>
          </cell>
        </row>
        <row r="64">
          <cell r="C64">
            <v>1206327062</v>
          </cell>
          <cell r="D64">
            <v>718652501</v>
          </cell>
          <cell r="E64">
            <v>487674561</v>
          </cell>
        </row>
      </sheetData>
      <sheetData sheetId="3">
        <row r="7">
          <cell r="C7">
            <v>252071807</v>
          </cell>
        </row>
      </sheetData>
      <sheetData sheetId="4">
        <row r="30">
          <cell r="C30">
            <v>0</v>
          </cell>
        </row>
      </sheetData>
      <sheetData sheetId="5">
        <row r="8">
          <cell r="C8">
            <v>1106994493</v>
          </cell>
        </row>
        <row r="22">
          <cell r="C22">
            <v>1500841148</v>
          </cell>
          <cell r="E22">
            <v>111866553</v>
          </cell>
          <cell r="G22">
            <v>42609978</v>
          </cell>
          <cell r="I22">
            <v>400976152</v>
          </cell>
          <cell r="K22">
            <v>317609472</v>
          </cell>
          <cell r="M22">
            <v>417320354</v>
          </cell>
          <cell r="O22">
            <v>406468735</v>
          </cell>
          <cell r="Q22">
            <v>1726395984</v>
          </cell>
          <cell r="S22">
            <v>4924088376</v>
          </cell>
        </row>
        <row r="39">
          <cell r="C39">
            <v>1591782519</v>
          </cell>
          <cell r="E39">
            <v>319751153</v>
          </cell>
          <cell r="G39">
            <v>92794403</v>
          </cell>
          <cell r="I39">
            <v>648578004</v>
          </cell>
          <cell r="K39">
            <v>330066591</v>
          </cell>
          <cell r="M39">
            <v>606423013</v>
          </cell>
        </row>
      </sheetData>
      <sheetData sheetId="6"/>
      <sheetData sheetId="7">
        <row r="4">
          <cell r="C4">
            <v>27469602</v>
          </cell>
        </row>
      </sheetData>
      <sheetData sheetId="8">
        <row r="5">
          <cell r="C5">
            <v>59746550</v>
          </cell>
        </row>
        <row r="6">
          <cell r="C6">
            <v>312813753</v>
          </cell>
          <cell r="D6">
            <v>62266123</v>
          </cell>
        </row>
        <row r="15">
          <cell r="C15">
            <v>280063060</v>
          </cell>
          <cell r="D15">
            <v>18092109</v>
          </cell>
        </row>
        <row r="22">
          <cell r="C22">
            <v>4924088376</v>
          </cell>
          <cell r="D22">
            <v>1711691137</v>
          </cell>
        </row>
      </sheetData>
      <sheetData sheetId="9">
        <row r="6">
          <cell r="B6">
            <v>0</v>
          </cell>
        </row>
        <row r="7">
          <cell r="B7">
            <v>0</v>
          </cell>
        </row>
        <row r="15">
          <cell r="B15">
            <v>41111168</v>
          </cell>
        </row>
        <row r="22">
          <cell r="B22">
            <v>0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0</v>
          </cell>
        </row>
        <row r="28">
          <cell r="B28">
            <v>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</sheetNames>
    <sheetDataSet>
      <sheetData sheetId="0">
        <row r="33">
          <cell r="C33">
            <v>1262045158</v>
          </cell>
        </row>
        <row r="48">
          <cell r="C48">
            <v>0.16020854345688204</v>
          </cell>
        </row>
        <row r="49">
          <cell r="C49">
            <v>0.16049009048241888</v>
          </cell>
        </row>
        <row r="50">
          <cell r="C50">
            <v>0.19025174201368983</v>
          </cell>
        </row>
        <row r="56">
          <cell r="C56">
            <v>0.14427315494122392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</sheetNames>
    <sheetDataSet>
      <sheetData sheetId="0" refreshError="1">
        <row r="7">
          <cell r="C7">
            <v>951406520</v>
          </cell>
        </row>
        <row r="33">
          <cell r="C33">
            <v>1318578624</v>
          </cell>
        </row>
        <row r="43">
          <cell r="C43">
            <v>1423921361</v>
          </cell>
        </row>
        <row r="44">
          <cell r="C44">
            <v>7344538931.0654612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>
        <row r="26">
          <cell r="C26">
            <v>47820050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4">
    <pageSetUpPr fitToPage="1"/>
  </sheetPr>
  <dimension ref="A1:AF72"/>
  <sheetViews>
    <sheetView tabSelected="1" view="pageBreakPreview" zoomScale="70" zoomScaleNormal="67" zoomScaleSheetLayoutView="70" workbookViewId="0">
      <pane xSplit="3" ySplit="9" topLeftCell="D10" activePane="bottomRight" state="frozen"/>
      <selection activeCell="M64" sqref="M64"/>
      <selection pane="topRight" activeCell="M64" sqref="M64"/>
      <selection pane="bottomLeft" activeCell="M64" sqref="M64"/>
      <selection pane="bottomRight" activeCell="O39" activeCellId="1" sqref="O25 O39"/>
    </sheetView>
  </sheetViews>
  <sheetFormatPr defaultColWidth="9.140625" defaultRowHeight="15.75"/>
  <cols>
    <col min="1" max="1" width="8" style="44" customWidth="1"/>
    <col min="2" max="2" width="108.7109375" style="45" customWidth="1"/>
    <col min="3" max="3" width="19.42578125" style="200" customWidth="1"/>
    <col min="4" max="8" width="18.28515625" style="44" customWidth="1"/>
    <col min="9" max="9" width="19.42578125" style="44" customWidth="1"/>
    <col min="10" max="13" width="18" style="44" customWidth="1"/>
    <col min="14" max="14" width="19.42578125" style="44" customWidth="1"/>
    <col min="15" max="19" width="16" style="44" customWidth="1"/>
    <col min="20" max="20" width="9.140625" style="44"/>
    <col min="21" max="21" width="14.85546875" style="44" customWidth="1"/>
    <col min="22" max="16384" width="9.140625" style="44"/>
  </cols>
  <sheetData>
    <row r="1" spans="1:21" s="197" customFormat="1" ht="27.75" customHeight="1">
      <c r="A1" s="637" t="s">
        <v>696</v>
      </c>
      <c r="B1" s="638"/>
      <c r="C1" s="638"/>
      <c r="D1" s="638"/>
      <c r="E1" s="638"/>
      <c r="F1" s="638"/>
      <c r="G1" s="638"/>
      <c r="H1" s="638"/>
      <c r="I1" s="638"/>
      <c r="J1" s="638"/>
      <c r="K1" s="638"/>
      <c r="L1" s="638"/>
      <c r="M1" s="638"/>
      <c r="N1" s="638"/>
      <c r="O1" s="638"/>
      <c r="P1" s="638"/>
      <c r="Q1" s="638"/>
      <c r="R1" s="639" t="s">
        <v>407</v>
      </c>
      <c r="S1" s="639"/>
      <c r="U1" s="520" t="s">
        <v>892</v>
      </c>
    </row>
    <row r="2" spans="1:21" ht="8.25" customHeight="1"/>
    <row r="3" spans="1:21" s="330" customFormat="1" ht="26.25">
      <c r="B3" s="562" t="s">
        <v>986</v>
      </c>
      <c r="C3" s="331"/>
      <c r="M3" s="364"/>
      <c r="P3" s="655">
        <v>44196</v>
      </c>
      <c r="Q3" s="655"/>
      <c r="R3" s="329"/>
      <c r="S3" s="504" t="s">
        <v>408</v>
      </c>
    </row>
    <row r="4" spans="1:21" s="316" customFormat="1" ht="30.75" customHeight="1">
      <c r="A4" s="640" t="s">
        <v>83</v>
      </c>
      <c r="B4" s="640" t="s">
        <v>409</v>
      </c>
      <c r="C4" s="640" t="s">
        <v>410</v>
      </c>
      <c r="D4" s="643" t="s">
        <v>411</v>
      </c>
      <c r="E4" s="644"/>
      <c r="F4" s="644"/>
      <c r="G4" s="644"/>
      <c r="H4" s="645"/>
      <c r="I4" s="652" t="s">
        <v>412</v>
      </c>
      <c r="J4" s="653"/>
      <c r="K4" s="653"/>
      <c r="L4" s="653"/>
      <c r="M4" s="654"/>
      <c r="N4" s="652" t="s">
        <v>413</v>
      </c>
      <c r="O4" s="653"/>
      <c r="P4" s="653"/>
      <c r="Q4" s="653"/>
      <c r="R4" s="653"/>
      <c r="S4" s="654"/>
    </row>
    <row r="5" spans="1:21" s="316" customFormat="1" ht="30.75" customHeight="1">
      <c r="A5" s="641"/>
      <c r="B5" s="641"/>
      <c r="C5" s="641"/>
      <c r="D5" s="646"/>
      <c r="E5" s="647"/>
      <c r="F5" s="647"/>
      <c r="G5" s="647"/>
      <c r="H5" s="648"/>
      <c r="I5" s="640" t="s">
        <v>414</v>
      </c>
      <c r="J5" s="640" t="s">
        <v>415</v>
      </c>
      <c r="K5" s="640" t="s">
        <v>416</v>
      </c>
      <c r="L5" s="640" t="s">
        <v>417</v>
      </c>
      <c r="M5" s="640" t="s">
        <v>418</v>
      </c>
      <c r="N5" s="652" t="s">
        <v>419</v>
      </c>
      <c r="O5" s="653"/>
      <c r="P5" s="653"/>
      <c r="Q5" s="653"/>
      <c r="R5" s="653"/>
      <c r="S5" s="654"/>
    </row>
    <row r="6" spans="1:21" s="316" customFormat="1" ht="30.75" customHeight="1">
      <c r="A6" s="641"/>
      <c r="B6" s="641"/>
      <c r="C6" s="641"/>
      <c r="D6" s="649"/>
      <c r="E6" s="650"/>
      <c r="F6" s="650"/>
      <c r="G6" s="650"/>
      <c r="H6" s="651"/>
      <c r="I6" s="641"/>
      <c r="J6" s="641"/>
      <c r="K6" s="641"/>
      <c r="L6" s="641"/>
      <c r="M6" s="641"/>
      <c r="N6" s="640" t="s">
        <v>414</v>
      </c>
      <c r="O6" s="652" t="s">
        <v>420</v>
      </c>
      <c r="P6" s="653"/>
      <c r="Q6" s="653"/>
      <c r="R6" s="653"/>
      <c r="S6" s="653"/>
    </row>
    <row r="7" spans="1:21" s="316" customFormat="1" ht="21" customHeight="1">
      <c r="A7" s="642"/>
      <c r="B7" s="642"/>
      <c r="C7" s="642"/>
      <c r="D7" s="317" t="s">
        <v>278</v>
      </c>
      <c r="E7" s="317" t="s">
        <v>75</v>
      </c>
      <c r="F7" s="317" t="s">
        <v>77</v>
      </c>
      <c r="G7" s="317" t="s">
        <v>78</v>
      </c>
      <c r="H7" s="317" t="s">
        <v>81</v>
      </c>
      <c r="I7" s="642"/>
      <c r="J7" s="642"/>
      <c r="K7" s="642"/>
      <c r="L7" s="642"/>
      <c r="M7" s="642"/>
      <c r="N7" s="642"/>
      <c r="O7" s="317" t="s">
        <v>278</v>
      </c>
      <c r="P7" s="317" t="s">
        <v>75</v>
      </c>
      <c r="Q7" s="317" t="s">
        <v>77</v>
      </c>
      <c r="R7" s="317" t="s">
        <v>78</v>
      </c>
      <c r="S7" s="317" t="s">
        <v>81</v>
      </c>
    </row>
    <row r="8" spans="1:21" s="46" customFormat="1">
      <c r="A8" s="47" t="s">
        <v>182</v>
      </c>
      <c r="B8" s="85" t="s">
        <v>183</v>
      </c>
      <c r="C8" s="201" t="s">
        <v>200</v>
      </c>
      <c r="D8" s="85" t="s">
        <v>184</v>
      </c>
      <c r="E8" s="85" t="s">
        <v>185</v>
      </c>
      <c r="F8" s="85" t="s">
        <v>201</v>
      </c>
      <c r="G8" s="85" t="s">
        <v>186</v>
      </c>
      <c r="H8" s="85" t="s">
        <v>187</v>
      </c>
      <c r="I8" s="85" t="s">
        <v>188</v>
      </c>
      <c r="J8" s="85" t="s">
        <v>189</v>
      </c>
      <c r="K8" s="85" t="s">
        <v>190</v>
      </c>
      <c r="L8" s="85" t="s">
        <v>191</v>
      </c>
      <c r="M8" s="85" t="s">
        <v>192</v>
      </c>
      <c r="N8" s="85" t="s">
        <v>421</v>
      </c>
      <c r="O8" s="85" t="s">
        <v>422</v>
      </c>
      <c r="P8" s="85" t="s">
        <v>423</v>
      </c>
      <c r="Q8" s="85" t="s">
        <v>424</v>
      </c>
      <c r="R8" s="85" t="s">
        <v>700</v>
      </c>
      <c r="S8" s="85" t="s">
        <v>740</v>
      </c>
    </row>
    <row r="9" spans="1:21" s="46" customFormat="1" ht="29.25" customHeight="1">
      <c r="A9" s="299"/>
      <c r="B9" s="300" t="s">
        <v>672</v>
      </c>
      <c r="C9" s="301">
        <f t="shared" ref="C9:S9" si="0">SUM(C10:C60)</f>
        <v>8108166331</v>
      </c>
      <c r="D9" s="301">
        <f t="shared" si="0"/>
        <v>8018633034</v>
      </c>
      <c r="E9" s="301">
        <f t="shared" si="0"/>
        <v>92173584</v>
      </c>
      <c r="F9" s="301">
        <f t="shared" si="0"/>
        <v>3580002</v>
      </c>
      <c r="G9" s="301">
        <f t="shared" si="0"/>
        <v>1568386</v>
      </c>
      <c r="H9" s="301">
        <f t="shared" si="0"/>
        <v>2291299</v>
      </c>
      <c r="I9" s="301">
        <f t="shared" si="0"/>
        <v>47490418</v>
      </c>
      <c r="J9" s="301">
        <f t="shared" si="0"/>
        <v>12969480</v>
      </c>
      <c r="K9" s="301">
        <f t="shared" si="0"/>
        <v>11829107</v>
      </c>
      <c r="L9" s="301">
        <f t="shared" si="0"/>
        <v>8753959</v>
      </c>
      <c r="M9" s="301">
        <f t="shared" si="0"/>
        <v>13937872</v>
      </c>
      <c r="N9" s="301">
        <f t="shared" si="0"/>
        <v>71412665</v>
      </c>
      <c r="O9" s="301">
        <f t="shared" si="0"/>
        <v>61332691</v>
      </c>
      <c r="P9" s="301">
        <f t="shared" si="0"/>
        <v>6889806</v>
      </c>
      <c r="Q9" s="301">
        <f t="shared" si="0"/>
        <v>1047131</v>
      </c>
      <c r="R9" s="301">
        <f t="shared" si="0"/>
        <v>624852</v>
      </c>
      <c r="S9" s="301">
        <f t="shared" si="0"/>
        <v>1518185</v>
      </c>
    </row>
    <row r="10" spans="1:21" s="43" customFormat="1" ht="23.25" customHeight="1">
      <c r="A10" s="48" t="s">
        <v>5</v>
      </c>
      <c r="B10" s="257" t="s">
        <v>587</v>
      </c>
      <c r="C10" s="255">
        <f>SUM(D10:H10)-N10+O10</f>
        <v>252071807</v>
      </c>
      <c r="D10" s="216">
        <v>252071807</v>
      </c>
      <c r="E10" s="216"/>
      <c r="F10" s="216"/>
      <c r="G10" s="216"/>
      <c r="H10" s="216"/>
      <c r="I10" s="255">
        <f t="shared" ref="I10:I11" si="1">SUM(J10:M10)</f>
        <v>0</v>
      </c>
      <c r="J10" s="216"/>
      <c r="K10" s="216"/>
      <c r="L10" s="216"/>
      <c r="M10" s="216"/>
      <c r="N10" s="255">
        <f>SUM(O10:S10)</f>
        <v>0</v>
      </c>
      <c r="O10" s="216"/>
      <c r="P10" s="216"/>
      <c r="Q10" s="216"/>
      <c r="R10" s="216"/>
      <c r="S10" s="216"/>
      <c r="T10" s="43">
        <v>10100</v>
      </c>
      <c r="U10"/>
    </row>
    <row r="11" spans="1:21" s="43" customFormat="1" ht="23.25" customHeight="1">
      <c r="A11" s="48" t="s">
        <v>8</v>
      </c>
      <c r="B11" s="257" t="s">
        <v>530</v>
      </c>
      <c r="C11" s="255">
        <f t="shared" ref="C11:C60" si="2">SUM(D11:H11)-N11+O11</f>
        <v>376855943</v>
      </c>
      <c r="D11" s="216">
        <v>376855943</v>
      </c>
      <c r="E11" s="216"/>
      <c r="F11" s="216"/>
      <c r="G11" s="216"/>
      <c r="H11" s="216"/>
      <c r="I11" s="255">
        <f t="shared" si="1"/>
        <v>0</v>
      </c>
      <c r="J11" s="216"/>
      <c r="K11" s="216"/>
      <c r="L11" s="216"/>
      <c r="M11" s="216"/>
      <c r="N11" s="255">
        <f t="shared" ref="N11:N60" si="3">SUM(O11:S11)</f>
        <v>0</v>
      </c>
      <c r="O11" s="216"/>
      <c r="P11" s="216"/>
      <c r="Q11" s="216"/>
      <c r="R11" s="216"/>
      <c r="S11" s="216"/>
      <c r="T11" s="296">
        <v>10300</v>
      </c>
      <c r="U11"/>
    </row>
    <row r="12" spans="1:21" s="43" customFormat="1" ht="23.25" customHeight="1">
      <c r="A12" s="48" t="s">
        <v>9</v>
      </c>
      <c r="B12" s="257" t="s">
        <v>226</v>
      </c>
      <c r="C12" s="255">
        <f t="shared" si="2"/>
        <v>445250157</v>
      </c>
      <c r="D12" s="216">
        <v>445250157</v>
      </c>
      <c r="E12" s="217"/>
      <c r="F12" s="217"/>
      <c r="G12" s="217"/>
      <c r="H12" s="217"/>
      <c r="I12" s="255">
        <f>SUM(J12:M12)</f>
        <v>0</v>
      </c>
      <c r="J12" s="217"/>
      <c r="K12" s="217"/>
      <c r="L12" s="217"/>
      <c r="M12" s="217"/>
      <c r="N12" s="255">
        <f t="shared" si="3"/>
        <v>0</v>
      </c>
      <c r="O12" s="217"/>
      <c r="P12" s="217"/>
      <c r="Q12" s="217"/>
      <c r="R12" s="217"/>
      <c r="S12" s="217"/>
      <c r="T12" s="296">
        <v>10500</v>
      </c>
      <c r="U12"/>
    </row>
    <row r="13" spans="1:21" s="43" customFormat="1" ht="23.25" customHeight="1">
      <c r="A13" s="48" t="s">
        <v>7</v>
      </c>
      <c r="B13" s="257" t="s">
        <v>425</v>
      </c>
      <c r="C13" s="255">
        <f t="shared" si="2"/>
        <v>370787088</v>
      </c>
      <c r="D13" s="216">
        <v>370787088</v>
      </c>
      <c r="E13" s="217"/>
      <c r="F13" s="217"/>
      <c r="G13" s="217"/>
      <c r="H13" s="217"/>
      <c r="I13" s="255">
        <f t="shared" ref="I13:I60" si="4">SUM(J13:M13)</f>
        <v>0</v>
      </c>
      <c r="J13" s="217"/>
      <c r="K13" s="217"/>
      <c r="L13" s="217"/>
      <c r="M13" s="217"/>
      <c r="N13" s="255">
        <f t="shared" si="3"/>
        <v>0</v>
      </c>
      <c r="O13" s="217"/>
      <c r="P13" s="217"/>
      <c r="Q13" s="217"/>
      <c r="R13" s="217"/>
      <c r="S13" s="217"/>
      <c r="T13" s="43">
        <v>10700</v>
      </c>
      <c r="U13"/>
    </row>
    <row r="14" spans="1:21" s="43" customFormat="1" ht="23.25" customHeight="1">
      <c r="A14" s="48" t="s">
        <v>6</v>
      </c>
      <c r="B14" s="257" t="s">
        <v>426</v>
      </c>
      <c r="C14" s="255">
        <f t="shared" si="2"/>
        <v>0</v>
      </c>
      <c r="D14" s="217">
        <v>0</v>
      </c>
      <c r="E14" s="217"/>
      <c r="F14" s="217"/>
      <c r="G14" s="217"/>
      <c r="H14" s="217"/>
      <c r="I14" s="255">
        <f t="shared" si="4"/>
        <v>0</v>
      </c>
      <c r="J14" s="217"/>
      <c r="K14" s="217"/>
      <c r="L14" s="217"/>
      <c r="M14" s="217"/>
      <c r="N14" s="255">
        <f t="shared" si="3"/>
        <v>0</v>
      </c>
      <c r="O14" s="217"/>
      <c r="P14" s="217"/>
      <c r="Q14" s="217"/>
      <c r="R14" s="217"/>
      <c r="S14" s="217"/>
      <c r="T14" s="43">
        <v>10800</v>
      </c>
      <c r="U14"/>
    </row>
    <row r="15" spans="1:21" s="43" customFormat="1" ht="23.25" customHeight="1">
      <c r="A15" s="48" t="s">
        <v>12</v>
      </c>
      <c r="B15" s="257" t="s">
        <v>427</v>
      </c>
      <c r="C15" s="255">
        <f t="shared" si="2"/>
        <v>251</v>
      </c>
      <c r="D15" s="217">
        <v>251</v>
      </c>
      <c r="E15" s="217"/>
      <c r="F15" s="217"/>
      <c r="G15" s="217"/>
      <c r="H15" s="217"/>
      <c r="I15" s="255">
        <f t="shared" si="4"/>
        <v>0</v>
      </c>
      <c r="J15" s="217"/>
      <c r="K15" s="217"/>
      <c r="L15" s="217"/>
      <c r="M15" s="217"/>
      <c r="N15" s="255">
        <f t="shared" si="3"/>
        <v>0</v>
      </c>
      <c r="O15" s="217"/>
      <c r="P15" s="217"/>
      <c r="Q15" s="217"/>
      <c r="R15" s="217"/>
      <c r="S15" s="217"/>
      <c r="T15" s="43">
        <v>10900</v>
      </c>
      <c r="U15"/>
    </row>
    <row r="16" spans="1:21" s="43" customFormat="1" ht="23.25" customHeight="1">
      <c r="A16" s="48" t="s">
        <v>11</v>
      </c>
      <c r="B16" s="257" t="s">
        <v>428</v>
      </c>
      <c r="C16" s="255">
        <f t="shared" si="2"/>
        <v>0</v>
      </c>
      <c r="D16" s="217">
        <v>0</v>
      </c>
      <c r="E16" s="217"/>
      <c r="F16" s="217"/>
      <c r="G16" s="217"/>
      <c r="H16" s="217"/>
      <c r="I16" s="255">
        <f t="shared" si="4"/>
        <v>0</v>
      </c>
      <c r="J16" s="217"/>
      <c r="K16" s="217"/>
      <c r="L16" s="217"/>
      <c r="M16" s="217"/>
      <c r="N16" s="255">
        <f t="shared" si="3"/>
        <v>0</v>
      </c>
      <c r="O16" s="217"/>
      <c r="P16" s="217"/>
      <c r="Q16" s="217"/>
      <c r="R16" s="217"/>
      <c r="S16" s="217"/>
      <c r="T16" s="43">
        <v>11100</v>
      </c>
      <c r="U16"/>
    </row>
    <row r="17" spans="1:21" s="43" customFormat="1" ht="23.25" customHeight="1">
      <c r="A17" s="48" t="s">
        <v>10</v>
      </c>
      <c r="B17" s="257" t="s">
        <v>429</v>
      </c>
      <c r="C17" s="255">
        <f t="shared" si="2"/>
        <v>0</v>
      </c>
      <c r="D17" s="217">
        <v>0</v>
      </c>
      <c r="E17" s="217"/>
      <c r="F17" s="217"/>
      <c r="G17" s="217"/>
      <c r="H17" s="217"/>
      <c r="I17" s="255">
        <f t="shared" si="4"/>
        <v>0</v>
      </c>
      <c r="J17" s="217"/>
      <c r="K17" s="217"/>
      <c r="L17" s="217"/>
      <c r="M17" s="217"/>
      <c r="N17" s="255">
        <f t="shared" si="3"/>
        <v>0</v>
      </c>
      <c r="O17" s="217"/>
      <c r="P17" s="217"/>
      <c r="Q17" s="217"/>
      <c r="R17" s="217"/>
      <c r="S17" s="217"/>
      <c r="T17" s="43">
        <v>11300</v>
      </c>
      <c r="U17"/>
    </row>
    <row r="18" spans="1:21" ht="23.25" customHeight="1">
      <c r="A18" s="48" t="s">
        <v>432</v>
      </c>
      <c r="B18" s="257" t="s">
        <v>430</v>
      </c>
      <c r="C18" s="255">
        <f t="shared" si="2"/>
        <v>8617398</v>
      </c>
      <c r="D18" s="216">
        <v>8617398</v>
      </c>
      <c r="E18" s="217"/>
      <c r="F18" s="217"/>
      <c r="G18" s="217"/>
      <c r="H18" s="217"/>
      <c r="I18" s="255">
        <f t="shared" si="4"/>
        <v>0</v>
      </c>
      <c r="J18" s="217"/>
      <c r="K18" s="217"/>
      <c r="L18" s="217"/>
      <c r="M18" s="217"/>
      <c r="N18" s="255">
        <f t="shared" si="3"/>
        <v>0</v>
      </c>
      <c r="O18" s="217"/>
      <c r="P18" s="217"/>
      <c r="Q18" s="217"/>
      <c r="R18" s="217"/>
      <c r="S18" s="217"/>
      <c r="T18" s="297">
        <v>11500</v>
      </c>
      <c r="U18"/>
    </row>
    <row r="19" spans="1:21" ht="23.25" customHeight="1">
      <c r="A19" s="48" t="s">
        <v>434</v>
      </c>
      <c r="B19" s="257" t="s">
        <v>431</v>
      </c>
      <c r="C19" s="255">
        <f t="shared" si="2"/>
        <v>0</v>
      </c>
      <c r="D19" s="216">
        <v>0</v>
      </c>
      <c r="E19" s="216"/>
      <c r="F19" s="216"/>
      <c r="G19" s="216"/>
      <c r="H19" s="216"/>
      <c r="I19" s="255">
        <f t="shared" si="4"/>
        <v>0</v>
      </c>
      <c r="J19" s="216"/>
      <c r="K19" s="216"/>
      <c r="L19" s="216"/>
      <c r="M19" s="216"/>
      <c r="N19" s="255">
        <f t="shared" si="3"/>
        <v>0</v>
      </c>
      <c r="O19" s="216"/>
      <c r="P19" s="216"/>
      <c r="Q19" s="216"/>
      <c r="R19" s="216"/>
      <c r="S19" s="216"/>
      <c r="T19" s="297">
        <v>11700</v>
      </c>
      <c r="U19"/>
    </row>
    <row r="20" spans="1:21" ht="23.25" customHeight="1">
      <c r="A20" s="48" t="s">
        <v>436</v>
      </c>
      <c r="B20" s="258" t="s">
        <v>433</v>
      </c>
      <c r="C20" s="255">
        <f t="shared" si="2"/>
        <v>0</v>
      </c>
      <c r="D20" s="216">
        <v>0</v>
      </c>
      <c r="E20" s="216"/>
      <c r="F20" s="216"/>
      <c r="G20" s="216"/>
      <c r="H20" s="216"/>
      <c r="I20" s="255">
        <f t="shared" si="4"/>
        <v>0</v>
      </c>
      <c r="J20" s="216"/>
      <c r="K20" s="216"/>
      <c r="L20" s="216"/>
      <c r="M20" s="216"/>
      <c r="N20" s="255">
        <f t="shared" si="3"/>
        <v>0</v>
      </c>
      <c r="O20" s="216"/>
      <c r="P20" s="216"/>
      <c r="Q20" s="216"/>
      <c r="R20" s="216"/>
      <c r="S20" s="216"/>
      <c r="T20" s="297">
        <v>11800</v>
      </c>
      <c r="U20"/>
    </row>
    <row r="21" spans="1:21" ht="23.25" customHeight="1">
      <c r="A21" s="48" t="s">
        <v>438</v>
      </c>
      <c r="B21" s="257" t="s">
        <v>435</v>
      </c>
      <c r="C21" s="255">
        <f t="shared" si="2"/>
        <v>0</v>
      </c>
      <c r="D21" s="216">
        <v>0</v>
      </c>
      <c r="E21" s="216"/>
      <c r="F21" s="216"/>
      <c r="G21" s="216"/>
      <c r="H21" s="216"/>
      <c r="I21" s="255">
        <f t="shared" si="4"/>
        <v>0</v>
      </c>
      <c r="J21" s="216"/>
      <c r="K21" s="216"/>
      <c r="L21" s="216"/>
      <c r="M21" s="216"/>
      <c r="N21" s="255">
        <f t="shared" si="3"/>
        <v>0</v>
      </c>
      <c r="O21" s="216"/>
      <c r="P21" s="216"/>
      <c r="Q21" s="216"/>
      <c r="R21" s="216"/>
      <c r="S21" s="216"/>
      <c r="T21" s="297">
        <v>11900</v>
      </c>
      <c r="U21"/>
    </row>
    <row r="22" spans="1:21" ht="23.25" customHeight="1">
      <c r="A22" s="48" t="s">
        <v>440</v>
      </c>
      <c r="B22" s="257" t="s">
        <v>437</v>
      </c>
      <c r="C22" s="255">
        <f t="shared" si="2"/>
        <v>0</v>
      </c>
      <c r="D22" s="216">
        <v>0</v>
      </c>
      <c r="E22" s="216"/>
      <c r="F22" s="216"/>
      <c r="G22" s="216"/>
      <c r="H22" s="216"/>
      <c r="I22" s="255">
        <f t="shared" si="4"/>
        <v>0</v>
      </c>
      <c r="J22" s="216"/>
      <c r="K22" s="216"/>
      <c r="L22" s="216"/>
      <c r="M22" s="216"/>
      <c r="N22" s="255">
        <f t="shared" si="3"/>
        <v>0</v>
      </c>
      <c r="O22" s="216"/>
      <c r="P22" s="216"/>
      <c r="Q22" s="216"/>
      <c r="R22" s="216"/>
      <c r="S22" s="216"/>
      <c r="T22" s="297">
        <v>12100</v>
      </c>
      <c r="U22"/>
    </row>
    <row r="23" spans="1:21" ht="23.25" customHeight="1">
      <c r="A23" s="48" t="s">
        <v>442</v>
      </c>
      <c r="B23" s="257" t="s">
        <v>439</v>
      </c>
      <c r="C23" s="255">
        <f t="shared" si="2"/>
        <v>0</v>
      </c>
      <c r="D23" s="216">
        <v>0</v>
      </c>
      <c r="E23" s="216"/>
      <c r="F23" s="216"/>
      <c r="G23" s="216"/>
      <c r="H23" s="216"/>
      <c r="I23" s="255">
        <f t="shared" si="4"/>
        <v>0</v>
      </c>
      <c r="J23" s="216"/>
      <c r="K23" s="216"/>
      <c r="L23" s="216"/>
      <c r="M23" s="216"/>
      <c r="N23" s="255">
        <f t="shared" si="3"/>
        <v>0</v>
      </c>
      <c r="O23" s="216"/>
      <c r="P23" s="216"/>
      <c r="Q23" s="216"/>
      <c r="R23" s="216"/>
      <c r="S23" s="216"/>
      <c r="T23" s="297">
        <v>12300</v>
      </c>
      <c r="U23"/>
    </row>
    <row r="24" spans="1:21" ht="23.25" customHeight="1">
      <c r="A24" s="48" t="s">
        <v>444</v>
      </c>
      <c r="B24" s="257" t="s">
        <v>441</v>
      </c>
      <c r="C24" s="255">
        <f t="shared" si="2"/>
        <v>0</v>
      </c>
      <c r="D24" s="216">
        <v>0</v>
      </c>
      <c r="E24" s="216"/>
      <c r="F24" s="216"/>
      <c r="G24" s="216"/>
      <c r="H24" s="216"/>
      <c r="I24" s="255">
        <f t="shared" si="4"/>
        <v>0</v>
      </c>
      <c r="J24" s="216"/>
      <c r="K24" s="216"/>
      <c r="L24" s="216"/>
      <c r="M24" s="216"/>
      <c r="N24" s="255">
        <f t="shared" si="3"/>
        <v>0</v>
      </c>
      <c r="O24" s="216"/>
      <c r="P24" s="216"/>
      <c r="Q24" s="216"/>
      <c r="R24" s="216"/>
      <c r="S24" s="216"/>
      <c r="T24" s="297">
        <v>12400</v>
      </c>
      <c r="U24"/>
    </row>
    <row r="25" spans="1:21" ht="23.25" customHeight="1">
      <c r="A25" s="48" t="s">
        <v>446</v>
      </c>
      <c r="B25" s="257" t="s">
        <v>443</v>
      </c>
      <c r="C25" s="255">
        <f>SUM(D25:H25)-N25+O25</f>
        <v>148162141</v>
      </c>
      <c r="D25" s="216">
        <v>148154877</v>
      </c>
      <c r="E25" s="216">
        <v>14950</v>
      </c>
      <c r="F25" s="216">
        <v>1698</v>
      </c>
      <c r="G25" s="216">
        <v>21462</v>
      </c>
      <c r="H25" s="216">
        <v>71351</v>
      </c>
      <c r="I25" s="255">
        <f t="shared" si="4"/>
        <v>795643</v>
      </c>
      <c r="J25" s="216">
        <v>481223</v>
      </c>
      <c r="K25" s="216">
        <v>186380</v>
      </c>
      <c r="L25" s="216">
        <v>31478</v>
      </c>
      <c r="M25" s="216">
        <v>96562</v>
      </c>
      <c r="N25" s="255">
        <f t="shared" si="3"/>
        <v>1722693</v>
      </c>
      <c r="O25" s="216">
        <v>1620496</v>
      </c>
      <c r="P25" s="216">
        <v>9385</v>
      </c>
      <c r="Q25" s="216">
        <v>0</v>
      </c>
      <c r="R25" s="216">
        <v>21462</v>
      </c>
      <c r="S25" s="216">
        <v>71350</v>
      </c>
      <c r="T25" s="297">
        <v>12500</v>
      </c>
      <c r="U25"/>
    </row>
    <row r="26" spans="1:21" ht="23.25" customHeight="1">
      <c r="A26" s="48" t="s">
        <v>448</v>
      </c>
      <c r="B26" s="257" t="s">
        <v>445</v>
      </c>
      <c r="C26" s="255">
        <f t="shared" si="2"/>
        <v>11443778</v>
      </c>
      <c r="D26" s="216">
        <v>11443778</v>
      </c>
      <c r="E26" s="216"/>
      <c r="F26" s="216"/>
      <c r="G26" s="216"/>
      <c r="H26" s="216"/>
      <c r="I26" s="255">
        <f t="shared" si="4"/>
        <v>0</v>
      </c>
      <c r="J26" s="216">
        <v>0</v>
      </c>
      <c r="K26" s="216">
        <v>0</v>
      </c>
      <c r="L26" s="216">
        <v>0</v>
      </c>
      <c r="M26" s="216">
        <v>0</v>
      </c>
      <c r="N26" s="255">
        <f t="shared" si="3"/>
        <v>125170</v>
      </c>
      <c r="O26" s="216">
        <v>125170</v>
      </c>
      <c r="P26" s="216"/>
      <c r="Q26" s="216"/>
      <c r="R26" s="216"/>
      <c r="S26" s="216"/>
      <c r="T26" s="297">
        <v>12600</v>
      </c>
      <c r="U26"/>
    </row>
    <row r="27" spans="1:21" ht="23.25" customHeight="1">
      <c r="A27" s="48" t="s">
        <v>450</v>
      </c>
      <c r="B27" s="257" t="s">
        <v>447</v>
      </c>
      <c r="C27" s="255">
        <f>SUM(D27:H27)-N27+O27</f>
        <v>52510405</v>
      </c>
      <c r="D27" s="216">
        <v>52510405</v>
      </c>
      <c r="E27" s="216"/>
      <c r="F27" s="216"/>
      <c r="G27" s="216"/>
      <c r="H27" s="216"/>
      <c r="I27" s="255">
        <f t="shared" si="4"/>
        <v>0</v>
      </c>
      <c r="J27" s="216">
        <v>0</v>
      </c>
      <c r="K27" s="216">
        <v>0</v>
      </c>
      <c r="L27" s="216">
        <v>0</v>
      </c>
      <c r="M27" s="216">
        <v>0</v>
      </c>
      <c r="N27" s="255">
        <f t="shared" si="3"/>
        <v>574351</v>
      </c>
      <c r="O27" s="216">
        <v>574351</v>
      </c>
      <c r="P27" s="216"/>
      <c r="Q27" s="216"/>
      <c r="R27" s="216"/>
      <c r="S27" s="216"/>
      <c r="T27" s="297">
        <v>12700</v>
      </c>
      <c r="U27"/>
    </row>
    <row r="28" spans="1:21" ht="33.75" customHeight="1">
      <c r="A28" s="48" t="s">
        <v>452</v>
      </c>
      <c r="B28" s="257" t="s">
        <v>449</v>
      </c>
      <c r="C28" s="255">
        <f t="shared" si="2"/>
        <v>0</v>
      </c>
      <c r="D28" s="216"/>
      <c r="E28" s="216"/>
      <c r="F28" s="216"/>
      <c r="G28" s="216"/>
      <c r="H28" s="216"/>
      <c r="I28" s="255">
        <f t="shared" si="4"/>
        <v>0</v>
      </c>
      <c r="J28" s="216">
        <v>0</v>
      </c>
      <c r="K28" s="216">
        <v>0</v>
      </c>
      <c r="L28" s="216">
        <v>0</v>
      </c>
      <c r="M28" s="216">
        <v>0</v>
      </c>
      <c r="N28" s="255">
        <f t="shared" si="3"/>
        <v>0</v>
      </c>
      <c r="O28" s="216">
        <v>0</v>
      </c>
      <c r="P28" s="216"/>
      <c r="Q28" s="216"/>
      <c r="R28" s="216"/>
      <c r="S28" s="216"/>
      <c r="T28" s="297">
        <v>12800</v>
      </c>
      <c r="U28" s="298"/>
    </row>
    <row r="29" spans="1:21" ht="23.25" customHeight="1">
      <c r="A29" s="48" t="s">
        <v>454</v>
      </c>
      <c r="B29" s="257" t="s">
        <v>451</v>
      </c>
      <c r="C29" s="255">
        <f t="shared" si="2"/>
        <v>22000000</v>
      </c>
      <c r="D29" s="216">
        <v>22000000</v>
      </c>
      <c r="E29" s="216"/>
      <c r="F29" s="216"/>
      <c r="G29" s="216"/>
      <c r="H29" s="216"/>
      <c r="I29" s="255">
        <f t="shared" si="4"/>
        <v>0</v>
      </c>
      <c r="J29" s="216">
        <v>0</v>
      </c>
      <c r="K29" s="216">
        <v>0</v>
      </c>
      <c r="L29" s="216">
        <v>0</v>
      </c>
      <c r="M29" s="216">
        <v>0</v>
      </c>
      <c r="N29" s="255">
        <f t="shared" si="3"/>
        <v>240633</v>
      </c>
      <c r="O29" s="216">
        <v>240633</v>
      </c>
      <c r="P29" s="216"/>
      <c r="Q29" s="216"/>
      <c r="R29" s="216"/>
      <c r="S29" s="216"/>
      <c r="T29" s="297">
        <v>12900</v>
      </c>
      <c r="U29"/>
    </row>
    <row r="30" spans="1:21" ht="24" customHeight="1">
      <c r="A30" s="48" t="s">
        <v>456</v>
      </c>
      <c r="B30" s="257" t="s">
        <v>453</v>
      </c>
      <c r="C30" s="255">
        <f t="shared" si="2"/>
        <v>0</v>
      </c>
      <c r="D30" s="216"/>
      <c r="E30" s="216"/>
      <c r="F30" s="216"/>
      <c r="G30" s="216"/>
      <c r="H30" s="216"/>
      <c r="I30" s="255">
        <f t="shared" si="4"/>
        <v>0</v>
      </c>
      <c r="J30" s="216">
        <v>0</v>
      </c>
      <c r="K30" s="216">
        <v>0</v>
      </c>
      <c r="L30" s="216">
        <v>0</v>
      </c>
      <c r="M30" s="216">
        <v>0</v>
      </c>
      <c r="N30" s="255">
        <f t="shared" si="3"/>
        <v>0</v>
      </c>
      <c r="O30" s="216">
        <v>0</v>
      </c>
      <c r="P30" s="216"/>
      <c r="Q30" s="216"/>
      <c r="R30" s="216"/>
      <c r="S30" s="216"/>
      <c r="T30" s="297">
        <v>13000</v>
      </c>
      <c r="U30"/>
    </row>
    <row r="31" spans="1:21" ht="33.75" customHeight="1">
      <c r="A31" s="48" t="s">
        <v>458</v>
      </c>
      <c r="B31" s="257" t="s">
        <v>455</v>
      </c>
      <c r="C31" s="255">
        <f t="shared" si="2"/>
        <v>378174633</v>
      </c>
      <c r="D31" s="216">
        <v>374390579</v>
      </c>
      <c r="E31" s="216">
        <v>4101289</v>
      </c>
      <c r="F31" s="216">
        <v>23090</v>
      </c>
      <c r="G31" s="216">
        <v>0</v>
      </c>
      <c r="H31" s="216">
        <v>0</v>
      </c>
      <c r="I31" s="255">
        <f t="shared" si="4"/>
        <v>6115073</v>
      </c>
      <c r="J31" s="216">
        <v>890406</v>
      </c>
      <c r="K31" s="216">
        <v>890674</v>
      </c>
      <c r="L31" s="216">
        <v>209614</v>
      </c>
      <c r="M31" s="216">
        <v>4124379</v>
      </c>
      <c r="N31" s="255">
        <f t="shared" si="3"/>
        <v>4435352</v>
      </c>
      <c r="O31" s="216">
        <v>4095027</v>
      </c>
      <c r="P31" s="216">
        <v>317235</v>
      </c>
      <c r="Q31" s="216">
        <v>23090</v>
      </c>
      <c r="R31" s="216">
        <v>0</v>
      </c>
      <c r="S31" s="216">
        <v>0</v>
      </c>
      <c r="T31" s="297">
        <v>13100</v>
      </c>
      <c r="U31"/>
    </row>
    <row r="32" spans="1:21" ht="23.25" customHeight="1">
      <c r="A32" s="48" t="s">
        <v>460</v>
      </c>
      <c r="B32" s="257" t="s">
        <v>457</v>
      </c>
      <c r="C32" s="255">
        <f t="shared" si="2"/>
        <v>0</v>
      </c>
      <c r="D32" s="216"/>
      <c r="E32" s="216"/>
      <c r="F32" s="216"/>
      <c r="G32" s="216"/>
      <c r="H32" s="216"/>
      <c r="I32" s="255">
        <f t="shared" si="4"/>
        <v>0</v>
      </c>
      <c r="J32" s="216">
        <v>0</v>
      </c>
      <c r="K32" s="216">
        <v>0</v>
      </c>
      <c r="L32" s="216">
        <v>0</v>
      </c>
      <c r="M32" s="216">
        <v>0</v>
      </c>
      <c r="N32" s="255">
        <f t="shared" si="3"/>
        <v>0</v>
      </c>
      <c r="O32" s="216">
        <v>0</v>
      </c>
      <c r="P32" s="216"/>
      <c r="Q32" s="216"/>
      <c r="R32" s="216"/>
      <c r="S32" s="216"/>
      <c r="T32" s="297">
        <v>13200</v>
      </c>
      <c r="U32"/>
    </row>
    <row r="33" spans="1:21" ht="32.25" customHeight="1">
      <c r="A33" s="48" t="s">
        <v>462</v>
      </c>
      <c r="B33" s="257" t="s">
        <v>736</v>
      </c>
      <c r="C33" s="255">
        <f t="shared" si="2"/>
        <v>0</v>
      </c>
      <c r="D33" s="216"/>
      <c r="E33" s="216"/>
      <c r="F33" s="216"/>
      <c r="G33" s="216"/>
      <c r="H33" s="216"/>
      <c r="I33" s="255">
        <f t="shared" ref="I33:I34" si="5">SUM(J33:M33)</f>
        <v>0</v>
      </c>
      <c r="J33" s="216">
        <v>0</v>
      </c>
      <c r="K33" s="216">
        <v>0</v>
      </c>
      <c r="L33" s="216">
        <v>0</v>
      </c>
      <c r="M33" s="216">
        <v>0</v>
      </c>
      <c r="N33" s="255">
        <f t="shared" si="3"/>
        <v>0</v>
      </c>
      <c r="O33" s="216">
        <v>0</v>
      </c>
      <c r="P33" s="216"/>
      <c r="Q33" s="216"/>
      <c r="R33" s="216"/>
      <c r="S33" s="216"/>
      <c r="T33" s="297">
        <v>13300</v>
      </c>
      <c r="U33"/>
    </row>
    <row r="34" spans="1:21" ht="32.25" customHeight="1">
      <c r="A34" s="48" t="s">
        <v>464</v>
      </c>
      <c r="B34" s="257" t="s">
        <v>737</v>
      </c>
      <c r="C34" s="255">
        <f t="shared" si="2"/>
        <v>0</v>
      </c>
      <c r="D34" s="216"/>
      <c r="E34" s="216"/>
      <c r="F34" s="216"/>
      <c r="G34" s="216"/>
      <c r="H34" s="216"/>
      <c r="I34" s="255">
        <f t="shared" si="5"/>
        <v>0</v>
      </c>
      <c r="J34" s="216">
        <v>0</v>
      </c>
      <c r="K34" s="216">
        <v>0</v>
      </c>
      <c r="L34" s="216">
        <v>0</v>
      </c>
      <c r="M34" s="216">
        <v>0</v>
      </c>
      <c r="N34" s="255">
        <f t="shared" si="3"/>
        <v>0</v>
      </c>
      <c r="O34" s="216">
        <v>0</v>
      </c>
      <c r="P34" s="216"/>
      <c r="Q34" s="216"/>
      <c r="R34" s="216"/>
      <c r="S34" s="216"/>
      <c r="T34" s="297">
        <v>14300</v>
      </c>
      <c r="U34"/>
    </row>
    <row r="35" spans="1:21" ht="33.75" customHeight="1">
      <c r="A35" s="48" t="s">
        <v>466</v>
      </c>
      <c r="B35" s="257" t="s">
        <v>459</v>
      </c>
      <c r="C35" s="255">
        <f t="shared" si="2"/>
        <v>7526408</v>
      </c>
      <c r="D35" s="216">
        <v>7526408</v>
      </c>
      <c r="E35" s="216"/>
      <c r="F35" s="216"/>
      <c r="G35" s="216"/>
      <c r="H35" s="216"/>
      <c r="I35" s="255">
        <f t="shared" si="4"/>
        <v>105380</v>
      </c>
      <c r="J35" s="216">
        <v>62917</v>
      </c>
      <c r="K35" s="216">
        <v>42463</v>
      </c>
      <c r="L35" s="216">
        <v>0</v>
      </c>
      <c r="M35" s="216">
        <v>0</v>
      </c>
      <c r="N35" s="255">
        <f t="shared" si="3"/>
        <v>82323</v>
      </c>
      <c r="O35" s="216">
        <v>82323</v>
      </c>
      <c r="P35" s="216"/>
      <c r="Q35" s="216"/>
      <c r="R35" s="216"/>
      <c r="S35" s="216"/>
      <c r="T35" s="297">
        <v>14400</v>
      </c>
      <c r="U35"/>
    </row>
    <row r="36" spans="1:21" ht="23.25" customHeight="1">
      <c r="A36" s="48" t="s">
        <v>468</v>
      </c>
      <c r="B36" s="257" t="s">
        <v>461</v>
      </c>
      <c r="C36" s="255">
        <f t="shared" si="2"/>
        <v>0</v>
      </c>
      <c r="D36" s="216"/>
      <c r="E36" s="216"/>
      <c r="F36" s="216"/>
      <c r="G36" s="216"/>
      <c r="H36" s="216"/>
      <c r="I36" s="255">
        <f t="shared" si="4"/>
        <v>0</v>
      </c>
      <c r="J36" s="216">
        <v>0</v>
      </c>
      <c r="K36" s="216">
        <v>0</v>
      </c>
      <c r="L36" s="216">
        <v>0</v>
      </c>
      <c r="M36" s="216">
        <v>0</v>
      </c>
      <c r="N36" s="255">
        <f t="shared" si="3"/>
        <v>0</v>
      </c>
      <c r="O36" s="216">
        <v>0</v>
      </c>
      <c r="P36" s="216"/>
      <c r="Q36" s="216"/>
      <c r="R36" s="216"/>
      <c r="S36" s="216"/>
      <c r="T36" s="297">
        <v>14500</v>
      </c>
      <c r="U36"/>
    </row>
    <row r="37" spans="1:21" ht="23.25" customHeight="1">
      <c r="A37" s="48" t="s">
        <v>470</v>
      </c>
      <c r="B37" s="257" t="s">
        <v>463</v>
      </c>
      <c r="C37" s="255">
        <f t="shared" si="2"/>
        <v>0</v>
      </c>
      <c r="D37" s="216"/>
      <c r="E37" s="216"/>
      <c r="F37" s="216"/>
      <c r="G37" s="216"/>
      <c r="H37" s="216"/>
      <c r="I37" s="255">
        <f t="shared" si="4"/>
        <v>0</v>
      </c>
      <c r="J37" s="216">
        <v>0</v>
      </c>
      <c r="K37" s="216">
        <v>0</v>
      </c>
      <c r="L37" s="216">
        <v>0</v>
      </c>
      <c r="M37" s="216">
        <v>0</v>
      </c>
      <c r="N37" s="255">
        <f t="shared" si="3"/>
        <v>0</v>
      </c>
      <c r="O37" s="216">
        <v>0</v>
      </c>
      <c r="P37" s="216"/>
      <c r="Q37" s="216"/>
      <c r="R37" s="216"/>
      <c r="S37" s="216"/>
      <c r="T37" s="297">
        <v>14700</v>
      </c>
      <c r="U37"/>
    </row>
    <row r="38" spans="1:21" ht="23.25" customHeight="1">
      <c r="A38" s="48" t="s">
        <v>472</v>
      </c>
      <c r="B38" s="257" t="s">
        <v>465</v>
      </c>
      <c r="C38" s="255">
        <f t="shared" si="2"/>
        <v>0</v>
      </c>
      <c r="D38" s="216"/>
      <c r="E38" s="216"/>
      <c r="F38" s="216"/>
      <c r="G38" s="216"/>
      <c r="H38" s="216"/>
      <c r="I38" s="255">
        <f t="shared" si="4"/>
        <v>0</v>
      </c>
      <c r="J38" s="216">
        <v>0</v>
      </c>
      <c r="K38" s="216">
        <v>0</v>
      </c>
      <c r="L38" s="216">
        <v>0</v>
      </c>
      <c r="M38" s="216">
        <v>0</v>
      </c>
      <c r="N38" s="255">
        <f t="shared" si="3"/>
        <v>0</v>
      </c>
      <c r="O38" s="216">
        <v>0</v>
      </c>
      <c r="P38" s="216"/>
      <c r="Q38" s="216"/>
      <c r="R38" s="216"/>
      <c r="S38" s="216"/>
      <c r="T38" s="297">
        <v>14800</v>
      </c>
      <c r="U38"/>
    </row>
    <row r="39" spans="1:21" ht="23.25" customHeight="1">
      <c r="A39" s="48" t="s">
        <v>473</v>
      </c>
      <c r="B39" s="257" t="s">
        <v>467</v>
      </c>
      <c r="C39" s="255">
        <f t="shared" si="2"/>
        <v>871890514</v>
      </c>
      <c r="D39" s="216">
        <v>865817982</v>
      </c>
      <c r="E39" s="216">
        <v>3416846</v>
      </c>
      <c r="F39" s="216">
        <v>2192229</v>
      </c>
      <c r="G39" s="216">
        <v>1436376</v>
      </c>
      <c r="H39" s="216">
        <v>1272415</v>
      </c>
      <c r="I39" s="255">
        <f t="shared" si="4"/>
        <v>8184822</v>
      </c>
      <c r="J39" s="216">
        <v>2667312</v>
      </c>
      <c r="K39" s="216">
        <v>2919449</v>
      </c>
      <c r="L39" s="216">
        <v>1332803</v>
      </c>
      <c r="M39" s="216">
        <v>1265258</v>
      </c>
      <c r="N39" s="255">
        <f t="shared" si="3"/>
        <v>11715520</v>
      </c>
      <c r="O39" s="216">
        <v>9470186</v>
      </c>
      <c r="P39" s="216">
        <v>727279</v>
      </c>
      <c r="Q39" s="216">
        <v>470636</v>
      </c>
      <c r="R39" s="216">
        <v>548116</v>
      </c>
      <c r="S39" s="216">
        <v>499303</v>
      </c>
      <c r="T39" s="297">
        <v>14900</v>
      </c>
      <c r="U39"/>
    </row>
    <row r="40" spans="1:21" ht="23.25" customHeight="1">
      <c r="A40" s="48" t="s">
        <v>475</v>
      </c>
      <c r="B40" s="257" t="s">
        <v>469</v>
      </c>
      <c r="C40" s="255">
        <f t="shared" si="2"/>
        <v>57899605</v>
      </c>
      <c r="D40" s="216">
        <v>56248350</v>
      </c>
      <c r="E40" s="216">
        <v>1809771</v>
      </c>
      <c r="F40" s="216">
        <v>13621</v>
      </c>
      <c r="G40" s="216">
        <v>0</v>
      </c>
      <c r="H40" s="216">
        <v>0</v>
      </c>
      <c r="I40" s="255">
        <f t="shared" si="4"/>
        <v>614521</v>
      </c>
      <c r="J40" s="216">
        <v>186583</v>
      </c>
      <c r="K40" s="216">
        <v>299277</v>
      </c>
      <c r="L40" s="216">
        <v>122193</v>
      </c>
      <c r="M40" s="216">
        <v>6468</v>
      </c>
      <c r="N40" s="255">
        <f t="shared" si="3"/>
        <v>787373</v>
      </c>
      <c r="O40" s="216">
        <v>615236</v>
      </c>
      <c r="P40" s="216">
        <v>168732</v>
      </c>
      <c r="Q40" s="216">
        <v>3405</v>
      </c>
      <c r="R40" s="216">
        <v>0</v>
      </c>
      <c r="S40" s="216">
        <v>0</v>
      </c>
      <c r="T40" s="297">
        <v>15000</v>
      </c>
      <c r="U40"/>
    </row>
    <row r="41" spans="1:21" ht="33.75" customHeight="1">
      <c r="A41" s="48" t="s">
        <v>477</v>
      </c>
      <c r="B41" s="257" t="s">
        <v>471</v>
      </c>
      <c r="C41" s="255">
        <f t="shared" si="2"/>
        <v>706562920</v>
      </c>
      <c r="D41" s="216">
        <v>706562920</v>
      </c>
      <c r="E41" s="216"/>
      <c r="F41" s="216"/>
      <c r="G41" s="216"/>
      <c r="H41" s="216"/>
      <c r="I41" s="255">
        <f t="shared" si="4"/>
        <v>0</v>
      </c>
      <c r="J41" s="216">
        <v>0</v>
      </c>
      <c r="K41" s="216">
        <v>0</v>
      </c>
      <c r="L41" s="216">
        <v>0</v>
      </c>
      <c r="M41" s="216">
        <v>0</v>
      </c>
      <c r="N41" s="255">
        <f t="shared" si="3"/>
        <v>7728278</v>
      </c>
      <c r="O41" s="216">
        <v>7728278</v>
      </c>
      <c r="P41" s="216"/>
      <c r="Q41" s="216"/>
      <c r="R41" s="216"/>
      <c r="S41" s="216"/>
      <c r="T41" s="297">
        <v>15100</v>
      </c>
      <c r="U41"/>
    </row>
    <row r="42" spans="1:21" ht="23.25" customHeight="1">
      <c r="A42" s="48" t="s">
        <v>479</v>
      </c>
      <c r="B42" s="257" t="s">
        <v>734</v>
      </c>
      <c r="C42" s="255">
        <f t="shared" si="2"/>
        <v>14958733</v>
      </c>
      <c r="D42" s="216">
        <v>10276403</v>
      </c>
      <c r="E42" s="216">
        <v>5372687</v>
      </c>
      <c r="F42" s="216">
        <v>0</v>
      </c>
      <c r="G42" s="216"/>
      <c r="H42" s="216"/>
      <c r="I42" s="255">
        <f t="shared" si="4"/>
        <v>812510</v>
      </c>
      <c r="J42" s="216">
        <v>15911</v>
      </c>
      <c r="K42" s="216">
        <v>83209</v>
      </c>
      <c r="L42" s="216">
        <v>544318</v>
      </c>
      <c r="M42" s="216">
        <v>169072</v>
      </c>
      <c r="N42" s="255">
        <f t="shared" si="3"/>
        <v>802759</v>
      </c>
      <c r="O42" s="216">
        <v>112402</v>
      </c>
      <c r="P42" s="216">
        <v>690357</v>
      </c>
      <c r="Q42" s="216">
        <v>0</v>
      </c>
      <c r="R42" s="216">
        <v>0</v>
      </c>
      <c r="S42" s="216">
        <v>0</v>
      </c>
      <c r="T42" s="297">
        <v>15200</v>
      </c>
      <c r="U42"/>
    </row>
    <row r="43" spans="1:21" ht="23.25" customHeight="1">
      <c r="A43" s="48" t="s">
        <v>481</v>
      </c>
      <c r="B43" s="257" t="s">
        <v>474</v>
      </c>
      <c r="C43" s="255">
        <f t="shared" si="2"/>
        <v>431029828</v>
      </c>
      <c r="D43" s="216">
        <v>409200375</v>
      </c>
      <c r="E43" s="216">
        <v>22072253</v>
      </c>
      <c r="F43" s="216">
        <v>0</v>
      </c>
      <c r="G43" s="216"/>
      <c r="H43" s="216"/>
      <c r="I43" s="255">
        <f t="shared" si="4"/>
        <v>76626</v>
      </c>
      <c r="J43" s="216">
        <v>15335</v>
      </c>
      <c r="K43" s="216">
        <v>30670</v>
      </c>
      <c r="L43" s="216">
        <v>30621</v>
      </c>
      <c r="M43" s="216">
        <v>0</v>
      </c>
      <c r="N43" s="255">
        <f t="shared" si="3"/>
        <v>4718572</v>
      </c>
      <c r="O43" s="216">
        <v>4475772</v>
      </c>
      <c r="P43" s="216">
        <v>242800</v>
      </c>
      <c r="Q43" s="216">
        <v>0</v>
      </c>
      <c r="R43" s="216">
        <v>0</v>
      </c>
      <c r="S43" s="216">
        <v>0</v>
      </c>
      <c r="T43" s="297">
        <v>15300</v>
      </c>
      <c r="U43"/>
    </row>
    <row r="44" spans="1:21" ht="23.25" customHeight="1">
      <c r="A44" s="48" t="s">
        <v>483</v>
      </c>
      <c r="B44" s="257" t="s">
        <v>476</v>
      </c>
      <c r="C44" s="255">
        <f t="shared" si="2"/>
        <v>1424539</v>
      </c>
      <c r="D44" s="216">
        <v>1424539</v>
      </c>
      <c r="E44" s="216"/>
      <c r="F44" s="216"/>
      <c r="G44" s="216"/>
      <c r="H44" s="216"/>
      <c r="I44" s="255">
        <f t="shared" si="4"/>
        <v>0</v>
      </c>
      <c r="J44" s="216"/>
      <c r="K44" s="216"/>
      <c r="L44" s="216"/>
      <c r="M44" s="216"/>
      <c r="N44" s="255">
        <f t="shared" si="3"/>
        <v>15581</v>
      </c>
      <c r="O44" s="216">
        <v>15581</v>
      </c>
      <c r="P44" s="216"/>
      <c r="Q44" s="216"/>
      <c r="R44" s="216"/>
      <c r="S44" s="216"/>
      <c r="T44" s="297">
        <v>15400</v>
      </c>
      <c r="U44"/>
    </row>
    <row r="45" spans="1:21" ht="33.75" customHeight="1">
      <c r="A45" s="48" t="s">
        <v>485</v>
      </c>
      <c r="B45" s="257" t="s">
        <v>478</v>
      </c>
      <c r="C45" s="255">
        <f t="shared" si="2"/>
        <v>2992636623</v>
      </c>
      <c r="D45" s="216">
        <v>2941185489</v>
      </c>
      <c r="E45" s="216">
        <v>55385788</v>
      </c>
      <c r="F45" s="216">
        <v>1349364</v>
      </c>
      <c r="G45" s="216">
        <v>0</v>
      </c>
      <c r="H45" s="216">
        <v>0</v>
      </c>
      <c r="I45" s="255">
        <f>SUM(J45:M45)</f>
        <v>30785843</v>
      </c>
      <c r="J45" s="216">
        <v>8649793</v>
      </c>
      <c r="K45" s="216">
        <v>7376985</v>
      </c>
      <c r="L45" s="216">
        <v>6482932</v>
      </c>
      <c r="M45" s="216">
        <v>8276133</v>
      </c>
      <c r="N45" s="255">
        <f t="shared" si="3"/>
        <v>37454259</v>
      </c>
      <c r="O45" s="216">
        <v>32170241</v>
      </c>
      <c r="P45" s="216">
        <v>4734018</v>
      </c>
      <c r="Q45" s="216">
        <v>550000</v>
      </c>
      <c r="R45" s="216">
        <v>0</v>
      </c>
      <c r="S45" s="216">
        <v>0</v>
      </c>
      <c r="T45" s="297">
        <v>15500</v>
      </c>
      <c r="U45"/>
    </row>
    <row r="46" spans="1:21" ht="18" customHeight="1">
      <c r="A46" s="48" t="s">
        <v>487</v>
      </c>
      <c r="B46" s="257" t="s">
        <v>726</v>
      </c>
      <c r="C46" s="255">
        <f t="shared" si="2"/>
        <v>639526</v>
      </c>
      <c r="D46" s="216">
        <v>639526</v>
      </c>
      <c r="E46" s="216">
        <v>0</v>
      </c>
      <c r="F46" s="216">
        <v>0</v>
      </c>
      <c r="G46" s="216">
        <v>0</v>
      </c>
      <c r="H46" s="216">
        <v>0</v>
      </c>
      <c r="I46" s="255">
        <f>SUM(J46:M46)</f>
        <v>0</v>
      </c>
      <c r="J46" s="216">
        <v>0</v>
      </c>
      <c r="K46" s="216">
        <v>0</v>
      </c>
      <c r="L46" s="216">
        <v>0</v>
      </c>
      <c r="M46" s="216">
        <v>0</v>
      </c>
      <c r="N46" s="255">
        <f t="shared" si="3"/>
        <v>6995</v>
      </c>
      <c r="O46" s="216">
        <v>6995</v>
      </c>
      <c r="P46" s="216"/>
      <c r="Q46" s="216"/>
      <c r="R46" s="216"/>
      <c r="S46" s="216"/>
      <c r="T46" s="297">
        <v>15600</v>
      </c>
      <c r="U46"/>
    </row>
    <row r="47" spans="1:21" ht="23.25" customHeight="1">
      <c r="A47" s="48" t="s">
        <v>489</v>
      </c>
      <c r="B47" s="257" t="s">
        <v>480</v>
      </c>
      <c r="C47" s="255">
        <f t="shared" si="2"/>
        <v>0</v>
      </c>
      <c r="D47" s="216"/>
      <c r="E47" s="216"/>
      <c r="F47" s="216"/>
      <c r="G47" s="216"/>
      <c r="H47" s="216"/>
      <c r="I47" s="255">
        <f t="shared" si="4"/>
        <v>0</v>
      </c>
      <c r="J47" s="216"/>
      <c r="K47" s="216"/>
      <c r="L47" s="216"/>
      <c r="M47" s="216"/>
      <c r="N47" s="255">
        <f t="shared" si="3"/>
        <v>0</v>
      </c>
      <c r="O47" s="216"/>
      <c r="P47" s="216"/>
      <c r="Q47" s="216"/>
      <c r="R47" s="216"/>
      <c r="S47" s="216"/>
      <c r="T47" s="297">
        <v>15700</v>
      </c>
      <c r="U47"/>
    </row>
    <row r="48" spans="1:21" ht="33.75" customHeight="1">
      <c r="A48" s="48" t="s">
        <v>491</v>
      </c>
      <c r="B48" s="257" t="s">
        <v>482</v>
      </c>
      <c r="C48" s="255">
        <f t="shared" si="2"/>
        <v>41111168</v>
      </c>
      <c r="D48" s="216">
        <v>41055894</v>
      </c>
      <c r="E48" s="216"/>
      <c r="F48" s="216"/>
      <c r="G48" s="216">
        <v>110548</v>
      </c>
      <c r="H48" s="216"/>
      <c r="I48" s="255">
        <f t="shared" si="4"/>
        <v>0</v>
      </c>
      <c r="J48" s="216"/>
      <c r="K48" s="216"/>
      <c r="L48" s="216"/>
      <c r="M48" s="216"/>
      <c r="N48" s="255">
        <f t="shared" si="3"/>
        <v>55274</v>
      </c>
      <c r="O48" s="216"/>
      <c r="P48" s="216"/>
      <c r="Q48" s="216"/>
      <c r="R48" s="216">
        <v>55274</v>
      </c>
      <c r="S48" s="216"/>
      <c r="T48" s="297">
        <v>15800</v>
      </c>
      <c r="U48"/>
    </row>
    <row r="49" spans="1:29" ht="23.25" customHeight="1">
      <c r="A49" s="48" t="s">
        <v>673</v>
      </c>
      <c r="B49" s="257" t="s">
        <v>484</v>
      </c>
      <c r="C49" s="255">
        <f t="shared" si="2"/>
        <v>0</v>
      </c>
      <c r="D49" s="216">
        <v>0</v>
      </c>
      <c r="E49" s="216"/>
      <c r="F49" s="216"/>
      <c r="G49" s="216"/>
      <c r="H49" s="216"/>
      <c r="I49" s="255">
        <f t="shared" si="4"/>
        <v>0</v>
      </c>
      <c r="J49" s="216"/>
      <c r="K49" s="216"/>
      <c r="L49" s="216"/>
      <c r="M49" s="216"/>
      <c r="N49" s="255">
        <f t="shared" si="3"/>
        <v>0</v>
      </c>
      <c r="O49" s="216"/>
      <c r="P49" s="216"/>
      <c r="Q49" s="216"/>
      <c r="R49" s="216"/>
      <c r="S49" s="216"/>
      <c r="T49" s="297">
        <v>15900</v>
      </c>
      <c r="U49"/>
    </row>
    <row r="50" spans="1:29" ht="23.25" customHeight="1">
      <c r="A50" s="48" t="s">
        <v>674</v>
      </c>
      <c r="B50" s="257" t="s">
        <v>486</v>
      </c>
      <c r="C50" s="255">
        <f t="shared" si="2"/>
        <v>126411305</v>
      </c>
      <c r="D50" s="216">
        <v>126411305</v>
      </c>
      <c r="E50" s="216"/>
      <c r="F50" s="216"/>
      <c r="G50" s="216"/>
      <c r="H50" s="216"/>
      <c r="I50" s="255">
        <f t="shared" si="4"/>
        <v>0</v>
      </c>
      <c r="J50" s="216"/>
      <c r="K50" s="216"/>
      <c r="L50" s="216"/>
      <c r="M50" s="216"/>
      <c r="N50" s="255">
        <f t="shared" si="3"/>
        <v>0</v>
      </c>
      <c r="O50" s="216"/>
      <c r="P50" s="216"/>
      <c r="Q50" s="216"/>
      <c r="R50" s="216"/>
      <c r="S50" s="216"/>
      <c r="T50" s="297">
        <v>16300</v>
      </c>
      <c r="U50"/>
    </row>
    <row r="51" spans="1:29" ht="23.25" customHeight="1">
      <c r="A51" s="48" t="s">
        <v>719</v>
      </c>
      <c r="B51" s="257" t="s">
        <v>488</v>
      </c>
      <c r="C51" s="255">
        <f t="shared" si="2"/>
        <v>6532398</v>
      </c>
      <c r="D51" s="216">
        <v>6532398</v>
      </c>
      <c r="E51" s="216"/>
      <c r="F51" s="216"/>
      <c r="G51" s="216"/>
      <c r="H51" s="216"/>
      <c r="I51" s="255">
        <f t="shared" si="4"/>
        <v>0</v>
      </c>
      <c r="J51" s="216"/>
      <c r="K51" s="216"/>
      <c r="L51" s="216"/>
      <c r="M51" s="216"/>
      <c r="N51" s="255">
        <f t="shared" si="3"/>
        <v>0</v>
      </c>
      <c r="O51" s="216"/>
      <c r="P51" s="216"/>
      <c r="Q51" s="216"/>
      <c r="R51" s="216"/>
      <c r="S51" s="216"/>
      <c r="T51" s="297">
        <v>16400</v>
      </c>
      <c r="U51"/>
    </row>
    <row r="52" spans="1:29" ht="23.25" customHeight="1">
      <c r="A52" s="48" t="s">
        <v>727</v>
      </c>
      <c r="B52" s="257" t="s">
        <v>718</v>
      </c>
      <c r="C52" s="255">
        <f t="shared" si="2"/>
        <v>427989486</v>
      </c>
      <c r="D52" s="216">
        <v>427989486</v>
      </c>
      <c r="E52" s="216"/>
      <c r="F52" s="216"/>
      <c r="G52" s="216"/>
      <c r="H52" s="216"/>
      <c r="I52" s="255">
        <f t="shared" si="4"/>
        <v>0</v>
      </c>
      <c r="J52" s="216"/>
      <c r="K52" s="216"/>
      <c r="L52" s="216"/>
      <c r="M52" s="216"/>
      <c r="N52" s="255">
        <f t="shared" si="3"/>
        <v>0</v>
      </c>
      <c r="O52" s="216"/>
      <c r="P52" s="216"/>
      <c r="Q52" s="216"/>
      <c r="R52" s="216"/>
      <c r="S52" s="216"/>
      <c r="T52" s="297">
        <v>16500</v>
      </c>
      <c r="U52"/>
    </row>
    <row r="53" spans="1:29" ht="23.25" customHeight="1">
      <c r="A53" s="48" t="s">
        <v>728</v>
      </c>
      <c r="B53" s="257" t="s">
        <v>721</v>
      </c>
      <c r="C53" s="255">
        <f t="shared" si="2"/>
        <v>34313760</v>
      </c>
      <c r="D53" s="216">
        <v>34313760</v>
      </c>
      <c r="E53" s="216"/>
      <c r="F53" s="216"/>
      <c r="G53" s="216"/>
      <c r="H53" s="216"/>
      <c r="I53" s="255">
        <f t="shared" si="4"/>
        <v>0</v>
      </c>
      <c r="J53" s="216"/>
      <c r="K53" s="216"/>
      <c r="L53" s="216"/>
      <c r="M53" s="216"/>
      <c r="N53" s="255">
        <f t="shared" si="3"/>
        <v>0</v>
      </c>
      <c r="O53" s="216"/>
      <c r="P53" s="216"/>
      <c r="Q53" s="216"/>
      <c r="R53" s="216"/>
      <c r="S53" s="216"/>
      <c r="T53" s="297">
        <v>16600</v>
      </c>
      <c r="U53"/>
    </row>
    <row r="54" spans="1:29" ht="23.25" customHeight="1">
      <c r="A54" s="48" t="s">
        <v>729</v>
      </c>
      <c r="B54" s="257" t="s">
        <v>490</v>
      </c>
      <c r="C54" s="255">
        <f t="shared" si="2"/>
        <v>33496865</v>
      </c>
      <c r="D54" s="216">
        <v>33496865</v>
      </c>
      <c r="E54" s="216"/>
      <c r="F54" s="216"/>
      <c r="G54" s="216"/>
      <c r="H54" s="216">
        <v>201348</v>
      </c>
      <c r="I54" s="255">
        <f t="shared" si="4"/>
        <v>0</v>
      </c>
      <c r="J54" s="216"/>
      <c r="K54" s="216"/>
      <c r="L54" s="216"/>
      <c r="M54" s="216"/>
      <c r="N54" s="255">
        <f t="shared" si="3"/>
        <v>201348</v>
      </c>
      <c r="O54" s="216"/>
      <c r="P54" s="216"/>
      <c r="Q54" s="216"/>
      <c r="R54" s="216"/>
      <c r="S54" s="216">
        <v>201348</v>
      </c>
      <c r="T54" s="365">
        <v>16700</v>
      </c>
      <c r="U54" s="366"/>
    </row>
    <row r="55" spans="1:29" ht="23.25" customHeight="1">
      <c r="A55" s="372" t="s">
        <v>730</v>
      </c>
      <c r="B55" s="257" t="s">
        <v>752</v>
      </c>
      <c r="C55" s="255">
        <f t="shared" ref="C55" si="6">SUM(D55:H55)-N55+O55</f>
        <v>0</v>
      </c>
      <c r="D55" s="216">
        <v>0</v>
      </c>
      <c r="E55" s="216"/>
      <c r="F55" s="216"/>
      <c r="G55" s="216"/>
      <c r="H55" s="216"/>
      <c r="I55" s="255">
        <f t="shared" ref="I55" si="7">SUM(J55:M55)</f>
        <v>0</v>
      </c>
      <c r="J55" s="216"/>
      <c r="K55" s="216"/>
      <c r="L55" s="216"/>
      <c r="M55" s="216"/>
      <c r="N55" s="255">
        <f t="shared" ref="N55" si="8">SUM(O55:S55)</f>
        <v>0</v>
      </c>
      <c r="O55" s="216"/>
      <c r="P55" s="216"/>
      <c r="Q55" s="216"/>
      <c r="R55" s="216"/>
      <c r="S55" s="216"/>
      <c r="T55" s="373">
        <v>16800</v>
      </c>
      <c r="U55" s="374"/>
    </row>
    <row r="56" spans="1:29" ht="23.25" customHeight="1">
      <c r="A56" s="48" t="s">
        <v>731</v>
      </c>
      <c r="B56" s="257" t="s">
        <v>722</v>
      </c>
      <c r="C56" s="255">
        <f t="shared" si="2"/>
        <v>1749067</v>
      </c>
      <c r="D56" s="216">
        <v>1749067</v>
      </c>
      <c r="E56" s="216"/>
      <c r="F56" s="216"/>
      <c r="G56" s="216"/>
      <c r="H56" s="216"/>
      <c r="I56" s="255">
        <f t="shared" si="4"/>
        <v>0</v>
      </c>
      <c r="J56" s="216"/>
      <c r="K56" s="216"/>
      <c r="L56" s="216"/>
      <c r="M56" s="216"/>
      <c r="N56" s="255">
        <f t="shared" si="3"/>
        <v>0</v>
      </c>
      <c r="O56" s="216"/>
      <c r="P56" s="216"/>
      <c r="Q56" s="216"/>
      <c r="R56" s="216"/>
      <c r="S56" s="216"/>
      <c r="T56" s="365">
        <v>16900</v>
      </c>
      <c r="U56" s="366"/>
    </row>
    <row r="57" spans="1:29" ht="23.25" customHeight="1">
      <c r="A57" s="48" t="s">
        <v>732</v>
      </c>
      <c r="B57" s="257" t="s">
        <v>723</v>
      </c>
      <c r="C57" s="255">
        <f t="shared" si="2"/>
        <v>0</v>
      </c>
      <c r="D57" s="216">
        <v>0</v>
      </c>
      <c r="E57" s="216"/>
      <c r="F57" s="216"/>
      <c r="G57" s="216"/>
      <c r="H57" s="216"/>
      <c r="I57" s="255">
        <f t="shared" si="4"/>
        <v>0</v>
      </c>
      <c r="J57" s="216"/>
      <c r="K57" s="216"/>
      <c r="L57" s="216"/>
      <c r="M57" s="216"/>
      <c r="N57" s="255">
        <f t="shared" si="3"/>
        <v>0</v>
      </c>
      <c r="O57" s="216"/>
      <c r="P57" s="216"/>
      <c r="Q57" s="216"/>
      <c r="R57" s="216"/>
      <c r="S57" s="216"/>
      <c r="T57" s="365">
        <v>17100</v>
      </c>
      <c r="U57" s="366"/>
    </row>
    <row r="58" spans="1:29" ht="23.25" customHeight="1">
      <c r="A58" s="48" t="s">
        <v>738</v>
      </c>
      <c r="B58" s="257" t="s">
        <v>724</v>
      </c>
      <c r="C58" s="255">
        <f t="shared" si="2"/>
        <v>0</v>
      </c>
      <c r="D58" s="216">
        <v>0</v>
      </c>
      <c r="E58" s="216"/>
      <c r="F58" s="216"/>
      <c r="G58" s="216"/>
      <c r="H58" s="216"/>
      <c r="I58" s="255">
        <f t="shared" si="4"/>
        <v>0</v>
      </c>
      <c r="J58" s="216"/>
      <c r="K58" s="216"/>
      <c r="L58" s="216"/>
      <c r="M58" s="216"/>
      <c r="N58" s="255">
        <f t="shared" si="3"/>
        <v>0</v>
      </c>
      <c r="O58" s="216"/>
      <c r="P58" s="216"/>
      <c r="Q58" s="216"/>
      <c r="R58" s="216"/>
      <c r="S58" s="216"/>
      <c r="T58" s="365">
        <v>17300</v>
      </c>
      <c r="U58" s="366"/>
    </row>
    <row r="59" spans="1:29" ht="23.25" customHeight="1">
      <c r="A59" s="48" t="s">
        <v>739</v>
      </c>
      <c r="B59" s="257" t="s">
        <v>725</v>
      </c>
      <c r="C59" s="255">
        <f t="shared" si="2"/>
        <v>21125572</v>
      </c>
      <c r="D59" s="216">
        <v>21125572</v>
      </c>
      <c r="E59" s="216"/>
      <c r="F59" s="216"/>
      <c r="G59" s="216"/>
      <c r="H59" s="216"/>
      <c r="I59" s="255">
        <f t="shared" si="4"/>
        <v>0</v>
      </c>
      <c r="J59" s="216"/>
      <c r="K59" s="216"/>
      <c r="L59" s="216"/>
      <c r="M59" s="216"/>
      <c r="N59" s="255">
        <f t="shared" si="3"/>
        <v>0</v>
      </c>
      <c r="O59" s="216"/>
      <c r="P59" s="216"/>
      <c r="Q59" s="216"/>
      <c r="R59" s="216"/>
      <c r="S59" s="216"/>
      <c r="T59" s="365">
        <v>17400</v>
      </c>
      <c r="U59" s="366"/>
      <c r="V59" s="49"/>
      <c r="W59" s="49"/>
      <c r="X59" s="49"/>
      <c r="Y59" s="49"/>
      <c r="Z59" s="49"/>
      <c r="AA59" s="49"/>
      <c r="AB59" s="49"/>
      <c r="AC59" s="49"/>
    </row>
    <row r="60" spans="1:29" s="49" customFormat="1" ht="23.25" customHeight="1">
      <c r="A60" s="48" t="s">
        <v>751</v>
      </c>
      <c r="B60" s="257" t="s">
        <v>227</v>
      </c>
      <c r="C60" s="255">
        <f t="shared" si="2"/>
        <v>264994413</v>
      </c>
      <c r="D60" s="216">
        <v>264994412</v>
      </c>
      <c r="E60" s="216"/>
      <c r="F60" s="216"/>
      <c r="G60" s="216"/>
      <c r="H60" s="216">
        <v>746185</v>
      </c>
      <c r="I60" s="255">
        <f t="shared" si="4"/>
        <v>0</v>
      </c>
      <c r="J60" s="216"/>
      <c r="K60" s="216"/>
      <c r="L60" s="216"/>
      <c r="M60" s="216"/>
      <c r="N60" s="255">
        <f t="shared" si="3"/>
        <v>746184</v>
      </c>
      <c r="O60" s="216"/>
      <c r="P60" s="216"/>
      <c r="Q60" s="216"/>
      <c r="R60" s="216"/>
      <c r="S60" s="216">
        <v>746184</v>
      </c>
      <c r="T60" s="365">
        <v>19900</v>
      </c>
      <c r="U60" s="366"/>
      <c r="V60" s="43"/>
      <c r="W60" s="43"/>
      <c r="X60" s="43"/>
      <c r="Y60" s="43"/>
      <c r="Z60" s="43"/>
      <c r="AA60" s="43"/>
      <c r="AB60" s="43"/>
      <c r="AC60" s="43"/>
    </row>
    <row r="61" spans="1:29" s="49" customFormat="1" ht="15" customHeight="1">
      <c r="A61" s="48"/>
      <c r="B61" s="257"/>
      <c r="C61" s="255"/>
      <c r="D61" s="255"/>
      <c r="E61" s="256"/>
      <c r="F61" s="256"/>
      <c r="G61" s="256"/>
      <c r="H61" s="256"/>
      <c r="I61" s="255"/>
      <c r="J61" s="216"/>
      <c r="K61" s="216"/>
      <c r="L61" s="216"/>
      <c r="M61" s="216"/>
      <c r="N61" s="255"/>
      <c r="O61" s="218"/>
      <c r="P61" s="218"/>
      <c r="Q61" s="218"/>
      <c r="R61" s="218"/>
      <c r="S61" s="218"/>
      <c r="T61" s="297"/>
      <c r="U61"/>
      <c r="V61" s="43"/>
      <c r="W61" s="43"/>
      <c r="X61" s="43"/>
      <c r="Y61" s="43"/>
      <c r="Z61" s="43"/>
      <c r="AA61" s="43"/>
      <c r="AB61" s="43"/>
      <c r="AC61" s="43"/>
    </row>
    <row r="62" spans="1:29" s="43" customFormat="1" ht="23.25" customHeight="1">
      <c r="A62" s="302"/>
      <c r="B62" s="303" t="s">
        <v>492</v>
      </c>
      <c r="C62" s="304">
        <f t="shared" ref="C62" si="9">SUM(D62:H62)</f>
        <v>525621390</v>
      </c>
      <c r="D62" s="304">
        <f>SUM(D63:D64)</f>
        <v>525621390</v>
      </c>
      <c r="E62" s="304">
        <f>SUM(E63:E64)</f>
        <v>0</v>
      </c>
      <c r="F62" s="304">
        <f>SUM(F63:F64)</f>
        <v>0</v>
      </c>
      <c r="G62" s="304">
        <f>SUM(G63:G64)</f>
        <v>0</v>
      </c>
      <c r="H62" s="304">
        <f>SUM(H63:H64)</f>
        <v>0</v>
      </c>
      <c r="I62" s="304">
        <f t="shared" ref="I62:I64" si="10">SUM(J62:M62)</f>
        <v>0</v>
      </c>
      <c r="J62" s="304">
        <f t="shared" ref="J62:S62" si="11">SUM(J63:J64)</f>
        <v>0</v>
      </c>
      <c r="K62" s="304">
        <f t="shared" si="11"/>
        <v>0</v>
      </c>
      <c r="L62" s="304">
        <f t="shared" si="11"/>
        <v>0</v>
      </c>
      <c r="M62" s="304">
        <f t="shared" si="11"/>
        <v>0</v>
      </c>
      <c r="N62" s="304">
        <f t="shared" si="11"/>
        <v>0</v>
      </c>
      <c r="O62" s="304">
        <f t="shared" si="11"/>
        <v>0</v>
      </c>
      <c r="P62" s="304">
        <f t="shared" si="11"/>
        <v>0</v>
      </c>
      <c r="Q62" s="304">
        <f t="shared" si="11"/>
        <v>0</v>
      </c>
      <c r="R62" s="304">
        <f t="shared" si="11"/>
        <v>0</v>
      </c>
      <c r="S62" s="304">
        <f t="shared" si="11"/>
        <v>0</v>
      </c>
      <c r="T62" s="44"/>
      <c r="U62" s="44"/>
      <c r="V62" s="44"/>
      <c r="W62" s="44"/>
      <c r="X62" s="44"/>
      <c r="Y62" s="44"/>
      <c r="Z62" s="44"/>
      <c r="AA62" s="44"/>
      <c r="AB62" s="44"/>
      <c r="AC62" s="44"/>
    </row>
    <row r="63" spans="1:29" ht="23.25" customHeight="1">
      <c r="A63" s="48" t="s">
        <v>5</v>
      </c>
      <c r="B63" s="257" t="s">
        <v>88</v>
      </c>
      <c r="C63" s="255">
        <f t="shared" ref="C63:C64" si="12">SUM(D63:H63)-N63+O63</f>
        <v>231843131</v>
      </c>
      <c r="D63" s="216">
        <v>231843131</v>
      </c>
      <c r="E63" s="217"/>
      <c r="F63" s="217"/>
      <c r="G63" s="217"/>
      <c r="H63" s="217"/>
      <c r="I63" s="255">
        <f t="shared" si="10"/>
        <v>0</v>
      </c>
      <c r="J63" s="218"/>
      <c r="K63" s="218"/>
      <c r="L63" s="218"/>
      <c r="M63" s="218"/>
      <c r="N63" s="255">
        <f t="shared" ref="N63:N64" si="13">SUM(O63:S63)</f>
        <v>0</v>
      </c>
      <c r="O63" s="216"/>
      <c r="P63" s="218"/>
      <c r="Q63" s="218"/>
      <c r="R63" s="218"/>
      <c r="S63" s="218"/>
      <c r="T63" s="296" t="s">
        <v>828</v>
      </c>
    </row>
    <row r="64" spans="1:29" ht="23.25" customHeight="1">
      <c r="A64" s="48" t="s">
        <v>8</v>
      </c>
      <c r="B64" s="257" t="s">
        <v>493</v>
      </c>
      <c r="C64" s="255">
        <f t="shared" si="12"/>
        <v>293778259</v>
      </c>
      <c r="D64" s="216">
        <v>293778259</v>
      </c>
      <c r="E64" s="217"/>
      <c r="F64" s="217"/>
      <c r="G64" s="217"/>
      <c r="H64" s="217"/>
      <c r="I64" s="255">
        <f t="shared" si="10"/>
        <v>0</v>
      </c>
      <c r="J64" s="218"/>
      <c r="K64" s="218"/>
      <c r="L64" s="218"/>
      <c r="M64" s="218"/>
      <c r="N64" s="255">
        <f t="shared" si="13"/>
        <v>0</v>
      </c>
      <c r="O64" s="216"/>
      <c r="P64" s="218"/>
      <c r="Q64" s="218"/>
      <c r="R64" s="218"/>
      <c r="S64" s="218"/>
      <c r="T64" s="44">
        <v>90993</v>
      </c>
    </row>
    <row r="67" spans="1:32" s="104" customFormat="1" ht="15" customHeight="1">
      <c r="A67" s="125"/>
      <c r="B67" s="10" t="s">
        <v>0</v>
      </c>
      <c r="C67" s="105"/>
      <c r="D67" s="105"/>
      <c r="E67" s="105"/>
      <c r="F67" s="195"/>
      <c r="G67" s="195"/>
      <c r="H67" s="196"/>
      <c r="I67" s="196"/>
      <c r="J67" s="196"/>
      <c r="K67" s="196"/>
      <c r="L67" s="196"/>
      <c r="M67" s="196"/>
      <c r="N67" s="196"/>
      <c r="O67" s="196"/>
      <c r="P67" s="196"/>
      <c r="Q67" s="196"/>
      <c r="R67" s="196"/>
      <c r="S67" s="196"/>
      <c r="T67" s="196"/>
      <c r="U67" s="196"/>
      <c r="V67" s="196"/>
      <c r="W67" s="196"/>
      <c r="X67" s="196"/>
      <c r="Y67" s="105"/>
      <c r="Z67" s="105"/>
      <c r="AA67" s="105"/>
      <c r="AB67" s="105"/>
      <c r="AC67" s="105"/>
      <c r="AD67" s="105"/>
      <c r="AE67" s="105"/>
      <c r="AF67" s="105"/>
    </row>
    <row r="68" spans="1:32" s="104" customFormat="1" ht="15" customHeight="1">
      <c r="A68" s="125"/>
      <c r="B68" s="10"/>
      <c r="C68" s="105"/>
      <c r="D68" s="105"/>
      <c r="E68" s="105"/>
      <c r="F68" s="195"/>
      <c r="G68" s="195"/>
      <c r="H68" s="196"/>
      <c r="I68" s="196"/>
      <c r="J68" s="196"/>
      <c r="K68" s="196"/>
      <c r="L68" s="196"/>
      <c r="M68" s="196"/>
      <c r="N68" s="196"/>
      <c r="O68" s="196"/>
      <c r="P68" s="196"/>
      <c r="Q68" s="196"/>
      <c r="R68" s="196"/>
      <c r="S68" s="196"/>
      <c r="T68" s="196"/>
      <c r="U68" s="44"/>
      <c r="V68" s="196"/>
      <c r="W68" s="196"/>
      <c r="X68" s="196"/>
      <c r="Y68" s="105"/>
      <c r="Z68" s="105"/>
      <c r="AA68" s="105"/>
      <c r="AB68" s="105"/>
      <c r="AC68" s="105"/>
      <c r="AD68" s="105"/>
      <c r="AE68" s="105"/>
      <c r="AF68" s="105"/>
    </row>
    <row r="69" spans="1:32" s="104" customFormat="1" ht="15" customHeight="1">
      <c r="A69" s="125"/>
      <c r="B69" s="10" t="s">
        <v>1</v>
      </c>
      <c r="C69" s="105"/>
      <c r="D69" s="105"/>
      <c r="E69" s="105"/>
      <c r="F69" s="195"/>
      <c r="G69" s="195"/>
      <c r="H69" s="196"/>
      <c r="I69" s="196"/>
      <c r="J69" s="196"/>
      <c r="K69" s="196"/>
      <c r="L69" s="196"/>
      <c r="M69" s="196"/>
      <c r="N69" s="196"/>
      <c r="O69" s="196"/>
      <c r="P69" s="196"/>
      <c r="Q69" s="196"/>
      <c r="R69" s="196"/>
      <c r="S69" s="196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105"/>
      <c r="AE69" s="105"/>
      <c r="AF69" s="105"/>
    </row>
    <row r="71" spans="1:32">
      <c r="B71" s="50" t="s">
        <v>494</v>
      </c>
    </row>
    <row r="72" spans="1:32">
      <c r="C72" s="350">
        <f>+[8]Balance!$C$45</f>
        <v>8108166331</v>
      </c>
    </row>
  </sheetData>
  <sheetProtection password="CACA" sheet="1" objects="1" scenarios="1"/>
  <mergeCells count="17">
    <mergeCell ref="O6:S6"/>
    <mergeCell ref="A1:Q1"/>
    <mergeCell ref="R1:S1"/>
    <mergeCell ref="A4:A7"/>
    <mergeCell ref="B4:B7"/>
    <mergeCell ref="C4:C7"/>
    <mergeCell ref="D4:H6"/>
    <mergeCell ref="I4:M4"/>
    <mergeCell ref="N4:S4"/>
    <mergeCell ref="I5:I7"/>
    <mergeCell ref="J5:J7"/>
    <mergeCell ref="K5:K7"/>
    <mergeCell ref="L5:L7"/>
    <mergeCell ref="M5:M7"/>
    <mergeCell ref="N5:S5"/>
    <mergeCell ref="P3:Q3"/>
    <mergeCell ref="N6:N7"/>
  </mergeCells>
  <conditionalFormatting sqref="C9">
    <cfRule type="cellIs" dxfId="256" priority="3" operator="notEqual">
      <formula>$C$72</formula>
    </cfRule>
  </conditionalFormatting>
  <printOptions horizontalCentered="1"/>
  <pageMargins left="0.15748031496062992" right="0.15748031496062992" top="0.23622047244094491" bottom="0.15748031496062992" header="0.26" footer="0.31496062992125984"/>
  <pageSetup paperSize="9" scale="35" orientation="landscape" r:id="rId1"/>
  <ignoredErrors>
    <ignoredError sqref="I62 E63:H63 T62 Q62:S62 T65 C65:O66 O62 Q65:S66" unlockedFormula="1"/>
    <ignoredError sqref="N62" formulaRange="1" unlockedFormula="1"/>
    <ignoredError sqref="N61 N63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>
    <pageSetUpPr fitToPage="1"/>
  </sheetPr>
  <dimension ref="A1:G94"/>
  <sheetViews>
    <sheetView view="pageBreakPreview" zoomScale="70" zoomScaleNormal="100" zoomScaleSheetLayoutView="70" workbookViewId="0">
      <pane xSplit="2" ySplit="4" topLeftCell="C5" activePane="bottomRight" state="frozen"/>
      <selection activeCell="B88" sqref="B88"/>
      <selection pane="topRight" activeCell="B88" sqref="B88"/>
      <selection pane="bottomLeft" activeCell="B88" sqref="B88"/>
      <selection pane="bottomRight" activeCell="C31" sqref="C31"/>
    </sheetView>
  </sheetViews>
  <sheetFormatPr defaultColWidth="9.140625" defaultRowHeight="15" customHeight="1"/>
  <cols>
    <col min="1" max="1" width="4.85546875" style="557" customWidth="1"/>
    <col min="2" max="2" width="80.28515625" style="105" customWidth="1"/>
    <col min="3" max="5" width="16.85546875" style="105" customWidth="1"/>
    <col min="6" max="6" width="7.42578125" style="105" customWidth="1"/>
    <col min="7" max="7" width="13.42578125" style="105" bestFit="1" customWidth="1"/>
    <col min="8" max="10" width="7.42578125" style="105" customWidth="1"/>
    <col min="11" max="16384" width="9.140625" style="105"/>
  </cols>
  <sheetData>
    <row r="1" spans="1:7" ht="18.75" customHeight="1">
      <c r="A1" s="522"/>
      <c r="B1" s="523" t="s">
        <v>695</v>
      </c>
      <c r="D1" s="423" t="s">
        <v>584</v>
      </c>
      <c r="E1" s="423"/>
    </row>
    <row r="2" spans="1:7" ht="7.5" customHeight="1">
      <c r="A2" s="522"/>
      <c r="B2" s="523"/>
      <c r="C2" s="423"/>
      <c r="D2" s="423"/>
      <c r="E2" s="423"/>
    </row>
    <row r="3" spans="1:7" ht="15" customHeight="1">
      <c r="A3" s="524"/>
      <c r="B3" s="521" t="str">
        <f>+'Asset quality'!B3</f>
        <v>АК "Алокабанк"</v>
      </c>
      <c r="C3" s="508">
        <f>+'Asset quality'!P3</f>
        <v>44196</v>
      </c>
      <c r="D3" s="508"/>
      <c r="E3" s="424" t="s">
        <v>3</v>
      </c>
    </row>
    <row r="4" spans="1:7" ht="42" customHeight="1">
      <c r="A4" s="252" t="s">
        <v>83</v>
      </c>
      <c r="B4" s="252" t="s">
        <v>2</v>
      </c>
      <c r="C4" s="252" t="s">
        <v>305</v>
      </c>
      <c r="D4" s="252" t="s">
        <v>306</v>
      </c>
      <c r="E4" s="252" t="s">
        <v>307</v>
      </c>
    </row>
    <row r="5" spans="1:7" ht="15" customHeight="1">
      <c r="A5" s="525" t="s">
        <v>329</v>
      </c>
      <c r="B5" s="526" t="s">
        <v>4</v>
      </c>
      <c r="C5" s="252"/>
      <c r="D5" s="252"/>
      <c r="E5" s="252"/>
    </row>
    <row r="6" spans="1:7" ht="15" customHeight="1">
      <c r="A6" s="527" t="s">
        <v>330</v>
      </c>
      <c r="B6" s="528" t="s">
        <v>318</v>
      </c>
      <c r="C6" s="398">
        <f>+D6+E6</f>
        <v>2418508</v>
      </c>
      <c r="D6" s="397">
        <v>2418508</v>
      </c>
      <c r="E6" s="397">
        <v>0</v>
      </c>
    </row>
    <row r="7" spans="1:7" ht="15" customHeight="1">
      <c r="A7" s="527" t="s">
        <v>331</v>
      </c>
      <c r="B7" s="528" t="s">
        <v>319</v>
      </c>
      <c r="C7" s="398">
        <f t="shared" ref="C7:C15" si="0">+D7+E7</f>
        <v>19392899</v>
      </c>
      <c r="D7" s="397">
        <v>12283332</v>
      </c>
      <c r="E7" s="397">
        <v>7109567</v>
      </c>
    </row>
    <row r="8" spans="1:7" ht="15" customHeight="1">
      <c r="A8" s="527" t="s">
        <v>332</v>
      </c>
      <c r="B8" s="528" t="s">
        <v>320</v>
      </c>
      <c r="C8" s="398">
        <f t="shared" si="0"/>
        <v>0</v>
      </c>
      <c r="D8" s="397">
        <v>0</v>
      </c>
      <c r="E8" s="397">
        <v>0</v>
      </c>
    </row>
    <row r="9" spans="1:7" ht="15" customHeight="1">
      <c r="A9" s="527" t="s">
        <v>333</v>
      </c>
      <c r="B9" s="529" t="s">
        <v>321</v>
      </c>
      <c r="C9" s="398">
        <f t="shared" si="0"/>
        <v>0</v>
      </c>
      <c r="D9" s="397">
        <v>0</v>
      </c>
      <c r="E9" s="397">
        <v>0</v>
      </c>
    </row>
    <row r="10" spans="1:7" ht="15" customHeight="1">
      <c r="A10" s="527" t="s">
        <v>334</v>
      </c>
      <c r="B10" s="528" t="s">
        <v>322</v>
      </c>
      <c r="C10" s="398">
        <f t="shared" si="0"/>
        <v>27019780</v>
      </c>
      <c r="D10" s="397">
        <v>27019780</v>
      </c>
      <c r="E10" s="397">
        <v>0</v>
      </c>
    </row>
    <row r="11" spans="1:7" ht="15" customHeight="1">
      <c r="A11" s="530" t="s">
        <v>335</v>
      </c>
      <c r="B11" s="531" t="s">
        <v>323</v>
      </c>
      <c r="C11" s="398">
        <f t="shared" si="0"/>
        <v>0</v>
      </c>
      <c r="D11" s="397">
        <v>0</v>
      </c>
      <c r="E11" s="397">
        <v>0</v>
      </c>
    </row>
    <row r="12" spans="1:7" ht="15" customHeight="1">
      <c r="A12" s="530" t="s">
        <v>336</v>
      </c>
      <c r="B12" s="531" t="s">
        <v>324</v>
      </c>
      <c r="C12" s="398">
        <f t="shared" si="0"/>
        <v>14390522</v>
      </c>
      <c r="D12" s="397">
        <v>6017575</v>
      </c>
      <c r="E12" s="397">
        <v>8372947</v>
      </c>
    </row>
    <row r="13" spans="1:7" ht="15" customHeight="1">
      <c r="A13" s="530" t="s">
        <v>337</v>
      </c>
      <c r="B13" s="532" t="s">
        <v>325</v>
      </c>
      <c r="C13" s="398">
        <f t="shared" si="0"/>
        <v>809668910</v>
      </c>
      <c r="D13" s="397">
        <v>668826621</v>
      </c>
      <c r="E13" s="397">
        <v>140842289</v>
      </c>
    </row>
    <row r="14" spans="1:7" ht="15" customHeight="1">
      <c r="A14" s="533" t="s">
        <v>338</v>
      </c>
      <c r="B14" s="534" t="s">
        <v>326</v>
      </c>
      <c r="C14" s="398">
        <f t="shared" si="0"/>
        <v>0</v>
      </c>
      <c r="D14" s="397">
        <v>0</v>
      </c>
      <c r="E14" s="397">
        <v>0</v>
      </c>
    </row>
    <row r="15" spans="1:7" ht="15" customHeight="1">
      <c r="A15" s="533" t="s">
        <v>339</v>
      </c>
      <c r="B15" s="535" t="s">
        <v>327</v>
      </c>
      <c r="C15" s="398">
        <f t="shared" si="0"/>
        <v>312983639</v>
      </c>
      <c r="D15" s="397">
        <v>245717672</v>
      </c>
      <c r="E15" s="397">
        <v>67265967</v>
      </c>
    </row>
    <row r="16" spans="1:7" ht="15" customHeight="1">
      <c r="A16" s="525" t="s">
        <v>340</v>
      </c>
      <c r="B16" s="536" t="s">
        <v>328</v>
      </c>
      <c r="C16" s="266">
        <f>SUM(C6:C15)</f>
        <v>1185874258</v>
      </c>
      <c r="D16" s="266">
        <f>SUM(D6:D15)</f>
        <v>962283488</v>
      </c>
      <c r="E16" s="266">
        <f>SUM(E6:E15)</f>
        <v>223590770</v>
      </c>
      <c r="G16" s="537">
        <f>+'Analysis of Interest'!C42</f>
        <v>1185874258</v>
      </c>
    </row>
    <row r="17" spans="1:7" ht="7.5" customHeight="1">
      <c r="A17" s="525"/>
      <c r="B17" s="526"/>
      <c r="C17" s="425"/>
      <c r="D17" s="425"/>
      <c r="E17" s="425"/>
    </row>
    <row r="18" spans="1:7" ht="15" customHeight="1">
      <c r="A18" s="525" t="s">
        <v>341</v>
      </c>
      <c r="B18" s="526" t="s">
        <v>375</v>
      </c>
      <c r="C18" s="252"/>
      <c r="D18" s="252"/>
      <c r="E18" s="252"/>
    </row>
    <row r="19" spans="1:7" ht="15" customHeight="1">
      <c r="A19" s="518" t="s">
        <v>342</v>
      </c>
      <c r="B19" s="538" t="s">
        <v>308</v>
      </c>
      <c r="C19" s="398">
        <f t="shared" ref="C19:C22" si="1">+D19+E19</f>
        <v>2744263</v>
      </c>
      <c r="D19" s="397">
        <v>2568266</v>
      </c>
      <c r="E19" s="397">
        <v>175997</v>
      </c>
    </row>
    <row r="20" spans="1:7" ht="15" customHeight="1">
      <c r="A20" s="518" t="s">
        <v>343</v>
      </c>
      <c r="B20" s="538" t="s">
        <v>309</v>
      </c>
      <c r="C20" s="398">
        <f t="shared" si="1"/>
        <v>405792705</v>
      </c>
      <c r="D20" s="397">
        <v>361158722</v>
      </c>
      <c r="E20" s="397">
        <v>44633983</v>
      </c>
    </row>
    <row r="21" spans="1:7" ht="15" customHeight="1">
      <c r="A21" s="518" t="s">
        <v>344</v>
      </c>
      <c r="B21" s="538" t="s">
        <v>310</v>
      </c>
      <c r="C21" s="398">
        <f t="shared" si="1"/>
        <v>0</v>
      </c>
      <c r="D21" s="397">
        <v>0</v>
      </c>
      <c r="E21" s="397">
        <v>0</v>
      </c>
    </row>
    <row r="22" spans="1:7" ht="15" customHeight="1">
      <c r="A22" s="518" t="s">
        <v>345</v>
      </c>
      <c r="B22" s="538" t="s">
        <v>311</v>
      </c>
      <c r="C22" s="398">
        <f t="shared" si="1"/>
        <v>55867688</v>
      </c>
      <c r="D22" s="397">
        <v>35681600</v>
      </c>
      <c r="E22" s="397">
        <v>20186088</v>
      </c>
    </row>
    <row r="23" spans="1:7" s="10" customFormat="1" ht="15" customHeight="1">
      <c r="A23" s="539" t="s">
        <v>346</v>
      </c>
      <c r="B23" s="540" t="s">
        <v>312</v>
      </c>
      <c r="C23" s="266">
        <f>SUM(C19:C22)</f>
        <v>464404656</v>
      </c>
      <c r="D23" s="266">
        <f>SUM(D19:D22)</f>
        <v>399408588</v>
      </c>
      <c r="E23" s="266">
        <f>SUM(E19:E22)</f>
        <v>64996068</v>
      </c>
    </row>
    <row r="24" spans="1:7" ht="15.75" customHeight="1">
      <c r="A24" s="518" t="s">
        <v>347</v>
      </c>
      <c r="B24" s="538" t="s">
        <v>313</v>
      </c>
      <c r="C24" s="398">
        <f t="shared" ref="C24:C26" si="2">+D24+E24</f>
        <v>25140419</v>
      </c>
      <c r="D24" s="397">
        <v>5905209</v>
      </c>
      <c r="E24" s="397">
        <v>19235210</v>
      </c>
    </row>
    <row r="25" spans="1:7" ht="15.75" customHeight="1">
      <c r="A25" s="541" t="s">
        <v>348</v>
      </c>
      <c r="B25" s="542" t="s">
        <v>314</v>
      </c>
      <c r="C25" s="398">
        <f t="shared" si="2"/>
        <v>9175036</v>
      </c>
      <c r="D25" s="397">
        <v>9175036</v>
      </c>
      <c r="E25" s="397">
        <v>0</v>
      </c>
    </row>
    <row r="26" spans="1:7" ht="15.75" customHeight="1">
      <c r="A26" s="541" t="s">
        <v>349</v>
      </c>
      <c r="B26" s="542" t="s">
        <v>315</v>
      </c>
      <c r="C26" s="398">
        <f t="shared" si="2"/>
        <v>320618142</v>
      </c>
      <c r="D26" s="397">
        <v>250227780</v>
      </c>
      <c r="E26" s="397">
        <v>70390362</v>
      </c>
    </row>
    <row r="27" spans="1:7" ht="15" customHeight="1">
      <c r="A27" s="543" t="s">
        <v>350</v>
      </c>
      <c r="B27" s="544" t="s">
        <v>316</v>
      </c>
      <c r="C27" s="266">
        <f>SUM(C24:C26)</f>
        <v>354933597</v>
      </c>
      <c r="D27" s="266">
        <f>SUM(D24:D26)</f>
        <v>265308025</v>
      </c>
      <c r="E27" s="266">
        <f>SUM(E24:E26)</f>
        <v>89625572</v>
      </c>
    </row>
    <row r="28" spans="1:7" ht="15" customHeight="1">
      <c r="A28" s="543" t="s">
        <v>351</v>
      </c>
      <c r="B28" s="544" t="s">
        <v>317</v>
      </c>
      <c r="C28" s="266">
        <f>C27+C23</f>
        <v>819338253</v>
      </c>
      <c r="D28" s="266">
        <f>D27+D23</f>
        <v>664716613</v>
      </c>
      <c r="E28" s="266">
        <f>E27+E23</f>
        <v>154621640</v>
      </c>
      <c r="G28" s="537">
        <f>+'Analysis of Interest'!C72</f>
        <v>819338253</v>
      </c>
    </row>
    <row r="29" spans="1:7" ht="7.5" customHeight="1">
      <c r="A29" s="518"/>
      <c r="B29" s="538"/>
      <c r="C29" s="425"/>
      <c r="D29" s="425"/>
      <c r="E29" s="425"/>
    </row>
    <row r="30" spans="1:7" s="547" customFormat="1" ht="25.5">
      <c r="A30" s="545" t="s">
        <v>225</v>
      </c>
      <c r="B30" s="546" t="s">
        <v>763</v>
      </c>
      <c r="C30" s="266">
        <f>C16-C28</f>
        <v>366536005</v>
      </c>
      <c r="D30" s="266">
        <f>D16-D28</f>
        <v>297566875</v>
      </c>
      <c r="E30" s="266">
        <f>E16-E28</f>
        <v>68969130</v>
      </c>
    </row>
    <row r="31" spans="1:7" ht="15.75" customHeight="1">
      <c r="A31" s="541" t="s">
        <v>352</v>
      </c>
      <c r="B31" s="548" t="s">
        <v>376</v>
      </c>
      <c r="C31" s="398">
        <f t="shared" ref="C31:C34" si="3">+D31+E31</f>
        <v>12410997</v>
      </c>
      <c r="D31" s="397">
        <v>12056751</v>
      </c>
      <c r="E31" s="397">
        <v>354246</v>
      </c>
    </row>
    <row r="32" spans="1:7" ht="15.75" customHeight="1">
      <c r="A32" s="541" t="s">
        <v>757</v>
      </c>
      <c r="B32" s="542" t="s">
        <v>758</v>
      </c>
      <c r="C32" s="398">
        <f t="shared" si="3"/>
        <v>0</v>
      </c>
      <c r="D32" s="397">
        <v>0</v>
      </c>
      <c r="E32" s="397">
        <v>0</v>
      </c>
    </row>
    <row r="33" spans="1:5" ht="15.75" customHeight="1">
      <c r="A33" s="541" t="s">
        <v>759</v>
      </c>
      <c r="B33" s="542" t="s">
        <v>760</v>
      </c>
      <c r="C33" s="398">
        <f t="shared" si="3"/>
        <v>0</v>
      </c>
      <c r="D33" s="397">
        <v>0</v>
      </c>
      <c r="E33" s="397">
        <v>0</v>
      </c>
    </row>
    <row r="34" spans="1:5" ht="15.75" customHeight="1">
      <c r="A34" s="541" t="s">
        <v>761</v>
      </c>
      <c r="B34" s="542" t="s">
        <v>762</v>
      </c>
      <c r="C34" s="398">
        <f t="shared" si="3"/>
        <v>1375976</v>
      </c>
      <c r="D34" s="397">
        <v>1375976</v>
      </c>
      <c r="E34" s="397">
        <v>0</v>
      </c>
    </row>
    <row r="35" spans="1:5" ht="25.5">
      <c r="A35" s="545" t="s">
        <v>827</v>
      </c>
      <c r="B35" s="546" t="s">
        <v>377</v>
      </c>
      <c r="C35" s="266">
        <f>C30-C31-C32-C33-C34</f>
        <v>352749032</v>
      </c>
      <c r="D35" s="266">
        <f>D30-D31-D32-D33-D34</f>
        <v>284134148</v>
      </c>
      <c r="E35" s="266">
        <f>E30-E31-E32-E33-E34</f>
        <v>68614884</v>
      </c>
    </row>
    <row r="36" spans="1:5" ht="7.5" customHeight="1">
      <c r="A36" s="518"/>
      <c r="B36" s="538"/>
      <c r="C36" s="425"/>
      <c r="D36" s="425"/>
      <c r="E36" s="425"/>
    </row>
    <row r="37" spans="1:5" ht="15" customHeight="1">
      <c r="A37" s="539" t="s">
        <v>353</v>
      </c>
      <c r="B37" s="540" t="s">
        <v>378</v>
      </c>
      <c r="C37" s="252"/>
      <c r="D37" s="252"/>
      <c r="E37" s="252"/>
    </row>
    <row r="38" spans="1:5" ht="15" customHeight="1">
      <c r="A38" s="518" t="s">
        <v>354</v>
      </c>
      <c r="B38" s="538" t="s">
        <v>379</v>
      </c>
      <c r="C38" s="398">
        <f t="shared" ref="C38:C42" si="4">+D38+E38</f>
        <v>193159885</v>
      </c>
      <c r="D38" s="397">
        <v>185807323</v>
      </c>
      <c r="E38" s="397">
        <v>7352562</v>
      </c>
    </row>
    <row r="39" spans="1:5" ht="15" customHeight="1">
      <c r="A39" s="518" t="s">
        <v>355</v>
      </c>
      <c r="B39" s="538" t="s">
        <v>380</v>
      </c>
      <c r="C39" s="398">
        <f t="shared" si="4"/>
        <v>69811238</v>
      </c>
      <c r="D39" s="397">
        <v>6140505</v>
      </c>
      <c r="E39" s="397">
        <v>63670733</v>
      </c>
    </row>
    <row r="40" spans="1:5" ht="15" customHeight="1">
      <c r="A40" s="518" t="s">
        <v>356</v>
      </c>
      <c r="B40" s="538" t="s">
        <v>381</v>
      </c>
      <c r="C40" s="398">
        <f t="shared" si="4"/>
        <v>0</v>
      </c>
      <c r="D40" s="397">
        <v>0</v>
      </c>
      <c r="E40" s="397">
        <v>0</v>
      </c>
    </row>
    <row r="41" spans="1:5" ht="15" customHeight="1">
      <c r="A41" s="518" t="s">
        <v>357</v>
      </c>
      <c r="B41" s="538" t="s">
        <v>382</v>
      </c>
      <c r="C41" s="398">
        <f t="shared" si="4"/>
        <v>3427132</v>
      </c>
      <c r="D41" s="397">
        <v>3427132</v>
      </c>
      <c r="E41" s="397">
        <v>0</v>
      </c>
    </row>
    <row r="42" spans="1:5" ht="15" customHeight="1">
      <c r="A42" s="518" t="s">
        <v>358</v>
      </c>
      <c r="B42" s="538" t="s">
        <v>383</v>
      </c>
      <c r="C42" s="398">
        <f t="shared" si="4"/>
        <v>28083485</v>
      </c>
      <c r="D42" s="397">
        <v>23997307</v>
      </c>
      <c r="E42" s="397">
        <v>4086178</v>
      </c>
    </row>
    <row r="43" spans="1:5" ht="15" customHeight="1">
      <c r="A43" s="539" t="s">
        <v>359</v>
      </c>
      <c r="B43" s="540" t="s">
        <v>384</v>
      </c>
      <c r="C43" s="266">
        <f>SUM(C38:C42)</f>
        <v>294481740</v>
      </c>
      <c r="D43" s="266">
        <f>SUM(D38:D42)</f>
        <v>219372267</v>
      </c>
      <c r="E43" s="266">
        <f>SUM(E38:E42)</f>
        <v>75109473</v>
      </c>
    </row>
    <row r="44" spans="1:5" ht="7.5" customHeight="1">
      <c r="A44" s="518"/>
      <c r="B44" s="538"/>
      <c r="C44" s="425"/>
      <c r="D44" s="425"/>
      <c r="E44" s="425"/>
    </row>
    <row r="45" spans="1:5" ht="15" customHeight="1">
      <c r="A45" s="539" t="s">
        <v>360</v>
      </c>
      <c r="B45" s="540" t="s">
        <v>385</v>
      </c>
      <c r="C45" s="252"/>
      <c r="D45" s="252"/>
      <c r="E45" s="252"/>
    </row>
    <row r="46" spans="1:5" ht="15" customHeight="1">
      <c r="A46" s="518" t="s">
        <v>354</v>
      </c>
      <c r="B46" s="538" t="s">
        <v>386</v>
      </c>
      <c r="C46" s="398">
        <f t="shared" ref="C46:C50" si="5">+D46+E46</f>
        <v>96701899</v>
      </c>
      <c r="D46" s="397">
        <v>94182515</v>
      </c>
      <c r="E46" s="397">
        <v>2519384</v>
      </c>
    </row>
    <row r="47" spans="1:5" ht="15" customHeight="1">
      <c r="A47" s="518" t="s">
        <v>355</v>
      </c>
      <c r="B47" s="538" t="s">
        <v>387</v>
      </c>
      <c r="C47" s="398">
        <f t="shared" si="5"/>
        <v>71056726</v>
      </c>
      <c r="D47" s="397">
        <v>10123936</v>
      </c>
      <c r="E47" s="397">
        <v>60932790</v>
      </c>
    </row>
    <row r="48" spans="1:5" ht="15" customHeight="1">
      <c r="A48" s="518" t="s">
        <v>344</v>
      </c>
      <c r="B48" s="549" t="s">
        <v>636</v>
      </c>
      <c r="C48" s="398">
        <f t="shared" si="5"/>
        <v>2212040</v>
      </c>
      <c r="D48" s="397">
        <v>2212040</v>
      </c>
      <c r="E48" s="397">
        <v>0</v>
      </c>
    </row>
    <row r="49" spans="1:5" ht="15" customHeight="1">
      <c r="A49" s="518" t="s">
        <v>357</v>
      </c>
      <c r="B49" s="538" t="s">
        <v>388</v>
      </c>
      <c r="C49" s="398">
        <f t="shared" si="5"/>
        <v>0</v>
      </c>
      <c r="D49" s="397">
        <v>0</v>
      </c>
      <c r="E49" s="397">
        <v>0</v>
      </c>
    </row>
    <row r="50" spans="1:5" ht="15" customHeight="1">
      <c r="A50" s="518" t="s">
        <v>358</v>
      </c>
      <c r="B50" s="538" t="s">
        <v>389</v>
      </c>
      <c r="C50" s="398">
        <f t="shared" si="5"/>
        <v>84060</v>
      </c>
      <c r="D50" s="397">
        <v>84060</v>
      </c>
      <c r="E50" s="397">
        <v>0</v>
      </c>
    </row>
    <row r="51" spans="1:5" ht="15" customHeight="1">
      <c r="A51" s="539" t="s">
        <v>359</v>
      </c>
      <c r="B51" s="540" t="s">
        <v>390</v>
      </c>
      <c r="C51" s="266">
        <f>SUM(C46:C50)</f>
        <v>170054725</v>
      </c>
      <c r="D51" s="266">
        <f t="shared" ref="D51:E51" si="6">SUM(D46:D50)</f>
        <v>106602551</v>
      </c>
      <c r="E51" s="266">
        <f t="shared" si="6"/>
        <v>63452174</v>
      </c>
    </row>
    <row r="52" spans="1:5" ht="7.5" customHeight="1">
      <c r="A52" s="539"/>
      <c r="B52" s="540"/>
      <c r="C52" s="223"/>
      <c r="D52" s="223"/>
      <c r="E52" s="223"/>
    </row>
    <row r="53" spans="1:5" ht="15" customHeight="1">
      <c r="A53" s="539" t="s">
        <v>361</v>
      </c>
      <c r="B53" s="540" t="s">
        <v>391</v>
      </c>
      <c r="C53" s="266">
        <f>C35+C43-C51</f>
        <v>477176047</v>
      </c>
      <c r="D53" s="266">
        <f t="shared" ref="D53:E53" si="7">D35+D43-D51</f>
        <v>396903864</v>
      </c>
      <c r="E53" s="266">
        <f t="shared" si="7"/>
        <v>80272183</v>
      </c>
    </row>
    <row r="54" spans="1:5" ht="7.5" customHeight="1">
      <c r="A54" s="539"/>
      <c r="B54" s="540"/>
      <c r="C54" s="426"/>
      <c r="D54" s="426"/>
      <c r="E54" s="426"/>
    </row>
    <row r="55" spans="1:5" ht="15" customHeight="1">
      <c r="A55" s="539" t="s">
        <v>362</v>
      </c>
      <c r="B55" s="540" t="s">
        <v>392</v>
      </c>
      <c r="C55" s="252"/>
      <c r="D55" s="252"/>
      <c r="E55" s="252"/>
    </row>
    <row r="56" spans="1:5" ht="15" customHeight="1">
      <c r="A56" s="518" t="s">
        <v>363</v>
      </c>
      <c r="B56" s="538" t="s">
        <v>393</v>
      </c>
      <c r="C56" s="397">
        <v>176293103</v>
      </c>
      <c r="D56" s="397">
        <v>176293103</v>
      </c>
      <c r="E56" s="550"/>
    </row>
    <row r="57" spans="1:5" ht="15" customHeight="1">
      <c r="A57" s="551" t="s">
        <v>684</v>
      </c>
      <c r="B57" s="538" t="s">
        <v>394</v>
      </c>
      <c r="C57" s="397">
        <v>16304105</v>
      </c>
      <c r="D57" s="397">
        <v>16304105</v>
      </c>
      <c r="E57" s="550"/>
    </row>
    <row r="58" spans="1:5" ht="15" customHeight="1">
      <c r="A58" s="518" t="s">
        <v>364</v>
      </c>
      <c r="B58" s="538" t="s">
        <v>395</v>
      </c>
      <c r="C58" s="397">
        <v>20481774</v>
      </c>
      <c r="D58" s="397">
        <v>20481774</v>
      </c>
      <c r="E58" s="550"/>
    </row>
    <row r="59" spans="1:5" ht="15" customHeight="1">
      <c r="A59" s="518" t="s">
        <v>332</v>
      </c>
      <c r="B59" s="538" t="s">
        <v>396</v>
      </c>
      <c r="C59" s="397">
        <v>2052434</v>
      </c>
      <c r="D59" s="397">
        <v>2052434</v>
      </c>
      <c r="E59" s="550"/>
    </row>
    <row r="60" spans="1:5" ht="15" customHeight="1">
      <c r="A60" s="518" t="s">
        <v>365</v>
      </c>
      <c r="B60" s="538" t="s">
        <v>397</v>
      </c>
      <c r="C60" s="397">
        <v>14616303</v>
      </c>
      <c r="D60" s="397">
        <v>14616303</v>
      </c>
      <c r="E60" s="550"/>
    </row>
    <row r="61" spans="1:5" ht="15" customHeight="1">
      <c r="A61" s="518" t="s">
        <v>366</v>
      </c>
      <c r="B61" s="538" t="s">
        <v>398</v>
      </c>
      <c r="C61" s="397">
        <v>23795977</v>
      </c>
      <c r="D61" s="397">
        <v>23795977</v>
      </c>
      <c r="E61" s="550"/>
    </row>
    <row r="62" spans="1:5" ht="15" customHeight="1">
      <c r="A62" s="518" t="s">
        <v>367</v>
      </c>
      <c r="B62" s="538" t="s">
        <v>399</v>
      </c>
      <c r="C62" s="397">
        <v>20612652</v>
      </c>
      <c r="D62" s="397">
        <v>20612652</v>
      </c>
      <c r="E62" s="550"/>
    </row>
    <row r="63" spans="1:5" ht="15" customHeight="1">
      <c r="A63" s="518" t="s">
        <v>368</v>
      </c>
      <c r="B63" s="549" t="s">
        <v>764</v>
      </c>
      <c r="C63" s="397">
        <v>453988</v>
      </c>
      <c r="D63" s="397">
        <v>453988</v>
      </c>
      <c r="E63" s="550"/>
    </row>
    <row r="64" spans="1:5" ht="15" customHeight="1">
      <c r="A64" s="518" t="s">
        <v>369</v>
      </c>
      <c r="B64" s="549" t="s">
        <v>765</v>
      </c>
      <c r="C64" s="397">
        <v>3013199</v>
      </c>
      <c r="D64" s="397">
        <v>3013199</v>
      </c>
      <c r="E64" s="550"/>
    </row>
    <row r="65" spans="1:7" ht="15" customHeight="1">
      <c r="A65" s="518" t="s">
        <v>766</v>
      </c>
      <c r="B65" s="549" t="s">
        <v>767</v>
      </c>
      <c r="C65" s="397">
        <v>527076</v>
      </c>
      <c r="D65" s="397">
        <v>527076</v>
      </c>
      <c r="E65" s="550"/>
    </row>
    <row r="66" spans="1:7" ht="15" customHeight="1">
      <c r="A66" s="518" t="s">
        <v>768</v>
      </c>
      <c r="B66" s="549" t="s">
        <v>769</v>
      </c>
      <c r="C66" s="397">
        <v>2646419</v>
      </c>
      <c r="D66" s="397">
        <v>2646419</v>
      </c>
      <c r="E66" s="550"/>
    </row>
    <row r="67" spans="1:7" ht="15" customHeight="1">
      <c r="A67" s="525" t="s">
        <v>770</v>
      </c>
      <c r="B67" s="526" t="s">
        <v>400</v>
      </c>
      <c r="C67" s="266">
        <f>SUM(C56:C66)-C57</f>
        <v>264492925</v>
      </c>
      <c r="D67" s="266">
        <f>SUM(D56:D66)-D57</f>
        <v>264492925</v>
      </c>
      <c r="E67" s="550"/>
      <c r="G67" s="552"/>
    </row>
    <row r="68" spans="1:7" ht="7.5" customHeight="1">
      <c r="A68" s="527" t="s">
        <v>13</v>
      </c>
      <c r="B68" s="528" t="s">
        <v>13</v>
      </c>
      <c r="C68" s="425"/>
      <c r="D68" s="425"/>
      <c r="E68" s="425"/>
    </row>
    <row r="69" spans="1:7" ht="15" customHeight="1">
      <c r="A69" s="525" t="s">
        <v>512</v>
      </c>
      <c r="B69" s="526" t="s">
        <v>401</v>
      </c>
      <c r="C69" s="266">
        <f>C53-C67</f>
        <v>212683122</v>
      </c>
      <c r="D69" s="266">
        <f>D53-D67</f>
        <v>132410939</v>
      </c>
      <c r="E69" s="266">
        <f>+E53-(C67-D67)</f>
        <v>80272183</v>
      </c>
      <c r="G69" s="552"/>
    </row>
    <row r="70" spans="1:7" ht="15" customHeight="1">
      <c r="A70" s="527" t="s">
        <v>371</v>
      </c>
      <c r="B70" s="528" t="s">
        <v>402</v>
      </c>
      <c r="C70" s="398">
        <f>+D70</f>
        <v>42683122</v>
      </c>
      <c r="D70" s="397">
        <v>42683122</v>
      </c>
      <c r="E70" s="550"/>
    </row>
    <row r="71" spans="1:7" ht="7.5" customHeight="1">
      <c r="A71" s="527"/>
      <c r="B71" s="528"/>
      <c r="C71" s="223"/>
      <c r="D71" s="223"/>
      <c r="E71" s="223"/>
    </row>
    <row r="72" spans="1:7" ht="15" customHeight="1">
      <c r="A72" s="525" t="s">
        <v>370</v>
      </c>
      <c r="B72" s="526" t="s">
        <v>403</v>
      </c>
      <c r="C72" s="266">
        <f>C69-C70</f>
        <v>170000000</v>
      </c>
      <c r="D72" s="266">
        <f>D69-D70</f>
        <v>89727817</v>
      </c>
      <c r="E72" s="266">
        <f>E69-E70</f>
        <v>80272183</v>
      </c>
      <c r="G72" s="552"/>
    </row>
    <row r="73" spans="1:7" ht="15" customHeight="1">
      <c r="A73" s="527" t="s">
        <v>373</v>
      </c>
      <c r="B73" s="528" t="s">
        <v>404</v>
      </c>
      <c r="C73" s="398">
        <f t="shared" ref="C73:C74" si="8">+D73+E73</f>
        <v>0</v>
      </c>
      <c r="D73" s="397">
        <v>0</v>
      </c>
      <c r="E73" s="397">
        <v>0</v>
      </c>
    </row>
    <row r="74" spans="1:7" ht="15" customHeight="1">
      <c r="A74" s="527" t="s">
        <v>374</v>
      </c>
      <c r="B74" s="528" t="s">
        <v>405</v>
      </c>
      <c r="C74" s="398">
        <f t="shared" si="8"/>
        <v>0</v>
      </c>
      <c r="D74" s="397">
        <v>0</v>
      </c>
      <c r="E74" s="397">
        <v>0</v>
      </c>
    </row>
    <row r="75" spans="1:7" ht="7.5" customHeight="1">
      <c r="A75" s="525"/>
      <c r="B75" s="526"/>
      <c r="C75" s="425"/>
      <c r="D75" s="425"/>
      <c r="E75" s="425"/>
    </row>
    <row r="76" spans="1:7" ht="15" customHeight="1">
      <c r="A76" s="525" t="s">
        <v>372</v>
      </c>
      <c r="B76" s="526" t="s">
        <v>406</v>
      </c>
      <c r="C76" s="266">
        <f>C72+C73+C74</f>
        <v>170000000</v>
      </c>
      <c r="D76" s="266">
        <f>D72+D73+D74</f>
        <v>89727817</v>
      </c>
      <c r="E76" s="266">
        <f>E72+E73+E74</f>
        <v>80272183</v>
      </c>
      <c r="G76" s="552"/>
    </row>
    <row r="77" spans="1:7" ht="15" customHeight="1">
      <c r="A77" s="105"/>
    </row>
    <row r="78" spans="1:7" ht="15" customHeight="1">
      <c r="A78" s="105"/>
      <c r="B78" s="10" t="s">
        <v>0</v>
      </c>
    </row>
    <row r="79" spans="1:7" ht="15" customHeight="1">
      <c r="A79" s="105"/>
      <c r="B79" s="10"/>
    </row>
    <row r="80" spans="1:7" ht="15" customHeight="1">
      <c r="A80" s="105"/>
      <c r="B80" s="10" t="s">
        <v>1</v>
      </c>
    </row>
    <row r="81" spans="1:1" ht="15" customHeight="1">
      <c r="A81" s="105"/>
    </row>
    <row r="82" spans="1:1" ht="15" customHeight="1">
      <c r="A82" s="105"/>
    </row>
    <row r="83" spans="1:1" ht="15" customHeight="1">
      <c r="A83" s="105"/>
    </row>
    <row r="84" spans="1:1" ht="15" customHeight="1">
      <c r="A84" s="105"/>
    </row>
    <row r="85" spans="1:1" ht="15" customHeight="1">
      <c r="A85" s="105"/>
    </row>
    <row r="86" spans="1:1" ht="15" customHeight="1">
      <c r="A86" s="553"/>
    </row>
    <row r="87" spans="1:1" ht="15" customHeight="1">
      <c r="A87" s="553"/>
    </row>
    <row r="89" spans="1:1" ht="15" customHeight="1">
      <c r="A89" s="554"/>
    </row>
    <row r="90" spans="1:1" ht="15" customHeight="1">
      <c r="A90" s="554"/>
    </row>
    <row r="91" spans="1:1" ht="15" customHeight="1">
      <c r="A91" s="554"/>
    </row>
    <row r="93" spans="1:1" ht="15" customHeight="1">
      <c r="A93" s="555"/>
    </row>
    <row r="94" spans="1:1" ht="15" customHeight="1">
      <c r="A94" s="556"/>
    </row>
  </sheetData>
  <sheetProtection password="CACA" sheet="1" objects="1" scenarios="1"/>
  <phoneticPr fontId="17" type="noConversion"/>
  <conditionalFormatting sqref="G16">
    <cfRule type="cellIs" dxfId="255" priority="42" operator="notEqual">
      <formula>$G$16</formula>
    </cfRule>
  </conditionalFormatting>
  <conditionalFormatting sqref="C16">
    <cfRule type="cellIs" dxfId="254" priority="2" operator="notEqual">
      <formula>$G$16</formula>
    </cfRule>
  </conditionalFormatting>
  <conditionalFormatting sqref="C28">
    <cfRule type="cellIs" dxfId="253" priority="1" operator="notEqual">
      <formula>$G$28</formula>
    </cfRule>
  </conditionalFormatting>
  <dataValidations count="4">
    <dataValidation type="whole" operator="notEqual" allowBlank="1" showErrorMessage="1" error="Если увас есть желание не видеть больше_x000a_это сообщение, вводите целые числа!" sqref="C73:F74 F18 F45 F56:F66 C56:D66 C31:F34 C38:F42 F30 C24:F26 F70 C46:F50 C6:E15 F5:F15 C19:F22 C70:D70" xr:uid="{00000000-0002-0000-0100-000000000000}">
      <formula1>-1E+21</formula1>
    </dataValidation>
    <dataValidation allowBlank="1" showInputMessage="1" showErrorMessage="1" prompt="Значение должно равняться итого процентных расходов (см. следующую страницу)" sqref="C28:F28" xr:uid="{00000000-0002-0000-0100-000001000000}"/>
    <dataValidation allowBlank="1" showInputMessage="1" showErrorMessage="1" prompt="Значение должно равняться итого процентных доходов (см.следующий лист)" sqref="C16:F16" xr:uid="{00000000-0002-0000-0100-000002000000}"/>
    <dataValidation type="whole" operator="greaterThanOrEqual" allowBlank="1" showInputMessage="1" showErrorMessage="1" sqref="E70 E56:E66" xr:uid="{00000000-0002-0000-0100-000003000000}">
      <formula1>0</formula1>
    </dataValidation>
  </dataValidations>
  <printOptions horizontalCentered="1"/>
  <pageMargins left="0.23622047244094491" right="0.23622047244094491" top="0.43307086614173229" bottom="0.35433070866141736" header="0.51181102362204722" footer="0.39370078740157483"/>
  <pageSetup paperSize="9" scale="68" orientation="portrait" r:id="rId1"/>
  <headerFooter alignWithMargins="0"/>
  <ignoredErrors>
    <ignoredError sqref="C6:C22 C84:C90" unlockedFormula="1"/>
    <ignoredError sqref="C23:C35 C38:C55 C67:C69 C71:C83" formula="1" unlockedFormula="1"/>
    <ignoredError sqref="C36:C37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>
    <pageSetUpPr fitToPage="1"/>
  </sheetPr>
  <dimension ref="A1:T98"/>
  <sheetViews>
    <sheetView view="pageBreakPreview" zoomScale="70" zoomScaleSheetLayoutView="70" workbookViewId="0">
      <pane xSplit="2" ySplit="4" topLeftCell="C5" activePane="bottomRight" state="frozen"/>
      <selection activeCell="M64" sqref="M64"/>
      <selection pane="topRight" activeCell="M64" sqref="M64"/>
      <selection pane="bottomLeft" activeCell="M64" sqref="M64"/>
      <selection pane="bottomRight" activeCell="K42" sqref="K42"/>
    </sheetView>
  </sheetViews>
  <sheetFormatPr defaultColWidth="9.140625" defaultRowHeight="12.75"/>
  <cols>
    <col min="1" max="1" width="7.140625" style="56" customWidth="1"/>
    <col min="2" max="2" width="83.28515625" style="1" bestFit="1" customWidth="1"/>
    <col min="3" max="3" width="24" style="1" customWidth="1"/>
    <col min="4" max="10" width="6.42578125" style="1" customWidth="1"/>
    <col min="11" max="16384" width="9.140625" style="1"/>
  </cols>
  <sheetData>
    <row r="1" spans="1:20" s="21" customFormat="1" ht="21" customHeight="1">
      <c r="A1" s="9"/>
      <c r="B1" s="254" t="s">
        <v>14</v>
      </c>
      <c r="C1" s="69" t="s">
        <v>637</v>
      </c>
      <c r="D1" s="33"/>
      <c r="E1" s="33"/>
      <c r="F1" s="33"/>
      <c r="G1" s="33"/>
      <c r="H1" s="33"/>
    </row>
    <row r="2" spans="1:20" ht="9" customHeight="1">
      <c r="A2" s="40"/>
      <c r="B2" s="7"/>
      <c r="C2" s="69"/>
      <c r="D2" s="3"/>
      <c r="E2" s="3"/>
      <c r="F2" s="3"/>
      <c r="G2" s="3"/>
      <c r="H2" s="3"/>
    </row>
    <row r="3" spans="1:20" ht="15">
      <c r="A3" s="51"/>
      <c r="B3" s="206" t="str">
        <f>+'Asset quality'!B3</f>
        <v>АК "Алокабанк"</v>
      </c>
      <c r="C3" s="207">
        <f>+'Asset quality'!P3</f>
        <v>44196</v>
      </c>
      <c r="D3" s="3"/>
      <c r="E3" s="3"/>
      <c r="F3" s="3"/>
      <c r="G3" s="3"/>
      <c r="H3" s="3"/>
    </row>
    <row r="4" spans="1:20" ht="24" customHeight="1">
      <c r="A4" s="252" t="s">
        <v>83</v>
      </c>
      <c r="B4" s="252" t="s">
        <v>15</v>
      </c>
      <c r="C4" s="252" t="s">
        <v>3</v>
      </c>
      <c r="D4" s="3"/>
      <c r="E4" s="3"/>
      <c r="F4" s="3"/>
      <c r="G4" s="3"/>
      <c r="H4" s="3"/>
    </row>
    <row r="5" spans="1:20">
      <c r="A5" s="52" t="s">
        <v>495</v>
      </c>
      <c r="B5" s="243" t="s">
        <v>519</v>
      </c>
      <c r="C5" s="252"/>
      <c r="D5" s="3"/>
      <c r="E5" s="3"/>
      <c r="F5" s="3"/>
      <c r="G5" s="3"/>
      <c r="H5" s="3"/>
    </row>
    <row r="6" spans="1:20">
      <c r="A6" s="53" t="s">
        <v>496</v>
      </c>
      <c r="B6" s="244" t="s">
        <v>520</v>
      </c>
      <c r="C6" s="12">
        <v>0</v>
      </c>
      <c r="D6" s="3"/>
      <c r="E6" s="3"/>
      <c r="F6" s="3"/>
      <c r="G6" s="3"/>
      <c r="H6" s="3"/>
    </row>
    <row r="7" spans="1:20">
      <c r="A7" s="53" t="s">
        <v>497</v>
      </c>
      <c r="B7" s="244" t="s">
        <v>521</v>
      </c>
      <c r="C7" s="12">
        <v>0</v>
      </c>
      <c r="D7" s="3"/>
      <c r="E7" s="3"/>
      <c r="F7" s="3"/>
      <c r="G7" s="3"/>
      <c r="H7" s="3"/>
    </row>
    <row r="8" spans="1:20">
      <c r="A8" s="53" t="s">
        <v>498</v>
      </c>
      <c r="B8" s="244" t="s">
        <v>522</v>
      </c>
      <c r="C8" s="12">
        <v>0</v>
      </c>
      <c r="D8" s="3"/>
      <c r="E8" s="3"/>
      <c r="F8" s="3"/>
      <c r="G8" s="3"/>
      <c r="H8" s="3"/>
    </row>
    <row r="9" spans="1:20">
      <c r="A9" s="53" t="s">
        <v>499</v>
      </c>
      <c r="B9" s="244" t="s">
        <v>523</v>
      </c>
      <c r="C9" s="12">
        <v>198040984</v>
      </c>
      <c r="D9" s="3"/>
      <c r="E9" s="3"/>
      <c r="F9" s="3"/>
      <c r="G9" s="3"/>
      <c r="H9" s="3"/>
    </row>
    <row r="10" spans="1:20">
      <c r="A10" s="53" t="s">
        <v>500</v>
      </c>
      <c r="B10" s="244" t="s">
        <v>524</v>
      </c>
      <c r="C10" s="12">
        <v>75953823</v>
      </c>
      <c r="D10" s="3"/>
      <c r="E10" s="3"/>
      <c r="F10" s="3"/>
      <c r="G10" s="3"/>
      <c r="H10" s="3"/>
    </row>
    <row r="11" spans="1:20">
      <c r="A11" s="53" t="s">
        <v>501</v>
      </c>
      <c r="B11" s="244" t="s">
        <v>525</v>
      </c>
      <c r="C11" s="12">
        <v>70472407</v>
      </c>
      <c r="D11" s="3"/>
      <c r="E11" s="3"/>
      <c r="F11" s="3"/>
      <c r="G11" s="3"/>
      <c r="H11" s="3"/>
    </row>
    <row r="12" spans="1:20">
      <c r="A12" s="53" t="s">
        <v>502</v>
      </c>
      <c r="B12" s="244" t="s">
        <v>526</v>
      </c>
      <c r="C12" s="12">
        <v>445373824</v>
      </c>
      <c r="D12" s="3"/>
      <c r="E12" s="3"/>
      <c r="F12" s="3"/>
      <c r="G12" s="3"/>
      <c r="H12" s="3"/>
    </row>
    <row r="13" spans="1:20">
      <c r="A13" s="53" t="s">
        <v>503</v>
      </c>
      <c r="B13" s="244" t="s">
        <v>527</v>
      </c>
      <c r="C13" s="12">
        <v>19827873</v>
      </c>
      <c r="D13" s="3"/>
      <c r="E13" s="3"/>
      <c r="F13" s="3"/>
      <c r="G13" s="3"/>
      <c r="H13" s="3"/>
    </row>
    <row r="14" spans="1:20">
      <c r="A14" s="52" t="s">
        <v>504</v>
      </c>
      <c r="B14" s="243" t="s">
        <v>528</v>
      </c>
      <c r="C14" s="8">
        <f>SUM(C6:C13)</f>
        <v>809668911</v>
      </c>
      <c r="D14" s="3"/>
      <c r="E14" s="3"/>
      <c r="F14" s="3"/>
      <c r="G14" s="3"/>
      <c r="H14" s="3"/>
    </row>
    <row r="15" spans="1:20" s="2" customFormat="1" ht="7.5" customHeight="1">
      <c r="A15" s="42"/>
      <c r="B15" s="88"/>
      <c r="C15" s="6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0">
      <c r="A16" s="52" t="s">
        <v>505</v>
      </c>
      <c r="B16" s="243" t="s">
        <v>529</v>
      </c>
      <c r="C16" s="252"/>
      <c r="D16" s="3"/>
      <c r="E16" s="3"/>
      <c r="F16" s="3"/>
      <c r="G16" s="3"/>
      <c r="H16" s="3"/>
    </row>
    <row r="17" spans="1:20">
      <c r="A17" s="54" t="s">
        <v>496</v>
      </c>
      <c r="B17" s="245" t="s">
        <v>530</v>
      </c>
      <c r="C17" s="12">
        <v>2418508</v>
      </c>
      <c r="D17" s="3"/>
      <c r="E17" s="3"/>
      <c r="F17" s="3"/>
      <c r="G17" s="3"/>
      <c r="H17" s="3"/>
    </row>
    <row r="18" spans="1:20">
      <c r="A18" s="54" t="s">
        <v>497</v>
      </c>
      <c r="B18" s="245" t="s">
        <v>226</v>
      </c>
      <c r="C18" s="12">
        <v>19392899</v>
      </c>
      <c r="D18" s="3"/>
      <c r="E18" s="3"/>
      <c r="F18" s="3"/>
      <c r="G18" s="3"/>
      <c r="H18" s="3"/>
    </row>
    <row r="19" spans="1:20">
      <c r="A19" s="52"/>
      <c r="B19" s="243" t="s">
        <v>531</v>
      </c>
      <c r="C19" s="8">
        <f>SUM(C17:C18)</f>
        <v>21811407</v>
      </c>
      <c r="D19" s="3"/>
      <c r="E19" s="3"/>
      <c r="F19" s="3"/>
      <c r="G19" s="3"/>
      <c r="H19" s="3"/>
    </row>
    <row r="20" spans="1:20" s="2" customFormat="1" ht="7.5" customHeight="1">
      <c r="A20" s="42"/>
      <c r="B20" s="88"/>
      <c r="C20" s="6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 spans="1:20">
      <c r="A21" s="52" t="s">
        <v>506</v>
      </c>
      <c r="B21" s="243" t="s">
        <v>532</v>
      </c>
      <c r="C21" s="252"/>
      <c r="D21" s="3"/>
      <c r="E21" s="3"/>
      <c r="F21" s="3"/>
      <c r="G21" s="3"/>
      <c r="H21" s="3"/>
    </row>
    <row r="22" spans="1:20">
      <c r="A22" s="53" t="s">
        <v>496</v>
      </c>
      <c r="B22" s="245" t="s">
        <v>533</v>
      </c>
      <c r="C22" s="12">
        <v>9710959</v>
      </c>
      <c r="D22" s="3"/>
      <c r="E22" s="3"/>
      <c r="F22" s="3"/>
      <c r="G22" s="3"/>
      <c r="H22" s="3"/>
    </row>
    <row r="23" spans="1:20">
      <c r="A23" s="53" t="s">
        <v>497</v>
      </c>
      <c r="B23" s="245" t="s">
        <v>534</v>
      </c>
      <c r="C23" s="12">
        <v>17308821</v>
      </c>
      <c r="D23" s="3"/>
      <c r="E23" s="3"/>
      <c r="F23" s="3"/>
      <c r="G23" s="3"/>
      <c r="H23" s="3"/>
    </row>
    <row r="24" spans="1:20">
      <c r="A24" s="53" t="s">
        <v>498</v>
      </c>
      <c r="B24" s="245" t="s">
        <v>535</v>
      </c>
      <c r="C24" s="12">
        <v>0</v>
      </c>
      <c r="D24" s="3"/>
      <c r="E24" s="3"/>
      <c r="F24" s="3"/>
      <c r="G24" s="3"/>
      <c r="H24" s="3"/>
    </row>
    <row r="25" spans="1:20">
      <c r="A25" s="53" t="s">
        <v>499</v>
      </c>
      <c r="B25" s="245" t="s">
        <v>536</v>
      </c>
      <c r="C25" s="12">
        <v>0</v>
      </c>
      <c r="D25" s="3"/>
      <c r="E25" s="3"/>
      <c r="F25" s="3"/>
      <c r="G25" s="3"/>
      <c r="H25" s="3"/>
    </row>
    <row r="26" spans="1:20">
      <c r="A26" s="53" t="s">
        <v>500</v>
      </c>
      <c r="B26" s="245" t="s">
        <v>537</v>
      </c>
      <c r="C26" s="12">
        <v>0</v>
      </c>
      <c r="D26" s="3"/>
      <c r="E26" s="3"/>
      <c r="F26" s="3"/>
      <c r="G26" s="3"/>
      <c r="H26" s="3"/>
    </row>
    <row r="27" spans="1:20">
      <c r="A27" s="53" t="s">
        <v>501</v>
      </c>
      <c r="B27" s="245" t="s">
        <v>86</v>
      </c>
      <c r="C27" s="12">
        <v>0</v>
      </c>
      <c r="D27" s="3"/>
      <c r="E27" s="3"/>
      <c r="F27" s="3"/>
      <c r="G27" s="3"/>
      <c r="H27" s="3"/>
    </row>
    <row r="28" spans="1:20">
      <c r="A28" s="53" t="s">
        <v>502</v>
      </c>
      <c r="B28" s="243" t="s">
        <v>538</v>
      </c>
      <c r="C28" s="8">
        <f>SUM(C22:C27)</f>
        <v>27019780</v>
      </c>
      <c r="D28" s="3"/>
      <c r="E28" s="3"/>
      <c r="F28" s="3"/>
      <c r="G28" s="3"/>
      <c r="H28" s="3"/>
    </row>
    <row r="29" spans="1:20" s="2" customFormat="1" ht="7.5" customHeight="1">
      <c r="A29" s="42"/>
      <c r="B29" s="88"/>
      <c r="C29" s="6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 spans="1:20">
      <c r="A30" s="52" t="s">
        <v>507</v>
      </c>
      <c r="B30" s="243" t="s">
        <v>539</v>
      </c>
      <c r="C30" s="252"/>
      <c r="D30" s="3"/>
      <c r="E30" s="3"/>
      <c r="F30" s="3"/>
      <c r="G30" s="3"/>
      <c r="H30" s="3"/>
    </row>
    <row r="31" spans="1:20">
      <c r="A31" s="53" t="s">
        <v>496</v>
      </c>
      <c r="B31" s="244" t="s">
        <v>540</v>
      </c>
      <c r="C31" s="12">
        <v>0</v>
      </c>
      <c r="D31" s="3"/>
      <c r="E31" s="3"/>
      <c r="F31" s="3"/>
      <c r="G31" s="3"/>
      <c r="H31" s="3"/>
    </row>
    <row r="32" spans="1:20">
      <c r="A32" s="53" t="s">
        <v>497</v>
      </c>
      <c r="B32" s="244" t="s">
        <v>534</v>
      </c>
      <c r="C32" s="12">
        <v>0</v>
      </c>
      <c r="D32" s="3"/>
      <c r="E32" s="3"/>
      <c r="F32" s="3"/>
      <c r="G32" s="3"/>
      <c r="H32" s="3"/>
    </row>
    <row r="33" spans="1:20">
      <c r="A33" s="53" t="s">
        <v>498</v>
      </c>
      <c r="B33" s="244" t="s">
        <v>541</v>
      </c>
      <c r="C33" s="12">
        <v>0</v>
      </c>
      <c r="D33" s="3"/>
      <c r="E33" s="3"/>
      <c r="F33" s="3"/>
      <c r="G33" s="3"/>
      <c r="H33" s="3"/>
    </row>
    <row r="34" spans="1:20">
      <c r="A34" s="53" t="s">
        <v>499</v>
      </c>
      <c r="B34" s="244" t="s">
        <v>536</v>
      </c>
      <c r="C34" s="12">
        <v>0</v>
      </c>
      <c r="D34" s="3"/>
      <c r="E34" s="3"/>
      <c r="F34" s="3"/>
      <c r="G34" s="3"/>
      <c r="H34" s="3"/>
    </row>
    <row r="35" spans="1:20">
      <c r="A35" s="53" t="s">
        <v>500</v>
      </c>
      <c r="B35" s="244" t="s">
        <v>86</v>
      </c>
      <c r="C35" s="12">
        <v>0</v>
      </c>
      <c r="D35" s="3"/>
      <c r="E35" s="3"/>
      <c r="F35" s="3"/>
      <c r="G35" s="3"/>
      <c r="H35" s="3"/>
    </row>
    <row r="36" spans="1:20">
      <c r="A36" s="53" t="s">
        <v>501</v>
      </c>
      <c r="B36" s="243" t="s">
        <v>542</v>
      </c>
      <c r="C36" s="8">
        <f>SUM(C31:C35)</f>
        <v>0</v>
      </c>
      <c r="D36" s="3"/>
      <c r="E36" s="3"/>
      <c r="F36" s="3"/>
      <c r="G36" s="3"/>
      <c r="H36" s="3"/>
    </row>
    <row r="37" spans="1:20" s="2" customFormat="1" ht="7.5" customHeight="1">
      <c r="A37" s="42"/>
      <c r="B37" s="88"/>
      <c r="C37" s="6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 spans="1:20">
      <c r="A38" s="52" t="s">
        <v>508</v>
      </c>
      <c r="B38" s="243" t="s">
        <v>543</v>
      </c>
      <c r="C38" s="252"/>
      <c r="D38" s="3"/>
      <c r="E38" s="3"/>
      <c r="F38" s="3"/>
      <c r="G38" s="3"/>
      <c r="H38" s="3"/>
    </row>
    <row r="39" spans="1:20">
      <c r="A39" s="53" t="s">
        <v>496</v>
      </c>
      <c r="B39" s="246" t="s">
        <v>544</v>
      </c>
      <c r="C39" s="12">
        <v>0</v>
      </c>
      <c r="D39" s="3"/>
      <c r="E39" s="3"/>
      <c r="F39" s="3"/>
      <c r="G39" s="3"/>
      <c r="H39" s="3"/>
    </row>
    <row r="40" spans="1:20">
      <c r="A40" s="53" t="s">
        <v>497</v>
      </c>
      <c r="B40" s="246" t="s">
        <v>327</v>
      </c>
      <c r="C40" s="12">
        <v>327374160</v>
      </c>
      <c r="D40" s="3"/>
      <c r="E40" s="3"/>
      <c r="F40" s="3"/>
      <c r="G40" s="3"/>
      <c r="H40" s="3"/>
    </row>
    <row r="41" spans="1:20" s="2" customFormat="1" ht="7.5" customHeight="1">
      <c r="A41" s="42"/>
      <c r="B41" s="88"/>
      <c r="C41" s="6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 spans="1:20">
      <c r="A42" s="52" t="s">
        <v>361</v>
      </c>
      <c r="B42" s="243" t="s">
        <v>545</v>
      </c>
      <c r="C42" s="8">
        <f>C14+C19+C28+C36+C39+C40</f>
        <v>1185874258</v>
      </c>
      <c r="D42" s="3"/>
      <c r="E42" s="3"/>
      <c r="F42" s="3"/>
      <c r="G42" s="3"/>
      <c r="H42" s="3"/>
    </row>
    <row r="43" spans="1:20" s="2" customFormat="1" ht="7.5" customHeight="1">
      <c r="A43" s="42"/>
      <c r="B43" s="88"/>
      <c r="C43" s="6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 spans="1:20">
      <c r="A44" s="52" t="s">
        <v>362</v>
      </c>
      <c r="B44" s="243" t="s">
        <v>546</v>
      </c>
      <c r="C44" s="252"/>
      <c r="D44" s="3"/>
      <c r="E44" s="3"/>
      <c r="F44" s="3"/>
      <c r="G44" s="3"/>
      <c r="H44" s="3"/>
    </row>
    <row r="45" spans="1:20">
      <c r="A45" s="52" t="s">
        <v>509</v>
      </c>
      <c r="B45" s="243" t="s">
        <v>229</v>
      </c>
      <c r="C45" s="12"/>
      <c r="D45" s="3"/>
      <c r="E45" s="3"/>
      <c r="F45" s="3"/>
      <c r="G45" s="3"/>
      <c r="H45" s="3"/>
    </row>
    <row r="46" spans="1:20">
      <c r="A46" s="53" t="s">
        <v>496</v>
      </c>
      <c r="B46" s="245" t="s">
        <v>163</v>
      </c>
      <c r="C46" s="12">
        <v>1302247</v>
      </c>
      <c r="D46" s="3"/>
      <c r="E46" s="3"/>
      <c r="F46" s="3"/>
      <c r="G46" s="3"/>
      <c r="H46" s="3"/>
    </row>
    <row r="47" spans="1:20">
      <c r="A47" s="53" t="s">
        <v>497</v>
      </c>
      <c r="B47" s="245" t="s">
        <v>164</v>
      </c>
      <c r="C47" s="12">
        <v>4748</v>
      </c>
      <c r="D47" s="3"/>
      <c r="E47" s="3"/>
      <c r="F47" s="3"/>
      <c r="G47" s="3"/>
      <c r="H47" s="3"/>
    </row>
    <row r="48" spans="1:20">
      <c r="A48" s="53" t="s">
        <v>498</v>
      </c>
      <c r="B48" s="245" t="s">
        <v>165</v>
      </c>
      <c r="C48" s="12">
        <v>978499</v>
      </c>
      <c r="D48" s="3"/>
      <c r="E48" s="3"/>
      <c r="F48" s="3"/>
      <c r="G48" s="3"/>
      <c r="H48" s="3"/>
    </row>
    <row r="49" spans="1:20">
      <c r="A49" s="53" t="s">
        <v>499</v>
      </c>
      <c r="B49" s="244" t="s">
        <v>166</v>
      </c>
      <c r="C49" s="12">
        <v>185152</v>
      </c>
      <c r="D49" s="3"/>
      <c r="E49" s="3"/>
      <c r="F49" s="3"/>
      <c r="G49" s="3"/>
      <c r="H49" s="3"/>
    </row>
    <row r="50" spans="1:20">
      <c r="A50" s="53" t="s">
        <v>500</v>
      </c>
      <c r="B50" s="244" t="s">
        <v>547</v>
      </c>
      <c r="C50" s="12">
        <v>214311</v>
      </c>
      <c r="D50" s="3"/>
      <c r="E50" s="3"/>
      <c r="F50" s="3"/>
      <c r="G50" s="3"/>
      <c r="H50" s="3"/>
    </row>
    <row r="51" spans="1:20">
      <c r="A51" s="53" t="s">
        <v>501</v>
      </c>
      <c r="B51" s="244" t="s">
        <v>548</v>
      </c>
      <c r="C51" s="12">
        <v>59304</v>
      </c>
      <c r="D51" s="3"/>
      <c r="E51" s="3"/>
      <c r="F51" s="3"/>
      <c r="G51" s="3"/>
      <c r="H51" s="3"/>
    </row>
    <row r="52" spans="1:20">
      <c r="A52" s="53" t="s">
        <v>502</v>
      </c>
      <c r="B52" s="244" t="s">
        <v>549</v>
      </c>
      <c r="C52" s="8">
        <f>SUM(C46:C51)</f>
        <v>2744261</v>
      </c>
      <c r="D52" s="3"/>
      <c r="E52" s="3"/>
      <c r="F52" s="3"/>
      <c r="G52" s="3"/>
      <c r="H52" s="3"/>
    </row>
    <row r="53" spans="1:20" s="2" customFormat="1" ht="7.5" customHeight="1">
      <c r="A53" s="42"/>
      <c r="B53" s="88"/>
      <c r="C53" s="6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 spans="1:20">
      <c r="A54" s="52" t="s">
        <v>510</v>
      </c>
      <c r="B54" s="243" t="s">
        <v>232</v>
      </c>
      <c r="C54" s="252"/>
      <c r="D54" s="3"/>
      <c r="E54" s="3"/>
      <c r="F54" s="3"/>
      <c r="G54" s="3"/>
      <c r="H54" s="3"/>
    </row>
    <row r="55" spans="1:20">
      <c r="A55" s="53" t="s">
        <v>496</v>
      </c>
      <c r="B55" s="245" t="s">
        <v>163</v>
      </c>
      <c r="C55" s="12">
        <v>158396207</v>
      </c>
      <c r="D55" s="3"/>
      <c r="E55" s="3"/>
      <c r="F55" s="3"/>
      <c r="G55" s="3"/>
      <c r="H55" s="3"/>
    </row>
    <row r="56" spans="1:20">
      <c r="A56" s="53" t="s">
        <v>497</v>
      </c>
      <c r="B56" s="245" t="s">
        <v>164</v>
      </c>
      <c r="C56" s="12">
        <v>40367657</v>
      </c>
      <c r="D56" s="3"/>
      <c r="E56" s="3"/>
      <c r="F56" s="3"/>
      <c r="G56" s="3"/>
      <c r="H56" s="3"/>
    </row>
    <row r="57" spans="1:20">
      <c r="A57" s="53" t="s">
        <v>498</v>
      </c>
      <c r="B57" s="245" t="s">
        <v>165</v>
      </c>
      <c r="C57" s="12">
        <v>38537386</v>
      </c>
      <c r="D57" s="3"/>
      <c r="E57" s="3"/>
      <c r="F57" s="3"/>
      <c r="G57" s="3"/>
      <c r="H57" s="3"/>
    </row>
    <row r="58" spans="1:20">
      <c r="A58" s="53" t="s">
        <v>499</v>
      </c>
      <c r="B58" s="244" t="s">
        <v>166</v>
      </c>
      <c r="C58" s="12">
        <v>3294301</v>
      </c>
      <c r="D58" s="3"/>
      <c r="E58" s="3"/>
      <c r="F58" s="3"/>
      <c r="G58" s="3"/>
      <c r="H58" s="3"/>
    </row>
    <row r="59" spans="1:20">
      <c r="A59" s="53" t="s">
        <v>500</v>
      </c>
      <c r="B59" s="245" t="s">
        <v>547</v>
      </c>
      <c r="C59" s="12">
        <v>110613834</v>
      </c>
      <c r="D59" s="3"/>
      <c r="E59" s="3"/>
      <c r="F59" s="3"/>
      <c r="G59" s="3"/>
      <c r="H59" s="3"/>
    </row>
    <row r="60" spans="1:20">
      <c r="A60" s="53" t="s">
        <v>501</v>
      </c>
      <c r="B60" s="245" t="s">
        <v>548</v>
      </c>
      <c r="C60" s="12">
        <v>54583319</v>
      </c>
      <c r="D60" s="3"/>
      <c r="E60" s="3"/>
      <c r="F60" s="3"/>
      <c r="G60" s="3"/>
      <c r="H60" s="3"/>
    </row>
    <row r="61" spans="1:20" ht="13.5" customHeight="1">
      <c r="A61" s="53" t="s">
        <v>502</v>
      </c>
      <c r="B61" s="245" t="s">
        <v>550</v>
      </c>
      <c r="C61" s="8">
        <f>SUM(C55:C60)</f>
        <v>405792704</v>
      </c>
      <c r="D61" s="3"/>
      <c r="E61" s="3"/>
      <c r="F61" s="3"/>
      <c r="G61" s="3"/>
      <c r="H61" s="3"/>
    </row>
    <row r="62" spans="1:20" s="2" customFormat="1" ht="7.5" customHeight="1">
      <c r="A62" s="42"/>
      <c r="B62" s="88"/>
      <c r="C62" s="6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 spans="1:20">
      <c r="A63" s="52" t="s">
        <v>511</v>
      </c>
      <c r="B63" s="243" t="s">
        <v>551</v>
      </c>
      <c r="C63" s="8">
        <f>C52+C61</f>
        <v>408536965</v>
      </c>
      <c r="D63" s="3"/>
      <c r="E63" s="3"/>
      <c r="F63" s="3"/>
      <c r="G63" s="3"/>
      <c r="H63" s="3"/>
    </row>
    <row r="64" spans="1:20" s="2" customFormat="1" ht="7.5" customHeight="1">
      <c r="A64" s="42"/>
      <c r="B64" s="88"/>
      <c r="C64" s="6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 spans="1:20">
      <c r="A65" s="52" t="s">
        <v>512</v>
      </c>
      <c r="B65" s="243" t="s">
        <v>552</v>
      </c>
      <c r="C65" s="252"/>
      <c r="D65" s="3"/>
      <c r="E65" s="3"/>
      <c r="F65" s="3"/>
      <c r="G65" s="3"/>
      <c r="H65" s="3"/>
    </row>
    <row r="66" spans="1:20">
      <c r="A66" s="54" t="s">
        <v>513</v>
      </c>
      <c r="B66" s="245" t="s">
        <v>553</v>
      </c>
      <c r="C66" s="12">
        <v>4472296</v>
      </c>
      <c r="D66" s="3"/>
      <c r="E66" s="3"/>
      <c r="F66" s="3"/>
      <c r="G66" s="3"/>
      <c r="H66" s="3"/>
    </row>
    <row r="67" spans="1:20">
      <c r="A67" s="54" t="s">
        <v>514</v>
      </c>
      <c r="B67" s="246" t="s">
        <v>313</v>
      </c>
      <c r="C67" s="12">
        <v>25140419</v>
      </c>
      <c r="D67" s="3"/>
      <c r="E67" s="3"/>
      <c r="F67" s="3"/>
      <c r="G67" s="3"/>
      <c r="H67" s="3"/>
    </row>
    <row r="68" spans="1:20">
      <c r="A68" s="55" t="s">
        <v>515</v>
      </c>
      <c r="B68" s="246" t="s">
        <v>314</v>
      </c>
      <c r="C68" s="12">
        <v>9175036</v>
      </c>
      <c r="D68" s="3"/>
      <c r="E68" s="3"/>
      <c r="F68" s="3"/>
      <c r="G68" s="3"/>
      <c r="H68" s="3"/>
    </row>
    <row r="69" spans="1:20">
      <c r="A69" s="54" t="s">
        <v>516</v>
      </c>
      <c r="B69" s="246" t="s">
        <v>315</v>
      </c>
      <c r="C69" s="12">
        <v>372013537</v>
      </c>
      <c r="D69" s="3"/>
      <c r="E69" s="3"/>
      <c r="F69" s="3"/>
      <c r="G69" s="3"/>
      <c r="H69" s="3"/>
    </row>
    <row r="70" spans="1:20">
      <c r="A70" s="52" t="s">
        <v>517</v>
      </c>
      <c r="B70" s="247" t="s">
        <v>554</v>
      </c>
      <c r="C70" s="8">
        <f>SUM(C66:C69)</f>
        <v>410801288</v>
      </c>
      <c r="D70" s="3"/>
      <c r="E70" s="3"/>
      <c r="F70" s="3"/>
      <c r="G70" s="3"/>
      <c r="H70" s="3"/>
    </row>
    <row r="71" spans="1:20" s="2" customFormat="1" ht="7.5" customHeight="1">
      <c r="A71" s="42"/>
      <c r="B71" s="88"/>
      <c r="C71" s="6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 spans="1:20">
      <c r="A72" s="52" t="s">
        <v>518</v>
      </c>
      <c r="B72" s="243" t="s">
        <v>555</v>
      </c>
      <c r="C72" s="8">
        <f>C63+C70</f>
        <v>819338253</v>
      </c>
      <c r="D72" s="3"/>
      <c r="E72" s="3"/>
      <c r="F72" s="3"/>
      <c r="G72" s="3"/>
      <c r="H72" s="3"/>
    </row>
    <row r="73" spans="1:20">
      <c r="D73" s="3"/>
      <c r="E73" s="3"/>
      <c r="F73" s="3"/>
      <c r="G73" s="3"/>
      <c r="H73" s="3"/>
    </row>
    <row r="74" spans="1:20">
      <c r="A74" s="57"/>
      <c r="B74" s="5" t="s">
        <v>0</v>
      </c>
      <c r="D74" s="3"/>
      <c r="E74" s="3"/>
      <c r="F74" s="3"/>
      <c r="G74" s="3"/>
      <c r="H74" s="3"/>
    </row>
    <row r="75" spans="1:20">
      <c r="A75" s="57"/>
      <c r="B75" s="5"/>
      <c r="D75" s="3"/>
      <c r="E75" s="3"/>
      <c r="F75" s="3"/>
      <c r="G75" s="3"/>
      <c r="H75" s="3"/>
    </row>
    <row r="76" spans="1:20">
      <c r="A76" s="57"/>
      <c r="B76" s="5" t="s">
        <v>1</v>
      </c>
      <c r="D76" s="3"/>
      <c r="E76" s="3"/>
      <c r="F76" s="3"/>
      <c r="G76" s="3"/>
      <c r="H76" s="3"/>
    </row>
    <row r="77" spans="1:20">
      <c r="D77" s="3"/>
      <c r="E77" s="3"/>
      <c r="F77" s="3"/>
      <c r="G77" s="3"/>
      <c r="H77" s="3"/>
    </row>
    <row r="78" spans="1:20">
      <c r="A78" s="58"/>
      <c r="D78" s="3"/>
      <c r="E78" s="3"/>
      <c r="F78" s="3"/>
      <c r="G78" s="3"/>
      <c r="H78" s="3"/>
    </row>
    <row r="79" spans="1:20">
      <c r="A79" s="59"/>
      <c r="D79" s="3"/>
      <c r="E79" s="3"/>
      <c r="F79" s="3"/>
      <c r="G79" s="3"/>
      <c r="H79" s="3"/>
    </row>
    <row r="80" spans="1:20">
      <c r="D80" s="3"/>
      <c r="E80" s="3"/>
      <c r="F80" s="3"/>
      <c r="G80" s="3"/>
      <c r="H80" s="3"/>
    </row>
    <row r="81" spans="4:8">
      <c r="D81" s="3"/>
      <c r="E81" s="3"/>
      <c r="F81" s="3"/>
      <c r="G81" s="3"/>
      <c r="H81" s="3"/>
    </row>
    <row r="82" spans="4:8">
      <c r="D82" s="3"/>
      <c r="E82" s="3"/>
      <c r="F82" s="3"/>
      <c r="G82" s="3"/>
      <c r="H82" s="3"/>
    </row>
    <row r="83" spans="4:8">
      <c r="D83" s="3"/>
      <c r="E83" s="3"/>
      <c r="F83" s="3"/>
      <c r="G83" s="3"/>
      <c r="H83" s="3"/>
    </row>
    <row r="84" spans="4:8">
      <c r="D84" s="3"/>
      <c r="E84" s="3"/>
      <c r="F84" s="3"/>
      <c r="G84" s="3"/>
      <c r="H84" s="3"/>
    </row>
    <row r="85" spans="4:8">
      <c r="D85" s="3"/>
      <c r="E85" s="3"/>
      <c r="F85" s="3"/>
      <c r="G85" s="3"/>
      <c r="H85" s="3"/>
    </row>
    <row r="86" spans="4:8">
      <c r="D86" s="3"/>
      <c r="E86" s="3"/>
      <c r="F86" s="3"/>
      <c r="G86" s="3"/>
      <c r="H86" s="3"/>
    </row>
    <row r="87" spans="4:8">
      <c r="D87" s="3"/>
      <c r="E87" s="3"/>
      <c r="F87" s="3"/>
      <c r="G87" s="3"/>
      <c r="H87" s="3"/>
    </row>
    <row r="88" spans="4:8">
      <c r="D88" s="3"/>
      <c r="E88" s="3"/>
      <c r="F88" s="3"/>
      <c r="G88" s="3"/>
      <c r="H88" s="3"/>
    </row>
    <row r="89" spans="4:8">
      <c r="D89" s="3"/>
      <c r="E89" s="3"/>
      <c r="F89" s="3"/>
      <c r="G89" s="3"/>
      <c r="H89" s="3"/>
    </row>
    <row r="90" spans="4:8">
      <c r="D90" s="3"/>
      <c r="E90" s="3"/>
      <c r="F90" s="3"/>
      <c r="G90" s="3"/>
      <c r="H90" s="3"/>
    </row>
    <row r="91" spans="4:8">
      <c r="D91" s="3"/>
      <c r="E91" s="3"/>
      <c r="F91" s="3"/>
      <c r="G91" s="3"/>
      <c r="H91" s="3"/>
    </row>
    <row r="92" spans="4:8">
      <c r="D92" s="3"/>
      <c r="E92" s="3"/>
      <c r="F92" s="3"/>
      <c r="G92" s="3"/>
      <c r="H92" s="3"/>
    </row>
    <row r="93" spans="4:8">
      <c r="D93" s="3"/>
      <c r="E93" s="3"/>
      <c r="F93" s="3"/>
      <c r="G93" s="3"/>
      <c r="H93" s="3"/>
    </row>
    <row r="94" spans="4:8">
      <c r="D94" s="3"/>
      <c r="E94" s="3"/>
      <c r="F94" s="3"/>
      <c r="G94" s="3"/>
      <c r="H94" s="3"/>
    </row>
    <row r="95" spans="4:8">
      <c r="D95" s="3"/>
      <c r="E95" s="3"/>
      <c r="F95" s="3"/>
      <c r="G95" s="3"/>
      <c r="H95" s="3"/>
    </row>
    <row r="96" spans="4:8">
      <c r="D96" s="3"/>
      <c r="E96" s="3"/>
      <c r="F96" s="3"/>
      <c r="G96" s="3"/>
      <c r="H96" s="3"/>
    </row>
    <row r="97" spans="4:8">
      <c r="D97" s="3"/>
      <c r="E97" s="3"/>
      <c r="F97" s="3"/>
      <c r="G97" s="3"/>
      <c r="H97" s="3"/>
    </row>
    <row r="98" spans="4:8">
      <c r="D98" s="3"/>
      <c r="E98" s="3"/>
      <c r="F98" s="3"/>
      <c r="G98" s="3"/>
      <c r="H98" s="3"/>
    </row>
  </sheetData>
  <sheetProtection password="CACA" sheet="1" objects="1" scenarios="1"/>
  <phoneticPr fontId="17" type="noConversion"/>
  <dataValidations count="1">
    <dataValidation type="whole" operator="notEqual" allowBlank="1" showErrorMessage="1" error="Если увас есть желание не видеть больше_x000a_это сообщение, вводите целые числа!" sqref="C66:C69 C55:C60 C17:C18 C22:C27 C31:C35 C39:C40 C46:C51 C6:C13" xr:uid="{00000000-0002-0000-0200-000000000000}">
      <formula1>-1E+21</formula1>
    </dataValidation>
  </dataValidations>
  <printOptions horizontalCentered="1" verticalCentered="1"/>
  <pageMargins left="0.19685039370078741" right="0.27559055118110237" top="0.39370078740157483" bottom="0.35433070866141736" header="0.51181102362204722" footer="0.51181102362204722"/>
  <pageSetup paperSize="9" scale="86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6"/>
  <dimension ref="A1:I28"/>
  <sheetViews>
    <sheetView view="pageBreakPreview" zoomScale="70" zoomScaleNormal="100" zoomScaleSheetLayoutView="70" workbookViewId="0">
      <selection activeCell="C30" sqref="C30"/>
    </sheetView>
  </sheetViews>
  <sheetFormatPr defaultColWidth="9.140625" defaultRowHeight="12.75"/>
  <cols>
    <col min="1" max="1" width="5.85546875" style="617" customWidth="1"/>
    <col min="2" max="2" width="89.42578125" style="104" customWidth="1"/>
    <col min="3" max="3" width="27.42578125" style="104" customWidth="1"/>
    <col min="4" max="4" width="12.85546875" style="104" bestFit="1" customWidth="1"/>
    <col min="5" max="8" width="9.140625" style="104"/>
    <col min="9" max="9" width="10.28515625" style="104" bestFit="1" customWidth="1"/>
    <col min="10" max="16384" width="9.140625" style="104"/>
  </cols>
  <sheetData>
    <row r="1" spans="1:9" ht="15.75">
      <c r="A1" s="603"/>
      <c r="B1" s="603" t="s">
        <v>89</v>
      </c>
      <c r="C1" s="405" t="s">
        <v>691</v>
      </c>
    </row>
    <row r="2" spans="1:9" ht="15.75">
      <c r="A2" s="603"/>
      <c r="B2" s="603"/>
      <c r="C2" s="405"/>
    </row>
    <row r="3" spans="1:9" ht="15.75">
      <c r="A3" s="604"/>
      <c r="B3" s="605" t="str">
        <f>+'Asset quality'!B3</f>
        <v>АК "Алокабанк"</v>
      </c>
      <c r="C3" s="606">
        <f>+'Asset quality'!P3</f>
        <v>44196</v>
      </c>
    </row>
    <row r="4" spans="1:9" s="103" customFormat="1" ht="33.75" customHeight="1">
      <c r="A4" s="252" t="s">
        <v>83</v>
      </c>
      <c r="B4" s="252" t="s">
        <v>15</v>
      </c>
      <c r="C4" s="252" t="s">
        <v>3</v>
      </c>
    </row>
    <row r="5" spans="1:9" ht="18.75" customHeight="1">
      <c r="A5" s="607" t="s">
        <v>329</v>
      </c>
      <c r="B5" s="608" t="s">
        <v>558</v>
      </c>
      <c r="C5" s="61">
        <v>1396370695</v>
      </c>
    </row>
    <row r="6" spans="1:9" ht="18.75" customHeight="1">
      <c r="A6" s="609" t="s">
        <v>341</v>
      </c>
      <c r="B6" s="610" t="s">
        <v>559</v>
      </c>
      <c r="C6" s="61">
        <v>-132057</v>
      </c>
    </row>
    <row r="7" spans="1:9" ht="18.75" customHeight="1">
      <c r="A7" s="568" t="s">
        <v>556</v>
      </c>
      <c r="B7" s="611" t="s">
        <v>560</v>
      </c>
      <c r="C7" s="223">
        <f>SUM(C5:C6)</f>
        <v>1396238638</v>
      </c>
      <c r="I7" s="612"/>
    </row>
    <row r="8" spans="1:9" ht="18.75" customHeight="1">
      <c r="A8" s="568" t="s">
        <v>353</v>
      </c>
      <c r="B8" s="611" t="s">
        <v>561</v>
      </c>
      <c r="C8" s="223">
        <f>+'Income '!C76</f>
        <v>170000000</v>
      </c>
      <c r="D8" s="600">
        <f>+[8]Balance!$C$76</f>
        <v>170000000</v>
      </c>
    </row>
    <row r="9" spans="1:9" ht="18.75" customHeight="1">
      <c r="A9" s="568" t="s">
        <v>360</v>
      </c>
      <c r="B9" s="610" t="s">
        <v>562</v>
      </c>
      <c r="C9" s="62">
        <v>0</v>
      </c>
      <c r="D9" s="632"/>
      <c r="I9" s="612"/>
    </row>
    <row r="10" spans="1:9" ht="18.75" customHeight="1">
      <c r="A10" s="568" t="s">
        <v>557</v>
      </c>
      <c r="B10" s="611" t="s">
        <v>563</v>
      </c>
      <c r="C10" s="62">
        <v>3793523</v>
      </c>
      <c r="D10" s="632"/>
      <c r="I10" s="600"/>
    </row>
    <row r="11" spans="1:9" ht="18.75" customHeight="1">
      <c r="A11" s="568" t="s">
        <v>362</v>
      </c>
      <c r="B11" s="611" t="s">
        <v>564</v>
      </c>
      <c r="C11" s="63">
        <v>0</v>
      </c>
      <c r="D11" s="632"/>
      <c r="I11" s="612"/>
    </row>
    <row r="12" spans="1:9" ht="18.75" customHeight="1">
      <c r="A12" s="568" t="s">
        <v>512</v>
      </c>
      <c r="B12" s="611" t="s">
        <v>565</v>
      </c>
      <c r="C12" s="62">
        <v>0</v>
      </c>
      <c r="D12" s="632"/>
      <c r="I12" s="612"/>
    </row>
    <row r="13" spans="1:9" ht="18.75" customHeight="1">
      <c r="A13" s="568" t="s">
        <v>370</v>
      </c>
      <c r="B13" s="611" t="s">
        <v>566</v>
      </c>
      <c r="C13" s="62">
        <v>-1502349</v>
      </c>
      <c r="D13" s="632"/>
      <c r="I13" s="612"/>
    </row>
    <row r="14" spans="1:9" ht="18.75" customHeight="1">
      <c r="A14" s="568" t="s">
        <v>372</v>
      </c>
      <c r="B14" s="611" t="s">
        <v>567</v>
      </c>
      <c r="C14" s="223">
        <f>C7+SUM(C8:C10)-SUM(C11:C12)+C13</f>
        <v>1568529812</v>
      </c>
      <c r="D14" s="600">
        <f>+[8]Balance!$C$77</f>
        <v>1568529812</v>
      </c>
      <c r="I14" s="613"/>
    </row>
    <row r="15" spans="1:9">
      <c r="A15" s="567"/>
      <c r="B15" s="105"/>
      <c r="C15" s="105"/>
      <c r="D15" s="632"/>
      <c r="I15" s="612"/>
    </row>
    <row r="16" spans="1:9" ht="12.75" customHeight="1">
      <c r="A16" s="614"/>
      <c r="B16" s="10" t="s">
        <v>0</v>
      </c>
      <c r="D16" s="632"/>
    </row>
    <row r="17" spans="1:4" ht="12.75" customHeight="1">
      <c r="A17" s="614"/>
      <c r="B17" s="10"/>
      <c r="D17" s="632"/>
    </row>
    <row r="18" spans="1:4">
      <c r="A18" s="614"/>
      <c r="B18" s="10" t="s">
        <v>1</v>
      </c>
      <c r="D18" s="632"/>
    </row>
    <row r="19" spans="1:4">
      <c r="D19" s="632"/>
    </row>
    <row r="20" spans="1:4" ht="12.75" customHeight="1">
      <c r="A20" s="615"/>
    </row>
    <row r="21" spans="1:4">
      <c r="A21" s="616"/>
    </row>
    <row r="27" spans="1:4" ht="12.75" customHeight="1"/>
    <row r="28" spans="1:4" ht="12.75" customHeight="1"/>
  </sheetData>
  <sheetProtection password="CACA" sheet="1" objects="1" scenarios="1"/>
  <phoneticPr fontId="17" type="noConversion"/>
  <conditionalFormatting sqref="C8">
    <cfRule type="cellIs" dxfId="252" priority="6" stopIfTrue="1" operator="notEqual">
      <formula>NETINC</formula>
    </cfRule>
  </conditionalFormatting>
  <conditionalFormatting sqref="C14">
    <cfRule type="cellIs" dxfId="251" priority="7" operator="notEqual">
      <formula>$D$14</formula>
    </cfRule>
  </conditionalFormatting>
  <dataValidations xWindow="788" yWindow="553" count="4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C5:C6" xr:uid="{00000000-0002-0000-0300-000000000000}">
      <formula1>-1E+22</formula1>
      <formula2>1E+22</formula2>
    </dataValidation>
    <dataValidation allowBlank="1" showInputMessage="1" showErrorMessage="1" prompt="Значение должно равняться чистой прибыли из отчёта о прибылях и убытках" sqref="C8" xr:uid="{00000000-0002-0000-0300-000001000000}"/>
    <dataValidation operator="greaterThan" allowBlank="1" showInputMessage="1" showErrorMessage="1" sqref="C10" xr:uid="{00000000-0002-0000-0300-000002000000}"/>
    <dataValidation type="whole" operator="greaterThanOrEqual" allowBlank="1" showInputMessage="1" showErrorMessage="1" prompt="Ввести как положительное число или 0." sqref="C11:C12" xr:uid="{00000000-0002-0000-0300-000003000000}">
      <formula1>0</formula1>
    </dataValidation>
  </dataValidations>
  <printOptions horizontalCentered="1"/>
  <pageMargins left="0.27559055118110237" right="0.23622047244094491" top="0.55118110236220474" bottom="0.98425196850393704" header="0.51181102362204722" footer="0.51181102362204722"/>
  <pageSetup paperSize="9" scale="11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22">
    <pageSetUpPr fitToPage="1"/>
  </sheetPr>
  <dimension ref="A1:AH102"/>
  <sheetViews>
    <sheetView view="pageBreakPreview" zoomScale="70" zoomScaleNormal="70" zoomScaleSheetLayoutView="70" workbookViewId="0">
      <selection activeCell="H33" sqref="H33"/>
    </sheetView>
  </sheetViews>
  <sheetFormatPr defaultColWidth="9.140625" defaultRowHeight="12.75"/>
  <cols>
    <col min="1" max="1" width="7" style="104" customWidth="1"/>
    <col min="2" max="2" width="57.5703125" style="104" customWidth="1"/>
    <col min="3" max="3" width="18.42578125" style="104" customWidth="1"/>
    <col min="4" max="4" width="15" style="104" customWidth="1"/>
    <col min="5" max="5" width="13.28515625" style="104" customWidth="1"/>
    <col min="6" max="6" width="15" style="104" customWidth="1"/>
    <col min="7" max="7" width="14.28515625" style="104" customWidth="1"/>
    <col min="8" max="8" width="15.42578125" style="104" customWidth="1"/>
    <col min="9" max="9" width="14.42578125" style="104" customWidth="1"/>
    <col min="10" max="10" width="15.28515625" style="104" customWidth="1"/>
    <col min="11" max="12" width="17" style="104" customWidth="1"/>
    <col min="13" max="13" width="15" style="104" customWidth="1"/>
    <col min="14" max="14" width="13.7109375" style="104" customWidth="1"/>
    <col min="15" max="17" width="16" style="104" customWidth="1"/>
    <col min="18" max="18" width="15.140625" style="104" customWidth="1"/>
    <col min="19" max="21" width="13.7109375" style="104" customWidth="1"/>
    <col min="22" max="23" width="15.28515625" style="104" customWidth="1"/>
    <col min="24" max="25" width="13.7109375" style="104" customWidth="1"/>
    <col min="26" max="16384" width="9.140625" style="104"/>
  </cols>
  <sheetData>
    <row r="1" spans="1:34" s="572" customFormat="1" ht="31.5" customHeight="1">
      <c r="A1" s="569" t="s">
        <v>754</v>
      </c>
      <c r="B1" s="569"/>
      <c r="C1" s="569"/>
      <c r="D1" s="569"/>
      <c r="E1" s="569"/>
      <c r="F1" s="569"/>
      <c r="G1" s="569"/>
      <c r="H1" s="569"/>
      <c r="I1" s="569"/>
      <c r="J1" s="569"/>
      <c r="K1" s="569"/>
      <c r="L1" s="569"/>
      <c r="M1" s="569"/>
      <c r="N1" s="569"/>
      <c r="O1" s="569"/>
      <c r="P1" s="569"/>
      <c r="Q1" s="569"/>
      <c r="R1" s="569"/>
      <c r="S1" s="569"/>
      <c r="T1" s="569"/>
      <c r="U1" s="569"/>
      <c r="V1" s="569"/>
      <c r="W1" s="570" t="s">
        <v>638</v>
      </c>
      <c r="X1" s="571"/>
      <c r="Y1" s="570"/>
    </row>
    <row r="2" spans="1:34" ht="18">
      <c r="A2" s="571"/>
      <c r="B2" s="573"/>
      <c r="C2" s="573"/>
      <c r="D2" s="573"/>
      <c r="E2" s="573"/>
      <c r="F2" s="573"/>
      <c r="G2" s="573"/>
      <c r="H2" s="573"/>
      <c r="I2" s="573"/>
      <c r="J2" s="573"/>
      <c r="K2" s="573"/>
      <c r="L2" s="573"/>
      <c r="M2" s="573"/>
      <c r="N2" s="573"/>
      <c r="O2" s="573"/>
      <c r="P2" s="573"/>
      <c r="Q2" s="573"/>
      <c r="R2" s="573"/>
      <c r="S2" s="573"/>
      <c r="T2" s="573"/>
      <c r="U2" s="573"/>
      <c r="V2" s="573"/>
      <c r="W2" s="571"/>
      <c r="X2" s="573"/>
      <c r="Y2" s="573"/>
    </row>
    <row r="3" spans="1:34" s="105" customFormat="1" ht="15.75">
      <c r="A3" s="507"/>
      <c r="B3" s="574" t="str">
        <f>+'Asset quality'!B3</f>
        <v>АК "Алокабанк"</v>
      </c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665">
        <f>+'Asset quality'!P3</f>
        <v>44196</v>
      </c>
      <c r="U3" s="665"/>
      <c r="V3" s="575"/>
      <c r="W3" s="575"/>
      <c r="X3" s="576" t="s">
        <v>408</v>
      </c>
      <c r="Y3" s="71"/>
    </row>
    <row r="4" spans="1:34" s="577" customFormat="1" ht="32.25" customHeight="1">
      <c r="A4" s="656" t="s">
        <v>83</v>
      </c>
      <c r="B4" s="656" t="s">
        <v>91</v>
      </c>
      <c r="C4" s="659" t="s">
        <v>92</v>
      </c>
      <c r="D4" s="664" t="s">
        <v>306</v>
      </c>
      <c r="E4" s="664"/>
      <c r="F4" s="664" t="s">
        <v>307</v>
      </c>
      <c r="G4" s="664"/>
      <c r="H4" s="663" t="s">
        <v>90</v>
      </c>
      <c r="I4" s="663"/>
      <c r="J4" s="663" t="s">
        <v>90</v>
      </c>
      <c r="K4" s="663"/>
      <c r="L4" s="663"/>
      <c r="M4" s="663"/>
      <c r="N4" s="663"/>
      <c r="O4" s="663"/>
      <c r="P4" s="663"/>
      <c r="Q4" s="663"/>
      <c r="R4" s="663"/>
      <c r="S4" s="663"/>
      <c r="T4" s="663"/>
      <c r="U4" s="663"/>
      <c r="V4" s="663"/>
      <c r="W4" s="663"/>
      <c r="X4" s="663"/>
      <c r="Y4" s="663"/>
    </row>
    <row r="5" spans="1:34" s="577" customFormat="1" ht="18" customHeight="1">
      <c r="A5" s="657"/>
      <c r="B5" s="657"/>
      <c r="C5" s="660"/>
      <c r="D5" s="664" t="s">
        <v>620</v>
      </c>
      <c r="E5" s="664" t="s">
        <v>720</v>
      </c>
      <c r="F5" s="664" t="s">
        <v>620</v>
      </c>
      <c r="G5" s="664" t="s">
        <v>720</v>
      </c>
      <c r="H5" s="662" t="s">
        <v>733</v>
      </c>
      <c r="I5" s="662" t="s">
        <v>748</v>
      </c>
      <c r="J5" s="662" t="s">
        <v>93</v>
      </c>
      <c r="K5" s="662" t="s">
        <v>94</v>
      </c>
      <c r="L5" s="578" t="s">
        <v>90</v>
      </c>
      <c r="M5" s="662" t="s">
        <v>95</v>
      </c>
      <c r="N5" s="662" t="s">
        <v>96</v>
      </c>
      <c r="O5" s="662" t="s">
        <v>97</v>
      </c>
      <c r="P5" s="663" t="s">
        <v>90</v>
      </c>
      <c r="Q5" s="663"/>
      <c r="R5" s="662" t="s">
        <v>98</v>
      </c>
      <c r="S5" s="662" t="s">
        <v>99</v>
      </c>
      <c r="T5" s="662" t="s">
        <v>100</v>
      </c>
      <c r="U5" s="662" t="s">
        <v>101</v>
      </c>
      <c r="V5" s="662" t="s">
        <v>102</v>
      </c>
      <c r="W5" s="662" t="s">
        <v>103</v>
      </c>
      <c r="X5" s="662" t="s">
        <v>104</v>
      </c>
      <c r="Y5" s="662" t="s">
        <v>105</v>
      </c>
    </row>
    <row r="6" spans="1:34" s="577" customFormat="1" ht="102" customHeight="1">
      <c r="A6" s="658"/>
      <c r="B6" s="658"/>
      <c r="C6" s="661"/>
      <c r="D6" s="664"/>
      <c r="E6" s="664"/>
      <c r="F6" s="664"/>
      <c r="G6" s="664"/>
      <c r="H6" s="662"/>
      <c r="I6" s="662"/>
      <c r="J6" s="662"/>
      <c r="K6" s="662"/>
      <c r="L6" s="310" t="s">
        <v>54</v>
      </c>
      <c r="M6" s="662"/>
      <c r="N6" s="662"/>
      <c r="O6" s="662"/>
      <c r="P6" s="310" t="s">
        <v>639</v>
      </c>
      <c r="Q6" s="310" t="s">
        <v>640</v>
      </c>
      <c r="R6" s="662"/>
      <c r="S6" s="662"/>
      <c r="T6" s="662"/>
      <c r="U6" s="662"/>
      <c r="V6" s="662"/>
      <c r="W6" s="662"/>
      <c r="X6" s="662"/>
      <c r="Y6" s="662"/>
      <c r="AA6" s="579"/>
      <c r="AB6" s="580"/>
    </row>
    <row r="7" spans="1:34" s="586" customFormat="1" ht="15">
      <c r="A7" s="581" t="s">
        <v>106</v>
      </c>
      <c r="B7" s="582" t="s">
        <v>107</v>
      </c>
      <c r="C7" s="582" t="s">
        <v>58</v>
      </c>
      <c r="D7" s="583" t="s">
        <v>706</v>
      </c>
      <c r="E7" s="583" t="s">
        <v>707</v>
      </c>
      <c r="F7" s="583" t="s">
        <v>708</v>
      </c>
      <c r="G7" s="583" t="s">
        <v>709</v>
      </c>
      <c r="H7" s="584" t="s">
        <v>59</v>
      </c>
      <c r="I7" s="584" t="s">
        <v>60</v>
      </c>
      <c r="J7" s="584" t="s">
        <v>84</v>
      </c>
      <c r="K7" s="584" t="s">
        <v>85</v>
      </c>
      <c r="L7" s="582" t="s">
        <v>646</v>
      </c>
      <c r="M7" s="584" t="s">
        <v>87</v>
      </c>
      <c r="N7" s="584" t="s">
        <v>108</v>
      </c>
      <c r="O7" s="584" t="s">
        <v>109</v>
      </c>
      <c r="P7" s="582" t="s">
        <v>648</v>
      </c>
      <c r="Q7" s="582" t="s">
        <v>675</v>
      </c>
      <c r="R7" s="584" t="s">
        <v>110</v>
      </c>
      <c r="S7" s="584" t="s">
        <v>111</v>
      </c>
      <c r="T7" s="584" t="s">
        <v>112</v>
      </c>
      <c r="U7" s="584" t="s">
        <v>113</v>
      </c>
      <c r="V7" s="584" t="s">
        <v>114</v>
      </c>
      <c r="W7" s="584" t="s">
        <v>115</v>
      </c>
      <c r="X7" s="584" t="s">
        <v>116</v>
      </c>
      <c r="Y7" s="585" t="s">
        <v>117</v>
      </c>
    </row>
    <row r="8" spans="1:34" s="577" customFormat="1" ht="15.75" customHeight="1">
      <c r="A8" s="587"/>
      <c r="B8" s="588" t="s">
        <v>118</v>
      </c>
      <c r="C8" s="305"/>
      <c r="D8" s="305"/>
      <c r="E8" s="305"/>
      <c r="F8" s="305"/>
      <c r="G8" s="305"/>
      <c r="H8" s="305"/>
      <c r="I8" s="305"/>
      <c r="J8" s="305"/>
      <c r="K8" s="305"/>
      <c r="L8" s="305"/>
      <c r="M8" s="305"/>
      <c r="N8" s="305"/>
      <c r="O8" s="305"/>
      <c r="P8" s="305"/>
      <c r="Q8" s="305"/>
      <c r="R8" s="305"/>
      <c r="S8" s="305"/>
      <c r="T8" s="305"/>
      <c r="U8" s="305"/>
      <c r="V8" s="305"/>
      <c r="W8" s="305"/>
      <c r="X8" s="305"/>
      <c r="Y8" s="305"/>
      <c r="AA8" s="580"/>
    </row>
    <row r="9" spans="1:34" s="577" customFormat="1" ht="15.75" customHeight="1">
      <c r="A9" s="589">
        <v>10</v>
      </c>
      <c r="B9" s="306" t="s">
        <v>119</v>
      </c>
      <c r="C9" s="306">
        <f t="shared" ref="C9:C10" si="0">SUM(J9:Y9)-L9-P9-Q9</f>
        <v>0</v>
      </c>
      <c r="D9" s="307"/>
      <c r="E9" s="345"/>
      <c r="F9" s="115"/>
      <c r="G9" s="345"/>
      <c r="H9" s="115"/>
      <c r="I9" s="115"/>
      <c r="J9" s="115"/>
      <c r="K9" s="115"/>
      <c r="L9" s="115"/>
      <c r="M9" s="115"/>
      <c r="N9" s="115"/>
      <c r="O9" s="306">
        <f>+P9+Q9</f>
        <v>0</v>
      </c>
      <c r="P9" s="115"/>
      <c r="Q9" s="115"/>
      <c r="R9" s="115"/>
      <c r="S9" s="115"/>
      <c r="T9" s="115"/>
      <c r="U9" s="115"/>
      <c r="V9" s="115"/>
      <c r="W9" s="115"/>
      <c r="X9" s="115"/>
      <c r="Y9" s="115"/>
      <c r="AB9" s="590"/>
      <c r="AH9" s="591"/>
    </row>
    <row r="10" spans="1:34" s="577" customFormat="1" ht="15.75" customHeight="1">
      <c r="A10" s="589">
        <f t="shared" ref="A10:A74" si="1">A9+10</f>
        <v>20</v>
      </c>
      <c r="B10" s="306" t="s">
        <v>120</v>
      </c>
      <c r="C10" s="306">
        <f t="shared" si="0"/>
        <v>61193904</v>
      </c>
      <c r="D10" s="307">
        <v>61193904</v>
      </c>
      <c r="E10" s="346">
        <v>0.19267972569898892</v>
      </c>
      <c r="F10" s="307"/>
      <c r="G10" s="346"/>
      <c r="H10" s="307">
        <v>61193904</v>
      </c>
      <c r="I10" s="307">
        <v>0</v>
      </c>
      <c r="J10" s="307">
        <v>0</v>
      </c>
      <c r="K10" s="307">
        <v>0</v>
      </c>
      <c r="L10" s="307"/>
      <c r="M10" s="307">
        <v>14126062</v>
      </c>
      <c r="N10" s="307"/>
      <c r="O10" s="306">
        <f t="shared" ref="O10:O14" si="2">+P10+Q10</f>
        <v>36362525</v>
      </c>
      <c r="P10" s="307"/>
      <c r="Q10" s="307">
        <v>36362525</v>
      </c>
      <c r="R10" s="307">
        <v>0</v>
      </c>
      <c r="S10" s="307">
        <v>0</v>
      </c>
      <c r="T10" s="307">
        <v>0</v>
      </c>
      <c r="U10" s="307">
        <v>0</v>
      </c>
      <c r="V10" s="307">
        <v>10705317</v>
      </c>
      <c r="W10" s="307">
        <v>0</v>
      </c>
      <c r="X10" s="307">
        <v>0</v>
      </c>
      <c r="Y10" s="307">
        <v>0</v>
      </c>
      <c r="AB10" s="590"/>
    </row>
    <row r="11" spans="1:34" s="594" customFormat="1" ht="15.75" customHeight="1">
      <c r="A11" s="592">
        <f t="shared" si="1"/>
        <v>30</v>
      </c>
      <c r="B11" s="593" t="s">
        <v>121</v>
      </c>
      <c r="C11" s="306">
        <f>SUM(J11:Y11)-L11-P11-Q11</f>
        <v>220704413</v>
      </c>
      <c r="D11" s="307">
        <v>180690724</v>
      </c>
      <c r="E11" s="346">
        <v>0.18963012904069609</v>
      </c>
      <c r="F11" s="307">
        <v>40013689</v>
      </c>
      <c r="G11" s="346">
        <v>8.8472240398916421E-2</v>
      </c>
      <c r="H11" s="307">
        <v>220704413</v>
      </c>
      <c r="I11" s="566">
        <v>0</v>
      </c>
      <c r="J11" s="307">
        <v>0</v>
      </c>
      <c r="K11" s="566">
        <v>0</v>
      </c>
      <c r="L11" s="307"/>
      <c r="M11" s="307">
        <v>659597</v>
      </c>
      <c r="N11" s="307"/>
      <c r="O11" s="306">
        <f t="shared" si="2"/>
        <v>208326179</v>
      </c>
      <c r="P11" s="307"/>
      <c r="Q11" s="307">
        <v>208326179</v>
      </c>
      <c r="R11" s="307">
        <v>9953669</v>
      </c>
      <c r="S11" s="307">
        <v>0</v>
      </c>
      <c r="T11" s="307">
        <v>0</v>
      </c>
      <c r="U11" s="307">
        <v>0</v>
      </c>
      <c r="V11" s="307">
        <v>1535202</v>
      </c>
      <c r="W11" s="307">
        <v>229766</v>
      </c>
      <c r="X11" s="307">
        <v>0</v>
      </c>
      <c r="Y11" s="307">
        <v>0</v>
      </c>
      <c r="AB11" s="590"/>
    </row>
    <row r="12" spans="1:34" s="594" customFormat="1" ht="15.75" customHeight="1">
      <c r="A12" s="592">
        <f t="shared" si="1"/>
        <v>40</v>
      </c>
      <c r="B12" s="593" t="s">
        <v>122</v>
      </c>
      <c r="C12" s="306">
        <f>SUM(J12:Y12)-L12-P12-Q12</f>
        <v>679011714</v>
      </c>
      <c r="D12" s="307">
        <v>273162529</v>
      </c>
      <c r="E12" s="346">
        <v>0.19607391099447516</v>
      </c>
      <c r="F12" s="307">
        <v>405849185</v>
      </c>
      <c r="G12" s="346">
        <v>7.3488879933809412E-2</v>
      </c>
      <c r="H12" s="307">
        <v>678842521</v>
      </c>
      <c r="I12" s="307">
        <v>169193</v>
      </c>
      <c r="J12" s="307">
        <v>30300</v>
      </c>
      <c r="K12" s="307">
        <v>0</v>
      </c>
      <c r="L12" s="307"/>
      <c r="M12" s="307">
        <v>44263230</v>
      </c>
      <c r="N12" s="307"/>
      <c r="O12" s="306">
        <f t="shared" si="2"/>
        <v>440006984</v>
      </c>
      <c r="P12" s="307"/>
      <c r="Q12" s="307">
        <v>440006984</v>
      </c>
      <c r="R12" s="307">
        <v>185753199</v>
      </c>
      <c r="S12" s="307">
        <v>0</v>
      </c>
      <c r="T12" s="307">
        <v>0</v>
      </c>
      <c r="U12" s="307">
        <v>0</v>
      </c>
      <c r="V12" s="307">
        <v>8654567</v>
      </c>
      <c r="W12" s="307">
        <v>275107</v>
      </c>
      <c r="X12" s="307">
        <v>0</v>
      </c>
      <c r="Y12" s="307">
        <v>28327</v>
      </c>
      <c r="AB12" s="590"/>
    </row>
    <row r="13" spans="1:34" s="594" customFormat="1" ht="15.75" customHeight="1">
      <c r="A13" s="592">
        <f t="shared" si="1"/>
        <v>50</v>
      </c>
      <c r="B13" s="595" t="s">
        <v>123</v>
      </c>
      <c r="C13" s="306">
        <f t="shared" ref="C13:C14" si="3">SUM(J13:Y13)-L13-P13-Q13</f>
        <v>0</v>
      </c>
      <c r="D13" s="307"/>
      <c r="E13" s="346"/>
      <c r="F13" s="307"/>
      <c r="G13" s="346"/>
      <c r="H13" s="307"/>
      <c r="I13" s="307"/>
      <c r="J13" s="307"/>
      <c r="K13" s="307"/>
      <c r="L13" s="307"/>
      <c r="M13" s="307"/>
      <c r="N13" s="307"/>
      <c r="O13" s="306">
        <f t="shared" si="2"/>
        <v>0</v>
      </c>
      <c r="P13" s="307"/>
      <c r="Q13" s="307"/>
      <c r="R13" s="307"/>
      <c r="S13" s="307"/>
      <c r="T13" s="307"/>
      <c r="U13" s="307"/>
      <c r="V13" s="307"/>
      <c r="W13" s="307"/>
      <c r="X13" s="307"/>
      <c r="Y13" s="307"/>
      <c r="AB13" s="590"/>
    </row>
    <row r="14" spans="1:34" s="594" customFormat="1" ht="15.75" customHeight="1">
      <c r="A14" s="592">
        <f>A13+10</f>
        <v>60</v>
      </c>
      <c r="B14" s="593" t="s">
        <v>124</v>
      </c>
      <c r="C14" s="306">
        <f t="shared" si="3"/>
        <v>4438396</v>
      </c>
      <c r="D14" s="307">
        <v>4438396</v>
      </c>
      <c r="E14" s="346">
        <v>0.2172992618690707</v>
      </c>
      <c r="F14" s="307"/>
      <c r="G14" s="346"/>
      <c r="H14" s="307">
        <v>4438396</v>
      </c>
      <c r="I14" s="307"/>
      <c r="J14" s="307"/>
      <c r="K14" s="307"/>
      <c r="L14" s="307"/>
      <c r="M14" s="307">
        <v>2184879</v>
      </c>
      <c r="N14" s="307"/>
      <c r="O14" s="306">
        <f t="shared" si="2"/>
        <v>2205476</v>
      </c>
      <c r="P14" s="307"/>
      <c r="Q14" s="307">
        <v>2205476</v>
      </c>
      <c r="R14" s="307">
        <v>0</v>
      </c>
      <c r="S14" s="307">
        <v>0</v>
      </c>
      <c r="T14" s="307">
        <v>0</v>
      </c>
      <c r="U14" s="307">
        <v>0</v>
      </c>
      <c r="V14" s="307">
        <v>22627</v>
      </c>
      <c r="W14" s="307">
        <v>25414</v>
      </c>
      <c r="X14" s="307">
        <v>0</v>
      </c>
      <c r="Y14" s="307">
        <v>0</v>
      </c>
      <c r="AB14" s="590"/>
    </row>
    <row r="15" spans="1:34" s="594" customFormat="1" ht="15.75" customHeight="1">
      <c r="A15" s="578">
        <f>A14+10</f>
        <v>70</v>
      </c>
      <c r="B15" s="596" t="s">
        <v>125</v>
      </c>
      <c r="C15" s="308">
        <f t="shared" ref="C15" si="4">SUM(J15:Y15)-L15-P15-Q15</f>
        <v>965348427</v>
      </c>
      <c r="D15" s="308">
        <f>SUM(D9:D14)</f>
        <v>519485553</v>
      </c>
      <c r="E15" s="348">
        <f>IFERROR(((D9*E9)/D15)+((D10*E10)/D15)+((D11*E11)/D15)+((D12*E12)/D15)+((D13*E13)/D15)+((D14*E14)/D15),0)</f>
        <v>0.19361411484450164</v>
      </c>
      <c r="F15" s="308">
        <f>SUM(F9:F14)</f>
        <v>445862874</v>
      </c>
      <c r="G15" s="348">
        <f>IFERROR(((F9*G9)/F15)+((F10*G10)/F15)+((F11*G11)/F15)+((F12*G12)/F15)+((F13*G13)/F15)+((F14*G14)/F15),0)</f>
        <v>7.4833552389820382E-2</v>
      </c>
      <c r="H15" s="308">
        <f t="shared" ref="H15:Y15" si="5">SUM(H9:H14)</f>
        <v>965179234</v>
      </c>
      <c r="I15" s="308">
        <f t="shared" si="5"/>
        <v>169193</v>
      </c>
      <c r="J15" s="308">
        <f t="shared" si="5"/>
        <v>30300</v>
      </c>
      <c r="K15" s="308">
        <f t="shared" si="5"/>
        <v>0</v>
      </c>
      <c r="L15" s="308">
        <f t="shared" si="5"/>
        <v>0</v>
      </c>
      <c r="M15" s="308">
        <f t="shared" si="5"/>
        <v>61233768</v>
      </c>
      <c r="N15" s="308">
        <f t="shared" si="5"/>
        <v>0</v>
      </c>
      <c r="O15" s="308">
        <f t="shared" si="5"/>
        <v>686901164</v>
      </c>
      <c r="P15" s="308">
        <f t="shared" si="5"/>
        <v>0</v>
      </c>
      <c r="Q15" s="308">
        <f t="shared" si="5"/>
        <v>686901164</v>
      </c>
      <c r="R15" s="308">
        <f t="shared" si="5"/>
        <v>195706868</v>
      </c>
      <c r="S15" s="308">
        <f t="shared" si="5"/>
        <v>0</v>
      </c>
      <c r="T15" s="308">
        <f t="shared" si="5"/>
        <v>0</v>
      </c>
      <c r="U15" s="308">
        <f t="shared" si="5"/>
        <v>0</v>
      </c>
      <c r="V15" s="308">
        <f t="shared" si="5"/>
        <v>20917713</v>
      </c>
      <c r="W15" s="308">
        <f t="shared" si="5"/>
        <v>530287</v>
      </c>
      <c r="X15" s="308">
        <f t="shared" si="5"/>
        <v>0</v>
      </c>
      <c r="Y15" s="308">
        <f t="shared" si="5"/>
        <v>28327</v>
      </c>
      <c r="AA15" s="597"/>
      <c r="AB15" s="590"/>
    </row>
    <row r="16" spans="1:34" s="594" customFormat="1" ht="15.75" customHeight="1">
      <c r="A16" s="578"/>
      <c r="B16" s="596" t="s">
        <v>126</v>
      </c>
      <c r="C16" s="308"/>
      <c r="D16" s="308"/>
      <c r="E16" s="348"/>
      <c r="F16" s="308"/>
      <c r="G16" s="348"/>
      <c r="H16" s="308"/>
      <c r="I16" s="308"/>
      <c r="J16" s="308"/>
      <c r="K16" s="308"/>
      <c r="L16" s="308"/>
      <c r="M16" s="308"/>
      <c r="N16" s="308"/>
      <c r="O16" s="308"/>
      <c r="P16" s="308"/>
      <c r="Q16" s="308"/>
      <c r="R16" s="308"/>
      <c r="S16" s="308"/>
      <c r="T16" s="308"/>
      <c r="U16" s="308"/>
      <c r="V16" s="308"/>
      <c r="W16" s="308"/>
      <c r="X16" s="308"/>
      <c r="Y16" s="308"/>
      <c r="AA16" s="597"/>
      <c r="AB16" s="590"/>
    </row>
    <row r="17" spans="1:28" s="594" customFormat="1" ht="15.75" customHeight="1">
      <c r="A17" s="589">
        <f>A15+10</f>
        <v>80</v>
      </c>
      <c r="B17" s="306" t="s">
        <v>119</v>
      </c>
      <c r="C17" s="306">
        <f t="shared" ref="C17:C24" si="6">SUM(J17:Y17)-L17-P17-Q17</f>
        <v>0</v>
      </c>
      <c r="D17" s="307"/>
      <c r="E17" s="345"/>
      <c r="F17" s="115"/>
      <c r="G17" s="345"/>
      <c r="H17" s="115"/>
      <c r="I17" s="115"/>
      <c r="J17" s="115"/>
      <c r="K17" s="115"/>
      <c r="L17" s="115"/>
      <c r="M17" s="115"/>
      <c r="N17" s="115"/>
      <c r="O17" s="306">
        <f>+P17+Q17</f>
        <v>0</v>
      </c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AB17" s="590"/>
    </row>
    <row r="18" spans="1:28" s="594" customFormat="1" ht="15.75" customHeight="1">
      <c r="A18" s="589">
        <f t="shared" si="1"/>
        <v>90</v>
      </c>
      <c r="B18" s="306" t="s">
        <v>120</v>
      </c>
      <c r="C18" s="306">
        <f t="shared" si="6"/>
        <v>0</v>
      </c>
      <c r="D18" s="307"/>
      <c r="E18" s="345"/>
      <c r="F18" s="115"/>
      <c r="G18" s="345"/>
      <c r="H18" s="115"/>
      <c r="I18" s="115"/>
      <c r="J18" s="115"/>
      <c r="K18" s="115"/>
      <c r="L18" s="115"/>
      <c r="M18" s="115"/>
      <c r="N18" s="115"/>
      <c r="O18" s="306">
        <f t="shared" ref="O18:O22" si="7">+P18+Q18</f>
        <v>0</v>
      </c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AB18" s="590"/>
    </row>
    <row r="19" spans="1:28" s="577" customFormat="1" ht="15.75" customHeight="1">
      <c r="A19" s="592">
        <f t="shared" si="1"/>
        <v>100</v>
      </c>
      <c r="B19" s="593" t="s">
        <v>121</v>
      </c>
      <c r="C19" s="306">
        <f t="shared" si="6"/>
        <v>0</v>
      </c>
      <c r="D19" s="307"/>
      <c r="E19" s="346"/>
      <c r="F19" s="307"/>
      <c r="G19" s="346"/>
      <c r="H19" s="307"/>
      <c r="I19" s="307"/>
      <c r="J19" s="307"/>
      <c r="K19" s="307"/>
      <c r="L19" s="307"/>
      <c r="M19" s="307"/>
      <c r="N19" s="307"/>
      <c r="O19" s="306">
        <f t="shared" si="7"/>
        <v>0</v>
      </c>
      <c r="P19" s="307"/>
      <c r="Q19" s="307"/>
      <c r="R19" s="307"/>
      <c r="S19" s="307"/>
      <c r="T19" s="307"/>
      <c r="U19" s="307"/>
      <c r="V19" s="307"/>
      <c r="W19" s="307"/>
      <c r="X19" s="307"/>
      <c r="Y19" s="307"/>
      <c r="AB19" s="590"/>
    </row>
    <row r="20" spans="1:28" s="577" customFormat="1" ht="15.75" customHeight="1">
      <c r="A20" s="592">
        <f t="shared" si="1"/>
        <v>110</v>
      </c>
      <c r="B20" s="593" t="s">
        <v>122</v>
      </c>
      <c r="C20" s="306">
        <f t="shared" si="6"/>
        <v>111388171</v>
      </c>
      <c r="D20" s="307">
        <v>57688485</v>
      </c>
      <c r="E20" s="346">
        <v>0.19018186359987946</v>
      </c>
      <c r="F20" s="307">
        <v>53699686</v>
      </c>
      <c r="G20" s="346">
        <v>9.3366011163269397E-2</v>
      </c>
      <c r="H20" s="307">
        <v>111353891</v>
      </c>
      <c r="I20" s="566">
        <v>34280</v>
      </c>
      <c r="J20" s="307"/>
      <c r="K20" s="566"/>
      <c r="L20" s="307"/>
      <c r="M20" s="307">
        <v>34580459</v>
      </c>
      <c r="N20" s="307">
        <v>0</v>
      </c>
      <c r="O20" s="306">
        <f t="shared" si="7"/>
        <v>56037268</v>
      </c>
      <c r="P20" s="307"/>
      <c r="Q20" s="307">
        <v>56037268</v>
      </c>
      <c r="R20" s="307">
        <v>14985280</v>
      </c>
      <c r="S20" s="307">
        <v>0</v>
      </c>
      <c r="T20" s="307">
        <v>0</v>
      </c>
      <c r="U20" s="307">
        <v>0</v>
      </c>
      <c r="V20" s="307">
        <v>5675708</v>
      </c>
      <c r="W20" s="307">
        <v>109456</v>
      </c>
      <c r="X20" s="307">
        <v>0</v>
      </c>
      <c r="Y20" s="307">
        <v>0</v>
      </c>
      <c r="AB20" s="590"/>
    </row>
    <row r="21" spans="1:28" s="577" customFormat="1" ht="15.75" customHeight="1">
      <c r="A21" s="592">
        <f>A20+10</f>
        <v>120</v>
      </c>
      <c r="B21" s="593" t="s">
        <v>127</v>
      </c>
      <c r="C21" s="306">
        <f t="shared" si="6"/>
        <v>0</v>
      </c>
      <c r="D21" s="307"/>
      <c r="E21" s="346"/>
      <c r="F21" s="307"/>
      <c r="G21" s="346"/>
      <c r="H21" s="307"/>
      <c r="I21" s="307"/>
      <c r="J21" s="307"/>
      <c r="K21" s="307"/>
      <c r="L21" s="307"/>
      <c r="M21" s="307"/>
      <c r="N21" s="307"/>
      <c r="O21" s="306">
        <f t="shared" si="7"/>
        <v>0</v>
      </c>
      <c r="P21" s="307"/>
      <c r="Q21" s="307"/>
      <c r="R21" s="307"/>
      <c r="S21" s="307"/>
      <c r="T21" s="307"/>
      <c r="U21" s="307"/>
      <c r="V21" s="307"/>
      <c r="W21" s="307"/>
      <c r="X21" s="307"/>
      <c r="Y21" s="307"/>
      <c r="AB21" s="590"/>
    </row>
    <row r="22" spans="1:28" s="577" customFormat="1" ht="15.75" customHeight="1">
      <c r="A22" s="592">
        <f t="shared" si="1"/>
        <v>130</v>
      </c>
      <c r="B22" s="595" t="s">
        <v>123</v>
      </c>
      <c r="C22" s="306">
        <f t="shared" si="6"/>
        <v>0</v>
      </c>
      <c r="D22" s="307"/>
      <c r="E22" s="346"/>
      <c r="F22" s="307"/>
      <c r="G22" s="346"/>
      <c r="H22" s="307"/>
      <c r="I22" s="307"/>
      <c r="J22" s="307"/>
      <c r="K22" s="307"/>
      <c r="L22" s="307"/>
      <c r="M22" s="307"/>
      <c r="N22" s="307"/>
      <c r="O22" s="306">
        <f t="shared" si="7"/>
        <v>0</v>
      </c>
      <c r="P22" s="307"/>
      <c r="Q22" s="307"/>
      <c r="R22" s="307"/>
      <c r="S22" s="307"/>
      <c r="T22" s="307"/>
      <c r="U22" s="307"/>
      <c r="V22" s="307"/>
      <c r="W22" s="307"/>
      <c r="X22" s="307"/>
      <c r="Y22" s="307"/>
      <c r="AB22" s="590"/>
    </row>
    <row r="23" spans="1:28" s="577" customFormat="1" ht="15.75" customHeight="1">
      <c r="A23" s="592">
        <f>A22+10</f>
        <v>140</v>
      </c>
      <c r="B23" s="593" t="s">
        <v>124</v>
      </c>
      <c r="C23" s="306">
        <f t="shared" si="6"/>
        <v>2194100</v>
      </c>
      <c r="D23" s="307">
        <v>2194100</v>
      </c>
      <c r="E23" s="346">
        <v>0.18993800625709373</v>
      </c>
      <c r="F23" s="307"/>
      <c r="G23" s="346"/>
      <c r="H23" s="307">
        <v>2194100</v>
      </c>
      <c r="I23" s="307"/>
      <c r="J23" s="307"/>
      <c r="K23" s="307"/>
      <c r="L23" s="307"/>
      <c r="M23" s="307"/>
      <c r="N23" s="307"/>
      <c r="O23" s="306">
        <f>+P23+Q23</f>
        <v>1838080</v>
      </c>
      <c r="P23" s="307"/>
      <c r="Q23" s="307">
        <v>1838080</v>
      </c>
      <c r="R23" s="307"/>
      <c r="S23" s="307">
        <v>0</v>
      </c>
      <c r="T23" s="307">
        <v>0</v>
      </c>
      <c r="U23" s="307">
        <v>0</v>
      </c>
      <c r="V23" s="307">
        <v>149227</v>
      </c>
      <c r="W23" s="307">
        <v>201136</v>
      </c>
      <c r="X23" s="307">
        <v>0</v>
      </c>
      <c r="Y23" s="307">
        <v>5657</v>
      </c>
      <c r="AB23" s="590"/>
    </row>
    <row r="24" spans="1:28" s="577" customFormat="1" ht="15.75" customHeight="1">
      <c r="A24" s="578">
        <f>A23+10</f>
        <v>150</v>
      </c>
      <c r="B24" s="596" t="s">
        <v>128</v>
      </c>
      <c r="C24" s="308">
        <f t="shared" si="6"/>
        <v>113582271</v>
      </c>
      <c r="D24" s="308">
        <f>SUM(D17:D23)</f>
        <v>59882585</v>
      </c>
      <c r="E24" s="348">
        <f>IFERROR(((D17*E17)/D24)+((D18*E18)/D24)+((D19*E19)/D24)+((D20*E20)/D24)+((D21*E21)/D24)+((D22*E22)/D24)+((D23*E23)/D24),0)</f>
        <v>0.1901729286583467</v>
      </c>
      <c r="F24" s="308">
        <f>SUM(F17:F23)</f>
        <v>53699686</v>
      </c>
      <c r="G24" s="348">
        <f>IFERROR(((F17*G17)/F24)+((F18*G18)/F24)+((F19*G19)/F24)+((F20*G20)/F24)+((F21*G21)/F24)+((F22*G22)/F24)+((F23*G23)/F24),0)</f>
        <v>9.3366011163269397E-2</v>
      </c>
      <c r="H24" s="308">
        <f t="shared" ref="H24:Y24" si="8">SUM(H17:H23)</f>
        <v>113547991</v>
      </c>
      <c r="I24" s="308">
        <f t="shared" si="8"/>
        <v>34280</v>
      </c>
      <c r="J24" s="308">
        <f t="shared" si="8"/>
        <v>0</v>
      </c>
      <c r="K24" s="308">
        <f t="shared" si="8"/>
        <v>0</v>
      </c>
      <c r="L24" s="308">
        <f t="shared" si="8"/>
        <v>0</v>
      </c>
      <c r="M24" s="308">
        <f t="shared" si="8"/>
        <v>34580459</v>
      </c>
      <c r="N24" s="308">
        <f t="shared" si="8"/>
        <v>0</v>
      </c>
      <c r="O24" s="308">
        <f t="shared" si="8"/>
        <v>57875348</v>
      </c>
      <c r="P24" s="308">
        <f t="shared" si="8"/>
        <v>0</v>
      </c>
      <c r="Q24" s="308">
        <f t="shared" si="8"/>
        <v>57875348</v>
      </c>
      <c r="R24" s="308">
        <f t="shared" si="8"/>
        <v>14985280</v>
      </c>
      <c r="S24" s="308">
        <f t="shared" si="8"/>
        <v>0</v>
      </c>
      <c r="T24" s="308">
        <f t="shared" si="8"/>
        <v>0</v>
      </c>
      <c r="U24" s="308">
        <f t="shared" si="8"/>
        <v>0</v>
      </c>
      <c r="V24" s="308">
        <f t="shared" si="8"/>
        <v>5824935</v>
      </c>
      <c r="W24" s="308">
        <f t="shared" si="8"/>
        <v>310592</v>
      </c>
      <c r="X24" s="308">
        <f t="shared" si="8"/>
        <v>0</v>
      </c>
      <c r="Y24" s="308">
        <f t="shared" si="8"/>
        <v>5657</v>
      </c>
      <c r="AB24" s="590"/>
    </row>
    <row r="25" spans="1:28" s="577" customFormat="1" ht="15.75" customHeight="1">
      <c r="A25" s="578"/>
      <c r="B25" s="596" t="s">
        <v>129</v>
      </c>
      <c r="C25" s="308"/>
      <c r="D25" s="308"/>
      <c r="E25" s="348"/>
      <c r="F25" s="308"/>
      <c r="G25" s="348"/>
      <c r="H25" s="308"/>
      <c r="I25" s="308"/>
      <c r="J25" s="308"/>
      <c r="K25" s="308"/>
      <c r="L25" s="308"/>
      <c r="M25" s="308"/>
      <c r="N25" s="308"/>
      <c r="O25" s="308"/>
      <c r="P25" s="308"/>
      <c r="Q25" s="308"/>
      <c r="R25" s="308"/>
      <c r="S25" s="308"/>
      <c r="T25" s="308"/>
      <c r="U25" s="308"/>
      <c r="V25" s="308"/>
      <c r="W25" s="308"/>
      <c r="X25" s="308"/>
      <c r="Y25" s="308"/>
      <c r="AA25" s="580"/>
      <c r="AB25" s="590"/>
    </row>
    <row r="26" spans="1:28" s="577" customFormat="1" ht="15.75" customHeight="1">
      <c r="A26" s="589">
        <f>A24+10</f>
        <v>160</v>
      </c>
      <c r="B26" s="306" t="s">
        <v>119</v>
      </c>
      <c r="C26" s="306">
        <f t="shared" ref="C26:C32" si="9">SUM(J26:Y26)-L26-P26-Q26</f>
        <v>0</v>
      </c>
      <c r="D26" s="307"/>
      <c r="E26" s="345"/>
      <c r="F26" s="115"/>
      <c r="G26" s="345"/>
      <c r="H26" s="115"/>
      <c r="I26" s="115"/>
      <c r="J26" s="115"/>
      <c r="K26" s="115"/>
      <c r="L26" s="115"/>
      <c r="M26" s="115"/>
      <c r="N26" s="115"/>
      <c r="O26" s="306">
        <f t="shared" ref="O26:O31" si="10">+P26+Q26</f>
        <v>0</v>
      </c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AB26" s="590"/>
    </row>
    <row r="27" spans="1:28" s="577" customFormat="1" ht="15.75" customHeight="1">
      <c r="A27" s="589">
        <f t="shared" si="1"/>
        <v>170</v>
      </c>
      <c r="B27" s="306" t="s">
        <v>120</v>
      </c>
      <c r="C27" s="306">
        <f t="shared" si="9"/>
        <v>363140450</v>
      </c>
      <c r="D27" s="307">
        <v>363140450</v>
      </c>
      <c r="E27" s="346">
        <v>0.12184634986901355</v>
      </c>
      <c r="F27" s="307"/>
      <c r="G27" s="346"/>
      <c r="H27" s="307">
        <v>363140450</v>
      </c>
      <c r="I27" s="307"/>
      <c r="J27" s="307">
        <v>216263967</v>
      </c>
      <c r="K27" s="307">
        <v>0</v>
      </c>
      <c r="L27" s="307"/>
      <c r="M27" s="307">
        <v>7032</v>
      </c>
      <c r="N27" s="307">
        <v>0</v>
      </c>
      <c r="O27" s="306">
        <f t="shared" si="10"/>
        <v>133604201</v>
      </c>
      <c r="P27" s="307"/>
      <c r="Q27" s="307">
        <v>133604201</v>
      </c>
      <c r="R27" s="307">
        <v>0</v>
      </c>
      <c r="S27" s="307">
        <v>0</v>
      </c>
      <c r="T27" s="307">
        <v>0</v>
      </c>
      <c r="U27" s="307">
        <v>0</v>
      </c>
      <c r="V27" s="307">
        <v>33600</v>
      </c>
      <c r="W27" s="307">
        <v>13231650</v>
      </c>
      <c r="X27" s="307">
        <v>0</v>
      </c>
      <c r="Y27" s="307">
        <v>0</v>
      </c>
      <c r="AB27" s="590"/>
    </row>
    <row r="28" spans="1:28" s="577" customFormat="1" ht="15.75" customHeight="1">
      <c r="A28" s="592">
        <f t="shared" si="1"/>
        <v>180</v>
      </c>
      <c r="B28" s="593" t="s">
        <v>121</v>
      </c>
      <c r="C28" s="306">
        <f t="shared" si="9"/>
        <v>99981592</v>
      </c>
      <c r="D28" s="307">
        <v>99981592</v>
      </c>
      <c r="E28" s="346">
        <v>0.15</v>
      </c>
      <c r="F28" s="307"/>
      <c r="G28" s="346"/>
      <c r="H28" s="307">
        <v>99981592</v>
      </c>
      <c r="I28" s="566"/>
      <c r="J28" s="307">
        <v>0</v>
      </c>
      <c r="K28" s="566">
        <v>0</v>
      </c>
      <c r="L28" s="307"/>
      <c r="M28" s="307">
        <v>0</v>
      </c>
      <c r="N28" s="307">
        <v>0</v>
      </c>
      <c r="O28" s="306">
        <f t="shared" si="10"/>
        <v>99981592</v>
      </c>
      <c r="P28" s="307"/>
      <c r="Q28" s="307">
        <v>99981592</v>
      </c>
      <c r="R28" s="307">
        <v>0</v>
      </c>
      <c r="S28" s="307">
        <v>0</v>
      </c>
      <c r="T28" s="307">
        <v>0</v>
      </c>
      <c r="U28" s="307">
        <v>0</v>
      </c>
      <c r="V28" s="307">
        <v>0</v>
      </c>
      <c r="W28" s="307">
        <v>0</v>
      </c>
      <c r="X28" s="307">
        <v>0</v>
      </c>
      <c r="Y28" s="307">
        <v>0</v>
      </c>
      <c r="AB28" s="590"/>
    </row>
    <row r="29" spans="1:28" s="577" customFormat="1" ht="15.75" customHeight="1">
      <c r="A29" s="592">
        <f t="shared" si="1"/>
        <v>190</v>
      </c>
      <c r="B29" s="593" t="s">
        <v>122</v>
      </c>
      <c r="C29" s="306">
        <f t="shared" si="9"/>
        <v>65589004</v>
      </c>
      <c r="D29" s="307">
        <v>54445535</v>
      </c>
      <c r="E29" s="346">
        <v>0.2041553360232371</v>
      </c>
      <c r="F29" s="307">
        <v>11143469</v>
      </c>
      <c r="G29" s="346">
        <v>9.4929391852357131E-2</v>
      </c>
      <c r="H29" s="307">
        <v>65589004</v>
      </c>
      <c r="I29" s="307"/>
      <c r="J29" s="307">
        <v>45114</v>
      </c>
      <c r="K29" s="307">
        <v>0</v>
      </c>
      <c r="L29" s="307"/>
      <c r="M29" s="307">
        <v>39854264</v>
      </c>
      <c r="N29" s="307">
        <v>0</v>
      </c>
      <c r="O29" s="306">
        <f t="shared" si="10"/>
        <v>25107788</v>
      </c>
      <c r="P29" s="307"/>
      <c r="Q29" s="307">
        <v>25107788</v>
      </c>
      <c r="R29" s="307">
        <v>241698</v>
      </c>
      <c r="S29" s="307">
        <v>0</v>
      </c>
      <c r="T29" s="307">
        <v>0</v>
      </c>
      <c r="U29" s="307">
        <v>0</v>
      </c>
      <c r="V29" s="307">
        <v>251059</v>
      </c>
      <c r="W29" s="307">
        <v>89081</v>
      </c>
      <c r="X29" s="307">
        <v>0</v>
      </c>
      <c r="Y29" s="307">
        <v>0</v>
      </c>
      <c r="AB29" s="590"/>
    </row>
    <row r="30" spans="1:28" s="577" customFormat="1" ht="15.75" customHeight="1">
      <c r="A30" s="592">
        <f t="shared" si="1"/>
        <v>200</v>
      </c>
      <c r="B30" s="595" t="s">
        <v>123</v>
      </c>
      <c r="C30" s="306">
        <f t="shared" si="9"/>
        <v>0</v>
      </c>
      <c r="D30" s="307"/>
      <c r="E30" s="346"/>
      <c r="F30" s="307"/>
      <c r="G30" s="346"/>
      <c r="H30" s="307"/>
      <c r="I30" s="307"/>
      <c r="J30" s="307"/>
      <c r="K30" s="307"/>
      <c r="L30" s="307"/>
      <c r="M30" s="307"/>
      <c r="N30" s="307"/>
      <c r="O30" s="306">
        <f t="shared" si="10"/>
        <v>0</v>
      </c>
      <c r="P30" s="307"/>
      <c r="Q30" s="307"/>
      <c r="R30" s="307"/>
      <c r="S30" s="307"/>
      <c r="T30" s="307"/>
      <c r="U30" s="307"/>
      <c r="V30" s="307"/>
      <c r="W30" s="307"/>
      <c r="X30" s="307"/>
      <c r="Y30" s="307"/>
      <c r="AB30" s="590"/>
    </row>
    <row r="31" spans="1:28" s="577" customFormat="1" ht="15.75" customHeight="1">
      <c r="A31" s="592">
        <f>A30+10</f>
        <v>210</v>
      </c>
      <c r="B31" s="593" t="s">
        <v>124</v>
      </c>
      <c r="C31" s="306">
        <f t="shared" si="9"/>
        <v>14611472</v>
      </c>
      <c r="D31" s="307">
        <v>14611472</v>
      </c>
      <c r="E31" s="346">
        <v>0.21427128159302555</v>
      </c>
      <c r="F31" s="307"/>
      <c r="G31" s="346"/>
      <c r="H31" s="307">
        <v>14611472</v>
      </c>
      <c r="I31" s="307"/>
      <c r="J31" s="307">
        <v>30430</v>
      </c>
      <c r="K31" s="307">
        <v>0</v>
      </c>
      <c r="L31" s="307"/>
      <c r="M31" s="307">
        <v>13837573</v>
      </c>
      <c r="N31" s="307">
        <v>0</v>
      </c>
      <c r="O31" s="306">
        <f t="shared" si="10"/>
        <v>655997</v>
      </c>
      <c r="P31" s="307"/>
      <c r="Q31" s="307">
        <v>655997</v>
      </c>
      <c r="R31" s="307">
        <v>0</v>
      </c>
      <c r="S31" s="307">
        <v>0</v>
      </c>
      <c r="T31" s="307">
        <v>0</v>
      </c>
      <c r="U31" s="307">
        <v>0</v>
      </c>
      <c r="V31" s="307">
        <v>5796</v>
      </c>
      <c r="W31" s="307">
        <v>81676</v>
      </c>
      <c r="X31" s="307">
        <v>0</v>
      </c>
      <c r="Y31" s="307">
        <v>0</v>
      </c>
      <c r="AB31" s="590"/>
    </row>
    <row r="32" spans="1:28" s="577" customFormat="1" ht="15.75" customHeight="1">
      <c r="A32" s="578">
        <f>A31+10</f>
        <v>220</v>
      </c>
      <c r="B32" s="596" t="s">
        <v>130</v>
      </c>
      <c r="C32" s="308">
        <f t="shared" si="9"/>
        <v>543322518</v>
      </c>
      <c r="D32" s="308">
        <f>SUM(D26:D31)</f>
        <v>532179049</v>
      </c>
      <c r="E32" s="348">
        <f>IFERROR(((D26*E26)/D32)+((D27*E27)/D32)+((D28*E28)/D32)+((D29*E29)/D32)+((D30*E30)/D32)+((D31*E31)/D32),0)</f>
        <v>0.1380940166372118</v>
      </c>
      <c r="F32" s="308">
        <f>SUM(F26:F31)</f>
        <v>11143469</v>
      </c>
      <c r="G32" s="348">
        <f>IFERROR(((F26*G26)/F32)+((F27*G27)/F32)+((F28*G28)/F32)+((F29*G29)/F32)+((F30*G30)/F32)+((F31*G31)/F32),0)</f>
        <v>9.4929391852357131E-2</v>
      </c>
      <c r="H32" s="308">
        <f t="shared" ref="H32:Y32" si="11">SUM(H26:H31)</f>
        <v>543322518</v>
      </c>
      <c r="I32" s="308">
        <f t="shared" si="11"/>
        <v>0</v>
      </c>
      <c r="J32" s="308">
        <f t="shared" si="11"/>
        <v>216339511</v>
      </c>
      <c r="K32" s="308">
        <f t="shared" si="11"/>
        <v>0</v>
      </c>
      <c r="L32" s="308">
        <f t="shared" si="11"/>
        <v>0</v>
      </c>
      <c r="M32" s="308">
        <f t="shared" si="11"/>
        <v>53698869</v>
      </c>
      <c r="N32" s="308">
        <f t="shared" si="11"/>
        <v>0</v>
      </c>
      <c r="O32" s="308">
        <f t="shared" si="11"/>
        <v>259349578</v>
      </c>
      <c r="P32" s="308">
        <f t="shared" si="11"/>
        <v>0</v>
      </c>
      <c r="Q32" s="308">
        <f t="shared" si="11"/>
        <v>259349578</v>
      </c>
      <c r="R32" s="308">
        <f t="shared" si="11"/>
        <v>241698</v>
      </c>
      <c r="S32" s="308">
        <f t="shared" si="11"/>
        <v>0</v>
      </c>
      <c r="T32" s="308">
        <f t="shared" si="11"/>
        <v>0</v>
      </c>
      <c r="U32" s="308">
        <f t="shared" si="11"/>
        <v>0</v>
      </c>
      <c r="V32" s="308">
        <f t="shared" si="11"/>
        <v>290455</v>
      </c>
      <c r="W32" s="308">
        <f t="shared" si="11"/>
        <v>13402407</v>
      </c>
      <c r="X32" s="308">
        <f t="shared" si="11"/>
        <v>0</v>
      </c>
      <c r="Y32" s="308">
        <f t="shared" si="11"/>
        <v>0</v>
      </c>
      <c r="AB32" s="590"/>
    </row>
    <row r="33" spans="1:28" s="577" customFormat="1" ht="15.75" customHeight="1">
      <c r="A33" s="578"/>
      <c r="B33" s="596" t="s">
        <v>131</v>
      </c>
      <c r="C33" s="308"/>
      <c r="D33" s="308"/>
      <c r="E33" s="348"/>
      <c r="F33" s="308"/>
      <c r="G33" s="348"/>
      <c r="H33" s="308"/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Y33" s="308"/>
      <c r="AB33" s="590"/>
    </row>
    <row r="34" spans="1:28" s="577" customFormat="1" ht="15.75" customHeight="1">
      <c r="A34" s="589">
        <f>A32+10</f>
        <v>230</v>
      </c>
      <c r="B34" s="306" t="s">
        <v>119</v>
      </c>
      <c r="C34" s="306">
        <f t="shared" ref="C34:C40" si="12">SUM(J34:Y34)-L34-P34-Q34</f>
        <v>0</v>
      </c>
      <c r="D34" s="307"/>
      <c r="E34" s="345"/>
      <c r="F34" s="115"/>
      <c r="G34" s="345"/>
      <c r="H34" s="115"/>
      <c r="I34" s="115"/>
      <c r="J34" s="115"/>
      <c r="K34" s="115"/>
      <c r="L34" s="115"/>
      <c r="M34" s="115"/>
      <c r="N34" s="115"/>
      <c r="O34" s="306">
        <f t="shared" ref="O34:O39" si="13">+P34+Q34</f>
        <v>0</v>
      </c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AB34" s="590"/>
    </row>
    <row r="35" spans="1:28" s="577" customFormat="1" ht="15.75" customHeight="1">
      <c r="A35" s="589">
        <f t="shared" si="1"/>
        <v>240</v>
      </c>
      <c r="B35" s="306" t="s">
        <v>120</v>
      </c>
      <c r="C35" s="306">
        <f t="shared" si="12"/>
        <v>245351</v>
      </c>
      <c r="D35" s="307">
        <v>245351</v>
      </c>
      <c r="E35" s="346">
        <v>0.23807764000799833</v>
      </c>
      <c r="F35" s="307"/>
      <c r="G35" s="346"/>
      <c r="H35" s="307">
        <v>245351</v>
      </c>
      <c r="I35" s="307"/>
      <c r="J35" s="307">
        <v>0</v>
      </c>
      <c r="K35" s="307">
        <v>0</v>
      </c>
      <c r="L35" s="307"/>
      <c r="M35" s="307">
        <v>243716</v>
      </c>
      <c r="N35" s="307">
        <v>0</v>
      </c>
      <c r="O35" s="306">
        <f t="shared" si="13"/>
        <v>0</v>
      </c>
      <c r="P35" s="307"/>
      <c r="Q35" s="307">
        <v>0</v>
      </c>
      <c r="R35" s="307">
        <v>0</v>
      </c>
      <c r="S35" s="307">
        <v>0</v>
      </c>
      <c r="T35" s="307">
        <v>0</v>
      </c>
      <c r="U35" s="307">
        <v>0</v>
      </c>
      <c r="V35" s="307">
        <v>0</v>
      </c>
      <c r="W35" s="307">
        <v>1635</v>
      </c>
      <c r="X35" s="307">
        <v>0</v>
      </c>
      <c r="Y35" s="307">
        <v>0</v>
      </c>
      <c r="AB35" s="590"/>
    </row>
    <row r="36" spans="1:28" s="577" customFormat="1" ht="15.75" customHeight="1">
      <c r="A36" s="592">
        <f t="shared" si="1"/>
        <v>250</v>
      </c>
      <c r="B36" s="593" t="s">
        <v>121</v>
      </c>
      <c r="C36" s="306">
        <f t="shared" si="12"/>
        <v>0</v>
      </c>
      <c r="D36" s="307"/>
      <c r="E36" s="346"/>
      <c r="F36" s="307"/>
      <c r="G36" s="346"/>
      <c r="H36" s="307">
        <v>0</v>
      </c>
      <c r="I36" s="566"/>
      <c r="J36" s="307">
        <v>0</v>
      </c>
      <c r="K36" s="566">
        <v>0</v>
      </c>
      <c r="L36" s="307"/>
      <c r="M36" s="307">
        <v>0</v>
      </c>
      <c r="N36" s="307">
        <v>0</v>
      </c>
      <c r="O36" s="306">
        <f t="shared" si="13"/>
        <v>0</v>
      </c>
      <c r="P36" s="307"/>
      <c r="Q36" s="307">
        <v>0</v>
      </c>
      <c r="R36" s="307">
        <v>0</v>
      </c>
      <c r="S36" s="307">
        <v>0</v>
      </c>
      <c r="T36" s="307">
        <v>0</v>
      </c>
      <c r="U36" s="307">
        <v>0</v>
      </c>
      <c r="V36" s="307">
        <v>0</v>
      </c>
      <c r="W36" s="307">
        <v>0</v>
      </c>
      <c r="X36" s="307">
        <v>0</v>
      </c>
      <c r="Y36" s="307">
        <v>0</v>
      </c>
      <c r="AB36" s="590"/>
    </row>
    <row r="37" spans="1:28" s="577" customFormat="1" ht="15.75" customHeight="1">
      <c r="A37" s="592">
        <f t="shared" si="1"/>
        <v>260</v>
      </c>
      <c r="B37" s="593" t="s">
        <v>122</v>
      </c>
      <c r="C37" s="306">
        <f t="shared" si="12"/>
        <v>283095278</v>
      </c>
      <c r="D37" s="307">
        <v>162329475</v>
      </c>
      <c r="E37" s="346">
        <v>0.20526708266818172</v>
      </c>
      <c r="F37" s="307">
        <v>120765803</v>
      </c>
      <c r="G37" s="346">
        <v>7.9655054471693562E-2</v>
      </c>
      <c r="H37" s="307">
        <v>283095278</v>
      </c>
      <c r="I37" s="307"/>
      <c r="J37" s="307">
        <v>305412</v>
      </c>
      <c r="K37" s="307">
        <v>0</v>
      </c>
      <c r="L37" s="307"/>
      <c r="M37" s="307">
        <v>43361438</v>
      </c>
      <c r="N37" s="307">
        <v>0</v>
      </c>
      <c r="O37" s="306">
        <f t="shared" si="13"/>
        <v>196853232</v>
      </c>
      <c r="P37" s="307"/>
      <c r="Q37" s="307">
        <v>196853232</v>
      </c>
      <c r="R37" s="307">
        <v>40230902</v>
      </c>
      <c r="S37" s="307">
        <v>0</v>
      </c>
      <c r="T37" s="307">
        <v>0</v>
      </c>
      <c r="U37" s="307">
        <v>0</v>
      </c>
      <c r="V37" s="307">
        <v>2183563</v>
      </c>
      <c r="W37" s="307">
        <v>160731</v>
      </c>
      <c r="X37" s="307">
        <v>0</v>
      </c>
      <c r="Y37" s="307">
        <v>0</v>
      </c>
      <c r="AB37" s="590"/>
    </row>
    <row r="38" spans="1:28" s="577" customFormat="1" ht="15.75" customHeight="1">
      <c r="A38" s="592">
        <f t="shared" si="1"/>
        <v>270</v>
      </c>
      <c r="B38" s="595" t="s">
        <v>123</v>
      </c>
      <c r="C38" s="306">
        <f t="shared" si="12"/>
        <v>0</v>
      </c>
      <c r="D38" s="307"/>
      <c r="E38" s="346"/>
      <c r="F38" s="307"/>
      <c r="G38" s="346"/>
      <c r="H38" s="307"/>
      <c r="I38" s="307"/>
      <c r="J38" s="307"/>
      <c r="K38" s="307"/>
      <c r="L38" s="307"/>
      <c r="M38" s="307"/>
      <c r="N38" s="307"/>
      <c r="O38" s="306">
        <f t="shared" si="13"/>
        <v>0</v>
      </c>
      <c r="P38" s="307"/>
      <c r="Q38" s="307"/>
      <c r="R38" s="307"/>
      <c r="S38" s="307"/>
      <c r="T38" s="307"/>
      <c r="U38" s="307"/>
      <c r="V38" s="307"/>
      <c r="W38" s="307"/>
      <c r="X38" s="307"/>
      <c r="Y38" s="307"/>
      <c r="AB38" s="590"/>
    </row>
    <row r="39" spans="1:28" s="577" customFormat="1" ht="15.75" customHeight="1">
      <c r="A39" s="592">
        <f>A38+10</f>
        <v>280</v>
      </c>
      <c r="B39" s="593" t="s">
        <v>124</v>
      </c>
      <c r="C39" s="306">
        <f t="shared" si="12"/>
        <v>0</v>
      </c>
      <c r="D39" s="307"/>
      <c r="E39" s="346"/>
      <c r="F39" s="307"/>
      <c r="G39" s="346"/>
      <c r="H39" s="307"/>
      <c r="I39" s="307"/>
      <c r="J39" s="307"/>
      <c r="K39" s="307"/>
      <c r="L39" s="307"/>
      <c r="M39" s="307"/>
      <c r="N39" s="307"/>
      <c r="O39" s="306">
        <f t="shared" si="13"/>
        <v>0</v>
      </c>
      <c r="P39" s="307"/>
      <c r="Q39" s="307"/>
      <c r="R39" s="307"/>
      <c r="S39" s="307"/>
      <c r="T39" s="307"/>
      <c r="U39" s="307"/>
      <c r="V39" s="307"/>
      <c r="W39" s="307"/>
      <c r="X39" s="307"/>
      <c r="Y39" s="307"/>
      <c r="AB39" s="590"/>
    </row>
    <row r="40" spans="1:28" s="577" customFormat="1" ht="15.75" customHeight="1">
      <c r="A40" s="578">
        <f>A39+10</f>
        <v>290</v>
      </c>
      <c r="B40" s="596" t="s">
        <v>132</v>
      </c>
      <c r="C40" s="308">
        <f t="shared" si="12"/>
        <v>283340629</v>
      </c>
      <c r="D40" s="308">
        <f>SUM(D34:D39)</f>
        <v>162574826</v>
      </c>
      <c r="E40" s="348">
        <f>IFERROR(((D34*E34)/D40)+((D35*E35)/D40)+((D36*E36)/D40)+((D37*E37)/D40)+((D38*E38)/D40)+((D39*E39)/D40),0)</f>
        <v>0.20531659896324381</v>
      </c>
      <c r="F40" s="308">
        <f>SUM(F34:F39)</f>
        <v>120765803</v>
      </c>
      <c r="G40" s="348">
        <f>IFERROR(((F34*G34)/F40)+((F35*G35)/F40)+((F36*G36)/F40)+((F37*G37)/F40)+((F38*G38)/F40)+((F39*G39)/F40),0)</f>
        <v>7.9655054471693562E-2</v>
      </c>
      <c r="H40" s="308">
        <f t="shared" ref="H40:Y40" si="14">SUM(H34:H39)</f>
        <v>283340629</v>
      </c>
      <c r="I40" s="308">
        <f t="shared" si="14"/>
        <v>0</v>
      </c>
      <c r="J40" s="308">
        <f t="shared" si="14"/>
        <v>305412</v>
      </c>
      <c r="K40" s="308">
        <f t="shared" si="14"/>
        <v>0</v>
      </c>
      <c r="L40" s="308">
        <f t="shared" si="14"/>
        <v>0</v>
      </c>
      <c r="M40" s="308">
        <f t="shared" si="14"/>
        <v>43605154</v>
      </c>
      <c r="N40" s="308">
        <f t="shared" si="14"/>
        <v>0</v>
      </c>
      <c r="O40" s="308">
        <f t="shared" si="14"/>
        <v>196853232</v>
      </c>
      <c r="P40" s="308">
        <f t="shared" si="14"/>
        <v>0</v>
      </c>
      <c r="Q40" s="308">
        <f t="shared" si="14"/>
        <v>196853232</v>
      </c>
      <c r="R40" s="308">
        <f t="shared" si="14"/>
        <v>40230902</v>
      </c>
      <c r="S40" s="308">
        <f t="shared" si="14"/>
        <v>0</v>
      </c>
      <c r="T40" s="308">
        <f t="shared" si="14"/>
        <v>0</v>
      </c>
      <c r="U40" s="308">
        <f t="shared" si="14"/>
        <v>0</v>
      </c>
      <c r="V40" s="308">
        <f t="shared" si="14"/>
        <v>2183563</v>
      </c>
      <c r="W40" s="308">
        <f t="shared" si="14"/>
        <v>162366</v>
      </c>
      <c r="X40" s="308">
        <f t="shared" si="14"/>
        <v>0</v>
      </c>
      <c r="Y40" s="308">
        <f t="shared" si="14"/>
        <v>0</v>
      </c>
      <c r="AB40" s="590"/>
    </row>
    <row r="41" spans="1:28" s="577" customFormat="1" ht="15.75" customHeight="1">
      <c r="A41" s="578"/>
      <c r="B41" s="596" t="s">
        <v>133</v>
      </c>
      <c r="C41" s="308"/>
      <c r="D41" s="308"/>
      <c r="E41" s="348"/>
      <c r="F41" s="308"/>
      <c r="G41" s="348"/>
      <c r="H41" s="308"/>
      <c r="I41" s="308"/>
      <c r="J41" s="308"/>
      <c r="K41" s="308"/>
      <c r="L41" s="308"/>
      <c r="M41" s="308"/>
      <c r="N41" s="308"/>
      <c r="O41" s="308"/>
      <c r="P41" s="308"/>
      <c r="Q41" s="308"/>
      <c r="R41" s="308"/>
      <c r="S41" s="308"/>
      <c r="T41" s="308"/>
      <c r="U41" s="308"/>
      <c r="V41" s="308"/>
      <c r="W41" s="308"/>
      <c r="X41" s="308"/>
      <c r="Y41" s="308"/>
      <c r="AB41" s="590"/>
    </row>
    <row r="42" spans="1:28" s="577" customFormat="1" ht="15.75" customHeight="1">
      <c r="A42" s="589">
        <f>A40+10</f>
        <v>300</v>
      </c>
      <c r="B42" s="306" t="s">
        <v>119</v>
      </c>
      <c r="C42" s="306">
        <f t="shared" ref="C42:C47" si="15">SUM(J42:Y42)-L42-P42-Q42</f>
        <v>0</v>
      </c>
      <c r="D42" s="307"/>
      <c r="E42" s="345"/>
      <c r="F42" s="115"/>
      <c r="G42" s="345"/>
      <c r="H42" s="115"/>
      <c r="I42" s="115"/>
      <c r="J42" s="115"/>
      <c r="K42" s="115"/>
      <c r="L42" s="115"/>
      <c r="M42" s="115"/>
      <c r="N42" s="115"/>
      <c r="O42" s="306">
        <f t="shared" ref="O42:O47" si="16">+P42+Q42</f>
        <v>0</v>
      </c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AB42" s="590"/>
    </row>
    <row r="43" spans="1:28" s="577" customFormat="1" ht="15.75" customHeight="1">
      <c r="A43" s="589">
        <f t="shared" si="1"/>
        <v>310</v>
      </c>
      <c r="B43" s="306" t="s">
        <v>120</v>
      </c>
      <c r="C43" s="306">
        <f t="shared" si="15"/>
        <v>0</v>
      </c>
      <c r="D43" s="307"/>
      <c r="E43" s="346"/>
      <c r="F43" s="307"/>
      <c r="G43" s="346"/>
      <c r="H43" s="307"/>
      <c r="I43" s="307"/>
      <c r="J43" s="307"/>
      <c r="K43" s="307"/>
      <c r="L43" s="307"/>
      <c r="M43" s="307"/>
      <c r="N43" s="307"/>
      <c r="O43" s="306">
        <f t="shared" si="16"/>
        <v>0</v>
      </c>
      <c r="P43" s="307"/>
      <c r="Q43" s="307"/>
      <c r="R43" s="307"/>
      <c r="S43" s="307"/>
      <c r="T43" s="307"/>
      <c r="U43" s="307"/>
      <c r="V43" s="307"/>
      <c r="W43" s="307"/>
      <c r="X43" s="307"/>
      <c r="Y43" s="307"/>
      <c r="AB43" s="590"/>
    </row>
    <row r="44" spans="1:28" s="577" customFormat="1" ht="15.75" customHeight="1">
      <c r="A44" s="592">
        <f t="shared" si="1"/>
        <v>320</v>
      </c>
      <c r="B44" s="593" t="s">
        <v>121</v>
      </c>
      <c r="C44" s="306">
        <f t="shared" si="15"/>
        <v>0</v>
      </c>
      <c r="D44" s="307"/>
      <c r="E44" s="346"/>
      <c r="F44" s="307"/>
      <c r="G44" s="346"/>
      <c r="H44" s="307"/>
      <c r="I44" s="566"/>
      <c r="J44" s="307"/>
      <c r="K44" s="566"/>
      <c r="L44" s="307"/>
      <c r="M44" s="307"/>
      <c r="N44" s="307"/>
      <c r="O44" s="306">
        <f t="shared" si="16"/>
        <v>0</v>
      </c>
      <c r="P44" s="307"/>
      <c r="Q44" s="307"/>
      <c r="R44" s="307"/>
      <c r="S44" s="307"/>
      <c r="T44" s="307"/>
      <c r="U44" s="307"/>
      <c r="V44" s="307"/>
      <c r="W44" s="307"/>
      <c r="X44" s="307"/>
      <c r="Y44" s="307"/>
      <c r="AB44" s="590"/>
    </row>
    <row r="45" spans="1:28" s="577" customFormat="1" ht="15.75" customHeight="1">
      <c r="A45" s="592">
        <f t="shared" si="1"/>
        <v>330</v>
      </c>
      <c r="B45" s="593" t="s">
        <v>122</v>
      </c>
      <c r="C45" s="306">
        <f t="shared" si="15"/>
        <v>138956640</v>
      </c>
      <c r="D45" s="307">
        <v>119458478</v>
      </c>
      <c r="E45" s="346">
        <v>0.20571570481174056</v>
      </c>
      <c r="F45" s="307">
        <v>19498162</v>
      </c>
      <c r="G45" s="346">
        <v>9.7125216915127391E-2</v>
      </c>
      <c r="H45" s="307">
        <v>138956640</v>
      </c>
      <c r="I45" s="307">
        <v>0</v>
      </c>
      <c r="J45" s="307">
        <v>330191</v>
      </c>
      <c r="K45" s="307"/>
      <c r="L45" s="307"/>
      <c r="M45" s="307">
        <v>15512878</v>
      </c>
      <c r="N45" s="307">
        <v>0</v>
      </c>
      <c r="O45" s="306">
        <f t="shared" si="16"/>
        <v>110854591</v>
      </c>
      <c r="P45" s="307"/>
      <c r="Q45" s="307">
        <v>110854591</v>
      </c>
      <c r="R45" s="307">
        <v>10048781</v>
      </c>
      <c r="S45" s="307">
        <v>0</v>
      </c>
      <c r="T45" s="307">
        <v>0</v>
      </c>
      <c r="U45" s="307">
        <v>0</v>
      </c>
      <c r="V45" s="307">
        <v>2099976</v>
      </c>
      <c r="W45" s="307">
        <v>101594</v>
      </c>
      <c r="X45" s="307">
        <v>0</v>
      </c>
      <c r="Y45" s="307">
        <v>8629</v>
      </c>
      <c r="AB45" s="590"/>
    </row>
    <row r="46" spans="1:28" s="577" customFormat="1" ht="15.75" customHeight="1">
      <c r="A46" s="592">
        <f t="shared" si="1"/>
        <v>340</v>
      </c>
      <c r="B46" s="595" t="s">
        <v>123</v>
      </c>
      <c r="C46" s="306">
        <f t="shared" si="15"/>
        <v>0</v>
      </c>
      <c r="D46" s="307"/>
      <c r="E46" s="346"/>
      <c r="F46" s="307"/>
      <c r="G46" s="346"/>
      <c r="H46" s="307">
        <v>0</v>
      </c>
      <c r="I46" s="307"/>
      <c r="J46" s="307">
        <v>0</v>
      </c>
      <c r="K46" s="307">
        <v>0</v>
      </c>
      <c r="L46" s="307"/>
      <c r="M46" s="307">
        <v>0</v>
      </c>
      <c r="N46" s="307">
        <v>0</v>
      </c>
      <c r="O46" s="306">
        <f t="shared" si="16"/>
        <v>0</v>
      </c>
      <c r="P46" s="307"/>
      <c r="Q46" s="307">
        <v>0</v>
      </c>
      <c r="R46" s="307">
        <v>0</v>
      </c>
      <c r="S46" s="307">
        <v>0</v>
      </c>
      <c r="T46" s="307">
        <v>0</v>
      </c>
      <c r="U46" s="307">
        <v>0</v>
      </c>
      <c r="V46" s="307">
        <v>0</v>
      </c>
      <c r="W46" s="307">
        <v>0</v>
      </c>
      <c r="X46" s="307">
        <v>0</v>
      </c>
      <c r="Y46" s="307">
        <v>0</v>
      </c>
      <c r="AB46" s="590"/>
    </row>
    <row r="47" spans="1:28" s="577" customFormat="1" ht="15.75" customHeight="1">
      <c r="A47" s="592">
        <f>A46+10</f>
        <v>350</v>
      </c>
      <c r="B47" s="593" t="s">
        <v>124</v>
      </c>
      <c r="C47" s="306">
        <f t="shared" si="15"/>
        <v>12963628</v>
      </c>
      <c r="D47" s="307">
        <v>12963628</v>
      </c>
      <c r="E47" s="346">
        <v>0.21301923706277676</v>
      </c>
      <c r="F47" s="307">
        <v>0</v>
      </c>
      <c r="G47" s="346"/>
      <c r="H47" s="307">
        <v>12963628</v>
      </c>
      <c r="I47" s="307"/>
      <c r="J47" s="307">
        <v>69439</v>
      </c>
      <c r="K47" s="307">
        <v>0</v>
      </c>
      <c r="L47" s="307"/>
      <c r="M47" s="307">
        <v>7056083</v>
      </c>
      <c r="N47" s="307">
        <v>0</v>
      </c>
      <c r="O47" s="306">
        <f t="shared" si="16"/>
        <v>5754484</v>
      </c>
      <c r="P47" s="307"/>
      <c r="Q47" s="307">
        <v>5754484</v>
      </c>
      <c r="R47" s="307">
        <v>5063</v>
      </c>
      <c r="S47" s="307">
        <v>0</v>
      </c>
      <c r="T47" s="307">
        <v>0</v>
      </c>
      <c r="U47" s="307">
        <v>0</v>
      </c>
      <c r="V47" s="307">
        <v>21700</v>
      </c>
      <c r="W47" s="307">
        <v>56859</v>
      </c>
      <c r="X47" s="307">
        <v>0</v>
      </c>
      <c r="Y47" s="307">
        <v>0</v>
      </c>
      <c r="AB47" s="590"/>
    </row>
    <row r="48" spans="1:28" s="577" customFormat="1" ht="15.75" customHeight="1">
      <c r="A48" s="578">
        <f>A47+10</f>
        <v>360</v>
      </c>
      <c r="B48" s="596" t="s">
        <v>134</v>
      </c>
      <c r="C48" s="308">
        <f t="shared" ref="C48" si="17">SUM(J48:Y48)-L48-P48-Q48</f>
        <v>151920268</v>
      </c>
      <c r="D48" s="308">
        <f>SUM(D42:D47)</f>
        <v>132422106</v>
      </c>
      <c r="E48" s="348">
        <f>IFERROR(((D42*E42)/D48)+((D43*E43)/D48)+((D44*E44)/D48)+((D45*E45)/D48)+((D46*E46)/D48)+((D47*E47)/D48),0)</f>
        <v>0.20643069325323563</v>
      </c>
      <c r="F48" s="308">
        <f>SUM(F42:F47)</f>
        <v>19498162</v>
      </c>
      <c r="G48" s="348">
        <f>IFERROR(((F42*G42)/F48)+((F43*G43)/F48)+((F44*G44)/F48)+((F45*G45)/F48)+((F46*G46)/F48)+((F47*G47)/F48),0)</f>
        <v>9.7125216915127391E-2</v>
      </c>
      <c r="H48" s="308">
        <f t="shared" ref="H48:Y48" si="18">SUM(H42:H47)</f>
        <v>151920268</v>
      </c>
      <c r="I48" s="308">
        <f t="shared" si="18"/>
        <v>0</v>
      </c>
      <c r="J48" s="308">
        <f t="shared" si="18"/>
        <v>399630</v>
      </c>
      <c r="K48" s="308">
        <f t="shared" si="18"/>
        <v>0</v>
      </c>
      <c r="L48" s="308">
        <f t="shared" si="18"/>
        <v>0</v>
      </c>
      <c r="M48" s="308">
        <f t="shared" si="18"/>
        <v>22568961</v>
      </c>
      <c r="N48" s="308">
        <f t="shared" si="18"/>
        <v>0</v>
      </c>
      <c r="O48" s="308">
        <f t="shared" si="18"/>
        <v>116609075</v>
      </c>
      <c r="P48" s="308">
        <f t="shared" si="18"/>
        <v>0</v>
      </c>
      <c r="Q48" s="308">
        <f t="shared" si="18"/>
        <v>116609075</v>
      </c>
      <c r="R48" s="308">
        <f t="shared" si="18"/>
        <v>10053844</v>
      </c>
      <c r="S48" s="308">
        <f t="shared" si="18"/>
        <v>0</v>
      </c>
      <c r="T48" s="308">
        <f t="shared" si="18"/>
        <v>0</v>
      </c>
      <c r="U48" s="308">
        <f t="shared" si="18"/>
        <v>0</v>
      </c>
      <c r="V48" s="308">
        <f t="shared" si="18"/>
        <v>2121676</v>
      </c>
      <c r="W48" s="308">
        <f t="shared" si="18"/>
        <v>158453</v>
      </c>
      <c r="X48" s="308">
        <f t="shared" si="18"/>
        <v>0</v>
      </c>
      <c r="Y48" s="308">
        <f t="shared" si="18"/>
        <v>8629</v>
      </c>
      <c r="AB48" s="590"/>
    </row>
    <row r="49" spans="1:28" s="577" customFormat="1" ht="15.75" customHeight="1">
      <c r="A49" s="578"/>
      <c r="B49" s="596" t="s">
        <v>135</v>
      </c>
      <c r="C49" s="308"/>
      <c r="D49" s="308"/>
      <c r="E49" s="348"/>
      <c r="F49" s="308"/>
      <c r="G49" s="348"/>
      <c r="H49" s="308"/>
      <c r="I49" s="308"/>
      <c r="J49" s="308"/>
      <c r="K49" s="308"/>
      <c r="L49" s="308"/>
      <c r="M49" s="308"/>
      <c r="N49" s="308"/>
      <c r="O49" s="308"/>
      <c r="P49" s="308"/>
      <c r="Q49" s="308"/>
      <c r="R49" s="308"/>
      <c r="S49" s="308"/>
      <c r="T49" s="308"/>
      <c r="U49" s="308"/>
      <c r="V49" s="308"/>
      <c r="W49" s="308"/>
      <c r="X49" s="308"/>
      <c r="Y49" s="308"/>
      <c r="AB49" s="590"/>
    </row>
    <row r="50" spans="1:28" s="577" customFormat="1" ht="15.75" customHeight="1">
      <c r="A50" s="589">
        <f>A48+10</f>
        <v>370</v>
      </c>
      <c r="B50" s="306" t="s">
        <v>119</v>
      </c>
      <c r="C50" s="306">
        <f t="shared" ref="C50:C56" si="19">SUM(J50:Y50)-L50-P50-Q50</f>
        <v>0</v>
      </c>
      <c r="D50" s="307"/>
      <c r="E50" s="345"/>
      <c r="F50" s="115"/>
      <c r="G50" s="345"/>
      <c r="H50" s="115"/>
      <c r="I50" s="115"/>
      <c r="J50" s="115"/>
      <c r="K50" s="115"/>
      <c r="L50" s="115"/>
      <c r="M50" s="115"/>
      <c r="N50" s="115"/>
      <c r="O50" s="306">
        <f t="shared" ref="O50:O55" si="20">+P50+Q50</f>
        <v>0</v>
      </c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AB50" s="590"/>
    </row>
    <row r="51" spans="1:28" s="577" customFormat="1" ht="15.75" customHeight="1">
      <c r="A51" s="589">
        <f t="shared" si="1"/>
        <v>380</v>
      </c>
      <c r="B51" s="306" t="s">
        <v>120</v>
      </c>
      <c r="C51" s="306">
        <f t="shared" si="19"/>
        <v>12225981</v>
      </c>
      <c r="D51" s="307">
        <v>12225981</v>
      </c>
      <c r="E51" s="346">
        <v>0.23926522601068664</v>
      </c>
      <c r="F51" s="307"/>
      <c r="G51" s="346"/>
      <c r="H51" s="307">
        <v>12225981</v>
      </c>
      <c r="I51" s="307"/>
      <c r="J51" s="307"/>
      <c r="K51" s="307"/>
      <c r="L51" s="307"/>
      <c r="M51" s="307">
        <v>12131742</v>
      </c>
      <c r="N51" s="307">
        <v>0</v>
      </c>
      <c r="O51" s="306">
        <f t="shared" si="20"/>
        <v>0</v>
      </c>
      <c r="P51" s="307"/>
      <c r="Q51" s="307">
        <v>0</v>
      </c>
      <c r="R51" s="307">
        <v>0</v>
      </c>
      <c r="S51" s="307">
        <v>0</v>
      </c>
      <c r="T51" s="307">
        <v>0</v>
      </c>
      <c r="U51" s="307">
        <v>0</v>
      </c>
      <c r="V51" s="307">
        <v>0</v>
      </c>
      <c r="W51" s="307">
        <v>94239</v>
      </c>
      <c r="X51" s="307">
        <v>0</v>
      </c>
      <c r="Y51" s="307">
        <v>0</v>
      </c>
      <c r="AB51" s="590"/>
    </row>
    <row r="52" spans="1:28" s="577" customFormat="1" ht="15.75" customHeight="1">
      <c r="A52" s="592">
        <f t="shared" si="1"/>
        <v>390</v>
      </c>
      <c r="B52" s="593" t="s">
        <v>121</v>
      </c>
      <c r="C52" s="306">
        <f t="shared" si="19"/>
        <v>0</v>
      </c>
      <c r="D52" s="307"/>
      <c r="E52" s="346"/>
      <c r="F52" s="307"/>
      <c r="G52" s="346"/>
      <c r="H52" s="307"/>
      <c r="I52" s="566"/>
      <c r="J52" s="307"/>
      <c r="K52" s="566"/>
      <c r="L52" s="307"/>
      <c r="M52" s="307">
        <v>0</v>
      </c>
      <c r="N52" s="307">
        <v>0</v>
      </c>
      <c r="O52" s="306">
        <f t="shared" si="20"/>
        <v>0</v>
      </c>
      <c r="P52" s="307"/>
      <c r="Q52" s="307">
        <v>0</v>
      </c>
      <c r="R52" s="307">
        <v>0</v>
      </c>
      <c r="S52" s="307">
        <v>0</v>
      </c>
      <c r="T52" s="307">
        <v>0</v>
      </c>
      <c r="U52" s="307">
        <v>0</v>
      </c>
      <c r="V52" s="307">
        <v>0</v>
      </c>
      <c r="W52" s="307">
        <v>0</v>
      </c>
      <c r="X52" s="307">
        <v>0</v>
      </c>
      <c r="Y52" s="307">
        <v>0</v>
      </c>
      <c r="AB52" s="590"/>
    </row>
    <row r="53" spans="1:28" s="577" customFormat="1" ht="15.75" customHeight="1">
      <c r="A53" s="592">
        <f t="shared" si="1"/>
        <v>400</v>
      </c>
      <c r="B53" s="593" t="s">
        <v>122</v>
      </c>
      <c r="C53" s="306">
        <f t="shared" si="19"/>
        <v>64716721</v>
      </c>
      <c r="D53" s="307">
        <v>64716721</v>
      </c>
      <c r="E53" s="346">
        <v>0.17578656785417635</v>
      </c>
      <c r="F53" s="307"/>
      <c r="G53" s="346"/>
      <c r="H53" s="307">
        <v>64716721</v>
      </c>
      <c r="I53" s="307"/>
      <c r="J53" s="307"/>
      <c r="K53" s="307"/>
      <c r="L53" s="307"/>
      <c r="M53" s="307">
        <v>37749979</v>
      </c>
      <c r="N53" s="307">
        <v>0</v>
      </c>
      <c r="O53" s="306">
        <f t="shared" si="20"/>
        <v>26271364</v>
      </c>
      <c r="P53" s="307"/>
      <c r="Q53" s="307">
        <v>26271364</v>
      </c>
      <c r="R53" s="307">
        <v>152124</v>
      </c>
      <c r="S53" s="307">
        <v>0</v>
      </c>
      <c r="T53" s="307">
        <v>0</v>
      </c>
      <c r="U53" s="307">
        <v>0</v>
      </c>
      <c r="V53" s="307">
        <v>0</v>
      </c>
      <c r="W53" s="307">
        <v>543254</v>
      </c>
      <c r="X53" s="307">
        <v>0</v>
      </c>
      <c r="Y53" s="307">
        <v>0</v>
      </c>
      <c r="AB53" s="590"/>
    </row>
    <row r="54" spans="1:28" s="577" customFormat="1" ht="15.75" customHeight="1">
      <c r="A54" s="592">
        <f t="shared" si="1"/>
        <v>410</v>
      </c>
      <c r="B54" s="595" t="s">
        <v>123</v>
      </c>
      <c r="C54" s="306">
        <f t="shared" si="19"/>
        <v>0</v>
      </c>
      <c r="D54" s="307"/>
      <c r="E54" s="346"/>
      <c r="F54" s="307"/>
      <c r="G54" s="346"/>
      <c r="H54" s="307"/>
      <c r="I54" s="307"/>
      <c r="J54" s="307"/>
      <c r="K54" s="307"/>
      <c r="L54" s="307"/>
      <c r="M54" s="307"/>
      <c r="N54" s="307"/>
      <c r="O54" s="306">
        <f t="shared" si="20"/>
        <v>0</v>
      </c>
      <c r="P54" s="307"/>
      <c r="Q54" s="307"/>
      <c r="R54" s="307"/>
      <c r="S54" s="307"/>
      <c r="T54" s="307"/>
      <c r="U54" s="307"/>
      <c r="V54" s="307"/>
      <c r="W54" s="307"/>
      <c r="X54" s="307"/>
      <c r="Y54" s="307"/>
      <c r="AB54" s="590"/>
    </row>
    <row r="55" spans="1:28" s="577" customFormat="1" ht="15.75" customHeight="1">
      <c r="A55" s="592">
        <f>A54+10</f>
        <v>420</v>
      </c>
      <c r="B55" s="593" t="s">
        <v>124</v>
      </c>
      <c r="C55" s="306">
        <f t="shared" si="19"/>
        <v>0</v>
      </c>
      <c r="D55" s="307"/>
      <c r="E55" s="346"/>
      <c r="F55" s="307"/>
      <c r="G55" s="346"/>
      <c r="H55" s="307"/>
      <c r="I55" s="307"/>
      <c r="J55" s="307"/>
      <c r="K55" s="307"/>
      <c r="L55" s="307"/>
      <c r="M55" s="307"/>
      <c r="N55" s="307"/>
      <c r="O55" s="306">
        <f t="shared" si="20"/>
        <v>0</v>
      </c>
      <c r="P55" s="307"/>
      <c r="Q55" s="307"/>
      <c r="R55" s="307"/>
      <c r="S55" s="307"/>
      <c r="T55" s="307"/>
      <c r="U55" s="307"/>
      <c r="V55" s="307"/>
      <c r="W55" s="307"/>
      <c r="X55" s="307"/>
      <c r="Y55" s="307"/>
      <c r="AB55" s="590"/>
    </row>
    <row r="56" spans="1:28" s="577" customFormat="1" ht="15.75" customHeight="1">
      <c r="A56" s="578">
        <f>A55+10</f>
        <v>430</v>
      </c>
      <c r="B56" s="596" t="s">
        <v>136</v>
      </c>
      <c r="C56" s="308">
        <f t="shared" si="19"/>
        <v>76942702</v>
      </c>
      <c r="D56" s="308">
        <f>SUM(D50:D55)</f>
        <v>76942702</v>
      </c>
      <c r="E56" s="348">
        <f>IFERROR(((D50*E50)/D56)+((D51*E51)/D56)+((D52*E52)/D56)+((D53*E53)/D56)+((D54*E54)/D56)+((D55*E55)/D56),0)</f>
        <v>0.18587314979572281</v>
      </c>
      <c r="F56" s="308">
        <f>SUM(F50:F55)</f>
        <v>0</v>
      </c>
      <c r="G56" s="348">
        <f>IFERROR(((F50*G50)/F56)+((F51*G51)/F56)+((F52*G52)/F56)+((F53*G53)/F56)+((F54*G54)/F56)+((F55*G55)/F56),0)</f>
        <v>0</v>
      </c>
      <c r="H56" s="308">
        <f t="shared" ref="H56:Y56" si="21">SUM(H50:H55)</f>
        <v>76942702</v>
      </c>
      <c r="I56" s="308">
        <f t="shared" si="21"/>
        <v>0</v>
      </c>
      <c r="J56" s="308">
        <f t="shared" si="21"/>
        <v>0</v>
      </c>
      <c r="K56" s="308">
        <f t="shared" si="21"/>
        <v>0</v>
      </c>
      <c r="L56" s="308">
        <f t="shared" si="21"/>
        <v>0</v>
      </c>
      <c r="M56" s="308">
        <f t="shared" si="21"/>
        <v>49881721</v>
      </c>
      <c r="N56" s="308">
        <f t="shared" si="21"/>
        <v>0</v>
      </c>
      <c r="O56" s="308">
        <f t="shared" si="21"/>
        <v>26271364</v>
      </c>
      <c r="P56" s="308">
        <f t="shared" si="21"/>
        <v>0</v>
      </c>
      <c r="Q56" s="308">
        <f t="shared" si="21"/>
        <v>26271364</v>
      </c>
      <c r="R56" s="308">
        <f t="shared" si="21"/>
        <v>152124</v>
      </c>
      <c r="S56" s="308">
        <f t="shared" si="21"/>
        <v>0</v>
      </c>
      <c r="T56" s="308">
        <f t="shared" si="21"/>
        <v>0</v>
      </c>
      <c r="U56" s="308">
        <f t="shared" si="21"/>
        <v>0</v>
      </c>
      <c r="V56" s="308">
        <f t="shared" si="21"/>
        <v>0</v>
      </c>
      <c r="W56" s="308">
        <f t="shared" si="21"/>
        <v>637493</v>
      </c>
      <c r="X56" s="308">
        <f t="shared" si="21"/>
        <v>0</v>
      </c>
      <c r="Y56" s="308">
        <f t="shared" si="21"/>
        <v>0</v>
      </c>
      <c r="AB56" s="590"/>
    </row>
    <row r="57" spans="1:28" s="577" customFormat="1" ht="15.75" customHeight="1">
      <c r="A57" s="578"/>
      <c r="B57" s="596" t="s">
        <v>137</v>
      </c>
      <c r="C57" s="308"/>
      <c r="D57" s="308"/>
      <c r="E57" s="348"/>
      <c r="F57" s="308"/>
      <c r="G57" s="348"/>
      <c r="H57" s="308"/>
      <c r="I57" s="308"/>
      <c r="J57" s="308"/>
      <c r="K57" s="308"/>
      <c r="L57" s="308"/>
      <c r="M57" s="308"/>
      <c r="N57" s="308"/>
      <c r="O57" s="308"/>
      <c r="P57" s="308"/>
      <c r="Q57" s="308"/>
      <c r="R57" s="308"/>
      <c r="S57" s="308"/>
      <c r="T57" s="308"/>
      <c r="U57" s="308"/>
      <c r="V57" s="308"/>
      <c r="W57" s="308"/>
      <c r="X57" s="308"/>
      <c r="Y57" s="308"/>
      <c r="AB57" s="590"/>
    </row>
    <row r="58" spans="1:28" s="577" customFormat="1" ht="15.75" customHeight="1">
      <c r="A58" s="589">
        <f>A56+10</f>
        <v>440</v>
      </c>
      <c r="B58" s="306" t="s">
        <v>119</v>
      </c>
      <c r="C58" s="306">
        <f t="shared" ref="C58:C64" si="22">SUM(J58:Y58)-L58-P58-Q58</f>
        <v>0</v>
      </c>
      <c r="D58" s="307"/>
      <c r="E58" s="345"/>
      <c r="F58" s="115"/>
      <c r="G58" s="345"/>
      <c r="H58" s="115"/>
      <c r="I58" s="115"/>
      <c r="J58" s="115"/>
      <c r="K58" s="115"/>
      <c r="L58" s="115"/>
      <c r="M58" s="115"/>
      <c r="N58" s="115"/>
      <c r="O58" s="306">
        <f t="shared" ref="O58:O64" si="23">+P58+Q58</f>
        <v>0</v>
      </c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AB58" s="590"/>
    </row>
    <row r="59" spans="1:28" s="577" customFormat="1" ht="15.75" customHeight="1">
      <c r="A59" s="589">
        <f t="shared" si="1"/>
        <v>450</v>
      </c>
      <c r="B59" s="306" t="s">
        <v>120</v>
      </c>
      <c r="C59" s="306">
        <f t="shared" si="22"/>
        <v>0</v>
      </c>
      <c r="D59" s="307"/>
      <c r="E59" s="346"/>
      <c r="F59" s="307"/>
      <c r="G59" s="346"/>
      <c r="H59" s="307"/>
      <c r="I59" s="307"/>
      <c r="J59" s="307"/>
      <c r="K59" s="307"/>
      <c r="L59" s="307"/>
      <c r="M59" s="307"/>
      <c r="N59" s="307"/>
      <c r="O59" s="306">
        <f t="shared" si="23"/>
        <v>0</v>
      </c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AB59" s="590"/>
    </row>
    <row r="60" spans="1:28" s="577" customFormat="1" ht="15.75" customHeight="1">
      <c r="A60" s="592">
        <f t="shared" si="1"/>
        <v>460</v>
      </c>
      <c r="B60" s="593" t="s">
        <v>121</v>
      </c>
      <c r="C60" s="306">
        <f t="shared" si="22"/>
        <v>0</v>
      </c>
      <c r="D60" s="307"/>
      <c r="E60" s="346"/>
      <c r="F60" s="307"/>
      <c r="G60" s="346"/>
      <c r="H60" s="307"/>
      <c r="I60" s="566"/>
      <c r="J60" s="307"/>
      <c r="K60" s="566"/>
      <c r="L60" s="307"/>
      <c r="M60" s="307"/>
      <c r="N60" s="307"/>
      <c r="O60" s="306">
        <f t="shared" si="23"/>
        <v>0</v>
      </c>
      <c r="P60" s="307"/>
      <c r="Q60" s="307"/>
      <c r="R60" s="307"/>
      <c r="S60" s="307"/>
      <c r="T60" s="307"/>
      <c r="U60" s="307"/>
      <c r="V60" s="307"/>
      <c r="W60" s="307"/>
      <c r="X60" s="307"/>
      <c r="Y60" s="307"/>
      <c r="AB60" s="590"/>
    </row>
    <row r="61" spans="1:28" s="577" customFormat="1" ht="15.75" customHeight="1">
      <c r="A61" s="592">
        <f t="shared" si="1"/>
        <v>470</v>
      </c>
      <c r="B61" s="593" t="s">
        <v>122</v>
      </c>
      <c r="C61" s="306">
        <f t="shared" si="22"/>
        <v>8977191</v>
      </c>
      <c r="D61" s="307">
        <v>8977191</v>
      </c>
      <c r="E61" s="346">
        <v>0.18582245988026386</v>
      </c>
      <c r="F61" s="307"/>
      <c r="G61" s="346"/>
      <c r="H61" s="307">
        <v>8977191</v>
      </c>
      <c r="I61" s="307"/>
      <c r="J61" s="307">
        <v>35280</v>
      </c>
      <c r="K61" s="307">
        <v>0</v>
      </c>
      <c r="L61" s="307"/>
      <c r="M61" s="307">
        <v>966938</v>
      </c>
      <c r="N61" s="307">
        <v>0</v>
      </c>
      <c r="O61" s="306">
        <f t="shared" si="23"/>
        <v>6063448</v>
      </c>
      <c r="P61" s="307"/>
      <c r="Q61" s="307">
        <v>6063448</v>
      </c>
      <c r="R61" s="307">
        <v>0</v>
      </c>
      <c r="S61" s="307">
        <v>0</v>
      </c>
      <c r="T61" s="307">
        <v>0</v>
      </c>
      <c r="U61" s="307">
        <v>0</v>
      </c>
      <c r="V61" s="307">
        <v>20417</v>
      </c>
      <c r="W61" s="307">
        <v>1891108</v>
      </c>
      <c r="X61" s="307">
        <v>0</v>
      </c>
      <c r="Y61" s="307">
        <v>0</v>
      </c>
      <c r="AB61" s="590"/>
    </row>
    <row r="62" spans="1:28" s="577" customFormat="1" ht="15.75" customHeight="1">
      <c r="A62" s="592">
        <f t="shared" si="1"/>
        <v>480</v>
      </c>
      <c r="B62" s="595" t="s">
        <v>123</v>
      </c>
      <c r="C62" s="306">
        <f t="shared" si="22"/>
        <v>0</v>
      </c>
      <c r="D62" s="307"/>
      <c r="E62" s="346"/>
      <c r="F62" s="307"/>
      <c r="G62" s="346"/>
      <c r="H62" s="307">
        <v>0</v>
      </c>
      <c r="I62" s="307"/>
      <c r="J62" s="307">
        <v>0</v>
      </c>
      <c r="K62" s="307">
        <v>0</v>
      </c>
      <c r="L62" s="307"/>
      <c r="M62" s="307">
        <v>0</v>
      </c>
      <c r="N62" s="307">
        <v>0</v>
      </c>
      <c r="O62" s="306">
        <f t="shared" si="23"/>
        <v>0</v>
      </c>
      <c r="P62" s="307"/>
      <c r="Q62" s="307">
        <v>0</v>
      </c>
      <c r="R62" s="307">
        <v>0</v>
      </c>
      <c r="S62" s="307">
        <v>0</v>
      </c>
      <c r="T62" s="307">
        <v>0</v>
      </c>
      <c r="U62" s="307">
        <v>0</v>
      </c>
      <c r="V62" s="307">
        <v>0</v>
      </c>
      <c r="W62" s="307">
        <v>0</v>
      </c>
      <c r="X62" s="307">
        <v>0</v>
      </c>
      <c r="Y62" s="307">
        <v>0</v>
      </c>
      <c r="AB62" s="590"/>
    </row>
    <row r="63" spans="1:28" s="577" customFormat="1" ht="15.75" customHeight="1">
      <c r="A63" s="592">
        <v>485</v>
      </c>
      <c r="B63" s="595" t="s">
        <v>143</v>
      </c>
      <c r="C63" s="306">
        <f t="shared" ref="C63" si="24">SUM(J63:Y63)-L63-P63-Q63</f>
        <v>12433813</v>
      </c>
      <c r="D63" s="307">
        <v>12433813</v>
      </c>
      <c r="E63" s="346">
        <v>0.12478983384439206</v>
      </c>
      <c r="F63" s="307"/>
      <c r="G63" s="346"/>
      <c r="H63" s="307">
        <v>12433813</v>
      </c>
      <c r="I63" s="307"/>
      <c r="J63" s="307">
        <v>0</v>
      </c>
      <c r="K63" s="307">
        <v>0</v>
      </c>
      <c r="L63" s="307"/>
      <c r="M63" s="307">
        <v>384155</v>
      </c>
      <c r="N63" s="307">
        <v>0</v>
      </c>
      <c r="O63" s="306">
        <f t="shared" si="23"/>
        <v>0</v>
      </c>
      <c r="P63" s="307"/>
      <c r="Q63" s="307">
        <v>0</v>
      </c>
      <c r="R63" s="307">
        <v>0</v>
      </c>
      <c r="S63" s="307">
        <v>0</v>
      </c>
      <c r="T63" s="307">
        <v>0</v>
      </c>
      <c r="U63" s="307">
        <v>0</v>
      </c>
      <c r="V63" s="307">
        <v>860712</v>
      </c>
      <c r="W63" s="307">
        <v>9814300</v>
      </c>
      <c r="X63" s="307">
        <v>0</v>
      </c>
      <c r="Y63" s="307">
        <v>1374646</v>
      </c>
      <c r="AB63" s="590"/>
    </row>
    <row r="64" spans="1:28" s="577" customFormat="1" ht="15.75" customHeight="1">
      <c r="A64" s="592">
        <f>A62+10</f>
        <v>490</v>
      </c>
      <c r="B64" s="593" t="s">
        <v>124</v>
      </c>
      <c r="C64" s="306">
        <f t="shared" si="22"/>
        <v>0</v>
      </c>
      <c r="D64" s="307"/>
      <c r="E64" s="346"/>
      <c r="F64" s="307"/>
      <c r="G64" s="346"/>
      <c r="H64" s="307"/>
      <c r="I64" s="307"/>
      <c r="J64" s="307"/>
      <c r="K64" s="566"/>
      <c r="L64" s="307"/>
      <c r="M64" s="307"/>
      <c r="N64" s="307"/>
      <c r="O64" s="306">
        <f t="shared" si="23"/>
        <v>0</v>
      </c>
      <c r="P64" s="307"/>
      <c r="Q64" s="307"/>
      <c r="R64" s="307"/>
      <c r="S64" s="307"/>
      <c r="T64" s="307"/>
      <c r="U64" s="307"/>
      <c r="V64" s="307"/>
      <c r="W64" s="307"/>
      <c r="X64" s="307"/>
      <c r="Y64" s="307"/>
      <c r="AB64" s="590"/>
    </row>
    <row r="65" spans="1:28" s="577" customFormat="1" ht="15.75" customHeight="1">
      <c r="A65" s="578">
        <f>A64+10</f>
        <v>500</v>
      </c>
      <c r="B65" s="596" t="s">
        <v>138</v>
      </c>
      <c r="C65" s="308">
        <f t="shared" ref="C65:C78" si="25">SUM(J65:Y65)-L65-P65-Q65</f>
        <v>21411004</v>
      </c>
      <c r="D65" s="308">
        <f>SUM(D58:D64)</f>
        <v>21411004</v>
      </c>
      <c r="E65" s="348">
        <f>IFERROR(((D58*E58)/D65)+((D59*E59)/D65)+((D60*E60)/D65)+((D61*E61)/D65)+((D62*E62)/D65)+((D63*E63)/D65)+((D64*E64)/D65),0)</f>
        <v>0.15037955122315644</v>
      </c>
      <c r="F65" s="308">
        <f>SUM(F58:F64)</f>
        <v>0</v>
      </c>
      <c r="G65" s="348">
        <f>IFERROR(((F58*G58)/F65)+((F59*G59)/F65)+((F60*G60)/F65)+((F61*G61)/F65)+((F62*G62)/F65)+((F63*G63)/F65)+((F64*G64)/F65),0)</f>
        <v>0</v>
      </c>
      <c r="H65" s="308">
        <f t="shared" ref="H65:Y65" si="26">SUM(H58:H64)</f>
        <v>21411004</v>
      </c>
      <c r="I65" s="308">
        <f t="shared" si="26"/>
        <v>0</v>
      </c>
      <c r="J65" s="308">
        <f t="shared" si="26"/>
        <v>35280</v>
      </c>
      <c r="K65" s="308">
        <f t="shared" si="26"/>
        <v>0</v>
      </c>
      <c r="L65" s="308">
        <f t="shared" si="26"/>
        <v>0</v>
      </c>
      <c r="M65" s="308">
        <f t="shared" si="26"/>
        <v>1351093</v>
      </c>
      <c r="N65" s="308">
        <f t="shared" si="26"/>
        <v>0</v>
      </c>
      <c r="O65" s="308">
        <f t="shared" si="26"/>
        <v>6063448</v>
      </c>
      <c r="P65" s="308">
        <f t="shared" si="26"/>
        <v>0</v>
      </c>
      <c r="Q65" s="308">
        <f t="shared" si="26"/>
        <v>6063448</v>
      </c>
      <c r="R65" s="308">
        <f t="shared" si="26"/>
        <v>0</v>
      </c>
      <c r="S65" s="308">
        <f t="shared" si="26"/>
        <v>0</v>
      </c>
      <c r="T65" s="308">
        <f t="shared" si="26"/>
        <v>0</v>
      </c>
      <c r="U65" s="308">
        <f t="shared" si="26"/>
        <v>0</v>
      </c>
      <c r="V65" s="308">
        <f t="shared" si="26"/>
        <v>881129</v>
      </c>
      <c r="W65" s="308">
        <f t="shared" si="26"/>
        <v>11705408</v>
      </c>
      <c r="X65" s="308">
        <f t="shared" si="26"/>
        <v>0</v>
      </c>
      <c r="Y65" s="308">
        <f t="shared" si="26"/>
        <v>1374646</v>
      </c>
      <c r="AB65" s="590"/>
    </row>
    <row r="66" spans="1:28" s="577" customFormat="1" ht="15.75" customHeight="1">
      <c r="A66" s="578"/>
      <c r="B66" s="596" t="s">
        <v>139</v>
      </c>
      <c r="C66" s="308"/>
      <c r="D66" s="309"/>
      <c r="E66" s="347"/>
      <c r="F66" s="309"/>
      <c r="G66" s="347"/>
      <c r="H66" s="309"/>
      <c r="I66" s="309"/>
      <c r="J66" s="309"/>
      <c r="K66" s="309"/>
      <c r="L66" s="309"/>
      <c r="M66" s="309"/>
      <c r="N66" s="309"/>
      <c r="O66" s="308"/>
      <c r="P66" s="309"/>
      <c r="Q66" s="309"/>
      <c r="R66" s="309"/>
      <c r="S66" s="309"/>
      <c r="T66" s="309"/>
      <c r="U66" s="309"/>
      <c r="V66" s="309"/>
      <c r="W66" s="309"/>
      <c r="X66" s="309"/>
      <c r="Y66" s="309"/>
      <c r="AB66" s="590"/>
    </row>
    <row r="67" spans="1:28" s="577" customFormat="1" ht="15.75" customHeight="1">
      <c r="A67" s="589">
        <f>A65+10</f>
        <v>510</v>
      </c>
      <c r="B67" s="306" t="s">
        <v>119</v>
      </c>
      <c r="C67" s="306">
        <f t="shared" si="25"/>
        <v>1022400185</v>
      </c>
      <c r="D67" s="307">
        <v>1022400185</v>
      </c>
      <c r="E67" s="345">
        <v>0.19719004211566901</v>
      </c>
      <c r="F67" s="115">
        <v>0</v>
      </c>
      <c r="G67" s="345">
        <v>0</v>
      </c>
      <c r="H67" s="115">
        <v>1018793154</v>
      </c>
      <c r="I67" s="115">
        <v>3607031</v>
      </c>
      <c r="J67" s="115">
        <v>193441807</v>
      </c>
      <c r="K67" s="115">
        <v>0</v>
      </c>
      <c r="L67" s="115"/>
      <c r="M67" s="115">
        <v>144465513</v>
      </c>
      <c r="N67" s="115">
        <v>0</v>
      </c>
      <c r="O67" s="306">
        <f t="shared" ref="O67:O77" si="27">+P67+Q67</f>
        <v>371161921</v>
      </c>
      <c r="P67" s="115"/>
      <c r="Q67" s="115">
        <v>371161921</v>
      </c>
      <c r="R67" s="115">
        <v>10617</v>
      </c>
      <c r="S67" s="115">
        <v>0</v>
      </c>
      <c r="T67" s="115">
        <v>0</v>
      </c>
      <c r="U67" s="115">
        <v>690</v>
      </c>
      <c r="V67" s="115">
        <v>222143940</v>
      </c>
      <c r="W67" s="115">
        <v>85150479</v>
      </c>
      <c r="X67" s="115">
        <v>6020690</v>
      </c>
      <c r="Y67" s="115">
        <v>4528</v>
      </c>
      <c r="AB67" s="590"/>
    </row>
    <row r="68" spans="1:28" s="577" customFormat="1" ht="15.75" customHeight="1">
      <c r="A68" s="589">
        <f t="shared" si="1"/>
        <v>520</v>
      </c>
      <c r="B68" s="306" t="s">
        <v>120</v>
      </c>
      <c r="C68" s="306">
        <f t="shared" si="25"/>
        <v>322267639</v>
      </c>
      <c r="D68" s="307">
        <v>7960039</v>
      </c>
      <c r="E68" s="346">
        <v>0.2196933710074</v>
      </c>
      <c r="F68" s="307">
        <v>314307600</v>
      </c>
      <c r="G68" s="346">
        <v>6.0599999999999994E-2</v>
      </c>
      <c r="H68" s="307">
        <v>322267639</v>
      </c>
      <c r="I68" s="307">
        <v>0</v>
      </c>
      <c r="J68" s="307">
        <v>0</v>
      </c>
      <c r="K68" s="307">
        <v>0</v>
      </c>
      <c r="L68" s="307"/>
      <c r="M68" s="307">
        <v>1165049</v>
      </c>
      <c r="N68" s="307">
        <v>0</v>
      </c>
      <c r="O68" s="306">
        <f t="shared" si="27"/>
        <v>6784990</v>
      </c>
      <c r="P68" s="307"/>
      <c r="Q68" s="307">
        <v>6784990</v>
      </c>
      <c r="R68" s="307">
        <v>0</v>
      </c>
      <c r="S68" s="307">
        <v>0</v>
      </c>
      <c r="T68" s="307">
        <v>0</v>
      </c>
      <c r="U68" s="307">
        <v>0</v>
      </c>
      <c r="V68" s="307">
        <v>10000</v>
      </c>
      <c r="W68" s="307">
        <v>314307600</v>
      </c>
      <c r="X68" s="307">
        <v>0</v>
      </c>
      <c r="Y68" s="307">
        <v>0</v>
      </c>
      <c r="AB68" s="590"/>
    </row>
    <row r="69" spans="1:28" s="577" customFormat="1" ht="15.75" customHeight="1">
      <c r="A69" s="592">
        <f t="shared" si="1"/>
        <v>530</v>
      </c>
      <c r="B69" s="593" t="s">
        <v>121</v>
      </c>
      <c r="C69" s="306">
        <f t="shared" si="25"/>
        <v>134881623</v>
      </c>
      <c r="D69" s="307">
        <v>2703094</v>
      </c>
      <c r="E69" s="345">
        <v>0.18</v>
      </c>
      <c r="F69" s="115">
        <v>132178529</v>
      </c>
      <c r="G69" s="345">
        <v>8.8143705435307113E-2</v>
      </c>
      <c r="H69" s="115">
        <v>134881623</v>
      </c>
      <c r="I69" s="115">
        <v>0</v>
      </c>
      <c r="J69" s="115">
        <v>0</v>
      </c>
      <c r="K69" s="115">
        <v>0</v>
      </c>
      <c r="L69" s="115"/>
      <c r="M69" s="115">
        <v>326027</v>
      </c>
      <c r="N69" s="115">
        <v>0</v>
      </c>
      <c r="O69" s="306">
        <f t="shared" si="27"/>
        <v>57874522</v>
      </c>
      <c r="P69" s="307"/>
      <c r="Q69" s="307">
        <v>57874522</v>
      </c>
      <c r="R69" s="307">
        <v>75398481</v>
      </c>
      <c r="S69" s="307">
        <v>0</v>
      </c>
      <c r="T69" s="307">
        <v>0</v>
      </c>
      <c r="U69" s="307">
        <v>0</v>
      </c>
      <c r="V69" s="307">
        <v>1274943</v>
      </c>
      <c r="W69" s="307">
        <v>0</v>
      </c>
      <c r="X69" s="307">
        <v>0</v>
      </c>
      <c r="Y69" s="307">
        <v>7650</v>
      </c>
      <c r="AB69" s="590"/>
    </row>
    <row r="70" spans="1:28" s="577" customFormat="1" ht="15.75" customHeight="1">
      <c r="A70" s="592">
        <f t="shared" si="1"/>
        <v>540</v>
      </c>
      <c r="B70" s="593" t="s">
        <v>122</v>
      </c>
      <c r="C70" s="306">
        <f t="shared" si="25"/>
        <v>2030621814</v>
      </c>
      <c r="D70" s="307">
        <v>1208591601</v>
      </c>
      <c r="E70" s="346">
        <v>0.18412004893580788</v>
      </c>
      <c r="F70" s="307">
        <v>822030213</v>
      </c>
      <c r="G70" s="346">
        <v>8.4236649496780863E-2</v>
      </c>
      <c r="H70" s="307">
        <v>2025282802</v>
      </c>
      <c r="I70" s="307">
        <v>5339012</v>
      </c>
      <c r="J70" s="307">
        <v>34833878</v>
      </c>
      <c r="K70" s="307">
        <v>0</v>
      </c>
      <c r="L70" s="307"/>
      <c r="M70" s="307">
        <v>418325953</v>
      </c>
      <c r="N70" s="307">
        <v>399690</v>
      </c>
      <c r="O70" s="306">
        <f t="shared" si="27"/>
        <v>1151627687</v>
      </c>
      <c r="P70" s="115"/>
      <c r="Q70" s="115">
        <v>1151627687</v>
      </c>
      <c r="R70" s="115">
        <v>292369018</v>
      </c>
      <c r="S70" s="115">
        <v>0</v>
      </c>
      <c r="T70" s="115">
        <v>0</v>
      </c>
      <c r="U70" s="115">
        <v>0</v>
      </c>
      <c r="V70" s="115">
        <v>92430565</v>
      </c>
      <c r="W70" s="115">
        <v>40336215</v>
      </c>
      <c r="X70" s="115">
        <v>0</v>
      </c>
      <c r="Y70" s="115">
        <v>298808</v>
      </c>
      <c r="AB70" s="590"/>
    </row>
    <row r="71" spans="1:28" s="577" customFormat="1" ht="15.75" customHeight="1">
      <c r="A71" s="592">
        <f t="shared" si="1"/>
        <v>550</v>
      </c>
      <c r="B71" s="593" t="s">
        <v>140</v>
      </c>
      <c r="C71" s="306">
        <f t="shared" si="25"/>
        <v>0</v>
      </c>
      <c r="D71" s="307"/>
      <c r="E71" s="346"/>
      <c r="F71" s="307"/>
      <c r="G71" s="346"/>
      <c r="H71" s="307">
        <v>0</v>
      </c>
      <c r="I71" s="566">
        <v>0</v>
      </c>
      <c r="J71" s="307">
        <v>0</v>
      </c>
      <c r="K71" s="566">
        <v>0</v>
      </c>
      <c r="L71" s="307"/>
      <c r="M71" s="307">
        <v>0</v>
      </c>
      <c r="N71" s="307">
        <v>0</v>
      </c>
      <c r="O71" s="306">
        <f t="shared" si="27"/>
        <v>0</v>
      </c>
      <c r="P71" s="307"/>
      <c r="Q71" s="307">
        <v>0</v>
      </c>
      <c r="R71" s="307">
        <v>0</v>
      </c>
      <c r="S71" s="307">
        <v>0</v>
      </c>
      <c r="T71" s="307">
        <v>0</v>
      </c>
      <c r="U71" s="307">
        <v>0</v>
      </c>
      <c r="V71" s="307">
        <v>0</v>
      </c>
      <c r="W71" s="307">
        <v>0</v>
      </c>
      <c r="X71" s="307">
        <v>0</v>
      </c>
      <c r="Y71" s="307">
        <v>0</v>
      </c>
      <c r="AB71" s="590"/>
    </row>
    <row r="72" spans="1:28" s="577" customFormat="1" ht="15.75" customHeight="1">
      <c r="A72" s="592">
        <f t="shared" si="1"/>
        <v>560</v>
      </c>
      <c r="B72" s="593" t="s">
        <v>141</v>
      </c>
      <c r="C72" s="306">
        <f t="shared" si="25"/>
        <v>0</v>
      </c>
      <c r="D72" s="307"/>
      <c r="E72" s="345"/>
      <c r="F72" s="115"/>
      <c r="G72" s="345"/>
      <c r="H72" s="115">
        <v>0</v>
      </c>
      <c r="I72" s="115">
        <v>0</v>
      </c>
      <c r="J72" s="115">
        <v>0</v>
      </c>
      <c r="K72" s="115">
        <v>0</v>
      </c>
      <c r="L72" s="115"/>
      <c r="M72" s="115">
        <v>0</v>
      </c>
      <c r="N72" s="115">
        <v>0</v>
      </c>
      <c r="O72" s="306">
        <f t="shared" si="27"/>
        <v>0</v>
      </c>
      <c r="P72" s="115"/>
      <c r="Q72" s="115">
        <v>0</v>
      </c>
      <c r="R72" s="115">
        <v>0</v>
      </c>
      <c r="S72" s="115">
        <v>0</v>
      </c>
      <c r="T72" s="115">
        <v>0</v>
      </c>
      <c r="U72" s="115">
        <v>0</v>
      </c>
      <c r="V72" s="115">
        <v>0</v>
      </c>
      <c r="W72" s="115">
        <v>0</v>
      </c>
      <c r="X72" s="115">
        <v>0</v>
      </c>
      <c r="Y72" s="115">
        <v>0</v>
      </c>
      <c r="AB72" s="590"/>
    </row>
    <row r="73" spans="1:28" s="577" customFormat="1" ht="15.75" customHeight="1">
      <c r="A73" s="592">
        <f t="shared" si="1"/>
        <v>570</v>
      </c>
      <c r="B73" s="593" t="s">
        <v>123</v>
      </c>
      <c r="C73" s="306">
        <f t="shared" si="25"/>
        <v>0</v>
      </c>
      <c r="D73" s="307"/>
      <c r="E73" s="346"/>
      <c r="F73" s="307"/>
      <c r="G73" s="346"/>
      <c r="H73" s="307">
        <v>0</v>
      </c>
      <c r="I73" s="307">
        <v>0</v>
      </c>
      <c r="J73" s="307">
        <v>0</v>
      </c>
      <c r="K73" s="307">
        <v>0</v>
      </c>
      <c r="L73" s="307"/>
      <c r="M73" s="307">
        <v>0</v>
      </c>
      <c r="N73" s="307">
        <v>0</v>
      </c>
      <c r="O73" s="306">
        <f t="shared" si="27"/>
        <v>0</v>
      </c>
      <c r="P73" s="307"/>
      <c r="Q73" s="307">
        <v>0</v>
      </c>
      <c r="R73" s="307">
        <v>0</v>
      </c>
      <c r="S73" s="307">
        <v>0</v>
      </c>
      <c r="T73" s="307">
        <v>0</v>
      </c>
      <c r="U73" s="307">
        <v>0</v>
      </c>
      <c r="V73" s="307">
        <v>0</v>
      </c>
      <c r="W73" s="307">
        <v>0</v>
      </c>
      <c r="X73" s="307">
        <v>0</v>
      </c>
      <c r="Y73" s="307">
        <v>0</v>
      </c>
      <c r="AB73" s="590"/>
    </row>
    <row r="74" spans="1:28" s="577" customFormat="1" ht="15.75" customHeight="1">
      <c r="A74" s="592">
        <f t="shared" si="1"/>
        <v>580</v>
      </c>
      <c r="B74" s="593" t="s">
        <v>142</v>
      </c>
      <c r="C74" s="306">
        <f t="shared" si="25"/>
        <v>1424539</v>
      </c>
      <c r="D74" s="307">
        <v>1424539</v>
      </c>
      <c r="E74" s="346">
        <v>0.2</v>
      </c>
      <c r="F74" s="307"/>
      <c r="G74" s="346"/>
      <c r="H74" s="307">
        <v>1424539</v>
      </c>
      <c r="I74" s="566">
        <v>0</v>
      </c>
      <c r="J74" s="307">
        <v>0</v>
      </c>
      <c r="K74" s="566">
        <v>0</v>
      </c>
      <c r="L74" s="307"/>
      <c r="M74" s="307">
        <v>1373134</v>
      </c>
      <c r="N74" s="307">
        <v>0</v>
      </c>
      <c r="O74" s="306">
        <f t="shared" si="27"/>
        <v>0</v>
      </c>
      <c r="P74" s="307"/>
      <c r="Q74" s="307">
        <v>0</v>
      </c>
      <c r="R74" s="307">
        <v>40240</v>
      </c>
      <c r="S74" s="307">
        <v>0</v>
      </c>
      <c r="T74" s="307">
        <v>0</v>
      </c>
      <c r="U74" s="307">
        <v>0</v>
      </c>
      <c r="V74" s="307">
        <v>0</v>
      </c>
      <c r="W74" s="307">
        <v>11165</v>
      </c>
      <c r="X74" s="307">
        <v>0</v>
      </c>
      <c r="Y74" s="307">
        <v>0</v>
      </c>
      <c r="AB74" s="590"/>
    </row>
    <row r="75" spans="1:28" s="577" customFormat="1" ht="15.75" customHeight="1">
      <c r="A75" s="592">
        <f t="shared" ref="A75:A92" si="28">A74+10</f>
        <v>590</v>
      </c>
      <c r="B75" s="593" t="s">
        <v>143</v>
      </c>
      <c r="C75" s="306">
        <f t="shared" si="25"/>
        <v>3215278</v>
      </c>
      <c r="D75" s="307">
        <v>3215278</v>
      </c>
      <c r="E75" s="346">
        <v>0.17904162076886959</v>
      </c>
      <c r="F75" s="307"/>
      <c r="G75" s="346"/>
      <c r="H75" s="307">
        <v>3215278</v>
      </c>
      <c r="I75" s="307">
        <v>0</v>
      </c>
      <c r="J75" s="307">
        <v>0</v>
      </c>
      <c r="K75" s="307">
        <v>0</v>
      </c>
      <c r="L75" s="307"/>
      <c r="M75" s="307">
        <v>838551</v>
      </c>
      <c r="N75" s="307">
        <v>0</v>
      </c>
      <c r="O75" s="306">
        <f t="shared" si="27"/>
        <v>0</v>
      </c>
      <c r="P75" s="307"/>
      <c r="Q75" s="307">
        <v>0</v>
      </c>
      <c r="R75" s="307">
        <v>0</v>
      </c>
      <c r="S75" s="307">
        <v>0</v>
      </c>
      <c r="T75" s="307">
        <v>0</v>
      </c>
      <c r="U75" s="307">
        <v>0</v>
      </c>
      <c r="V75" s="307">
        <v>161405</v>
      </c>
      <c r="W75" s="307">
        <v>968147</v>
      </c>
      <c r="X75" s="307">
        <v>0</v>
      </c>
      <c r="Y75" s="307">
        <v>1247175</v>
      </c>
      <c r="AB75" s="590"/>
    </row>
    <row r="76" spans="1:28" s="577" customFormat="1" ht="15.75" customHeight="1">
      <c r="A76" s="592">
        <f t="shared" si="28"/>
        <v>600</v>
      </c>
      <c r="B76" s="593" t="s">
        <v>144</v>
      </c>
      <c r="C76" s="306">
        <f t="shared" si="25"/>
        <v>0</v>
      </c>
      <c r="D76" s="307"/>
      <c r="E76" s="346"/>
      <c r="F76" s="307"/>
      <c r="G76" s="346"/>
      <c r="H76" s="307">
        <v>0</v>
      </c>
      <c r="I76" s="307">
        <v>0</v>
      </c>
      <c r="J76" s="307">
        <v>0</v>
      </c>
      <c r="K76" s="307">
        <v>0</v>
      </c>
      <c r="L76" s="307"/>
      <c r="M76" s="307">
        <v>0</v>
      </c>
      <c r="N76" s="307">
        <v>0</v>
      </c>
      <c r="O76" s="306">
        <f t="shared" si="27"/>
        <v>0</v>
      </c>
      <c r="P76" s="307"/>
      <c r="Q76" s="307">
        <v>0</v>
      </c>
      <c r="R76" s="307">
        <v>0</v>
      </c>
      <c r="S76" s="307">
        <v>0</v>
      </c>
      <c r="T76" s="307">
        <v>0</v>
      </c>
      <c r="U76" s="307">
        <v>0</v>
      </c>
      <c r="V76" s="307">
        <v>0</v>
      </c>
      <c r="W76" s="307">
        <v>0</v>
      </c>
      <c r="X76" s="307">
        <v>0</v>
      </c>
      <c r="Y76" s="307">
        <v>0</v>
      </c>
      <c r="AB76" s="590"/>
    </row>
    <row r="77" spans="1:28" s="577" customFormat="1" ht="15.75" customHeight="1">
      <c r="A77" s="592">
        <f>A76+10</f>
        <v>610</v>
      </c>
      <c r="B77" s="593" t="s">
        <v>124</v>
      </c>
      <c r="C77" s="306">
        <f t="shared" si="25"/>
        <v>35257924</v>
      </c>
      <c r="D77" s="307">
        <v>35257924</v>
      </c>
      <c r="E77" s="346">
        <v>0.20584409522265343</v>
      </c>
      <c r="F77" s="307"/>
      <c r="G77" s="346"/>
      <c r="H77" s="307">
        <v>35257924</v>
      </c>
      <c r="I77" s="307">
        <v>0</v>
      </c>
      <c r="J77" s="307">
        <v>380351</v>
      </c>
      <c r="K77" s="307">
        <v>0</v>
      </c>
      <c r="L77" s="307"/>
      <c r="M77" s="307">
        <v>12436845</v>
      </c>
      <c r="N77" s="307">
        <v>0</v>
      </c>
      <c r="O77" s="306">
        <f t="shared" si="27"/>
        <v>19010005</v>
      </c>
      <c r="P77" s="307"/>
      <c r="Q77" s="307">
        <v>19010005</v>
      </c>
      <c r="R77" s="307">
        <v>76006</v>
      </c>
      <c r="S77" s="307">
        <v>0</v>
      </c>
      <c r="T77" s="307">
        <v>0</v>
      </c>
      <c r="U77" s="307">
        <v>0</v>
      </c>
      <c r="V77" s="307">
        <v>3076267</v>
      </c>
      <c r="W77" s="307">
        <v>249509</v>
      </c>
      <c r="X77" s="307">
        <v>0</v>
      </c>
      <c r="Y77" s="307">
        <v>28941</v>
      </c>
      <c r="AB77" s="590"/>
    </row>
    <row r="78" spans="1:28" s="577" customFormat="1" ht="15.75" customHeight="1">
      <c r="A78" s="578">
        <f>A77+10</f>
        <v>620</v>
      </c>
      <c r="B78" s="596" t="s">
        <v>145</v>
      </c>
      <c r="C78" s="308">
        <f t="shared" si="25"/>
        <v>3550069002</v>
      </c>
      <c r="D78" s="308">
        <f>SUM(D67:D77)</f>
        <v>2281552660</v>
      </c>
      <c r="E78" s="348">
        <f>IFERROR(((D67*E67)/D78)+((D68*E68)/D78)+((D69*E69)/D78)+((D70*E70)/D78)+((D71*E71)/D78)+((D72*E72)/D78)+((D73*E73)/D78)+((D74*E74)/D78)+((D75*E75)/D78)+((D76*E76)/D78)+((D77*E77)/D78),0)</f>
        <v>0.19043462132035827</v>
      </c>
      <c r="F78" s="308">
        <f>SUM(F67:F77)</f>
        <v>1268516342</v>
      </c>
      <c r="G78" s="348">
        <f>IFERROR(((F67*G67)/F78)+((F68*G68)/F78)+((F69*G69)/F78)+((F70*G70)/F78)+((F71*G71)/F78)+((F72*G72)/F78)+((F73*G73)/F78)+((F74*G74)/F78)+((F75*G75)/F78)+((F76*G76)/F78)+((F77*G77)/F78),0)</f>
        <v>7.8787173254480078E-2</v>
      </c>
      <c r="H78" s="308">
        <f t="shared" ref="H78:Y78" si="29">SUM(H67:H77)</f>
        <v>3541122959</v>
      </c>
      <c r="I78" s="308">
        <f t="shared" si="29"/>
        <v>8946043</v>
      </c>
      <c r="J78" s="308">
        <f t="shared" si="29"/>
        <v>228656036</v>
      </c>
      <c r="K78" s="308">
        <f t="shared" si="29"/>
        <v>0</v>
      </c>
      <c r="L78" s="308">
        <f t="shared" si="29"/>
        <v>0</v>
      </c>
      <c r="M78" s="308">
        <f t="shared" si="29"/>
        <v>578931072</v>
      </c>
      <c r="N78" s="308">
        <f t="shared" si="29"/>
        <v>399690</v>
      </c>
      <c r="O78" s="308">
        <f t="shared" si="29"/>
        <v>1606459125</v>
      </c>
      <c r="P78" s="308">
        <f t="shared" si="29"/>
        <v>0</v>
      </c>
      <c r="Q78" s="308">
        <f t="shared" si="29"/>
        <v>1606459125</v>
      </c>
      <c r="R78" s="308">
        <f t="shared" si="29"/>
        <v>367894362</v>
      </c>
      <c r="S78" s="308">
        <f t="shared" si="29"/>
        <v>0</v>
      </c>
      <c r="T78" s="308">
        <f t="shared" si="29"/>
        <v>0</v>
      </c>
      <c r="U78" s="308">
        <f t="shared" si="29"/>
        <v>690</v>
      </c>
      <c r="V78" s="308">
        <f t="shared" si="29"/>
        <v>319097120</v>
      </c>
      <c r="W78" s="308">
        <f t="shared" si="29"/>
        <v>441023115</v>
      </c>
      <c r="X78" s="308">
        <f t="shared" si="29"/>
        <v>6020690</v>
      </c>
      <c r="Y78" s="308">
        <f t="shared" si="29"/>
        <v>1587102</v>
      </c>
      <c r="AB78" s="590"/>
    </row>
    <row r="79" spans="1:28" s="577" customFormat="1" ht="15.75" customHeight="1">
      <c r="A79" s="578"/>
      <c r="B79" s="596" t="s">
        <v>146</v>
      </c>
      <c r="C79" s="308"/>
      <c r="D79" s="308"/>
      <c r="E79" s="348"/>
      <c r="F79" s="308"/>
      <c r="G79" s="348"/>
      <c r="H79" s="308"/>
      <c r="I79" s="308"/>
      <c r="J79" s="308"/>
      <c r="K79" s="308"/>
      <c r="L79" s="308"/>
      <c r="M79" s="308"/>
      <c r="N79" s="308"/>
      <c r="O79" s="308"/>
      <c r="P79" s="308"/>
      <c r="Q79" s="308"/>
      <c r="R79" s="308"/>
      <c r="S79" s="308"/>
      <c r="T79" s="308"/>
      <c r="U79" s="308"/>
      <c r="V79" s="308"/>
      <c r="W79" s="308"/>
      <c r="X79" s="308"/>
      <c r="Y79" s="308"/>
      <c r="AB79" s="590"/>
    </row>
    <row r="80" spans="1:28" s="577" customFormat="1" ht="15.75" customHeight="1">
      <c r="A80" s="589">
        <f>A78+10</f>
        <v>630</v>
      </c>
      <c r="B80" s="306" t="s">
        <v>119</v>
      </c>
      <c r="C80" s="306">
        <f t="shared" ref="C80:C92" si="30">SUM(J80:Y80)-L80-P80-Q80</f>
        <v>1022400185</v>
      </c>
      <c r="D80" s="306">
        <f>D9+D17+D26+D34+D42+D50+D58+D67</f>
        <v>1022400185</v>
      </c>
      <c r="E80" s="349">
        <f>IFERROR(((D9*E9)/D80)+((D17*E17)/D80)+((D26*E26)/D80)+((D34*E34)/D80)+((D42*E42)/D80)+((D50*E50)/D80)+((D58*E58)/D80)+((D67*E67)/D80),0)</f>
        <v>0.19719004211566901</v>
      </c>
      <c r="F80" s="306">
        <f>F9+F17+F26+F34+F42+F50+F58+F67</f>
        <v>0</v>
      </c>
      <c r="G80" s="349">
        <f>IFERROR(((F9*G9)/F80)+((F17*G17)/F80)+((F26*G26)/F80)+((F34*G34)/F80)+((F42*G42)/F80)+((F50*G50)/F80)+((F58*G58)/F80)+((F67*G67)/F80),0)</f>
        <v>0</v>
      </c>
      <c r="H80" s="306">
        <f t="shared" ref="H80:Y83" si="31">H9+H17+H26+H34+H42+H50+H58+H67</f>
        <v>1018793154</v>
      </c>
      <c r="I80" s="306">
        <f t="shared" si="31"/>
        <v>3607031</v>
      </c>
      <c r="J80" s="306">
        <f t="shared" si="31"/>
        <v>193441807</v>
      </c>
      <c r="K80" s="306">
        <f t="shared" si="31"/>
        <v>0</v>
      </c>
      <c r="L80" s="306">
        <f t="shared" si="31"/>
        <v>0</v>
      </c>
      <c r="M80" s="306">
        <f t="shared" si="31"/>
        <v>144465513</v>
      </c>
      <c r="N80" s="306">
        <f t="shared" si="31"/>
        <v>0</v>
      </c>
      <c r="O80" s="306">
        <f t="shared" si="31"/>
        <v>371161921</v>
      </c>
      <c r="P80" s="306">
        <f t="shared" si="31"/>
        <v>0</v>
      </c>
      <c r="Q80" s="306">
        <f t="shared" si="31"/>
        <v>371161921</v>
      </c>
      <c r="R80" s="306">
        <f t="shared" si="31"/>
        <v>10617</v>
      </c>
      <c r="S80" s="306">
        <f t="shared" si="31"/>
        <v>0</v>
      </c>
      <c r="T80" s="306">
        <f t="shared" si="31"/>
        <v>0</v>
      </c>
      <c r="U80" s="306">
        <f t="shared" si="31"/>
        <v>690</v>
      </c>
      <c r="V80" s="306">
        <f t="shared" si="31"/>
        <v>222143940</v>
      </c>
      <c r="W80" s="306">
        <f t="shared" si="31"/>
        <v>85150479</v>
      </c>
      <c r="X80" s="306">
        <f t="shared" si="31"/>
        <v>6020690</v>
      </c>
      <c r="Y80" s="306">
        <f t="shared" si="31"/>
        <v>4528</v>
      </c>
      <c r="AB80" s="590"/>
    </row>
    <row r="81" spans="1:28" s="577" customFormat="1" ht="15.75" customHeight="1">
      <c r="A81" s="589">
        <f t="shared" si="28"/>
        <v>640</v>
      </c>
      <c r="B81" s="306" t="s">
        <v>120</v>
      </c>
      <c r="C81" s="306">
        <f t="shared" si="30"/>
        <v>759073325</v>
      </c>
      <c r="D81" s="306">
        <f>D10+D18+D27+D35+D43+D51+D59+D68</f>
        <v>444765725</v>
      </c>
      <c r="E81" s="349">
        <f>IFERROR(((D10*E10)/D81)+((D18*E18)/D81)+((D27*E27)/D81)+((D35*E35)/D81)+((D43*E43)/D81)+((D51*E51)/D81)+((D59*E59)/D81)+((D68*E68)/D81),0)</f>
        <v>0.13663506884426094</v>
      </c>
      <c r="F81" s="306">
        <f>F10+F18+F27+F35+F43+F51+F59+F68</f>
        <v>314307600</v>
      </c>
      <c r="G81" s="349">
        <f>IFERROR(((F10*G10)/F81)+((F18*G18)/F81)+((F27*G27)/F81)+((F35*G35)/F81)+((F43*G43)/F81)+((F51*G51)/F81)+((F59*G59)/F81)+((F68*G68)/F81),0)</f>
        <v>6.0599999999999994E-2</v>
      </c>
      <c r="H81" s="306">
        <f t="shared" si="31"/>
        <v>759073325</v>
      </c>
      <c r="I81" s="306">
        <f t="shared" si="31"/>
        <v>0</v>
      </c>
      <c r="J81" s="306">
        <f t="shared" si="31"/>
        <v>216263967</v>
      </c>
      <c r="K81" s="306">
        <f t="shared" si="31"/>
        <v>0</v>
      </c>
      <c r="L81" s="306">
        <f t="shared" si="31"/>
        <v>0</v>
      </c>
      <c r="M81" s="306">
        <f t="shared" si="31"/>
        <v>27673601</v>
      </c>
      <c r="N81" s="306">
        <f t="shared" si="31"/>
        <v>0</v>
      </c>
      <c r="O81" s="306">
        <f t="shared" si="31"/>
        <v>176751716</v>
      </c>
      <c r="P81" s="306">
        <f t="shared" si="31"/>
        <v>0</v>
      </c>
      <c r="Q81" s="306">
        <f t="shared" si="31"/>
        <v>176751716</v>
      </c>
      <c r="R81" s="306">
        <f t="shared" si="31"/>
        <v>0</v>
      </c>
      <c r="S81" s="306">
        <f t="shared" si="31"/>
        <v>0</v>
      </c>
      <c r="T81" s="306">
        <f t="shared" si="31"/>
        <v>0</v>
      </c>
      <c r="U81" s="306">
        <f t="shared" si="31"/>
        <v>0</v>
      </c>
      <c r="V81" s="306">
        <f t="shared" si="31"/>
        <v>10748917</v>
      </c>
      <c r="W81" s="306">
        <f t="shared" si="31"/>
        <v>327635124</v>
      </c>
      <c r="X81" s="306">
        <f t="shared" si="31"/>
        <v>0</v>
      </c>
      <c r="Y81" s="306">
        <f t="shared" si="31"/>
        <v>0</v>
      </c>
      <c r="AB81" s="590"/>
    </row>
    <row r="82" spans="1:28" s="577" customFormat="1" ht="15.75" customHeight="1">
      <c r="A82" s="592">
        <f t="shared" si="28"/>
        <v>650</v>
      </c>
      <c r="B82" s="593" t="s">
        <v>121</v>
      </c>
      <c r="C82" s="306">
        <f t="shared" si="30"/>
        <v>455567628</v>
      </c>
      <c r="D82" s="306">
        <f>D11+D19+D28+D36+D44+D52+D60+D69</f>
        <v>283375410</v>
      </c>
      <c r="E82" s="349">
        <f>IFERROR(((D11*E11)/D82)+((D19*E19)/D82)+((D28*E28)/D82)+((D36*E36)/D82)+((D44*E44)/D82)+((D52*E52)/D82)+((D60*E60)/D82)+((D69*E69)/D82),0)</f>
        <v>0.17555581491201655</v>
      </c>
      <c r="F82" s="306">
        <f>F11+F19+F28+F36+F44+F52+F60+F69</f>
        <v>172192218</v>
      </c>
      <c r="G82" s="349">
        <f>IFERROR(((F11*G11)/F82)+((F19*G19)/F82)+((F28*G28)/F82)+((F36*G36)/F82)+((F44*G44)/F82)+((F52*G52)/F82)+((F60*G60)/F82)+((F69*G69)/F82),0)</f>
        <v>8.8220049744081208E-2</v>
      </c>
      <c r="H82" s="306">
        <f t="shared" si="31"/>
        <v>455567628</v>
      </c>
      <c r="I82" s="306">
        <f t="shared" si="31"/>
        <v>0</v>
      </c>
      <c r="J82" s="306">
        <f t="shared" si="31"/>
        <v>0</v>
      </c>
      <c r="K82" s="306">
        <f t="shared" si="31"/>
        <v>0</v>
      </c>
      <c r="L82" s="306">
        <f t="shared" si="31"/>
        <v>0</v>
      </c>
      <c r="M82" s="306">
        <f t="shared" si="31"/>
        <v>985624</v>
      </c>
      <c r="N82" s="306">
        <f t="shared" si="31"/>
        <v>0</v>
      </c>
      <c r="O82" s="306">
        <f t="shared" si="31"/>
        <v>366182293</v>
      </c>
      <c r="P82" s="306">
        <f t="shared" si="31"/>
        <v>0</v>
      </c>
      <c r="Q82" s="306">
        <f t="shared" si="31"/>
        <v>366182293</v>
      </c>
      <c r="R82" s="306">
        <f t="shared" si="31"/>
        <v>85352150</v>
      </c>
      <c r="S82" s="306">
        <f t="shared" si="31"/>
        <v>0</v>
      </c>
      <c r="T82" s="306">
        <f t="shared" si="31"/>
        <v>0</v>
      </c>
      <c r="U82" s="306">
        <f t="shared" si="31"/>
        <v>0</v>
      </c>
      <c r="V82" s="306">
        <f t="shared" si="31"/>
        <v>2810145</v>
      </c>
      <c r="W82" s="306">
        <f t="shared" si="31"/>
        <v>229766</v>
      </c>
      <c r="X82" s="306">
        <f t="shared" si="31"/>
        <v>0</v>
      </c>
      <c r="Y82" s="306">
        <f t="shared" si="31"/>
        <v>7650</v>
      </c>
      <c r="AB82" s="590"/>
    </row>
    <row r="83" spans="1:28" s="577" customFormat="1" ht="15.75" customHeight="1">
      <c r="A83" s="592">
        <f t="shared" si="28"/>
        <v>660</v>
      </c>
      <c r="B83" s="593" t="s">
        <v>122</v>
      </c>
      <c r="C83" s="306">
        <f t="shared" si="30"/>
        <v>3382356533</v>
      </c>
      <c r="D83" s="306">
        <f>D12+D20+D29+D37+D45+D53+D61+D70</f>
        <v>1949370015</v>
      </c>
      <c r="E83" s="349">
        <f>IFERROR(((D12*E12)/D83)+((D20*E20)/D83)+((D29*E29)/D83)+((D37*E37)/D83)+((D45*E45)/D83)+((D53*E53)/D83)+((D61*E61)/D83)+((D70*E70)/D83),0)</f>
        <v>0.18934964326911449</v>
      </c>
      <c r="F83" s="306">
        <f>F12+F20+F29+F37+F45+F53+F61+F70</f>
        <v>1432986518</v>
      </c>
      <c r="G83" s="349">
        <f>IFERROR(((F12*G12)/F83)+((F20*G20)/F83)+((F29*G29)/F83)+((F37*G37)/F83)+((F45*G45)/F83)+((F53*G53)/F83)+((F61*G61)/F83)+((F70*G70)/F83),0)</f>
        <v>8.1407193674490161E-2</v>
      </c>
      <c r="H83" s="306">
        <f t="shared" si="31"/>
        <v>3376814048</v>
      </c>
      <c r="I83" s="306">
        <f t="shared" si="31"/>
        <v>5542485</v>
      </c>
      <c r="J83" s="306">
        <f t="shared" si="31"/>
        <v>35580175</v>
      </c>
      <c r="K83" s="306">
        <f t="shared" si="31"/>
        <v>0</v>
      </c>
      <c r="L83" s="306">
        <f t="shared" si="31"/>
        <v>0</v>
      </c>
      <c r="M83" s="306">
        <f t="shared" si="31"/>
        <v>634615139</v>
      </c>
      <c r="N83" s="306">
        <f t="shared" si="31"/>
        <v>399690</v>
      </c>
      <c r="O83" s="306">
        <f t="shared" si="31"/>
        <v>2012822362</v>
      </c>
      <c r="P83" s="306">
        <f t="shared" si="31"/>
        <v>0</v>
      </c>
      <c r="Q83" s="306">
        <f t="shared" si="31"/>
        <v>2012822362</v>
      </c>
      <c r="R83" s="306">
        <f t="shared" si="31"/>
        <v>543781002</v>
      </c>
      <c r="S83" s="306">
        <f t="shared" si="31"/>
        <v>0</v>
      </c>
      <c r="T83" s="306">
        <f t="shared" si="31"/>
        <v>0</v>
      </c>
      <c r="U83" s="306">
        <f t="shared" si="31"/>
        <v>0</v>
      </c>
      <c r="V83" s="306">
        <f t="shared" si="31"/>
        <v>111315855</v>
      </c>
      <c r="W83" s="306">
        <f t="shared" si="31"/>
        <v>43506546</v>
      </c>
      <c r="X83" s="306">
        <f t="shared" si="31"/>
        <v>0</v>
      </c>
      <c r="Y83" s="306">
        <f t="shared" si="31"/>
        <v>335764</v>
      </c>
      <c r="AB83" s="590"/>
    </row>
    <row r="84" spans="1:28" s="577" customFormat="1" ht="15.75" customHeight="1">
      <c r="A84" s="592">
        <f t="shared" si="28"/>
        <v>670</v>
      </c>
      <c r="B84" s="593" t="s">
        <v>127</v>
      </c>
      <c r="C84" s="306">
        <f t="shared" si="30"/>
        <v>0</v>
      </c>
      <c r="D84" s="306">
        <f t="shared" ref="D84:F84" si="32">D21</f>
        <v>0</v>
      </c>
      <c r="E84" s="349">
        <f>IFERROR(E21,0)</f>
        <v>0</v>
      </c>
      <c r="F84" s="306">
        <f t="shared" si="32"/>
        <v>0</v>
      </c>
      <c r="G84" s="349">
        <f>IFERROR(G21,0)</f>
        <v>0</v>
      </c>
      <c r="H84" s="306">
        <f>H21</f>
        <v>0</v>
      </c>
      <c r="I84" s="306">
        <f>I21</f>
        <v>0</v>
      </c>
      <c r="J84" s="306">
        <f>J21</f>
        <v>0</v>
      </c>
      <c r="K84" s="306">
        <f t="shared" ref="K84:X84" si="33">K21</f>
        <v>0</v>
      </c>
      <c r="L84" s="306">
        <f>L21</f>
        <v>0</v>
      </c>
      <c r="M84" s="306">
        <f t="shared" si="33"/>
        <v>0</v>
      </c>
      <c r="N84" s="306">
        <f t="shared" si="33"/>
        <v>0</v>
      </c>
      <c r="O84" s="306">
        <f t="shared" si="33"/>
        <v>0</v>
      </c>
      <c r="P84" s="306">
        <f t="shared" si="33"/>
        <v>0</v>
      </c>
      <c r="Q84" s="306">
        <f t="shared" si="33"/>
        <v>0</v>
      </c>
      <c r="R84" s="306">
        <f t="shared" si="33"/>
        <v>0</v>
      </c>
      <c r="S84" s="306">
        <f t="shared" si="33"/>
        <v>0</v>
      </c>
      <c r="T84" s="306">
        <f t="shared" si="33"/>
        <v>0</v>
      </c>
      <c r="U84" s="306">
        <f t="shared" si="33"/>
        <v>0</v>
      </c>
      <c r="V84" s="306">
        <f t="shared" si="33"/>
        <v>0</v>
      </c>
      <c r="W84" s="306">
        <f t="shared" si="33"/>
        <v>0</v>
      </c>
      <c r="X84" s="306">
        <f t="shared" si="33"/>
        <v>0</v>
      </c>
      <c r="Y84" s="306">
        <f>Y21</f>
        <v>0</v>
      </c>
      <c r="AB84" s="590"/>
    </row>
    <row r="85" spans="1:28" s="577" customFormat="1" ht="15.75" customHeight="1">
      <c r="A85" s="592">
        <f t="shared" si="28"/>
        <v>680</v>
      </c>
      <c r="B85" s="593" t="s">
        <v>141</v>
      </c>
      <c r="C85" s="306">
        <f t="shared" si="30"/>
        <v>0</v>
      </c>
      <c r="D85" s="306">
        <f t="shared" ref="D85:G85" si="34">D72</f>
        <v>0</v>
      </c>
      <c r="E85" s="349">
        <f t="shared" si="34"/>
        <v>0</v>
      </c>
      <c r="F85" s="306">
        <f t="shared" si="34"/>
        <v>0</v>
      </c>
      <c r="G85" s="349">
        <f t="shared" si="34"/>
        <v>0</v>
      </c>
      <c r="H85" s="306">
        <f>H72</f>
        <v>0</v>
      </c>
      <c r="I85" s="306">
        <f>I72</f>
        <v>0</v>
      </c>
      <c r="J85" s="306">
        <f>J72</f>
        <v>0</v>
      </c>
      <c r="K85" s="306">
        <f t="shared" ref="K85:X85" si="35">K72</f>
        <v>0</v>
      </c>
      <c r="L85" s="306">
        <f>L72</f>
        <v>0</v>
      </c>
      <c r="M85" s="306">
        <f t="shared" si="35"/>
        <v>0</v>
      </c>
      <c r="N85" s="306">
        <f t="shared" si="35"/>
        <v>0</v>
      </c>
      <c r="O85" s="306">
        <f t="shared" si="35"/>
        <v>0</v>
      </c>
      <c r="P85" s="306">
        <f t="shared" si="35"/>
        <v>0</v>
      </c>
      <c r="Q85" s="306">
        <f t="shared" si="35"/>
        <v>0</v>
      </c>
      <c r="R85" s="306">
        <f t="shared" si="35"/>
        <v>0</v>
      </c>
      <c r="S85" s="306">
        <f t="shared" si="35"/>
        <v>0</v>
      </c>
      <c r="T85" s="306">
        <f t="shared" si="35"/>
        <v>0</v>
      </c>
      <c r="U85" s="306">
        <f t="shared" si="35"/>
        <v>0</v>
      </c>
      <c r="V85" s="306">
        <f t="shared" si="35"/>
        <v>0</v>
      </c>
      <c r="W85" s="306">
        <f t="shared" si="35"/>
        <v>0</v>
      </c>
      <c r="X85" s="306">
        <f t="shared" si="35"/>
        <v>0</v>
      </c>
      <c r="Y85" s="306">
        <f>Y72</f>
        <v>0</v>
      </c>
      <c r="AB85" s="590"/>
    </row>
    <row r="86" spans="1:28" s="577" customFormat="1" ht="15.75" customHeight="1">
      <c r="A86" s="592">
        <f t="shared" si="28"/>
        <v>690</v>
      </c>
      <c r="B86" s="593" t="s">
        <v>140</v>
      </c>
      <c r="C86" s="306">
        <f t="shared" si="30"/>
        <v>0</v>
      </c>
      <c r="D86" s="306">
        <f t="shared" ref="D86:G86" si="36">D71</f>
        <v>0</v>
      </c>
      <c r="E86" s="349">
        <f t="shared" si="36"/>
        <v>0</v>
      </c>
      <c r="F86" s="306">
        <f t="shared" si="36"/>
        <v>0</v>
      </c>
      <c r="G86" s="349">
        <f t="shared" si="36"/>
        <v>0</v>
      </c>
      <c r="H86" s="306">
        <f>H71</f>
        <v>0</v>
      </c>
      <c r="I86" s="306">
        <f>I71</f>
        <v>0</v>
      </c>
      <c r="J86" s="306">
        <f>J71</f>
        <v>0</v>
      </c>
      <c r="K86" s="306">
        <f t="shared" ref="K86:Y86" si="37">K71</f>
        <v>0</v>
      </c>
      <c r="L86" s="306">
        <f>L71</f>
        <v>0</v>
      </c>
      <c r="M86" s="306">
        <f t="shared" si="37"/>
        <v>0</v>
      </c>
      <c r="N86" s="306">
        <f t="shared" si="37"/>
        <v>0</v>
      </c>
      <c r="O86" s="306">
        <f t="shared" si="37"/>
        <v>0</v>
      </c>
      <c r="P86" s="306">
        <f t="shared" si="37"/>
        <v>0</v>
      </c>
      <c r="Q86" s="306">
        <f t="shared" si="37"/>
        <v>0</v>
      </c>
      <c r="R86" s="306">
        <f t="shared" si="37"/>
        <v>0</v>
      </c>
      <c r="S86" s="306">
        <f t="shared" si="37"/>
        <v>0</v>
      </c>
      <c r="T86" s="306">
        <f t="shared" si="37"/>
        <v>0</v>
      </c>
      <c r="U86" s="306">
        <f t="shared" si="37"/>
        <v>0</v>
      </c>
      <c r="V86" s="306">
        <f t="shared" si="37"/>
        <v>0</v>
      </c>
      <c r="W86" s="306">
        <f t="shared" si="37"/>
        <v>0</v>
      </c>
      <c r="X86" s="306">
        <f t="shared" si="37"/>
        <v>0</v>
      </c>
      <c r="Y86" s="306">
        <f t="shared" si="37"/>
        <v>0</v>
      </c>
      <c r="AB86" s="590"/>
    </row>
    <row r="87" spans="1:28" s="577" customFormat="1" ht="15.75" customHeight="1">
      <c r="A87" s="592">
        <f t="shared" si="28"/>
        <v>700</v>
      </c>
      <c r="B87" s="593" t="s">
        <v>123</v>
      </c>
      <c r="C87" s="306">
        <f t="shared" si="30"/>
        <v>0</v>
      </c>
      <c r="D87" s="306">
        <f>D13+D22+D30+D38+D46+D54+D62+D73</f>
        <v>0</v>
      </c>
      <c r="E87" s="349">
        <f>IFERROR(((D13*E13)/D87)+((D22*E22)/D87)+((D30*E30)/D87)+((D38*E38)/D87)+((D46*E46)/D87)+((D54*E54)/D87)+((D62*E62)/D87)+((D73*E73)/D87),0)</f>
        <v>0</v>
      </c>
      <c r="F87" s="306">
        <f>F13+F22+F30+F38+F46+F54+F62+F73</f>
        <v>0</v>
      </c>
      <c r="G87" s="349">
        <f>IFERROR(((F13*G13)/F87)+((F22*G22)/F87)+((F30*G30)/F87)+((F38*G38)/F87)+((F46*G46)/F87)+((F54*G54)/F87)+((F62*G62)/F87)+((F73*G73)/F87),0)</f>
        <v>0</v>
      </c>
      <c r="H87" s="306">
        <f t="shared" ref="H87:Y87" si="38">H13+H22+H30+H38+H46+H54+H62+H73</f>
        <v>0</v>
      </c>
      <c r="I87" s="306">
        <f t="shared" si="38"/>
        <v>0</v>
      </c>
      <c r="J87" s="306">
        <f t="shared" si="38"/>
        <v>0</v>
      </c>
      <c r="K87" s="306">
        <f t="shared" si="38"/>
        <v>0</v>
      </c>
      <c r="L87" s="306">
        <f t="shared" si="38"/>
        <v>0</v>
      </c>
      <c r="M87" s="306">
        <f t="shared" si="38"/>
        <v>0</v>
      </c>
      <c r="N87" s="306">
        <f t="shared" si="38"/>
        <v>0</v>
      </c>
      <c r="O87" s="306">
        <f t="shared" si="38"/>
        <v>0</v>
      </c>
      <c r="P87" s="306">
        <f t="shared" si="38"/>
        <v>0</v>
      </c>
      <c r="Q87" s="306">
        <f t="shared" si="38"/>
        <v>0</v>
      </c>
      <c r="R87" s="306">
        <f t="shared" si="38"/>
        <v>0</v>
      </c>
      <c r="S87" s="306">
        <f t="shared" si="38"/>
        <v>0</v>
      </c>
      <c r="T87" s="306">
        <f t="shared" si="38"/>
        <v>0</v>
      </c>
      <c r="U87" s="306">
        <f t="shared" si="38"/>
        <v>0</v>
      </c>
      <c r="V87" s="306">
        <f t="shared" si="38"/>
        <v>0</v>
      </c>
      <c r="W87" s="306">
        <f t="shared" si="38"/>
        <v>0</v>
      </c>
      <c r="X87" s="306">
        <f t="shared" si="38"/>
        <v>0</v>
      </c>
      <c r="Y87" s="306">
        <f t="shared" si="38"/>
        <v>0</v>
      </c>
      <c r="AB87" s="590"/>
    </row>
    <row r="88" spans="1:28" s="577" customFormat="1" ht="15.75" customHeight="1">
      <c r="A88" s="592">
        <f t="shared" si="28"/>
        <v>710</v>
      </c>
      <c r="B88" s="593" t="s">
        <v>142</v>
      </c>
      <c r="C88" s="306">
        <f t="shared" si="30"/>
        <v>1424539</v>
      </c>
      <c r="D88" s="306">
        <f t="shared" ref="D88:I90" si="39">D74</f>
        <v>1424539</v>
      </c>
      <c r="E88" s="349">
        <f t="shared" si="39"/>
        <v>0.2</v>
      </c>
      <c r="F88" s="306">
        <f t="shared" si="39"/>
        <v>0</v>
      </c>
      <c r="G88" s="349">
        <f t="shared" si="39"/>
        <v>0</v>
      </c>
      <c r="H88" s="306">
        <f t="shared" si="39"/>
        <v>1424539</v>
      </c>
      <c r="I88" s="306">
        <f t="shared" si="39"/>
        <v>0</v>
      </c>
      <c r="J88" s="306">
        <f>J74</f>
        <v>0</v>
      </c>
      <c r="K88" s="306">
        <f t="shared" ref="K88:Y90" si="40">K74</f>
        <v>0</v>
      </c>
      <c r="L88" s="306">
        <f>L74</f>
        <v>0</v>
      </c>
      <c r="M88" s="306">
        <f t="shared" si="40"/>
        <v>1373134</v>
      </c>
      <c r="N88" s="306">
        <f t="shared" si="40"/>
        <v>0</v>
      </c>
      <c r="O88" s="306">
        <f t="shared" si="40"/>
        <v>0</v>
      </c>
      <c r="P88" s="306">
        <f t="shared" si="40"/>
        <v>0</v>
      </c>
      <c r="Q88" s="306">
        <f t="shared" si="40"/>
        <v>0</v>
      </c>
      <c r="R88" s="306">
        <f t="shared" si="40"/>
        <v>40240</v>
      </c>
      <c r="S88" s="306">
        <f t="shared" si="40"/>
        <v>0</v>
      </c>
      <c r="T88" s="306">
        <f t="shared" si="40"/>
        <v>0</v>
      </c>
      <c r="U88" s="306">
        <f t="shared" si="40"/>
        <v>0</v>
      </c>
      <c r="V88" s="306">
        <f t="shared" si="40"/>
        <v>0</v>
      </c>
      <c r="W88" s="306">
        <f t="shared" si="40"/>
        <v>11165</v>
      </c>
      <c r="X88" s="306">
        <f t="shared" si="40"/>
        <v>0</v>
      </c>
      <c r="Y88" s="306">
        <f t="shared" si="40"/>
        <v>0</v>
      </c>
      <c r="AB88" s="590"/>
    </row>
    <row r="89" spans="1:28" s="577" customFormat="1" ht="15.75" customHeight="1">
      <c r="A89" s="592">
        <f t="shared" si="28"/>
        <v>720</v>
      </c>
      <c r="B89" s="593" t="s">
        <v>143</v>
      </c>
      <c r="C89" s="306">
        <f>SUM(J89:Y89)-L89-P89-Q89</f>
        <v>15649091</v>
      </c>
      <c r="D89" s="306">
        <f>+D63+D75</f>
        <v>15649091</v>
      </c>
      <c r="E89" s="349">
        <f>IFERROR(((D75*E75)/D78)+((D63*E63)/D65),0)</f>
        <v>7.2720352716404021E-2</v>
      </c>
      <c r="F89" s="306">
        <f>+F63+F75</f>
        <v>0</v>
      </c>
      <c r="G89" s="349">
        <f>IFERROR(((F75*G75)/F78)+((F63*G63)/F65),0)</f>
        <v>0</v>
      </c>
      <c r="H89" s="306">
        <f t="shared" ref="H89:Y89" si="41">+H63+H75</f>
        <v>15649091</v>
      </c>
      <c r="I89" s="306">
        <f t="shared" si="41"/>
        <v>0</v>
      </c>
      <c r="J89" s="306">
        <f t="shared" si="41"/>
        <v>0</v>
      </c>
      <c r="K89" s="306">
        <f t="shared" si="41"/>
        <v>0</v>
      </c>
      <c r="L89" s="306">
        <f t="shared" si="41"/>
        <v>0</v>
      </c>
      <c r="M89" s="306">
        <f t="shared" si="41"/>
        <v>1222706</v>
      </c>
      <c r="N89" s="306">
        <f t="shared" si="41"/>
        <v>0</v>
      </c>
      <c r="O89" s="306">
        <f t="shared" si="41"/>
        <v>0</v>
      </c>
      <c r="P89" s="306">
        <f t="shared" si="41"/>
        <v>0</v>
      </c>
      <c r="Q89" s="306">
        <f t="shared" si="41"/>
        <v>0</v>
      </c>
      <c r="R89" s="306">
        <f t="shared" si="41"/>
        <v>0</v>
      </c>
      <c r="S89" s="306">
        <f t="shared" si="41"/>
        <v>0</v>
      </c>
      <c r="T89" s="306">
        <f t="shared" si="41"/>
        <v>0</v>
      </c>
      <c r="U89" s="306">
        <f t="shared" si="41"/>
        <v>0</v>
      </c>
      <c r="V89" s="306">
        <f t="shared" si="41"/>
        <v>1022117</v>
      </c>
      <c r="W89" s="306">
        <f t="shared" si="41"/>
        <v>10782447</v>
      </c>
      <c r="X89" s="306">
        <f t="shared" si="41"/>
        <v>0</v>
      </c>
      <c r="Y89" s="306">
        <f t="shared" si="41"/>
        <v>2621821</v>
      </c>
      <c r="AB89" s="590"/>
    </row>
    <row r="90" spans="1:28" s="577" customFormat="1" ht="15.75" customHeight="1">
      <c r="A90" s="592">
        <f t="shared" si="28"/>
        <v>730</v>
      </c>
      <c r="B90" s="593" t="s">
        <v>144</v>
      </c>
      <c r="C90" s="306">
        <f t="shared" si="30"/>
        <v>0</v>
      </c>
      <c r="D90" s="306">
        <f t="shared" ref="D90:F90" si="42">D76</f>
        <v>0</v>
      </c>
      <c r="E90" s="349">
        <f t="shared" si="39"/>
        <v>0</v>
      </c>
      <c r="F90" s="306">
        <f t="shared" si="42"/>
        <v>0</v>
      </c>
      <c r="G90" s="349">
        <f t="shared" si="39"/>
        <v>0</v>
      </c>
      <c r="H90" s="306">
        <f t="shared" si="39"/>
        <v>0</v>
      </c>
      <c r="I90" s="306">
        <f t="shared" si="39"/>
        <v>0</v>
      </c>
      <c r="J90" s="306">
        <f>J76</f>
        <v>0</v>
      </c>
      <c r="K90" s="306">
        <f t="shared" si="40"/>
        <v>0</v>
      </c>
      <c r="L90" s="306">
        <f>L76</f>
        <v>0</v>
      </c>
      <c r="M90" s="306">
        <f t="shared" si="40"/>
        <v>0</v>
      </c>
      <c r="N90" s="306">
        <f t="shared" si="40"/>
        <v>0</v>
      </c>
      <c r="O90" s="306">
        <f t="shared" si="40"/>
        <v>0</v>
      </c>
      <c r="P90" s="306">
        <f t="shared" si="40"/>
        <v>0</v>
      </c>
      <c r="Q90" s="306">
        <f t="shared" si="40"/>
        <v>0</v>
      </c>
      <c r="R90" s="306">
        <f t="shared" si="40"/>
        <v>0</v>
      </c>
      <c r="S90" s="306">
        <f t="shared" si="40"/>
        <v>0</v>
      </c>
      <c r="T90" s="306">
        <f t="shared" si="40"/>
        <v>0</v>
      </c>
      <c r="U90" s="306">
        <f t="shared" si="40"/>
        <v>0</v>
      </c>
      <c r="V90" s="306">
        <f t="shared" si="40"/>
        <v>0</v>
      </c>
      <c r="W90" s="306">
        <f t="shared" si="40"/>
        <v>0</v>
      </c>
      <c r="X90" s="306">
        <f t="shared" si="40"/>
        <v>0</v>
      </c>
      <c r="Y90" s="306">
        <f t="shared" si="40"/>
        <v>0</v>
      </c>
      <c r="AB90" s="590"/>
    </row>
    <row r="91" spans="1:28" s="577" customFormat="1" ht="15.75" customHeight="1">
      <c r="A91" s="592">
        <f>A90+10</f>
        <v>740</v>
      </c>
      <c r="B91" s="593" t="s">
        <v>124</v>
      </c>
      <c r="C91" s="306">
        <f t="shared" si="30"/>
        <v>69465520</v>
      </c>
      <c r="D91" s="306">
        <f>D14+D23+D31+D39+D47+D55+D64+D77</f>
        <v>69465520</v>
      </c>
      <c r="E91" s="349">
        <f>IFERROR(((D14*E14)/D91)+((D23*E23)/D91)+((D31*E31)/D91)+((D39*E39)/D91)+((D47*E47)/D91)+((D55*E55)/D91)+((D64*E64)/D91)+((D77*E77)/D91),0)</f>
        <v>0.20918521299411078</v>
      </c>
      <c r="F91" s="306">
        <f>F14+F23+F31+F39+F47+F55+F64+F77</f>
        <v>0</v>
      </c>
      <c r="G91" s="349">
        <f>IFERROR(((F14*G14)/F91)+((F23*G23)/F91)+((F31*G31)/F91)+((F39*G39)/F91)+((F47*G47)/F91)+((F55*G55)/F91)+((F64*G64)/F91)+((F77*G77)/F91),0)</f>
        <v>0</v>
      </c>
      <c r="H91" s="306">
        <f t="shared" ref="H91:Y91" si="43">H14+H23+H31+H39+H47+H55+H64+H77</f>
        <v>69465520</v>
      </c>
      <c r="I91" s="306">
        <f t="shared" si="43"/>
        <v>0</v>
      </c>
      <c r="J91" s="306">
        <f t="shared" si="43"/>
        <v>480220</v>
      </c>
      <c r="K91" s="306">
        <f t="shared" si="43"/>
        <v>0</v>
      </c>
      <c r="L91" s="306">
        <f t="shared" si="43"/>
        <v>0</v>
      </c>
      <c r="M91" s="306">
        <f t="shared" si="43"/>
        <v>35515380</v>
      </c>
      <c r="N91" s="306">
        <f t="shared" si="43"/>
        <v>0</v>
      </c>
      <c r="O91" s="306">
        <f t="shared" si="43"/>
        <v>29464042</v>
      </c>
      <c r="P91" s="306">
        <f t="shared" si="43"/>
        <v>0</v>
      </c>
      <c r="Q91" s="306">
        <f t="shared" si="43"/>
        <v>29464042</v>
      </c>
      <c r="R91" s="306">
        <f t="shared" si="43"/>
        <v>81069</v>
      </c>
      <c r="S91" s="306">
        <f t="shared" si="43"/>
        <v>0</v>
      </c>
      <c r="T91" s="306">
        <f t="shared" si="43"/>
        <v>0</v>
      </c>
      <c r="U91" s="306">
        <f t="shared" si="43"/>
        <v>0</v>
      </c>
      <c r="V91" s="306">
        <f t="shared" si="43"/>
        <v>3275617</v>
      </c>
      <c r="W91" s="306">
        <f t="shared" si="43"/>
        <v>614594</v>
      </c>
      <c r="X91" s="306">
        <f t="shared" si="43"/>
        <v>0</v>
      </c>
      <c r="Y91" s="306">
        <f t="shared" si="43"/>
        <v>34598</v>
      </c>
      <c r="AB91" s="590"/>
    </row>
    <row r="92" spans="1:28" s="577" customFormat="1" ht="15.75" customHeight="1">
      <c r="A92" s="578">
        <f t="shared" si="28"/>
        <v>750</v>
      </c>
      <c r="B92" s="596" t="s">
        <v>147</v>
      </c>
      <c r="C92" s="308">
        <f t="shared" si="30"/>
        <v>5705936821</v>
      </c>
      <c r="D92" s="308">
        <f>SUM(D80:D91)</f>
        <v>3786450485</v>
      </c>
      <c r="E92" s="348">
        <f>IFERROR(((D80*E80)/D92)+((D81*E81)/D92)+((D82*E82)/D92)+((D83*E83)/D92)+((D84*E84)/D92)+((D85*E85)/D92)+((D86*E86)/D92)+((D87*E87)/D92)+((D88*E88)/D92)+((D89*E89)/D92)+((D90*E90)/D92)+((D91*E91)/D92),0)</f>
        <v>0.18412825587937229</v>
      </c>
      <c r="F92" s="308">
        <f>SUM(F80:F91)</f>
        <v>1919486336</v>
      </c>
      <c r="G92" s="348">
        <f>IFERROR(((F80*G80)/F92)+((F81*G81)/F92)+((F82*G82)/F92)+((F83*G83)/F92)+((F84*G84)/F92)+((F85*G85)/F92)+((F86*G86)/F92)+((F87*G87)/F92)+((F88*G88)/F92)+((F89*G89)/F92)+((F90*G90)/F92)+((F91*G91)/F92),0)</f>
        <v>7.8611269468949724E-2</v>
      </c>
      <c r="H92" s="308">
        <f t="shared" ref="H92:Y92" si="44">SUM(H80:H91)</f>
        <v>5696787305</v>
      </c>
      <c r="I92" s="308">
        <f t="shared" si="44"/>
        <v>9149516</v>
      </c>
      <c r="J92" s="308">
        <f t="shared" si="44"/>
        <v>445766169</v>
      </c>
      <c r="K92" s="308">
        <f t="shared" si="44"/>
        <v>0</v>
      </c>
      <c r="L92" s="308">
        <f t="shared" si="44"/>
        <v>0</v>
      </c>
      <c r="M92" s="308">
        <f t="shared" si="44"/>
        <v>845851097</v>
      </c>
      <c r="N92" s="308">
        <f t="shared" si="44"/>
        <v>399690</v>
      </c>
      <c r="O92" s="308">
        <f t="shared" si="44"/>
        <v>2956382334</v>
      </c>
      <c r="P92" s="308">
        <f t="shared" si="44"/>
        <v>0</v>
      </c>
      <c r="Q92" s="308">
        <f t="shared" si="44"/>
        <v>2956382334</v>
      </c>
      <c r="R92" s="308">
        <f t="shared" si="44"/>
        <v>629265078</v>
      </c>
      <c r="S92" s="308">
        <f t="shared" si="44"/>
        <v>0</v>
      </c>
      <c r="T92" s="308">
        <f t="shared" si="44"/>
        <v>0</v>
      </c>
      <c r="U92" s="308">
        <f t="shared" si="44"/>
        <v>690</v>
      </c>
      <c r="V92" s="308">
        <f t="shared" si="44"/>
        <v>351316591</v>
      </c>
      <c r="W92" s="308">
        <f t="shared" si="44"/>
        <v>467930121</v>
      </c>
      <c r="X92" s="308">
        <f t="shared" si="44"/>
        <v>6020690</v>
      </c>
      <c r="Y92" s="308">
        <f t="shared" si="44"/>
        <v>3004361</v>
      </c>
      <c r="AB92" s="590"/>
    </row>
    <row r="93" spans="1:28">
      <c r="A93" s="598"/>
      <c r="B93" s="598"/>
      <c r="C93" s="598"/>
      <c r="D93" s="598"/>
      <c r="E93" s="598"/>
      <c r="F93" s="598"/>
      <c r="G93" s="598"/>
      <c r="H93" s="598"/>
      <c r="I93" s="598"/>
      <c r="J93" s="598"/>
      <c r="K93" s="598"/>
      <c r="L93" s="598"/>
      <c r="M93" s="598"/>
      <c r="N93" s="598"/>
      <c r="O93" s="598"/>
      <c r="P93" s="598"/>
      <c r="Q93" s="598"/>
      <c r="R93" s="598"/>
      <c r="S93" s="598"/>
      <c r="T93" s="598"/>
      <c r="U93" s="598"/>
      <c r="V93" s="598"/>
      <c r="W93" s="598"/>
      <c r="X93" s="598"/>
      <c r="Y93" s="598"/>
    </row>
    <row r="94" spans="1:28">
      <c r="A94" s="598"/>
      <c r="B94" s="598"/>
      <c r="C94" s="598"/>
      <c r="D94" s="598"/>
      <c r="E94" s="598"/>
      <c r="F94" s="598"/>
      <c r="G94" s="598"/>
      <c r="H94" s="598"/>
      <c r="I94" s="598"/>
      <c r="J94" s="598"/>
      <c r="K94" s="598"/>
      <c r="L94" s="598"/>
      <c r="M94" s="598"/>
      <c r="N94" s="598"/>
      <c r="O94" s="598"/>
      <c r="P94" s="598"/>
      <c r="Q94" s="598"/>
      <c r="R94" s="598"/>
      <c r="S94" s="598"/>
      <c r="T94" s="598"/>
      <c r="U94" s="598"/>
      <c r="V94" s="598"/>
      <c r="W94" s="598"/>
      <c r="X94" s="598"/>
      <c r="Y94" s="598"/>
    </row>
    <row r="95" spans="1:28">
      <c r="B95" s="10" t="s">
        <v>0</v>
      </c>
      <c r="H95" s="599"/>
      <c r="I95" s="599"/>
      <c r="J95" s="598"/>
      <c r="K95" s="598"/>
      <c r="L95" s="598"/>
      <c r="M95" s="598"/>
      <c r="N95" s="598"/>
      <c r="O95" s="598"/>
      <c r="P95" s="598"/>
      <c r="Q95" s="598"/>
      <c r="R95" s="598"/>
      <c r="S95" s="598"/>
      <c r="T95" s="598"/>
      <c r="U95" s="598"/>
      <c r="V95" s="598"/>
      <c r="W95" s="598"/>
      <c r="X95" s="598"/>
      <c r="Y95" s="598"/>
    </row>
    <row r="96" spans="1:28">
      <c r="B96" s="10"/>
      <c r="C96" s="599"/>
      <c r="D96" s="599"/>
      <c r="E96" s="599"/>
      <c r="F96" s="599"/>
      <c r="G96" s="599"/>
      <c r="H96" s="599"/>
      <c r="I96" s="599"/>
      <c r="J96" s="598"/>
      <c r="K96" s="598"/>
      <c r="L96" s="598"/>
      <c r="M96" s="598"/>
      <c r="N96" s="598"/>
      <c r="O96" s="598"/>
      <c r="P96" s="598"/>
      <c r="Q96" s="598"/>
      <c r="R96" s="598"/>
      <c r="S96" s="598"/>
      <c r="T96" s="598"/>
      <c r="U96" s="598"/>
      <c r="V96" s="598"/>
      <c r="W96" s="598"/>
      <c r="X96" s="598"/>
      <c r="Y96" s="598"/>
    </row>
    <row r="97" spans="2:9">
      <c r="B97" s="10" t="s">
        <v>1</v>
      </c>
      <c r="C97" s="600"/>
      <c r="D97" s="601"/>
      <c r="E97" s="601"/>
      <c r="F97" s="601"/>
      <c r="G97" s="601"/>
      <c r="H97" s="601"/>
      <c r="I97" s="601"/>
    </row>
    <row r="98" spans="2:9">
      <c r="C98" s="600"/>
      <c r="D98" s="601"/>
      <c r="E98" s="601"/>
      <c r="F98" s="601"/>
      <c r="G98" s="601"/>
      <c r="H98" s="601"/>
      <c r="I98" s="601"/>
    </row>
    <row r="99" spans="2:9">
      <c r="C99" s="600">
        <f>+[8]Balance!$C$24</f>
        <v>5705936821</v>
      </c>
      <c r="D99" s="600"/>
      <c r="E99" s="600"/>
      <c r="F99" s="600"/>
      <c r="G99" s="600"/>
      <c r="H99" s="601"/>
      <c r="I99" s="601"/>
    </row>
    <row r="100" spans="2:9">
      <c r="C100" s="600">
        <f>+C92-C99</f>
        <v>0</v>
      </c>
      <c r="D100" s="601"/>
      <c r="E100" s="601"/>
      <c r="F100" s="601"/>
      <c r="G100" s="601"/>
      <c r="H100" s="601"/>
      <c r="I100" s="601"/>
    </row>
    <row r="101" spans="2:9">
      <c r="C101" s="600"/>
    </row>
    <row r="102" spans="2:9">
      <c r="C102" s="602"/>
    </row>
  </sheetData>
  <sheetProtection password="CACA" sheet="1" objects="1" scenarios="1"/>
  <mergeCells count="28">
    <mergeCell ref="T3:U3"/>
    <mergeCell ref="Y5:Y6"/>
    <mergeCell ref="R5:R6"/>
    <mergeCell ref="K5:K6"/>
    <mergeCell ref="J4:Y4"/>
    <mergeCell ref="V5:V6"/>
    <mergeCell ref="W5:W6"/>
    <mergeCell ref="X5:X6"/>
    <mergeCell ref="U5:U6"/>
    <mergeCell ref="T5:T6"/>
    <mergeCell ref="N5:N6"/>
    <mergeCell ref="S5:S6"/>
    <mergeCell ref="O5:O6"/>
    <mergeCell ref="P5:Q5"/>
    <mergeCell ref="M5:M6"/>
    <mergeCell ref="J5:J6"/>
    <mergeCell ref="A4:A6"/>
    <mergeCell ref="B4:B6"/>
    <mergeCell ref="C4:C6"/>
    <mergeCell ref="H5:H6"/>
    <mergeCell ref="I5:I6"/>
    <mergeCell ref="H4:I4"/>
    <mergeCell ref="D4:E4"/>
    <mergeCell ref="F4:G4"/>
    <mergeCell ref="D5:D6"/>
    <mergeCell ref="E5:E6"/>
    <mergeCell ref="G5:G6"/>
    <mergeCell ref="F5:F6"/>
  </mergeCells>
  <phoneticPr fontId="28" type="noConversion"/>
  <conditionalFormatting sqref="C92">
    <cfRule type="cellIs" dxfId="250" priority="321" stopIfTrue="1" operator="notEqual">
      <formula>H92+I92</formula>
    </cfRule>
    <cfRule type="cellIs" dxfId="249" priority="322" stopIfTrue="1" operator="notEqual">
      <formula>$C$99</formula>
    </cfRule>
  </conditionalFormatting>
  <conditionalFormatting sqref="C50:C55 C42:C47 C34:C39 C26:C31 C17:C23 C9:C14 C80:C91 C67:C77 C58:C64">
    <cfRule type="cellIs" dxfId="248" priority="151" operator="notEqual">
      <formula>D9+F9</formula>
    </cfRule>
    <cfRule type="cellIs" dxfId="247" priority="154" stopIfTrue="1" operator="notEqual">
      <formula>H9+$I9</formula>
    </cfRule>
  </conditionalFormatting>
  <conditionalFormatting sqref="C10:C14">
    <cfRule type="cellIs" dxfId="246" priority="152" operator="notEqual">
      <formula>H10+$I10</formula>
    </cfRule>
  </conditionalFormatting>
  <conditionalFormatting sqref="C9">
    <cfRule type="cellIs" dxfId="245" priority="6" operator="notEqual">
      <formula>D9+F9</formula>
    </cfRule>
    <cfRule type="cellIs" dxfId="244" priority="7" stopIfTrue="1" operator="notEqual">
      <formula>H9+$I9</formula>
    </cfRule>
  </conditionalFormatting>
  <conditionalFormatting sqref="C92">
    <cfRule type="cellIs" dxfId="243" priority="4" stopIfTrue="1" operator="notEqual">
      <formula>H92+I92</formula>
    </cfRule>
    <cfRule type="cellIs" dxfId="242" priority="5" stopIfTrue="1" operator="notEqual">
      <formula>C99</formula>
    </cfRule>
  </conditionalFormatting>
  <conditionalFormatting sqref="C50:C55 C42:C47 C34:C39 C26:C31 C17:C23 C9:C14 C80:C91 C67:C77 C58:C64">
    <cfRule type="cellIs" dxfId="241" priority="2" operator="notEqual">
      <formula>D9+F9</formula>
    </cfRule>
    <cfRule type="cellIs" dxfId="240" priority="3" stopIfTrue="1" operator="notEqual">
      <formula>H9+$I9</formula>
    </cfRule>
  </conditionalFormatting>
  <conditionalFormatting sqref="C10:C14">
    <cfRule type="cellIs" dxfId="239" priority="1" operator="notEqual">
      <formula>H10+$I10</formula>
    </cfRule>
  </conditionalFormatting>
  <dataValidations count="1">
    <dataValidation allowBlank="1" showInputMessage="1" showErrorMessage="1" prompt="Ячейка окрасится в случаях: _x000a_а) Итого ссуд не равно сумме начисляемых и неначисляемых ссуд_x000a_б) Итого ссуд не равно итого ссуд и лизинга в балансовом отчёте" sqref="C92" xr:uid="{00000000-0002-0000-0400-000000000000}"/>
  </dataValidations>
  <printOptions horizontalCentered="1" verticalCentered="1"/>
  <pageMargins left="0.15748031496062992" right="0.15748031496062992" top="0.23622047244094491" bottom="0.15748031496062992" header="0.22" footer="0.51181102362204722"/>
  <pageSetup paperSize="9" scale="33" orientation="landscape" r:id="rId1"/>
  <headerFooter alignWithMargins="0"/>
  <ignoredErrors>
    <ignoredError sqref="E93:H94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9">
    <pageSetUpPr fitToPage="1"/>
  </sheetPr>
  <dimension ref="A1:Z39"/>
  <sheetViews>
    <sheetView view="pageBreakPreview" topLeftCell="A4" zoomScale="70" zoomScaleNormal="71" zoomScaleSheetLayoutView="70" workbookViewId="0">
      <pane xSplit="4" ySplit="4" topLeftCell="E8" activePane="bottomRight" state="frozen"/>
      <selection activeCell="M64" sqref="M64"/>
      <selection pane="topRight" activeCell="M64" sqref="M64"/>
      <selection pane="bottomLeft" activeCell="M64" sqref="M64"/>
      <selection pane="bottomRight" activeCell="B34" sqref="B34"/>
    </sheetView>
  </sheetViews>
  <sheetFormatPr defaultColWidth="9.140625" defaultRowHeight="15"/>
  <cols>
    <col min="1" max="1" width="5" style="25" customWidth="1"/>
    <col min="2" max="2" width="48.140625" style="25" customWidth="1"/>
    <col min="3" max="3" width="19.140625" style="25" customWidth="1"/>
    <col min="4" max="4" width="7.140625" style="25" customWidth="1"/>
    <col min="5" max="5" width="19.5703125" style="25" customWidth="1"/>
    <col min="6" max="6" width="8.5703125" style="25" customWidth="1"/>
    <col min="7" max="7" width="21.85546875" style="25" customWidth="1"/>
    <col min="8" max="8" width="7.140625" style="25" customWidth="1"/>
    <col min="9" max="10" width="15.42578125" style="25" customWidth="1"/>
    <col min="11" max="11" width="8.7109375" style="25" customWidth="1"/>
    <col min="12" max="25" width="13.140625" style="25" customWidth="1"/>
    <col min="26" max="26" width="14.28515625" style="293" bestFit="1" customWidth="1"/>
    <col min="27" max="16384" width="9.140625" style="25"/>
  </cols>
  <sheetData>
    <row r="1" spans="1:26" s="328" customFormat="1" ht="36.75" customHeight="1">
      <c r="A1" s="323" t="s">
        <v>755</v>
      </c>
      <c r="B1" s="324"/>
      <c r="C1" s="324"/>
      <c r="D1" s="324"/>
      <c r="E1" s="324"/>
      <c r="F1" s="324"/>
      <c r="G1" s="324"/>
      <c r="H1" s="324"/>
      <c r="I1" s="323"/>
      <c r="J1" s="323"/>
      <c r="K1" s="323"/>
      <c r="L1" s="323"/>
      <c r="M1" s="323"/>
      <c r="N1" s="323"/>
      <c r="O1" s="323"/>
      <c r="P1" s="323"/>
      <c r="Q1" s="323"/>
      <c r="R1" s="324"/>
      <c r="S1" s="324"/>
      <c r="T1" s="324"/>
      <c r="U1" s="324"/>
      <c r="V1" s="325"/>
      <c r="W1" s="326"/>
      <c r="X1" s="315" t="s">
        <v>645</v>
      </c>
      <c r="Y1" s="324"/>
      <c r="Z1" s="327"/>
    </row>
    <row r="2" spans="1:26" s="110" customFormat="1" ht="18">
      <c r="A2" s="321"/>
      <c r="B2" s="111"/>
      <c r="C2" s="111"/>
      <c r="D2" s="111"/>
      <c r="E2" s="111"/>
      <c r="F2" s="111"/>
      <c r="G2" s="111"/>
      <c r="H2" s="111"/>
      <c r="I2" s="11"/>
      <c r="J2" s="11"/>
      <c r="K2" s="11"/>
      <c r="L2" s="111"/>
      <c r="M2" s="111"/>
      <c r="N2" s="111"/>
      <c r="O2" s="111"/>
      <c r="P2" s="111"/>
      <c r="Q2" s="111"/>
      <c r="R2" s="111"/>
      <c r="S2" s="111"/>
      <c r="T2" s="322"/>
      <c r="U2" s="111"/>
      <c r="V2" s="111"/>
      <c r="W2" s="111"/>
      <c r="X2" s="111"/>
    </row>
    <row r="3" spans="1:26" ht="18">
      <c r="A3" s="318"/>
      <c r="B3" s="503" t="str">
        <f>+'Asset quality'!B3</f>
        <v>АК "Алокабанк"</v>
      </c>
      <c r="C3" s="31"/>
      <c r="D3" s="319"/>
      <c r="E3" s="319"/>
      <c r="F3" s="319"/>
      <c r="G3" s="319"/>
      <c r="H3" s="319"/>
      <c r="I3" s="319"/>
      <c r="J3" s="320"/>
      <c r="K3" s="320"/>
      <c r="L3" s="320"/>
      <c r="M3" s="319"/>
      <c r="N3" s="319"/>
      <c r="O3" s="319"/>
      <c r="P3" s="319"/>
      <c r="Q3" s="319"/>
      <c r="R3" s="319"/>
      <c r="S3" s="319"/>
      <c r="T3" s="669">
        <f>+'Asset quality'!P3</f>
        <v>44196</v>
      </c>
      <c r="U3" s="669"/>
      <c r="V3" s="31"/>
      <c r="W3" s="31"/>
      <c r="X3" s="505" t="s">
        <v>408</v>
      </c>
      <c r="Z3" s="25"/>
    </row>
    <row r="4" spans="1:26" ht="30" customHeight="1">
      <c r="A4" s="674" t="s">
        <v>83</v>
      </c>
      <c r="B4" s="674" t="s">
        <v>57</v>
      </c>
      <c r="C4" s="674" t="s">
        <v>148</v>
      </c>
      <c r="D4" s="674" t="s">
        <v>149</v>
      </c>
      <c r="E4" s="674" t="s">
        <v>150</v>
      </c>
      <c r="F4" s="674" t="s">
        <v>149</v>
      </c>
      <c r="G4" s="674" t="s">
        <v>159</v>
      </c>
      <c r="H4" s="674" t="s">
        <v>149</v>
      </c>
      <c r="I4" s="670" t="s">
        <v>151</v>
      </c>
      <c r="J4" s="671"/>
      <c r="K4" s="674" t="s">
        <v>149</v>
      </c>
      <c r="L4" s="666" t="s">
        <v>676</v>
      </c>
      <c r="M4" s="668"/>
      <c r="N4" s="668"/>
      <c r="O4" s="668"/>
      <c r="P4" s="668"/>
      <c r="Q4" s="668"/>
      <c r="R4" s="668"/>
      <c r="S4" s="668"/>
      <c r="T4" s="668"/>
      <c r="U4" s="668"/>
      <c r="V4" s="668"/>
      <c r="W4" s="668"/>
      <c r="X4" s="668"/>
      <c r="Y4" s="667"/>
    </row>
    <row r="5" spans="1:26" ht="25.5" customHeight="1">
      <c r="A5" s="675"/>
      <c r="B5" s="675"/>
      <c r="C5" s="675"/>
      <c r="D5" s="675"/>
      <c r="E5" s="675"/>
      <c r="F5" s="675"/>
      <c r="G5" s="675"/>
      <c r="H5" s="675"/>
      <c r="I5" s="672"/>
      <c r="J5" s="673"/>
      <c r="K5" s="675"/>
      <c r="L5" s="666" t="s">
        <v>153</v>
      </c>
      <c r="M5" s="667"/>
      <c r="N5" s="666" t="s">
        <v>154</v>
      </c>
      <c r="O5" s="667"/>
      <c r="P5" s="666" t="s">
        <v>155</v>
      </c>
      <c r="Q5" s="667"/>
      <c r="R5" s="666" t="s">
        <v>156</v>
      </c>
      <c r="S5" s="667"/>
      <c r="T5" s="666" t="s">
        <v>157</v>
      </c>
      <c r="U5" s="667"/>
      <c r="V5" s="666" t="s">
        <v>735</v>
      </c>
      <c r="W5" s="667"/>
      <c r="X5" s="666" t="s">
        <v>158</v>
      </c>
      <c r="Y5" s="667"/>
    </row>
    <row r="6" spans="1:26" ht="31.5">
      <c r="A6" s="676"/>
      <c r="B6" s="676"/>
      <c r="C6" s="676"/>
      <c r="D6" s="676"/>
      <c r="E6" s="676"/>
      <c r="F6" s="676"/>
      <c r="G6" s="676"/>
      <c r="H6" s="676"/>
      <c r="I6" s="248" t="s">
        <v>568</v>
      </c>
      <c r="J6" s="248" t="s">
        <v>569</v>
      </c>
      <c r="K6" s="676"/>
      <c r="L6" s="248" t="s">
        <v>568</v>
      </c>
      <c r="M6" s="248" t="s">
        <v>569</v>
      </c>
      <c r="N6" s="248" t="s">
        <v>568</v>
      </c>
      <c r="O6" s="248" t="s">
        <v>569</v>
      </c>
      <c r="P6" s="248" t="s">
        <v>568</v>
      </c>
      <c r="Q6" s="248" t="s">
        <v>569</v>
      </c>
      <c r="R6" s="248" t="s">
        <v>568</v>
      </c>
      <c r="S6" s="248" t="s">
        <v>569</v>
      </c>
      <c r="T6" s="248" t="s">
        <v>568</v>
      </c>
      <c r="U6" s="248" t="s">
        <v>569</v>
      </c>
      <c r="V6" s="248" t="s">
        <v>568</v>
      </c>
      <c r="W6" s="248" t="s">
        <v>569</v>
      </c>
      <c r="X6" s="248" t="s">
        <v>568</v>
      </c>
      <c r="Y6" s="248" t="s">
        <v>569</v>
      </c>
    </row>
    <row r="7" spans="1:26" ht="15.75">
      <c r="A7" s="248"/>
      <c r="B7" s="248" t="s">
        <v>107</v>
      </c>
      <c r="C7" s="248" t="s">
        <v>58</v>
      </c>
      <c r="D7" s="248" t="s">
        <v>59</v>
      </c>
      <c r="E7" s="248" t="s">
        <v>60</v>
      </c>
      <c r="F7" s="248" t="s">
        <v>84</v>
      </c>
      <c r="G7" s="248" t="s">
        <v>85</v>
      </c>
      <c r="H7" s="248" t="s">
        <v>87</v>
      </c>
      <c r="I7" s="248" t="s">
        <v>108</v>
      </c>
      <c r="J7" s="248" t="s">
        <v>647</v>
      </c>
      <c r="K7" s="248" t="s">
        <v>109</v>
      </c>
      <c r="L7" s="248" t="s">
        <v>110</v>
      </c>
      <c r="M7" s="248" t="s">
        <v>641</v>
      </c>
      <c r="N7" s="248" t="s">
        <v>111</v>
      </c>
      <c r="O7" s="248" t="s">
        <v>649</v>
      </c>
      <c r="P7" s="248" t="s">
        <v>112</v>
      </c>
      <c r="Q7" s="248" t="s">
        <v>650</v>
      </c>
      <c r="R7" s="248" t="s">
        <v>113</v>
      </c>
      <c r="S7" s="248" t="s">
        <v>651</v>
      </c>
      <c r="T7" s="248" t="s">
        <v>114</v>
      </c>
      <c r="U7" s="248" t="s">
        <v>652</v>
      </c>
      <c r="V7" s="248" t="s">
        <v>115</v>
      </c>
      <c r="W7" s="248" t="s">
        <v>653</v>
      </c>
      <c r="X7" s="248" t="s">
        <v>116</v>
      </c>
      <c r="Y7" s="248" t="s">
        <v>654</v>
      </c>
    </row>
    <row r="8" spans="1:26" s="112" customFormat="1" ht="27.75" customHeight="1">
      <c r="A8" s="248"/>
      <c r="B8" s="248" t="s">
        <v>160</v>
      </c>
      <c r="C8" s="248"/>
      <c r="D8" s="248"/>
      <c r="E8" s="248"/>
      <c r="F8" s="248"/>
      <c r="G8" s="248"/>
      <c r="H8" s="248"/>
      <c r="I8" s="248"/>
      <c r="J8" s="248"/>
      <c r="K8" s="248"/>
      <c r="L8" s="248"/>
      <c r="M8" s="248"/>
      <c r="N8" s="248"/>
      <c r="O8" s="248"/>
      <c r="P8" s="248"/>
      <c r="Q8" s="248"/>
      <c r="R8" s="248"/>
      <c r="S8" s="248"/>
      <c r="T8" s="248"/>
      <c r="U8" s="248"/>
      <c r="V8" s="248"/>
      <c r="W8" s="248"/>
      <c r="X8" s="248"/>
      <c r="Y8" s="248"/>
      <c r="Z8" s="294"/>
    </row>
    <row r="9" spans="1:26" s="112" customFormat="1" ht="26.25" customHeight="1">
      <c r="A9" s="113">
        <v>1</v>
      </c>
      <c r="B9" s="114" t="s">
        <v>161</v>
      </c>
      <c r="C9" s="118">
        <f>+'Loans Receivable'!C86</f>
        <v>0</v>
      </c>
      <c r="D9" s="228">
        <f t="shared" ref="D9:D20" si="0">IF(C$22=0,"",C9/C$22)</f>
        <v>0</v>
      </c>
      <c r="E9" s="115">
        <v>0</v>
      </c>
      <c r="F9" s="228">
        <f t="shared" ref="F9:F20" si="1">IF(E$22=0,"",E9/E$22)</f>
        <v>0</v>
      </c>
      <c r="G9" s="115"/>
      <c r="H9" s="228" t="str">
        <f t="shared" ref="H9:H20" si="2">IF($G$22=0,"",G9/$G$22)</f>
        <v/>
      </c>
      <c r="I9" s="118">
        <f t="shared" ref="I9:J20" si="3">+L9+N9+P9+R9+T9+V9+X9</f>
        <v>0</v>
      </c>
      <c r="J9" s="118">
        <f>+M9+O9+T9+S9+U9+W9+Y9</f>
        <v>0</v>
      </c>
      <c r="K9" s="228">
        <f t="shared" ref="K9:K20" si="4">IF($Z$22=0,"",Z9/$Z$22)</f>
        <v>0</v>
      </c>
      <c r="L9" s="115">
        <v>0</v>
      </c>
      <c r="M9" s="115">
        <v>0</v>
      </c>
      <c r="N9" s="115">
        <v>0</v>
      </c>
      <c r="O9" s="115">
        <v>0</v>
      </c>
      <c r="P9" s="115">
        <v>0</v>
      </c>
      <c r="Q9" s="115">
        <v>0</v>
      </c>
      <c r="R9" s="115">
        <v>0</v>
      </c>
      <c r="S9" s="115">
        <v>0</v>
      </c>
      <c r="T9" s="115">
        <v>0</v>
      </c>
      <c r="U9" s="115">
        <v>0</v>
      </c>
      <c r="V9" s="115">
        <v>0</v>
      </c>
      <c r="W9" s="115">
        <v>0</v>
      </c>
      <c r="X9" s="115">
        <v>0</v>
      </c>
      <c r="Y9" s="115">
        <v>0</v>
      </c>
      <c r="Z9" s="295">
        <f>+I9+J9</f>
        <v>0</v>
      </c>
    </row>
    <row r="10" spans="1:26" s="112" customFormat="1" ht="26.25" customHeight="1">
      <c r="A10" s="113">
        <v>2</v>
      </c>
      <c r="B10" s="114" t="s">
        <v>162</v>
      </c>
      <c r="C10" s="118">
        <f>+'Loans Receivable'!C85</f>
        <v>0</v>
      </c>
      <c r="D10" s="228">
        <f t="shared" si="0"/>
        <v>0</v>
      </c>
      <c r="E10" s="115">
        <v>0</v>
      </c>
      <c r="F10" s="228">
        <f t="shared" si="1"/>
        <v>0</v>
      </c>
      <c r="G10" s="115"/>
      <c r="H10" s="228" t="str">
        <f t="shared" si="2"/>
        <v/>
      </c>
      <c r="I10" s="118">
        <f t="shared" si="3"/>
        <v>0</v>
      </c>
      <c r="J10" s="118">
        <f t="shared" si="3"/>
        <v>0</v>
      </c>
      <c r="K10" s="228">
        <f t="shared" si="4"/>
        <v>0</v>
      </c>
      <c r="L10" s="115">
        <v>0</v>
      </c>
      <c r="M10" s="115">
        <v>0</v>
      </c>
      <c r="N10" s="115">
        <v>0</v>
      </c>
      <c r="O10" s="115">
        <v>0</v>
      </c>
      <c r="P10" s="115">
        <v>0</v>
      </c>
      <c r="Q10" s="115">
        <v>0</v>
      </c>
      <c r="R10" s="115">
        <v>0</v>
      </c>
      <c r="S10" s="115">
        <v>0</v>
      </c>
      <c r="T10" s="115">
        <v>0</v>
      </c>
      <c r="U10" s="115">
        <v>0</v>
      </c>
      <c r="V10" s="115">
        <v>0</v>
      </c>
      <c r="W10" s="115">
        <v>0</v>
      </c>
      <c r="X10" s="115">
        <v>0</v>
      </c>
      <c r="Y10" s="115">
        <v>0</v>
      </c>
      <c r="Z10" s="295">
        <f t="shared" ref="Z10:Z34" si="5">+I10+J10</f>
        <v>0</v>
      </c>
    </row>
    <row r="11" spans="1:26" s="112" customFormat="1" ht="26.25" customHeight="1">
      <c r="A11" s="113">
        <v>3</v>
      </c>
      <c r="B11" s="114" t="s">
        <v>163</v>
      </c>
      <c r="C11" s="118">
        <f>+'Loans Receivable'!C87</f>
        <v>0</v>
      </c>
      <c r="D11" s="228">
        <f t="shared" si="0"/>
        <v>0</v>
      </c>
      <c r="E11" s="115">
        <v>0</v>
      </c>
      <c r="F11" s="228">
        <f t="shared" si="1"/>
        <v>0</v>
      </c>
      <c r="G11" s="115"/>
      <c r="H11" s="228" t="str">
        <f t="shared" si="2"/>
        <v/>
      </c>
      <c r="I11" s="118">
        <f t="shared" si="3"/>
        <v>0</v>
      </c>
      <c r="J11" s="118">
        <f t="shared" si="3"/>
        <v>0</v>
      </c>
      <c r="K11" s="228">
        <f t="shared" si="4"/>
        <v>0</v>
      </c>
      <c r="L11" s="115">
        <v>0</v>
      </c>
      <c r="M11" s="115">
        <v>0</v>
      </c>
      <c r="N11" s="115">
        <v>0</v>
      </c>
      <c r="O11" s="115">
        <v>0</v>
      </c>
      <c r="P11" s="115">
        <v>0</v>
      </c>
      <c r="Q11" s="115">
        <v>0</v>
      </c>
      <c r="R11" s="115">
        <v>0</v>
      </c>
      <c r="S11" s="115">
        <v>0</v>
      </c>
      <c r="T11" s="115">
        <v>0</v>
      </c>
      <c r="U11" s="115">
        <v>0</v>
      </c>
      <c r="V11" s="115">
        <v>0</v>
      </c>
      <c r="W11" s="115">
        <v>0</v>
      </c>
      <c r="X11" s="115">
        <v>0</v>
      </c>
      <c r="Y11" s="115">
        <v>0</v>
      </c>
      <c r="Z11" s="295">
        <f t="shared" si="5"/>
        <v>0</v>
      </c>
    </row>
    <row r="12" spans="1:26" s="112" customFormat="1" ht="26.25" customHeight="1">
      <c r="A12" s="113">
        <v>4</v>
      </c>
      <c r="B12" s="114" t="s">
        <v>164</v>
      </c>
      <c r="C12" s="118">
        <f>+'Loans Receivable'!C80</f>
        <v>1022400185</v>
      </c>
      <c r="D12" s="228">
        <f t="shared" si="0"/>
        <v>0.17918182711683411</v>
      </c>
      <c r="E12" s="115">
        <v>0</v>
      </c>
      <c r="F12" s="228">
        <f t="shared" si="1"/>
        <v>0</v>
      </c>
      <c r="G12" s="115"/>
      <c r="H12" s="228" t="str">
        <f t="shared" si="2"/>
        <v/>
      </c>
      <c r="I12" s="118">
        <f t="shared" si="3"/>
        <v>8980464</v>
      </c>
      <c r="J12" s="118">
        <f t="shared" si="3"/>
        <v>5030869</v>
      </c>
      <c r="K12" s="228">
        <f t="shared" si="4"/>
        <v>0.18356931843632948</v>
      </c>
      <c r="L12" s="115">
        <v>3148535</v>
      </c>
      <c r="M12" s="115">
        <v>269608</v>
      </c>
      <c r="N12" s="115">
        <v>1846505</v>
      </c>
      <c r="O12" s="115">
        <v>725614</v>
      </c>
      <c r="P12" s="115">
        <v>1259323</v>
      </c>
      <c r="Q12" s="115">
        <v>527453</v>
      </c>
      <c r="R12" s="115">
        <v>1364281</v>
      </c>
      <c r="S12" s="115">
        <v>2357840</v>
      </c>
      <c r="T12" s="115">
        <v>993057</v>
      </c>
      <c r="U12" s="115">
        <v>552850</v>
      </c>
      <c r="V12" s="115">
        <v>362648</v>
      </c>
      <c r="W12" s="115">
        <v>499973</v>
      </c>
      <c r="X12" s="115">
        <v>6115</v>
      </c>
      <c r="Y12" s="115">
        <v>97531</v>
      </c>
      <c r="Z12" s="295">
        <f t="shared" si="5"/>
        <v>14011333</v>
      </c>
    </row>
    <row r="13" spans="1:26" s="112" customFormat="1" ht="26.25" customHeight="1">
      <c r="A13" s="113">
        <v>5</v>
      </c>
      <c r="B13" s="114" t="s">
        <v>165</v>
      </c>
      <c r="C13" s="118">
        <f>+'Loans Receivable'!C81</f>
        <v>759073325</v>
      </c>
      <c r="D13" s="228">
        <f t="shared" si="0"/>
        <v>0.13303219941137864</v>
      </c>
      <c r="E13" s="115">
        <v>13497500</v>
      </c>
      <c r="F13" s="228">
        <f t="shared" si="1"/>
        <v>0.14049120450637703</v>
      </c>
      <c r="G13" s="115">
        <v>0</v>
      </c>
      <c r="H13" s="228" t="str">
        <f t="shared" si="2"/>
        <v/>
      </c>
      <c r="I13" s="118">
        <f t="shared" si="3"/>
        <v>0</v>
      </c>
      <c r="J13" s="118">
        <f t="shared" si="3"/>
        <v>0</v>
      </c>
      <c r="K13" s="228">
        <f t="shared" si="4"/>
        <v>0</v>
      </c>
      <c r="L13" s="115">
        <v>0</v>
      </c>
      <c r="M13" s="115">
        <v>0</v>
      </c>
      <c r="N13" s="115">
        <v>0</v>
      </c>
      <c r="O13" s="115">
        <v>0</v>
      </c>
      <c r="P13" s="115">
        <v>0</v>
      </c>
      <c r="Q13" s="115">
        <v>0</v>
      </c>
      <c r="R13" s="115">
        <v>0</v>
      </c>
      <c r="S13" s="115">
        <v>0</v>
      </c>
      <c r="T13" s="115">
        <v>0</v>
      </c>
      <c r="U13" s="115">
        <v>0</v>
      </c>
      <c r="V13" s="115">
        <v>0</v>
      </c>
      <c r="W13" s="115">
        <v>0</v>
      </c>
      <c r="X13" s="115">
        <v>0</v>
      </c>
      <c r="Y13" s="115">
        <v>0</v>
      </c>
      <c r="Z13" s="295">
        <f t="shared" si="5"/>
        <v>0</v>
      </c>
    </row>
    <row r="14" spans="1:26" s="112" customFormat="1" ht="26.25" customHeight="1">
      <c r="A14" s="113">
        <v>6</v>
      </c>
      <c r="B14" s="116" t="s">
        <v>166</v>
      </c>
      <c r="C14" s="118">
        <f>+'Loans Receivable'!C82</f>
        <v>455567628</v>
      </c>
      <c r="D14" s="228">
        <f t="shared" si="0"/>
        <v>7.9840987079166259E-2</v>
      </c>
      <c r="E14" s="115">
        <v>0</v>
      </c>
      <c r="F14" s="228">
        <f t="shared" si="1"/>
        <v>0</v>
      </c>
      <c r="G14" s="115">
        <v>0</v>
      </c>
      <c r="H14" s="228" t="str">
        <f t="shared" si="2"/>
        <v/>
      </c>
      <c r="I14" s="118">
        <f t="shared" si="3"/>
        <v>76626</v>
      </c>
      <c r="J14" s="118">
        <f t="shared" si="3"/>
        <v>2002978</v>
      </c>
      <c r="K14" s="228">
        <f t="shared" si="4"/>
        <v>2.7245907930206537E-2</v>
      </c>
      <c r="L14" s="115">
        <v>15335</v>
      </c>
      <c r="M14" s="115">
        <v>0</v>
      </c>
      <c r="N14" s="115">
        <v>15335</v>
      </c>
      <c r="O14" s="115">
        <v>0</v>
      </c>
      <c r="P14" s="115">
        <v>15335</v>
      </c>
      <c r="Q14" s="115">
        <v>7430</v>
      </c>
      <c r="R14" s="115">
        <v>30621</v>
      </c>
      <c r="S14" s="115">
        <v>0</v>
      </c>
      <c r="T14" s="115">
        <v>0</v>
      </c>
      <c r="U14" s="115">
        <v>0</v>
      </c>
      <c r="V14" s="115">
        <v>0</v>
      </c>
      <c r="W14" s="115">
        <v>1995548</v>
      </c>
      <c r="X14" s="115">
        <v>0</v>
      </c>
      <c r="Y14" s="115">
        <v>0</v>
      </c>
      <c r="Z14" s="295">
        <f t="shared" si="5"/>
        <v>2079604</v>
      </c>
    </row>
    <row r="15" spans="1:26" s="112" customFormat="1" ht="26.25" customHeight="1">
      <c r="A15" s="113">
        <v>7</v>
      </c>
      <c r="B15" s="116" t="s">
        <v>167</v>
      </c>
      <c r="C15" s="118">
        <f>+'Loans Receivable'!C83</f>
        <v>3382356533</v>
      </c>
      <c r="D15" s="228">
        <f t="shared" si="0"/>
        <v>0.59277847601670808</v>
      </c>
      <c r="E15" s="115">
        <v>82576130</v>
      </c>
      <c r="F15" s="228">
        <f t="shared" si="1"/>
        <v>0.85950879549362291</v>
      </c>
      <c r="G15" s="115">
        <v>0</v>
      </c>
      <c r="H15" s="228" t="str">
        <f t="shared" si="2"/>
        <v/>
      </c>
      <c r="I15" s="118">
        <f t="shared" si="3"/>
        <v>36289881</v>
      </c>
      <c r="J15" s="118">
        <f t="shared" si="3"/>
        <v>20610204</v>
      </c>
      <c r="K15" s="228">
        <f t="shared" si="4"/>
        <v>0.74547581036145627</v>
      </c>
      <c r="L15" s="115">
        <v>9532164</v>
      </c>
      <c r="M15" s="115">
        <v>275289</v>
      </c>
      <c r="N15" s="115">
        <v>5390049</v>
      </c>
      <c r="O15" s="115">
        <v>341431</v>
      </c>
      <c r="P15" s="115">
        <v>2798748</v>
      </c>
      <c r="Q15" s="115">
        <v>385506</v>
      </c>
      <c r="R15" s="115">
        <v>6692546</v>
      </c>
      <c r="S15" s="115">
        <v>13468555</v>
      </c>
      <c r="T15" s="115">
        <v>5267022</v>
      </c>
      <c r="U15" s="115">
        <v>5833421</v>
      </c>
      <c r="V15" s="115">
        <v>6609352</v>
      </c>
      <c r="W15" s="115">
        <v>289163</v>
      </c>
      <c r="X15" s="115">
        <v>0</v>
      </c>
      <c r="Y15" s="115">
        <v>16839</v>
      </c>
      <c r="Z15" s="295">
        <f t="shared" si="5"/>
        <v>56900085</v>
      </c>
    </row>
    <row r="16" spans="1:26" s="112" customFormat="1" ht="26.25" customHeight="1">
      <c r="A16" s="113">
        <v>8</v>
      </c>
      <c r="B16" s="116" t="s">
        <v>168</v>
      </c>
      <c r="C16" s="118">
        <f>+'Loans Receivable'!C84</f>
        <v>0</v>
      </c>
      <c r="D16" s="228">
        <f t="shared" si="0"/>
        <v>0</v>
      </c>
      <c r="E16" s="115">
        <v>0</v>
      </c>
      <c r="F16" s="228">
        <f t="shared" si="1"/>
        <v>0</v>
      </c>
      <c r="G16" s="115"/>
      <c r="H16" s="228" t="str">
        <f t="shared" si="2"/>
        <v/>
      </c>
      <c r="I16" s="118">
        <f t="shared" si="3"/>
        <v>0</v>
      </c>
      <c r="J16" s="118">
        <f t="shared" si="3"/>
        <v>0</v>
      </c>
      <c r="K16" s="228">
        <f t="shared" si="4"/>
        <v>0</v>
      </c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295">
        <f t="shared" si="5"/>
        <v>0</v>
      </c>
    </row>
    <row r="17" spans="1:26" s="112" customFormat="1" ht="26.25" customHeight="1">
      <c r="A17" s="113">
        <v>9</v>
      </c>
      <c r="B17" s="117" t="s">
        <v>169</v>
      </c>
      <c r="C17" s="118">
        <f>+'Loans Receivable'!C88</f>
        <v>1424539</v>
      </c>
      <c r="D17" s="228">
        <f t="shared" si="0"/>
        <v>2.496590909939905E-4</v>
      </c>
      <c r="E17" s="115">
        <v>0</v>
      </c>
      <c r="F17" s="228">
        <f t="shared" si="1"/>
        <v>0</v>
      </c>
      <c r="G17" s="115"/>
      <c r="H17" s="228" t="str">
        <f t="shared" si="2"/>
        <v/>
      </c>
      <c r="I17" s="118">
        <f t="shared" si="3"/>
        <v>0</v>
      </c>
      <c r="J17" s="118">
        <f t="shared" si="3"/>
        <v>0</v>
      </c>
      <c r="K17" s="228">
        <f t="shared" si="4"/>
        <v>0</v>
      </c>
      <c r="L17" s="115">
        <v>0</v>
      </c>
      <c r="M17" s="115">
        <v>0</v>
      </c>
      <c r="N17" s="115">
        <v>0</v>
      </c>
      <c r="O17" s="115">
        <v>0</v>
      </c>
      <c r="P17" s="115">
        <v>0</v>
      </c>
      <c r="Q17" s="115">
        <v>0</v>
      </c>
      <c r="R17" s="115">
        <v>0</v>
      </c>
      <c r="S17" s="115">
        <v>0</v>
      </c>
      <c r="T17" s="115">
        <v>0</v>
      </c>
      <c r="U17" s="115">
        <v>0</v>
      </c>
      <c r="V17" s="115">
        <v>0</v>
      </c>
      <c r="W17" s="115">
        <v>0</v>
      </c>
      <c r="X17" s="115">
        <v>0</v>
      </c>
      <c r="Y17" s="115">
        <v>0</v>
      </c>
      <c r="Z17" s="295">
        <f t="shared" si="5"/>
        <v>0</v>
      </c>
    </row>
    <row r="18" spans="1:26" s="112" customFormat="1" ht="38.25" customHeight="1">
      <c r="A18" s="113">
        <v>10</v>
      </c>
      <c r="B18" s="117" t="s">
        <v>170</v>
      </c>
      <c r="C18" s="118">
        <f>+'Loans Receivable'!C89</f>
        <v>15649091</v>
      </c>
      <c r="D18" s="228">
        <f t="shared" si="0"/>
        <v>2.742598015177007E-3</v>
      </c>
      <c r="E18" s="115">
        <v>0</v>
      </c>
      <c r="F18" s="228">
        <f t="shared" si="1"/>
        <v>0</v>
      </c>
      <c r="G18" s="115"/>
      <c r="H18" s="228" t="str">
        <f t="shared" si="2"/>
        <v/>
      </c>
      <c r="I18" s="118">
        <f t="shared" si="3"/>
        <v>812510</v>
      </c>
      <c r="J18" s="118">
        <f t="shared" si="3"/>
        <v>1108916</v>
      </c>
      <c r="K18" s="228">
        <f t="shared" si="4"/>
        <v>2.5173540679237501E-2</v>
      </c>
      <c r="L18" s="115">
        <v>15911</v>
      </c>
      <c r="M18" s="115">
        <v>328</v>
      </c>
      <c r="N18" s="115">
        <v>14607</v>
      </c>
      <c r="O18" s="115">
        <v>6423</v>
      </c>
      <c r="P18" s="115">
        <v>68602</v>
      </c>
      <c r="Q18" s="115">
        <v>723</v>
      </c>
      <c r="R18" s="115">
        <v>544318</v>
      </c>
      <c r="S18" s="115">
        <v>23988</v>
      </c>
      <c r="T18" s="115">
        <v>61164</v>
      </c>
      <c r="U18" s="115">
        <v>304236</v>
      </c>
      <c r="V18" s="115">
        <v>107908</v>
      </c>
      <c r="W18" s="115">
        <v>755165</v>
      </c>
      <c r="X18" s="115">
        <v>0</v>
      </c>
      <c r="Y18" s="115">
        <v>18053</v>
      </c>
      <c r="Z18" s="295">
        <f t="shared" si="5"/>
        <v>1921426</v>
      </c>
    </row>
    <row r="19" spans="1:26" s="112" customFormat="1" ht="26.25" customHeight="1">
      <c r="A19" s="113">
        <v>11</v>
      </c>
      <c r="B19" s="117" t="s">
        <v>171</v>
      </c>
      <c r="C19" s="118">
        <f>+'Loans Receivable'!C90</f>
        <v>0</v>
      </c>
      <c r="D19" s="228">
        <f t="shared" si="0"/>
        <v>0</v>
      </c>
      <c r="E19" s="115">
        <v>0</v>
      </c>
      <c r="F19" s="228">
        <f t="shared" si="1"/>
        <v>0</v>
      </c>
      <c r="G19" s="115"/>
      <c r="H19" s="228" t="str">
        <f t="shared" si="2"/>
        <v/>
      </c>
      <c r="I19" s="118">
        <f t="shared" si="3"/>
        <v>0</v>
      </c>
      <c r="J19" s="118">
        <f t="shared" si="3"/>
        <v>0</v>
      </c>
      <c r="K19" s="228">
        <f t="shared" si="4"/>
        <v>0</v>
      </c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295">
        <f t="shared" si="5"/>
        <v>0</v>
      </c>
    </row>
    <row r="20" spans="1:26" s="112" customFormat="1" ht="26.25" customHeight="1">
      <c r="A20" s="113">
        <v>12</v>
      </c>
      <c r="B20" s="117" t="s">
        <v>172</v>
      </c>
      <c r="C20" s="118">
        <f>+'Loans Receivable'!C91</f>
        <v>69465520</v>
      </c>
      <c r="D20" s="228">
        <f t="shared" si="0"/>
        <v>1.2174253269741909E-2</v>
      </c>
      <c r="E20" s="115">
        <v>0</v>
      </c>
      <c r="F20" s="228">
        <f t="shared" si="1"/>
        <v>0</v>
      </c>
      <c r="G20" s="115"/>
      <c r="H20" s="228" t="str">
        <f t="shared" si="2"/>
        <v/>
      </c>
      <c r="I20" s="118">
        <f t="shared" si="3"/>
        <v>1330936</v>
      </c>
      <c r="J20" s="118">
        <f t="shared" si="3"/>
        <v>83821</v>
      </c>
      <c r="K20" s="228">
        <f t="shared" si="4"/>
        <v>1.8535422592770166E-2</v>
      </c>
      <c r="L20" s="115">
        <v>257534</v>
      </c>
      <c r="M20" s="115">
        <v>3142</v>
      </c>
      <c r="N20" s="115">
        <v>230587</v>
      </c>
      <c r="O20" s="115">
        <v>5533</v>
      </c>
      <c r="P20" s="115">
        <v>190016</v>
      </c>
      <c r="Q20" s="115">
        <v>9441</v>
      </c>
      <c r="R20" s="115">
        <v>122193</v>
      </c>
      <c r="S20" s="115">
        <v>42018</v>
      </c>
      <c r="T20" s="115">
        <v>161640</v>
      </c>
      <c r="U20" s="115">
        <v>14802</v>
      </c>
      <c r="V20" s="115">
        <v>368966</v>
      </c>
      <c r="W20" s="115">
        <v>8885</v>
      </c>
      <c r="X20" s="115">
        <v>0</v>
      </c>
      <c r="Y20" s="115">
        <v>0</v>
      </c>
      <c r="Z20" s="295">
        <f t="shared" si="5"/>
        <v>1414757</v>
      </c>
    </row>
    <row r="21" spans="1:26" s="112" customFormat="1" ht="18.75" customHeight="1">
      <c r="A21" s="113"/>
      <c r="B21" s="114"/>
      <c r="C21" s="118"/>
      <c r="D21" s="228"/>
      <c r="E21" s="229"/>
      <c r="F21" s="228"/>
      <c r="G21" s="229"/>
      <c r="H21" s="228"/>
      <c r="I21" s="118"/>
      <c r="J21" s="230"/>
      <c r="K21" s="228"/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295">
        <f t="shared" si="5"/>
        <v>0</v>
      </c>
    </row>
    <row r="22" spans="1:26" s="112" customFormat="1" ht="27.75" customHeight="1">
      <c r="A22" s="248">
        <v>13</v>
      </c>
      <c r="B22" s="248" t="s">
        <v>173</v>
      </c>
      <c r="C22" s="249">
        <f>SUM(C9:C20)</f>
        <v>5705936821</v>
      </c>
      <c r="D22" s="250">
        <f>IF(C$22=0,"",C22/C$22)</f>
        <v>1</v>
      </c>
      <c r="E22" s="249">
        <f>SUM(E9:E20)</f>
        <v>96073630</v>
      </c>
      <c r="F22" s="250">
        <f>IF(E$22=0,"",E22/E$22)</f>
        <v>1</v>
      </c>
      <c r="G22" s="249">
        <f>SUM(G9:G20)</f>
        <v>0</v>
      </c>
      <c r="H22" s="250" t="str">
        <f>IF($G$22=0,"",G22/$G$22)</f>
        <v/>
      </c>
      <c r="I22" s="249">
        <f>SUM(I9:I20)</f>
        <v>47490417</v>
      </c>
      <c r="J22" s="249">
        <f>SUM(J9:J20)</f>
        <v>28836788</v>
      </c>
      <c r="K22" s="250">
        <f>IF($Z$22=0,"",Z22/$Z$22)</f>
        <v>1</v>
      </c>
      <c r="L22" s="249">
        <f t="shared" ref="L22:Y22" si="6">SUM(L9:L20)</f>
        <v>12969479</v>
      </c>
      <c r="M22" s="249">
        <f t="shared" si="6"/>
        <v>548367</v>
      </c>
      <c r="N22" s="249">
        <f t="shared" si="6"/>
        <v>7497083</v>
      </c>
      <c r="O22" s="249">
        <f t="shared" si="6"/>
        <v>1079001</v>
      </c>
      <c r="P22" s="249">
        <f t="shared" si="6"/>
        <v>4332024</v>
      </c>
      <c r="Q22" s="249">
        <f t="shared" si="6"/>
        <v>930553</v>
      </c>
      <c r="R22" s="249">
        <f t="shared" si="6"/>
        <v>8753959</v>
      </c>
      <c r="S22" s="249">
        <f t="shared" si="6"/>
        <v>15892401</v>
      </c>
      <c r="T22" s="249">
        <f t="shared" si="6"/>
        <v>6482883</v>
      </c>
      <c r="U22" s="249">
        <f t="shared" si="6"/>
        <v>6705309</v>
      </c>
      <c r="V22" s="249">
        <f t="shared" si="6"/>
        <v>7448874</v>
      </c>
      <c r="W22" s="249">
        <f t="shared" si="6"/>
        <v>3548734</v>
      </c>
      <c r="X22" s="249">
        <f t="shared" si="6"/>
        <v>6115</v>
      </c>
      <c r="Y22" s="249">
        <f t="shared" si="6"/>
        <v>132423</v>
      </c>
      <c r="Z22" s="295">
        <f t="shared" si="5"/>
        <v>76327205</v>
      </c>
    </row>
    <row r="23" spans="1:26" s="112" customFormat="1" ht="18.75" customHeight="1">
      <c r="A23" s="113"/>
      <c r="B23" s="114"/>
      <c r="C23" s="118"/>
      <c r="D23" s="231"/>
      <c r="E23" s="229"/>
      <c r="F23" s="230"/>
      <c r="G23" s="229"/>
      <c r="H23" s="231"/>
      <c r="I23" s="118"/>
      <c r="J23" s="230"/>
      <c r="K23" s="231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295">
        <f t="shared" si="5"/>
        <v>0</v>
      </c>
    </row>
    <row r="24" spans="1:26" s="112" customFormat="1" ht="27.75" customHeight="1">
      <c r="A24" s="248"/>
      <c r="B24" s="248" t="s">
        <v>174</v>
      </c>
      <c r="C24" s="248"/>
      <c r="D24" s="248"/>
      <c r="E24" s="248"/>
      <c r="F24" s="248">
        <f t="shared" ref="F24" si="7">IF(E$22=0,"",E24/E$22)</f>
        <v>0</v>
      </c>
      <c r="G24" s="248"/>
      <c r="H24" s="248"/>
      <c r="I24" s="248"/>
      <c r="J24" s="248"/>
      <c r="K24" s="248"/>
      <c r="L24" s="248"/>
      <c r="M24" s="248"/>
      <c r="N24" s="248"/>
      <c r="O24" s="248"/>
      <c r="P24" s="248"/>
      <c r="Q24" s="248"/>
      <c r="R24" s="248"/>
      <c r="S24" s="248"/>
      <c r="T24" s="248"/>
      <c r="U24" s="248"/>
      <c r="V24" s="248"/>
      <c r="W24" s="248"/>
      <c r="X24" s="248"/>
      <c r="Y24" s="248"/>
      <c r="Z24" s="294">
        <f t="shared" si="5"/>
        <v>0</v>
      </c>
    </row>
    <row r="25" spans="1:26" s="112" customFormat="1" ht="26.25" customHeight="1">
      <c r="A25" s="113">
        <v>14</v>
      </c>
      <c r="B25" s="119" t="s">
        <v>118</v>
      </c>
      <c r="C25" s="118">
        <f>+'Loans Receivable'!C15</f>
        <v>965348427</v>
      </c>
      <c r="D25" s="228">
        <f t="shared" ref="D25:D32" si="8">IF(C$34=0,"",C25/C$34)</f>
        <v>0.16918316085224666</v>
      </c>
      <c r="E25" s="115">
        <v>16357500</v>
      </c>
      <c r="F25" s="228">
        <f t="shared" ref="F25:F32" si="9">IF($E$34=0,"",E25/$E$34)</f>
        <v>0.17026003909709667</v>
      </c>
      <c r="G25" s="115">
        <v>0</v>
      </c>
      <c r="H25" s="228" t="str">
        <f t="shared" ref="H25:H32" si="10">IF($G$34=0,"",G25/$G$34)</f>
        <v/>
      </c>
      <c r="I25" s="118">
        <f t="shared" ref="I25:J32" si="11">+L25+N25+P25+R25+T25+V25+X25</f>
        <v>2909434</v>
      </c>
      <c r="J25" s="118">
        <f t="shared" si="11"/>
        <v>2507999</v>
      </c>
      <c r="K25" s="228">
        <f t="shared" ref="K25:K32" si="12">IF($Z$34=0,"",Z25/$Z$34)</f>
        <v>7.0976436252316588E-2</v>
      </c>
      <c r="L25" s="115">
        <v>1122196</v>
      </c>
      <c r="M25" s="115">
        <v>9292</v>
      </c>
      <c r="N25" s="115">
        <v>677815</v>
      </c>
      <c r="O25" s="115">
        <v>3243</v>
      </c>
      <c r="P25" s="115">
        <v>530896</v>
      </c>
      <c r="Q25" s="115">
        <v>336752</v>
      </c>
      <c r="R25" s="115">
        <v>154333</v>
      </c>
      <c r="S25" s="115">
        <v>154279</v>
      </c>
      <c r="T25" s="115">
        <v>399883</v>
      </c>
      <c r="U25" s="115">
        <v>0</v>
      </c>
      <c r="V25" s="115">
        <v>24311</v>
      </c>
      <c r="W25" s="115">
        <v>2004433</v>
      </c>
      <c r="X25" s="115">
        <v>0</v>
      </c>
      <c r="Y25" s="115">
        <v>0</v>
      </c>
      <c r="Z25" s="295">
        <f t="shared" si="5"/>
        <v>5417433</v>
      </c>
    </row>
    <row r="26" spans="1:26" s="112" customFormat="1" ht="26.25" customHeight="1">
      <c r="A26" s="113">
        <v>15</v>
      </c>
      <c r="B26" s="119" t="s">
        <v>126</v>
      </c>
      <c r="C26" s="118">
        <f>+'Loans Receivable'!C24</f>
        <v>113582271</v>
      </c>
      <c r="D26" s="228">
        <f t="shared" si="8"/>
        <v>1.990598118471526E-2</v>
      </c>
      <c r="E26" s="115">
        <v>0</v>
      </c>
      <c r="F26" s="228">
        <f t="shared" si="9"/>
        <v>0</v>
      </c>
      <c r="G26" s="115">
        <v>0</v>
      </c>
      <c r="H26" s="228" t="str">
        <f t="shared" si="10"/>
        <v/>
      </c>
      <c r="I26" s="118">
        <f t="shared" si="11"/>
        <v>4135476</v>
      </c>
      <c r="J26" s="118">
        <f t="shared" si="11"/>
        <v>792109</v>
      </c>
      <c r="K26" s="228">
        <f t="shared" si="12"/>
        <v>6.4558698304228487E-2</v>
      </c>
      <c r="L26" s="115">
        <v>510497</v>
      </c>
      <c r="M26" s="115">
        <v>16673</v>
      </c>
      <c r="N26" s="115">
        <v>228559</v>
      </c>
      <c r="O26" s="115">
        <v>9671</v>
      </c>
      <c r="P26" s="115">
        <v>8059</v>
      </c>
      <c r="Q26" s="115">
        <v>4526</v>
      </c>
      <c r="R26" s="115">
        <v>28898</v>
      </c>
      <c r="S26" s="115">
        <v>0</v>
      </c>
      <c r="T26" s="115">
        <v>2987447</v>
      </c>
      <c r="U26" s="115">
        <v>758695</v>
      </c>
      <c r="V26" s="115">
        <v>372016</v>
      </c>
      <c r="W26" s="115">
        <v>2544</v>
      </c>
      <c r="X26" s="115">
        <v>0</v>
      </c>
      <c r="Y26" s="115">
        <v>0</v>
      </c>
      <c r="Z26" s="295">
        <f t="shared" si="5"/>
        <v>4927585</v>
      </c>
    </row>
    <row r="27" spans="1:26" s="112" customFormat="1" ht="26.25" customHeight="1">
      <c r="A27" s="113">
        <v>16</v>
      </c>
      <c r="B27" s="119" t="s">
        <v>129</v>
      </c>
      <c r="C27" s="118">
        <f>+'Loans Receivable'!C32</f>
        <v>543322518</v>
      </c>
      <c r="D27" s="228">
        <f t="shared" si="8"/>
        <v>9.5220563256215557E-2</v>
      </c>
      <c r="E27" s="115">
        <v>0</v>
      </c>
      <c r="F27" s="228">
        <f t="shared" si="9"/>
        <v>0</v>
      </c>
      <c r="G27" s="115">
        <v>0</v>
      </c>
      <c r="H27" s="228" t="str">
        <f t="shared" si="10"/>
        <v/>
      </c>
      <c r="I27" s="118">
        <f t="shared" si="11"/>
        <v>291329</v>
      </c>
      <c r="J27" s="118">
        <f t="shared" si="11"/>
        <v>801011</v>
      </c>
      <c r="K27" s="228">
        <f t="shared" si="12"/>
        <v>1.4311279968918029E-2</v>
      </c>
      <c r="L27" s="115">
        <v>110500</v>
      </c>
      <c r="M27" s="115">
        <v>10003</v>
      </c>
      <c r="N27" s="115">
        <v>110500</v>
      </c>
      <c r="O27" s="115">
        <v>13636</v>
      </c>
      <c r="P27" s="115">
        <v>26877</v>
      </c>
      <c r="Q27" s="115">
        <v>0</v>
      </c>
      <c r="R27" s="115">
        <v>43452</v>
      </c>
      <c r="S27" s="115">
        <v>0</v>
      </c>
      <c r="T27" s="115">
        <v>0</v>
      </c>
      <c r="U27" s="115">
        <v>777372</v>
      </c>
      <c r="V27" s="115">
        <v>0</v>
      </c>
      <c r="W27" s="115">
        <v>0</v>
      </c>
      <c r="X27" s="115">
        <v>0</v>
      </c>
      <c r="Y27" s="115">
        <v>0</v>
      </c>
      <c r="Z27" s="295">
        <f t="shared" si="5"/>
        <v>1092340</v>
      </c>
    </row>
    <row r="28" spans="1:26" s="112" customFormat="1" ht="26.25" customHeight="1">
      <c r="A28" s="113">
        <v>17</v>
      </c>
      <c r="B28" s="119" t="s">
        <v>131</v>
      </c>
      <c r="C28" s="118">
        <f>+'Loans Receivable'!C40</f>
        <v>283340629</v>
      </c>
      <c r="D28" s="228">
        <f t="shared" si="8"/>
        <v>4.9657161985600613E-2</v>
      </c>
      <c r="E28" s="115">
        <v>0</v>
      </c>
      <c r="F28" s="228">
        <f t="shared" si="9"/>
        <v>0</v>
      </c>
      <c r="G28" s="115">
        <v>0</v>
      </c>
      <c r="H28" s="228" t="str">
        <f t="shared" si="10"/>
        <v/>
      </c>
      <c r="I28" s="118">
        <f t="shared" si="11"/>
        <v>5470550</v>
      </c>
      <c r="J28" s="118">
        <f t="shared" si="11"/>
        <v>30577</v>
      </c>
      <c r="K28" s="228">
        <f t="shared" si="12"/>
        <v>7.2072952232431417E-2</v>
      </c>
      <c r="L28" s="115">
        <v>1231802</v>
      </c>
      <c r="M28" s="115">
        <v>0</v>
      </c>
      <c r="N28" s="115">
        <v>750019</v>
      </c>
      <c r="O28" s="115">
        <v>7634</v>
      </c>
      <c r="P28" s="115">
        <v>36356</v>
      </c>
      <c r="Q28" s="115">
        <v>0</v>
      </c>
      <c r="R28" s="115">
        <v>3452373</v>
      </c>
      <c r="S28" s="115">
        <v>22943</v>
      </c>
      <c r="T28" s="115">
        <v>0</v>
      </c>
      <c r="U28" s="115">
        <v>0</v>
      </c>
      <c r="V28" s="115">
        <v>0</v>
      </c>
      <c r="W28" s="115">
        <v>0</v>
      </c>
      <c r="X28" s="115">
        <v>0</v>
      </c>
      <c r="Y28" s="115">
        <v>0</v>
      </c>
      <c r="Z28" s="295">
        <f t="shared" si="5"/>
        <v>5501127</v>
      </c>
    </row>
    <row r="29" spans="1:26" s="112" customFormat="1" ht="26.25" customHeight="1">
      <c r="A29" s="113">
        <v>18</v>
      </c>
      <c r="B29" s="120" t="s">
        <v>133</v>
      </c>
      <c r="C29" s="118">
        <f>+'Loans Receivable'!C48</f>
        <v>151920268</v>
      </c>
      <c r="D29" s="228">
        <f t="shared" si="8"/>
        <v>2.6624947447871507E-2</v>
      </c>
      <c r="E29" s="115">
        <v>0</v>
      </c>
      <c r="F29" s="228">
        <f t="shared" si="9"/>
        <v>0</v>
      </c>
      <c r="G29" s="115">
        <v>0</v>
      </c>
      <c r="H29" s="228" t="str">
        <f t="shared" si="10"/>
        <v/>
      </c>
      <c r="I29" s="118">
        <f t="shared" si="11"/>
        <v>4205498</v>
      </c>
      <c r="J29" s="118">
        <f t="shared" si="11"/>
        <v>71638</v>
      </c>
      <c r="K29" s="228">
        <f t="shared" si="12"/>
        <v>5.6036848198489649E-2</v>
      </c>
      <c r="L29" s="115">
        <v>1179420</v>
      </c>
      <c r="M29" s="115">
        <v>31123</v>
      </c>
      <c r="N29" s="115">
        <v>677935</v>
      </c>
      <c r="O29" s="115">
        <v>1692</v>
      </c>
      <c r="P29" s="115">
        <v>610767</v>
      </c>
      <c r="Q29" s="115">
        <v>22690</v>
      </c>
      <c r="R29" s="115">
        <v>1727676</v>
      </c>
      <c r="S29" s="115">
        <v>16133</v>
      </c>
      <c r="T29" s="115">
        <v>9700</v>
      </c>
      <c r="U29" s="115">
        <v>0</v>
      </c>
      <c r="V29" s="115">
        <v>0</v>
      </c>
      <c r="W29" s="115">
        <v>0</v>
      </c>
      <c r="X29" s="115">
        <v>0</v>
      </c>
      <c r="Y29" s="115">
        <v>0</v>
      </c>
      <c r="Z29" s="295">
        <f t="shared" si="5"/>
        <v>4277136</v>
      </c>
    </row>
    <row r="30" spans="1:26" s="112" customFormat="1" ht="38.25" customHeight="1">
      <c r="A30" s="113">
        <v>19</v>
      </c>
      <c r="B30" s="120" t="s">
        <v>135</v>
      </c>
      <c r="C30" s="118">
        <f>+'Loans Receivable'!C56</f>
        <v>76942702</v>
      </c>
      <c r="D30" s="228">
        <f t="shared" si="8"/>
        <v>1.3484674719289186E-2</v>
      </c>
      <c r="E30" s="115">
        <v>0</v>
      </c>
      <c r="F30" s="228">
        <f t="shared" si="9"/>
        <v>0</v>
      </c>
      <c r="G30" s="115">
        <v>0</v>
      </c>
      <c r="H30" s="228" t="str">
        <f t="shared" si="10"/>
        <v/>
      </c>
      <c r="I30" s="118">
        <f t="shared" si="11"/>
        <v>0</v>
      </c>
      <c r="J30" s="118">
        <f t="shared" si="11"/>
        <v>0</v>
      </c>
      <c r="K30" s="228">
        <f t="shared" si="12"/>
        <v>0</v>
      </c>
      <c r="L30" s="115">
        <v>0</v>
      </c>
      <c r="M30" s="115">
        <v>0</v>
      </c>
      <c r="N30" s="115">
        <v>0</v>
      </c>
      <c r="O30" s="115">
        <v>0</v>
      </c>
      <c r="P30" s="115">
        <v>0</v>
      </c>
      <c r="Q30" s="115">
        <v>0</v>
      </c>
      <c r="R30" s="115">
        <v>0</v>
      </c>
      <c r="S30" s="115">
        <v>0</v>
      </c>
      <c r="T30" s="115">
        <v>0</v>
      </c>
      <c r="U30" s="115">
        <v>0</v>
      </c>
      <c r="V30" s="115">
        <v>0</v>
      </c>
      <c r="W30" s="115">
        <v>0</v>
      </c>
      <c r="X30" s="115">
        <v>0</v>
      </c>
      <c r="Y30" s="115">
        <v>0</v>
      </c>
      <c r="Z30" s="295">
        <f t="shared" si="5"/>
        <v>0</v>
      </c>
    </row>
    <row r="31" spans="1:26" s="112" customFormat="1" ht="26.25" customHeight="1">
      <c r="A31" s="113">
        <v>20</v>
      </c>
      <c r="B31" s="119" t="s">
        <v>137</v>
      </c>
      <c r="C31" s="118">
        <f>+'Loans Receivable'!C65</f>
        <v>21411004</v>
      </c>
      <c r="D31" s="228">
        <f t="shared" si="8"/>
        <v>3.7524081797049398E-3</v>
      </c>
      <c r="E31" s="115">
        <v>0</v>
      </c>
      <c r="F31" s="228">
        <f t="shared" si="9"/>
        <v>0</v>
      </c>
      <c r="G31" s="115">
        <v>0</v>
      </c>
      <c r="H31" s="228" t="str">
        <f t="shared" si="10"/>
        <v/>
      </c>
      <c r="I31" s="118">
        <f t="shared" si="11"/>
        <v>687308</v>
      </c>
      <c r="J31" s="118">
        <f t="shared" si="11"/>
        <v>1042908</v>
      </c>
      <c r="K31" s="228">
        <f t="shared" si="12"/>
        <v>2.2668405059506635E-2</v>
      </c>
      <c r="L31" s="115">
        <v>15911</v>
      </c>
      <c r="M31" s="115">
        <v>328</v>
      </c>
      <c r="N31" s="115">
        <v>14607</v>
      </c>
      <c r="O31" s="115">
        <v>25029</v>
      </c>
      <c r="P31" s="115">
        <v>62065</v>
      </c>
      <c r="Q31" s="115">
        <v>723</v>
      </c>
      <c r="R31" s="115">
        <v>504699</v>
      </c>
      <c r="S31" s="115">
        <v>23988</v>
      </c>
      <c r="T31" s="115">
        <v>28472</v>
      </c>
      <c r="U31" s="115">
        <v>161423</v>
      </c>
      <c r="V31" s="115">
        <v>61554</v>
      </c>
      <c r="W31" s="115">
        <v>796525</v>
      </c>
      <c r="X31" s="115">
        <v>0</v>
      </c>
      <c r="Y31" s="115">
        <v>34892</v>
      </c>
      <c r="Z31" s="295">
        <f t="shared" si="5"/>
        <v>1730216</v>
      </c>
    </row>
    <row r="32" spans="1:26" s="112" customFormat="1" ht="26.25" customHeight="1">
      <c r="A32" s="113">
        <v>21</v>
      </c>
      <c r="B32" s="119" t="s">
        <v>175</v>
      </c>
      <c r="C32" s="118">
        <f>+'Loans Receivable'!C78</f>
        <v>3550069002</v>
      </c>
      <c r="D32" s="228">
        <f t="shared" si="8"/>
        <v>0.62217110237435624</v>
      </c>
      <c r="E32" s="115">
        <v>79716130</v>
      </c>
      <c r="F32" s="228">
        <f t="shared" si="9"/>
        <v>0.82973996090290336</v>
      </c>
      <c r="G32" s="115">
        <v>0</v>
      </c>
      <c r="H32" s="228" t="str">
        <f t="shared" si="10"/>
        <v/>
      </c>
      <c r="I32" s="118">
        <f t="shared" si="11"/>
        <v>29790822</v>
      </c>
      <c r="J32" s="118">
        <f t="shared" si="11"/>
        <v>23590546</v>
      </c>
      <c r="K32" s="228">
        <f t="shared" si="12"/>
        <v>0.69937537998410926</v>
      </c>
      <c r="L32" s="115">
        <v>8799153</v>
      </c>
      <c r="M32" s="115">
        <v>480948</v>
      </c>
      <c r="N32" s="115">
        <v>5037648</v>
      </c>
      <c r="O32" s="115">
        <v>1018096</v>
      </c>
      <c r="P32" s="115">
        <v>3057004</v>
      </c>
      <c r="Q32" s="115">
        <v>565862</v>
      </c>
      <c r="R32" s="115">
        <v>2842528</v>
      </c>
      <c r="S32" s="115">
        <v>15675058</v>
      </c>
      <c r="T32" s="115">
        <v>3057381</v>
      </c>
      <c r="U32" s="115">
        <v>5007819</v>
      </c>
      <c r="V32" s="115">
        <v>6990993</v>
      </c>
      <c r="W32" s="115">
        <v>745232</v>
      </c>
      <c r="X32" s="115">
        <v>6115</v>
      </c>
      <c r="Y32" s="115">
        <v>97531</v>
      </c>
      <c r="Z32" s="295">
        <f t="shared" si="5"/>
        <v>53381368</v>
      </c>
    </row>
    <row r="33" spans="1:26" s="112" customFormat="1" ht="18.75" customHeight="1">
      <c r="A33" s="113"/>
      <c r="B33" s="114"/>
      <c r="C33" s="118"/>
      <c r="D33" s="228"/>
      <c r="E33" s="229"/>
      <c r="F33" s="228"/>
      <c r="G33" s="229"/>
      <c r="H33" s="228"/>
      <c r="I33" s="118"/>
      <c r="J33" s="230"/>
      <c r="K33" s="228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295">
        <f t="shared" si="5"/>
        <v>0</v>
      </c>
    </row>
    <row r="34" spans="1:26" s="112" customFormat="1" ht="27.75" customHeight="1">
      <c r="A34" s="248">
        <v>22</v>
      </c>
      <c r="B34" s="248" t="s">
        <v>173</v>
      </c>
      <c r="C34" s="249">
        <f>SUM(C25:C32)</f>
        <v>5705936821</v>
      </c>
      <c r="D34" s="250">
        <f>IF(C$34=0,"",C34/C$34)</f>
        <v>1</v>
      </c>
      <c r="E34" s="249">
        <f>SUM(E25:E32)</f>
        <v>96073630</v>
      </c>
      <c r="F34" s="250">
        <f>IF($E$34=0,"",E34/$E$34)</f>
        <v>1</v>
      </c>
      <c r="G34" s="249">
        <f>SUM(G25:G32)</f>
        <v>0</v>
      </c>
      <c r="H34" s="250" t="str">
        <f>IF($G$34=0,"",G34/$G$34)</f>
        <v/>
      </c>
      <c r="I34" s="249">
        <f t="shared" ref="I34:Y34" si="13">SUM(I25:I32)</f>
        <v>47490417</v>
      </c>
      <c r="J34" s="249">
        <f t="shared" si="13"/>
        <v>28836788</v>
      </c>
      <c r="K34" s="250">
        <f>IF($Z$34=0,"",Z34/$Z$34)</f>
        <v>1</v>
      </c>
      <c r="L34" s="249">
        <f t="shared" si="13"/>
        <v>12969479</v>
      </c>
      <c r="M34" s="249">
        <f t="shared" si="13"/>
        <v>548367</v>
      </c>
      <c r="N34" s="249">
        <f t="shared" si="13"/>
        <v>7497083</v>
      </c>
      <c r="O34" s="249">
        <f t="shared" si="13"/>
        <v>1079001</v>
      </c>
      <c r="P34" s="249">
        <f t="shared" si="13"/>
        <v>4332024</v>
      </c>
      <c r="Q34" s="249">
        <f t="shared" si="13"/>
        <v>930553</v>
      </c>
      <c r="R34" s="249">
        <f t="shared" si="13"/>
        <v>8753959</v>
      </c>
      <c r="S34" s="249">
        <f t="shared" si="13"/>
        <v>15892401</v>
      </c>
      <c r="T34" s="249">
        <f t="shared" si="13"/>
        <v>6482883</v>
      </c>
      <c r="U34" s="249">
        <f t="shared" si="13"/>
        <v>6705309</v>
      </c>
      <c r="V34" s="249">
        <f t="shared" si="13"/>
        <v>7448874</v>
      </c>
      <c r="W34" s="249">
        <f t="shared" si="13"/>
        <v>3548734</v>
      </c>
      <c r="X34" s="249">
        <f t="shared" si="13"/>
        <v>6115</v>
      </c>
      <c r="Y34" s="249">
        <f t="shared" si="13"/>
        <v>132423</v>
      </c>
      <c r="Z34" s="295">
        <f t="shared" si="5"/>
        <v>76327205</v>
      </c>
    </row>
    <row r="35" spans="1:26" ht="15.75">
      <c r="A35" s="121"/>
    </row>
    <row r="36" spans="1:26" ht="15.75">
      <c r="A36" s="121"/>
    </row>
    <row r="37" spans="1:26" ht="15.75">
      <c r="A37" s="121"/>
      <c r="B37" s="122" t="s">
        <v>0</v>
      </c>
    </row>
    <row r="38" spans="1:26" ht="15.75">
      <c r="A38" s="121"/>
      <c r="B38" s="122"/>
    </row>
    <row r="39" spans="1:26" ht="15.75">
      <c r="A39" s="121"/>
      <c r="B39" s="122" t="s">
        <v>1</v>
      </c>
    </row>
  </sheetData>
  <sheetProtection password="CACA" sheet="1" objects="1" scenarios="1"/>
  <mergeCells count="19">
    <mergeCell ref="T3:U3"/>
    <mergeCell ref="I4:J5"/>
    <mergeCell ref="K4:K6"/>
    <mergeCell ref="H4:H6"/>
    <mergeCell ref="A4:A6"/>
    <mergeCell ref="B4:B6"/>
    <mergeCell ref="C4:C6"/>
    <mergeCell ref="D4:D6"/>
    <mergeCell ref="G4:G6"/>
    <mergeCell ref="E4:E6"/>
    <mergeCell ref="F4:F6"/>
    <mergeCell ref="X5:Y5"/>
    <mergeCell ref="L4:Y4"/>
    <mergeCell ref="N5:O5"/>
    <mergeCell ref="P5:Q5"/>
    <mergeCell ref="R5:S5"/>
    <mergeCell ref="T5:U5"/>
    <mergeCell ref="V5:W5"/>
    <mergeCell ref="L5:M5"/>
  </mergeCells>
  <phoneticPr fontId="17" type="noConversion"/>
  <conditionalFormatting sqref="C34 E34 G34 I34:J34 L34:Y34">
    <cfRule type="cellIs" dxfId="238" priority="26" operator="notEqual">
      <formula>C22</formula>
    </cfRule>
  </conditionalFormatting>
  <dataValidations count="1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U10:Y21 E9:E20 G9:G20 L9:Q19 R10:T19 R9:Y9 G25:G32 N20:T20 E25:E32 U25:Y33 L26:T33 L21:T21 N25:T25" xr:uid="{00000000-0002-0000-0500-000000000000}">
      <formula1>-1E+22</formula1>
      <formula2>1E+22</formula2>
    </dataValidation>
  </dataValidations>
  <printOptions horizontalCentered="1"/>
  <pageMargins left="0.19685039370078741" right="0.19685039370078741" top="0.39370078740157483" bottom="0.39370078740157483" header="0.51181102362204722" footer="0.51181102362204722"/>
  <pageSetup paperSize="9" scale="4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10">
    <pageSetUpPr fitToPage="1"/>
  </sheetPr>
  <dimension ref="A1:AH1048576"/>
  <sheetViews>
    <sheetView view="pageBreakPreview" zoomScale="70" zoomScaleNormal="100" zoomScaleSheetLayoutView="70" workbookViewId="0">
      <selection activeCell="G12" sqref="G12"/>
    </sheetView>
  </sheetViews>
  <sheetFormatPr defaultColWidth="9.42578125" defaultRowHeight="12.75"/>
  <cols>
    <col min="1" max="1" width="5" style="1" customWidth="1"/>
    <col min="2" max="2" width="47.42578125" style="1" customWidth="1"/>
    <col min="3" max="3" width="15.5703125" style="1" customWidth="1"/>
    <col min="4" max="4" width="15.85546875" style="1" customWidth="1"/>
    <col min="5" max="5" width="14.5703125" style="1" customWidth="1"/>
    <col min="6" max="7" width="14.7109375" style="1" customWidth="1"/>
    <col min="8" max="8" width="13.28515625" style="1" customWidth="1"/>
    <col min="9" max="10" width="14.7109375" style="1" customWidth="1"/>
    <col min="11" max="11" width="13.28515625" style="1" customWidth="1"/>
    <col min="12" max="12" width="12.28515625" style="1" customWidth="1"/>
    <col min="13" max="14" width="14.7109375" style="1" customWidth="1"/>
    <col min="15" max="15" width="13.7109375" style="1" customWidth="1"/>
    <col min="16" max="16" width="12.7109375" style="1" customWidth="1"/>
    <col min="17" max="19" width="14.7109375" style="1" customWidth="1"/>
    <col min="20" max="20" width="12.42578125" style="1" customWidth="1"/>
    <col min="21" max="21" width="18" style="1" customWidth="1"/>
    <col min="22" max="22" width="14.7109375" style="1" customWidth="1"/>
    <col min="23" max="23" width="14.42578125" style="1" customWidth="1"/>
    <col min="24" max="24" width="12.42578125" style="1" customWidth="1"/>
    <col min="25" max="25" width="17" style="1" bestFit="1" customWidth="1"/>
    <col min="26" max="26" width="14.7109375" style="1" customWidth="1"/>
    <col min="27" max="27" width="10.85546875" style="510" bestFit="1" customWidth="1"/>
    <col min="28" max="34" width="9.42578125" style="293"/>
    <col min="35" max="16384" width="9.42578125" style="1"/>
  </cols>
  <sheetData>
    <row r="1" spans="1:34" ht="21" customHeight="1">
      <c r="A1" s="18" t="s">
        <v>756</v>
      </c>
      <c r="B1" s="16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22" t="s">
        <v>644</v>
      </c>
      <c r="X1" s="15"/>
      <c r="Y1" s="15"/>
      <c r="Z1" s="15"/>
    </row>
    <row r="2" spans="1:34" ht="15.75">
      <c r="A2" s="13"/>
      <c r="B2" s="212" t="str">
        <f>+'Asset quality'!B3</f>
        <v>АК "Алокабанк"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210">
        <f>+'Asset quality'!P3</f>
        <v>44196</v>
      </c>
      <c r="V2" s="13"/>
      <c r="W2" s="211"/>
      <c r="X2" s="13"/>
      <c r="Y2" s="13"/>
      <c r="Z2" s="506" t="s">
        <v>408</v>
      </c>
    </row>
    <row r="3" spans="1:34" ht="137.25" customHeight="1">
      <c r="A3" s="19" t="s">
        <v>83</v>
      </c>
      <c r="B3" s="20" t="s">
        <v>176</v>
      </c>
      <c r="C3" s="37" t="s">
        <v>177</v>
      </c>
      <c r="D3" s="37" t="s">
        <v>570</v>
      </c>
      <c r="E3" s="37" t="s">
        <v>178</v>
      </c>
      <c r="F3" s="37" t="s">
        <v>570</v>
      </c>
      <c r="G3" s="37" t="s">
        <v>56</v>
      </c>
      <c r="H3" s="37" t="s">
        <v>570</v>
      </c>
      <c r="I3" s="37" t="s">
        <v>179</v>
      </c>
      <c r="J3" s="37" t="s">
        <v>570</v>
      </c>
      <c r="K3" s="37" t="s">
        <v>34</v>
      </c>
      <c r="L3" s="37" t="s">
        <v>570</v>
      </c>
      <c r="M3" s="37" t="s">
        <v>21</v>
      </c>
      <c r="N3" s="37" t="s">
        <v>570</v>
      </c>
      <c r="O3" s="37" t="s">
        <v>35</v>
      </c>
      <c r="P3" s="37" t="s">
        <v>570</v>
      </c>
      <c r="Q3" s="37" t="s">
        <v>180</v>
      </c>
      <c r="R3" s="37" t="s">
        <v>570</v>
      </c>
      <c r="S3" s="37" t="s">
        <v>36</v>
      </c>
      <c r="T3" s="37" t="s">
        <v>570</v>
      </c>
      <c r="U3" s="37" t="s">
        <v>181</v>
      </c>
      <c r="V3" s="37" t="s">
        <v>570</v>
      </c>
      <c r="W3" s="37" t="s">
        <v>22</v>
      </c>
      <c r="X3" s="37" t="s">
        <v>570</v>
      </c>
      <c r="Y3" s="37" t="s">
        <v>45</v>
      </c>
      <c r="Z3" s="37" t="s">
        <v>570</v>
      </c>
    </row>
    <row r="4" spans="1:34" s="67" customFormat="1" ht="25.5">
      <c r="A4" s="66" t="s">
        <v>107</v>
      </c>
      <c r="B4" s="66" t="s">
        <v>58</v>
      </c>
      <c r="C4" s="66" t="s">
        <v>59</v>
      </c>
      <c r="D4" s="66" t="s">
        <v>572</v>
      </c>
      <c r="E4" s="66" t="s">
        <v>60</v>
      </c>
      <c r="F4" s="66" t="s">
        <v>573</v>
      </c>
      <c r="G4" s="66" t="s">
        <v>84</v>
      </c>
      <c r="H4" s="66" t="s">
        <v>574</v>
      </c>
      <c r="I4" s="66" t="s">
        <v>85</v>
      </c>
      <c r="J4" s="66" t="s">
        <v>575</v>
      </c>
      <c r="K4" s="66" t="s">
        <v>87</v>
      </c>
      <c r="L4" s="66" t="s">
        <v>576</v>
      </c>
      <c r="M4" s="66" t="s">
        <v>108</v>
      </c>
      <c r="N4" s="66" t="s">
        <v>577</v>
      </c>
      <c r="O4" s="66" t="s">
        <v>109</v>
      </c>
      <c r="P4" s="66" t="s">
        <v>578</v>
      </c>
      <c r="Q4" s="66" t="s">
        <v>110</v>
      </c>
      <c r="R4" s="66" t="s">
        <v>579</v>
      </c>
      <c r="S4" s="66" t="s">
        <v>111</v>
      </c>
      <c r="T4" s="66" t="s">
        <v>580</v>
      </c>
      <c r="U4" s="66" t="s">
        <v>112</v>
      </c>
      <c r="V4" s="66" t="s">
        <v>581</v>
      </c>
      <c r="W4" s="66" t="s">
        <v>113</v>
      </c>
      <c r="X4" s="66" t="s">
        <v>582</v>
      </c>
      <c r="Y4" s="66" t="s">
        <v>44</v>
      </c>
      <c r="Z4" s="66" t="s">
        <v>583</v>
      </c>
      <c r="AA4" s="511"/>
      <c r="AB4" s="294"/>
      <c r="AC4" s="294"/>
      <c r="AD4" s="294"/>
      <c r="AE4" s="294"/>
      <c r="AF4" s="294"/>
      <c r="AG4" s="294"/>
      <c r="AH4" s="294"/>
    </row>
    <row r="5" spans="1:34" s="67" customFormat="1" ht="27.75" customHeight="1">
      <c r="A5" s="252"/>
      <c r="B5" s="252" t="s">
        <v>160</v>
      </c>
      <c r="C5" s="252"/>
      <c r="D5" s="252"/>
      <c r="E5" s="252"/>
      <c r="F5" s="252"/>
      <c r="G5" s="252"/>
      <c r="H5" s="252"/>
      <c r="I5" s="252"/>
      <c r="J5" s="252"/>
      <c r="K5" s="252"/>
      <c r="L5" s="252"/>
      <c r="M5" s="252"/>
      <c r="N5" s="252"/>
      <c r="O5" s="252"/>
      <c r="P5" s="252"/>
      <c r="Q5" s="252"/>
      <c r="R5" s="252"/>
      <c r="S5" s="252"/>
      <c r="T5" s="252"/>
      <c r="U5" s="252"/>
      <c r="V5" s="252"/>
      <c r="W5" s="252"/>
      <c r="X5" s="252"/>
      <c r="Y5" s="252"/>
      <c r="Z5" s="252"/>
      <c r="AA5" s="511"/>
      <c r="AB5" s="294"/>
      <c r="AC5" s="294"/>
      <c r="AD5" s="294"/>
      <c r="AE5" s="294"/>
      <c r="AF5" s="294"/>
      <c r="AG5" s="294"/>
      <c r="AH5" s="294"/>
    </row>
    <row r="6" spans="1:34" s="21" customFormat="1" ht="23.25" customHeight="1">
      <c r="A6" s="20">
        <v>1</v>
      </c>
      <c r="B6" s="89" t="s">
        <v>161</v>
      </c>
      <c r="C6" s="344">
        <f t="shared" ref="C6:C29" si="0">E6+I6+M6+Q6+U6</f>
        <v>0</v>
      </c>
      <c r="D6" s="344">
        <f>F6+J6+N6+R6+V6</f>
        <v>0</v>
      </c>
      <c r="E6" s="342"/>
      <c r="F6" s="342"/>
      <c r="G6" s="342"/>
      <c r="H6" s="342"/>
      <c r="I6" s="342"/>
      <c r="J6" s="342"/>
      <c r="K6" s="342"/>
      <c r="L6" s="342"/>
      <c r="M6" s="342"/>
      <c r="N6" s="342"/>
      <c r="O6" s="342"/>
      <c r="P6" s="342"/>
      <c r="Q6" s="342"/>
      <c r="R6" s="342"/>
      <c r="S6" s="342"/>
      <c r="T6" s="342"/>
      <c r="U6" s="342"/>
      <c r="V6" s="342"/>
      <c r="W6" s="342"/>
      <c r="X6" s="342"/>
      <c r="Y6" s="343">
        <f t="shared" ref="Y6:Y29" si="1">+W6+S6+O6+K6</f>
        <v>0</v>
      </c>
      <c r="Z6" s="343">
        <f t="shared" ref="Z6:Z29" si="2">+X6+T6+P6+L6</f>
        <v>0</v>
      </c>
      <c r="AA6" s="512">
        <f>+'Aging Analysis'!C9</f>
        <v>0</v>
      </c>
      <c r="AB6" s="294"/>
      <c r="AC6" s="294"/>
      <c r="AD6" s="294"/>
      <c r="AE6" s="294"/>
      <c r="AF6" s="294"/>
      <c r="AG6" s="294"/>
      <c r="AH6" s="294"/>
    </row>
    <row r="7" spans="1:34" s="21" customFormat="1" ht="14.25" customHeight="1">
      <c r="A7" s="20"/>
      <c r="B7" s="92" t="s">
        <v>571</v>
      </c>
      <c r="C7" s="94">
        <f t="shared" si="0"/>
        <v>0</v>
      </c>
      <c r="D7" s="344">
        <f t="shared" ref="D7:D29" si="3">F7+J7+N7+R7+V7</f>
        <v>0</v>
      </c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65">
        <f t="shared" si="1"/>
        <v>0</v>
      </c>
      <c r="Z7" s="65">
        <f t="shared" si="2"/>
        <v>0</v>
      </c>
      <c r="AA7" s="513"/>
      <c r="AB7" s="294"/>
      <c r="AC7" s="294"/>
      <c r="AD7" s="294"/>
      <c r="AE7" s="294"/>
      <c r="AF7" s="294"/>
      <c r="AG7" s="294"/>
      <c r="AH7" s="294"/>
    </row>
    <row r="8" spans="1:34" s="21" customFormat="1" ht="23.25" customHeight="1">
      <c r="A8" s="20">
        <v>2</v>
      </c>
      <c r="B8" s="89" t="s">
        <v>162</v>
      </c>
      <c r="C8" s="94">
        <f t="shared" si="0"/>
        <v>0</v>
      </c>
      <c r="D8" s="344">
        <f t="shared" si="3"/>
        <v>0</v>
      </c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65">
        <f t="shared" si="1"/>
        <v>0</v>
      </c>
      <c r="Z8" s="65">
        <f t="shared" si="2"/>
        <v>0</v>
      </c>
      <c r="AA8" s="512">
        <f>+'Aging Analysis'!C10</f>
        <v>0</v>
      </c>
      <c r="AB8" s="294"/>
      <c r="AC8" s="294"/>
      <c r="AD8" s="294"/>
      <c r="AE8" s="294"/>
      <c r="AF8" s="294"/>
      <c r="AG8" s="294"/>
      <c r="AH8" s="294"/>
    </row>
    <row r="9" spans="1:34" s="21" customFormat="1" ht="14.25" customHeight="1">
      <c r="A9" s="64"/>
      <c r="B9" s="92" t="s">
        <v>571</v>
      </c>
      <c r="C9" s="94">
        <f t="shared" si="0"/>
        <v>0</v>
      </c>
      <c r="D9" s="344">
        <f t="shared" si="3"/>
        <v>0</v>
      </c>
      <c r="E9" s="95"/>
      <c r="F9" s="95"/>
      <c r="G9" s="95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65">
        <f t="shared" si="1"/>
        <v>0</v>
      </c>
      <c r="Z9" s="65">
        <f t="shared" si="2"/>
        <v>0</v>
      </c>
      <c r="AA9" s="513"/>
      <c r="AB9" s="294"/>
      <c r="AC9" s="294"/>
      <c r="AD9" s="294"/>
      <c r="AE9" s="294"/>
      <c r="AF9" s="294"/>
      <c r="AG9" s="294"/>
      <c r="AH9" s="294"/>
    </row>
    <row r="10" spans="1:34" s="21" customFormat="1" ht="23.25" customHeight="1">
      <c r="A10" s="20">
        <v>3</v>
      </c>
      <c r="B10" s="89" t="s">
        <v>163</v>
      </c>
      <c r="C10" s="94">
        <f t="shared" si="0"/>
        <v>0</v>
      </c>
      <c r="D10" s="344">
        <f t="shared" si="3"/>
        <v>0</v>
      </c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65">
        <f t="shared" si="1"/>
        <v>0</v>
      </c>
      <c r="Z10" s="65">
        <f t="shared" si="2"/>
        <v>0</v>
      </c>
      <c r="AA10" s="512">
        <f>+'Aging Analysis'!C11</f>
        <v>0</v>
      </c>
      <c r="AB10" s="294"/>
      <c r="AC10" s="294"/>
      <c r="AD10" s="294"/>
      <c r="AE10" s="294"/>
      <c r="AF10" s="294"/>
      <c r="AG10" s="294"/>
      <c r="AH10" s="294"/>
    </row>
    <row r="11" spans="1:34" s="21" customFormat="1" ht="14.25" customHeight="1">
      <c r="A11" s="64"/>
      <c r="B11" s="92" t="s">
        <v>571</v>
      </c>
      <c r="C11" s="94">
        <f t="shared" si="0"/>
        <v>0</v>
      </c>
      <c r="D11" s="344">
        <f t="shared" si="3"/>
        <v>0</v>
      </c>
      <c r="E11" s="95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65">
        <f t="shared" si="1"/>
        <v>0</v>
      </c>
      <c r="Z11" s="65">
        <f t="shared" si="2"/>
        <v>0</v>
      </c>
      <c r="AA11" s="513"/>
      <c r="AB11" s="294"/>
      <c r="AC11" s="294"/>
      <c r="AD11" s="294"/>
      <c r="AE11" s="294"/>
      <c r="AF11" s="294"/>
      <c r="AG11" s="294"/>
      <c r="AH11" s="294"/>
    </row>
    <row r="12" spans="1:34" s="21" customFormat="1" ht="23.25" customHeight="1">
      <c r="A12" s="20">
        <v>4</v>
      </c>
      <c r="B12" s="89" t="s">
        <v>164</v>
      </c>
      <c r="C12" s="94">
        <f t="shared" si="0"/>
        <v>1022400185</v>
      </c>
      <c r="D12" s="344">
        <f t="shared" si="3"/>
        <v>0</v>
      </c>
      <c r="E12" s="95">
        <v>1013972858</v>
      </c>
      <c r="F12" s="95"/>
      <c r="G12" s="95">
        <v>11090682</v>
      </c>
      <c r="H12" s="95"/>
      <c r="I12" s="95">
        <v>3431795</v>
      </c>
      <c r="J12" s="95"/>
      <c r="K12" s="95">
        <v>736664</v>
      </c>
      <c r="L12" s="95"/>
      <c r="M12" s="95">
        <v>2193928</v>
      </c>
      <c r="N12" s="95"/>
      <c r="O12" s="95">
        <v>470636</v>
      </c>
      <c r="P12" s="95"/>
      <c r="Q12" s="95">
        <v>1457838</v>
      </c>
      <c r="R12" s="95"/>
      <c r="S12" s="95">
        <v>569578</v>
      </c>
      <c r="T12" s="95"/>
      <c r="U12" s="95">
        <v>1343766</v>
      </c>
      <c r="V12" s="95"/>
      <c r="W12" s="95">
        <v>570653</v>
      </c>
      <c r="X12" s="95"/>
      <c r="Y12" s="65">
        <f t="shared" si="1"/>
        <v>2347531</v>
      </c>
      <c r="Z12" s="65">
        <f t="shared" si="2"/>
        <v>0</v>
      </c>
      <c r="AA12" s="512">
        <f>+'Aging Analysis'!C12</f>
        <v>1022400185</v>
      </c>
      <c r="AB12" s="294"/>
      <c r="AC12" s="294"/>
      <c r="AD12" s="294"/>
      <c r="AE12" s="294"/>
      <c r="AF12" s="294"/>
      <c r="AG12" s="294"/>
      <c r="AH12" s="294"/>
    </row>
    <row r="13" spans="1:34" s="21" customFormat="1" ht="14.25" customHeight="1">
      <c r="A13" s="64"/>
      <c r="B13" s="92" t="s">
        <v>571</v>
      </c>
      <c r="C13" s="94">
        <f t="shared" si="0"/>
        <v>0</v>
      </c>
      <c r="D13" s="344">
        <f t="shared" si="3"/>
        <v>0</v>
      </c>
      <c r="E13" s="95"/>
      <c r="F13" s="95"/>
      <c r="G13" s="95">
        <v>0</v>
      </c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65">
        <f t="shared" si="1"/>
        <v>0</v>
      </c>
      <c r="Z13" s="65">
        <f t="shared" si="2"/>
        <v>0</v>
      </c>
      <c r="AA13" s="513"/>
      <c r="AB13" s="294"/>
      <c r="AC13" s="294"/>
      <c r="AD13" s="294"/>
      <c r="AE13" s="294"/>
      <c r="AF13" s="294"/>
      <c r="AG13" s="294"/>
      <c r="AH13" s="294"/>
    </row>
    <row r="14" spans="1:34" s="21" customFormat="1" ht="23.25" customHeight="1">
      <c r="A14" s="20">
        <v>5</v>
      </c>
      <c r="B14" s="89" t="s">
        <v>165</v>
      </c>
      <c r="C14" s="94">
        <f t="shared" si="0"/>
        <v>759073325</v>
      </c>
      <c r="D14" s="344">
        <f t="shared" si="3"/>
        <v>314307600</v>
      </c>
      <c r="E14" s="95">
        <v>759073325</v>
      </c>
      <c r="F14" s="95">
        <v>314307600</v>
      </c>
      <c r="G14" s="95">
        <v>8302629</v>
      </c>
      <c r="H14" s="95"/>
      <c r="I14" s="95">
        <v>0</v>
      </c>
      <c r="J14" s="95"/>
      <c r="K14" s="95"/>
      <c r="L14" s="95"/>
      <c r="M14" s="95">
        <v>0</v>
      </c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65">
        <f t="shared" si="1"/>
        <v>0</v>
      </c>
      <c r="Z14" s="65">
        <f t="shared" si="2"/>
        <v>0</v>
      </c>
      <c r="AA14" s="512">
        <f>+'Aging Analysis'!C13</f>
        <v>759073325</v>
      </c>
      <c r="AB14" s="294"/>
      <c r="AC14" s="294"/>
      <c r="AD14" s="294"/>
      <c r="AE14" s="294"/>
      <c r="AF14" s="294"/>
      <c r="AG14" s="294"/>
      <c r="AH14" s="294"/>
    </row>
    <row r="15" spans="1:34" s="21" customFormat="1" ht="14.25" customHeight="1">
      <c r="A15" s="64"/>
      <c r="B15" s="92" t="s">
        <v>571</v>
      </c>
      <c r="C15" s="94">
        <f t="shared" si="0"/>
        <v>0</v>
      </c>
      <c r="D15" s="344">
        <f t="shared" si="3"/>
        <v>0</v>
      </c>
      <c r="E15" s="95"/>
      <c r="F15" s="95"/>
      <c r="G15" s="95">
        <v>0</v>
      </c>
      <c r="H15" s="95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65">
        <f t="shared" si="1"/>
        <v>0</v>
      </c>
      <c r="Z15" s="65">
        <f t="shared" si="2"/>
        <v>0</v>
      </c>
      <c r="AA15" s="513"/>
      <c r="AB15" s="294"/>
      <c r="AC15" s="294"/>
      <c r="AD15" s="294"/>
      <c r="AE15" s="294"/>
      <c r="AF15" s="294"/>
      <c r="AG15" s="294"/>
      <c r="AH15" s="294"/>
    </row>
    <row r="16" spans="1:34" s="21" customFormat="1" ht="23.25" customHeight="1">
      <c r="A16" s="20">
        <v>6</v>
      </c>
      <c r="B16" s="89" t="s">
        <v>166</v>
      </c>
      <c r="C16" s="94">
        <f t="shared" si="0"/>
        <v>455567628</v>
      </c>
      <c r="D16" s="344">
        <f t="shared" si="3"/>
        <v>172192219</v>
      </c>
      <c r="E16" s="95">
        <v>433495375</v>
      </c>
      <c r="F16" s="95">
        <v>150365274</v>
      </c>
      <c r="G16" s="95">
        <v>4741507</v>
      </c>
      <c r="H16" s="95"/>
      <c r="I16" s="95">
        <v>22072253</v>
      </c>
      <c r="J16" s="95">
        <v>21826945</v>
      </c>
      <c r="K16" s="95">
        <v>242801</v>
      </c>
      <c r="L16" s="95">
        <v>218269</v>
      </c>
      <c r="M16" s="95">
        <v>0</v>
      </c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65">
        <f t="shared" si="1"/>
        <v>242801</v>
      </c>
      <c r="Z16" s="65">
        <f t="shared" si="2"/>
        <v>218269</v>
      </c>
      <c r="AA16" s="512">
        <f>+'Aging Analysis'!C14</f>
        <v>455567628</v>
      </c>
      <c r="AB16" s="294"/>
      <c r="AC16" s="294"/>
      <c r="AD16" s="294"/>
      <c r="AE16" s="294"/>
      <c r="AF16" s="294"/>
      <c r="AG16" s="294"/>
      <c r="AH16" s="294"/>
    </row>
    <row r="17" spans="1:34" s="21" customFormat="1" ht="14.25" customHeight="1">
      <c r="A17" s="64"/>
      <c r="B17" s="92" t="s">
        <v>571</v>
      </c>
      <c r="C17" s="94">
        <f t="shared" si="0"/>
        <v>0</v>
      </c>
      <c r="D17" s="344">
        <f t="shared" si="3"/>
        <v>0</v>
      </c>
      <c r="E17" s="95"/>
      <c r="F17" s="95"/>
      <c r="G17" s="95">
        <v>0</v>
      </c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65">
        <f t="shared" si="1"/>
        <v>0</v>
      </c>
      <c r="Z17" s="65">
        <f t="shared" si="2"/>
        <v>0</v>
      </c>
      <c r="AA17" s="513"/>
      <c r="AB17" s="294"/>
      <c r="AC17" s="294"/>
      <c r="AD17" s="294"/>
      <c r="AE17" s="294"/>
      <c r="AF17" s="294"/>
      <c r="AG17" s="294"/>
      <c r="AH17" s="294"/>
    </row>
    <row r="18" spans="1:34" s="21" customFormat="1" ht="23.25" customHeight="1">
      <c r="A18" s="20">
        <v>7</v>
      </c>
      <c r="B18" s="89" t="s">
        <v>167</v>
      </c>
      <c r="C18" s="94">
        <f t="shared" si="0"/>
        <v>3382356533</v>
      </c>
      <c r="D18" s="344">
        <f t="shared" si="3"/>
        <v>1432986517</v>
      </c>
      <c r="E18" s="95">
        <v>3321497002</v>
      </c>
      <c r="F18" s="95">
        <v>1425634870</v>
      </c>
      <c r="G18" s="95">
        <v>36330031</v>
      </c>
      <c r="H18" s="95">
        <v>238850</v>
      </c>
      <c r="I18" s="95">
        <v>59487078</v>
      </c>
      <c r="J18" s="95">
        <v>7328557</v>
      </c>
      <c r="K18" s="95">
        <v>5051251</v>
      </c>
      <c r="L18" s="95">
        <v>528058</v>
      </c>
      <c r="M18" s="95">
        <v>1372453</v>
      </c>
      <c r="N18" s="95">
        <v>23090</v>
      </c>
      <c r="O18" s="95">
        <v>573090</v>
      </c>
      <c r="P18" s="95">
        <v>23090</v>
      </c>
      <c r="Q18" s="95"/>
      <c r="R18" s="95"/>
      <c r="S18" s="95"/>
      <c r="T18" s="95"/>
      <c r="U18" s="95"/>
      <c r="V18" s="95"/>
      <c r="W18" s="95"/>
      <c r="X18" s="95"/>
      <c r="Y18" s="65">
        <f t="shared" si="1"/>
        <v>5624341</v>
      </c>
      <c r="Z18" s="65">
        <f t="shared" si="2"/>
        <v>551148</v>
      </c>
      <c r="AA18" s="512">
        <f>+'Aging Analysis'!C15</f>
        <v>3382356533</v>
      </c>
      <c r="AB18" s="294"/>
      <c r="AC18" s="294"/>
      <c r="AD18" s="294"/>
      <c r="AE18" s="294"/>
      <c r="AF18" s="294"/>
      <c r="AG18" s="294"/>
      <c r="AH18" s="294"/>
    </row>
    <row r="19" spans="1:34" s="21" customFormat="1" ht="14.25" customHeight="1">
      <c r="A19" s="64"/>
      <c r="B19" s="92" t="s">
        <v>571</v>
      </c>
      <c r="C19" s="94">
        <f t="shared" si="0"/>
        <v>0</v>
      </c>
      <c r="D19" s="344">
        <f t="shared" si="3"/>
        <v>0</v>
      </c>
      <c r="E19" s="95"/>
      <c r="F19" s="95"/>
      <c r="G19" s="95">
        <v>0</v>
      </c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65">
        <f t="shared" si="1"/>
        <v>0</v>
      </c>
      <c r="Z19" s="65">
        <f t="shared" si="2"/>
        <v>0</v>
      </c>
      <c r="AA19" s="513"/>
      <c r="AB19" s="294"/>
      <c r="AC19" s="294"/>
      <c r="AD19" s="294"/>
      <c r="AE19" s="294"/>
      <c r="AF19" s="294"/>
      <c r="AG19" s="294"/>
      <c r="AH19" s="294"/>
    </row>
    <row r="20" spans="1:34" s="21" customFormat="1" ht="23.25" customHeight="1">
      <c r="A20" s="20">
        <v>8</v>
      </c>
      <c r="B20" s="89" t="s">
        <v>168</v>
      </c>
      <c r="C20" s="94">
        <f t="shared" si="0"/>
        <v>0</v>
      </c>
      <c r="D20" s="344">
        <f t="shared" si="3"/>
        <v>0</v>
      </c>
      <c r="E20" s="95"/>
      <c r="F20" s="95"/>
      <c r="G20" s="95">
        <v>0</v>
      </c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65">
        <f t="shared" si="1"/>
        <v>0</v>
      </c>
      <c r="Z20" s="65">
        <f t="shared" si="2"/>
        <v>0</v>
      </c>
      <c r="AA20" s="512">
        <f>+'Aging Analysis'!C16</f>
        <v>0</v>
      </c>
      <c r="AB20" s="294"/>
      <c r="AC20" s="294"/>
      <c r="AD20" s="294"/>
      <c r="AE20" s="294"/>
      <c r="AF20" s="294"/>
      <c r="AG20" s="294"/>
      <c r="AH20" s="294"/>
    </row>
    <row r="21" spans="1:34" s="21" customFormat="1" ht="14.25" customHeight="1">
      <c r="A21" s="64"/>
      <c r="B21" s="92" t="s">
        <v>571</v>
      </c>
      <c r="C21" s="94">
        <f t="shared" si="0"/>
        <v>0</v>
      </c>
      <c r="D21" s="344">
        <f t="shared" si="3"/>
        <v>0</v>
      </c>
      <c r="E21" s="95"/>
      <c r="F21" s="95"/>
      <c r="G21" s="95">
        <v>0</v>
      </c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65">
        <f t="shared" si="1"/>
        <v>0</v>
      </c>
      <c r="Z21" s="65">
        <f t="shared" si="2"/>
        <v>0</v>
      </c>
      <c r="AA21" s="513"/>
      <c r="AB21" s="294"/>
      <c r="AC21" s="294"/>
      <c r="AD21" s="294"/>
      <c r="AE21" s="294"/>
      <c r="AF21" s="294"/>
      <c r="AG21" s="294"/>
      <c r="AH21" s="294"/>
    </row>
    <row r="22" spans="1:34" s="21" customFormat="1" ht="23.25" customHeight="1">
      <c r="A22" s="20">
        <v>9</v>
      </c>
      <c r="B22" s="89" t="s">
        <v>169</v>
      </c>
      <c r="C22" s="94">
        <f t="shared" si="0"/>
        <v>1424539</v>
      </c>
      <c r="D22" s="344">
        <f t="shared" si="3"/>
        <v>0</v>
      </c>
      <c r="E22" s="95">
        <v>1424539</v>
      </c>
      <c r="F22" s="95"/>
      <c r="G22" s="95">
        <v>15581</v>
      </c>
      <c r="H22" s="95"/>
      <c r="I22" s="95">
        <v>0</v>
      </c>
      <c r="J22" s="95"/>
      <c r="K22" s="95"/>
      <c r="L22" s="95"/>
      <c r="M22" s="95">
        <v>0</v>
      </c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65">
        <f t="shared" si="1"/>
        <v>0</v>
      </c>
      <c r="Z22" s="65">
        <f t="shared" si="2"/>
        <v>0</v>
      </c>
      <c r="AA22" s="512">
        <f>+'Aging Analysis'!C17</f>
        <v>1424539</v>
      </c>
      <c r="AB22" s="294"/>
      <c r="AC22" s="294"/>
      <c r="AD22" s="294"/>
      <c r="AE22" s="294"/>
      <c r="AF22" s="294"/>
      <c r="AG22" s="294"/>
      <c r="AH22" s="294"/>
    </row>
    <row r="23" spans="1:34" s="21" customFormat="1" ht="14.25" customHeight="1">
      <c r="A23" s="64"/>
      <c r="B23" s="92" t="s">
        <v>571</v>
      </c>
      <c r="C23" s="94">
        <f t="shared" si="0"/>
        <v>0</v>
      </c>
      <c r="D23" s="344">
        <f t="shared" si="3"/>
        <v>0</v>
      </c>
      <c r="E23" s="95"/>
      <c r="F23" s="95"/>
      <c r="G23" s="95">
        <v>0</v>
      </c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65">
        <f t="shared" si="1"/>
        <v>0</v>
      </c>
      <c r="Z23" s="65">
        <f t="shared" si="2"/>
        <v>0</v>
      </c>
      <c r="AA23" s="513"/>
      <c r="AB23" s="294"/>
      <c r="AC23" s="294"/>
      <c r="AD23" s="294"/>
      <c r="AE23" s="294"/>
      <c r="AF23" s="294"/>
      <c r="AG23" s="294"/>
      <c r="AH23" s="294"/>
    </row>
    <row r="24" spans="1:34" s="21" customFormat="1" ht="23.25" customHeight="1">
      <c r="A24" s="20">
        <v>10</v>
      </c>
      <c r="B24" s="89" t="s">
        <v>170</v>
      </c>
      <c r="C24" s="94">
        <f t="shared" si="0"/>
        <v>15649091</v>
      </c>
      <c r="D24" s="344">
        <f t="shared" si="3"/>
        <v>0</v>
      </c>
      <c r="E24" s="95">
        <v>10276404</v>
      </c>
      <c r="F24" s="95"/>
      <c r="G24" s="95">
        <v>112402</v>
      </c>
      <c r="H24" s="95"/>
      <c r="I24" s="95">
        <v>5372687</v>
      </c>
      <c r="J24" s="95"/>
      <c r="K24" s="95">
        <v>690357</v>
      </c>
      <c r="L24" s="95"/>
      <c r="M24" s="95">
        <v>0</v>
      </c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65">
        <f t="shared" si="1"/>
        <v>690357</v>
      </c>
      <c r="Z24" s="65">
        <f t="shared" si="2"/>
        <v>0</v>
      </c>
      <c r="AA24" s="512">
        <f>+'Aging Analysis'!C18</f>
        <v>15649091</v>
      </c>
      <c r="AB24" s="294"/>
      <c r="AC24" s="294"/>
      <c r="AD24" s="294"/>
      <c r="AE24" s="294"/>
      <c r="AF24" s="294"/>
      <c r="AG24" s="294"/>
      <c r="AH24" s="294"/>
    </row>
    <row r="25" spans="1:34" s="21" customFormat="1" ht="14.25" customHeight="1">
      <c r="A25" s="64"/>
      <c r="B25" s="92" t="s">
        <v>571</v>
      </c>
      <c r="C25" s="94">
        <f t="shared" si="0"/>
        <v>0</v>
      </c>
      <c r="D25" s="344">
        <f t="shared" si="3"/>
        <v>0</v>
      </c>
      <c r="E25" s="95"/>
      <c r="F25" s="95"/>
      <c r="G25" s="95">
        <v>0</v>
      </c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65">
        <f t="shared" si="1"/>
        <v>0</v>
      </c>
      <c r="Z25" s="65">
        <f t="shared" si="2"/>
        <v>0</v>
      </c>
      <c r="AA25" s="513"/>
      <c r="AB25" s="294"/>
      <c r="AC25" s="294"/>
      <c r="AD25" s="294"/>
      <c r="AE25" s="294"/>
      <c r="AF25" s="294"/>
      <c r="AG25" s="294"/>
      <c r="AH25" s="294"/>
    </row>
    <row r="26" spans="1:34" s="21" customFormat="1" ht="23.25" customHeight="1">
      <c r="A26" s="20">
        <v>11</v>
      </c>
      <c r="B26" s="89" t="s">
        <v>171</v>
      </c>
      <c r="C26" s="94">
        <f t="shared" si="0"/>
        <v>0</v>
      </c>
      <c r="D26" s="344">
        <f t="shared" si="3"/>
        <v>0</v>
      </c>
      <c r="E26" s="95"/>
      <c r="F26" s="95"/>
      <c r="G26" s="95">
        <v>0</v>
      </c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65">
        <f t="shared" si="1"/>
        <v>0</v>
      </c>
      <c r="Z26" s="65">
        <f t="shared" si="2"/>
        <v>0</v>
      </c>
      <c r="AA26" s="512">
        <f>+'Aging Analysis'!C19</f>
        <v>0</v>
      </c>
      <c r="AB26" s="294"/>
      <c r="AC26" s="294"/>
      <c r="AD26" s="294"/>
      <c r="AE26" s="294"/>
      <c r="AF26" s="294"/>
      <c r="AG26" s="294"/>
      <c r="AH26" s="294"/>
    </row>
    <row r="27" spans="1:34" s="21" customFormat="1" ht="14.25" customHeight="1">
      <c r="A27" s="64"/>
      <c r="B27" s="92" t="s">
        <v>571</v>
      </c>
      <c r="C27" s="94">
        <f t="shared" si="0"/>
        <v>0</v>
      </c>
      <c r="D27" s="344">
        <f t="shared" si="3"/>
        <v>0</v>
      </c>
      <c r="E27" s="95"/>
      <c r="F27" s="95"/>
      <c r="G27" s="95">
        <v>0</v>
      </c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65">
        <f t="shared" si="1"/>
        <v>0</v>
      </c>
      <c r="Z27" s="65">
        <f t="shared" si="2"/>
        <v>0</v>
      </c>
      <c r="AA27" s="513"/>
      <c r="AB27" s="294"/>
      <c r="AC27" s="294"/>
      <c r="AD27" s="294"/>
      <c r="AE27" s="294"/>
      <c r="AF27" s="294"/>
      <c r="AG27" s="294"/>
      <c r="AH27" s="294"/>
    </row>
    <row r="28" spans="1:34" s="21" customFormat="1" ht="23.25" customHeight="1">
      <c r="A28" s="20">
        <v>12</v>
      </c>
      <c r="B28" s="89" t="s">
        <v>172</v>
      </c>
      <c r="C28" s="94">
        <f t="shared" si="0"/>
        <v>69465520</v>
      </c>
      <c r="D28" s="344">
        <f t="shared" si="3"/>
        <v>0</v>
      </c>
      <c r="E28" s="95">
        <v>67642128</v>
      </c>
      <c r="F28" s="95"/>
      <c r="G28" s="95">
        <v>739859</v>
      </c>
      <c r="H28" s="95"/>
      <c r="I28" s="95">
        <v>1809771</v>
      </c>
      <c r="J28" s="95"/>
      <c r="K28" s="95">
        <v>168733</v>
      </c>
      <c r="L28" s="95"/>
      <c r="M28" s="95">
        <v>13621</v>
      </c>
      <c r="N28" s="95"/>
      <c r="O28" s="95">
        <v>3405</v>
      </c>
      <c r="P28" s="95"/>
      <c r="Q28" s="95"/>
      <c r="R28" s="95"/>
      <c r="S28" s="95"/>
      <c r="T28" s="95"/>
      <c r="U28" s="95"/>
      <c r="V28" s="95"/>
      <c r="W28" s="95"/>
      <c r="X28" s="95"/>
      <c r="Y28" s="65">
        <f t="shared" si="1"/>
        <v>172138</v>
      </c>
      <c r="Z28" s="65">
        <f t="shared" si="2"/>
        <v>0</v>
      </c>
      <c r="AA28" s="512">
        <f>+'Aging Analysis'!C20</f>
        <v>69465520</v>
      </c>
      <c r="AB28" s="294"/>
      <c r="AC28" s="294"/>
      <c r="AD28" s="294"/>
      <c r="AE28" s="294"/>
      <c r="AF28" s="294"/>
      <c r="AG28" s="294"/>
      <c r="AH28" s="294"/>
    </row>
    <row r="29" spans="1:34" s="21" customFormat="1" ht="14.25" customHeight="1">
      <c r="A29" s="64"/>
      <c r="B29" s="92" t="s">
        <v>571</v>
      </c>
      <c r="C29" s="94">
        <f t="shared" si="0"/>
        <v>0</v>
      </c>
      <c r="D29" s="344">
        <f t="shared" si="3"/>
        <v>0</v>
      </c>
      <c r="E29" s="95">
        <v>0</v>
      </c>
      <c r="F29" s="95">
        <v>0</v>
      </c>
      <c r="G29" s="95">
        <v>0</v>
      </c>
      <c r="H29" s="95">
        <v>0</v>
      </c>
      <c r="I29" s="95">
        <v>0</v>
      </c>
      <c r="J29" s="95">
        <v>0</v>
      </c>
      <c r="K29" s="95">
        <v>0</v>
      </c>
      <c r="L29" s="95">
        <v>0</v>
      </c>
      <c r="M29" s="95">
        <v>0</v>
      </c>
      <c r="N29" s="95">
        <v>0</v>
      </c>
      <c r="O29" s="95">
        <v>0</v>
      </c>
      <c r="P29" s="95">
        <v>0</v>
      </c>
      <c r="Q29" s="95">
        <v>0</v>
      </c>
      <c r="R29" s="95">
        <v>0</v>
      </c>
      <c r="S29" s="95">
        <v>0</v>
      </c>
      <c r="T29" s="95">
        <v>0</v>
      </c>
      <c r="U29" s="95">
        <v>0</v>
      </c>
      <c r="V29" s="95">
        <v>0</v>
      </c>
      <c r="W29" s="95">
        <v>0</v>
      </c>
      <c r="X29" s="95">
        <v>0</v>
      </c>
      <c r="Y29" s="65">
        <f t="shared" si="1"/>
        <v>0</v>
      </c>
      <c r="Z29" s="65">
        <f t="shared" si="2"/>
        <v>0</v>
      </c>
      <c r="AA29" s="511"/>
      <c r="AB29" s="294"/>
      <c r="AC29" s="294"/>
      <c r="AD29" s="294"/>
      <c r="AE29" s="294"/>
      <c r="AF29" s="294"/>
      <c r="AG29" s="294"/>
      <c r="AH29" s="294"/>
    </row>
    <row r="30" spans="1:34" s="112" customFormat="1" ht="28.5" customHeight="1">
      <c r="A30" s="248">
        <v>13</v>
      </c>
      <c r="B30" s="248" t="s">
        <v>173</v>
      </c>
      <c r="C30" s="252">
        <f t="shared" ref="C30:Z30" si="4">+C6+C8+C10+C12+C14+C16+C18+C20+C22+C24+C26+C28</f>
        <v>5705936821</v>
      </c>
      <c r="D30" s="252">
        <f t="shared" si="4"/>
        <v>1919486336</v>
      </c>
      <c r="E30" s="252">
        <f t="shared" si="4"/>
        <v>5607381631</v>
      </c>
      <c r="F30" s="252">
        <f t="shared" si="4"/>
        <v>1890307744</v>
      </c>
      <c r="G30" s="252">
        <f t="shared" si="4"/>
        <v>61332691</v>
      </c>
      <c r="H30" s="252">
        <f t="shared" si="4"/>
        <v>238850</v>
      </c>
      <c r="I30" s="252">
        <f t="shared" si="4"/>
        <v>92173584</v>
      </c>
      <c r="J30" s="252">
        <f t="shared" si="4"/>
        <v>29155502</v>
      </c>
      <c r="K30" s="252">
        <f t="shared" si="4"/>
        <v>6889806</v>
      </c>
      <c r="L30" s="252">
        <f t="shared" si="4"/>
        <v>746327</v>
      </c>
      <c r="M30" s="252">
        <f t="shared" si="4"/>
        <v>3580002</v>
      </c>
      <c r="N30" s="252">
        <f t="shared" si="4"/>
        <v>23090</v>
      </c>
      <c r="O30" s="252">
        <f t="shared" si="4"/>
        <v>1047131</v>
      </c>
      <c r="P30" s="252">
        <f t="shared" si="4"/>
        <v>23090</v>
      </c>
      <c r="Q30" s="252">
        <f t="shared" si="4"/>
        <v>1457838</v>
      </c>
      <c r="R30" s="252">
        <f t="shared" si="4"/>
        <v>0</v>
      </c>
      <c r="S30" s="252">
        <f t="shared" si="4"/>
        <v>569578</v>
      </c>
      <c r="T30" s="252">
        <f t="shared" si="4"/>
        <v>0</v>
      </c>
      <c r="U30" s="252">
        <f t="shared" si="4"/>
        <v>1343766</v>
      </c>
      <c r="V30" s="252">
        <f t="shared" si="4"/>
        <v>0</v>
      </c>
      <c r="W30" s="252">
        <f t="shared" si="4"/>
        <v>570653</v>
      </c>
      <c r="X30" s="252">
        <f t="shared" si="4"/>
        <v>0</v>
      </c>
      <c r="Y30" s="252">
        <f t="shared" si="4"/>
        <v>9077168</v>
      </c>
      <c r="Z30" s="252">
        <f t="shared" si="4"/>
        <v>769417</v>
      </c>
      <c r="AA30" s="511"/>
      <c r="AB30" s="294"/>
      <c r="AC30" s="294"/>
      <c r="AD30" s="294"/>
      <c r="AE30" s="294"/>
      <c r="AF30" s="294"/>
      <c r="AG30" s="294"/>
      <c r="AH30" s="294"/>
    </row>
    <row r="31" spans="1:34" s="21" customFormat="1" ht="13.5" customHeight="1">
      <c r="A31" s="93"/>
      <c r="B31" s="92" t="s">
        <v>571</v>
      </c>
      <c r="C31" s="91">
        <f t="shared" ref="C31:Z31" si="5">+C7+C9+C11+C13+C15+C17+C19+C21+C23+C25+C27+C29</f>
        <v>0</v>
      </c>
      <c r="D31" s="91">
        <f t="shared" si="5"/>
        <v>0</v>
      </c>
      <c r="E31" s="91">
        <f t="shared" si="5"/>
        <v>0</v>
      </c>
      <c r="F31" s="91">
        <f t="shared" si="5"/>
        <v>0</v>
      </c>
      <c r="G31" s="91">
        <f t="shared" si="5"/>
        <v>0</v>
      </c>
      <c r="H31" s="91">
        <f t="shared" si="5"/>
        <v>0</v>
      </c>
      <c r="I31" s="91">
        <f t="shared" si="5"/>
        <v>0</v>
      </c>
      <c r="J31" s="91">
        <f t="shared" si="5"/>
        <v>0</v>
      </c>
      <c r="K31" s="91">
        <f t="shared" si="5"/>
        <v>0</v>
      </c>
      <c r="L31" s="91">
        <f t="shared" si="5"/>
        <v>0</v>
      </c>
      <c r="M31" s="91">
        <f t="shared" si="5"/>
        <v>0</v>
      </c>
      <c r="N31" s="91">
        <f t="shared" si="5"/>
        <v>0</v>
      </c>
      <c r="O31" s="91">
        <f t="shared" si="5"/>
        <v>0</v>
      </c>
      <c r="P31" s="91">
        <f t="shared" si="5"/>
        <v>0</v>
      </c>
      <c r="Q31" s="91">
        <f t="shared" si="5"/>
        <v>0</v>
      </c>
      <c r="R31" s="91">
        <f t="shared" si="5"/>
        <v>0</v>
      </c>
      <c r="S31" s="91">
        <f t="shared" si="5"/>
        <v>0</v>
      </c>
      <c r="T31" s="91">
        <f t="shared" si="5"/>
        <v>0</v>
      </c>
      <c r="U31" s="91">
        <f t="shared" si="5"/>
        <v>0</v>
      </c>
      <c r="V31" s="91">
        <f t="shared" si="5"/>
        <v>0</v>
      </c>
      <c r="W31" s="91">
        <f t="shared" si="5"/>
        <v>0</v>
      </c>
      <c r="X31" s="91">
        <f t="shared" si="5"/>
        <v>0</v>
      </c>
      <c r="Y31" s="91">
        <f t="shared" si="5"/>
        <v>0</v>
      </c>
      <c r="Z31" s="91">
        <f t="shared" si="5"/>
        <v>0</v>
      </c>
      <c r="AA31" s="511"/>
      <c r="AB31" s="294"/>
      <c r="AC31" s="294"/>
      <c r="AD31" s="294"/>
      <c r="AE31" s="294"/>
      <c r="AF31" s="294"/>
      <c r="AG31" s="294"/>
      <c r="AH31" s="294"/>
    </row>
    <row r="32" spans="1:34" s="67" customFormat="1" ht="27.75" customHeight="1">
      <c r="A32" s="252"/>
      <c r="B32" s="252" t="s">
        <v>174</v>
      </c>
      <c r="C32" s="252"/>
      <c r="D32" s="252"/>
      <c r="E32" s="252"/>
      <c r="F32" s="252"/>
      <c r="G32" s="252"/>
      <c r="H32" s="252"/>
      <c r="I32" s="252"/>
      <c r="J32" s="252"/>
      <c r="K32" s="252"/>
      <c r="L32" s="252"/>
      <c r="M32" s="252"/>
      <c r="N32" s="252"/>
      <c r="O32" s="252"/>
      <c r="P32" s="252"/>
      <c r="Q32" s="252"/>
      <c r="R32" s="252"/>
      <c r="S32" s="252"/>
      <c r="T32" s="252"/>
      <c r="U32" s="252"/>
      <c r="V32" s="252"/>
      <c r="W32" s="252"/>
      <c r="X32" s="252"/>
      <c r="Y32" s="252"/>
      <c r="Z32" s="252"/>
      <c r="AA32" s="511"/>
      <c r="AB32" s="294"/>
      <c r="AC32" s="294"/>
      <c r="AD32" s="294"/>
      <c r="AE32" s="294"/>
      <c r="AF32" s="294"/>
      <c r="AG32" s="294"/>
      <c r="AH32" s="294"/>
    </row>
    <row r="33" spans="1:34" s="67" customFormat="1" ht="7.5" customHeight="1">
      <c r="A33" s="66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511"/>
      <c r="AB33" s="294"/>
      <c r="AC33" s="294"/>
      <c r="AD33" s="294"/>
      <c r="AE33" s="294"/>
      <c r="AF33" s="294"/>
      <c r="AG33" s="294"/>
      <c r="AH33" s="294"/>
    </row>
    <row r="34" spans="1:34" s="21" customFormat="1" ht="23.25" customHeight="1">
      <c r="A34" s="93">
        <v>14</v>
      </c>
      <c r="B34" s="219" t="s">
        <v>118</v>
      </c>
      <c r="C34" s="94">
        <f t="shared" ref="C34:D49" si="6">E34+I34+M34+Q34+U34</f>
        <v>965348427</v>
      </c>
      <c r="D34" s="344">
        <f t="shared" si="6"/>
        <v>445862874</v>
      </c>
      <c r="E34" s="95">
        <v>937080574</v>
      </c>
      <c r="F34" s="95">
        <v>423578214</v>
      </c>
      <c r="G34" s="95">
        <v>10249645</v>
      </c>
      <c r="H34" s="95"/>
      <c r="I34" s="95">
        <v>28267853</v>
      </c>
      <c r="J34" s="95">
        <v>22284660</v>
      </c>
      <c r="K34" s="95">
        <v>833239</v>
      </c>
      <c r="L34" s="95">
        <v>264041</v>
      </c>
      <c r="M34" s="95">
        <v>0</v>
      </c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343">
        <f>+W34+S34+O34+K34</f>
        <v>833239</v>
      </c>
      <c r="Z34" s="343">
        <f>+X34+T34+P34+L34</f>
        <v>264041</v>
      </c>
      <c r="AA34" s="512">
        <f>+'Aging Analysis'!C25</f>
        <v>965348427</v>
      </c>
      <c r="AB34" s="294"/>
      <c r="AC34" s="294"/>
      <c r="AD34" s="294"/>
      <c r="AE34" s="294"/>
      <c r="AF34" s="294"/>
      <c r="AG34" s="294"/>
      <c r="AH34" s="294"/>
    </row>
    <row r="35" spans="1:34" s="21" customFormat="1" ht="14.25" customHeight="1">
      <c r="A35" s="64"/>
      <c r="B35" s="92" t="s">
        <v>571</v>
      </c>
      <c r="C35" s="94">
        <f t="shared" si="6"/>
        <v>0</v>
      </c>
      <c r="D35" s="344">
        <f t="shared" si="6"/>
        <v>0</v>
      </c>
      <c r="E35" s="95"/>
      <c r="F35" s="95"/>
      <c r="G35" s="95">
        <v>0</v>
      </c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65">
        <f t="shared" ref="Y35:Y49" si="7">+W35+S35+O35+K35</f>
        <v>0</v>
      </c>
      <c r="Z35" s="65">
        <f t="shared" ref="Z35:Z49" si="8">+X35+T35+P35+L35</f>
        <v>0</v>
      </c>
      <c r="AA35" s="513"/>
      <c r="AB35" s="294"/>
      <c r="AC35" s="294"/>
      <c r="AD35" s="294"/>
      <c r="AE35" s="294"/>
      <c r="AF35" s="294"/>
      <c r="AG35" s="294"/>
      <c r="AH35" s="294"/>
    </row>
    <row r="36" spans="1:34" s="21" customFormat="1" ht="23.25" customHeight="1">
      <c r="A36" s="93">
        <v>15</v>
      </c>
      <c r="B36" s="89" t="s">
        <v>126</v>
      </c>
      <c r="C36" s="94">
        <f t="shared" si="6"/>
        <v>113582271</v>
      </c>
      <c r="D36" s="344">
        <f t="shared" si="6"/>
        <v>53699686</v>
      </c>
      <c r="E36" s="95">
        <v>88912886</v>
      </c>
      <c r="F36" s="95">
        <v>53699686</v>
      </c>
      <c r="G36" s="95">
        <v>972516</v>
      </c>
      <c r="H36" s="95"/>
      <c r="I36" s="95">
        <v>23355764</v>
      </c>
      <c r="J36" s="95"/>
      <c r="K36" s="95">
        <v>1555587</v>
      </c>
      <c r="L36" s="95"/>
      <c r="M36" s="95">
        <v>1313621</v>
      </c>
      <c r="N36" s="95"/>
      <c r="O36" s="95">
        <v>553405</v>
      </c>
      <c r="P36" s="95"/>
      <c r="Q36" s="95"/>
      <c r="R36" s="95"/>
      <c r="S36" s="95"/>
      <c r="T36" s="95"/>
      <c r="U36" s="95"/>
      <c r="V36" s="95"/>
      <c r="W36" s="95"/>
      <c r="X36" s="95"/>
      <c r="Y36" s="343">
        <f t="shared" si="7"/>
        <v>2108992</v>
      </c>
      <c r="Z36" s="343">
        <f t="shared" si="8"/>
        <v>0</v>
      </c>
      <c r="AA36" s="512">
        <f>+'Aging Analysis'!C26</f>
        <v>113582271</v>
      </c>
      <c r="AB36" s="294"/>
      <c r="AC36" s="294"/>
      <c r="AD36" s="294"/>
      <c r="AE36" s="294"/>
      <c r="AF36" s="294"/>
      <c r="AG36" s="294"/>
      <c r="AH36" s="294"/>
    </row>
    <row r="37" spans="1:34" s="21" customFormat="1" ht="14.25" customHeight="1">
      <c r="A37" s="64"/>
      <c r="B37" s="92" t="s">
        <v>571</v>
      </c>
      <c r="C37" s="94">
        <f t="shared" si="6"/>
        <v>0</v>
      </c>
      <c r="D37" s="344">
        <f t="shared" si="6"/>
        <v>0</v>
      </c>
      <c r="E37" s="95"/>
      <c r="F37" s="95"/>
      <c r="G37" s="95">
        <v>0</v>
      </c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65">
        <f t="shared" si="7"/>
        <v>0</v>
      </c>
      <c r="Z37" s="65">
        <f t="shared" si="8"/>
        <v>0</v>
      </c>
      <c r="AA37" s="513"/>
      <c r="AB37" s="294"/>
      <c r="AC37" s="294"/>
      <c r="AD37" s="294"/>
      <c r="AE37" s="294"/>
      <c r="AF37" s="294"/>
      <c r="AG37" s="294"/>
      <c r="AH37" s="294"/>
    </row>
    <row r="38" spans="1:34" s="21" customFormat="1" ht="23.25" customHeight="1">
      <c r="A38" s="93">
        <v>16</v>
      </c>
      <c r="B38" s="89" t="s">
        <v>129</v>
      </c>
      <c r="C38" s="94">
        <f t="shared" si="6"/>
        <v>543322518</v>
      </c>
      <c r="D38" s="344">
        <f t="shared" si="6"/>
        <v>11143469</v>
      </c>
      <c r="E38" s="95">
        <v>543118761</v>
      </c>
      <c r="F38" s="95">
        <v>11143469</v>
      </c>
      <c r="G38" s="95">
        <v>5940551</v>
      </c>
      <c r="H38" s="95"/>
      <c r="I38" s="95">
        <v>203757</v>
      </c>
      <c r="J38" s="95"/>
      <c r="K38" s="95">
        <v>14747</v>
      </c>
      <c r="L38" s="95"/>
      <c r="M38" s="95">
        <v>0</v>
      </c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343">
        <f t="shared" si="7"/>
        <v>14747</v>
      </c>
      <c r="Z38" s="343">
        <f t="shared" si="8"/>
        <v>0</v>
      </c>
      <c r="AA38" s="512">
        <f>+'Aging Analysis'!C27</f>
        <v>543322518</v>
      </c>
      <c r="AB38" s="294"/>
      <c r="AC38" s="294"/>
      <c r="AD38" s="294"/>
      <c r="AE38" s="294"/>
      <c r="AF38" s="294"/>
      <c r="AG38" s="294"/>
      <c r="AH38" s="294"/>
    </row>
    <row r="39" spans="1:34" s="21" customFormat="1" ht="14.25" customHeight="1">
      <c r="A39" s="64"/>
      <c r="B39" s="92" t="s">
        <v>571</v>
      </c>
      <c r="C39" s="94">
        <f t="shared" si="6"/>
        <v>0</v>
      </c>
      <c r="D39" s="344">
        <f t="shared" si="6"/>
        <v>0</v>
      </c>
      <c r="E39" s="95"/>
      <c r="F39" s="95"/>
      <c r="G39" s="95">
        <v>0</v>
      </c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65">
        <f t="shared" si="7"/>
        <v>0</v>
      </c>
      <c r="Z39" s="65">
        <f t="shared" si="8"/>
        <v>0</v>
      </c>
      <c r="AA39" s="513"/>
      <c r="AB39" s="294"/>
      <c r="AC39" s="294"/>
      <c r="AD39" s="294"/>
      <c r="AE39" s="294"/>
      <c r="AF39" s="294"/>
      <c r="AG39" s="294"/>
      <c r="AH39" s="294"/>
    </row>
    <row r="40" spans="1:34" s="21" customFormat="1" ht="23.25" customHeight="1">
      <c r="A40" s="93">
        <v>17</v>
      </c>
      <c r="B40" s="89" t="s">
        <v>131</v>
      </c>
      <c r="C40" s="94">
        <f t="shared" si="6"/>
        <v>283340629</v>
      </c>
      <c r="D40" s="344">
        <f t="shared" si="6"/>
        <v>120765803</v>
      </c>
      <c r="E40" s="95">
        <v>282819684</v>
      </c>
      <c r="F40" s="95">
        <v>120765803</v>
      </c>
      <c r="G40" s="95">
        <v>3093439</v>
      </c>
      <c r="H40" s="95"/>
      <c r="I40" s="95">
        <v>520945</v>
      </c>
      <c r="J40" s="95"/>
      <c r="K40" s="95">
        <v>233213</v>
      </c>
      <c r="L40" s="95"/>
      <c r="M40" s="95">
        <v>0</v>
      </c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343">
        <f t="shared" si="7"/>
        <v>233213</v>
      </c>
      <c r="Z40" s="343">
        <f t="shared" si="8"/>
        <v>0</v>
      </c>
      <c r="AA40" s="512">
        <f>+'Aging Analysis'!C28</f>
        <v>283340629</v>
      </c>
      <c r="AB40" s="294"/>
      <c r="AC40" s="294"/>
      <c r="AD40" s="294"/>
      <c r="AE40" s="294"/>
      <c r="AF40" s="294"/>
      <c r="AG40" s="294"/>
      <c r="AH40" s="294"/>
    </row>
    <row r="41" spans="1:34" s="21" customFormat="1" ht="14.25" customHeight="1">
      <c r="A41" s="64"/>
      <c r="B41" s="92" t="s">
        <v>571</v>
      </c>
      <c r="C41" s="94">
        <f t="shared" si="6"/>
        <v>0</v>
      </c>
      <c r="D41" s="344">
        <f t="shared" si="6"/>
        <v>0</v>
      </c>
      <c r="E41" s="95"/>
      <c r="F41" s="95"/>
      <c r="G41" s="95">
        <v>0</v>
      </c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65">
        <f t="shared" si="7"/>
        <v>0</v>
      </c>
      <c r="Z41" s="65">
        <f t="shared" si="8"/>
        <v>0</v>
      </c>
      <c r="AA41" s="513"/>
      <c r="AB41" s="294"/>
      <c r="AC41" s="294"/>
      <c r="AD41" s="294"/>
      <c r="AE41" s="294"/>
      <c r="AF41" s="294"/>
      <c r="AG41" s="294"/>
      <c r="AH41" s="294"/>
    </row>
    <row r="42" spans="1:34" s="21" customFormat="1" ht="23.25" customHeight="1">
      <c r="A42" s="93">
        <v>18</v>
      </c>
      <c r="B42" s="89" t="s">
        <v>133</v>
      </c>
      <c r="C42" s="94">
        <f t="shared" si="6"/>
        <v>151920268</v>
      </c>
      <c r="D42" s="344">
        <f t="shared" si="6"/>
        <v>19498162</v>
      </c>
      <c r="E42" s="95">
        <v>143904887</v>
      </c>
      <c r="F42" s="95">
        <v>19498162</v>
      </c>
      <c r="G42" s="95">
        <v>1574010</v>
      </c>
      <c r="H42" s="95"/>
      <c r="I42" s="95">
        <v>8015381</v>
      </c>
      <c r="J42" s="95"/>
      <c r="K42" s="95">
        <v>179623</v>
      </c>
      <c r="L42" s="95"/>
      <c r="M42" s="95">
        <v>0</v>
      </c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343">
        <f t="shared" si="7"/>
        <v>179623</v>
      </c>
      <c r="Z42" s="343">
        <f t="shared" si="8"/>
        <v>0</v>
      </c>
      <c r="AA42" s="512">
        <f>+'Aging Analysis'!C29</f>
        <v>151920268</v>
      </c>
      <c r="AB42" s="294"/>
      <c r="AC42" s="294"/>
      <c r="AD42" s="294"/>
      <c r="AE42" s="294"/>
      <c r="AF42" s="294"/>
      <c r="AG42" s="294"/>
      <c r="AH42" s="294"/>
    </row>
    <row r="43" spans="1:34" s="21" customFormat="1" ht="14.25" customHeight="1">
      <c r="A43" s="64"/>
      <c r="B43" s="92" t="s">
        <v>571</v>
      </c>
      <c r="C43" s="94">
        <f t="shared" si="6"/>
        <v>0</v>
      </c>
      <c r="D43" s="344">
        <f t="shared" si="6"/>
        <v>0</v>
      </c>
      <c r="E43" s="95"/>
      <c r="F43" s="95"/>
      <c r="G43" s="95">
        <v>0</v>
      </c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65">
        <f t="shared" si="7"/>
        <v>0</v>
      </c>
      <c r="Z43" s="65">
        <f t="shared" si="8"/>
        <v>0</v>
      </c>
      <c r="AA43" s="513"/>
      <c r="AB43" s="294"/>
      <c r="AC43" s="294"/>
      <c r="AD43" s="294"/>
      <c r="AE43" s="294"/>
      <c r="AF43" s="294"/>
      <c r="AG43" s="294"/>
      <c r="AH43" s="294"/>
    </row>
    <row r="44" spans="1:34" s="21" customFormat="1" ht="23.25" customHeight="1">
      <c r="A44" s="93">
        <v>19</v>
      </c>
      <c r="B44" s="89" t="s">
        <v>135</v>
      </c>
      <c r="C44" s="94">
        <f t="shared" si="6"/>
        <v>76942702</v>
      </c>
      <c r="D44" s="344">
        <f t="shared" si="6"/>
        <v>0</v>
      </c>
      <c r="E44" s="95">
        <v>76942702</v>
      </c>
      <c r="F44" s="95"/>
      <c r="G44" s="95">
        <v>841587</v>
      </c>
      <c r="H44" s="95"/>
      <c r="I44" s="95">
        <v>0</v>
      </c>
      <c r="J44" s="95"/>
      <c r="K44" s="95">
        <v>0</v>
      </c>
      <c r="L44" s="95"/>
      <c r="M44" s="95">
        <v>0</v>
      </c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343">
        <f t="shared" si="7"/>
        <v>0</v>
      </c>
      <c r="Z44" s="343">
        <f t="shared" si="8"/>
        <v>0</v>
      </c>
      <c r="AA44" s="512">
        <f>+'Aging Analysis'!C30</f>
        <v>76942702</v>
      </c>
      <c r="AB44" s="294"/>
      <c r="AC44" s="294"/>
      <c r="AD44" s="294"/>
      <c r="AE44" s="294"/>
      <c r="AF44" s="294"/>
      <c r="AG44" s="294"/>
      <c r="AH44" s="294"/>
    </row>
    <row r="45" spans="1:34" s="21" customFormat="1" ht="14.25" customHeight="1">
      <c r="A45" s="64"/>
      <c r="B45" s="92" t="s">
        <v>571</v>
      </c>
      <c r="C45" s="94">
        <f t="shared" si="6"/>
        <v>0</v>
      </c>
      <c r="D45" s="344">
        <f t="shared" si="6"/>
        <v>0</v>
      </c>
      <c r="E45" s="95"/>
      <c r="F45" s="95"/>
      <c r="G45" s="95">
        <v>0</v>
      </c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65">
        <f t="shared" si="7"/>
        <v>0</v>
      </c>
      <c r="Z45" s="65">
        <f t="shared" si="8"/>
        <v>0</v>
      </c>
      <c r="AA45" s="513"/>
      <c r="AB45" s="294"/>
      <c r="AC45" s="294"/>
      <c r="AD45" s="294"/>
      <c r="AE45" s="294"/>
      <c r="AF45" s="294"/>
      <c r="AG45" s="294"/>
      <c r="AH45" s="294"/>
    </row>
    <row r="46" spans="1:34" s="21" customFormat="1" ht="23.25" customHeight="1">
      <c r="A46" s="93">
        <v>20</v>
      </c>
      <c r="B46" s="89" t="s">
        <v>137</v>
      </c>
      <c r="C46" s="94">
        <f t="shared" si="6"/>
        <v>21411004</v>
      </c>
      <c r="D46" s="344">
        <f t="shared" si="6"/>
        <v>0</v>
      </c>
      <c r="E46" s="95">
        <v>15963389</v>
      </c>
      <c r="F46" s="95"/>
      <c r="G46" s="95">
        <v>174605</v>
      </c>
      <c r="H46" s="95"/>
      <c r="I46" s="95">
        <v>5447615</v>
      </c>
      <c r="J46" s="95"/>
      <c r="K46" s="95">
        <v>694592</v>
      </c>
      <c r="L46" s="95"/>
      <c r="M46" s="95">
        <v>0</v>
      </c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343">
        <f t="shared" si="7"/>
        <v>694592</v>
      </c>
      <c r="Z46" s="343">
        <f t="shared" si="8"/>
        <v>0</v>
      </c>
      <c r="AA46" s="512">
        <f>+'Aging Analysis'!C31</f>
        <v>21411004</v>
      </c>
      <c r="AB46" s="294"/>
      <c r="AC46" s="294"/>
      <c r="AD46" s="294"/>
      <c r="AE46" s="294"/>
      <c r="AF46" s="294"/>
      <c r="AG46" s="294"/>
      <c r="AH46" s="294"/>
    </row>
    <row r="47" spans="1:34" s="21" customFormat="1" ht="14.25" customHeight="1">
      <c r="A47" s="64"/>
      <c r="B47" s="92" t="s">
        <v>571</v>
      </c>
      <c r="C47" s="94">
        <f t="shared" si="6"/>
        <v>0</v>
      </c>
      <c r="D47" s="344">
        <f t="shared" si="6"/>
        <v>0</v>
      </c>
      <c r="E47" s="95"/>
      <c r="F47" s="95"/>
      <c r="G47" s="95">
        <v>0</v>
      </c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65">
        <f t="shared" si="7"/>
        <v>0</v>
      </c>
      <c r="Z47" s="65">
        <f t="shared" si="8"/>
        <v>0</v>
      </c>
      <c r="AA47" s="513"/>
      <c r="AB47" s="294"/>
      <c r="AC47" s="294"/>
      <c r="AD47" s="294"/>
      <c r="AE47" s="294"/>
      <c r="AF47" s="294"/>
      <c r="AG47" s="294"/>
      <c r="AH47" s="294"/>
    </row>
    <row r="48" spans="1:34" s="21" customFormat="1" ht="23.25" customHeight="1">
      <c r="A48" s="93">
        <v>21</v>
      </c>
      <c r="B48" s="89" t="s">
        <v>175</v>
      </c>
      <c r="C48" s="94">
        <f t="shared" si="6"/>
        <v>3550069002</v>
      </c>
      <c r="D48" s="344">
        <f t="shared" si="6"/>
        <v>1268516342</v>
      </c>
      <c r="E48" s="95">
        <v>3518638748</v>
      </c>
      <c r="F48" s="95">
        <v>1261622410</v>
      </c>
      <c r="G48" s="95">
        <v>38486338</v>
      </c>
      <c r="H48" s="95">
        <v>238850</v>
      </c>
      <c r="I48" s="95">
        <v>26362269</v>
      </c>
      <c r="J48" s="95">
        <v>6870842</v>
      </c>
      <c r="K48" s="95">
        <v>3378805</v>
      </c>
      <c r="L48" s="95">
        <v>482286</v>
      </c>
      <c r="M48" s="95">
        <v>2266381</v>
      </c>
      <c r="N48" s="95">
        <v>23090</v>
      </c>
      <c r="O48" s="95">
        <v>493726</v>
      </c>
      <c r="P48" s="95">
        <v>23090</v>
      </c>
      <c r="Q48" s="95">
        <v>1457838</v>
      </c>
      <c r="R48" s="95"/>
      <c r="S48" s="95">
        <v>569578</v>
      </c>
      <c r="T48" s="95"/>
      <c r="U48" s="95">
        <v>1343766</v>
      </c>
      <c r="V48" s="95"/>
      <c r="W48" s="95">
        <v>570653</v>
      </c>
      <c r="X48" s="95"/>
      <c r="Y48" s="343">
        <f t="shared" si="7"/>
        <v>5012762</v>
      </c>
      <c r="Z48" s="343">
        <f t="shared" si="8"/>
        <v>505376</v>
      </c>
      <c r="AA48" s="512">
        <f>+'Aging Analysis'!C32</f>
        <v>3550069002</v>
      </c>
      <c r="AB48" s="294"/>
      <c r="AC48" s="294"/>
      <c r="AD48" s="294"/>
      <c r="AE48" s="294"/>
      <c r="AF48" s="294"/>
      <c r="AG48" s="294"/>
      <c r="AH48" s="294"/>
    </row>
    <row r="49" spans="1:34" s="21" customFormat="1" ht="14.25" customHeight="1">
      <c r="A49" s="64"/>
      <c r="B49" s="92" t="s">
        <v>571</v>
      </c>
      <c r="C49" s="94">
        <f t="shared" si="6"/>
        <v>0</v>
      </c>
      <c r="D49" s="344">
        <f t="shared" si="6"/>
        <v>0</v>
      </c>
      <c r="E49" s="95">
        <v>0</v>
      </c>
      <c r="F49" s="95">
        <v>0</v>
      </c>
      <c r="G49" s="95">
        <v>0</v>
      </c>
      <c r="H49" s="95">
        <v>0</v>
      </c>
      <c r="I49" s="95">
        <v>0</v>
      </c>
      <c r="J49" s="95">
        <v>0</v>
      </c>
      <c r="K49" s="95">
        <v>0</v>
      </c>
      <c r="L49" s="95">
        <v>0</v>
      </c>
      <c r="M49" s="95">
        <v>0</v>
      </c>
      <c r="N49" s="95">
        <v>0</v>
      </c>
      <c r="O49" s="95">
        <v>0</v>
      </c>
      <c r="P49" s="95">
        <v>0</v>
      </c>
      <c r="Q49" s="95">
        <v>0</v>
      </c>
      <c r="R49" s="95">
        <v>0</v>
      </c>
      <c r="S49" s="95">
        <v>0</v>
      </c>
      <c r="T49" s="95">
        <v>0</v>
      </c>
      <c r="U49" s="95">
        <v>0</v>
      </c>
      <c r="V49" s="95">
        <v>0</v>
      </c>
      <c r="W49" s="95">
        <v>0</v>
      </c>
      <c r="X49" s="95">
        <v>0</v>
      </c>
      <c r="Y49" s="65">
        <f t="shared" si="7"/>
        <v>0</v>
      </c>
      <c r="Z49" s="65">
        <f t="shared" si="8"/>
        <v>0</v>
      </c>
      <c r="AA49" s="511"/>
      <c r="AB49" s="294"/>
      <c r="AC49" s="294"/>
      <c r="AD49" s="294"/>
      <c r="AE49" s="294"/>
      <c r="AF49" s="294"/>
      <c r="AG49" s="294"/>
      <c r="AH49" s="294"/>
    </row>
    <row r="50" spans="1:34" s="112" customFormat="1" ht="28.5" customHeight="1">
      <c r="A50" s="248">
        <v>22</v>
      </c>
      <c r="B50" s="248" t="s">
        <v>173</v>
      </c>
      <c r="C50" s="252">
        <f>+C34+C36+C38+C40+C42+C44+C46+C48</f>
        <v>5705936821</v>
      </c>
      <c r="D50" s="252">
        <f t="shared" ref="D50:Z50" si="9">+D34+D36+D38+D40+D42+D44+D46+D48</f>
        <v>1919486336</v>
      </c>
      <c r="E50" s="252">
        <f t="shared" si="9"/>
        <v>5607381631</v>
      </c>
      <c r="F50" s="252">
        <f t="shared" si="9"/>
        <v>1890307744</v>
      </c>
      <c r="G50" s="252">
        <f t="shared" si="9"/>
        <v>61332691</v>
      </c>
      <c r="H50" s="252">
        <f t="shared" si="9"/>
        <v>238850</v>
      </c>
      <c r="I50" s="252">
        <f t="shared" si="9"/>
        <v>92173584</v>
      </c>
      <c r="J50" s="252">
        <f t="shared" si="9"/>
        <v>29155502</v>
      </c>
      <c r="K50" s="252">
        <f t="shared" si="9"/>
        <v>6889806</v>
      </c>
      <c r="L50" s="252">
        <f t="shared" si="9"/>
        <v>746327</v>
      </c>
      <c r="M50" s="252">
        <f t="shared" si="9"/>
        <v>3580002</v>
      </c>
      <c r="N50" s="252">
        <f t="shared" si="9"/>
        <v>23090</v>
      </c>
      <c r="O50" s="252">
        <f t="shared" si="9"/>
        <v>1047131</v>
      </c>
      <c r="P50" s="252">
        <f t="shared" si="9"/>
        <v>23090</v>
      </c>
      <c r="Q50" s="252">
        <f t="shared" si="9"/>
        <v>1457838</v>
      </c>
      <c r="R50" s="252">
        <f t="shared" si="9"/>
        <v>0</v>
      </c>
      <c r="S50" s="252">
        <f t="shared" si="9"/>
        <v>569578</v>
      </c>
      <c r="T50" s="252">
        <f t="shared" si="9"/>
        <v>0</v>
      </c>
      <c r="U50" s="252">
        <f t="shared" si="9"/>
        <v>1343766</v>
      </c>
      <c r="V50" s="252">
        <f t="shared" si="9"/>
        <v>0</v>
      </c>
      <c r="W50" s="252">
        <f t="shared" si="9"/>
        <v>570653</v>
      </c>
      <c r="X50" s="252">
        <f t="shared" si="9"/>
        <v>0</v>
      </c>
      <c r="Y50" s="252">
        <f t="shared" si="9"/>
        <v>9077168</v>
      </c>
      <c r="Z50" s="252">
        <f t="shared" si="9"/>
        <v>769417</v>
      </c>
      <c r="AA50" s="511"/>
      <c r="AB50" s="294"/>
      <c r="AC50" s="294"/>
      <c r="AD50" s="294"/>
      <c r="AE50" s="294"/>
      <c r="AF50" s="294"/>
      <c r="AG50" s="294"/>
      <c r="AH50" s="294"/>
    </row>
    <row r="51" spans="1:34" s="21" customFormat="1" ht="23.25" customHeight="1">
      <c r="A51" s="93"/>
      <c r="B51" s="92" t="s">
        <v>571</v>
      </c>
      <c r="C51" s="91">
        <f>+C35+C37+C39+C41+C43+C45+C47+C49</f>
        <v>0</v>
      </c>
      <c r="D51" s="91">
        <f t="shared" ref="D51:Z51" si="10">+D35+D37+D39+D41+D43+D45+D47+D49</f>
        <v>0</v>
      </c>
      <c r="E51" s="95">
        <f t="shared" si="10"/>
        <v>0</v>
      </c>
      <c r="F51" s="95">
        <f t="shared" si="10"/>
        <v>0</v>
      </c>
      <c r="G51" s="95">
        <f t="shared" si="10"/>
        <v>0</v>
      </c>
      <c r="H51" s="95">
        <f t="shared" si="10"/>
        <v>0</v>
      </c>
      <c r="I51" s="95">
        <f t="shared" si="10"/>
        <v>0</v>
      </c>
      <c r="J51" s="95">
        <f t="shared" si="10"/>
        <v>0</v>
      </c>
      <c r="K51" s="95">
        <f t="shared" si="10"/>
        <v>0</v>
      </c>
      <c r="L51" s="95">
        <f t="shared" si="10"/>
        <v>0</v>
      </c>
      <c r="M51" s="95">
        <f t="shared" si="10"/>
        <v>0</v>
      </c>
      <c r="N51" s="95">
        <f t="shared" si="10"/>
        <v>0</v>
      </c>
      <c r="O51" s="95">
        <f t="shared" si="10"/>
        <v>0</v>
      </c>
      <c r="P51" s="95">
        <f t="shared" si="10"/>
        <v>0</v>
      </c>
      <c r="Q51" s="95">
        <f t="shared" si="10"/>
        <v>0</v>
      </c>
      <c r="R51" s="95">
        <f t="shared" si="10"/>
        <v>0</v>
      </c>
      <c r="S51" s="95">
        <f t="shared" si="10"/>
        <v>0</v>
      </c>
      <c r="T51" s="95">
        <f t="shared" si="10"/>
        <v>0</v>
      </c>
      <c r="U51" s="95">
        <f t="shared" si="10"/>
        <v>0</v>
      </c>
      <c r="V51" s="95">
        <f t="shared" si="10"/>
        <v>0</v>
      </c>
      <c r="W51" s="95">
        <f t="shared" si="10"/>
        <v>0</v>
      </c>
      <c r="X51" s="95">
        <f t="shared" si="10"/>
        <v>0</v>
      </c>
      <c r="Y51" s="91">
        <f t="shared" si="10"/>
        <v>0</v>
      </c>
      <c r="Z51" s="91">
        <f t="shared" si="10"/>
        <v>0</v>
      </c>
      <c r="AA51" s="511"/>
      <c r="AB51" s="294"/>
      <c r="AC51" s="294"/>
      <c r="AD51" s="294"/>
      <c r="AE51" s="294"/>
      <c r="AF51" s="294"/>
      <c r="AG51" s="294"/>
      <c r="AH51" s="294"/>
    </row>
    <row r="52" spans="1:34" s="67" customFormat="1" ht="27.75" customHeight="1">
      <c r="A52" s="252"/>
      <c r="B52" s="252" t="s">
        <v>786</v>
      </c>
      <c r="C52" s="252"/>
      <c r="D52" s="252"/>
      <c r="E52" s="252"/>
      <c r="F52" s="252"/>
      <c r="G52" s="252"/>
      <c r="H52" s="252"/>
      <c r="I52" s="252"/>
      <c r="J52" s="252"/>
      <c r="K52" s="252"/>
      <c r="L52" s="252"/>
      <c r="M52" s="252"/>
      <c r="N52" s="252"/>
      <c r="O52" s="252"/>
      <c r="P52" s="252"/>
      <c r="Q52" s="252"/>
      <c r="R52" s="252"/>
      <c r="S52" s="252"/>
      <c r="T52" s="252"/>
      <c r="U52" s="252"/>
      <c r="V52" s="252"/>
      <c r="W52" s="252"/>
      <c r="X52" s="252"/>
      <c r="Y52" s="252"/>
      <c r="Z52" s="252"/>
      <c r="AA52" s="511"/>
      <c r="AB52" s="294"/>
      <c r="AC52" s="294"/>
      <c r="AD52" s="294"/>
      <c r="AE52" s="294"/>
      <c r="AF52" s="294"/>
      <c r="AG52" s="294"/>
      <c r="AH52" s="294"/>
    </row>
    <row r="53" spans="1:34" s="67" customFormat="1" ht="7.5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511"/>
      <c r="AB53" s="294"/>
      <c r="AC53" s="294"/>
      <c r="AD53" s="294"/>
      <c r="AE53" s="294"/>
      <c r="AF53" s="294"/>
      <c r="AG53" s="294"/>
      <c r="AH53" s="294"/>
    </row>
    <row r="54" spans="1:34" s="367" customFormat="1" ht="21.75" customHeight="1">
      <c r="A54" s="410">
        <v>23</v>
      </c>
      <c r="B54" s="219" t="s">
        <v>772</v>
      </c>
      <c r="C54" s="94">
        <f t="shared" ref="C54:D70" si="11">E54+I54+M54+Q54+U54</f>
        <v>181876078</v>
      </c>
      <c r="D54" s="344">
        <f t="shared" si="11"/>
        <v>22001532</v>
      </c>
      <c r="E54" s="95">
        <v>180110705</v>
      </c>
      <c r="F54" s="95">
        <v>22001532</v>
      </c>
      <c r="G54" s="95">
        <v>1970041</v>
      </c>
      <c r="H54" s="95">
        <v>0</v>
      </c>
      <c r="I54" s="95">
        <v>1169121</v>
      </c>
      <c r="J54" s="95">
        <v>0</v>
      </c>
      <c r="K54" s="95">
        <v>280149</v>
      </c>
      <c r="L54" s="95">
        <v>0</v>
      </c>
      <c r="M54" s="95">
        <v>121920</v>
      </c>
      <c r="N54" s="95">
        <v>0</v>
      </c>
      <c r="O54" s="95">
        <v>1273</v>
      </c>
      <c r="P54" s="95">
        <v>0</v>
      </c>
      <c r="Q54" s="95">
        <v>132317</v>
      </c>
      <c r="R54" s="95">
        <v>0</v>
      </c>
      <c r="S54" s="95">
        <v>34048</v>
      </c>
      <c r="T54" s="95">
        <v>0</v>
      </c>
      <c r="U54" s="95">
        <v>342015</v>
      </c>
      <c r="V54" s="95">
        <v>0</v>
      </c>
      <c r="W54" s="95">
        <v>34293</v>
      </c>
      <c r="X54" s="95"/>
      <c r="Y54" s="343">
        <f>+W54+S54+O54+K54</f>
        <v>349763</v>
      </c>
      <c r="Z54" s="343">
        <f>+X54+T54+P54+L54</f>
        <v>0</v>
      </c>
      <c r="AA54" s="514"/>
      <c r="AB54" s="411"/>
      <c r="AC54" s="411"/>
      <c r="AD54" s="411"/>
      <c r="AE54" s="411"/>
      <c r="AF54" s="411"/>
      <c r="AG54" s="411"/>
      <c r="AH54" s="411"/>
    </row>
    <row r="55" spans="1:34" s="367" customFormat="1" ht="21.75" customHeight="1">
      <c r="A55" s="410">
        <v>24</v>
      </c>
      <c r="B55" s="219" t="s">
        <v>773</v>
      </c>
      <c r="C55" s="94">
        <f t="shared" si="11"/>
        <v>0</v>
      </c>
      <c r="D55" s="344">
        <f t="shared" si="11"/>
        <v>0</v>
      </c>
      <c r="E55" s="95">
        <v>0</v>
      </c>
      <c r="F55" s="95">
        <v>0</v>
      </c>
      <c r="G55" s="95">
        <v>0</v>
      </c>
      <c r="H55" s="95">
        <v>0</v>
      </c>
      <c r="I55" s="95">
        <v>0</v>
      </c>
      <c r="J55" s="95">
        <v>0</v>
      </c>
      <c r="K55" s="95">
        <v>0</v>
      </c>
      <c r="L55" s="95">
        <v>0</v>
      </c>
      <c r="M55" s="95">
        <v>0</v>
      </c>
      <c r="N55" s="95">
        <v>0</v>
      </c>
      <c r="O55" s="95">
        <v>0</v>
      </c>
      <c r="P55" s="95">
        <v>0</v>
      </c>
      <c r="Q55" s="95">
        <v>0</v>
      </c>
      <c r="R55" s="95">
        <v>0</v>
      </c>
      <c r="S55" s="95">
        <v>0</v>
      </c>
      <c r="T55" s="95">
        <v>0</v>
      </c>
      <c r="U55" s="95">
        <v>0</v>
      </c>
      <c r="V55" s="95">
        <v>0</v>
      </c>
      <c r="W55" s="95">
        <v>0</v>
      </c>
      <c r="X55" s="95"/>
      <c r="Y55" s="343">
        <f t="shared" ref="Y55:Z67" si="12">+W55+S55+O55+K55</f>
        <v>0</v>
      </c>
      <c r="Z55" s="343">
        <f t="shared" si="12"/>
        <v>0</v>
      </c>
      <c r="AA55" s="514"/>
      <c r="AB55" s="411"/>
      <c r="AC55" s="411"/>
      <c r="AD55" s="411"/>
      <c r="AE55" s="411"/>
      <c r="AF55" s="411"/>
      <c r="AG55" s="411"/>
      <c r="AH55" s="411"/>
    </row>
    <row r="56" spans="1:34" s="367" customFormat="1" ht="21.75" customHeight="1">
      <c r="A56" s="410">
        <v>25</v>
      </c>
      <c r="B56" s="219" t="s">
        <v>774</v>
      </c>
      <c r="C56" s="94">
        <f t="shared" si="11"/>
        <v>308836551</v>
      </c>
      <c r="D56" s="344">
        <f t="shared" si="11"/>
        <v>141387670</v>
      </c>
      <c r="E56" s="95">
        <v>303688547</v>
      </c>
      <c r="F56" s="95">
        <v>138555423</v>
      </c>
      <c r="G56" s="95">
        <v>3321729</v>
      </c>
      <c r="H56" s="95">
        <v>0</v>
      </c>
      <c r="I56" s="95">
        <v>5145038</v>
      </c>
      <c r="J56" s="95">
        <v>2832247</v>
      </c>
      <c r="K56" s="95">
        <v>394660</v>
      </c>
      <c r="L56" s="95">
        <v>283225</v>
      </c>
      <c r="M56" s="95">
        <v>0</v>
      </c>
      <c r="N56" s="95">
        <v>0</v>
      </c>
      <c r="O56" s="95">
        <v>0</v>
      </c>
      <c r="P56" s="95">
        <v>0</v>
      </c>
      <c r="Q56" s="95">
        <v>0</v>
      </c>
      <c r="R56" s="95">
        <v>0</v>
      </c>
      <c r="S56" s="95">
        <v>0</v>
      </c>
      <c r="T56" s="95">
        <v>0</v>
      </c>
      <c r="U56" s="95">
        <v>2966</v>
      </c>
      <c r="V56" s="95">
        <v>0</v>
      </c>
      <c r="W56" s="95">
        <v>0</v>
      </c>
      <c r="X56" s="95"/>
      <c r="Y56" s="343">
        <f t="shared" si="12"/>
        <v>394660</v>
      </c>
      <c r="Z56" s="343">
        <f t="shared" si="12"/>
        <v>283225</v>
      </c>
      <c r="AA56" s="514"/>
      <c r="AB56" s="411"/>
      <c r="AC56" s="411"/>
      <c r="AD56" s="411"/>
      <c r="AE56" s="411"/>
      <c r="AF56" s="411"/>
      <c r="AG56" s="411"/>
      <c r="AH56" s="411"/>
    </row>
    <row r="57" spans="1:34" s="367" customFormat="1" ht="21.75" customHeight="1">
      <c r="A57" s="410">
        <v>26</v>
      </c>
      <c r="B57" s="219" t="s">
        <v>775</v>
      </c>
      <c r="C57" s="94">
        <f t="shared" si="11"/>
        <v>334326136</v>
      </c>
      <c r="D57" s="344">
        <f t="shared" si="11"/>
        <v>106484275</v>
      </c>
      <c r="E57" s="95">
        <v>332383517</v>
      </c>
      <c r="F57" s="95">
        <v>106484275</v>
      </c>
      <c r="G57" s="95">
        <v>3635593</v>
      </c>
      <c r="H57" s="95">
        <v>0</v>
      </c>
      <c r="I57" s="95">
        <v>1885803</v>
      </c>
      <c r="J57" s="95">
        <v>0</v>
      </c>
      <c r="K57" s="95">
        <v>301375</v>
      </c>
      <c r="L57" s="95">
        <v>0</v>
      </c>
      <c r="M57" s="95">
        <v>0</v>
      </c>
      <c r="N57" s="95">
        <v>0</v>
      </c>
      <c r="O57" s="95">
        <v>0</v>
      </c>
      <c r="P57" s="95">
        <v>0</v>
      </c>
      <c r="Q57" s="95">
        <v>56816</v>
      </c>
      <c r="R57" s="95">
        <v>0</v>
      </c>
      <c r="S57" s="95">
        <v>28408</v>
      </c>
      <c r="T57" s="95">
        <v>0</v>
      </c>
      <c r="U57" s="95">
        <v>0</v>
      </c>
      <c r="V57" s="95">
        <v>0</v>
      </c>
      <c r="W57" s="95">
        <v>0</v>
      </c>
      <c r="X57" s="95"/>
      <c r="Y57" s="343">
        <f t="shared" si="12"/>
        <v>329783</v>
      </c>
      <c r="Z57" s="343">
        <f t="shared" si="12"/>
        <v>0</v>
      </c>
      <c r="AA57" s="514"/>
      <c r="AB57" s="411"/>
      <c r="AC57" s="411"/>
      <c r="AD57" s="411"/>
      <c r="AE57" s="411"/>
      <c r="AF57" s="411"/>
      <c r="AG57" s="411"/>
      <c r="AH57" s="411"/>
    </row>
    <row r="58" spans="1:34" s="367" customFormat="1" ht="21.75" customHeight="1">
      <c r="A58" s="410">
        <v>27</v>
      </c>
      <c r="B58" s="219" t="s">
        <v>776</v>
      </c>
      <c r="C58" s="94">
        <f t="shared" si="11"/>
        <v>204740327</v>
      </c>
      <c r="D58" s="344">
        <f t="shared" si="11"/>
        <v>12395269</v>
      </c>
      <c r="E58" s="95">
        <v>201949662</v>
      </c>
      <c r="F58" s="95">
        <v>12395269</v>
      </c>
      <c r="G58" s="95">
        <v>2208914</v>
      </c>
      <c r="H58" s="95">
        <v>0</v>
      </c>
      <c r="I58" s="95">
        <v>2433501</v>
      </c>
      <c r="J58" s="95">
        <v>0</v>
      </c>
      <c r="K58" s="95">
        <v>312757</v>
      </c>
      <c r="L58" s="95">
        <v>0</v>
      </c>
      <c r="M58" s="95">
        <v>32636</v>
      </c>
      <c r="N58" s="95">
        <v>0</v>
      </c>
      <c r="O58" s="95">
        <v>2124</v>
      </c>
      <c r="P58" s="95">
        <v>0</v>
      </c>
      <c r="Q58" s="95">
        <v>0</v>
      </c>
      <c r="R58" s="95">
        <v>0</v>
      </c>
      <c r="S58" s="95">
        <v>0</v>
      </c>
      <c r="T58" s="95">
        <v>0</v>
      </c>
      <c r="U58" s="95">
        <v>324528</v>
      </c>
      <c r="V58" s="95">
        <v>0</v>
      </c>
      <c r="W58" s="95">
        <v>160390</v>
      </c>
      <c r="X58" s="95"/>
      <c r="Y58" s="343">
        <f t="shared" si="12"/>
        <v>475271</v>
      </c>
      <c r="Z58" s="343">
        <f t="shared" si="12"/>
        <v>0</v>
      </c>
      <c r="AA58" s="514"/>
      <c r="AB58" s="411"/>
      <c r="AC58" s="411"/>
      <c r="AD58" s="411"/>
      <c r="AE58" s="411"/>
      <c r="AF58" s="411"/>
      <c r="AG58" s="411"/>
      <c r="AH58" s="411"/>
    </row>
    <row r="59" spans="1:34" s="367" customFormat="1" ht="21.75" customHeight="1">
      <c r="A59" s="410">
        <v>28</v>
      </c>
      <c r="B59" s="219" t="s">
        <v>777</v>
      </c>
      <c r="C59" s="94">
        <f t="shared" si="11"/>
        <v>539858298</v>
      </c>
      <c r="D59" s="344">
        <f t="shared" si="11"/>
        <v>351166440</v>
      </c>
      <c r="E59" s="95">
        <v>537663241</v>
      </c>
      <c r="F59" s="95">
        <v>351166440</v>
      </c>
      <c r="G59" s="95">
        <v>5880932</v>
      </c>
      <c r="H59" s="95">
        <v>0</v>
      </c>
      <c r="I59" s="95">
        <v>2164060</v>
      </c>
      <c r="J59" s="95">
        <v>0</v>
      </c>
      <c r="K59" s="95">
        <v>230626</v>
      </c>
      <c r="L59" s="95">
        <v>0</v>
      </c>
      <c r="M59" s="95">
        <v>0</v>
      </c>
      <c r="N59" s="95">
        <v>0</v>
      </c>
      <c r="O59" s="95">
        <v>0</v>
      </c>
      <c r="P59" s="95">
        <v>0</v>
      </c>
      <c r="Q59" s="95">
        <v>8888</v>
      </c>
      <c r="R59" s="95">
        <v>0</v>
      </c>
      <c r="S59" s="95">
        <v>3513</v>
      </c>
      <c r="T59" s="95">
        <v>0</v>
      </c>
      <c r="U59" s="95">
        <v>22109</v>
      </c>
      <c r="V59" s="95">
        <v>0</v>
      </c>
      <c r="W59" s="95">
        <v>11054</v>
      </c>
      <c r="X59" s="95"/>
      <c r="Y59" s="343">
        <f t="shared" si="12"/>
        <v>245193</v>
      </c>
      <c r="Z59" s="343">
        <f t="shared" si="12"/>
        <v>0</v>
      </c>
      <c r="AA59" s="514"/>
      <c r="AB59" s="411"/>
      <c r="AC59" s="411"/>
      <c r="AD59" s="411"/>
      <c r="AE59" s="411"/>
      <c r="AF59" s="411"/>
      <c r="AG59" s="411"/>
      <c r="AH59" s="411"/>
    </row>
    <row r="60" spans="1:34" s="367" customFormat="1" ht="21.75" customHeight="1">
      <c r="A60" s="410">
        <v>29</v>
      </c>
      <c r="B60" s="219" t="s">
        <v>778</v>
      </c>
      <c r="C60" s="94">
        <f t="shared" si="11"/>
        <v>182794766</v>
      </c>
      <c r="D60" s="344">
        <f t="shared" si="11"/>
        <v>77671476</v>
      </c>
      <c r="E60" s="95">
        <v>180111128</v>
      </c>
      <c r="F60" s="95">
        <v>77213760</v>
      </c>
      <c r="G60" s="95">
        <v>1970046</v>
      </c>
      <c r="H60" s="95">
        <v>0</v>
      </c>
      <c r="I60" s="95">
        <v>1140165</v>
      </c>
      <c r="J60" s="95">
        <v>457716</v>
      </c>
      <c r="K60" s="95">
        <v>127006</v>
      </c>
      <c r="L60" s="95">
        <v>45772</v>
      </c>
      <c r="M60" s="95">
        <v>1452495</v>
      </c>
      <c r="N60" s="95">
        <v>0</v>
      </c>
      <c r="O60" s="95">
        <v>576621</v>
      </c>
      <c r="P60" s="95">
        <v>0</v>
      </c>
      <c r="Q60" s="95">
        <v>29826</v>
      </c>
      <c r="R60" s="95">
        <v>0</v>
      </c>
      <c r="S60" s="95">
        <v>12816</v>
      </c>
      <c r="T60" s="95">
        <v>0</v>
      </c>
      <c r="U60" s="95">
        <v>61152</v>
      </c>
      <c r="V60" s="95">
        <v>0</v>
      </c>
      <c r="W60" s="95">
        <v>32980</v>
      </c>
      <c r="X60" s="95"/>
      <c r="Y60" s="343">
        <f t="shared" si="12"/>
        <v>749423</v>
      </c>
      <c r="Z60" s="343">
        <f t="shared" si="12"/>
        <v>45772</v>
      </c>
      <c r="AA60" s="514"/>
      <c r="AB60" s="411"/>
      <c r="AC60" s="411"/>
      <c r="AD60" s="411"/>
      <c r="AE60" s="411"/>
      <c r="AF60" s="411"/>
      <c r="AG60" s="411"/>
      <c r="AH60" s="411"/>
    </row>
    <row r="61" spans="1:34" s="367" customFormat="1" ht="21.75" customHeight="1">
      <c r="A61" s="410">
        <v>30</v>
      </c>
      <c r="B61" s="219" t="s">
        <v>779</v>
      </c>
      <c r="C61" s="94">
        <f t="shared" si="11"/>
        <v>499862577</v>
      </c>
      <c r="D61" s="344">
        <f t="shared" si="11"/>
        <v>253829339</v>
      </c>
      <c r="E61" s="95">
        <v>496170806</v>
      </c>
      <c r="F61" s="95">
        <v>253829339</v>
      </c>
      <c r="G61" s="95">
        <v>5427090</v>
      </c>
      <c r="H61" s="95">
        <v>238850</v>
      </c>
      <c r="I61" s="95">
        <v>3301149</v>
      </c>
      <c r="J61" s="95">
        <v>0</v>
      </c>
      <c r="K61" s="95">
        <v>908543</v>
      </c>
      <c r="L61" s="95">
        <v>0</v>
      </c>
      <c r="M61" s="95">
        <v>132030</v>
      </c>
      <c r="N61" s="95">
        <v>0</v>
      </c>
      <c r="O61" s="95">
        <v>13910</v>
      </c>
      <c r="P61" s="95">
        <v>0</v>
      </c>
      <c r="Q61" s="95">
        <v>249789</v>
      </c>
      <c r="R61" s="95">
        <v>0</v>
      </c>
      <c r="S61" s="95">
        <v>63610</v>
      </c>
      <c r="T61" s="95">
        <v>0</v>
      </c>
      <c r="U61" s="95">
        <v>8803</v>
      </c>
      <c r="V61" s="95">
        <v>0</v>
      </c>
      <c r="W61" s="95">
        <v>0</v>
      </c>
      <c r="X61" s="95"/>
      <c r="Y61" s="343">
        <f t="shared" si="12"/>
        <v>986063</v>
      </c>
      <c r="Z61" s="343">
        <f t="shared" si="12"/>
        <v>0</v>
      </c>
      <c r="AA61" s="514"/>
      <c r="AB61" s="411"/>
      <c r="AC61" s="411"/>
      <c r="AD61" s="411"/>
      <c r="AE61" s="411"/>
      <c r="AF61" s="411"/>
      <c r="AG61" s="411"/>
      <c r="AH61" s="411"/>
    </row>
    <row r="62" spans="1:34" s="367" customFormat="1" ht="21.75" customHeight="1">
      <c r="A62" s="410">
        <v>31</v>
      </c>
      <c r="B62" s="219" t="s">
        <v>780</v>
      </c>
      <c r="C62" s="94">
        <f t="shared" si="11"/>
        <v>367713765</v>
      </c>
      <c r="D62" s="344">
        <f t="shared" si="11"/>
        <v>58902503</v>
      </c>
      <c r="E62" s="95">
        <v>361815425</v>
      </c>
      <c r="F62" s="95">
        <v>58902503</v>
      </c>
      <c r="G62" s="95">
        <v>3957518</v>
      </c>
      <c r="H62" s="95">
        <v>0</v>
      </c>
      <c r="I62" s="95">
        <v>4668921</v>
      </c>
      <c r="J62" s="95">
        <v>0</v>
      </c>
      <c r="K62" s="95">
        <v>675526</v>
      </c>
      <c r="L62" s="95">
        <v>0</v>
      </c>
      <c r="M62" s="95">
        <v>752740</v>
      </c>
      <c r="N62" s="95">
        <v>0</v>
      </c>
      <c r="O62" s="95">
        <v>325588</v>
      </c>
      <c r="P62" s="95">
        <v>0</v>
      </c>
      <c r="Q62" s="95">
        <v>404834</v>
      </c>
      <c r="R62" s="95">
        <v>0</v>
      </c>
      <c r="S62" s="95">
        <v>190472</v>
      </c>
      <c r="T62" s="95">
        <v>0</v>
      </c>
      <c r="U62" s="95">
        <v>71845</v>
      </c>
      <c r="V62" s="95">
        <v>0</v>
      </c>
      <c r="W62" s="95">
        <v>44249</v>
      </c>
      <c r="X62" s="95"/>
      <c r="Y62" s="343">
        <f t="shared" si="12"/>
        <v>1235835</v>
      </c>
      <c r="Z62" s="343">
        <f t="shared" si="12"/>
        <v>0</v>
      </c>
      <c r="AA62" s="514"/>
      <c r="AB62" s="411"/>
      <c r="AC62" s="411"/>
      <c r="AD62" s="411"/>
      <c r="AE62" s="411"/>
      <c r="AF62" s="411"/>
      <c r="AG62" s="411"/>
      <c r="AH62" s="411"/>
    </row>
    <row r="63" spans="1:34" s="367" customFormat="1" ht="21.75" customHeight="1">
      <c r="A63" s="410">
        <v>32</v>
      </c>
      <c r="B63" s="219" t="s">
        <v>781</v>
      </c>
      <c r="C63" s="94">
        <f t="shared" si="11"/>
        <v>0</v>
      </c>
      <c r="D63" s="344">
        <f t="shared" si="11"/>
        <v>0</v>
      </c>
      <c r="E63" s="95">
        <v>0</v>
      </c>
      <c r="F63" s="95">
        <v>0</v>
      </c>
      <c r="G63" s="95">
        <v>0</v>
      </c>
      <c r="H63" s="95">
        <v>0</v>
      </c>
      <c r="I63" s="95">
        <v>0</v>
      </c>
      <c r="J63" s="95">
        <v>0</v>
      </c>
      <c r="K63" s="95">
        <v>0</v>
      </c>
      <c r="L63" s="95">
        <v>0</v>
      </c>
      <c r="M63" s="95">
        <v>0</v>
      </c>
      <c r="N63" s="95">
        <v>0</v>
      </c>
      <c r="O63" s="95">
        <v>0</v>
      </c>
      <c r="P63" s="95">
        <v>0</v>
      </c>
      <c r="Q63" s="95">
        <v>0</v>
      </c>
      <c r="R63" s="95">
        <v>0</v>
      </c>
      <c r="S63" s="95">
        <v>0</v>
      </c>
      <c r="T63" s="95">
        <v>0</v>
      </c>
      <c r="U63" s="95">
        <v>0</v>
      </c>
      <c r="V63" s="95">
        <v>0</v>
      </c>
      <c r="W63" s="95">
        <v>0</v>
      </c>
      <c r="X63" s="95"/>
      <c r="Y63" s="343">
        <f t="shared" si="12"/>
        <v>0</v>
      </c>
      <c r="Z63" s="343">
        <f t="shared" si="12"/>
        <v>0</v>
      </c>
      <c r="AA63" s="514"/>
      <c r="AB63" s="411"/>
      <c r="AC63" s="411"/>
      <c r="AD63" s="411"/>
      <c r="AE63" s="411"/>
      <c r="AF63" s="411"/>
      <c r="AG63" s="411"/>
      <c r="AH63" s="411"/>
    </row>
    <row r="64" spans="1:34" s="367" customFormat="1" ht="21.75" customHeight="1">
      <c r="A64" s="410">
        <v>33</v>
      </c>
      <c r="B64" s="219" t="s">
        <v>785</v>
      </c>
      <c r="C64" s="94">
        <f>E64+I64+M64+Q64+U64</f>
        <v>2213996208</v>
      </c>
      <c r="D64" s="344">
        <f t="shared" si="11"/>
        <v>552249441</v>
      </c>
      <c r="E64" s="95">
        <v>2165230405</v>
      </c>
      <c r="F64" s="95">
        <v>548210846</v>
      </c>
      <c r="G64" s="95">
        <v>23683173</v>
      </c>
      <c r="H64" s="95">
        <v>0</v>
      </c>
      <c r="I64" s="95">
        <v>47070668</v>
      </c>
      <c r="J64" s="95">
        <v>4038595</v>
      </c>
      <c r="K64" s="95">
        <v>3094965</v>
      </c>
      <c r="L64" s="95">
        <v>199061</v>
      </c>
      <c r="M64" s="95">
        <v>679309</v>
      </c>
      <c r="N64" s="95">
        <v>0</v>
      </c>
      <c r="O64" s="95">
        <v>92194</v>
      </c>
      <c r="P64" s="95">
        <v>0</v>
      </c>
      <c r="Q64" s="95">
        <v>541355</v>
      </c>
      <c r="R64" s="95">
        <v>0</v>
      </c>
      <c r="S64" s="95">
        <v>223013</v>
      </c>
      <c r="T64" s="95">
        <v>0</v>
      </c>
      <c r="U64" s="95">
        <v>474471</v>
      </c>
      <c r="V64" s="95">
        <v>0</v>
      </c>
      <c r="W64" s="95">
        <v>271121</v>
      </c>
      <c r="X64" s="95"/>
      <c r="Y64" s="343">
        <f>+W64+S64+O64+K64</f>
        <v>3681293</v>
      </c>
      <c r="Z64" s="343">
        <f>+X64+T64+P64+L64</f>
        <v>199061</v>
      </c>
      <c r="AA64" s="514"/>
      <c r="AB64" s="411"/>
      <c r="AC64" s="411"/>
      <c r="AD64" s="411"/>
      <c r="AE64" s="411"/>
      <c r="AF64" s="411"/>
      <c r="AG64" s="411"/>
      <c r="AH64" s="411"/>
    </row>
    <row r="65" spans="1:34" s="367" customFormat="1" ht="21.75" customHeight="1">
      <c r="A65" s="410">
        <v>34</v>
      </c>
      <c r="B65" s="219" t="s">
        <v>782</v>
      </c>
      <c r="C65" s="94">
        <f t="shared" si="11"/>
        <v>0</v>
      </c>
      <c r="D65" s="344">
        <f t="shared" si="11"/>
        <v>0</v>
      </c>
      <c r="E65" s="95">
        <v>0</v>
      </c>
      <c r="F65" s="95">
        <v>0</v>
      </c>
      <c r="G65" s="95">
        <v>0</v>
      </c>
      <c r="H65" s="95">
        <v>0</v>
      </c>
      <c r="I65" s="95">
        <v>0</v>
      </c>
      <c r="J65" s="95">
        <v>0</v>
      </c>
      <c r="K65" s="95">
        <v>0</v>
      </c>
      <c r="L65" s="95">
        <v>0</v>
      </c>
      <c r="M65" s="95">
        <v>0</v>
      </c>
      <c r="N65" s="95">
        <v>0</v>
      </c>
      <c r="O65" s="95">
        <v>0</v>
      </c>
      <c r="P65" s="95">
        <v>0</v>
      </c>
      <c r="Q65" s="95">
        <v>0</v>
      </c>
      <c r="R65" s="95">
        <v>0</v>
      </c>
      <c r="S65" s="95">
        <v>0</v>
      </c>
      <c r="T65" s="95">
        <v>0</v>
      </c>
      <c r="U65" s="95">
        <v>0</v>
      </c>
      <c r="V65" s="95">
        <v>0</v>
      </c>
      <c r="W65" s="95">
        <v>0</v>
      </c>
      <c r="X65" s="95"/>
      <c r="Y65" s="343">
        <f t="shared" si="12"/>
        <v>0</v>
      </c>
      <c r="Z65" s="343">
        <f t="shared" si="12"/>
        <v>0</v>
      </c>
      <c r="AA65" s="514"/>
      <c r="AB65" s="411"/>
      <c r="AC65" s="411"/>
      <c r="AD65" s="411"/>
      <c r="AE65" s="411"/>
      <c r="AF65" s="411"/>
      <c r="AG65" s="411"/>
      <c r="AH65" s="411"/>
    </row>
    <row r="66" spans="1:34" s="367" customFormat="1" ht="21.75" customHeight="1">
      <c r="A66" s="410">
        <v>35</v>
      </c>
      <c r="B66" s="219" t="s">
        <v>783</v>
      </c>
      <c r="C66" s="94">
        <f t="shared" si="11"/>
        <v>633143043</v>
      </c>
      <c r="D66" s="344">
        <f t="shared" si="11"/>
        <v>246256775</v>
      </c>
      <c r="E66" s="95">
        <v>609823217</v>
      </c>
      <c r="F66" s="95">
        <v>224429831</v>
      </c>
      <c r="G66" s="95">
        <v>6670213</v>
      </c>
      <c r="H66" s="95">
        <v>0</v>
      </c>
      <c r="I66" s="95">
        <v>22985574</v>
      </c>
      <c r="J66" s="95">
        <v>21826944</v>
      </c>
      <c r="K66" s="95">
        <v>381811</v>
      </c>
      <c r="L66" s="95">
        <v>218269</v>
      </c>
      <c r="M66" s="95">
        <v>332075</v>
      </c>
      <c r="N66" s="95">
        <v>0</v>
      </c>
      <c r="O66" s="95">
        <v>0</v>
      </c>
      <c r="P66" s="95">
        <v>0</v>
      </c>
      <c r="Q66" s="95">
        <v>0</v>
      </c>
      <c r="R66" s="95">
        <v>0</v>
      </c>
      <c r="S66" s="95">
        <v>0</v>
      </c>
      <c r="T66" s="95">
        <v>0</v>
      </c>
      <c r="U66" s="95">
        <v>2177</v>
      </c>
      <c r="V66" s="95">
        <v>0</v>
      </c>
      <c r="W66" s="95">
        <v>1089</v>
      </c>
      <c r="X66" s="95"/>
      <c r="Y66" s="343">
        <f t="shared" si="12"/>
        <v>382900</v>
      </c>
      <c r="Z66" s="343">
        <f t="shared" si="12"/>
        <v>218269</v>
      </c>
      <c r="AA66" s="514"/>
      <c r="AB66" s="411"/>
      <c r="AC66" s="411"/>
      <c r="AD66" s="411"/>
      <c r="AE66" s="411"/>
      <c r="AF66" s="411"/>
      <c r="AG66" s="411"/>
      <c r="AH66" s="411"/>
    </row>
    <row r="67" spans="1:34" s="367" customFormat="1" ht="21.75" customHeight="1">
      <c r="A67" s="410">
        <v>36</v>
      </c>
      <c r="B67" s="219" t="s">
        <v>784</v>
      </c>
      <c r="C67" s="94">
        <f t="shared" si="11"/>
        <v>238789072</v>
      </c>
      <c r="D67" s="344">
        <f t="shared" si="11"/>
        <v>97141616</v>
      </c>
      <c r="E67" s="95">
        <v>238434978</v>
      </c>
      <c r="F67" s="95">
        <v>97118526</v>
      </c>
      <c r="G67" s="95">
        <v>2607442</v>
      </c>
      <c r="H67" s="95">
        <v>0</v>
      </c>
      <c r="I67" s="95">
        <v>209584</v>
      </c>
      <c r="J67" s="95">
        <v>0</v>
      </c>
      <c r="K67" s="95">
        <v>182388</v>
      </c>
      <c r="L67" s="95">
        <v>0</v>
      </c>
      <c r="M67" s="95">
        <v>76797</v>
      </c>
      <c r="N67" s="95">
        <v>23090</v>
      </c>
      <c r="O67" s="95">
        <v>35421</v>
      </c>
      <c r="P67" s="95">
        <v>23090</v>
      </c>
      <c r="Q67" s="95">
        <v>34013</v>
      </c>
      <c r="R67" s="95">
        <v>0</v>
      </c>
      <c r="S67" s="95">
        <v>13698</v>
      </c>
      <c r="T67" s="95">
        <v>0</v>
      </c>
      <c r="U67" s="95">
        <v>33700</v>
      </c>
      <c r="V67" s="95">
        <v>0</v>
      </c>
      <c r="W67" s="95">
        <v>15477</v>
      </c>
      <c r="X67" s="95"/>
      <c r="Y67" s="343">
        <f t="shared" si="12"/>
        <v>246984</v>
      </c>
      <c r="Z67" s="343">
        <f t="shared" si="12"/>
        <v>23090</v>
      </c>
      <c r="AA67" s="514"/>
      <c r="AB67" s="411"/>
      <c r="AC67" s="411"/>
      <c r="AD67" s="411"/>
      <c r="AE67" s="411"/>
      <c r="AF67" s="411"/>
      <c r="AG67" s="411"/>
      <c r="AH67" s="411"/>
    </row>
    <row r="68" spans="1:34" s="112" customFormat="1" ht="28.5" customHeight="1">
      <c r="A68" s="248">
        <v>37</v>
      </c>
      <c r="B68" s="248" t="s">
        <v>173</v>
      </c>
      <c r="C68" s="252">
        <f t="shared" ref="C68:Z68" si="13">SUM(C54:C67)</f>
        <v>5705936821</v>
      </c>
      <c r="D68" s="252">
        <f t="shared" si="13"/>
        <v>1919486336</v>
      </c>
      <c r="E68" s="252">
        <f t="shared" si="13"/>
        <v>5607381631</v>
      </c>
      <c r="F68" s="252">
        <f t="shared" si="13"/>
        <v>1890307744</v>
      </c>
      <c r="G68" s="252">
        <f t="shared" si="13"/>
        <v>61332691</v>
      </c>
      <c r="H68" s="252">
        <f t="shared" si="13"/>
        <v>238850</v>
      </c>
      <c r="I68" s="252">
        <f t="shared" si="13"/>
        <v>92173584</v>
      </c>
      <c r="J68" s="252">
        <f t="shared" si="13"/>
        <v>29155502</v>
      </c>
      <c r="K68" s="252">
        <f t="shared" si="13"/>
        <v>6889806</v>
      </c>
      <c r="L68" s="252">
        <f t="shared" si="13"/>
        <v>746327</v>
      </c>
      <c r="M68" s="252">
        <f t="shared" si="13"/>
        <v>3580002</v>
      </c>
      <c r="N68" s="252">
        <f t="shared" si="13"/>
        <v>23090</v>
      </c>
      <c r="O68" s="252">
        <f t="shared" si="13"/>
        <v>1047131</v>
      </c>
      <c r="P68" s="252">
        <f t="shared" si="13"/>
        <v>23090</v>
      </c>
      <c r="Q68" s="252">
        <f t="shared" si="13"/>
        <v>1457838</v>
      </c>
      <c r="R68" s="252">
        <f t="shared" si="13"/>
        <v>0</v>
      </c>
      <c r="S68" s="252">
        <f t="shared" si="13"/>
        <v>569578</v>
      </c>
      <c r="T68" s="252">
        <f t="shared" si="13"/>
        <v>0</v>
      </c>
      <c r="U68" s="252">
        <f t="shared" si="13"/>
        <v>1343766</v>
      </c>
      <c r="V68" s="252">
        <f t="shared" si="13"/>
        <v>0</v>
      </c>
      <c r="W68" s="252">
        <f t="shared" si="13"/>
        <v>570653</v>
      </c>
      <c r="X68" s="252">
        <f t="shared" si="13"/>
        <v>0</v>
      </c>
      <c r="Y68" s="252">
        <f t="shared" si="13"/>
        <v>9077168</v>
      </c>
      <c r="Z68" s="252">
        <f t="shared" si="13"/>
        <v>769417</v>
      </c>
      <c r="AA68" s="511"/>
      <c r="AB68" s="294"/>
      <c r="AC68" s="294"/>
      <c r="AD68" s="294"/>
      <c r="AE68" s="294"/>
      <c r="AF68" s="294"/>
      <c r="AG68" s="294"/>
      <c r="AH68" s="294"/>
    </row>
    <row r="69" spans="1:34" s="21" customFormat="1" ht="23.25" customHeight="1">
      <c r="A69" s="93">
        <v>38</v>
      </c>
      <c r="B69" s="395" t="s">
        <v>193</v>
      </c>
      <c r="C69" s="272">
        <f t="shared" ref="C69" si="14">E69+I69+M69+Q69+U69</f>
        <v>8109113864</v>
      </c>
      <c r="D69" s="344">
        <f t="shared" si="11"/>
        <v>0</v>
      </c>
      <c r="E69" s="95">
        <v>8108166331</v>
      </c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>
        <v>110548</v>
      </c>
      <c r="Q69" s="95"/>
      <c r="R69" s="95"/>
      <c r="S69" s="95">
        <v>55274</v>
      </c>
      <c r="T69" s="95"/>
      <c r="U69" s="95">
        <v>947533</v>
      </c>
      <c r="V69" s="95"/>
      <c r="W69" s="95">
        <f>1947533-1000001</f>
        <v>947532</v>
      </c>
      <c r="X69" s="95"/>
      <c r="Y69" s="343">
        <f t="shared" ref="Y69:Z69" si="15">+W69+S69+O69+K69</f>
        <v>1002806</v>
      </c>
      <c r="Z69" s="343">
        <f t="shared" si="15"/>
        <v>110548</v>
      </c>
      <c r="AA69" s="511"/>
      <c r="AB69" s="294"/>
      <c r="AC69" s="294"/>
      <c r="AD69" s="294"/>
      <c r="AE69" s="294"/>
      <c r="AF69" s="294"/>
      <c r="AG69" s="294"/>
      <c r="AH69" s="294"/>
    </row>
    <row r="70" spans="1:34" s="21" customFormat="1" ht="23.25" customHeight="1">
      <c r="A70" s="93"/>
      <c r="B70" s="92" t="s">
        <v>571</v>
      </c>
      <c r="C70" s="272">
        <f t="shared" ref="C70" si="16">E70+I70+M70+Q70+U70</f>
        <v>0</v>
      </c>
      <c r="D70" s="344">
        <f t="shared" si="11"/>
        <v>0</v>
      </c>
      <c r="E70" s="342"/>
      <c r="F70" s="342"/>
      <c r="G70" s="342"/>
      <c r="H70" s="342"/>
      <c r="I70" s="342"/>
      <c r="J70" s="342"/>
      <c r="K70" s="342"/>
      <c r="L70" s="342"/>
      <c r="M70" s="342"/>
      <c r="N70" s="342"/>
      <c r="O70" s="342"/>
      <c r="P70" s="342"/>
      <c r="Q70" s="342"/>
      <c r="R70" s="342"/>
      <c r="S70" s="342"/>
      <c r="T70" s="342"/>
      <c r="U70" s="342"/>
      <c r="V70" s="342"/>
      <c r="W70" s="342"/>
      <c r="X70" s="342"/>
      <c r="Y70" s="343">
        <f t="shared" ref="Y70" si="17">+W70+S70+O70+K70</f>
        <v>0</v>
      </c>
      <c r="Z70" s="343">
        <f t="shared" ref="Z70" si="18">+X70+T70+P70+L70</f>
        <v>0</v>
      </c>
      <c r="AA70" s="511"/>
      <c r="AB70" s="294"/>
      <c r="AC70" s="294"/>
      <c r="AD70" s="294"/>
      <c r="AE70" s="294"/>
      <c r="AF70" s="294"/>
      <c r="AG70" s="294"/>
      <c r="AH70" s="294"/>
    </row>
    <row r="71" spans="1:34" s="112" customFormat="1" ht="28.5" customHeight="1">
      <c r="A71" s="248">
        <v>39</v>
      </c>
      <c r="B71" s="248" t="s">
        <v>194</v>
      </c>
      <c r="C71" s="252">
        <f t="shared" ref="C71:Z71" si="19">+C50+C69</f>
        <v>13815050685</v>
      </c>
      <c r="D71" s="252">
        <f t="shared" si="19"/>
        <v>1919486336</v>
      </c>
      <c r="E71" s="252">
        <f t="shared" si="19"/>
        <v>13715547962</v>
      </c>
      <c r="F71" s="252">
        <f t="shared" si="19"/>
        <v>1890307744</v>
      </c>
      <c r="G71" s="252">
        <f t="shared" si="19"/>
        <v>61332691</v>
      </c>
      <c r="H71" s="252">
        <f t="shared" si="19"/>
        <v>238850</v>
      </c>
      <c r="I71" s="252">
        <f t="shared" si="19"/>
        <v>92173584</v>
      </c>
      <c r="J71" s="252">
        <f t="shared" si="19"/>
        <v>29155502</v>
      </c>
      <c r="K71" s="252">
        <f t="shared" si="19"/>
        <v>6889806</v>
      </c>
      <c r="L71" s="252">
        <f t="shared" si="19"/>
        <v>746327</v>
      </c>
      <c r="M71" s="252">
        <f t="shared" si="19"/>
        <v>3580002</v>
      </c>
      <c r="N71" s="252">
        <f t="shared" si="19"/>
        <v>23090</v>
      </c>
      <c r="O71" s="252">
        <f t="shared" si="19"/>
        <v>1047131</v>
      </c>
      <c r="P71" s="252">
        <f t="shared" si="19"/>
        <v>133638</v>
      </c>
      <c r="Q71" s="252">
        <f t="shared" si="19"/>
        <v>1457838</v>
      </c>
      <c r="R71" s="252">
        <f t="shared" si="19"/>
        <v>0</v>
      </c>
      <c r="S71" s="252">
        <f t="shared" si="19"/>
        <v>624852</v>
      </c>
      <c r="T71" s="252">
        <f t="shared" si="19"/>
        <v>0</v>
      </c>
      <c r="U71" s="252">
        <f t="shared" si="19"/>
        <v>2291299</v>
      </c>
      <c r="V71" s="252">
        <f t="shared" si="19"/>
        <v>0</v>
      </c>
      <c r="W71" s="252">
        <f t="shared" si="19"/>
        <v>1518185</v>
      </c>
      <c r="X71" s="252">
        <f t="shared" si="19"/>
        <v>0</v>
      </c>
      <c r="Y71" s="252">
        <f t="shared" si="19"/>
        <v>10079974</v>
      </c>
      <c r="Z71" s="252">
        <f t="shared" si="19"/>
        <v>879965</v>
      </c>
      <c r="AA71" s="511"/>
      <c r="AB71" s="294"/>
      <c r="AC71" s="294"/>
      <c r="AD71" s="294"/>
      <c r="AE71" s="294"/>
      <c r="AF71" s="294"/>
      <c r="AG71" s="294"/>
      <c r="AH71" s="294"/>
    </row>
    <row r="72" spans="1:34">
      <c r="Y72" s="14"/>
    </row>
    <row r="73" spans="1:34">
      <c r="Y73" s="14"/>
    </row>
    <row r="74" spans="1:34">
      <c r="B74" s="5" t="s">
        <v>0</v>
      </c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spans="1:34">
      <c r="B75" s="5"/>
    </row>
    <row r="76" spans="1:34">
      <c r="B76" s="5" t="s">
        <v>1</v>
      </c>
    </row>
    <row r="77" spans="1:34">
      <c r="E77" s="13">
        <f>SUM('Asset quality'!D21:D47)+'Asset quality'!D16</f>
        <v>5607381631</v>
      </c>
      <c r="F77" s="13"/>
      <c r="G77" s="13">
        <f>SUM('Asset quality'!O21:O47)+'Asset quality'!O16</f>
        <v>61332691</v>
      </c>
      <c r="H77" s="13"/>
      <c r="I77" s="13">
        <f>SUM('Asset quality'!E21:E47)+'Asset quality'!E16</f>
        <v>92173584</v>
      </c>
      <c r="K77" s="13">
        <f>SUM('Asset quality'!P21:P47)+'Asset quality'!P16</f>
        <v>6889806</v>
      </c>
      <c r="L77" s="13"/>
      <c r="M77" s="13">
        <f>SUM('Asset quality'!F21:F47)</f>
        <v>3580002</v>
      </c>
      <c r="O77" s="13">
        <f>SUM('Asset quality'!Q21:Q47)+'Asset quality'!Q16</f>
        <v>1047131</v>
      </c>
      <c r="P77" s="13"/>
      <c r="Q77" s="13">
        <f>SUM('Asset quality'!G21:G47)</f>
        <v>1457838</v>
      </c>
      <c r="S77" s="13">
        <f>SUM('Asset quality'!R21:R47)+'Asset quality'!R16</f>
        <v>569578</v>
      </c>
      <c r="T77" s="13"/>
      <c r="U77" s="13">
        <f>SUM('Asset quality'!H21:H47)</f>
        <v>1343766</v>
      </c>
      <c r="W77" s="13">
        <f>SUM('Asset quality'!S21:S47)+'Asset quality'!S16</f>
        <v>570653</v>
      </c>
      <c r="Y77" s="13">
        <f>+W77+S77+O77+K77</f>
        <v>9077168</v>
      </c>
    </row>
    <row r="78" spans="1:34">
      <c r="E78" s="13"/>
      <c r="G78" s="13">
        <f>+'Asset quality'!O9+'Asset quality'!O62</f>
        <v>61332691</v>
      </c>
      <c r="I78" s="13"/>
      <c r="K78" s="13">
        <f>+'Asset quality'!P9+'Asset quality'!P62</f>
        <v>6889806</v>
      </c>
      <c r="M78" s="13"/>
      <c r="O78" s="13">
        <f>+'Asset quality'!Q9+'Asset quality'!Q62</f>
        <v>1047131</v>
      </c>
      <c r="S78" s="13">
        <f>+'Asset quality'!R9+'Asset quality'!R62</f>
        <v>624852</v>
      </c>
      <c r="U78" s="13"/>
      <c r="W78" s="13">
        <f>+'Asset quality'!S9+'Asset quality'!S62</f>
        <v>1518185</v>
      </c>
      <c r="Y78" s="13">
        <f>+W78+S78+O78+K78</f>
        <v>10079974</v>
      </c>
    </row>
    <row r="79" spans="1:34">
      <c r="E79" s="438">
        <f>+E77-E50</f>
        <v>0</v>
      </c>
      <c r="F79" s="438"/>
      <c r="G79" s="438">
        <f>+G77-G50</f>
        <v>0</v>
      </c>
      <c r="H79" s="439"/>
      <c r="I79" s="438">
        <f>+I77-I50</f>
        <v>0</v>
      </c>
      <c r="J79" s="439"/>
      <c r="K79" s="438">
        <f>+K77-K50</f>
        <v>0</v>
      </c>
      <c r="L79" s="439"/>
      <c r="M79" s="438">
        <f>+M77-M50</f>
        <v>0</v>
      </c>
      <c r="N79" s="439"/>
      <c r="O79" s="438">
        <f>+O77-O50</f>
        <v>0</v>
      </c>
      <c r="P79" s="439"/>
      <c r="Q79" s="438">
        <f>+Q77-Q50</f>
        <v>0</v>
      </c>
      <c r="R79" s="439"/>
      <c r="S79" s="438">
        <f>+S77-S50</f>
        <v>0</v>
      </c>
      <c r="T79" s="439"/>
      <c r="U79" s="438">
        <f>+U77-U50</f>
        <v>0</v>
      </c>
      <c r="V79" s="439"/>
      <c r="W79" s="438">
        <f>+W77-W50</f>
        <v>0</v>
      </c>
      <c r="X79" s="439"/>
      <c r="Y79" s="438">
        <f>+Y77-Y50</f>
        <v>0</v>
      </c>
      <c r="Z79" s="439"/>
    </row>
    <row r="80" spans="1:34">
      <c r="E80" s="440"/>
      <c r="F80" s="438"/>
      <c r="G80" s="438">
        <f>+G78-G71</f>
        <v>0</v>
      </c>
      <c r="H80" s="439"/>
      <c r="I80" s="438"/>
      <c r="J80" s="439"/>
      <c r="K80" s="438">
        <f>+K78-K71</f>
        <v>0</v>
      </c>
      <c r="L80" s="439"/>
      <c r="M80" s="438"/>
      <c r="N80" s="439"/>
      <c r="O80" s="438">
        <f>+O78-O71</f>
        <v>0</v>
      </c>
      <c r="P80" s="439"/>
      <c r="Q80" s="438"/>
      <c r="R80" s="439"/>
      <c r="S80" s="438">
        <f>+S78-S71</f>
        <v>0</v>
      </c>
      <c r="T80" s="439"/>
      <c r="U80" s="438"/>
      <c r="V80" s="439"/>
      <c r="W80" s="438">
        <f>+W78-W71</f>
        <v>0</v>
      </c>
      <c r="X80" s="439"/>
      <c r="Y80" s="438">
        <f>+Y78-Y71</f>
        <v>0</v>
      </c>
      <c r="Z80" s="439"/>
    </row>
    <row r="81" spans="5:26">
      <c r="E81" s="439"/>
      <c r="F81" s="439"/>
      <c r="G81" s="439"/>
      <c r="H81" s="439"/>
      <c r="I81" s="439"/>
      <c r="J81" s="439"/>
      <c r="K81" s="439"/>
      <c r="L81" s="439"/>
      <c r="M81" s="439"/>
      <c r="N81" s="439"/>
      <c r="O81" s="439"/>
      <c r="P81" s="439"/>
      <c r="Q81" s="439"/>
      <c r="R81" s="439"/>
      <c r="S81" s="439"/>
      <c r="T81" s="439"/>
      <c r="U81" s="439"/>
      <c r="V81" s="439"/>
      <c r="W81" s="439"/>
      <c r="X81" s="439"/>
      <c r="Y81" s="439"/>
      <c r="Z81" s="439"/>
    </row>
    <row r="1048576" spans="27:27">
      <c r="AA1048576" s="512"/>
    </row>
  </sheetData>
  <sheetProtection password="CACA" sheet="1" objects="1" scenarios="1"/>
  <phoneticPr fontId="17" type="noConversion"/>
  <conditionalFormatting sqref="D30">
    <cfRule type="cellIs" dxfId="237" priority="165" operator="notEqual">
      <formula>$D$50</formula>
    </cfRule>
  </conditionalFormatting>
  <conditionalFormatting sqref="E30">
    <cfRule type="cellIs" dxfId="236" priority="164" operator="notEqual">
      <formula>$E$50</formula>
    </cfRule>
  </conditionalFormatting>
  <conditionalFormatting sqref="F30">
    <cfRule type="cellIs" dxfId="235" priority="163" operator="notEqual">
      <formula>$F$50</formula>
    </cfRule>
  </conditionalFormatting>
  <conditionalFormatting sqref="G30">
    <cfRule type="cellIs" dxfId="234" priority="162" operator="notEqual">
      <formula>$G$50</formula>
    </cfRule>
  </conditionalFormatting>
  <conditionalFormatting sqref="H30">
    <cfRule type="cellIs" dxfId="233" priority="161" operator="notEqual">
      <formula>$H$50</formula>
    </cfRule>
  </conditionalFormatting>
  <conditionalFormatting sqref="I30">
    <cfRule type="cellIs" dxfId="232" priority="160" operator="notEqual">
      <formula>$I$50</formula>
    </cfRule>
  </conditionalFormatting>
  <conditionalFormatting sqref="J30">
    <cfRule type="cellIs" dxfId="231" priority="158" operator="notEqual">
      <formula>$J$50</formula>
    </cfRule>
  </conditionalFormatting>
  <conditionalFormatting sqref="K30">
    <cfRule type="cellIs" dxfId="230" priority="157" operator="notEqual">
      <formula>$K$50</formula>
    </cfRule>
  </conditionalFormatting>
  <conditionalFormatting sqref="L30">
    <cfRule type="cellIs" dxfId="229" priority="156" operator="notEqual">
      <formula>$L$50</formula>
    </cfRule>
  </conditionalFormatting>
  <conditionalFormatting sqref="M30">
    <cfRule type="cellIs" dxfId="228" priority="154" operator="notEqual">
      <formula>$M$50</formula>
    </cfRule>
  </conditionalFormatting>
  <conditionalFormatting sqref="N30">
    <cfRule type="cellIs" dxfId="227" priority="153" operator="notEqual">
      <formula>$N$50</formula>
    </cfRule>
  </conditionalFormatting>
  <conditionalFormatting sqref="O30">
    <cfRule type="cellIs" dxfId="226" priority="152" operator="notEqual">
      <formula>$O$50</formula>
    </cfRule>
  </conditionalFormatting>
  <conditionalFormatting sqref="P30">
    <cfRule type="cellIs" dxfId="225" priority="151" operator="notEqual">
      <formula>$P$50</formula>
    </cfRule>
  </conditionalFormatting>
  <conditionalFormatting sqref="Q30">
    <cfRule type="cellIs" dxfId="224" priority="149" operator="notEqual">
      <formula>$Q$50</formula>
    </cfRule>
  </conditionalFormatting>
  <conditionalFormatting sqref="R30">
    <cfRule type="cellIs" dxfId="223" priority="148" operator="notEqual">
      <formula>$R$50</formula>
    </cfRule>
  </conditionalFormatting>
  <conditionalFormatting sqref="S30">
    <cfRule type="cellIs" dxfId="222" priority="147" operator="notEqual">
      <formula>$S$50</formula>
    </cfRule>
  </conditionalFormatting>
  <conditionalFormatting sqref="T30">
    <cfRule type="cellIs" dxfId="221" priority="146" operator="notEqual">
      <formula>$T$50</formula>
    </cfRule>
  </conditionalFormatting>
  <conditionalFormatting sqref="U30">
    <cfRule type="cellIs" dxfId="220" priority="145" operator="notEqual">
      <formula>$U$50</formula>
    </cfRule>
  </conditionalFormatting>
  <conditionalFormatting sqref="V30">
    <cfRule type="cellIs" dxfId="219" priority="144" operator="notEqual">
      <formula>$V$50</formula>
    </cfRule>
  </conditionalFormatting>
  <conditionalFormatting sqref="W30">
    <cfRule type="cellIs" dxfId="218" priority="143" operator="notEqual">
      <formula>$W$50</formula>
    </cfRule>
  </conditionalFormatting>
  <conditionalFormatting sqref="X30">
    <cfRule type="cellIs" dxfId="217" priority="142" operator="notEqual">
      <formula>$X$50</formula>
    </cfRule>
  </conditionalFormatting>
  <conditionalFormatting sqref="Y30">
    <cfRule type="cellIs" dxfId="216" priority="141" operator="notEqual">
      <formula>$Y$50</formula>
    </cfRule>
  </conditionalFormatting>
  <conditionalFormatting sqref="Z30">
    <cfRule type="cellIs" dxfId="215" priority="140" operator="notEqual">
      <formula>$Z$50</formula>
    </cfRule>
  </conditionalFormatting>
  <conditionalFormatting sqref="D31">
    <cfRule type="cellIs" dxfId="214" priority="138" operator="notEqual">
      <formula>$D$51</formula>
    </cfRule>
  </conditionalFormatting>
  <conditionalFormatting sqref="I31">
    <cfRule type="cellIs" dxfId="213" priority="128" operator="notEqual">
      <formula>$I$51</formula>
    </cfRule>
  </conditionalFormatting>
  <conditionalFormatting sqref="J31">
    <cfRule type="cellIs" dxfId="212" priority="127" operator="notEqual">
      <formula>$J$51</formula>
    </cfRule>
  </conditionalFormatting>
  <conditionalFormatting sqref="K31">
    <cfRule type="cellIs" dxfId="211" priority="126" operator="notEqual">
      <formula>$K$51</formula>
    </cfRule>
  </conditionalFormatting>
  <conditionalFormatting sqref="L31">
    <cfRule type="cellIs" dxfId="210" priority="125" operator="notEqual">
      <formula>$L$51</formula>
    </cfRule>
  </conditionalFormatting>
  <conditionalFormatting sqref="M31">
    <cfRule type="cellIs" dxfId="209" priority="124" operator="notEqual">
      <formula>$M$51</formula>
    </cfRule>
  </conditionalFormatting>
  <conditionalFormatting sqref="N31">
    <cfRule type="cellIs" dxfId="208" priority="123" operator="notEqual">
      <formula>$N$51</formula>
    </cfRule>
  </conditionalFormatting>
  <conditionalFormatting sqref="O31">
    <cfRule type="cellIs" dxfId="207" priority="122" operator="notEqual">
      <formula>$O$51</formula>
    </cfRule>
  </conditionalFormatting>
  <conditionalFormatting sqref="P31">
    <cfRule type="cellIs" dxfId="206" priority="121" operator="notEqual">
      <formula>$P$51</formula>
    </cfRule>
  </conditionalFormatting>
  <conditionalFormatting sqref="Q31">
    <cfRule type="cellIs" dxfId="205" priority="120" operator="notEqual">
      <formula>$Q$51</formula>
    </cfRule>
  </conditionalFormatting>
  <conditionalFormatting sqref="R31">
    <cfRule type="cellIs" dxfId="204" priority="119" operator="notEqual">
      <formula>$R$51</formula>
    </cfRule>
  </conditionalFormatting>
  <conditionalFormatting sqref="S31">
    <cfRule type="cellIs" dxfId="203" priority="118" operator="notEqual">
      <formula>$S$51</formula>
    </cfRule>
  </conditionalFormatting>
  <conditionalFormatting sqref="T31">
    <cfRule type="cellIs" dxfId="202" priority="117" operator="notEqual">
      <formula>$T$51</formula>
    </cfRule>
  </conditionalFormatting>
  <conditionalFormatting sqref="U31">
    <cfRule type="cellIs" dxfId="201" priority="116" operator="notEqual">
      <formula>$U$51</formula>
    </cfRule>
  </conditionalFormatting>
  <conditionalFormatting sqref="V31">
    <cfRule type="cellIs" dxfId="200" priority="115" operator="notEqual">
      <formula>$V$51</formula>
    </cfRule>
  </conditionalFormatting>
  <conditionalFormatting sqref="W31">
    <cfRule type="cellIs" dxfId="199" priority="114" operator="notEqual">
      <formula>$W$51</formula>
    </cfRule>
  </conditionalFormatting>
  <conditionalFormatting sqref="X31">
    <cfRule type="cellIs" dxfId="198" priority="113" operator="notEqual">
      <formula>$X$51</formula>
    </cfRule>
  </conditionalFormatting>
  <conditionalFormatting sqref="Y31">
    <cfRule type="cellIs" dxfId="197" priority="112" operator="notEqual">
      <formula>$Y$51</formula>
    </cfRule>
  </conditionalFormatting>
  <conditionalFormatting sqref="Z31">
    <cfRule type="cellIs" dxfId="196" priority="111" operator="notEqual">
      <formula>$Z$51</formula>
    </cfRule>
  </conditionalFormatting>
  <conditionalFormatting sqref="E31">
    <cfRule type="cellIs" dxfId="195" priority="110" operator="notEqual">
      <formula>$E$51</formula>
    </cfRule>
  </conditionalFormatting>
  <conditionalFormatting sqref="F31">
    <cfRule type="cellIs" dxfId="194" priority="109" operator="notEqual">
      <formula>$F$51</formula>
    </cfRule>
  </conditionalFormatting>
  <conditionalFormatting sqref="G31">
    <cfRule type="cellIs" dxfId="193" priority="108" operator="notEqual">
      <formula>$G$51</formula>
    </cfRule>
  </conditionalFormatting>
  <conditionalFormatting sqref="H31">
    <cfRule type="cellIs" dxfId="192" priority="106" operator="notEqual">
      <formula>$H$49</formula>
    </cfRule>
  </conditionalFormatting>
  <conditionalFormatting sqref="G71">
    <cfRule type="cellIs" dxfId="191" priority="38" operator="notEqual">
      <formula>$G$78</formula>
    </cfRule>
    <cfRule type="cellIs" dxfId="190" priority="103" operator="notEqual">
      <formula>$G$78</formula>
    </cfRule>
  </conditionalFormatting>
  <conditionalFormatting sqref="K71">
    <cfRule type="cellIs" dxfId="189" priority="37" operator="notEqual">
      <formula>$K$78</formula>
    </cfRule>
    <cfRule type="cellIs" dxfId="188" priority="101" operator="notEqual">
      <formula>$K$78</formula>
    </cfRule>
  </conditionalFormatting>
  <conditionalFormatting sqref="S71">
    <cfRule type="cellIs" dxfId="187" priority="35" operator="notEqual">
      <formula>$S$78</formula>
    </cfRule>
    <cfRule type="cellIs" dxfId="186" priority="97" operator="notEqual">
      <formula>$S$78</formula>
    </cfRule>
  </conditionalFormatting>
  <conditionalFormatting sqref="W71">
    <cfRule type="cellIs" dxfId="185" priority="34" operator="notEqual">
      <formula>$W$78</formula>
    </cfRule>
    <cfRule type="cellIs" dxfId="184" priority="95" operator="notEqual">
      <formula>$W$78</formula>
    </cfRule>
  </conditionalFormatting>
  <conditionalFormatting sqref="Y71">
    <cfRule type="cellIs" dxfId="183" priority="33" operator="notEqual">
      <formula>$Y$78</formula>
    </cfRule>
    <cfRule type="cellIs" dxfId="182" priority="92" operator="notEqual">
      <formula>$Y$78</formula>
    </cfRule>
  </conditionalFormatting>
  <conditionalFormatting sqref="O71">
    <cfRule type="cellIs" dxfId="181" priority="36" operator="notEqual">
      <formula>$O$78</formula>
    </cfRule>
    <cfRule type="cellIs" dxfId="180" priority="90" operator="notEqual">
      <formula>$O$78</formula>
    </cfRule>
  </conditionalFormatting>
  <conditionalFormatting sqref="G68">
    <cfRule type="cellIs" dxfId="179" priority="32" operator="notEqual">
      <formula>$G$77</formula>
    </cfRule>
    <cfRule type="cellIs" dxfId="178" priority="65" operator="notEqual">
      <formula>$G$30</formula>
    </cfRule>
  </conditionalFormatting>
  <conditionalFormatting sqref="K68">
    <cfRule type="cellIs" dxfId="177" priority="30" operator="notEqual">
      <formula>$K$77</formula>
    </cfRule>
    <cfRule type="cellIs" dxfId="176" priority="64" operator="notEqual">
      <formula>$K$30</formula>
    </cfRule>
  </conditionalFormatting>
  <conditionalFormatting sqref="S68">
    <cfRule type="cellIs" dxfId="175" priority="26" operator="notEqual">
      <formula>$S$77</formula>
    </cfRule>
    <cfRule type="cellIs" dxfId="174" priority="63" operator="notEqual">
      <formula>$S$30</formula>
    </cfRule>
  </conditionalFormatting>
  <conditionalFormatting sqref="W68">
    <cfRule type="cellIs" dxfId="173" priority="24" operator="notEqual">
      <formula>$W$77</formula>
    </cfRule>
    <cfRule type="cellIs" dxfId="172" priority="62" operator="notEqual">
      <formula>$W$30</formula>
    </cfRule>
  </conditionalFormatting>
  <conditionalFormatting sqref="Y68">
    <cfRule type="cellIs" dxfId="171" priority="23" operator="notEqual">
      <formula>$Y$77</formula>
    </cfRule>
    <cfRule type="cellIs" dxfId="170" priority="61" operator="notEqual">
      <formula>$Y$30</formula>
    </cfRule>
  </conditionalFormatting>
  <conditionalFormatting sqref="O68">
    <cfRule type="cellIs" dxfId="169" priority="28" operator="notEqual">
      <formula>$O$77</formula>
    </cfRule>
    <cfRule type="cellIs" dxfId="168" priority="60" operator="notEqual">
      <formula>$O$30</formula>
    </cfRule>
  </conditionalFormatting>
  <conditionalFormatting sqref="E68">
    <cfRule type="cellIs" dxfId="167" priority="22" operator="notEqual">
      <formula>$E$77</formula>
    </cfRule>
    <cfRule type="cellIs" dxfId="166" priority="59" operator="notEqual">
      <formula>$E$30</formula>
    </cfRule>
  </conditionalFormatting>
  <conditionalFormatting sqref="M68">
    <cfRule type="cellIs" dxfId="165" priority="29" operator="notEqual">
      <formula>$M$77</formula>
    </cfRule>
    <cfRule type="cellIs" dxfId="164" priority="57" operator="notEqual">
      <formula>$M$30</formula>
    </cfRule>
  </conditionalFormatting>
  <conditionalFormatting sqref="Q68">
    <cfRule type="cellIs" dxfId="163" priority="27" operator="notEqual">
      <formula>$Q$77</formula>
    </cfRule>
    <cfRule type="cellIs" dxfId="162" priority="56" operator="notEqual">
      <formula>$Q$30</formula>
    </cfRule>
  </conditionalFormatting>
  <conditionalFormatting sqref="U68">
    <cfRule type="cellIs" dxfId="161" priority="25" operator="notEqual">
      <formula>$U$77</formula>
    </cfRule>
    <cfRule type="cellIs" dxfId="160" priority="55" operator="notEqual">
      <formula>$U$30</formula>
    </cfRule>
  </conditionalFormatting>
  <conditionalFormatting sqref="H50">
    <cfRule type="cellIs" dxfId="159" priority="54" operator="notEqual">
      <formula>H68</formula>
    </cfRule>
  </conditionalFormatting>
  <conditionalFormatting sqref="J68">
    <cfRule type="cellIs" dxfId="158" priority="53" operator="notEqual">
      <formula>$J$30</formula>
    </cfRule>
  </conditionalFormatting>
  <conditionalFormatting sqref="I68">
    <cfRule type="cellIs" dxfId="157" priority="31" operator="notEqual">
      <formula>$I$77</formula>
    </cfRule>
  </conditionalFormatting>
  <conditionalFormatting sqref="G50">
    <cfRule type="cellIs" dxfId="156" priority="559" operator="notEqual">
      <formula>$G$68</formula>
    </cfRule>
  </conditionalFormatting>
  <conditionalFormatting sqref="K50">
    <cfRule type="cellIs" dxfId="155" priority="560" operator="notEqual">
      <formula>$K$68</formula>
    </cfRule>
  </conditionalFormatting>
  <conditionalFormatting sqref="S50">
    <cfRule type="cellIs" dxfId="154" priority="561" operator="notEqual">
      <formula>$S$68</formula>
    </cfRule>
  </conditionalFormatting>
  <conditionalFormatting sqref="W50">
    <cfRule type="cellIs" dxfId="153" priority="562" operator="notEqual">
      <formula>$W$68</formula>
    </cfRule>
  </conditionalFormatting>
  <conditionalFormatting sqref="Y50">
    <cfRule type="cellIs" dxfId="152" priority="563" operator="notEqual">
      <formula>$Y$68</formula>
    </cfRule>
  </conditionalFormatting>
  <conditionalFormatting sqref="O50">
    <cfRule type="cellIs" dxfId="151" priority="564" operator="notEqual">
      <formula>$O$68</formula>
    </cfRule>
  </conditionalFormatting>
  <conditionalFormatting sqref="E50">
    <cfRule type="cellIs" dxfId="150" priority="565" operator="notEqual">
      <formula>$E$68</formula>
    </cfRule>
  </conditionalFormatting>
  <conditionalFormatting sqref="M50">
    <cfRule type="cellIs" dxfId="149" priority="566" operator="notEqual">
      <formula>$M$68</formula>
    </cfRule>
  </conditionalFormatting>
  <conditionalFormatting sqref="Q50">
    <cfRule type="cellIs" dxfId="148" priority="567" operator="notEqual">
      <formula>$Q$68</formula>
    </cfRule>
  </conditionalFormatting>
  <conditionalFormatting sqref="U50">
    <cfRule type="cellIs" dxfId="147" priority="568" operator="notEqual">
      <formula>$U$68</formula>
    </cfRule>
  </conditionalFormatting>
  <conditionalFormatting sqref="D50">
    <cfRule type="cellIs" dxfId="146" priority="569" operator="notEqual">
      <formula>$D$68</formula>
    </cfRule>
  </conditionalFormatting>
  <conditionalFormatting sqref="F50">
    <cfRule type="cellIs" dxfId="145" priority="570" operator="notEqual">
      <formula>$F$68</formula>
    </cfRule>
  </conditionalFormatting>
  <conditionalFormatting sqref="I50">
    <cfRule type="cellIs" dxfId="144" priority="571" operator="notEqual">
      <formula>$I$68</formula>
    </cfRule>
  </conditionalFormatting>
  <conditionalFormatting sqref="J50">
    <cfRule type="cellIs" dxfId="143" priority="572" operator="notEqual">
      <formula>$J$68</formula>
    </cfRule>
  </conditionalFormatting>
  <conditionalFormatting sqref="L50">
    <cfRule type="cellIs" dxfId="142" priority="573" operator="notEqual">
      <formula>$L$68</formula>
    </cfRule>
  </conditionalFormatting>
  <conditionalFormatting sqref="N50">
    <cfRule type="cellIs" dxfId="141" priority="574" operator="notEqual">
      <formula>$N$68</formula>
    </cfRule>
  </conditionalFormatting>
  <conditionalFormatting sqref="P50">
    <cfRule type="cellIs" dxfId="140" priority="575" operator="notEqual">
      <formula>$P$68</formula>
    </cfRule>
  </conditionalFormatting>
  <conditionalFormatting sqref="R50">
    <cfRule type="cellIs" dxfId="139" priority="576" operator="notEqual">
      <formula>$R$68</formula>
    </cfRule>
  </conditionalFormatting>
  <conditionalFormatting sqref="T50">
    <cfRule type="cellIs" dxfId="138" priority="577" operator="notEqual">
      <formula>$T$68</formula>
    </cfRule>
  </conditionalFormatting>
  <conditionalFormatting sqref="V50">
    <cfRule type="cellIs" dxfId="137" priority="578" operator="notEqual">
      <formula>$V$68</formula>
    </cfRule>
  </conditionalFormatting>
  <conditionalFormatting sqref="X50">
    <cfRule type="cellIs" dxfId="136" priority="579" operator="notEqual">
      <formula>$X$68</formula>
    </cfRule>
  </conditionalFormatting>
  <conditionalFormatting sqref="Z50">
    <cfRule type="cellIs" dxfId="135" priority="580" operator="notEqual">
      <formula>$Z$68</formula>
    </cfRule>
  </conditionalFormatting>
  <conditionalFormatting sqref="C6">
    <cfRule type="cellIs" dxfId="134" priority="20" operator="notEqual">
      <formula>$AA$6</formula>
    </cfRule>
  </conditionalFormatting>
  <conditionalFormatting sqref="C8">
    <cfRule type="cellIs" dxfId="133" priority="19" operator="notEqual">
      <formula>$AA$8</formula>
    </cfRule>
  </conditionalFormatting>
  <conditionalFormatting sqref="C10">
    <cfRule type="cellIs" dxfId="132" priority="18" operator="notEqual">
      <formula>$AA$10</formula>
    </cfRule>
  </conditionalFormatting>
  <conditionalFormatting sqref="C12">
    <cfRule type="cellIs" dxfId="131" priority="17" operator="notEqual">
      <formula>$AA$12</formula>
    </cfRule>
  </conditionalFormatting>
  <conditionalFormatting sqref="C14">
    <cfRule type="cellIs" dxfId="130" priority="16" operator="notEqual">
      <formula>$AA$14</formula>
    </cfRule>
  </conditionalFormatting>
  <conditionalFormatting sqref="C16">
    <cfRule type="cellIs" dxfId="129" priority="15" operator="notEqual">
      <formula>$AA$16</formula>
    </cfRule>
  </conditionalFormatting>
  <conditionalFormatting sqref="C18">
    <cfRule type="cellIs" dxfId="128" priority="14" operator="notEqual">
      <formula>$AA$18</formula>
    </cfRule>
  </conditionalFormatting>
  <conditionalFormatting sqref="C20">
    <cfRule type="cellIs" dxfId="127" priority="13" operator="notEqual">
      <formula>$AA$20</formula>
    </cfRule>
  </conditionalFormatting>
  <conditionalFormatting sqref="C22">
    <cfRule type="cellIs" dxfId="126" priority="12" operator="notEqual">
      <formula>$AA$22</formula>
    </cfRule>
  </conditionalFormatting>
  <conditionalFormatting sqref="C24">
    <cfRule type="cellIs" dxfId="125" priority="11" operator="notEqual">
      <formula>$AA$24</formula>
    </cfRule>
  </conditionalFormatting>
  <conditionalFormatting sqref="C26">
    <cfRule type="cellIs" dxfId="124" priority="10" operator="notEqual">
      <formula>$AA$26</formula>
    </cfRule>
  </conditionalFormatting>
  <conditionalFormatting sqref="C28">
    <cfRule type="cellIs" dxfId="123" priority="9" operator="notEqual">
      <formula>$AA$28</formula>
    </cfRule>
  </conditionalFormatting>
  <conditionalFormatting sqref="C34">
    <cfRule type="cellIs" dxfId="122" priority="8" operator="notEqual">
      <formula>$AA$34</formula>
    </cfRule>
  </conditionalFormatting>
  <conditionalFormatting sqref="C36">
    <cfRule type="cellIs" dxfId="121" priority="7" operator="notEqual">
      <formula>$AA$36</formula>
    </cfRule>
  </conditionalFormatting>
  <conditionalFormatting sqref="C38">
    <cfRule type="cellIs" dxfId="120" priority="6" operator="notEqual">
      <formula>$AA$38</formula>
    </cfRule>
  </conditionalFormatting>
  <conditionalFormatting sqref="C40">
    <cfRule type="cellIs" dxfId="119" priority="5" operator="notEqual">
      <formula>$AA$40</formula>
    </cfRule>
  </conditionalFormatting>
  <conditionalFormatting sqref="C42">
    <cfRule type="cellIs" dxfId="118" priority="4" operator="notEqual">
      <formula>$AA$42</formula>
    </cfRule>
  </conditionalFormatting>
  <conditionalFormatting sqref="C44">
    <cfRule type="cellIs" dxfId="117" priority="3" operator="notEqual">
      <formula>$AA$44</formula>
    </cfRule>
  </conditionalFormatting>
  <conditionalFormatting sqref="C46">
    <cfRule type="cellIs" dxfId="116" priority="2" operator="notEqual">
      <formula>$AA$46</formula>
    </cfRule>
  </conditionalFormatting>
  <conditionalFormatting sqref="C48">
    <cfRule type="cellIs" dxfId="115" priority="1" operator="notEqual">
      <formula>$AA$48</formula>
    </cfRule>
  </conditionalFormatting>
  <dataValidations count="2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E69:X69 V48:V49 T48:T49 R48:R49 P48:P49 N48:N49 L48:L49 J48:J49 H48:H49 F48:F49 I43:I49 W28 F46 H46 J46 L46 N46 P46 R46 T46 V46 M28 I28 O28 Q28 S28 U28 K28 G28 O43:O49 Q43:Q49 S43:S49 U43:U49 K43:K49 G43:G49 W43:W49 M43:M49 F67 H67 J67 L67 N67 P67 R67 T67 V67 M54:M60 W54:W60 G54:G60 K54:K60 U54:U60 S54:S60 Q54:Q60 O54:O60 I54:I60 E54:E60 M34:M41 W34:W41 G34:G41 K34:K41 U34:U41 S34:S41 Q34:Q41 O34:O41 I34:I41 E34:E41 E43:E49 W62:W67 G62:G67 K62:K67 U62:U67 S62:S67 Q62:Q67 O62:O67 I62:I67 E62:E67 M62:M67 X48:X49" xr:uid="{00000000-0002-0000-0600-000000000000}">
      <formula1>-1E+22</formula1>
      <formula2>1E+22</formula2>
    </dataValidation>
    <dataValidation type="whole" operator="greaterThanOrEqual" allowBlank="1" showErrorMessage="1" error="Введите целое положительное число." sqref="W70 E70 G70 I70 K70 M70 O70 Q70 S70 U70" xr:uid="{00000000-0002-0000-0600-000001000000}">
      <formula1>0</formula1>
    </dataValidation>
  </dataValidations>
  <printOptions horizontalCentered="1"/>
  <pageMargins left="0.15748031496062992" right="0.19685039370078741" top="0.31496062992125984" bottom="0.23622047244094491" header="0.31496062992125984" footer="0.15748031496062992"/>
  <pageSetup paperSize="9" scale="3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11">
    <pageSetUpPr fitToPage="1"/>
  </sheetPr>
  <dimension ref="A1:AE109"/>
  <sheetViews>
    <sheetView view="pageBreakPreview" zoomScale="70" zoomScaleNormal="95" zoomScaleSheetLayoutView="70" workbookViewId="0">
      <selection activeCell="L30" sqref="L30"/>
    </sheetView>
  </sheetViews>
  <sheetFormatPr defaultColWidth="9.140625" defaultRowHeight="12.75"/>
  <cols>
    <col min="1" max="1" width="5.140625" style="104" customWidth="1"/>
    <col min="2" max="2" width="47.28515625" style="104" customWidth="1"/>
    <col min="3" max="3" width="14.140625" style="104" customWidth="1"/>
    <col min="4" max="6" width="10.140625" style="104" customWidth="1"/>
    <col min="7" max="8" width="14.28515625" style="104" customWidth="1"/>
    <col min="9" max="13" width="13.85546875" style="104" customWidth="1"/>
    <col min="14" max="14" width="12.140625" style="104" customWidth="1"/>
    <col min="15" max="15" width="8.42578125" style="104" customWidth="1"/>
    <col min="16" max="16" width="11.7109375" style="104" bestFit="1" customWidth="1"/>
    <col min="17" max="18" width="10.140625" style="104" customWidth="1"/>
    <col min="19" max="19" width="13.85546875" style="104" customWidth="1"/>
    <col min="20" max="20" width="9.140625" style="104"/>
    <col min="21" max="21" width="9.140625" style="178"/>
    <col min="22" max="22" width="8.28515625" style="104" customWidth="1"/>
    <col min="23" max="23" width="7.42578125" style="104" customWidth="1"/>
    <col min="24" max="24" width="6.85546875" style="104" customWidth="1"/>
    <col min="25" max="16384" width="9.140625" style="104"/>
  </cols>
  <sheetData>
    <row r="1" spans="1:22" ht="20.25">
      <c r="A1" s="677" t="s">
        <v>697</v>
      </c>
      <c r="B1" s="677"/>
      <c r="C1" s="677"/>
      <c r="D1" s="677"/>
      <c r="E1" s="677"/>
      <c r="F1" s="677"/>
      <c r="G1" s="677"/>
      <c r="H1" s="677"/>
      <c r="I1" s="677"/>
      <c r="J1" s="677"/>
      <c r="K1" s="677"/>
      <c r="L1" s="677"/>
      <c r="M1" s="677"/>
      <c r="N1" s="677"/>
      <c r="O1" s="677"/>
      <c r="P1" s="677"/>
      <c r="Q1" s="677"/>
      <c r="R1" s="677"/>
      <c r="S1" s="70" t="s">
        <v>588</v>
      </c>
    </row>
    <row r="2" spans="1:22">
      <c r="A2" s="189"/>
      <c r="B2" s="375"/>
      <c r="C2" s="375"/>
      <c r="D2" s="375"/>
      <c r="E2" s="375"/>
      <c r="F2" s="375"/>
      <c r="G2" s="375"/>
      <c r="H2" s="375"/>
      <c r="I2" s="375"/>
      <c r="J2" s="375"/>
      <c r="K2" s="375"/>
      <c r="L2" s="375"/>
      <c r="M2" s="375"/>
      <c r="N2" s="375"/>
      <c r="O2" s="375"/>
      <c r="Q2" s="375"/>
      <c r="R2" s="375"/>
      <c r="S2" s="375"/>
    </row>
    <row r="3" spans="1:22" ht="15.75">
      <c r="A3" s="71"/>
      <c r="B3" s="376" t="str">
        <f>+'Asset quality'!B3</f>
        <v>АК "Алокабанк"</v>
      </c>
      <c r="D3" s="71"/>
      <c r="E3" s="71"/>
      <c r="F3" s="71"/>
      <c r="G3" s="71"/>
      <c r="H3" s="71"/>
      <c r="I3" s="71"/>
      <c r="J3" s="71"/>
      <c r="K3" s="71"/>
      <c r="L3" s="71"/>
      <c r="M3" s="71"/>
      <c r="N3" s="678">
        <f>+'Asset quality'!P3</f>
        <v>44196</v>
      </c>
      <c r="O3" s="678"/>
      <c r="P3" s="678"/>
      <c r="Q3" s="71"/>
      <c r="R3" s="71"/>
      <c r="S3" s="507" t="s">
        <v>408</v>
      </c>
      <c r="U3" s="104"/>
      <c r="V3" s="178"/>
    </row>
    <row r="4" spans="1:22" ht="24" customHeight="1">
      <c r="A4" s="685" t="s">
        <v>83</v>
      </c>
      <c r="B4" s="685" t="s">
        <v>195</v>
      </c>
      <c r="C4" s="683" t="s">
        <v>589</v>
      </c>
      <c r="D4" s="683" t="s">
        <v>590</v>
      </c>
      <c r="E4" s="683" t="s">
        <v>591</v>
      </c>
      <c r="F4" s="683" t="s">
        <v>196</v>
      </c>
      <c r="G4" s="683" t="s">
        <v>692</v>
      </c>
      <c r="H4" s="680" t="s">
        <v>90</v>
      </c>
      <c r="I4" s="681"/>
      <c r="J4" s="681"/>
      <c r="K4" s="681"/>
      <c r="L4" s="681"/>
      <c r="M4" s="682"/>
      <c r="N4" s="683" t="s">
        <v>197</v>
      </c>
      <c r="O4" s="680" t="s">
        <v>628</v>
      </c>
      <c r="P4" s="682"/>
      <c r="Q4" s="683" t="s">
        <v>198</v>
      </c>
      <c r="R4" s="683" t="s">
        <v>596</v>
      </c>
      <c r="S4" s="683" t="s">
        <v>199</v>
      </c>
    </row>
    <row r="5" spans="1:22" ht="96" customHeight="1">
      <c r="A5" s="686"/>
      <c r="B5" s="686"/>
      <c r="C5" s="684"/>
      <c r="D5" s="684"/>
      <c r="E5" s="684"/>
      <c r="F5" s="684"/>
      <c r="G5" s="684"/>
      <c r="H5" s="368" t="s">
        <v>592</v>
      </c>
      <c r="I5" s="368" t="s">
        <v>593</v>
      </c>
      <c r="J5" s="368" t="s">
        <v>88</v>
      </c>
      <c r="K5" s="368" t="s">
        <v>594</v>
      </c>
      <c r="L5" s="486" t="s">
        <v>886</v>
      </c>
      <c r="M5" s="486" t="s">
        <v>664</v>
      </c>
      <c r="N5" s="684"/>
      <c r="O5" s="371" t="s">
        <v>629</v>
      </c>
      <c r="P5" s="371" t="s">
        <v>595</v>
      </c>
      <c r="Q5" s="684"/>
      <c r="R5" s="684"/>
      <c r="S5" s="684"/>
    </row>
    <row r="6" spans="1:22" ht="15">
      <c r="A6" s="369"/>
      <c r="B6" s="369" t="s">
        <v>182</v>
      </c>
      <c r="C6" s="369" t="s">
        <v>183</v>
      </c>
      <c r="D6" s="369" t="s">
        <v>200</v>
      </c>
      <c r="E6" s="369" t="s">
        <v>184</v>
      </c>
      <c r="F6" s="369" t="s">
        <v>185</v>
      </c>
      <c r="G6" s="370" t="s">
        <v>201</v>
      </c>
      <c r="H6" s="369" t="s">
        <v>630</v>
      </c>
      <c r="I6" s="369" t="s">
        <v>631</v>
      </c>
      <c r="J6" s="369" t="s">
        <v>632</v>
      </c>
      <c r="K6" s="369" t="s">
        <v>633</v>
      </c>
      <c r="L6" s="487" t="s">
        <v>634</v>
      </c>
      <c r="M6" s="487" t="s">
        <v>870</v>
      </c>
      <c r="N6" s="369" t="s">
        <v>186</v>
      </c>
      <c r="O6" s="369" t="s">
        <v>187</v>
      </c>
      <c r="P6" s="369" t="s">
        <v>188</v>
      </c>
      <c r="Q6" s="369" t="s">
        <v>189</v>
      </c>
      <c r="R6" s="369" t="s">
        <v>190</v>
      </c>
      <c r="S6" s="369" t="s">
        <v>191</v>
      </c>
    </row>
    <row r="7" spans="1:22" s="175" customFormat="1">
      <c r="A7" s="232">
        <v>1</v>
      </c>
      <c r="B7" s="72" t="s">
        <v>893</v>
      </c>
      <c r="C7" s="74">
        <v>305646742</v>
      </c>
      <c r="D7" s="74">
        <v>23490</v>
      </c>
      <c r="E7" s="74">
        <v>860</v>
      </c>
      <c r="F7" s="74">
        <v>1</v>
      </c>
      <c r="G7" s="87">
        <f>SUM(H7:M7)</f>
        <v>116803254</v>
      </c>
      <c r="H7" s="73">
        <v>94628083</v>
      </c>
      <c r="I7" s="73"/>
      <c r="J7" s="73"/>
      <c r="K7" s="73"/>
      <c r="L7" s="73"/>
      <c r="M7" s="73">
        <v>22175171</v>
      </c>
      <c r="N7" s="73"/>
      <c r="O7" s="73"/>
      <c r="P7" s="73"/>
      <c r="Q7" s="74">
        <v>1</v>
      </c>
      <c r="R7" s="74"/>
      <c r="S7" s="74"/>
      <c r="U7" s="179"/>
    </row>
    <row r="8" spans="1:22" s="175" customFormat="1">
      <c r="A8" s="232">
        <f>A7+1</f>
        <v>2</v>
      </c>
      <c r="B8" s="73" t="s">
        <v>894</v>
      </c>
      <c r="C8" s="74" t="s">
        <v>895</v>
      </c>
      <c r="D8" s="74">
        <v>96190</v>
      </c>
      <c r="E8" s="74">
        <v>860</v>
      </c>
      <c r="F8" s="74">
        <v>1</v>
      </c>
      <c r="G8" s="87">
        <f t="shared" ref="G8:G68" si="0">SUM(H8:M8)</f>
        <v>33000000</v>
      </c>
      <c r="H8" s="73"/>
      <c r="I8" s="73">
        <v>33000000</v>
      </c>
      <c r="J8" s="73"/>
      <c r="K8" s="73"/>
      <c r="L8" s="73"/>
      <c r="M8" s="73"/>
      <c r="N8" s="73"/>
      <c r="O8" s="73"/>
      <c r="P8" s="73"/>
      <c r="Q8" s="74">
        <v>1</v>
      </c>
      <c r="R8" s="74"/>
      <c r="S8" s="74"/>
      <c r="U8" s="179"/>
    </row>
    <row r="9" spans="1:22" s="175" customFormat="1">
      <c r="A9" s="232">
        <v>3</v>
      </c>
      <c r="B9" s="73" t="s">
        <v>896</v>
      </c>
      <c r="C9" s="74" t="s">
        <v>897</v>
      </c>
      <c r="D9" s="74">
        <v>64990</v>
      </c>
      <c r="E9" s="74">
        <v>860</v>
      </c>
      <c r="F9" s="74">
        <v>2</v>
      </c>
      <c r="G9" s="87">
        <f t="shared" si="0"/>
        <v>22310000</v>
      </c>
      <c r="H9" s="73">
        <v>21100000</v>
      </c>
      <c r="I9" s="73">
        <v>1210000</v>
      </c>
      <c r="J9" s="73"/>
      <c r="K9" s="73"/>
      <c r="L9" s="73"/>
      <c r="M9" s="73"/>
      <c r="N9" s="73"/>
      <c r="O9" s="73"/>
      <c r="P9" s="73"/>
      <c r="Q9" s="74">
        <v>1</v>
      </c>
      <c r="R9" s="74"/>
      <c r="S9" s="74"/>
      <c r="U9" s="179"/>
    </row>
    <row r="10" spans="1:22" s="175" customFormat="1">
      <c r="A10" s="232">
        <v>4</v>
      </c>
      <c r="B10" s="73" t="s">
        <v>898</v>
      </c>
      <c r="C10" s="74" t="s">
        <v>899</v>
      </c>
      <c r="D10" s="74">
        <v>52300</v>
      </c>
      <c r="E10" s="74">
        <v>860</v>
      </c>
      <c r="F10" s="74">
        <v>3</v>
      </c>
      <c r="G10" s="87">
        <f t="shared" si="0"/>
        <v>1136155.3999999999</v>
      </c>
      <c r="H10" s="73"/>
      <c r="I10" s="73">
        <v>1136155.3999999999</v>
      </c>
      <c r="J10" s="73"/>
      <c r="K10" s="73"/>
      <c r="L10" s="73"/>
      <c r="M10" s="73"/>
      <c r="N10" s="73"/>
      <c r="O10" s="73"/>
      <c r="P10" s="73"/>
      <c r="Q10" s="74">
        <v>1</v>
      </c>
      <c r="R10" s="74"/>
      <c r="S10" s="74"/>
      <c r="U10" s="179"/>
    </row>
    <row r="11" spans="1:22" s="175" customFormat="1">
      <c r="A11" s="232">
        <v>5</v>
      </c>
      <c r="B11" s="618" t="s">
        <v>900</v>
      </c>
      <c r="C11" s="74" t="s">
        <v>901</v>
      </c>
      <c r="D11" s="77">
        <v>58290</v>
      </c>
      <c r="E11" s="74">
        <v>860</v>
      </c>
      <c r="F11" s="74">
        <v>4</v>
      </c>
      <c r="G11" s="87">
        <f t="shared" si="0"/>
        <v>375000</v>
      </c>
      <c r="H11" s="564"/>
      <c r="I11" s="564">
        <v>375000</v>
      </c>
      <c r="J11" s="564"/>
      <c r="K11" s="564"/>
      <c r="L11" s="564"/>
      <c r="M11" s="564"/>
      <c r="N11" s="76"/>
      <c r="O11" s="76"/>
      <c r="P11" s="76"/>
      <c r="Q11" s="76">
        <v>1</v>
      </c>
      <c r="R11" s="564"/>
      <c r="S11" s="564"/>
      <c r="U11" s="179"/>
    </row>
    <row r="12" spans="1:22" s="175" customFormat="1">
      <c r="A12" s="232">
        <v>6</v>
      </c>
      <c r="B12" s="73" t="s">
        <v>902</v>
      </c>
      <c r="C12" s="74" t="s">
        <v>903</v>
      </c>
      <c r="D12" s="74">
        <v>87100</v>
      </c>
      <c r="E12" s="74">
        <v>860</v>
      </c>
      <c r="F12" s="74">
        <v>5</v>
      </c>
      <c r="G12" s="87">
        <f t="shared" si="0"/>
        <v>110548.84</v>
      </c>
      <c r="H12" s="73"/>
      <c r="I12" s="73">
        <v>110548.84</v>
      </c>
      <c r="J12" s="73"/>
      <c r="K12" s="73"/>
      <c r="L12" s="73"/>
      <c r="M12" s="73"/>
      <c r="N12" s="73"/>
      <c r="O12" s="73"/>
      <c r="P12" s="73"/>
      <c r="Q12" s="74">
        <v>4</v>
      </c>
      <c r="R12" s="74">
        <v>55274.42</v>
      </c>
      <c r="S12" s="74"/>
      <c r="U12" s="180"/>
    </row>
    <row r="13" spans="1:22" s="175" customFormat="1">
      <c r="A13" s="232">
        <v>7</v>
      </c>
      <c r="B13" s="73" t="s">
        <v>904</v>
      </c>
      <c r="C13" s="74" t="s">
        <v>905</v>
      </c>
      <c r="D13" s="74">
        <v>65120</v>
      </c>
      <c r="E13" s="74">
        <v>860</v>
      </c>
      <c r="F13" s="74">
        <v>6</v>
      </c>
      <c r="G13" s="87">
        <f t="shared" si="0"/>
        <v>2607352</v>
      </c>
      <c r="H13" s="73"/>
      <c r="I13" s="73">
        <v>2607352</v>
      </c>
      <c r="J13" s="73"/>
      <c r="K13" s="73"/>
      <c r="L13" s="73"/>
      <c r="M13" s="73"/>
      <c r="N13" s="73"/>
      <c r="O13" s="73"/>
      <c r="P13" s="73"/>
      <c r="Q13" s="74">
        <v>1</v>
      </c>
      <c r="R13" s="74"/>
      <c r="S13" s="74"/>
      <c r="U13" s="180"/>
    </row>
    <row r="14" spans="1:22" s="175" customFormat="1">
      <c r="A14" s="232">
        <v>8</v>
      </c>
      <c r="B14" s="73" t="s">
        <v>1003</v>
      </c>
      <c r="C14" s="74" t="s">
        <v>975</v>
      </c>
      <c r="D14" s="74">
        <v>61100</v>
      </c>
      <c r="E14" s="74">
        <v>860</v>
      </c>
      <c r="F14" s="74">
        <v>7</v>
      </c>
      <c r="G14" s="87">
        <f>SUM(H14:M14)</f>
        <v>455250911</v>
      </c>
      <c r="H14" s="73">
        <v>349753188</v>
      </c>
      <c r="I14" s="73"/>
      <c r="J14" s="73"/>
      <c r="K14" s="73">
        <v>104769200</v>
      </c>
      <c r="L14" s="73"/>
      <c r="M14" s="73">
        <v>728523</v>
      </c>
      <c r="N14" s="73"/>
      <c r="O14" s="73"/>
      <c r="P14" s="73">
        <v>216400000</v>
      </c>
      <c r="Q14" s="74">
        <v>1</v>
      </c>
      <c r="R14" s="74"/>
      <c r="S14" s="74"/>
      <c r="U14" s="180"/>
    </row>
    <row r="15" spans="1:22" s="175" customFormat="1">
      <c r="A15" s="232">
        <v>9</v>
      </c>
      <c r="B15" s="73" t="s">
        <v>1004</v>
      </c>
      <c r="C15" s="74" t="s">
        <v>1005</v>
      </c>
      <c r="D15" s="74">
        <v>64910</v>
      </c>
      <c r="E15" s="74">
        <v>860</v>
      </c>
      <c r="F15" s="74">
        <v>8</v>
      </c>
      <c r="G15" s="87">
        <f t="shared" si="0"/>
        <v>76940143</v>
      </c>
      <c r="H15" s="73">
        <v>76940143</v>
      </c>
      <c r="I15" s="73"/>
      <c r="J15" s="73"/>
      <c r="K15" s="73"/>
      <c r="L15" s="73"/>
      <c r="M15" s="73"/>
      <c r="N15" s="73"/>
      <c r="O15" s="73"/>
      <c r="P15" s="73"/>
      <c r="Q15" s="74">
        <v>1</v>
      </c>
      <c r="R15" s="74"/>
      <c r="S15" s="74"/>
      <c r="U15" s="180"/>
    </row>
    <row r="16" spans="1:22" s="175" customFormat="1">
      <c r="A16" s="232">
        <v>10</v>
      </c>
      <c r="B16" s="73" t="s">
        <v>1006</v>
      </c>
      <c r="C16" s="74" t="s">
        <v>1007</v>
      </c>
      <c r="D16" s="74">
        <v>62020</v>
      </c>
      <c r="E16" s="74">
        <v>860</v>
      </c>
      <c r="F16" s="74">
        <v>8</v>
      </c>
      <c r="G16" s="87">
        <f t="shared" si="0"/>
        <v>3666667</v>
      </c>
      <c r="H16" s="73">
        <v>3666667</v>
      </c>
      <c r="I16" s="73"/>
      <c r="J16" s="73"/>
      <c r="K16" s="73"/>
      <c r="L16" s="73"/>
      <c r="M16" s="73"/>
      <c r="N16" s="73"/>
      <c r="O16" s="73"/>
      <c r="P16" s="73"/>
      <c r="Q16" s="74">
        <v>1</v>
      </c>
      <c r="R16" s="74"/>
      <c r="S16" s="74"/>
      <c r="U16" s="180"/>
    </row>
    <row r="17" spans="1:21" s="175" customFormat="1">
      <c r="A17" s="232">
        <v>11</v>
      </c>
      <c r="B17" s="73" t="s">
        <v>906</v>
      </c>
      <c r="C17" s="74" t="s">
        <v>907</v>
      </c>
      <c r="D17" s="74">
        <v>99950</v>
      </c>
      <c r="E17" s="74">
        <v>860</v>
      </c>
      <c r="F17" s="74">
        <v>9</v>
      </c>
      <c r="G17" s="87">
        <f t="shared" si="0"/>
        <v>987784</v>
      </c>
      <c r="H17" s="73">
        <v>987784</v>
      </c>
      <c r="I17" s="73"/>
      <c r="J17" s="73"/>
      <c r="K17" s="73"/>
      <c r="L17" s="73"/>
      <c r="M17" s="73"/>
      <c r="N17" s="73"/>
      <c r="O17" s="73"/>
      <c r="P17" s="73">
        <v>0</v>
      </c>
      <c r="Q17" s="74"/>
      <c r="R17" s="74"/>
      <c r="S17" s="74"/>
      <c r="U17" s="180"/>
    </row>
    <row r="18" spans="1:21" s="175" customFormat="1">
      <c r="A18" s="232">
        <v>12</v>
      </c>
      <c r="B18" s="73" t="s">
        <v>910</v>
      </c>
      <c r="C18" s="74" t="s">
        <v>911</v>
      </c>
      <c r="D18" s="74">
        <v>99950</v>
      </c>
      <c r="E18" s="74">
        <v>860</v>
      </c>
      <c r="F18" s="74">
        <v>10</v>
      </c>
      <c r="G18" s="87">
        <f t="shared" si="0"/>
        <v>786602</v>
      </c>
      <c r="H18" s="73">
        <v>786602</v>
      </c>
      <c r="I18" s="73"/>
      <c r="J18" s="73"/>
      <c r="K18" s="73"/>
      <c r="L18" s="73"/>
      <c r="M18" s="73"/>
      <c r="N18" s="73"/>
      <c r="O18" s="73"/>
      <c r="P18" s="73">
        <v>0</v>
      </c>
      <c r="Q18" s="74"/>
      <c r="R18" s="74"/>
      <c r="S18" s="74"/>
      <c r="U18" s="180"/>
    </row>
    <row r="19" spans="1:21" s="175" customFormat="1">
      <c r="A19" s="232">
        <v>13</v>
      </c>
      <c r="B19" s="73" t="s">
        <v>983</v>
      </c>
      <c r="C19" s="74" t="s">
        <v>1000</v>
      </c>
      <c r="D19" s="74">
        <v>99950</v>
      </c>
      <c r="E19" s="74">
        <v>860</v>
      </c>
      <c r="F19" s="74">
        <v>11</v>
      </c>
      <c r="G19" s="87">
        <f t="shared" si="0"/>
        <v>661406</v>
      </c>
      <c r="H19" s="73">
        <v>661406</v>
      </c>
      <c r="I19" s="73"/>
      <c r="J19" s="73"/>
      <c r="K19" s="73"/>
      <c r="L19" s="73"/>
      <c r="M19" s="73"/>
      <c r="N19" s="73"/>
      <c r="O19" s="73"/>
      <c r="P19" s="73">
        <v>0</v>
      </c>
      <c r="Q19" s="74"/>
      <c r="R19" s="74"/>
      <c r="S19" s="74"/>
      <c r="U19" s="180"/>
    </row>
    <row r="20" spans="1:21" s="175" customFormat="1">
      <c r="A20" s="232">
        <v>14</v>
      </c>
      <c r="B20" s="73" t="s">
        <v>916</v>
      </c>
      <c r="C20" s="74" t="s">
        <v>917</v>
      </c>
      <c r="D20" s="74">
        <v>99950</v>
      </c>
      <c r="E20" s="74">
        <v>860</v>
      </c>
      <c r="F20" s="74">
        <v>12</v>
      </c>
      <c r="G20" s="87">
        <f t="shared" si="0"/>
        <v>623431</v>
      </c>
      <c r="H20" s="73">
        <v>623431</v>
      </c>
      <c r="I20" s="73"/>
      <c r="J20" s="73"/>
      <c r="K20" s="73"/>
      <c r="L20" s="73"/>
      <c r="M20" s="73"/>
      <c r="N20" s="73"/>
      <c r="O20" s="73"/>
      <c r="P20" s="73">
        <v>0</v>
      </c>
      <c r="Q20" s="74"/>
      <c r="R20" s="74"/>
      <c r="S20" s="74"/>
      <c r="U20" s="180"/>
    </row>
    <row r="21" spans="1:21" s="175" customFormat="1">
      <c r="A21" s="232">
        <v>15</v>
      </c>
      <c r="B21" s="73" t="s">
        <v>918</v>
      </c>
      <c r="C21" s="74" t="s">
        <v>919</v>
      </c>
      <c r="D21" s="74">
        <v>99950</v>
      </c>
      <c r="E21" s="74">
        <v>860</v>
      </c>
      <c r="F21" s="74">
        <v>13</v>
      </c>
      <c r="G21" s="87">
        <f t="shared" si="0"/>
        <v>535724</v>
      </c>
      <c r="H21" s="73">
        <v>535724</v>
      </c>
      <c r="I21" s="73"/>
      <c r="J21" s="73"/>
      <c r="K21" s="73"/>
      <c r="L21" s="73"/>
      <c r="M21" s="73"/>
      <c r="N21" s="73"/>
      <c r="O21" s="73"/>
      <c r="P21" s="73">
        <v>0</v>
      </c>
      <c r="Q21" s="74"/>
      <c r="R21" s="74"/>
      <c r="S21" s="74"/>
      <c r="U21" s="180"/>
    </row>
    <row r="22" spans="1:21" s="175" customFormat="1">
      <c r="A22" s="232">
        <v>16</v>
      </c>
      <c r="B22" s="73" t="s">
        <v>989</v>
      </c>
      <c r="C22" s="74" t="s">
        <v>987</v>
      </c>
      <c r="D22" s="74">
        <v>99950</v>
      </c>
      <c r="E22" s="74">
        <v>860</v>
      </c>
      <c r="F22" s="74">
        <v>14</v>
      </c>
      <c r="G22" s="87">
        <f t="shared" si="0"/>
        <v>528805</v>
      </c>
      <c r="H22" s="73">
        <v>528805</v>
      </c>
      <c r="I22" s="73"/>
      <c r="J22" s="73"/>
      <c r="K22" s="73"/>
      <c r="L22" s="73"/>
      <c r="M22" s="73"/>
      <c r="N22" s="73"/>
      <c r="O22" s="73"/>
      <c r="P22" s="73">
        <v>0</v>
      </c>
      <c r="Q22" s="74"/>
      <c r="R22" s="74"/>
      <c r="S22" s="74"/>
      <c r="U22" s="180"/>
    </row>
    <row r="23" spans="1:21" s="175" customFormat="1">
      <c r="A23" s="232">
        <v>17</v>
      </c>
      <c r="B23" s="73" t="s">
        <v>931</v>
      </c>
      <c r="C23" s="74" t="s">
        <v>932</v>
      </c>
      <c r="D23" s="74">
        <v>99950</v>
      </c>
      <c r="E23" s="74">
        <v>860</v>
      </c>
      <c r="F23" s="74">
        <v>15</v>
      </c>
      <c r="G23" s="87">
        <f t="shared" si="0"/>
        <v>489574</v>
      </c>
      <c r="H23" s="73">
        <v>489574</v>
      </c>
      <c r="I23" s="73"/>
      <c r="J23" s="73"/>
      <c r="K23" s="73"/>
      <c r="L23" s="73"/>
      <c r="M23" s="73"/>
      <c r="N23" s="73"/>
      <c r="O23" s="73"/>
      <c r="P23" s="73">
        <v>20648</v>
      </c>
      <c r="Q23" s="74"/>
      <c r="R23" s="74"/>
      <c r="S23" s="74"/>
      <c r="U23" s="180"/>
    </row>
    <row r="24" spans="1:21" s="175" customFormat="1">
      <c r="A24" s="232">
        <v>18</v>
      </c>
      <c r="B24" s="75" t="s">
        <v>908</v>
      </c>
      <c r="C24" s="74" t="s">
        <v>909</v>
      </c>
      <c r="D24" s="74">
        <v>99950</v>
      </c>
      <c r="E24" s="74">
        <v>860</v>
      </c>
      <c r="F24" s="74">
        <v>16</v>
      </c>
      <c r="G24" s="87">
        <f t="shared" si="0"/>
        <v>487605</v>
      </c>
      <c r="H24" s="73">
        <v>487605</v>
      </c>
      <c r="I24" s="73"/>
      <c r="J24" s="73"/>
      <c r="K24" s="73"/>
      <c r="L24" s="73"/>
      <c r="M24" s="73"/>
      <c r="N24" s="73"/>
      <c r="O24" s="73"/>
      <c r="P24" s="73">
        <v>0</v>
      </c>
      <c r="Q24" s="74"/>
      <c r="R24" s="74"/>
      <c r="S24" s="74"/>
      <c r="U24" s="180"/>
    </row>
    <row r="25" spans="1:21" s="175" customFormat="1">
      <c r="A25" s="232">
        <v>19</v>
      </c>
      <c r="B25" s="73" t="s">
        <v>990</v>
      </c>
      <c r="C25" s="74" t="s">
        <v>957</v>
      </c>
      <c r="D25" s="74">
        <v>99950</v>
      </c>
      <c r="E25" s="74">
        <v>860</v>
      </c>
      <c r="F25" s="74">
        <v>17</v>
      </c>
      <c r="G25" s="87">
        <f t="shared" si="0"/>
        <v>478509</v>
      </c>
      <c r="H25" s="73">
        <v>478509</v>
      </c>
      <c r="I25" s="73"/>
      <c r="J25" s="73"/>
      <c r="K25" s="73"/>
      <c r="L25" s="73"/>
      <c r="M25" s="73"/>
      <c r="N25" s="73"/>
      <c r="O25" s="73"/>
      <c r="P25" s="73">
        <v>0</v>
      </c>
      <c r="Q25" s="74"/>
      <c r="R25" s="74"/>
      <c r="S25" s="74"/>
      <c r="U25" s="180"/>
    </row>
    <row r="26" spans="1:21" s="175" customFormat="1">
      <c r="A26" s="232">
        <v>20</v>
      </c>
      <c r="B26" s="73" t="s">
        <v>920</v>
      </c>
      <c r="C26" s="74" t="s">
        <v>921</v>
      </c>
      <c r="D26" s="74">
        <v>99950</v>
      </c>
      <c r="E26" s="74">
        <v>860</v>
      </c>
      <c r="F26" s="74">
        <v>18</v>
      </c>
      <c r="G26" s="87">
        <f t="shared" si="0"/>
        <v>476933</v>
      </c>
      <c r="H26" s="73">
        <v>476933</v>
      </c>
      <c r="I26" s="73"/>
      <c r="J26" s="73"/>
      <c r="K26" s="73"/>
      <c r="L26" s="73"/>
      <c r="M26" s="73"/>
      <c r="N26" s="73"/>
      <c r="O26" s="73"/>
      <c r="P26" s="73">
        <v>0</v>
      </c>
      <c r="Q26" s="74"/>
      <c r="R26" s="74"/>
      <c r="S26" s="74"/>
      <c r="U26" s="180"/>
    </row>
    <row r="27" spans="1:21" s="175" customFormat="1">
      <c r="A27" s="232">
        <v>21</v>
      </c>
      <c r="B27" s="73" t="s">
        <v>912</v>
      </c>
      <c r="C27" s="74" t="s">
        <v>913</v>
      </c>
      <c r="D27" s="74">
        <v>99950</v>
      </c>
      <c r="E27" s="74">
        <v>860</v>
      </c>
      <c r="F27" s="74">
        <v>19</v>
      </c>
      <c r="G27" s="87">
        <f t="shared" si="0"/>
        <v>455866</v>
      </c>
      <c r="H27" s="73">
        <v>455866</v>
      </c>
      <c r="I27" s="73"/>
      <c r="J27" s="73"/>
      <c r="K27" s="73"/>
      <c r="L27" s="73"/>
      <c r="M27" s="73"/>
      <c r="N27" s="73"/>
      <c r="O27" s="73"/>
      <c r="P27" s="73">
        <v>0</v>
      </c>
      <c r="Q27" s="74"/>
      <c r="R27" s="74"/>
      <c r="S27" s="74"/>
      <c r="U27" s="180"/>
    </row>
    <row r="28" spans="1:21" s="175" customFormat="1">
      <c r="A28" s="232">
        <v>22</v>
      </c>
      <c r="B28" s="73" t="s">
        <v>994</v>
      </c>
      <c r="C28" s="74" t="s">
        <v>928</v>
      </c>
      <c r="D28" s="74">
        <v>99950</v>
      </c>
      <c r="E28" s="74">
        <v>860</v>
      </c>
      <c r="F28" s="74">
        <v>20</v>
      </c>
      <c r="G28" s="87">
        <f t="shared" si="0"/>
        <v>442994</v>
      </c>
      <c r="H28" s="73">
        <v>442994</v>
      </c>
      <c r="I28" s="73"/>
      <c r="J28" s="73"/>
      <c r="K28" s="73"/>
      <c r="L28" s="73"/>
      <c r="M28" s="73"/>
      <c r="N28" s="76"/>
      <c r="O28" s="76"/>
      <c r="P28" s="73">
        <v>0</v>
      </c>
      <c r="Q28" s="74"/>
      <c r="R28" s="74"/>
      <c r="S28" s="74"/>
      <c r="U28" s="180"/>
    </row>
    <row r="29" spans="1:21" s="175" customFormat="1">
      <c r="A29" s="232">
        <v>23</v>
      </c>
      <c r="B29" s="73" t="s">
        <v>922</v>
      </c>
      <c r="C29" s="74" t="s">
        <v>923</v>
      </c>
      <c r="D29" s="74">
        <v>99950</v>
      </c>
      <c r="E29" s="74">
        <v>860</v>
      </c>
      <c r="F29" s="74">
        <v>21</v>
      </c>
      <c r="G29" s="87">
        <f t="shared" si="0"/>
        <v>433085</v>
      </c>
      <c r="H29" s="77">
        <v>433085</v>
      </c>
      <c r="I29" s="77"/>
      <c r="J29" s="77"/>
      <c r="K29" s="77"/>
      <c r="L29" s="77"/>
      <c r="M29" s="77"/>
      <c r="N29" s="39"/>
      <c r="O29" s="39"/>
      <c r="P29" s="39">
        <v>0</v>
      </c>
      <c r="Q29" s="39"/>
      <c r="R29" s="77"/>
      <c r="S29" s="77"/>
      <c r="U29" s="180"/>
    </row>
    <row r="30" spans="1:21" s="175" customFormat="1">
      <c r="A30" s="232">
        <v>24</v>
      </c>
      <c r="B30" s="73" t="s">
        <v>924</v>
      </c>
      <c r="C30" s="74" t="s">
        <v>925</v>
      </c>
      <c r="D30" s="74">
        <v>99950</v>
      </c>
      <c r="E30" s="74">
        <v>860</v>
      </c>
      <c r="F30" s="74">
        <v>22</v>
      </c>
      <c r="G30" s="87">
        <f t="shared" si="0"/>
        <v>428523</v>
      </c>
      <c r="H30" s="77">
        <v>428523</v>
      </c>
      <c r="I30" s="77"/>
      <c r="J30" s="77"/>
      <c r="K30" s="77"/>
      <c r="L30" s="77"/>
      <c r="M30" s="77"/>
      <c r="N30" s="39"/>
      <c r="O30" s="39"/>
      <c r="P30" s="39">
        <v>1</v>
      </c>
      <c r="Q30" s="39"/>
      <c r="R30" s="77"/>
      <c r="S30" s="77"/>
      <c r="U30" s="180"/>
    </row>
    <row r="31" spans="1:21" s="175" customFormat="1">
      <c r="A31" s="232">
        <v>25</v>
      </c>
      <c r="B31" s="76" t="s">
        <v>926</v>
      </c>
      <c r="C31" s="74" t="s">
        <v>927</v>
      </c>
      <c r="D31" s="74">
        <v>99950</v>
      </c>
      <c r="E31" s="74">
        <v>860</v>
      </c>
      <c r="F31" s="74">
        <v>23</v>
      </c>
      <c r="G31" s="87">
        <f t="shared" si="0"/>
        <v>412499</v>
      </c>
      <c r="H31" s="77">
        <v>412499</v>
      </c>
      <c r="I31" s="77"/>
      <c r="J31" s="77"/>
      <c r="K31" s="77"/>
      <c r="L31" s="77"/>
      <c r="M31" s="77"/>
      <c r="N31" s="39"/>
      <c r="O31" s="39"/>
      <c r="P31" s="39">
        <v>0</v>
      </c>
      <c r="Q31" s="39"/>
      <c r="R31" s="77"/>
      <c r="S31" s="77"/>
      <c r="U31" s="180"/>
    </row>
    <row r="32" spans="1:21" s="175" customFormat="1">
      <c r="A32" s="232">
        <v>26</v>
      </c>
      <c r="B32" s="39" t="s">
        <v>929</v>
      </c>
      <c r="C32" s="74" t="s">
        <v>930</v>
      </c>
      <c r="D32" s="77">
        <v>99950</v>
      </c>
      <c r="E32" s="74">
        <v>860</v>
      </c>
      <c r="F32" s="74">
        <v>24</v>
      </c>
      <c r="G32" s="87">
        <f t="shared" si="0"/>
        <v>407274</v>
      </c>
      <c r="H32" s="77">
        <v>407274</v>
      </c>
      <c r="I32" s="77"/>
      <c r="J32" s="77"/>
      <c r="K32" s="77"/>
      <c r="L32" s="77"/>
      <c r="M32" s="77"/>
      <c r="N32" s="39"/>
      <c r="O32" s="39"/>
      <c r="P32" s="39">
        <v>0</v>
      </c>
      <c r="Q32" s="39"/>
      <c r="R32" s="77"/>
      <c r="S32" s="77"/>
      <c r="U32" s="180"/>
    </row>
    <row r="33" spans="1:21" s="175" customFormat="1">
      <c r="A33" s="232">
        <v>27</v>
      </c>
      <c r="B33" s="77" t="s">
        <v>995</v>
      </c>
      <c r="C33" s="74" t="s">
        <v>1001</v>
      </c>
      <c r="D33" s="77">
        <v>99950</v>
      </c>
      <c r="E33" s="74">
        <v>860</v>
      </c>
      <c r="F33" s="74">
        <v>25</v>
      </c>
      <c r="G33" s="87">
        <f t="shared" si="0"/>
        <v>397087</v>
      </c>
      <c r="H33" s="77">
        <v>397087</v>
      </c>
      <c r="I33" s="77"/>
      <c r="J33" s="77"/>
      <c r="K33" s="77"/>
      <c r="L33" s="77"/>
      <c r="M33" s="77"/>
      <c r="N33" s="39"/>
      <c r="O33" s="39"/>
      <c r="P33" s="39">
        <v>0</v>
      </c>
      <c r="Q33" s="39"/>
      <c r="R33" s="77"/>
      <c r="S33" s="77"/>
      <c r="U33" s="180"/>
    </row>
    <row r="34" spans="1:21" s="175" customFormat="1">
      <c r="A34" s="232">
        <v>28</v>
      </c>
      <c r="B34" s="77" t="s">
        <v>914</v>
      </c>
      <c r="C34" s="74" t="s">
        <v>915</v>
      </c>
      <c r="D34" s="77">
        <v>99950</v>
      </c>
      <c r="E34" s="74">
        <v>860</v>
      </c>
      <c r="F34" s="74">
        <v>26</v>
      </c>
      <c r="G34" s="87">
        <f t="shared" si="0"/>
        <v>386296</v>
      </c>
      <c r="H34" s="77">
        <v>386296</v>
      </c>
      <c r="I34" s="77"/>
      <c r="J34" s="77"/>
      <c r="K34" s="77"/>
      <c r="L34" s="77"/>
      <c r="M34" s="77"/>
      <c r="N34" s="39"/>
      <c r="O34" s="39"/>
      <c r="P34" s="39">
        <v>0</v>
      </c>
      <c r="Q34" s="39"/>
      <c r="R34" s="77"/>
      <c r="S34" s="77"/>
      <c r="U34" s="180"/>
    </row>
    <row r="35" spans="1:21" s="175" customFormat="1">
      <c r="A35" s="232">
        <v>29</v>
      </c>
      <c r="B35" s="77" t="s">
        <v>952</v>
      </c>
      <c r="C35" s="74" t="s">
        <v>953</v>
      </c>
      <c r="D35" s="77">
        <v>99950</v>
      </c>
      <c r="E35" s="74">
        <v>860</v>
      </c>
      <c r="F35" s="74">
        <v>27</v>
      </c>
      <c r="G35" s="87">
        <f t="shared" si="0"/>
        <v>366262</v>
      </c>
      <c r="H35" s="77">
        <v>366262</v>
      </c>
      <c r="I35" s="77"/>
      <c r="J35" s="77"/>
      <c r="K35" s="77"/>
      <c r="L35" s="77"/>
      <c r="M35" s="77"/>
      <c r="N35" s="39"/>
      <c r="O35" s="39"/>
      <c r="P35" s="39">
        <v>0</v>
      </c>
      <c r="Q35" s="39"/>
      <c r="R35" s="77"/>
      <c r="S35" s="77"/>
      <c r="U35" s="180"/>
    </row>
    <row r="36" spans="1:21" s="175" customFormat="1">
      <c r="A36" s="232">
        <v>30</v>
      </c>
      <c r="B36" s="77" t="s">
        <v>1011</v>
      </c>
      <c r="C36" s="74" t="s">
        <v>957</v>
      </c>
      <c r="D36" s="77">
        <v>99950</v>
      </c>
      <c r="E36" s="74">
        <v>860</v>
      </c>
      <c r="F36" s="74">
        <v>28</v>
      </c>
      <c r="G36" s="87">
        <f t="shared" si="0"/>
        <v>355231</v>
      </c>
      <c r="H36" s="77">
        <v>355231</v>
      </c>
      <c r="I36" s="77"/>
      <c r="J36" s="77"/>
      <c r="K36" s="77"/>
      <c r="L36" s="77"/>
      <c r="M36" s="77"/>
      <c r="N36" s="39"/>
      <c r="O36" s="39"/>
      <c r="P36" s="39">
        <v>0</v>
      </c>
      <c r="Q36" s="39"/>
      <c r="R36" s="77"/>
      <c r="S36" s="77"/>
      <c r="U36" s="180"/>
    </row>
    <row r="37" spans="1:21" s="175" customFormat="1">
      <c r="A37" s="232">
        <v>31</v>
      </c>
      <c r="B37" s="77" t="s">
        <v>991</v>
      </c>
      <c r="C37" s="74" t="s">
        <v>943</v>
      </c>
      <c r="D37" s="77">
        <v>99950</v>
      </c>
      <c r="E37" s="74">
        <v>860</v>
      </c>
      <c r="F37" s="74">
        <v>29</v>
      </c>
      <c r="G37" s="87">
        <f t="shared" si="0"/>
        <v>353560</v>
      </c>
      <c r="H37" s="77">
        <v>353560</v>
      </c>
      <c r="I37" s="77"/>
      <c r="J37" s="77"/>
      <c r="K37" s="77"/>
      <c r="L37" s="77"/>
      <c r="M37" s="77"/>
      <c r="N37" s="39"/>
      <c r="O37" s="39"/>
      <c r="P37" s="39">
        <v>0</v>
      </c>
      <c r="Q37" s="39"/>
      <c r="R37" s="77"/>
      <c r="S37" s="77"/>
      <c r="U37" s="180"/>
    </row>
    <row r="38" spans="1:21" s="175" customFormat="1">
      <c r="A38" s="232">
        <v>32</v>
      </c>
      <c r="B38" s="77" t="s">
        <v>981</v>
      </c>
      <c r="C38" s="74" t="s">
        <v>933</v>
      </c>
      <c r="D38" s="77">
        <v>99950</v>
      </c>
      <c r="E38" s="74">
        <v>860</v>
      </c>
      <c r="F38" s="74">
        <v>30</v>
      </c>
      <c r="G38" s="87">
        <f t="shared" si="0"/>
        <v>352676</v>
      </c>
      <c r="H38" s="77">
        <v>352676</v>
      </c>
      <c r="I38" s="77"/>
      <c r="J38" s="77"/>
      <c r="K38" s="77"/>
      <c r="L38" s="77"/>
      <c r="M38" s="77"/>
      <c r="N38" s="39"/>
      <c r="O38" s="39"/>
      <c r="P38" s="39">
        <v>0</v>
      </c>
      <c r="Q38" s="39"/>
      <c r="R38" s="77"/>
      <c r="S38" s="77"/>
      <c r="U38" s="180"/>
    </row>
    <row r="39" spans="1:21" s="175" customFormat="1">
      <c r="A39" s="232">
        <v>33</v>
      </c>
      <c r="B39" s="77" t="s">
        <v>936</v>
      </c>
      <c r="C39" s="74" t="s">
        <v>937</v>
      </c>
      <c r="D39" s="77">
        <v>99950</v>
      </c>
      <c r="E39" s="74">
        <v>860</v>
      </c>
      <c r="F39" s="74">
        <v>31</v>
      </c>
      <c r="G39" s="87">
        <f t="shared" si="0"/>
        <v>351553</v>
      </c>
      <c r="H39" s="77">
        <v>351553</v>
      </c>
      <c r="I39" s="77"/>
      <c r="J39" s="77"/>
      <c r="K39" s="77"/>
      <c r="L39" s="77"/>
      <c r="M39" s="77"/>
      <c r="N39" s="39"/>
      <c r="O39" s="39"/>
      <c r="P39" s="39">
        <v>10770</v>
      </c>
      <c r="Q39" s="39"/>
      <c r="R39" s="77"/>
      <c r="S39" s="77"/>
      <c r="U39" s="180"/>
    </row>
    <row r="40" spans="1:21" s="175" customFormat="1">
      <c r="A40" s="232">
        <v>34</v>
      </c>
      <c r="B40" s="39" t="s">
        <v>1012</v>
      </c>
      <c r="C40" s="74" t="s">
        <v>1008</v>
      </c>
      <c r="D40" s="77">
        <v>99950</v>
      </c>
      <c r="E40" s="74">
        <v>860</v>
      </c>
      <c r="F40" s="74">
        <v>32</v>
      </c>
      <c r="G40" s="87">
        <f t="shared" si="0"/>
        <v>350422</v>
      </c>
      <c r="H40" s="77">
        <v>350422</v>
      </c>
      <c r="I40" s="77"/>
      <c r="J40" s="77"/>
      <c r="K40" s="77"/>
      <c r="L40" s="77"/>
      <c r="M40" s="77"/>
      <c r="N40" s="39"/>
      <c r="O40" s="39"/>
      <c r="P40" s="39">
        <v>0</v>
      </c>
      <c r="Q40" s="39"/>
      <c r="R40" s="77"/>
      <c r="S40" s="77"/>
      <c r="U40" s="180"/>
    </row>
    <row r="41" spans="1:21" s="175" customFormat="1">
      <c r="A41" s="232">
        <v>35</v>
      </c>
      <c r="B41" s="77" t="s">
        <v>939</v>
      </c>
      <c r="C41" s="74" t="s">
        <v>940</v>
      </c>
      <c r="D41" s="77">
        <v>99950</v>
      </c>
      <c r="E41" s="74">
        <v>860</v>
      </c>
      <c r="F41" s="74">
        <v>33</v>
      </c>
      <c r="G41" s="87">
        <f t="shared" si="0"/>
        <v>349265</v>
      </c>
      <c r="H41" s="77">
        <v>349265</v>
      </c>
      <c r="I41" s="77"/>
      <c r="J41" s="77"/>
      <c r="K41" s="77"/>
      <c r="L41" s="77"/>
      <c r="M41" s="77"/>
      <c r="N41" s="39"/>
      <c r="O41" s="39"/>
      <c r="P41" s="39">
        <v>0</v>
      </c>
      <c r="Q41" s="39"/>
      <c r="R41" s="77"/>
      <c r="S41" s="77"/>
      <c r="U41" s="180"/>
    </row>
    <row r="42" spans="1:21" s="175" customFormat="1">
      <c r="A42" s="232">
        <v>36</v>
      </c>
      <c r="B42" s="77" t="s">
        <v>934</v>
      </c>
      <c r="C42" s="74" t="s">
        <v>935</v>
      </c>
      <c r="D42" s="77">
        <v>99950</v>
      </c>
      <c r="E42" s="74">
        <v>860</v>
      </c>
      <c r="F42" s="74">
        <v>34</v>
      </c>
      <c r="G42" s="87">
        <f t="shared" si="0"/>
        <v>348123</v>
      </c>
      <c r="H42" s="77">
        <v>348123</v>
      </c>
      <c r="I42" s="77"/>
      <c r="J42" s="77"/>
      <c r="K42" s="77"/>
      <c r="L42" s="77"/>
      <c r="M42" s="77"/>
      <c r="N42" s="39"/>
      <c r="O42" s="39"/>
      <c r="P42" s="39">
        <v>24814</v>
      </c>
      <c r="Q42" s="39"/>
      <c r="R42" s="77"/>
      <c r="S42" s="77"/>
      <c r="U42" s="180"/>
    </row>
    <row r="43" spans="1:21" s="175" customFormat="1">
      <c r="A43" s="232">
        <v>37</v>
      </c>
      <c r="B43" s="77" t="s">
        <v>996</v>
      </c>
      <c r="C43" s="74" t="s">
        <v>938</v>
      </c>
      <c r="D43" s="77">
        <v>99950</v>
      </c>
      <c r="E43" s="74">
        <v>860</v>
      </c>
      <c r="F43" s="74">
        <v>35</v>
      </c>
      <c r="G43" s="87">
        <f t="shared" si="0"/>
        <v>347672</v>
      </c>
      <c r="H43" s="77">
        <v>347672</v>
      </c>
      <c r="I43" s="77"/>
      <c r="J43" s="77"/>
      <c r="K43" s="77"/>
      <c r="L43" s="77"/>
      <c r="M43" s="77"/>
      <c r="N43" s="39"/>
      <c r="O43" s="39"/>
      <c r="P43" s="39">
        <v>0</v>
      </c>
      <c r="Q43" s="39"/>
      <c r="R43" s="77"/>
      <c r="S43" s="77"/>
      <c r="U43" s="180"/>
    </row>
    <row r="44" spans="1:21" s="175" customFormat="1">
      <c r="A44" s="232">
        <v>38</v>
      </c>
      <c r="B44" s="77" t="s">
        <v>941</v>
      </c>
      <c r="C44" s="74" t="s">
        <v>942</v>
      </c>
      <c r="D44" s="77">
        <v>99950</v>
      </c>
      <c r="E44" s="74">
        <v>860</v>
      </c>
      <c r="F44" s="74">
        <v>36</v>
      </c>
      <c r="G44" s="87">
        <f t="shared" si="0"/>
        <v>336951</v>
      </c>
      <c r="H44" s="77">
        <v>336951</v>
      </c>
      <c r="I44" s="77"/>
      <c r="J44" s="77"/>
      <c r="K44" s="77"/>
      <c r="L44" s="77"/>
      <c r="M44" s="77"/>
      <c r="N44" s="39"/>
      <c r="O44" s="39"/>
      <c r="P44" s="39">
        <v>0</v>
      </c>
      <c r="Q44" s="39"/>
      <c r="R44" s="77"/>
      <c r="S44" s="77"/>
      <c r="U44" s="180"/>
    </row>
    <row r="45" spans="1:21" s="175" customFormat="1">
      <c r="A45" s="232">
        <v>39</v>
      </c>
      <c r="B45" s="77" t="s">
        <v>944</v>
      </c>
      <c r="C45" s="74" t="s">
        <v>945</v>
      </c>
      <c r="D45" s="77">
        <v>99950</v>
      </c>
      <c r="E45" s="74">
        <v>860</v>
      </c>
      <c r="F45" s="74">
        <v>37</v>
      </c>
      <c r="G45" s="87">
        <f t="shared" ref="G45:G54" si="1">SUM(H45:M45)</f>
        <v>332698</v>
      </c>
      <c r="H45" s="77">
        <v>332698</v>
      </c>
      <c r="I45" s="77"/>
      <c r="J45" s="77"/>
      <c r="K45" s="77"/>
      <c r="L45" s="77"/>
      <c r="M45" s="77"/>
      <c r="N45" s="39"/>
      <c r="O45" s="39"/>
      <c r="P45" s="39">
        <v>0</v>
      </c>
      <c r="Q45" s="39"/>
      <c r="R45" s="77"/>
      <c r="S45" s="77"/>
      <c r="U45" s="180"/>
    </row>
    <row r="46" spans="1:21" s="175" customFormat="1">
      <c r="A46" s="232">
        <v>40</v>
      </c>
      <c r="B46" s="77" t="s">
        <v>946</v>
      </c>
      <c r="C46" s="74" t="s">
        <v>947</v>
      </c>
      <c r="D46" s="77">
        <v>99950</v>
      </c>
      <c r="E46" s="74">
        <v>860</v>
      </c>
      <c r="F46" s="74">
        <v>38</v>
      </c>
      <c r="G46" s="87">
        <f t="shared" si="1"/>
        <v>330520</v>
      </c>
      <c r="H46" s="77">
        <v>330520</v>
      </c>
      <c r="I46" s="77"/>
      <c r="J46" s="77"/>
      <c r="K46" s="77"/>
      <c r="L46" s="77"/>
      <c r="M46" s="77"/>
      <c r="N46" s="39"/>
      <c r="O46" s="39"/>
      <c r="P46" s="39">
        <v>93</v>
      </c>
      <c r="Q46" s="39"/>
      <c r="R46" s="77"/>
      <c r="S46" s="77"/>
      <c r="U46" s="180"/>
    </row>
    <row r="47" spans="1:21" s="175" customFormat="1">
      <c r="A47" s="232">
        <v>41</v>
      </c>
      <c r="B47" s="39" t="s">
        <v>948</v>
      </c>
      <c r="C47" s="74" t="s">
        <v>949</v>
      </c>
      <c r="D47" s="77">
        <v>99950</v>
      </c>
      <c r="E47" s="74">
        <v>860</v>
      </c>
      <c r="F47" s="74">
        <v>39</v>
      </c>
      <c r="G47" s="87">
        <f t="shared" si="1"/>
        <v>328297</v>
      </c>
      <c r="H47" s="77">
        <v>328297</v>
      </c>
      <c r="I47" s="77"/>
      <c r="J47" s="77"/>
      <c r="K47" s="77"/>
      <c r="L47" s="77"/>
      <c r="M47" s="77"/>
      <c r="N47" s="39"/>
      <c r="O47" s="39"/>
      <c r="P47" s="39">
        <v>0</v>
      </c>
      <c r="Q47" s="39"/>
      <c r="R47" s="77"/>
      <c r="S47" s="77"/>
      <c r="U47" s="180"/>
    </row>
    <row r="48" spans="1:21" s="175" customFormat="1">
      <c r="A48" s="232">
        <v>42</v>
      </c>
      <c r="B48" s="564" t="s">
        <v>950</v>
      </c>
      <c r="C48" s="74" t="s">
        <v>951</v>
      </c>
      <c r="D48" s="77">
        <v>99950</v>
      </c>
      <c r="E48" s="74">
        <v>860</v>
      </c>
      <c r="F48" s="74">
        <v>40</v>
      </c>
      <c r="G48" s="87">
        <f t="shared" si="1"/>
        <v>312365</v>
      </c>
      <c r="H48" s="77">
        <v>312365</v>
      </c>
      <c r="I48" s="77"/>
      <c r="J48" s="77"/>
      <c r="K48" s="77"/>
      <c r="L48" s="77"/>
      <c r="M48" s="77"/>
      <c r="N48" s="39"/>
      <c r="O48" s="39"/>
      <c r="P48" s="39">
        <v>0</v>
      </c>
      <c r="Q48" s="39"/>
      <c r="R48" s="77"/>
      <c r="S48" s="77"/>
      <c r="U48" s="180"/>
    </row>
    <row r="49" spans="1:21" s="175" customFormat="1">
      <c r="A49" s="232">
        <v>43</v>
      </c>
      <c r="B49" s="77" t="s">
        <v>956</v>
      </c>
      <c r="C49" s="74" t="s">
        <v>957</v>
      </c>
      <c r="D49" s="77">
        <v>99950</v>
      </c>
      <c r="E49" s="74">
        <v>860</v>
      </c>
      <c r="F49" s="74">
        <v>41</v>
      </c>
      <c r="G49" s="87">
        <f t="shared" ref="G49" si="2">SUM(H49:M49)</f>
        <v>305126</v>
      </c>
      <c r="H49" s="77">
        <v>305126</v>
      </c>
      <c r="I49" s="77"/>
      <c r="J49" s="77"/>
      <c r="K49" s="77"/>
      <c r="L49" s="77"/>
      <c r="M49" s="77"/>
      <c r="N49" s="39"/>
      <c r="O49" s="39"/>
      <c r="P49" s="39">
        <v>0</v>
      </c>
      <c r="Q49" s="39"/>
      <c r="R49" s="77"/>
      <c r="S49" s="77"/>
      <c r="U49" s="180"/>
    </row>
    <row r="50" spans="1:21" s="175" customFormat="1">
      <c r="A50" s="232">
        <v>44</v>
      </c>
      <c r="B50" s="77" t="s">
        <v>954</v>
      </c>
      <c r="C50" s="74" t="s">
        <v>955</v>
      </c>
      <c r="D50" s="77">
        <v>99950</v>
      </c>
      <c r="E50" s="74">
        <v>860</v>
      </c>
      <c r="F50" s="74">
        <v>42</v>
      </c>
      <c r="G50" s="87">
        <f t="shared" si="1"/>
        <v>304388</v>
      </c>
      <c r="H50" s="77">
        <v>304388</v>
      </c>
      <c r="I50" s="77"/>
      <c r="J50" s="77"/>
      <c r="K50" s="77"/>
      <c r="L50" s="77"/>
      <c r="M50" s="77"/>
      <c r="N50" s="39"/>
      <c r="O50" s="39"/>
      <c r="P50" s="39">
        <v>0</v>
      </c>
      <c r="Q50" s="39"/>
      <c r="R50" s="77"/>
      <c r="S50" s="77"/>
      <c r="U50" s="180"/>
    </row>
    <row r="51" spans="1:21" s="175" customFormat="1">
      <c r="A51" s="232">
        <v>45</v>
      </c>
      <c r="B51" s="77" t="s">
        <v>1013</v>
      </c>
      <c r="C51" s="74" t="s">
        <v>1009</v>
      </c>
      <c r="D51" s="77">
        <v>99950</v>
      </c>
      <c r="E51" s="74">
        <v>860</v>
      </c>
      <c r="F51" s="74">
        <v>43</v>
      </c>
      <c r="G51" s="87">
        <f t="shared" si="1"/>
        <v>303094</v>
      </c>
      <c r="H51" s="77">
        <v>303094</v>
      </c>
      <c r="I51" s="77"/>
      <c r="J51" s="77"/>
      <c r="K51" s="77"/>
      <c r="L51" s="77"/>
      <c r="M51" s="77"/>
      <c r="N51" s="39"/>
      <c r="O51" s="39"/>
      <c r="P51" s="39">
        <v>0</v>
      </c>
      <c r="Q51" s="39"/>
      <c r="R51" s="77"/>
      <c r="S51" s="77"/>
      <c r="U51" s="180"/>
    </row>
    <row r="52" spans="1:21" s="175" customFormat="1">
      <c r="A52" s="232">
        <v>46</v>
      </c>
      <c r="B52" s="77" t="s">
        <v>958</v>
      </c>
      <c r="C52" s="74" t="s">
        <v>957</v>
      </c>
      <c r="D52" s="77">
        <v>99950</v>
      </c>
      <c r="E52" s="74">
        <v>860</v>
      </c>
      <c r="F52" s="74">
        <v>44</v>
      </c>
      <c r="G52" s="87">
        <f t="shared" si="1"/>
        <v>300553</v>
      </c>
      <c r="H52" s="77">
        <v>300553</v>
      </c>
      <c r="I52" s="77"/>
      <c r="J52" s="77"/>
      <c r="K52" s="77"/>
      <c r="L52" s="77"/>
      <c r="M52" s="77"/>
      <c r="N52" s="39"/>
      <c r="O52" s="39"/>
      <c r="P52" s="39">
        <v>0</v>
      </c>
      <c r="Q52" s="39"/>
      <c r="R52" s="77"/>
      <c r="S52" s="77"/>
      <c r="U52" s="180"/>
    </row>
    <row r="53" spans="1:21" s="175" customFormat="1">
      <c r="A53" s="232">
        <v>47</v>
      </c>
      <c r="B53" s="77" t="s">
        <v>992</v>
      </c>
      <c r="C53" s="74" t="s">
        <v>988</v>
      </c>
      <c r="D53" s="77">
        <v>99950</v>
      </c>
      <c r="E53" s="74">
        <v>860</v>
      </c>
      <c r="F53" s="74">
        <v>45</v>
      </c>
      <c r="G53" s="87">
        <f t="shared" si="1"/>
        <v>300258</v>
      </c>
      <c r="H53" s="77">
        <v>300258</v>
      </c>
      <c r="I53" s="77"/>
      <c r="J53" s="77"/>
      <c r="K53" s="77"/>
      <c r="L53" s="77"/>
      <c r="M53" s="77"/>
      <c r="N53" s="39"/>
      <c r="O53" s="39"/>
      <c r="P53" s="39">
        <v>0</v>
      </c>
      <c r="Q53" s="39"/>
      <c r="R53" s="77"/>
      <c r="S53" s="77"/>
      <c r="U53" s="180"/>
    </row>
    <row r="54" spans="1:21" s="175" customFormat="1">
      <c r="A54" s="232">
        <v>48</v>
      </c>
      <c r="B54" s="77" t="s">
        <v>993</v>
      </c>
      <c r="C54" s="74" t="s">
        <v>962</v>
      </c>
      <c r="D54" s="77">
        <v>99950</v>
      </c>
      <c r="E54" s="74">
        <v>860</v>
      </c>
      <c r="F54" s="74">
        <v>46</v>
      </c>
      <c r="G54" s="87">
        <f t="shared" si="1"/>
        <v>297783</v>
      </c>
      <c r="H54" s="77">
        <v>297783</v>
      </c>
      <c r="I54" s="77"/>
      <c r="J54" s="77"/>
      <c r="K54" s="77"/>
      <c r="L54" s="77"/>
      <c r="M54" s="77"/>
      <c r="N54" s="39"/>
      <c r="O54" s="39"/>
      <c r="P54" s="39">
        <v>0</v>
      </c>
      <c r="Q54" s="39"/>
      <c r="R54" s="77"/>
      <c r="S54" s="77"/>
      <c r="U54" s="180"/>
    </row>
    <row r="55" spans="1:21" s="175" customFormat="1">
      <c r="A55" s="232">
        <v>49</v>
      </c>
      <c r="B55" s="77" t="s">
        <v>997</v>
      </c>
      <c r="C55" s="74" t="s">
        <v>982</v>
      </c>
      <c r="D55" s="77">
        <v>99950</v>
      </c>
      <c r="E55" s="74">
        <v>860</v>
      </c>
      <c r="F55" s="74">
        <v>47</v>
      </c>
      <c r="G55" s="87">
        <f t="shared" si="0"/>
        <v>296652</v>
      </c>
      <c r="H55" s="77">
        <v>296652</v>
      </c>
      <c r="I55" s="77"/>
      <c r="J55" s="77"/>
      <c r="K55" s="77"/>
      <c r="L55" s="77"/>
      <c r="M55" s="77"/>
      <c r="N55" s="39"/>
      <c r="O55" s="39"/>
      <c r="P55" s="39">
        <v>0</v>
      </c>
      <c r="Q55" s="39"/>
      <c r="R55" s="77"/>
      <c r="S55" s="77"/>
      <c r="U55" s="180"/>
    </row>
    <row r="56" spans="1:21" s="175" customFormat="1">
      <c r="A56" s="232">
        <v>50</v>
      </c>
      <c r="B56" s="77" t="s">
        <v>960</v>
      </c>
      <c r="C56" s="74" t="s">
        <v>961</v>
      </c>
      <c r="D56" s="77">
        <v>99950</v>
      </c>
      <c r="E56" s="74">
        <v>860</v>
      </c>
      <c r="F56" s="74">
        <v>48</v>
      </c>
      <c r="G56" s="87">
        <f t="shared" si="0"/>
        <v>295119</v>
      </c>
      <c r="H56" s="77">
        <v>295119</v>
      </c>
      <c r="I56" s="77"/>
      <c r="J56" s="77"/>
      <c r="K56" s="77"/>
      <c r="L56" s="77"/>
      <c r="M56" s="77"/>
      <c r="N56" s="39"/>
      <c r="O56" s="39"/>
      <c r="P56" s="39">
        <v>0</v>
      </c>
      <c r="Q56" s="39"/>
      <c r="R56" s="77"/>
      <c r="S56" s="77"/>
      <c r="U56" s="180"/>
    </row>
    <row r="57" spans="1:21" s="175" customFormat="1">
      <c r="A57" s="232">
        <v>51</v>
      </c>
      <c r="B57" s="77" t="s">
        <v>1016</v>
      </c>
      <c r="C57" s="74" t="s">
        <v>957</v>
      </c>
      <c r="D57" s="77">
        <v>99950</v>
      </c>
      <c r="E57" s="74">
        <v>860</v>
      </c>
      <c r="F57" s="74">
        <v>49</v>
      </c>
      <c r="G57" s="87">
        <f t="shared" si="0"/>
        <v>293981</v>
      </c>
      <c r="H57" s="77">
        <v>293981</v>
      </c>
      <c r="I57" s="77"/>
      <c r="J57" s="77"/>
      <c r="K57" s="77"/>
      <c r="L57" s="77"/>
      <c r="M57" s="77"/>
      <c r="N57" s="39"/>
      <c r="O57" s="39"/>
      <c r="P57" s="39">
        <v>0</v>
      </c>
      <c r="Q57" s="39"/>
      <c r="R57" s="77"/>
      <c r="S57" s="77"/>
      <c r="U57" s="180"/>
    </row>
    <row r="58" spans="1:21" s="175" customFormat="1">
      <c r="A58" s="232">
        <v>52</v>
      </c>
      <c r="B58" s="77" t="s">
        <v>985</v>
      </c>
      <c r="C58" s="74" t="s">
        <v>984</v>
      </c>
      <c r="D58" s="77">
        <v>99950</v>
      </c>
      <c r="E58" s="74">
        <v>860</v>
      </c>
      <c r="F58" s="74">
        <v>50</v>
      </c>
      <c r="G58" s="87">
        <f t="shared" si="0"/>
        <v>293172</v>
      </c>
      <c r="H58" s="77">
        <v>293172</v>
      </c>
      <c r="I58" s="77"/>
      <c r="J58" s="77"/>
      <c r="K58" s="77"/>
      <c r="L58" s="77"/>
      <c r="M58" s="77"/>
      <c r="N58" s="39"/>
      <c r="O58" s="39"/>
      <c r="P58" s="39">
        <v>0</v>
      </c>
      <c r="Q58" s="39"/>
      <c r="R58" s="77"/>
      <c r="S58" s="77"/>
      <c r="U58" s="180"/>
    </row>
    <row r="59" spans="1:21" s="175" customFormat="1">
      <c r="A59" s="232">
        <v>53</v>
      </c>
      <c r="B59" s="77" t="s">
        <v>963</v>
      </c>
      <c r="C59" s="74" t="s">
        <v>964</v>
      </c>
      <c r="D59" s="77">
        <v>99950</v>
      </c>
      <c r="E59" s="74">
        <v>860</v>
      </c>
      <c r="F59" s="74">
        <v>51</v>
      </c>
      <c r="G59" s="87">
        <f t="shared" si="0"/>
        <v>290067</v>
      </c>
      <c r="H59" s="77">
        <v>290067</v>
      </c>
      <c r="I59" s="77"/>
      <c r="J59" s="77"/>
      <c r="K59" s="77"/>
      <c r="L59" s="77"/>
      <c r="M59" s="77"/>
      <c r="N59" s="39"/>
      <c r="O59" s="39"/>
      <c r="P59" s="39">
        <v>0</v>
      </c>
      <c r="Q59" s="39"/>
      <c r="R59" s="77"/>
      <c r="S59" s="77"/>
      <c r="U59" s="180"/>
    </row>
    <row r="60" spans="1:21" s="175" customFormat="1">
      <c r="A60" s="232">
        <v>54</v>
      </c>
      <c r="B60" s="77" t="s">
        <v>998</v>
      </c>
      <c r="C60" s="74" t="s">
        <v>959</v>
      </c>
      <c r="D60" s="77">
        <v>99950</v>
      </c>
      <c r="E60" s="74">
        <v>860</v>
      </c>
      <c r="F60" s="74">
        <v>52</v>
      </c>
      <c r="G60" s="87">
        <f t="shared" si="0"/>
        <v>283633</v>
      </c>
      <c r="H60" s="77">
        <v>283633</v>
      </c>
      <c r="I60" s="77"/>
      <c r="J60" s="77"/>
      <c r="K60" s="77"/>
      <c r="L60" s="77"/>
      <c r="M60" s="77"/>
      <c r="N60" s="39"/>
      <c r="O60" s="39"/>
      <c r="P60" s="39">
        <v>0</v>
      </c>
      <c r="Q60" s="39"/>
      <c r="R60" s="77"/>
      <c r="S60" s="77"/>
      <c r="U60" s="180"/>
    </row>
    <row r="61" spans="1:21" s="175" customFormat="1">
      <c r="A61" s="232">
        <v>55</v>
      </c>
      <c r="B61" s="77" t="s">
        <v>1014</v>
      </c>
      <c r="C61" s="74" t="s">
        <v>1010</v>
      </c>
      <c r="D61" s="77">
        <v>99950</v>
      </c>
      <c r="E61" s="74">
        <v>860</v>
      </c>
      <c r="F61" s="74">
        <v>53</v>
      </c>
      <c r="G61" s="87">
        <f t="shared" si="0"/>
        <v>271650</v>
      </c>
      <c r="H61" s="77">
        <v>271650</v>
      </c>
      <c r="I61" s="77"/>
      <c r="J61" s="77"/>
      <c r="K61" s="77"/>
      <c r="L61" s="77"/>
      <c r="M61" s="77"/>
      <c r="N61" s="39"/>
      <c r="O61" s="39"/>
      <c r="P61" s="39">
        <v>0</v>
      </c>
      <c r="Q61" s="39"/>
      <c r="R61" s="77"/>
      <c r="S61" s="77"/>
      <c r="U61" s="180"/>
    </row>
    <row r="62" spans="1:21" s="175" customFormat="1">
      <c r="A62" s="232">
        <v>56</v>
      </c>
      <c r="B62" s="77" t="s">
        <v>965</v>
      </c>
      <c r="C62" s="74" t="s">
        <v>966</v>
      </c>
      <c r="D62" s="77">
        <v>99950</v>
      </c>
      <c r="E62" s="74">
        <v>860</v>
      </c>
      <c r="F62" s="74">
        <v>54</v>
      </c>
      <c r="G62" s="87">
        <f t="shared" si="0"/>
        <v>270995</v>
      </c>
      <c r="H62" s="77">
        <v>270995</v>
      </c>
      <c r="I62" s="77"/>
      <c r="J62" s="77"/>
      <c r="K62" s="77"/>
      <c r="L62" s="77"/>
      <c r="M62" s="77"/>
      <c r="N62" s="39"/>
      <c r="O62" s="39"/>
      <c r="P62" s="39">
        <v>0</v>
      </c>
      <c r="Q62" s="39"/>
      <c r="R62" s="77"/>
      <c r="S62" s="77"/>
      <c r="U62" s="180"/>
    </row>
    <row r="63" spans="1:21" s="175" customFormat="1">
      <c r="A63" s="232">
        <v>57</v>
      </c>
      <c r="B63" s="77" t="s">
        <v>969</v>
      </c>
      <c r="C63" s="74" t="s">
        <v>970</v>
      </c>
      <c r="D63" s="77">
        <v>99950</v>
      </c>
      <c r="E63" s="74">
        <v>860</v>
      </c>
      <c r="F63" s="74">
        <v>55</v>
      </c>
      <c r="G63" s="87">
        <f t="shared" si="0"/>
        <v>255315</v>
      </c>
      <c r="H63" s="77">
        <v>255315</v>
      </c>
      <c r="I63" s="77"/>
      <c r="J63" s="77"/>
      <c r="K63" s="77"/>
      <c r="L63" s="77"/>
      <c r="M63" s="77"/>
      <c r="N63" s="39"/>
      <c r="O63" s="39"/>
      <c r="P63" s="39">
        <v>0</v>
      </c>
      <c r="Q63" s="39"/>
      <c r="R63" s="77"/>
      <c r="S63" s="77"/>
      <c r="U63" s="180"/>
    </row>
    <row r="64" spans="1:21" s="175" customFormat="1">
      <c r="A64" s="232">
        <v>58</v>
      </c>
      <c r="B64" s="77" t="s">
        <v>999</v>
      </c>
      <c r="C64" s="74" t="s">
        <v>1002</v>
      </c>
      <c r="D64" s="77">
        <v>99950</v>
      </c>
      <c r="E64" s="74">
        <v>860</v>
      </c>
      <c r="F64" s="74">
        <v>56</v>
      </c>
      <c r="G64" s="87">
        <f t="shared" si="0"/>
        <v>253690</v>
      </c>
      <c r="H64" s="77">
        <v>253690</v>
      </c>
      <c r="I64" s="77"/>
      <c r="J64" s="77"/>
      <c r="K64" s="77"/>
      <c r="L64" s="77"/>
      <c r="M64" s="77"/>
      <c r="N64" s="39"/>
      <c r="O64" s="39"/>
      <c r="P64" s="39">
        <v>0</v>
      </c>
      <c r="Q64" s="39"/>
      <c r="R64" s="77"/>
      <c r="S64" s="77"/>
      <c r="U64" s="180"/>
    </row>
    <row r="65" spans="1:31" s="175" customFormat="1">
      <c r="A65" s="232">
        <v>59</v>
      </c>
      <c r="B65" s="77" t="s">
        <v>967</v>
      </c>
      <c r="C65" s="74" t="s">
        <v>968</v>
      </c>
      <c r="D65" s="77">
        <v>99950</v>
      </c>
      <c r="E65" s="74">
        <v>860</v>
      </c>
      <c r="F65" s="74">
        <v>57</v>
      </c>
      <c r="G65" s="87">
        <f t="shared" si="0"/>
        <v>253650</v>
      </c>
      <c r="H65" s="77">
        <v>253650</v>
      </c>
      <c r="I65" s="77"/>
      <c r="J65" s="77"/>
      <c r="K65" s="77"/>
      <c r="L65" s="77"/>
      <c r="M65" s="77"/>
      <c r="N65" s="39"/>
      <c r="O65" s="39"/>
      <c r="P65" s="39">
        <v>0</v>
      </c>
      <c r="Q65" s="39"/>
      <c r="R65" s="77"/>
      <c r="S65" s="77"/>
      <c r="U65" s="180"/>
    </row>
    <row r="66" spans="1:31" s="175" customFormat="1">
      <c r="A66" s="232">
        <v>60</v>
      </c>
      <c r="B66" s="77" t="s">
        <v>973</v>
      </c>
      <c r="C66" s="74" t="s">
        <v>957</v>
      </c>
      <c r="D66" s="77">
        <v>99950</v>
      </c>
      <c r="E66" s="74">
        <v>860</v>
      </c>
      <c r="F66" s="74">
        <v>58</v>
      </c>
      <c r="G66" s="87">
        <f t="shared" si="0"/>
        <v>247226</v>
      </c>
      <c r="H66" s="77">
        <v>247226</v>
      </c>
      <c r="I66" s="77"/>
      <c r="J66" s="77"/>
      <c r="K66" s="77"/>
      <c r="L66" s="77"/>
      <c r="M66" s="77"/>
      <c r="N66" s="39"/>
      <c r="O66" s="39"/>
      <c r="P66" s="39">
        <v>0</v>
      </c>
      <c r="Q66" s="39"/>
      <c r="R66" s="77"/>
      <c r="S66" s="77"/>
      <c r="U66" s="180"/>
    </row>
    <row r="67" spans="1:31" s="175" customFormat="1">
      <c r="A67" s="232">
        <v>61</v>
      </c>
      <c r="B67" s="77" t="s">
        <v>971</v>
      </c>
      <c r="C67" s="74" t="s">
        <v>972</v>
      </c>
      <c r="D67" s="77">
        <v>99950</v>
      </c>
      <c r="E67" s="74">
        <v>860</v>
      </c>
      <c r="F67" s="74">
        <v>59</v>
      </c>
      <c r="G67" s="87">
        <f t="shared" si="0"/>
        <v>246294</v>
      </c>
      <c r="H67" s="77">
        <v>246294</v>
      </c>
      <c r="I67" s="77"/>
      <c r="J67" s="77"/>
      <c r="K67" s="77"/>
      <c r="L67" s="77"/>
      <c r="M67" s="77"/>
      <c r="N67" s="39"/>
      <c r="O67" s="39"/>
      <c r="P67" s="39">
        <v>0</v>
      </c>
      <c r="Q67" s="39"/>
      <c r="R67" s="77"/>
      <c r="S67" s="77"/>
      <c r="U67" s="180"/>
    </row>
    <row r="68" spans="1:31" s="175" customFormat="1">
      <c r="A68" s="232">
        <v>62</v>
      </c>
      <c r="B68" s="564" t="s">
        <v>1015</v>
      </c>
      <c r="C68" s="77"/>
      <c r="D68" s="77">
        <v>99950</v>
      </c>
      <c r="E68" s="74">
        <v>860</v>
      </c>
      <c r="F68" s="74">
        <v>60</v>
      </c>
      <c r="G68" s="87">
        <f t="shared" si="0"/>
        <v>34546465</v>
      </c>
      <c r="H68" s="77">
        <v>34546465</v>
      </c>
      <c r="I68" s="77"/>
      <c r="J68" s="77"/>
      <c r="K68" s="77"/>
      <c r="L68" s="77"/>
      <c r="M68" s="77"/>
      <c r="N68" s="39"/>
      <c r="O68" s="39"/>
      <c r="P68" s="39">
        <v>1018765</v>
      </c>
      <c r="Q68" s="39"/>
      <c r="R68" s="77"/>
      <c r="S68" s="77"/>
      <c r="U68" s="180"/>
    </row>
    <row r="69" spans="1:31" s="103" customFormat="1">
      <c r="A69" s="106" t="s">
        <v>703</v>
      </c>
      <c r="B69" s="107"/>
      <c r="C69" s="107"/>
      <c r="D69" s="107"/>
      <c r="E69" s="107"/>
      <c r="F69" s="108"/>
      <c r="G69" s="109">
        <f t="shared" ref="G69:M69" si="3">SUM(G7:G68)</f>
        <v>766344734.24000001</v>
      </c>
      <c r="H69" s="109">
        <f t="shared" si="3"/>
        <v>600232784</v>
      </c>
      <c r="I69" s="109">
        <f t="shared" si="3"/>
        <v>38439056.240000002</v>
      </c>
      <c r="J69" s="109">
        <f t="shared" si="3"/>
        <v>0</v>
      </c>
      <c r="K69" s="109">
        <f t="shared" si="3"/>
        <v>104769200</v>
      </c>
      <c r="L69" s="109">
        <f t="shared" si="3"/>
        <v>0</v>
      </c>
      <c r="M69" s="109">
        <f t="shared" si="3"/>
        <v>22903694</v>
      </c>
      <c r="N69" s="109"/>
      <c r="O69" s="109"/>
      <c r="P69" s="109">
        <f>SUM(P7:P68)</f>
        <v>217475091</v>
      </c>
      <c r="Q69" s="181"/>
      <c r="R69" s="182"/>
      <c r="S69" s="183"/>
      <c r="U69" s="184"/>
    </row>
    <row r="70" spans="1:31" s="103" customFormat="1">
      <c r="A70" s="106" t="s">
        <v>597</v>
      </c>
      <c r="B70" s="107"/>
      <c r="C70" s="107"/>
      <c r="D70" s="107"/>
      <c r="E70" s="107"/>
      <c r="F70" s="108"/>
      <c r="G70" s="65">
        <f t="shared" ref="G70:M70" si="4">MAX(G7:G68)</f>
        <v>455250911</v>
      </c>
      <c r="H70" s="65">
        <f t="shared" si="4"/>
        <v>349753188</v>
      </c>
      <c r="I70" s="65">
        <f t="shared" si="4"/>
        <v>33000000</v>
      </c>
      <c r="J70" s="65">
        <f t="shared" si="4"/>
        <v>0</v>
      </c>
      <c r="K70" s="65">
        <f t="shared" si="4"/>
        <v>104769200</v>
      </c>
      <c r="L70" s="65">
        <f t="shared" si="4"/>
        <v>0</v>
      </c>
      <c r="M70" s="65">
        <f t="shared" si="4"/>
        <v>22175171</v>
      </c>
      <c r="N70" s="65"/>
      <c r="O70" s="65"/>
      <c r="P70" s="65">
        <f>MAX(P7:P68)</f>
        <v>216400000</v>
      </c>
      <c r="Q70" s="185"/>
      <c r="R70" s="186"/>
      <c r="S70" s="187"/>
      <c r="U70" s="184"/>
    </row>
    <row r="71" spans="1:31" s="103" customFormat="1">
      <c r="U71" s="184"/>
    </row>
    <row r="72" spans="1:31" s="103" customFormat="1">
      <c r="U72" s="184"/>
    </row>
    <row r="73" spans="1:31" s="103" customFormat="1">
      <c r="B73" s="565" t="s">
        <v>890</v>
      </c>
      <c r="U73" s="184"/>
    </row>
    <row r="74" spans="1:31" s="103" customFormat="1">
      <c r="B74" s="32"/>
      <c r="U74" s="184"/>
    </row>
    <row r="75" spans="1:31" s="103" customFormat="1">
      <c r="B75" s="32" t="s">
        <v>1</v>
      </c>
      <c r="U75" s="184"/>
    </row>
    <row r="76" spans="1:31" s="103" customFormat="1">
      <c r="U76" s="184"/>
    </row>
    <row r="77" spans="1:31" s="103" customFormat="1" ht="15.75">
      <c r="B77" s="679"/>
      <c r="C77" s="679"/>
      <c r="D77" s="679"/>
      <c r="E77" s="679"/>
      <c r="F77" s="679"/>
      <c r="G77" s="679"/>
      <c r="H77" s="679"/>
      <c r="I77" s="679"/>
      <c r="J77" s="679"/>
      <c r="K77" s="679"/>
      <c r="L77" s="679"/>
      <c r="M77" s="679"/>
      <c r="N77" s="679"/>
      <c r="O77" s="679"/>
      <c r="P77" s="679"/>
      <c r="Q77" s="679"/>
      <c r="R77" s="679"/>
      <c r="S77" s="679"/>
      <c r="U77" s="184"/>
    </row>
    <row r="78" spans="1:31">
      <c r="A78" s="105"/>
      <c r="B78" s="105"/>
      <c r="C78" s="105"/>
      <c r="D78" s="105"/>
      <c r="E78" s="105"/>
      <c r="F78" s="105"/>
      <c r="G78" s="105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U78" s="188"/>
      <c r="V78" s="105"/>
      <c r="W78" s="105"/>
      <c r="X78" s="105"/>
      <c r="Y78" s="105"/>
      <c r="Z78" s="105"/>
      <c r="AA78" s="105"/>
      <c r="AB78" s="105"/>
      <c r="AC78" s="105"/>
      <c r="AD78" s="105"/>
      <c r="AE78" s="105"/>
    </row>
    <row r="79" spans="1:31">
      <c r="A79" s="105"/>
      <c r="B79" s="105"/>
      <c r="C79" s="105"/>
      <c r="D79" s="105"/>
      <c r="E79" s="105"/>
      <c r="F79" s="105"/>
      <c r="G79" s="105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U79" s="188"/>
      <c r="V79" s="105"/>
      <c r="W79" s="105"/>
      <c r="X79" s="105"/>
      <c r="Y79" s="105"/>
      <c r="Z79" s="105"/>
      <c r="AA79" s="105"/>
      <c r="AB79" s="105"/>
      <c r="AC79" s="105"/>
      <c r="AD79" s="105"/>
      <c r="AE79" s="105"/>
    </row>
    <row r="80" spans="1:31">
      <c r="A80" s="105"/>
      <c r="B80" s="105"/>
      <c r="C80" s="105"/>
      <c r="D80" s="105"/>
      <c r="E80" s="105"/>
      <c r="F80" s="105"/>
      <c r="G80" s="105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U80" s="188"/>
      <c r="V80" s="105"/>
      <c r="W80" s="105"/>
      <c r="X80" s="105"/>
      <c r="Y80" s="105"/>
      <c r="Z80" s="105"/>
      <c r="AA80" s="105"/>
      <c r="AB80" s="105"/>
      <c r="AC80" s="105"/>
      <c r="AD80" s="105"/>
      <c r="AE80" s="105"/>
    </row>
    <row r="81" spans="1:31">
      <c r="A81" s="105"/>
      <c r="B81" s="105"/>
      <c r="C81" s="105"/>
      <c r="D81" s="105"/>
      <c r="E81" s="105"/>
      <c r="F81" s="105"/>
      <c r="G81" s="105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U81" s="188"/>
      <c r="V81" s="105"/>
      <c r="W81" s="105"/>
      <c r="X81" s="105"/>
      <c r="Y81" s="105"/>
      <c r="Z81" s="105"/>
      <c r="AA81" s="105"/>
      <c r="AB81" s="105"/>
      <c r="AC81" s="105"/>
      <c r="AD81" s="105"/>
      <c r="AE81" s="105"/>
    </row>
    <row r="82" spans="1:31">
      <c r="A82" s="105"/>
      <c r="B82" s="105"/>
      <c r="C82" s="105"/>
      <c r="D82" s="105"/>
      <c r="E82" s="105"/>
      <c r="F82" s="105"/>
      <c r="G82" s="105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U82" s="188"/>
      <c r="V82" s="105"/>
      <c r="W82" s="105"/>
      <c r="X82" s="105"/>
      <c r="Y82" s="105"/>
      <c r="Z82" s="105"/>
      <c r="AA82" s="105"/>
      <c r="AB82" s="105"/>
      <c r="AC82" s="105"/>
      <c r="AD82" s="105"/>
      <c r="AE82" s="105"/>
    </row>
    <row r="83" spans="1:31">
      <c r="A83" s="105"/>
      <c r="B83" s="105"/>
      <c r="C83" s="105"/>
      <c r="D83" s="105"/>
      <c r="E83" s="105"/>
      <c r="F83" s="105"/>
      <c r="G83" s="105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U83" s="188"/>
      <c r="V83" s="105"/>
      <c r="W83" s="105"/>
      <c r="X83" s="105"/>
      <c r="Y83" s="105"/>
      <c r="Z83" s="105"/>
      <c r="AA83" s="105"/>
      <c r="AB83" s="105"/>
      <c r="AC83" s="105"/>
      <c r="AD83" s="105"/>
      <c r="AE83" s="105"/>
    </row>
    <row r="84" spans="1:31">
      <c r="A84" s="105"/>
      <c r="B84" s="105"/>
      <c r="C84" s="105"/>
      <c r="D84" s="105"/>
      <c r="E84" s="105"/>
      <c r="F84" s="105"/>
      <c r="G84" s="105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U84" s="188"/>
      <c r="V84" s="105"/>
      <c r="W84" s="105"/>
      <c r="X84" s="105"/>
      <c r="Y84" s="105"/>
      <c r="Z84" s="105"/>
      <c r="AA84" s="105"/>
      <c r="AB84" s="105"/>
      <c r="AC84" s="105"/>
      <c r="AD84" s="105"/>
      <c r="AE84" s="105"/>
    </row>
    <row r="85" spans="1:31">
      <c r="A85" s="105"/>
      <c r="B85" s="105"/>
      <c r="C85" s="105"/>
      <c r="D85" s="105"/>
      <c r="E85" s="105"/>
      <c r="F85" s="105"/>
      <c r="G85" s="105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U85" s="188"/>
      <c r="V85" s="105"/>
      <c r="W85" s="105"/>
      <c r="X85" s="105"/>
      <c r="Y85" s="105"/>
      <c r="Z85" s="105"/>
      <c r="AA85" s="105"/>
      <c r="AB85" s="105"/>
      <c r="AC85" s="105"/>
      <c r="AD85" s="105"/>
      <c r="AE85" s="105"/>
    </row>
    <row r="86" spans="1:31">
      <c r="A86" s="105"/>
      <c r="B86" s="105"/>
      <c r="C86" s="105"/>
      <c r="D86" s="105"/>
      <c r="E86" s="105"/>
      <c r="F86" s="105"/>
      <c r="G86" s="105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U86" s="188"/>
      <c r="V86" s="105"/>
      <c r="W86" s="105"/>
      <c r="X86" s="105"/>
      <c r="Y86" s="105"/>
      <c r="Z86" s="105"/>
      <c r="AA86" s="105"/>
      <c r="AB86" s="105"/>
      <c r="AC86" s="105"/>
      <c r="AD86" s="105"/>
      <c r="AE86" s="105"/>
    </row>
    <row r="87" spans="1:31">
      <c r="A87" s="105"/>
      <c r="B87" s="105"/>
      <c r="C87" s="105"/>
      <c r="D87" s="105"/>
      <c r="E87" s="105"/>
      <c r="F87" s="105"/>
      <c r="G87" s="105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U87" s="188"/>
      <c r="V87" s="105"/>
      <c r="W87" s="105"/>
      <c r="X87" s="105"/>
      <c r="Y87" s="105"/>
      <c r="Z87" s="105"/>
      <c r="AA87" s="105"/>
      <c r="AB87" s="105"/>
      <c r="AC87" s="105"/>
      <c r="AD87" s="105"/>
      <c r="AE87" s="105"/>
    </row>
    <row r="88" spans="1:31">
      <c r="A88" s="105"/>
      <c r="B88" s="105"/>
      <c r="C88" s="105"/>
      <c r="D88" s="105"/>
      <c r="E88" s="105"/>
      <c r="F88" s="105"/>
      <c r="G88" s="105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U88" s="188"/>
      <c r="V88" s="105"/>
      <c r="W88" s="105"/>
      <c r="X88" s="105"/>
      <c r="Y88" s="105"/>
      <c r="Z88" s="105"/>
      <c r="AA88" s="105"/>
      <c r="AB88" s="105"/>
      <c r="AC88" s="105"/>
      <c r="AD88" s="105"/>
      <c r="AE88" s="105"/>
    </row>
    <row r="89" spans="1:31">
      <c r="A89" s="105"/>
      <c r="B89" s="105"/>
      <c r="C89" s="105"/>
      <c r="D89" s="105"/>
      <c r="E89" s="105"/>
      <c r="F89" s="105"/>
      <c r="G89" s="105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U89" s="188"/>
      <c r="V89" s="105"/>
      <c r="W89" s="105"/>
      <c r="X89" s="105"/>
      <c r="Y89" s="105"/>
      <c r="Z89" s="105"/>
      <c r="AA89" s="105"/>
      <c r="AB89" s="105"/>
      <c r="AC89" s="105"/>
      <c r="AD89" s="105"/>
      <c r="AE89" s="105"/>
    </row>
    <row r="90" spans="1:31">
      <c r="A90" s="105"/>
      <c r="B90" s="105"/>
      <c r="C90" s="105"/>
      <c r="D90" s="105"/>
      <c r="E90" s="105"/>
      <c r="F90" s="105"/>
      <c r="G90" s="105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U90" s="188"/>
      <c r="V90" s="105"/>
      <c r="W90" s="105"/>
      <c r="X90" s="105"/>
      <c r="Y90" s="105"/>
      <c r="Z90" s="105"/>
      <c r="AA90" s="105"/>
      <c r="AB90" s="105"/>
      <c r="AC90" s="105"/>
      <c r="AD90" s="105"/>
      <c r="AE90" s="105"/>
    </row>
    <row r="91" spans="1:31">
      <c r="A91" s="105"/>
      <c r="B91" s="105"/>
      <c r="C91" s="105"/>
      <c r="D91" s="105"/>
      <c r="E91" s="105"/>
      <c r="F91" s="105"/>
      <c r="G91" s="105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U91" s="188"/>
      <c r="V91" s="105"/>
      <c r="W91" s="105"/>
      <c r="X91" s="105"/>
      <c r="Y91" s="105"/>
      <c r="Z91" s="105"/>
      <c r="AA91" s="105"/>
      <c r="AB91" s="105"/>
      <c r="AC91" s="105"/>
      <c r="AD91" s="105"/>
      <c r="AE91" s="105"/>
    </row>
    <row r="92" spans="1:31">
      <c r="A92" s="105"/>
      <c r="B92" s="105"/>
      <c r="C92" s="105"/>
      <c r="D92" s="105"/>
      <c r="E92" s="105"/>
      <c r="F92" s="105"/>
      <c r="G92" s="105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U92" s="188"/>
      <c r="V92" s="105"/>
      <c r="W92" s="105"/>
      <c r="X92" s="105"/>
      <c r="Y92" s="105"/>
      <c r="Z92" s="105"/>
      <c r="AA92" s="105"/>
      <c r="AB92" s="105"/>
      <c r="AC92" s="105"/>
      <c r="AD92" s="105"/>
      <c r="AE92" s="105"/>
    </row>
    <row r="93" spans="1:31">
      <c r="A93" s="105"/>
      <c r="B93" s="105"/>
      <c r="C93" s="105"/>
      <c r="D93" s="105"/>
      <c r="E93" s="105"/>
      <c r="F93" s="105"/>
      <c r="G93" s="105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U93" s="188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</row>
    <row r="94" spans="1:31">
      <c r="A94" s="105"/>
      <c r="B94" s="105"/>
      <c r="C94" s="105"/>
      <c r="D94" s="105"/>
      <c r="E94" s="105"/>
      <c r="F94" s="105"/>
      <c r="G94" s="105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U94" s="188"/>
      <c r="V94" s="105"/>
      <c r="W94" s="105"/>
      <c r="X94" s="105"/>
      <c r="Y94" s="105"/>
      <c r="Z94" s="105"/>
      <c r="AA94" s="105"/>
      <c r="AB94" s="105"/>
      <c r="AC94" s="105"/>
      <c r="AD94" s="105"/>
      <c r="AE94" s="105"/>
    </row>
    <row r="95" spans="1:31">
      <c r="A95" s="105"/>
      <c r="B95" s="105"/>
      <c r="C95" s="105"/>
      <c r="D95" s="105"/>
      <c r="E95" s="105"/>
      <c r="F95" s="105"/>
      <c r="G95" s="105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U95" s="188"/>
      <c r="V95" s="105"/>
      <c r="W95" s="105"/>
      <c r="X95" s="105"/>
      <c r="Y95" s="105"/>
      <c r="Z95" s="105"/>
      <c r="AA95" s="105"/>
      <c r="AB95" s="105"/>
      <c r="AC95" s="105"/>
      <c r="AD95" s="105"/>
      <c r="AE95" s="105"/>
    </row>
    <row r="96" spans="1:31">
      <c r="A96" s="105"/>
      <c r="B96" s="105"/>
      <c r="C96" s="105"/>
      <c r="D96" s="105"/>
      <c r="E96" s="105"/>
      <c r="F96" s="105"/>
      <c r="G96" s="105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U96" s="188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</row>
    <row r="97" spans="1:31">
      <c r="A97" s="105"/>
      <c r="B97" s="105"/>
      <c r="C97" s="105"/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U97" s="188"/>
      <c r="V97" s="105"/>
      <c r="W97" s="105"/>
      <c r="X97" s="105"/>
      <c r="Y97" s="105"/>
      <c r="Z97" s="105"/>
      <c r="AA97" s="105"/>
      <c r="AB97" s="105"/>
      <c r="AC97" s="105"/>
      <c r="AD97" s="105"/>
      <c r="AE97" s="105"/>
    </row>
    <row r="98" spans="1:31">
      <c r="A98" s="105"/>
      <c r="B98" s="105"/>
      <c r="C98" s="105"/>
      <c r="D98" s="105"/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U98" s="188"/>
      <c r="V98" s="105"/>
      <c r="W98" s="105"/>
      <c r="X98" s="105"/>
      <c r="Y98" s="105"/>
      <c r="Z98" s="105"/>
      <c r="AA98" s="105"/>
      <c r="AB98" s="105"/>
      <c r="AC98" s="105"/>
      <c r="AD98" s="105"/>
      <c r="AE98" s="105"/>
    </row>
    <row r="99" spans="1:31">
      <c r="A99" s="105"/>
      <c r="B99" s="105"/>
      <c r="C99" s="105"/>
      <c r="D99" s="105"/>
      <c r="E99" s="105"/>
      <c r="F99" s="105"/>
      <c r="G99" s="105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U99" s="188"/>
      <c r="V99" s="105"/>
      <c r="W99" s="105"/>
      <c r="X99" s="105"/>
      <c r="Y99" s="105"/>
      <c r="Z99" s="105"/>
      <c r="AA99" s="105"/>
      <c r="AB99" s="105"/>
      <c r="AC99" s="105"/>
      <c r="AD99" s="105"/>
      <c r="AE99" s="105"/>
    </row>
    <row r="100" spans="1:31">
      <c r="A100" s="105"/>
      <c r="B100" s="105"/>
      <c r="C100" s="105"/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U100" s="188"/>
      <c r="V100" s="105"/>
      <c r="W100" s="105"/>
      <c r="X100" s="105"/>
      <c r="Y100" s="105"/>
      <c r="Z100" s="105"/>
      <c r="AA100" s="105"/>
      <c r="AB100" s="105"/>
      <c r="AC100" s="105"/>
      <c r="AD100" s="105"/>
      <c r="AE100" s="105"/>
    </row>
    <row r="101" spans="1:31">
      <c r="A101" s="105"/>
      <c r="B101" s="105"/>
      <c r="C101" s="105"/>
      <c r="D101" s="105"/>
      <c r="E101" s="105"/>
      <c r="F101" s="105"/>
      <c r="G101" s="105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U101" s="188"/>
      <c r="V101" s="105"/>
      <c r="W101" s="105"/>
      <c r="X101" s="105"/>
      <c r="Y101" s="105"/>
      <c r="Z101" s="105"/>
      <c r="AA101" s="105"/>
      <c r="AB101" s="105"/>
      <c r="AC101" s="105"/>
      <c r="AD101" s="105"/>
      <c r="AE101" s="105"/>
    </row>
    <row r="102" spans="1:31">
      <c r="A102" s="105"/>
      <c r="B102" s="105"/>
      <c r="C102" s="105"/>
      <c r="D102" s="105"/>
      <c r="E102" s="105"/>
      <c r="F102" s="105"/>
      <c r="G102" s="105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U102" s="188"/>
      <c r="V102" s="105"/>
      <c r="W102" s="105"/>
      <c r="X102" s="105"/>
      <c r="Y102" s="105"/>
      <c r="Z102" s="105"/>
      <c r="AA102" s="105"/>
      <c r="AB102" s="105"/>
      <c r="AC102" s="105"/>
      <c r="AD102" s="105"/>
      <c r="AE102" s="105"/>
    </row>
    <row r="103" spans="1:31">
      <c r="A103" s="105"/>
      <c r="B103" s="105"/>
      <c r="C103" s="105"/>
      <c r="D103" s="105"/>
      <c r="E103" s="105"/>
      <c r="F103" s="105"/>
      <c r="G103" s="105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U103" s="188"/>
      <c r="V103" s="105"/>
      <c r="W103" s="105"/>
      <c r="X103" s="105"/>
      <c r="Y103" s="105"/>
      <c r="Z103" s="105"/>
      <c r="AA103" s="105"/>
      <c r="AB103" s="105"/>
      <c r="AC103" s="105"/>
      <c r="AD103" s="105"/>
      <c r="AE103" s="105"/>
    </row>
    <row r="104" spans="1:31">
      <c r="A104" s="105"/>
      <c r="B104" s="105"/>
      <c r="C104" s="105"/>
      <c r="D104" s="105"/>
      <c r="E104" s="105"/>
      <c r="F104" s="105"/>
      <c r="G104" s="105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U104" s="188"/>
      <c r="V104" s="105"/>
      <c r="W104" s="105"/>
      <c r="X104" s="105"/>
      <c r="Y104" s="105"/>
      <c r="Z104" s="105"/>
      <c r="AA104" s="105"/>
      <c r="AB104" s="105"/>
      <c r="AC104" s="105"/>
      <c r="AD104" s="105"/>
      <c r="AE104" s="105"/>
    </row>
    <row r="105" spans="1:31">
      <c r="A105" s="105"/>
      <c r="B105" s="105"/>
      <c r="C105" s="105"/>
      <c r="D105" s="105"/>
      <c r="E105" s="105"/>
      <c r="F105" s="105"/>
      <c r="G105" s="105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U105" s="188"/>
      <c r="V105" s="105"/>
      <c r="W105" s="105"/>
      <c r="X105" s="105"/>
      <c r="Y105" s="105"/>
      <c r="Z105" s="105"/>
      <c r="AA105" s="105"/>
      <c r="AB105" s="105"/>
      <c r="AC105" s="105"/>
      <c r="AD105" s="105"/>
      <c r="AE105" s="105"/>
    </row>
    <row r="106" spans="1:31">
      <c r="A106" s="105"/>
      <c r="B106" s="105"/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U106" s="188"/>
      <c r="V106" s="105"/>
      <c r="W106" s="105"/>
      <c r="X106" s="105"/>
      <c r="Y106" s="105"/>
      <c r="Z106" s="105"/>
      <c r="AA106" s="105"/>
      <c r="AB106" s="105"/>
      <c r="AC106" s="105"/>
      <c r="AD106" s="105"/>
      <c r="AE106" s="105"/>
    </row>
    <row r="107" spans="1:31">
      <c r="A107" s="105"/>
      <c r="B107" s="105"/>
      <c r="C107" s="105"/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U107" s="188"/>
      <c r="V107" s="105"/>
      <c r="W107" s="105"/>
      <c r="X107" s="105"/>
      <c r="Y107" s="105"/>
      <c r="Z107" s="105"/>
      <c r="AA107" s="105"/>
      <c r="AB107" s="105"/>
      <c r="AC107" s="105"/>
      <c r="AD107" s="105"/>
      <c r="AE107" s="105"/>
    </row>
    <row r="108" spans="1:31">
      <c r="A108" s="105"/>
      <c r="B108" s="105"/>
      <c r="C108" s="105"/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U108" s="188"/>
      <c r="V108" s="105"/>
      <c r="W108" s="105"/>
      <c r="X108" s="105"/>
      <c r="Y108" s="105"/>
      <c r="Z108" s="105"/>
      <c r="AA108" s="105"/>
      <c r="AB108" s="105"/>
      <c r="AC108" s="105"/>
      <c r="AD108" s="105"/>
      <c r="AE108" s="105"/>
    </row>
    <row r="109" spans="1:31">
      <c r="A109" s="105"/>
      <c r="B109" s="105"/>
      <c r="C109" s="105"/>
      <c r="D109" s="105"/>
      <c r="E109" s="105"/>
      <c r="F109" s="105"/>
      <c r="G109" s="105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U109" s="188"/>
      <c r="V109" s="105"/>
      <c r="W109" s="105"/>
      <c r="X109" s="105"/>
      <c r="Y109" s="105"/>
      <c r="Z109" s="105"/>
      <c r="AA109" s="105"/>
      <c r="AB109" s="105"/>
      <c r="AC109" s="105"/>
      <c r="AD109" s="105"/>
      <c r="AE109" s="105"/>
    </row>
  </sheetData>
  <mergeCells count="16">
    <mergeCell ref="A1:R1"/>
    <mergeCell ref="N3:P3"/>
    <mergeCell ref="B77:S77"/>
    <mergeCell ref="H4:M4"/>
    <mergeCell ref="G4:G5"/>
    <mergeCell ref="A4:A5"/>
    <mergeCell ref="B4:B5"/>
    <mergeCell ref="C4:C5"/>
    <mergeCell ref="D4:D5"/>
    <mergeCell ref="E4:E5"/>
    <mergeCell ref="F4:F5"/>
    <mergeCell ref="N4:N5"/>
    <mergeCell ref="Q4:Q5"/>
    <mergeCell ref="R4:R5"/>
    <mergeCell ref="S4:S5"/>
    <mergeCell ref="O4:P4"/>
  </mergeCells>
  <phoneticPr fontId="17" type="noConversion"/>
  <dataValidations disablePrompts="1" count="1">
    <dataValidation type="date" operator="greaterThan" allowBlank="1" showInputMessage="1" showErrorMessage="1" prompt="Введите дату в формате ЧЧ.ММ.ГГГГ" sqref="X80:Y109" xr:uid="{00000000-0002-0000-0700-000000000000}">
      <formula1>DATE(50,1,1)</formula1>
    </dataValidation>
  </dataValidations>
  <printOptions horizontalCentered="1" verticalCentered="1"/>
  <pageMargins left="0.23622047244094491" right="0.19685039370078741" top="0.23622047244094491" bottom="0.23622047244094491" header="0.51181102362204722" footer="0.51181102362204722"/>
  <pageSetup paperSize="9" scale="54" orientation="landscape" r:id="rId1"/>
  <headerFooter alignWithMargins="0"/>
  <ignoredErrors>
    <ignoredError sqref="G7:G11" unlocked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12">
    <pageSetUpPr fitToPage="1"/>
  </sheetPr>
  <dimension ref="A1:AE107"/>
  <sheetViews>
    <sheetView view="pageBreakPreview" topLeftCell="A4" zoomScale="70" zoomScaleNormal="95" zoomScaleSheetLayoutView="70" workbookViewId="0">
      <pane xSplit="7" ySplit="3" topLeftCell="H7" activePane="bottomRight" state="frozen"/>
      <selection activeCell="M64" sqref="M64"/>
      <selection pane="topRight" activeCell="M64" sqref="M64"/>
      <selection pane="bottomLeft" activeCell="M64" sqref="M64"/>
      <selection pane="bottomRight" activeCell="M7" sqref="M7"/>
    </sheetView>
  </sheetViews>
  <sheetFormatPr defaultColWidth="9.140625" defaultRowHeight="12.75"/>
  <cols>
    <col min="1" max="1" width="5.140625" style="104" customWidth="1"/>
    <col min="2" max="2" width="32.7109375" style="104" customWidth="1"/>
    <col min="3" max="3" width="14.140625" style="104" customWidth="1"/>
    <col min="4" max="6" width="10.140625" style="104" customWidth="1"/>
    <col min="7" max="7" width="17.28515625" style="104" customWidth="1"/>
    <col min="8" max="8" width="18.140625" style="104" customWidth="1"/>
    <col min="9" max="13" width="13.85546875" style="104" customWidth="1"/>
    <col min="14" max="14" width="12.140625" style="104" customWidth="1"/>
    <col min="15" max="15" width="8.42578125" style="104" customWidth="1"/>
    <col min="16" max="16" width="17" style="104" customWidth="1"/>
    <col min="17" max="17" width="10.140625" style="104" customWidth="1"/>
    <col min="18" max="18" width="14.42578125" style="104" customWidth="1"/>
    <col min="19" max="19" width="21.42578125" style="104" customWidth="1"/>
    <col min="20" max="20" width="9.140625" style="104"/>
    <col min="21" max="21" width="9.140625" style="178"/>
    <col min="22" max="22" width="8.28515625" style="104" customWidth="1"/>
    <col min="23" max="23" width="7.42578125" style="104" customWidth="1"/>
    <col min="24" max="24" width="6.85546875" style="104" customWidth="1"/>
    <col min="25" max="16384" width="9.140625" style="104"/>
  </cols>
  <sheetData>
    <row r="1" spans="1:22" ht="20.25">
      <c r="A1" s="677" t="s">
        <v>753</v>
      </c>
      <c r="B1" s="677"/>
      <c r="C1" s="677"/>
      <c r="D1" s="677"/>
      <c r="E1" s="677"/>
      <c r="F1" s="677"/>
      <c r="G1" s="677"/>
      <c r="H1" s="677"/>
      <c r="I1" s="677"/>
      <c r="J1" s="677"/>
      <c r="K1" s="677"/>
      <c r="L1" s="677"/>
      <c r="M1" s="677"/>
      <c r="N1" s="677"/>
      <c r="O1" s="677"/>
      <c r="P1" s="677"/>
      <c r="Q1" s="677"/>
      <c r="R1" s="677"/>
      <c r="S1" s="70" t="s">
        <v>635</v>
      </c>
    </row>
    <row r="2" spans="1:22">
      <c r="A2" s="189"/>
      <c r="B2" s="375"/>
      <c r="C2" s="375"/>
      <c r="D2" s="375"/>
      <c r="E2" s="375"/>
      <c r="F2" s="375"/>
      <c r="G2" s="375"/>
      <c r="H2" s="375"/>
      <c r="I2" s="375"/>
      <c r="J2" s="375"/>
      <c r="K2" s="375"/>
      <c r="L2" s="375"/>
      <c r="M2" s="375"/>
      <c r="N2" s="375"/>
      <c r="O2" s="375"/>
      <c r="Q2" s="375"/>
      <c r="R2" s="375"/>
      <c r="S2" s="375"/>
    </row>
    <row r="3" spans="1:22" ht="15.75">
      <c r="A3" s="71"/>
      <c r="B3" s="376" t="str">
        <f>+'Asset quality'!B3</f>
        <v>АК "Алокабанк"</v>
      </c>
      <c r="D3" s="71"/>
      <c r="E3" s="71"/>
      <c r="F3" s="71"/>
      <c r="G3" s="71"/>
      <c r="H3" s="71"/>
      <c r="I3" s="71"/>
      <c r="J3" s="71"/>
      <c r="K3" s="71"/>
      <c r="L3" s="71"/>
      <c r="M3" s="71"/>
      <c r="N3" s="678">
        <f>+'Asset quality'!P3</f>
        <v>44196</v>
      </c>
      <c r="O3" s="678" t="e">
        <f>+#REF!</f>
        <v>#REF!</v>
      </c>
      <c r="P3" s="678"/>
      <c r="Q3" s="71"/>
      <c r="R3" s="71"/>
      <c r="S3" s="71" t="s">
        <v>408</v>
      </c>
      <c r="U3" s="104"/>
      <c r="V3" s="178"/>
    </row>
    <row r="4" spans="1:22" ht="24" customHeight="1">
      <c r="A4" s="685" t="s">
        <v>83</v>
      </c>
      <c r="B4" s="685" t="s">
        <v>195</v>
      </c>
      <c r="C4" s="683" t="s">
        <v>589</v>
      </c>
      <c r="D4" s="683" t="s">
        <v>590</v>
      </c>
      <c r="E4" s="683" t="s">
        <v>591</v>
      </c>
      <c r="F4" s="683" t="s">
        <v>196</v>
      </c>
      <c r="G4" s="683" t="s">
        <v>692</v>
      </c>
      <c r="H4" s="680" t="s">
        <v>90</v>
      </c>
      <c r="I4" s="681"/>
      <c r="J4" s="681"/>
      <c r="K4" s="681"/>
      <c r="L4" s="681"/>
      <c r="M4" s="682"/>
      <c r="N4" s="683" t="s">
        <v>197</v>
      </c>
      <c r="O4" s="680" t="s">
        <v>628</v>
      </c>
      <c r="P4" s="682"/>
      <c r="Q4" s="683" t="s">
        <v>198</v>
      </c>
      <c r="R4" s="683" t="s">
        <v>596</v>
      </c>
      <c r="S4" s="683" t="s">
        <v>199</v>
      </c>
    </row>
    <row r="5" spans="1:22" ht="96" customHeight="1">
      <c r="A5" s="686"/>
      <c r="B5" s="686"/>
      <c r="C5" s="684"/>
      <c r="D5" s="684"/>
      <c r="E5" s="684"/>
      <c r="F5" s="684"/>
      <c r="G5" s="684"/>
      <c r="H5" s="368" t="s">
        <v>592</v>
      </c>
      <c r="I5" s="368" t="s">
        <v>593</v>
      </c>
      <c r="J5" s="368" t="s">
        <v>88</v>
      </c>
      <c r="K5" s="368" t="s">
        <v>594</v>
      </c>
      <c r="L5" s="486" t="s">
        <v>886</v>
      </c>
      <c r="M5" s="486" t="s">
        <v>664</v>
      </c>
      <c r="N5" s="684"/>
      <c r="O5" s="371" t="s">
        <v>629</v>
      </c>
      <c r="P5" s="371" t="s">
        <v>595</v>
      </c>
      <c r="Q5" s="684"/>
      <c r="R5" s="684"/>
      <c r="S5" s="684"/>
    </row>
    <row r="6" spans="1:22" ht="15">
      <c r="A6" s="369"/>
      <c r="B6" s="369" t="s">
        <v>182</v>
      </c>
      <c r="C6" s="369" t="s">
        <v>183</v>
      </c>
      <c r="D6" s="369" t="s">
        <v>200</v>
      </c>
      <c r="E6" s="369" t="s">
        <v>184</v>
      </c>
      <c r="F6" s="369" t="s">
        <v>185</v>
      </c>
      <c r="G6" s="370" t="s">
        <v>201</v>
      </c>
      <c r="H6" s="369" t="s">
        <v>630</v>
      </c>
      <c r="I6" s="369" t="s">
        <v>631</v>
      </c>
      <c r="J6" s="369" t="s">
        <v>632</v>
      </c>
      <c r="K6" s="369" t="s">
        <v>633</v>
      </c>
      <c r="L6" s="487" t="s">
        <v>634</v>
      </c>
      <c r="M6" s="487" t="s">
        <v>870</v>
      </c>
      <c r="N6" s="369" t="s">
        <v>186</v>
      </c>
      <c r="O6" s="369" t="s">
        <v>187</v>
      </c>
      <c r="P6" s="369" t="s">
        <v>188</v>
      </c>
      <c r="Q6" s="369" t="s">
        <v>189</v>
      </c>
      <c r="R6" s="369" t="s">
        <v>190</v>
      </c>
      <c r="S6" s="369" t="s">
        <v>191</v>
      </c>
    </row>
    <row r="7" spans="1:22" s="175" customFormat="1">
      <c r="A7" s="232">
        <v>1</v>
      </c>
      <c r="B7" s="77" t="s">
        <v>974</v>
      </c>
      <c r="C7" s="74" t="s">
        <v>975</v>
      </c>
      <c r="D7" s="74">
        <v>52300</v>
      </c>
      <c r="E7" s="74">
        <v>860</v>
      </c>
      <c r="F7" s="74">
        <v>1</v>
      </c>
      <c r="G7" s="87">
        <f>SUM(H7:M7)</f>
        <v>455250911</v>
      </c>
      <c r="H7" s="73">
        <v>349753188</v>
      </c>
      <c r="I7" s="73"/>
      <c r="J7" s="73"/>
      <c r="K7" s="73">
        <v>104769200</v>
      </c>
      <c r="L7" s="73"/>
      <c r="M7" s="73">
        <v>728523</v>
      </c>
      <c r="N7" s="73"/>
      <c r="O7" s="73">
        <v>2</v>
      </c>
      <c r="P7" s="73">
        <v>216400000</v>
      </c>
      <c r="Q7" s="74">
        <v>4</v>
      </c>
      <c r="R7" s="74"/>
      <c r="S7" s="74"/>
      <c r="U7" s="179">
        <v>0</v>
      </c>
    </row>
    <row r="8" spans="1:22" s="175" customFormat="1">
      <c r="A8" s="232">
        <v>2</v>
      </c>
      <c r="B8" s="77" t="s">
        <v>976</v>
      </c>
      <c r="C8" s="74">
        <v>201204514</v>
      </c>
      <c r="D8" s="74">
        <v>12411</v>
      </c>
      <c r="E8" s="74">
        <v>840</v>
      </c>
      <c r="F8" s="74">
        <v>2</v>
      </c>
      <c r="G8" s="87">
        <f t="shared" ref="G8:G66" si="0">SUM(H8:M8)</f>
        <v>314307600</v>
      </c>
      <c r="H8" s="73">
        <v>314307600</v>
      </c>
      <c r="I8" s="73"/>
      <c r="J8" s="73"/>
      <c r="K8" s="73"/>
      <c r="L8" s="73"/>
      <c r="M8" s="73"/>
      <c r="N8" s="73"/>
      <c r="O8" s="73"/>
      <c r="P8" s="73"/>
      <c r="Q8" s="74">
        <v>1</v>
      </c>
      <c r="R8" s="74"/>
      <c r="S8" s="74"/>
      <c r="U8" s="179"/>
    </row>
    <row r="9" spans="1:22" s="175" customFormat="1">
      <c r="A9" s="232">
        <v>3</v>
      </c>
      <c r="B9" s="77" t="s">
        <v>977</v>
      </c>
      <c r="C9" s="74">
        <v>303020732</v>
      </c>
      <c r="D9" s="74">
        <v>52300</v>
      </c>
      <c r="E9" s="74">
        <v>860</v>
      </c>
      <c r="F9" s="74">
        <v>3</v>
      </c>
      <c r="G9" s="87">
        <f t="shared" si="0"/>
        <v>100241592</v>
      </c>
      <c r="H9" s="73">
        <v>99981592</v>
      </c>
      <c r="I9" s="73"/>
      <c r="J9" s="73"/>
      <c r="K9" s="73"/>
      <c r="L9" s="73"/>
      <c r="M9" s="73">
        <v>260000</v>
      </c>
      <c r="N9" s="73"/>
      <c r="O9" s="73"/>
      <c r="P9" s="73"/>
      <c r="Q9" s="74">
        <v>1</v>
      </c>
      <c r="R9" s="74"/>
      <c r="S9" s="74"/>
      <c r="U9" s="179"/>
    </row>
    <row r="10" spans="1:22" s="175" customFormat="1">
      <c r="A10" s="232">
        <v>4</v>
      </c>
      <c r="B10" s="77" t="s">
        <v>978</v>
      </c>
      <c r="C10" s="74">
        <v>207086151</v>
      </c>
      <c r="D10" s="74">
        <v>96120</v>
      </c>
      <c r="E10" s="74">
        <v>840</v>
      </c>
      <c r="F10" s="74">
        <v>4</v>
      </c>
      <c r="G10" s="87">
        <f t="shared" si="0"/>
        <v>157153800</v>
      </c>
      <c r="H10" s="73"/>
      <c r="I10" s="73"/>
      <c r="J10" s="73"/>
      <c r="K10" s="73"/>
      <c r="L10" s="73">
        <v>157153800</v>
      </c>
      <c r="M10" s="73"/>
      <c r="N10" s="73"/>
      <c r="O10" s="73"/>
      <c r="P10" s="73"/>
      <c r="Q10" s="74">
        <v>1</v>
      </c>
      <c r="R10" s="74"/>
      <c r="S10" s="74"/>
      <c r="U10" s="180"/>
    </row>
    <row r="11" spans="1:22" s="175" customFormat="1">
      <c r="A11" s="232">
        <v>5</v>
      </c>
      <c r="B11" s="77"/>
      <c r="C11" s="74"/>
      <c r="D11" s="74"/>
      <c r="E11" s="74"/>
      <c r="F11" s="74"/>
      <c r="G11" s="87">
        <f t="shared" si="0"/>
        <v>0</v>
      </c>
      <c r="H11" s="73"/>
      <c r="I11" s="73"/>
      <c r="J11" s="73"/>
      <c r="K11" s="73"/>
      <c r="L11" s="73"/>
      <c r="M11" s="73"/>
      <c r="N11" s="73"/>
      <c r="O11" s="73"/>
      <c r="P11" s="73"/>
      <c r="Q11" s="74"/>
      <c r="R11" s="74"/>
      <c r="S11" s="74"/>
      <c r="U11" s="180"/>
    </row>
    <row r="12" spans="1:22" s="175" customFormat="1">
      <c r="A12" s="232">
        <v>6</v>
      </c>
      <c r="B12" s="77"/>
      <c r="C12" s="74"/>
      <c r="D12" s="74"/>
      <c r="E12" s="74"/>
      <c r="F12" s="74"/>
      <c r="G12" s="87">
        <f t="shared" si="0"/>
        <v>0</v>
      </c>
      <c r="H12" s="73"/>
      <c r="I12" s="73"/>
      <c r="J12" s="73"/>
      <c r="K12" s="73"/>
      <c r="L12" s="73"/>
      <c r="M12" s="73"/>
      <c r="N12" s="73"/>
      <c r="O12" s="73"/>
      <c r="P12" s="73"/>
      <c r="Q12" s="74"/>
      <c r="R12" s="74"/>
      <c r="S12" s="74"/>
      <c r="U12" s="180"/>
    </row>
    <row r="13" spans="1:22" s="175" customFormat="1" ht="14.25" customHeight="1">
      <c r="A13" s="232">
        <v>7</v>
      </c>
      <c r="B13" s="77"/>
      <c r="C13" s="77"/>
      <c r="D13" s="74"/>
      <c r="E13" s="74"/>
      <c r="F13" s="77"/>
      <c r="G13" s="87">
        <f t="shared" si="0"/>
        <v>0</v>
      </c>
      <c r="H13" s="77"/>
      <c r="I13" s="77"/>
      <c r="J13" s="77"/>
      <c r="K13" s="77"/>
      <c r="L13" s="77"/>
      <c r="M13" s="77"/>
      <c r="N13" s="39"/>
      <c r="O13" s="39"/>
      <c r="P13" s="39"/>
      <c r="Q13" s="39"/>
      <c r="R13" s="77"/>
      <c r="S13" s="77"/>
      <c r="U13" s="180"/>
    </row>
    <row r="14" spans="1:22" s="175" customFormat="1" ht="14.25" customHeight="1">
      <c r="A14" s="232">
        <v>8</v>
      </c>
      <c r="B14" s="73"/>
      <c r="C14" s="77"/>
      <c r="D14" s="74"/>
      <c r="E14" s="74"/>
      <c r="F14" s="77"/>
      <c r="G14" s="87">
        <f t="shared" si="0"/>
        <v>0</v>
      </c>
      <c r="H14" s="77"/>
      <c r="I14" s="77"/>
      <c r="J14" s="77"/>
      <c r="K14" s="77"/>
      <c r="L14" s="77"/>
      <c r="M14" s="77"/>
      <c r="N14" s="39"/>
      <c r="O14" s="39"/>
      <c r="P14" s="39"/>
      <c r="Q14" s="39"/>
      <c r="R14" s="77"/>
      <c r="S14" s="77"/>
      <c r="U14" s="180"/>
    </row>
    <row r="15" spans="1:22" s="175" customFormat="1">
      <c r="A15" s="232">
        <v>9</v>
      </c>
      <c r="B15" s="77"/>
      <c r="C15" s="77"/>
      <c r="D15" s="74"/>
      <c r="E15" s="74"/>
      <c r="F15" s="77"/>
      <c r="G15" s="87">
        <f t="shared" si="0"/>
        <v>0</v>
      </c>
      <c r="H15" s="77"/>
      <c r="I15" s="77"/>
      <c r="J15" s="77"/>
      <c r="K15" s="77"/>
      <c r="L15" s="77"/>
      <c r="M15" s="77"/>
      <c r="N15" s="39"/>
      <c r="O15" s="39"/>
      <c r="P15" s="39"/>
      <c r="Q15" s="39"/>
      <c r="R15" s="77"/>
      <c r="S15" s="77"/>
      <c r="U15" s="180"/>
    </row>
    <row r="16" spans="1:22" s="175" customFormat="1">
      <c r="A16" s="232">
        <v>10</v>
      </c>
      <c r="B16" s="76"/>
      <c r="C16" s="77"/>
      <c r="D16" s="74"/>
      <c r="E16" s="74"/>
      <c r="F16" s="77"/>
      <c r="G16" s="87">
        <f t="shared" si="0"/>
        <v>0</v>
      </c>
      <c r="H16" s="77"/>
      <c r="I16" s="77"/>
      <c r="J16" s="77"/>
      <c r="K16" s="77"/>
      <c r="L16" s="77"/>
      <c r="M16" s="77"/>
      <c r="N16" s="39"/>
      <c r="O16" s="39"/>
      <c r="P16" s="39"/>
      <c r="Q16" s="39"/>
      <c r="R16" s="77"/>
      <c r="S16" s="77"/>
      <c r="U16" s="180"/>
    </row>
    <row r="17" spans="1:21" s="175" customFormat="1">
      <c r="A17" s="232">
        <v>11</v>
      </c>
      <c r="B17" s="77"/>
      <c r="C17" s="77"/>
      <c r="D17" s="74"/>
      <c r="E17" s="74"/>
      <c r="F17" s="77"/>
      <c r="G17" s="87">
        <f t="shared" si="0"/>
        <v>0</v>
      </c>
      <c r="H17" s="77"/>
      <c r="I17" s="77"/>
      <c r="J17" s="77"/>
      <c r="K17" s="77"/>
      <c r="L17" s="77"/>
      <c r="M17" s="77"/>
      <c r="N17" s="39"/>
      <c r="O17" s="39"/>
      <c r="P17" s="39"/>
      <c r="Q17" s="39"/>
      <c r="R17" s="77"/>
      <c r="S17" s="77"/>
      <c r="U17" s="180"/>
    </row>
    <row r="18" spans="1:21" s="175" customFormat="1">
      <c r="A18" s="232">
        <v>12</v>
      </c>
      <c r="B18" s="77"/>
      <c r="C18" s="77"/>
      <c r="D18" s="74"/>
      <c r="E18" s="74"/>
      <c r="F18" s="77"/>
      <c r="G18" s="87">
        <f t="shared" si="0"/>
        <v>0</v>
      </c>
      <c r="H18" s="77"/>
      <c r="I18" s="77"/>
      <c r="J18" s="77"/>
      <c r="K18" s="77"/>
      <c r="L18" s="77"/>
      <c r="M18" s="77"/>
      <c r="N18" s="39"/>
      <c r="O18" s="39"/>
      <c r="P18" s="39"/>
      <c r="Q18" s="39"/>
      <c r="R18" s="77"/>
      <c r="S18" s="77"/>
      <c r="U18" s="180"/>
    </row>
    <row r="19" spans="1:21" s="175" customFormat="1">
      <c r="A19" s="232">
        <v>13</v>
      </c>
      <c r="B19" s="77"/>
      <c r="C19" s="77"/>
      <c r="D19" s="74"/>
      <c r="E19" s="74"/>
      <c r="F19" s="77"/>
      <c r="G19" s="87">
        <f t="shared" si="0"/>
        <v>0</v>
      </c>
      <c r="H19" s="77"/>
      <c r="I19" s="77"/>
      <c r="J19" s="77"/>
      <c r="K19" s="77"/>
      <c r="L19" s="77"/>
      <c r="M19" s="77"/>
      <c r="N19" s="39"/>
      <c r="O19" s="39"/>
      <c r="P19" s="39"/>
      <c r="Q19" s="39"/>
      <c r="R19" s="77"/>
      <c r="S19" s="77"/>
      <c r="U19" s="180"/>
    </row>
    <row r="20" spans="1:21" s="175" customFormat="1">
      <c r="A20" s="232">
        <v>14</v>
      </c>
      <c r="B20" s="564"/>
      <c r="C20" s="77"/>
      <c r="D20" s="74"/>
      <c r="E20" s="74"/>
      <c r="F20" s="77"/>
      <c r="G20" s="87">
        <f t="shared" si="0"/>
        <v>0</v>
      </c>
      <c r="H20" s="77"/>
      <c r="I20" s="77"/>
      <c r="J20" s="77"/>
      <c r="K20" s="77"/>
      <c r="L20" s="77"/>
      <c r="M20" s="77"/>
      <c r="N20" s="39"/>
      <c r="O20" s="39"/>
      <c r="P20" s="39"/>
      <c r="Q20" s="39"/>
      <c r="R20" s="77"/>
      <c r="S20" s="77"/>
      <c r="U20" s="180"/>
    </row>
    <row r="21" spans="1:21" s="175" customFormat="1">
      <c r="A21" s="232">
        <v>15</v>
      </c>
      <c r="B21" s="77"/>
      <c r="C21" s="77"/>
      <c r="D21" s="74"/>
      <c r="E21" s="74"/>
      <c r="F21" s="77"/>
      <c r="G21" s="87">
        <f t="shared" si="0"/>
        <v>0</v>
      </c>
      <c r="H21" s="77"/>
      <c r="I21" s="77"/>
      <c r="J21" s="77"/>
      <c r="K21" s="77"/>
      <c r="L21" s="77"/>
      <c r="M21" s="77"/>
      <c r="N21" s="39"/>
      <c r="O21" s="39"/>
      <c r="P21" s="39"/>
      <c r="Q21" s="39"/>
      <c r="R21" s="77"/>
      <c r="S21" s="77"/>
      <c r="U21" s="180"/>
    </row>
    <row r="22" spans="1:21" s="175" customFormat="1">
      <c r="A22" s="232">
        <v>16</v>
      </c>
      <c r="B22" s="77"/>
      <c r="C22" s="77"/>
      <c r="D22" s="74"/>
      <c r="E22" s="74"/>
      <c r="F22" s="77"/>
      <c r="G22" s="87">
        <f t="shared" si="0"/>
        <v>0</v>
      </c>
      <c r="H22" s="77"/>
      <c r="I22" s="77"/>
      <c r="J22" s="77"/>
      <c r="K22" s="77"/>
      <c r="L22" s="77"/>
      <c r="M22" s="77"/>
      <c r="N22" s="39"/>
      <c r="O22" s="39"/>
      <c r="P22" s="39"/>
      <c r="Q22" s="39"/>
      <c r="R22" s="77"/>
      <c r="S22" s="77"/>
      <c r="U22" s="180"/>
    </row>
    <row r="23" spans="1:21" s="175" customFormat="1">
      <c r="A23" s="232">
        <v>17</v>
      </c>
      <c r="B23" s="77"/>
      <c r="C23" s="77"/>
      <c r="D23" s="74"/>
      <c r="E23" s="74"/>
      <c r="F23" s="77"/>
      <c r="G23" s="87">
        <f t="shared" si="0"/>
        <v>0</v>
      </c>
      <c r="H23" s="77"/>
      <c r="I23" s="77"/>
      <c r="J23" s="77"/>
      <c r="K23" s="77"/>
      <c r="L23" s="77"/>
      <c r="M23" s="77"/>
      <c r="N23" s="39"/>
      <c r="O23" s="39"/>
      <c r="P23" s="39"/>
      <c r="Q23" s="39"/>
      <c r="R23" s="77"/>
      <c r="S23" s="77"/>
      <c r="U23" s="180"/>
    </row>
    <row r="24" spans="1:21" s="175" customFormat="1">
      <c r="A24" s="232">
        <v>18</v>
      </c>
      <c r="B24" s="564"/>
      <c r="C24" s="77"/>
      <c r="D24" s="74"/>
      <c r="E24" s="74"/>
      <c r="F24" s="77"/>
      <c r="G24" s="87">
        <f t="shared" si="0"/>
        <v>0</v>
      </c>
      <c r="H24" s="77"/>
      <c r="I24" s="77"/>
      <c r="J24" s="77"/>
      <c r="K24" s="77"/>
      <c r="L24" s="77"/>
      <c r="M24" s="77"/>
      <c r="N24" s="39"/>
      <c r="O24" s="39"/>
      <c r="P24" s="39"/>
      <c r="Q24" s="39"/>
      <c r="R24" s="77"/>
      <c r="S24" s="77"/>
      <c r="U24" s="180"/>
    </row>
    <row r="25" spans="1:21" s="175" customFormat="1">
      <c r="A25" s="232">
        <v>19</v>
      </c>
      <c r="B25" s="77"/>
      <c r="C25" s="77"/>
      <c r="D25" s="74"/>
      <c r="E25" s="74"/>
      <c r="F25" s="77"/>
      <c r="G25" s="87">
        <f t="shared" si="0"/>
        <v>0</v>
      </c>
      <c r="H25" s="77"/>
      <c r="I25" s="77"/>
      <c r="J25" s="77"/>
      <c r="K25" s="77"/>
      <c r="L25" s="77"/>
      <c r="M25" s="77"/>
      <c r="N25" s="39"/>
      <c r="O25" s="39"/>
      <c r="P25" s="39"/>
      <c r="Q25" s="39"/>
      <c r="R25" s="77"/>
      <c r="S25" s="77"/>
      <c r="U25" s="180"/>
    </row>
    <row r="26" spans="1:21" s="175" customFormat="1">
      <c r="A26" s="232">
        <v>20</v>
      </c>
      <c r="B26" s="76"/>
      <c r="C26" s="74"/>
      <c r="D26" s="74"/>
      <c r="E26" s="74"/>
      <c r="F26" s="74"/>
      <c r="G26" s="87">
        <f t="shared" si="0"/>
        <v>0</v>
      </c>
      <c r="H26" s="73"/>
      <c r="I26" s="73"/>
      <c r="J26" s="73"/>
      <c r="K26" s="73"/>
      <c r="L26" s="73"/>
      <c r="M26" s="73"/>
      <c r="N26" s="76"/>
      <c r="O26" s="76"/>
      <c r="P26" s="73"/>
      <c r="Q26" s="74"/>
      <c r="R26" s="74"/>
      <c r="S26" s="74"/>
      <c r="U26" s="180"/>
    </row>
    <row r="27" spans="1:21" s="175" customFormat="1">
      <c r="A27" s="232">
        <v>21</v>
      </c>
      <c r="B27" s="39"/>
      <c r="C27" s="77"/>
      <c r="D27" s="77"/>
      <c r="E27" s="74"/>
      <c r="F27" s="77"/>
      <c r="G27" s="87">
        <f t="shared" si="0"/>
        <v>0</v>
      </c>
      <c r="H27" s="77"/>
      <c r="I27" s="77"/>
      <c r="J27" s="77"/>
      <c r="K27" s="77"/>
      <c r="L27" s="77"/>
      <c r="M27" s="77"/>
      <c r="N27" s="39"/>
      <c r="O27" s="39"/>
      <c r="P27" s="39"/>
      <c r="Q27" s="39"/>
      <c r="R27" s="77"/>
      <c r="S27" s="77"/>
      <c r="U27" s="180"/>
    </row>
    <row r="28" spans="1:21" s="175" customFormat="1">
      <c r="A28" s="232">
        <v>22</v>
      </c>
      <c r="B28" s="39"/>
      <c r="C28" s="77"/>
      <c r="D28" s="77"/>
      <c r="E28" s="74"/>
      <c r="F28" s="77"/>
      <c r="G28" s="87">
        <f t="shared" si="0"/>
        <v>0</v>
      </c>
      <c r="H28" s="77"/>
      <c r="I28" s="77"/>
      <c r="J28" s="77"/>
      <c r="K28" s="77"/>
      <c r="L28" s="77"/>
      <c r="M28" s="77"/>
      <c r="N28" s="39"/>
      <c r="O28" s="39"/>
      <c r="P28" s="39"/>
      <c r="Q28" s="39"/>
      <c r="R28" s="77"/>
      <c r="S28" s="77"/>
      <c r="U28" s="180"/>
    </row>
    <row r="29" spans="1:21" s="175" customFormat="1">
      <c r="A29" s="232">
        <v>23</v>
      </c>
      <c r="B29" s="39"/>
      <c r="C29" s="77"/>
      <c r="D29" s="77"/>
      <c r="E29" s="74"/>
      <c r="F29" s="77"/>
      <c r="G29" s="87">
        <f t="shared" si="0"/>
        <v>0</v>
      </c>
      <c r="H29" s="77"/>
      <c r="I29" s="77"/>
      <c r="J29" s="77"/>
      <c r="K29" s="77"/>
      <c r="L29" s="77"/>
      <c r="M29" s="77"/>
      <c r="N29" s="39"/>
      <c r="O29" s="39"/>
      <c r="P29" s="39"/>
      <c r="Q29" s="39"/>
      <c r="R29" s="77"/>
      <c r="S29" s="77"/>
      <c r="U29" s="180"/>
    </row>
    <row r="30" spans="1:21" s="175" customFormat="1">
      <c r="A30" s="232">
        <v>24</v>
      </c>
      <c r="B30" s="77"/>
      <c r="C30" s="77"/>
      <c r="D30" s="77"/>
      <c r="E30" s="74"/>
      <c r="F30" s="77"/>
      <c r="G30" s="87">
        <f t="shared" si="0"/>
        <v>0</v>
      </c>
      <c r="H30" s="77"/>
      <c r="I30" s="77"/>
      <c r="J30" s="77"/>
      <c r="K30" s="77"/>
      <c r="L30" s="77"/>
      <c r="M30" s="77"/>
      <c r="N30" s="39"/>
      <c r="O30" s="39"/>
      <c r="P30" s="39"/>
      <c r="Q30" s="39"/>
      <c r="R30" s="77"/>
      <c r="S30" s="77"/>
      <c r="U30" s="180"/>
    </row>
    <row r="31" spans="1:21" s="175" customFormat="1">
      <c r="A31" s="232">
        <v>25</v>
      </c>
      <c r="B31" s="77"/>
      <c r="C31" s="77"/>
      <c r="D31" s="77"/>
      <c r="E31" s="74"/>
      <c r="F31" s="77"/>
      <c r="G31" s="87">
        <f t="shared" si="0"/>
        <v>0</v>
      </c>
      <c r="H31" s="77"/>
      <c r="I31" s="77"/>
      <c r="J31" s="77"/>
      <c r="K31" s="77"/>
      <c r="L31" s="77"/>
      <c r="M31" s="77"/>
      <c r="N31" s="39"/>
      <c r="O31" s="39"/>
      <c r="P31" s="39"/>
      <c r="Q31" s="39"/>
      <c r="R31" s="77"/>
      <c r="S31" s="77"/>
      <c r="U31" s="180"/>
    </row>
    <row r="32" spans="1:21" s="175" customFormat="1">
      <c r="A32" s="232">
        <v>26</v>
      </c>
      <c r="B32" s="77"/>
      <c r="C32" s="77"/>
      <c r="D32" s="77"/>
      <c r="E32" s="74"/>
      <c r="F32" s="77"/>
      <c r="G32" s="87">
        <f t="shared" si="0"/>
        <v>0</v>
      </c>
      <c r="H32" s="77"/>
      <c r="I32" s="77"/>
      <c r="J32" s="77"/>
      <c r="K32" s="77"/>
      <c r="L32" s="77"/>
      <c r="M32" s="77"/>
      <c r="N32" s="39"/>
      <c r="O32" s="39"/>
      <c r="P32" s="39"/>
      <c r="Q32" s="39"/>
      <c r="R32" s="77"/>
      <c r="S32" s="77"/>
      <c r="U32" s="180"/>
    </row>
    <row r="33" spans="1:21" s="175" customFormat="1">
      <c r="A33" s="232">
        <v>27</v>
      </c>
      <c r="B33" s="77"/>
      <c r="C33" s="77"/>
      <c r="D33" s="77"/>
      <c r="E33" s="74"/>
      <c r="F33" s="77"/>
      <c r="G33" s="87">
        <f t="shared" si="0"/>
        <v>0</v>
      </c>
      <c r="H33" s="77"/>
      <c r="I33" s="77"/>
      <c r="J33" s="77"/>
      <c r="K33" s="77"/>
      <c r="L33" s="77"/>
      <c r="M33" s="77"/>
      <c r="N33" s="39"/>
      <c r="O33" s="39"/>
      <c r="P33" s="39"/>
      <c r="Q33" s="39"/>
      <c r="R33" s="77"/>
      <c r="S33" s="77"/>
      <c r="U33" s="180"/>
    </row>
    <row r="34" spans="1:21" s="175" customFormat="1">
      <c r="A34" s="232">
        <v>28</v>
      </c>
      <c r="B34" s="77"/>
      <c r="C34" s="77"/>
      <c r="D34" s="77"/>
      <c r="E34" s="74"/>
      <c r="F34" s="77"/>
      <c r="G34" s="87">
        <f t="shared" si="0"/>
        <v>0</v>
      </c>
      <c r="H34" s="77"/>
      <c r="I34" s="77"/>
      <c r="J34" s="77"/>
      <c r="K34" s="77"/>
      <c r="L34" s="77"/>
      <c r="M34" s="77"/>
      <c r="N34" s="39"/>
      <c r="O34" s="39"/>
      <c r="P34" s="39"/>
      <c r="Q34" s="39"/>
      <c r="R34" s="77"/>
      <c r="S34" s="77"/>
      <c r="U34" s="180"/>
    </row>
    <row r="35" spans="1:21" s="175" customFormat="1">
      <c r="A35" s="232">
        <v>29</v>
      </c>
      <c r="B35" s="77"/>
      <c r="C35" s="77"/>
      <c r="D35" s="77"/>
      <c r="E35" s="74"/>
      <c r="F35" s="77"/>
      <c r="G35" s="87">
        <f t="shared" si="0"/>
        <v>0</v>
      </c>
      <c r="H35" s="77"/>
      <c r="I35" s="77"/>
      <c r="J35" s="77"/>
      <c r="K35" s="77"/>
      <c r="L35" s="77"/>
      <c r="M35" s="77"/>
      <c r="N35" s="39"/>
      <c r="O35" s="39"/>
      <c r="P35" s="39"/>
      <c r="Q35" s="39"/>
      <c r="R35" s="77"/>
      <c r="S35" s="77"/>
      <c r="U35" s="180"/>
    </row>
    <row r="36" spans="1:21" s="175" customFormat="1">
      <c r="A36" s="232">
        <v>30</v>
      </c>
      <c r="B36" s="77"/>
      <c r="C36" s="77"/>
      <c r="D36" s="77"/>
      <c r="E36" s="74"/>
      <c r="F36" s="77"/>
      <c r="G36" s="87">
        <f t="shared" si="0"/>
        <v>0</v>
      </c>
      <c r="H36" s="77"/>
      <c r="I36" s="77"/>
      <c r="J36" s="77"/>
      <c r="K36" s="77"/>
      <c r="L36" s="77"/>
      <c r="M36" s="77"/>
      <c r="N36" s="39"/>
      <c r="O36" s="39"/>
      <c r="P36" s="39"/>
      <c r="Q36" s="39"/>
      <c r="R36" s="77"/>
      <c r="S36" s="77"/>
      <c r="U36" s="180"/>
    </row>
    <row r="37" spans="1:21" s="175" customFormat="1">
      <c r="A37" s="232">
        <v>31</v>
      </c>
      <c r="B37" s="77"/>
      <c r="C37" s="77"/>
      <c r="D37" s="77"/>
      <c r="E37" s="74"/>
      <c r="F37" s="77"/>
      <c r="G37" s="87">
        <f t="shared" si="0"/>
        <v>0</v>
      </c>
      <c r="H37" s="77"/>
      <c r="I37" s="77"/>
      <c r="J37" s="77"/>
      <c r="K37" s="77"/>
      <c r="L37" s="77"/>
      <c r="M37" s="77"/>
      <c r="N37" s="39"/>
      <c r="O37" s="39"/>
      <c r="P37" s="39"/>
      <c r="Q37" s="39"/>
      <c r="R37" s="77"/>
      <c r="S37" s="77"/>
      <c r="U37" s="180"/>
    </row>
    <row r="38" spans="1:21" s="175" customFormat="1">
      <c r="A38" s="232">
        <v>32</v>
      </c>
      <c r="B38" s="77"/>
      <c r="C38" s="77"/>
      <c r="D38" s="77"/>
      <c r="E38" s="74"/>
      <c r="F38" s="77"/>
      <c r="G38" s="87">
        <f t="shared" si="0"/>
        <v>0</v>
      </c>
      <c r="H38" s="77"/>
      <c r="I38" s="77"/>
      <c r="J38" s="77"/>
      <c r="K38" s="77"/>
      <c r="L38" s="77"/>
      <c r="M38" s="77"/>
      <c r="N38" s="39"/>
      <c r="O38" s="39"/>
      <c r="P38" s="39"/>
      <c r="Q38" s="39"/>
      <c r="R38" s="77"/>
      <c r="S38" s="77"/>
      <c r="U38" s="180"/>
    </row>
    <row r="39" spans="1:21" s="175" customFormat="1">
      <c r="A39" s="232">
        <v>33</v>
      </c>
      <c r="B39" s="77"/>
      <c r="C39" s="77"/>
      <c r="D39" s="77"/>
      <c r="E39" s="74"/>
      <c r="F39" s="77"/>
      <c r="G39" s="87">
        <f t="shared" si="0"/>
        <v>0</v>
      </c>
      <c r="H39" s="77"/>
      <c r="I39" s="77"/>
      <c r="J39" s="77"/>
      <c r="K39" s="77"/>
      <c r="L39" s="77"/>
      <c r="M39" s="77"/>
      <c r="N39" s="39"/>
      <c r="O39" s="39"/>
      <c r="P39" s="39"/>
      <c r="Q39" s="39"/>
      <c r="R39" s="77"/>
      <c r="S39" s="77"/>
      <c r="U39" s="180"/>
    </row>
    <row r="40" spans="1:21" s="175" customFormat="1">
      <c r="A40" s="232">
        <v>34</v>
      </c>
      <c r="B40" s="77"/>
      <c r="C40" s="77"/>
      <c r="D40" s="77"/>
      <c r="E40" s="74"/>
      <c r="F40" s="77"/>
      <c r="G40" s="87">
        <f t="shared" si="0"/>
        <v>0</v>
      </c>
      <c r="H40" s="77"/>
      <c r="I40" s="77"/>
      <c r="J40" s="77"/>
      <c r="K40" s="77"/>
      <c r="L40" s="77"/>
      <c r="M40" s="77"/>
      <c r="N40" s="39"/>
      <c r="O40" s="39"/>
      <c r="P40" s="39"/>
      <c r="Q40" s="39"/>
      <c r="R40" s="77"/>
      <c r="S40" s="77"/>
      <c r="U40" s="180"/>
    </row>
    <row r="41" spans="1:21" s="175" customFormat="1">
      <c r="A41" s="232">
        <v>35</v>
      </c>
      <c r="B41" s="77"/>
      <c r="C41" s="77"/>
      <c r="D41" s="77"/>
      <c r="E41" s="74"/>
      <c r="F41" s="77"/>
      <c r="G41" s="87">
        <f t="shared" si="0"/>
        <v>0</v>
      </c>
      <c r="H41" s="77"/>
      <c r="I41" s="77"/>
      <c r="J41" s="77"/>
      <c r="K41" s="77"/>
      <c r="L41" s="77"/>
      <c r="M41" s="77"/>
      <c r="N41" s="39"/>
      <c r="O41" s="39"/>
      <c r="P41" s="39"/>
      <c r="Q41" s="39"/>
      <c r="R41" s="77"/>
      <c r="S41" s="77"/>
      <c r="U41" s="180"/>
    </row>
    <row r="42" spans="1:21" s="175" customFormat="1">
      <c r="A42" s="232">
        <v>36</v>
      </c>
      <c r="B42" s="77"/>
      <c r="C42" s="77"/>
      <c r="D42" s="77"/>
      <c r="E42" s="74"/>
      <c r="F42" s="77"/>
      <c r="G42" s="87">
        <f t="shared" si="0"/>
        <v>0</v>
      </c>
      <c r="H42" s="77"/>
      <c r="I42" s="77"/>
      <c r="J42" s="77"/>
      <c r="K42" s="77"/>
      <c r="L42" s="77"/>
      <c r="M42" s="77"/>
      <c r="N42" s="39"/>
      <c r="O42" s="39"/>
      <c r="P42" s="39"/>
      <c r="Q42" s="39"/>
      <c r="R42" s="77"/>
      <c r="S42" s="77"/>
      <c r="U42" s="180"/>
    </row>
    <row r="43" spans="1:21" s="175" customFormat="1">
      <c r="A43" s="232">
        <v>37</v>
      </c>
      <c r="B43" s="77"/>
      <c r="C43" s="77"/>
      <c r="D43" s="77"/>
      <c r="E43" s="74"/>
      <c r="F43" s="77"/>
      <c r="G43" s="87">
        <f t="shared" si="0"/>
        <v>0</v>
      </c>
      <c r="H43" s="77"/>
      <c r="I43" s="77"/>
      <c r="J43" s="77"/>
      <c r="K43" s="77"/>
      <c r="L43" s="77"/>
      <c r="M43" s="77"/>
      <c r="N43" s="39"/>
      <c r="O43" s="39"/>
      <c r="P43" s="39"/>
      <c r="Q43" s="39"/>
      <c r="R43" s="77"/>
      <c r="S43" s="77"/>
      <c r="U43" s="180"/>
    </row>
    <row r="44" spans="1:21" s="175" customFormat="1">
      <c r="A44" s="232">
        <v>38</v>
      </c>
      <c r="B44" s="564"/>
      <c r="C44" s="77"/>
      <c r="D44" s="77"/>
      <c r="E44" s="74"/>
      <c r="F44" s="77"/>
      <c r="G44" s="87">
        <f t="shared" si="0"/>
        <v>0</v>
      </c>
      <c r="H44" s="77"/>
      <c r="I44" s="77"/>
      <c r="J44" s="77"/>
      <c r="K44" s="77"/>
      <c r="L44" s="77"/>
      <c r="M44" s="77"/>
      <c r="N44" s="39"/>
      <c r="O44" s="39"/>
      <c r="P44" s="39"/>
      <c r="Q44" s="39"/>
      <c r="R44" s="77"/>
      <c r="S44" s="77"/>
      <c r="U44" s="180"/>
    </row>
    <row r="45" spans="1:21" s="175" customFormat="1">
      <c r="A45" s="232">
        <v>39</v>
      </c>
      <c r="B45" s="77"/>
      <c r="C45" s="77"/>
      <c r="D45" s="77"/>
      <c r="E45" s="77"/>
      <c r="F45" s="77"/>
      <c r="G45" s="87">
        <f t="shared" si="0"/>
        <v>0</v>
      </c>
      <c r="H45" s="77"/>
      <c r="I45" s="77"/>
      <c r="J45" s="77"/>
      <c r="K45" s="77"/>
      <c r="L45" s="77"/>
      <c r="M45" s="77"/>
      <c r="N45" s="39"/>
      <c r="O45" s="39"/>
      <c r="P45" s="39"/>
      <c r="Q45" s="39"/>
      <c r="R45" s="77"/>
      <c r="S45" s="77"/>
      <c r="U45" s="180"/>
    </row>
    <row r="46" spans="1:21" s="175" customFormat="1">
      <c r="A46" s="232">
        <v>40</v>
      </c>
      <c r="B46" s="77"/>
      <c r="C46" s="77"/>
      <c r="D46" s="77"/>
      <c r="E46" s="77"/>
      <c r="F46" s="77"/>
      <c r="G46" s="87">
        <f t="shared" si="0"/>
        <v>0</v>
      </c>
      <c r="H46" s="77"/>
      <c r="I46" s="77"/>
      <c r="J46" s="77"/>
      <c r="K46" s="77"/>
      <c r="L46" s="77"/>
      <c r="M46" s="77"/>
      <c r="N46" s="39"/>
      <c r="O46" s="39"/>
      <c r="P46" s="39"/>
      <c r="Q46" s="39"/>
      <c r="R46" s="77"/>
      <c r="S46" s="77"/>
      <c r="U46" s="180"/>
    </row>
    <row r="47" spans="1:21" s="175" customFormat="1">
      <c r="A47" s="232">
        <v>41</v>
      </c>
      <c r="B47" s="77"/>
      <c r="C47" s="77"/>
      <c r="D47" s="77"/>
      <c r="E47" s="77"/>
      <c r="F47" s="77"/>
      <c r="G47" s="87">
        <f t="shared" si="0"/>
        <v>0</v>
      </c>
      <c r="H47" s="77"/>
      <c r="I47" s="77"/>
      <c r="J47" s="77"/>
      <c r="K47" s="77"/>
      <c r="L47" s="77"/>
      <c r="M47" s="77"/>
      <c r="N47" s="39"/>
      <c r="O47" s="39"/>
      <c r="P47" s="39"/>
      <c r="Q47" s="39"/>
      <c r="R47" s="77"/>
      <c r="S47" s="77"/>
      <c r="U47" s="180"/>
    </row>
    <row r="48" spans="1:21" s="175" customFormat="1">
      <c r="A48" s="232">
        <v>42</v>
      </c>
      <c r="B48" s="77"/>
      <c r="C48" s="77"/>
      <c r="D48" s="77"/>
      <c r="E48" s="77"/>
      <c r="F48" s="77"/>
      <c r="G48" s="87">
        <f t="shared" si="0"/>
        <v>0</v>
      </c>
      <c r="H48" s="77"/>
      <c r="I48" s="77"/>
      <c r="J48" s="77"/>
      <c r="K48" s="77"/>
      <c r="L48" s="77"/>
      <c r="M48" s="77"/>
      <c r="N48" s="39"/>
      <c r="O48" s="39"/>
      <c r="P48" s="39"/>
      <c r="Q48" s="39"/>
      <c r="R48" s="77"/>
      <c r="S48" s="77"/>
      <c r="U48" s="180"/>
    </row>
    <row r="49" spans="1:21" s="175" customFormat="1">
      <c r="A49" s="232">
        <v>43</v>
      </c>
      <c r="B49" s="77"/>
      <c r="C49" s="77"/>
      <c r="D49" s="77"/>
      <c r="E49" s="77"/>
      <c r="F49" s="77"/>
      <c r="G49" s="87">
        <f t="shared" si="0"/>
        <v>0</v>
      </c>
      <c r="H49" s="77"/>
      <c r="I49" s="77"/>
      <c r="J49" s="77"/>
      <c r="K49" s="77"/>
      <c r="L49" s="77"/>
      <c r="M49" s="77"/>
      <c r="N49" s="39"/>
      <c r="O49" s="39"/>
      <c r="P49" s="39"/>
      <c r="Q49" s="39"/>
      <c r="R49" s="77"/>
      <c r="S49" s="77"/>
      <c r="U49" s="180"/>
    </row>
    <row r="50" spans="1:21" s="175" customFormat="1">
      <c r="A50" s="232">
        <v>44</v>
      </c>
      <c r="B50" s="77"/>
      <c r="C50" s="77"/>
      <c r="D50" s="77"/>
      <c r="E50" s="77"/>
      <c r="F50" s="77"/>
      <c r="G50" s="87">
        <f t="shared" si="0"/>
        <v>0</v>
      </c>
      <c r="H50" s="77"/>
      <c r="I50" s="77"/>
      <c r="J50" s="77"/>
      <c r="K50" s="77"/>
      <c r="L50" s="77"/>
      <c r="M50" s="77"/>
      <c r="N50" s="39"/>
      <c r="O50" s="39"/>
      <c r="P50" s="39"/>
      <c r="Q50" s="39"/>
      <c r="R50" s="77"/>
      <c r="S50" s="77"/>
      <c r="U50" s="180"/>
    </row>
    <row r="51" spans="1:21" s="175" customFormat="1">
      <c r="A51" s="232">
        <v>45</v>
      </c>
      <c r="B51" s="77"/>
      <c r="C51" s="77"/>
      <c r="D51" s="77"/>
      <c r="E51" s="77"/>
      <c r="F51" s="77"/>
      <c r="G51" s="87">
        <f t="shared" si="0"/>
        <v>0</v>
      </c>
      <c r="H51" s="77"/>
      <c r="I51" s="77"/>
      <c r="J51" s="77"/>
      <c r="K51" s="77"/>
      <c r="L51" s="77"/>
      <c r="M51" s="77"/>
      <c r="N51" s="39"/>
      <c r="O51" s="39"/>
      <c r="P51" s="39"/>
      <c r="Q51" s="39"/>
      <c r="R51" s="77"/>
      <c r="S51" s="77"/>
      <c r="U51" s="180"/>
    </row>
    <row r="52" spans="1:21" s="175" customFormat="1">
      <c r="A52" s="232">
        <v>46</v>
      </c>
      <c r="B52" s="77"/>
      <c r="C52" s="77"/>
      <c r="D52" s="77"/>
      <c r="E52" s="77"/>
      <c r="F52" s="77"/>
      <c r="G52" s="87">
        <f t="shared" si="0"/>
        <v>0</v>
      </c>
      <c r="H52" s="77"/>
      <c r="I52" s="77"/>
      <c r="J52" s="77"/>
      <c r="K52" s="77"/>
      <c r="L52" s="77"/>
      <c r="M52" s="77"/>
      <c r="N52" s="39"/>
      <c r="O52" s="39"/>
      <c r="P52" s="39"/>
      <c r="Q52" s="39"/>
      <c r="R52" s="77"/>
      <c r="S52" s="77"/>
      <c r="U52" s="180"/>
    </row>
    <row r="53" spans="1:21" s="175" customFormat="1">
      <c r="A53" s="232">
        <v>47</v>
      </c>
      <c r="B53" s="77"/>
      <c r="C53" s="77"/>
      <c r="D53" s="77"/>
      <c r="E53" s="77"/>
      <c r="F53" s="77"/>
      <c r="G53" s="87">
        <f t="shared" si="0"/>
        <v>0</v>
      </c>
      <c r="H53" s="77"/>
      <c r="I53" s="77"/>
      <c r="J53" s="77"/>
      <c r="K53" s="77"/>
      <c r="L53" s="77"/>
      <c r="M53" s="77"/>
      <c r="N53" s="39"/>
      <c r="O53" s="39"/>
      <c r="P53" s="39"/>
      <c r="Q53" s="39"/>
      <c r="R53" s="77"/>
      <c r="S53" s="77"/>
      <c r="U53" s="180"/>
    </row>
    <row r="54" spans="1:21" s="175" customFormat="1">
      <c r="A54" s="232">
        <v>48</v>
      </c>
      <c r="B54" s="77"/>
      <c r="C54" s="77"/>
      <c r="D54" s="77"/>
      <c r="E54" s="77"/>
      <c r="F54" s="77"/>
      <c r="G54" s="87">
        <f t="shared" si="0"/>
        <v>0</v>
      </c>
      <c r="H54" s="77"/>
      <c r="I54" s="77"/>
      <c r="J54" s="77"/>
      <c r="K54" s="77"/>
      <c r="L54" s="77"/>
      <c r="M54" s="77"/>
      <c r="N54" s="39"/>
      <c r="O54" s="39"/>
      <c r="P54" s="39"/>
      <c r="Q54" s="39"/>
      <c r="R54" s="77"/>
      <c r="S54" s="77"/>
      <c r="U54" s="180"/>
    </row>
    <row r="55" spans="1:21" s="175" customFormat="1">
      <c r="A55" s="232">
        <v>49</v>
      </c>
      <c r="B55" s="77"/>
      <c r="C55" s="77"/>
      <c r="D55" s="77"/>
      <c r="E55" s="77"/>
      <c r="F55" s="77"/>
      <c r="G55" s="87">
        <f t="shared" si="0"/>
        <v>0</v>
      </c>
      <c r="H55" s="77"/>
      <c r="I55" s="77"/>
      <c r="J55" s="77"/>
      <c r="K55" s="77"/>
      <c r="L55" s="77"/>
      <c r="M55" s="77"/>
      <c r="N55" s="39"/>
      <c r="O55" s="39"/>
      <c r="P55" s="39"/>
      <c r="Q55" s="39"/>
      <c r="R55" s="77"/>
      <c r="S55" s="77"/>
      <c r="U55" s="180"/>
    </row>
    <row r="56" spans="1:21" s="175" customFormat="1">
      <c r="A56" s="232">
        <v>50</v>
      </c>
      <c r="B56" s="77"/>
      <c r="C56" s="77"/>
      <c r="D56" s="77"/>
      <c r="E56" s="77"/>
      <c r="F56" s="77"/>
      <c r="G56" s="87">
        <f t="shared" si="0"/>
        <v>0</v>
      </c>
      <c r="H56" s="77"/>
      <c r="I56" s="77"/>
      <c r="J56" s="77"/>
      <c r="K56" s="77"/>
      <c r="L56" s="77"/>
      <c r="M56" s="77"/>
      <c r="N56" s="39"/>
      <c r="O56" s="39"/>
      <c r="P56" s="39"/>
      <c r="Q56" s="39"/>
      <c r="R56" s="77"/>
      <c r="S56" s="77"/>
      <c r="U56" s="180"/>
    </row>
    <row r="57" spans="1:21" s="175" customFormat="1">
      <c r="A57" s="232">
        <v>51</v>
      </c>
      <c r="B57" s="77"/>
      <c r="C57" s="77"/>
      <c r="D57" s="77"/>
      <c r="E57" s="77"/>
      <c r="F57" s="77"/>
      <c r="G57" s="87">
        <f t="shared" si="0"/>
        <v>0</v>
      </c>
      <c r="H57" s="77"/>
      <c r="I57" s="77"/>
      <c r="J57" s="77"/>
      <c r="K57" s="77"/>
      <c r="L57" s="77"/>
      <c r="M57" s="77"/>
      <c r="N57" s="39"/>
      <c r="O57" s="39"/>
      <c r="P57" s="39"/>
      <c r="Q57" s="39"/>
      <c r="R57" s="77"/>
      <c r="S57" s="77"/>
      <c r="U57" s="180"/>
    </row>
    <row r="58" spans="1:21" s="175" customFormat="1">
      <c r="A58" s="232">
        <v>52</v>
      </c>
      <c r="B58" s="77"/>
      <c r="C58" s="77"/>
      <c r="D58" s="77"/>
      <c r="E58" s="77"/>
      <c r="F58" s="77"/>
      <c r="G58" s="87">
        <f t="shared" si="0"/>
        <v>0</v>
      </c>
      <c r="H58" s="77"/>
      <c r="I58" s="77"/>
      <c r="J58" s="77"/>
      <c r="K58" s="77"/>
      <c r="L58" s="77"/>
      <c r="M58" s="77"/>
      <c r="N58" s="39"/>
      <c r="O58" s="39"/>
      <c r="P58" s="39"/>
      <c r="Q58" s="39"/>
      <c r="R58" s="77"/>
      <c r="S58" s="77"/>
      <c r="U58" s="180"/>
    </row>
    <row r="59" spans="1:21" s="175" customFormat="1">
      <c r="A59" s="232">
        <v>53</v>
      </c>
      <c r="B59" s="77"/>
      <c r="C59" s="77"/>
      <c r="D59" s="77"/>
      <c r="E59" s="77"/>
      <c r="F59" s="77"/>
      <c r="G59" s="87">
        <f t="shared" si="0"/>
        <v>0</v>
      </c>
      <c r="H59" s="77"/>
      <c r="I59" s="77"/>
      <c r="J59" s="77"/>
      <c r="K59" s="77"/>
      <c r="L59" s="77"/>
      <c r="M59" s="77"/>
      <c r="N59" s="39"/>
      <c r="O59" s="39"/>
      <c r="P59" s="39"/>
      <c r="Q59" s="39"/>
      <c r="R59" s="77"/>
      <c r="S59" s="77"/>
      <c r="U59" s="180"/>
    </row>
    <row r="60" spans="1:21" s="175" customFormat="1">
      <c r="A60" s="232">
        <v>54</v>
      </c>
      <c r="B60" s="77"/>
      <c r="C60" s="77"/>
      <c r="D60" s="77"/>
      <c r="E60" s="77"/>
      <c r="F60" s="77"/>
      <c r="G60" s="87">
        <f t="shared" si="0"/>
        <v>0</v>
      </c>
      <c r="H60" s="77"/>
      <c r="I60" s="77"/>
      <c r="J60" s="77"/>
      <c r="K60" s="77"/>
      <c r="L60" s="77"/>
      <c r="M60" s="77"/>
      <c r="N60" s="39"/>
      <c r="O60" s="39"/>
      <c r="P60" s="39"/>
      <c r="Q60" s="39"/>
      <c r="R60" s="77"/>
      <c r="S60" s="77"/>
      <c r="U60" s="180"/>
    </row>
    <row r="61" spans="1:21" s="175" customFormat="1">
      <c r="A61" s="232">
        <v>55</v>
      </c>
      <c r="B61" s="77"/>
      <c r="C61" s="77"/>
      <c r="D61" s="77"/>
      <c r="E61" s="77"/>
      <c r="F61" s="77"/>
      <c r="G61" s="87">
        <f t="shared" si="0"/>
        <v>0</v>
      </c>
      <c r="H61" s="77"/>
      <c r="I61" s="77"/>
      <c r="J61" s="77"/>
      <c r="K61" s="77"/>
      <c r="L61" s="77"/>
      <c r="M61" s="77"/>
      <c r="N61" s="39"/>
      <c r="O61" s="39"/>
      <c r="P61" s="39"/>
      <c r="Q61" s="39"/>
      <c r="R61" s="77"/>
      <c r="S61" s="77"/>
      <c r="U61" s="180"/>
    </row>
    <row r="62" spans="1:21" s="175" customFormat="1">
      <c r="A62" s="232">
        <v>56</v>
      </c>
      <c r="B62" s="77"/>
      <c r="C62" s="77"/>
      <c r="D62" s="77"/>
      <c r="E62" s="77"/>
      <c r="F62" s="77"/>
      <c r="G62" s="87">
        <f t="shared" si="0"/>
        <v>0</v>
      </c>
      <c r="H62" s="77"/>
      <c r="I62" s="77"/>
      <c r="J62" s="77"/>
      <c r="K62" s="77"/>
      <c r="L62" s="77"/>
      <c r="M62" s="77"/>
      <c r="N62" s="39"/>
      <c r="O62" s="39"/>
      <c r="P62" s="39"/>
      <c r="Q62" s="39"/>
      <c r="R62" s="77"/>
      <c r="S62" s="77"/>
      <c r="U62" s="180"/>
    </row>
    <row r="63" spans="1:21" s="175" customFormat="1">
      <c r="A63" s="232">
        <v>57</v>
      </c>
      <c r="B63" s="77"/>
      <c r="C63" s="77"/>
      <c r="D63" s="77"/>
      <c r="E63" s="77"/>
      <c r="F63" s="77"/>
      <c r="G63" s="87">
        <f t="shared" si="0"/>
        <v>0</v>
      </c>
      <c r="H63" s="77"/>
      <c r="I63" s="77"/>
      <c r="J63" s="77"/>
      <c r="K63" s="77"/>
      <c r="L63" s="77"/>
      <c r="M63" s="77"/>
      <c r="N63" s="39"/>
      <c r="O63" s="39"/>
      <c r="P63" s="39"/>
      <c r="Q63" s="39"/>
      <c r="R63" s="77"/>
      <c r="S63" s="77"/>
      <c r="U63" s="180"/>
    </row>
    <row r="64" spans="1:21" s="175" customFormat="1">
      <c r="A64" s="232">
        <v>58</v>
      </c>
      <c r="B64" s="77"/>
      <c r="C64" s="77"/>
      <c r="D64" s="77"/>
      <c r="E64" s="77"/>
      <c r="F64" s="77"/>
      <c r="G64" s="87">
        <f t="shared" si="0"/>
        <v>0</v>
      </c>
      <c r="H64" s="77"/>
      <c r="I64" s="77"/>
      <c r="J64" s="77"/>
      <c r="K64" s="77"/>
      <c r="L64" s="77"/>
      <c r="M64" s="77"/>
      <c r="N64" s="39"/>
      <c r="O64" s="39"/>
      <c r="P64" s="39"/>
      <c r="Q64" s="39"/>
      <c r="R64" s="77"/>
      <c r="S64" s="77"/>
      <c r="U64" s="180"/>
    </row>
    <row r="65" spans="1:31" s="175" customFormat="1">
      <c r="A65" s="232">
        <v>59</v>
      </c>
      <c r="B65" s="77"/>
      <c r="C65" s="77"/>
      <c r="D65" s="77"/>
      <c r="E65" s="77"/>
      <c r="F65" s="77"/>
      <c r="G65" s="87">
        <f t="shared" si="0"/>
        <v>0</v>
      </c>
      <c r="H65" s="77"/>
      <c r="I65" s="77"/>
      <c r="J65" s="77"/>
      <c r="K65" s="77"/>
      <c r="L65" s="77"/>
      <c r="M65" s="77"/>
      <c r="N65" s="39"/>
      <c r="O65" s="39"/>
      <c r="P65" s="39"/>
      <c r="Q65" s="39"/>
      <c r="R65" s="77"/>
      <c r="S65" s="77"/>
      <c r="U65" s="180"/>
    </row>
    <row r="66" spans="1:31" s="175" customFormat="1">
      <c r="A66" s="232">
        <v>60</v>
      </c>
      <c r="B66" s="77"/>
      <c r="C66" s="77"/>
      <c r="D66" s="77"/>
      <c r="E66" s="77"/>
      <c r="F66" s="77"/>
      <c r="G66" s="87">
        <f t="shared" si="0"/>
        <v>0</v>
      </c>
      <c r="H66" s="77"/>
      <c r="I66" s="77"/>
      <c r="J66" s="77"/>
      <c r="K66" s="77"/>
      <c r="L66" s="77"/>
      <c r="M66" s="77"/>
      <c r="N66" s="39"/>
      <c r="O66" s="39"/>
      <c r="P66" s="39"/>
      <c r="Q66" s="39"/>
      <c r="R66" s="77"/>
      <c r="S66" s="77"/>
      <c r="U66" s="180"/>
    </row>
    <row r="67" spans="1:31" s="103" customFormat="1" ht="21" customHeight="1">
      <c r="A67" s="106"/>
      <c r="B67" s="107" t="s">
        <v>685</v>
      </c>
      <c r="C67" s="107"/>
      <c r="D67" s="107"/>
      <c r="E67" s="107"/>
      <c r="F67" s="108"/>
      <c r="G67" s="109">
        <f t="shared" ref="G67:K67" si="1">SUM(G7:G66)</f>
        <v>1026953903</v>
      </c>
      <c r="H67" s="109">
        <f t="shared" si="1"/>
        <v>764042380</v>
      </c>
      <c r="I67" s="109">
        <f t="shared" si="1"/>
        <v>0</v>
      </c>
      <c r="J67" s="109">
        <f t="shared" si="1"/>
        <v>0</v>
      </c>
      <c r="K67" s="109">
        <f t="shared" si="1"/>
        <v>104769200</v>
      </c>
      <c r="L67" s="109">
        <f t="shared" ref="L67:M67" si="2">SUM(L7:L66)</f>
        <v>157153800</v>
      </c>
      <c r="M67" s="109">
        <f t="shared" si="2"/>
        <v>988523</v>
      </c>
      <c r="N67" s="109"/>
      <c r="O67" s="109"/>
      <c r="P67" s="109">
        <f>SUM(P7:P66)</f>
        <v>216400000</v>
      </c>
      <c r="Q67" s="181"/>
      <c r="R67" s="182"/>
      <c r="S67" s="183"/>
      <c r="U67" s="184"/>
    </row>
    <row r="68" spans="1:31" s="103" customFormat="1" ht="21" customHeight="1">
      <c r="A68" s="106"/>
      <c r="B68" s="107" t="s">
        <v>686</v>
      </c>
      <c r="C68" s="107"/>
      <c r="D68" s="107"/>
      <c r="E68" s="107"/>
      <c r="F68" s="108"/>
      <c r="G68" s="65">
        <f t="shared" ref="G68:K68" si="3">MAX(G7:G66)</f>
        <v>455250911</v>
      </c>
      <c r="H68" s="65">
        <f t="shared" si="3"/>
        <v>349753188</v>
      </c>
      <c r="I68" s="65">
        <f t="shared" si="3"/>
        <v>0</v>
      </c>
      <c r="J68" s="65">
        <f t="shared" si="3"/>
        <v>0</v>
      </c>
      <c r="K68" s="65">
        <f t="shared" si="3"/>
        <v>104769200</v>
      </c>
      <c r="L68" s="65">
        <f t="shared" ref="L68:M68" si="4">MAX(L7:L66)</f>
        <v>157153800</v>
      </c>
      <c r="M68" s="65">
        <f t="shared" si="4"/>
        <v>728523</v>
      </c>
      <c r="N68" s="65"/>
      <c r="O68" s="65"/>
      <c r="P68" s="65">
        <f>MAX(P7:P66)</f>
        <v>216400000</v>
      </c>
      <c r="Q68" s="185"/>
      <c r="R68" s="186"/>
      <c r="S68" s="187"/>
      <c r="U68" s="184"/>
    </row>
    <row r="69" spans="1:31" s="103" customFormat="1">
      <c r="U69" s="184"/>
    </row>
    <row r="70" spans="1:31" s="103" customFormat="1">
      <c r="U70" s="184"/>
    </row>
    <row r="71" spans="1:31" s="103" customFormat="1">
      <c r="B71" s="32" t="s">
        <v>0</v>
      </c>
      <c r="U71" s="184"/>
    </row>
    <row r="72" spans="1:31" s="103" customFormat="1">
      <c r="B72" s="32"/>
      <c r="U72" s="184"/>
    </row>
    <row r="73" spans="1:31" s="103" customFormat="1">
      <c r="B73" s="32" t="s">
        <v>1</v>
      </c>
      <c r="U73" s="184"/>
    </row>
    <row r="74" spans="1:31">
      <c r="A74" s="105"/>
      <c r="B74" s="105"/>
      <c r="C74" s="105"/>
      <c r="D74" s="105"/>
      <c r="E74" s="105"/>
      <c r="F74" s="105"/>
      <c r="G74" s="105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U74" s="188"/>
      <c r="V74" s="105"/>
      <c r="W74" s="105"/>
      <c r="X74" s="105"/>
      <c r="Y74" s="105"/>
      <c r="Z74" s="105"/>
      <c r="AA74" s="105"/>
      <c r="AB74" s="105"/>
      <c r="AC74" s="105"/>
      <c r="AD74" s="105"/>
      <c r="AE74" s="105"/>
    </row>
    <row r="75" spans="1:31">
      <c r="A75" s="105"/>
      <c r="B75" s="105"/>
      <c r="C75" s="105"/>
      <c r="D75" s="105"/>
      <c r="E75" s="105"/>
      <c r="F75" s="105"/>
      <c r="G75" s="105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U75" s="188"/>
      <c r="V75" s="105"/>
      <c r="W75" s="105"/>
      <c r="X75" s="105"/>
      <c r="Y75" s="105"/>
      <c r="Z75" s="105"/>
      <c r="AA75" s="105"/>
      <c r="AB75" s="105"/>
      <c r="AC75" s="105"/>
      <c r="AD75" s="105"/>
      <c r="AE75" s="105"/>
    </row>
    <row r="76" spans="1:31">
      <c r="A76" s="105"/>
      <c r="B76" s="105"/>
      <c r="C76" s="105"/>
      <c r="D76" s="105"/>
      <c r="E76" s="105"/>
      <c r="F76" s="105"/>
      <c r="G76" s="105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U76" s="188"/>
      <c r="V76" s="105"/>
      <c r="W76" s="105"/>
      <c r="X76" s="105"/>
      <c r="Y76" s="105"/>
      <c r="Z76" s="105"/>
      <c r="AA76" s="105"/>
      <c r="AB76" s="105"/>
      <c r="AC76" s="105"/>
      <c r="AD76" s="105"/>
      <c r="AE76" s="105"/>
    </row>
    <row r="77" spans="1:31">
      <c r="A77" s="105"/>
      <c r="B77" s="105"/>
      <c r="C77" s="105"/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U77" s="188"/>
      <c r="V77" s="105"/>
      <c r="W77" s="105"/>
      <c r="X77" s="105"/>
      <c r="Y77" s="105"/>
      <c r="Z77" s="105"/>
      <c r="AA77" s="105"/>
      <c r="AB77" s="105"/>
      <c r="AC77" s="105"/>
      <c r="AD77" s="105"/>
      <c r="AE77" s="105"/>
    </row>
    <row r="78" spans="1:31">
      <c r="A78" s="105"/>
      <c r="B78" s="105"/>
      <c r="C78" s="105"/>
      <c r="D78" s="105"/>
      <c r="E78" s="105"/>
      <c r="F78" s="105"/>
      <c r="G78" s="105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U78" s="188"/>
      <c r="V78" s="105"/>
      <c r="W78" s="105"/>
      <c r="X78" s="105"/>
      <c r="Y78" s="105"/>
      <c r="Z78" s="105"/>
      <c r="AA78" s="105"/>
      <c r="AB78" s="105"/>
      <c r="AC78" s="105"/>
      <c r="AD78" s="105"/>
      <c r="AE78" s="105"/>
    </row>
    <row r="79" spans="1:31">
      <c r="A79" s="105"/>
      <c r="B79" s="105"/>
      <c r="C79" s="105"/>
      <c r="D79" s="105"/>
      <c r="E79" s="105"/>
      <c r="F79" s="105"/>
      <c r="G79" s="105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U79" s="188"/>
      <c r="V79" s="105"/>
      <c r="W79" s="105"/>
      <c r="X79" s="105"/>
      <c r="Y79" s="105"/>
      <c r="Z79" s="105"/>
      <c r="AA79" s="105"/>
      <c r="AB79" s="105"/>
      <c r="AC79" s="105"/>
      <c r="AD79" s="105"/>
      <c r="AE79" s="105"/>
    </row>
    <row r="80" spans="1:31">
      <c r="A80" s="105"/>
      <c r="B80" s="105"/>
      <c r="C80" s="105"/>
      <c r="D80" s="105"/>
      <c r="E80" s="105"/>
      <c r="F80" s="105"/>
      <c r="G80" s="105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U80" s="188"/>
      <c r="V80" s="105"/>
      <c r="W80" s="105"/>
      <c r="X80" s="105"/>
      <c r="Y80" s="105"/>
      <c r="Z80" s="105"/>
      <c r="AA80" s="105"/>
      <c r="AB80" s="105"/>
      <c r="AC80" s="105"/>
      <c r="AD80" s="105"/>
      <c r="AE80" s="105"/>
    </row>
    <row r="81" spans="1:31">
      <c r="A81" s="105"/>
      <c r="B81" s="105"/>
      <c r="C81" s="105"/>
      <c r="D81" s="105"/>
      <c r="E81" s="105"/>
      <c r="F81" s="105"/>
      <c r="G81" s="105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U81" s="188"/>
      <c r="V81" s="105"/>
      <c r="W81" s="105"/>
      <c r="X81" s="105"/>
      <c r="Y81" s="105"/>
      <c r="Z81" s="105"/>
      <c r="AA81" s="105"/>
      <c r="AB81" s="105"/>
      <c r="AC81" s="105"/>
      <c r="AD81" s="105"/>
      <c r="AE81" s="105"/>
    </row>
    <row r="82" spans="1:31">
      <c r="A82" s="105"/>
      <c r="B82" s="105"/>
      <c r="C82" s="105"/>
      <c r="D82" s="105"/>
      <c r="E82" s="105"/>
      <c r="F82" s="105"/>
      <c r="G82" s="105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U82" s="188"/>
      <c r="V82" s="105"/>
      <c r="W82" s="105"/>
      <c r="X82" s="105"/>
      <c r="Y82" s="105"/>
      <c r="Z82" s="105"/>
      <c r="AA82" s="105"/>
      <c r="AB82" s="105"/>
      <c r="AC82" s="105"/>
      <c r="AD82" s="105"/>
      <c r="AE82" s="105"/>
    </row>
    <row r="83" spans="1:31">
      <c r="A83" s="105"/>
      <c r="B83" s="105"/>
      <c r="C83" s="105"/>
      <c r="D83" s="105"/>
      <c r="E83" s="105"/>
      <c r="F83" s="105"/>
      <c r="G83" s="105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U83" s="188"/>
      <c r="V83" s="105"/>
      <c r="W83" s="105"/>
      <c r="X83" s="105"/>
      <c r="Y83" s="105"/>
      <c r="Z83" s="105"/>
      <c r="AA83" s="105"/>
      <c r="AB83" s="105"/>
      <c r="AC83" s="105"/>
      <c r="AD83" s="105"/>
      <c r="AE83" s="105"/>
    </row>
    <row r="84" spans="1:31">
      <c r="A84" s="105"/>
      <c r="B84" s="105"/>
      <c r="C84" s="105"/>
      <c r="D84" s="105"/>
      <c r="E84" s="105"/>
      <c r="F84" s="105"/>
      <c r="G84" s="105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U84" s="188"/>
      <c r="V84" s="105"/>
      <c r="W84" s="105"/>
      <c r="X84" s="105"/>
      <c r="Y84" s="105"/>
      <c r="Z84" s="105"/>
      <c r="AA84" s="105"/>
      <c r="AB84" s="105"/>
      <c r="AC84" s="105"/>
      <c r="AD84" s="105"/>
      <c r="AE84" s="105"/>
    </row>
    <row r="85" spans="1:31">
      <c r="A85" s="105"/>
      <c r="B85" s="105"/>
      <c r="C85" s="105"/>
      <c r="D85" s="105"/>
      <c r="E85" s="105"/>
      <c r="F85" s="105"/>
      <c r="G85" s="105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U85" s="188"/>
      <c r="V85" s="105"/>
      <c r="W85" s="105"/>
      <c r="X85" s="105"/>
      <c r="Y85" s="105"/>
      <c r="Z85" s="105"/>
      <c r="AA85" s="105"/>
      <c r="AB85" s="105"/>
      <c r="AC85" s="105"/>
      <c r="AD85" s="105"/>
      <c r="AE85" s="105"/>
    </row>
    <row r="86" spans="1:31">
      <c r="A86" s="105"/>
      <c r="B86" s="105"/>
      <c r="C86" s="105"/>
      <c r="D86" s="105"/>
      <c r="E86" s="105"/>
      <c r="F86" s="105"/>
      <c r="G86" s="105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U86" s="188"/>
      <c r="V86" s="105"/>
      <c r="W86" s="105"/>
      <c r="X86" s="105"/>
      <c r="Y86" s="105"/>
      <c r="Z86" s="105"/>
      <c r="AA86" s="105"/>
      <c r="AB86" s="105"/>
      <c r="AC86" s="105"/>
      <c r="AD86" s="105"/>
      <c r="AE86" s="105"/>
    </row>
    <row r="87" spans="1:31">
      <c r="A87" s="105"/>
      <c r="B87" s="105"/>
      <c r="C87" s="105"/>
      <c r="D87" s="105"/>
      <c r="E87" s="105"/>
      <c r="F87" s="105"/>
      <c r="G87" s="105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U87" s="188"/>
      <c r="V87" s="105"/>
      <c r="W87" s="105"/>
      <c r="X87" s="105"/>
      <c r="Y87" s="105"/>
      <c r="Z87" s="105"/>
      <c r="AA87" s="105"/>
      <c r="AB87" s="105"/>
      <c r="AC87" s="105"/>
      <c r="AD87" s="105"/>
      <c r="AE87" s="105"/>
    </row>
    <row r="88" spans="1:31">
      <c r="A88" s="105"/>
      <c r="B88" s="105"/>
      <c r="C88" s="105"/>
      <c r="D88" s="105"/>
      <c r="E88" s="105"/>
      <c r="F88" s="105"/>
      <c r="G88" s="105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U88" s="188"/>
      <c r="V88" s="105"/>
      <c r="W88" s="105"/>
      <c r="X88" s="105"/>
      <c r="Y88" s="105"/>
      <c r="Z88" s="105"/>
      <c r="AA88" s="105"/>
      <c r="AB88" s="105"/>
      <c r="AC88" s="105"/>
      <c r="AD88" s="105"/>
      <c r="AE88" s="105"/>
    </row>
    <row r="89" spans="1:31">
      <c r="A89" s="105"/>
      <c r="B89" s="105"/>
      <c r="C89" s="105"/>
      <c r="D89" s="105"/>
      <c r="E89" s="105"/>
      <c r="F89" s="105"/>
      <c r="G89" s="105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U89" s="188"/>
      <c r="V89" s="105"/>
      <c r="W89" s="105"/>
      <c r="X89" s="105"/>
      <c r="Y89" s="105"/>
      <c r="Z89" s="105"/>
      <c r="AA89" s="105"/>
      <c r="AB89" s="105"/>
      <c r="AC89" s="105"/>
      <c r="AD89" s="105"/>
      <c r="AE89" s="105"/>
    </row>
    <row r="90" spans="1:31">
      <c r="A90" s="105"/>
      <c r="B90" s="105"/>
      <c r="C90" s="105"/>
      <c r="D90" s="105"/>
      <c r="E90" s="105"/>
      <c r="F90" s="105"/>
      <c r="G90" s="105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U90" s="188"/>
      <c r="V90" s="105"/>
      <c r="W90" s="105"/>
      <c r="X90" s="105"/>
      <c r="Y90" s="105"/>
      <c r="Z90" s="105"/>
      <c r="AA90" s="105"/>
      <c r="AB90" s="105"/>
      <c r="AC90" s="105"/>
      <c r="AD90" s="105"/>
      <c r="AE90" s="105"/>
    </row>
    <row r="91" spans="1:31">
      <c r="A91" s="105"/>
      <c r="B91" s="105"/>
      <c r="C91" s="105"/>
      <c r="D91" s="105"/>
      <c r="E91" s="105"/>
      <c r="F91" s="105"/>
      <c r="G91" s="105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U91" s="188"/>
      <c r="V91" s="105"/>
      <c r="W91" s="105"/>
      <c r="X91" s="105"/>
      <c r="Y91" s="105"/>
      <c r="Z91" s="105"/>
      <c r="AA91" s="105"/>
      <c r="AB91" s="105"/>
      <c r="AC91" s="105"/>
      <c r="AD91" s="105"/>
      <c r="AE91" s="105"/>
    </row>
    <row r="92" spans="1:31">
      <c r="A92" s="105"/>
      <c r="B92" s="105"/>
      <c r="C92" s="105"/>
      <c r="D92" s="105"/>
      <c r="E92" s="105"/>
      <c r="F92" s="105"/>
      <c r="G92" s="105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U92" s="188"/>
      <c r="V92" s="105"/>
      <c r="W92" s="105"/>
      <c r="X92" s="105"/>
      <c r="Y92" s="105"/>
      <c r="Z92" s="105"/>
      <c r="AA92" s="105"/>
      <c r="AB92" s="105"/>
      <c r="AC92" s="105"/>
      <c r="AD92" s="105"/>
      <c r="AE92" s="105"/>
    </row>
    <row r="93" spans="1:31">
      <c r="A93" s="105"/>
      <c r="B93" s="105"/>
      <c r="C93" s="105"/>
      <c r="D93" s="105"/>
      <c r="E93" s="105"/>
      <c r="F93" s="105"/>
      <c r="G93" s="105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U93" s="188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</row>
    <row r="94" spans="1:31">
      <c r="A94" s="105"/>
      <c r="B94" s="105"/>
      <c r="C94" s="105"/>
      <c r="D94" s="105"/>
      <c r="E94" s="105"/>
      <c r="F94" s="105"/>
      <c r="G94" s="105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U94" s="188"/>
      <c r="V94" s="105"/>
      <c r="W94" s="105"/>
      <c r="X94" s="105"/>
      <c r="Y94" s="105"/>
      <c r="Z94" s="105"/>
      <c r="AA94" s="105"/>
      <c r="AB94" s="105"/>
      <c r="AC94" s="105"/>
      <c r="AD94" s="105"/>
      <c r="AE94" s="105"/>
    </row>
    <row r="95" spans="1:31">
      <c r="A95" s="105"/>
      <c r="B95" s="105"/>
      <c r="C95" s="105"/>
      <c r="D95" s="105"/>
      <c r="E95" s="105"/>
      <c r="F95" s="105"/>
      <c r="G95" s="105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U95" s="188"/>
      <c r="V95" s="105"/>
      <c r="W95" s="105"/>
      <c r="X95" s="105"/>
      <c r="Y95" s="105"/>
      <c r="Z95" s="105"/>
      <c r="AA95" s="105"/>
      <c r="AB95" s="105"/>
      <c r="AC95" s="105"/>
      <c r="AD95" s="105"/>
      <c r="AE95" s="105"/>
    </row>
    <row r="96" spans="1:31">
      <c r="A96" s="105"/>
      <c r="B96" s="105"/>
      <c r="C96" s="105"/>
      <c r="D96" s="105"/>
      <c r="E96" s="105"/>
      <c r="F96" s="105"/>
      <c r="G96" s="105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U96" s="188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</row>
    <row r="97" spans="1:31">
      <c r="A97" s="105"/>
      <c r="B97" s="105"/>
      <c r="C97" s="105"/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U97" s="188"/>
      <c r="V97" s="105"/>
      <c r="W97" s="105"/>
      <c r="X97" s="105"/>
      <c r="Y97" s="105"/>
      <c r="Z97" s="105"/>
      <c r="AA97" s="105"/>
      <c r="AB97" s="105"/>
      <c r="AC97" s="105"/>
      <c r="AD97" s="105"/>
      <c r="AE97" s="105"/>
    </row>
    <row r="98" spans="1:31">
      <c r="A98" s="105"/>
      <c r="B98" s="105"/>
      <c r="C98" s="105"/>
      <c r="D98" s="105"/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U98" s="188"/>
      <c r="V98" s="105"/>
      <c r="W98" s="105"/>
      <c r="X98" s="105"/>
      <c r="Y98" s="105"/>
      <c r="Z98" s="105"/>
      <c r="AA98" s="105"/>
      <c r="AB98" s="105"/>
      <c r="AC98" s="105"/>
      <c r="AD98" s="105"/>
      <c r="AE98" s="105"/>
    </row>
    <row r="99" spans="1:31">
      <c r="A99" s="105"/>
      <c r="B99" s="105"/>
      <c r="C99" s="105"/>
      <c r="D99" s="105"/>
      <c r="E99" s="105"/>
      <c r="F99" s="105"/>
      <c r="G99" s="105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U99" s="188"/>
      <c r="V99" s="105"/>
      <c r="W99" s="105"/>
      <c r="X99" s="105"/>
      <c r="Y99" s="105"/>
      <c r="Z99" s="105"/>
      <c r="AA99" s="105"/>
      <c r="AB99" s="105"/>
      <c r="AC99" s="105"/>
      <c r="AD99" s="105"/>
      <c r="AE99" s="105"/>
    </row>
    <row r="100" spans="1:31">
      <c r="A100" s="105"/>
      <c r="B100" s="105"/>
      <c r="C100" s="105"/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U100" s="188"/>
      <c r="V100" s="105"/>
      <c r="W100" s="105"/>
      <c r="X100" s="105"/>
      <c r="Y100" s="105"/>
      <c r="Z100" s="105"/>
      <c r="AA100" s="105"/>
      <c r="AB100" s="105"/>
      <c r="AC100" s="105"/>
      <c r="AD100" s="105"/>
      <c r="AE100" s="105"/>
    </row>
    <row r="101" spans="1:31">
      <c r="A101" s="105"/>
      <c r="B101" s="105"/>
      <c r="C101" s="105"/>
      <c r="D101" s="105"/>
      <c r="E101" s="105"/>
      <c r="F101" s="105"/>
      <c r="G101" s="105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U101" s="188"/>
      <c r="V101" s="105"/>
      <c r="W101" s="105"/>
      <c r="X101" s="105"/>
      <c r="Y101" s="105"/>
      <c r="Z101" s="105"/>
      <c r="AA101" s="105"/>
      <c r="AB101" s="105"/>
      <c r="AC101" s="105"/>
      <c r="AD101" s="105"/>
      <c r="AE101" s="105"/>
    </row>
    <row r="102" spans="1:31">
      <c r="A102" s="105"/>
      <c r="B102" s="105"/>
      <c r="C102" s="105"/>
      <c r="D102" s="105"/>
      <c r="E102" s="105"/>
      <c r="F102" s="105"/>
      <c r="G102" s="105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U102" s="188"/>
      <c r="V102" s="105"/>
      <c r="W102" s="105"/>
      <c r="X102" s="105"/>
      <c r="Y102" s="105"/>
      <c r="Z102" s="105"/>
      <c r="AA102" s="105"/>
      <c r="AB102" s="105"/>
      <c r="AC102" s="105"/>
      <c r="AD102" s="105"/>
      <c r="AE102" s="105"/>
    </row>
    <row r="103" spans="1:31">
      <c r="A103" s="105"/>
      <c r="B103" s="105"/>
      <c r="C103" s="105"/>
      <c r="D103" s="105"/>
      <c r="E103" s="105"/>
      <c r="F103" s="105"/>
      <c r="G103" s="105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U103" s="188"/>
      <c r="V103" s="105"/>
      <c r="W103" s="105"/>
      <c r="X103" s="105"/>
      <c r="Y103" s="105"/>
      <c r="Z103" s="105"/>
      <c r="AA103" s="105"/>
      <c r="AB103" s="105"/>
      <c r="AC103" s="105"/>
      <c r="AD103" s="105"/>
      <c r="AE103" s="105"/>
    </row>
    <row r="104" spans="1:31">
      <c r="A104" s="105"/>
      <c r="B104" s="105"/>
      <c r="C104" s="105"/>
      <c r="D104" s="105"/>
      <c r="E104" s="105"/>
      <c r="F104" s="105"/>
      <c r="G104" s="105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U104" s="188"/>
      <c r="V104" s="105"/>
      <c r="W104" s="105"/>
      <c r="X104" s="105"/>
      <c r="Y104" s="105"/>
      <c r="Z104" s="105"/>
      <c r="AA104" s="105"/>
      <c r="AB104" s="105"/>
      <c r="AC104" s="105"/>
      <c r="AD104" s="105"/>
      <c r="AE104" s="105"/>
    </row>
    <row r="105" spans="1:31">
      <c r="A105" s="105"/>
      <c r="B105" s="105"/>
      <c r="C105" s="105"/>
      <c r="D105" s="105"/>
      <c r="E105" s="105"/>
      <c r="F105" s="105"/>
      <c r="G105" s="105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U105" s="188"/>
      <c r="V105" s="105"/>
      <c r="W105" s="105"/>
      <c r="X105" s="105"/>
      <c r="Y105" s="105"/>
      <c r="Z105" s="105"/>
      <c r="AA105" s="105"/>
      <c r="AB105" s="105"/>
      <c r="AC105" s="105"/>
      <c r="AD105" s="105"/>
      <c r="AE105" s="105"/>
    </row>
    <row r="106" spans="1:31">
      <c r="A106" s="105"/>
      <c r="B106" s="105"/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U106" s="188"/>
      <c r="V106" s="105"/>
      <c r="W106" s="105"/>
      <c r="X106" s="105"/>
      <c r="Y106" s="105"/>
      <c r="Z106" s="105"/>
      <c r="AA106" s="105"/>
      <c r="AB106" s="105"/>
      <c r="AC106" s="105"/>
      <c r="AD106" s="105"/>
      <c r="AE106" s="105"/>
    </row>
    <row r="107" spans="1:31">
      <c r="A107" s="105"/>
      <c r="B107" s="105"/>
      <c r="C107" s="105"/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U107" s="188"/>
      <c r="V107" s="105"/>
      <c r="W107" s="105"/>
      <c r="X107" s="105"/>
      <c r="Y107" s="105"/>
      <c r="Z107" s="105"/>
      <c r="AA107" s="105"/>
      <c r="AB107" s="105"/>
      <c r="AC107" s="105"/>
      <c r="AD107" s="105"/>
      <c r="AE107" s="105"/>
    </row>
  </sheetData>
  <sheetProtection password="CACA" sheet="1" objects="1" scenarios="1"/>
  <mergeCells count="15">
    <mergeCell ref="A1:R1"/>
    <mergeCell ref="O4:P4"/>
    <mergeCell ref="A4:A5"/>
    <mergeCell ref="B4:B5"/>
    <mergeCell ref="R4:R5"/>
    <mergeCell ref="N3:P3"/>
    <mergeCell ref="S4:S5"/>
    <mergeCell ref="Q4:Q5"/>
    <mergeCell ref="N4:N5"/>
    <mergeCell ref="C4:C5"/>
    <mergeCell ref="D4:D5"/>
    <mergeCell ref="E4:E5"/>
    <mergeCell ref="F4:F5"/>
    <mergeCell ref="G4:G5"/>
    <mergeCell ref="H4:M4"/>
  </mergeCells>
  <phoneticPr fontId="17" type="noConversion"/>
  <printOptions horizontalCentered="1"/>
  <pageMargins left="0.15748031496062992" right="0.19685039370078741" top="0.49" bottom="0.19685039370078741" header="0.51181102362204722" footer="0.51181102362204722"/>
  <pageSetup paperSize="9" scale="52" orientation="landscape" r:id="rId1"/>
  <headerFooter alignWithMargins="0"/>
  <ignoredErrors>
    <ignoredError sqref="G57:G66 G7:G36 G37:G56" unlocked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Лист13">
    <pageSetUpPr fitToPage="1"/>
  </sheetPr>
  <dimension ref="A1:L31"/>
  <sheetViews>
    <sheetView view="pageBreakPreview" zoomScale="70" zoomScaleNormal="100" zoomScaleSheetLayoutView="70" workbookViewId="0">
      <selection activeCell="H33" sqref="H33"/>
    </sheetView>
  </sheetViews>
  <sheetFormatPr defaultColWidth="9.42578125" defaultRowHeight="15"/>
  <cols>
    <col min="1" max="1" width="34.28515625" style="25" customWidth="1"/>
    <col min="2" max="2" width="16.5703125" style="25" customWidth="1"/>
    <col min="3" max="3" width="17.5703125" style="25" customWidth="1"/>
    <col min="4" max="4" width="16.5703125" style="25" customWidth="1"/>
    <col min="5" max="5" width="17.5703125" style="25" customWidth="1"/>
    <col min="6" max="6" width="16.28515625" style="25" customWidth="1"/>
    <col min="7" max="8" width="13.5703125" style="96" customWidth="1"/>
    <col min="9" max="16384" width="9.42578125" style="25"/>
  </cols>
  <sheetData>
    <row r="1" spans="1:8" s="21" customFormat="1" ht="52.5" customHeight="1">
      <c r="A1" s="689" t="s">
        <v>698</v>
      </c>
      <c r="B1" s="689"/>
      <c r="C1" s="689"/>
      <c r="D1" s="689"/>
      <c r="E1" s="86" t="s">
        <v>642</v>
      </c>
      <c r="F1" s="26"/>
      <c r="G1" s="97"/>
      <c r="H1" s="98"/>
    </row>
    <row r="2" spans="1:8" s="1" customFormat="1" ht="15.75" customHeight="1">
      <c r="A2" s="38"/>
      <c r="C2" s="16"/>
      <c r="G2" s="99"/>
      <c r="H2" s="99"/>
    </row>
    <row r="3" spans="1:8" s="1" customFormat="1" ht="16.5" customHeight="1">
      <c r="A3" s="27" t="s">
        <v>202</v>
      </c>
      <c r="B3" s="690" t="str">
        <f>+'Asset quality'!B3</f>
        <v>АК "Алокабанк"</v>
      </c>
      <c r="C3" s="691"/>
      <c r="E3" s="215">
        <f>+'Asset quality'!P3</f>
        <v>44196</v>
      </c>
      <c r="G3" s="99"/>
      <c r="H3" s="99"/>
    </row>
    <row r="4" spans="1:8" s="28" customFormat="1" ht="24.75" customHeight="1">
      <c r="A4" s="692" t="s">
        <v>91</v>
      </c>
      <c r="B4" s="680" t="s">
        <v>203</v>
      </c>
      <c r="C4" s="682"/>
      <c r="D4" s="680" t="s">
        <v>204</v>
      </c>
      <c r="E4" s="682"/>
      <c r="G4" s="100"/>
      <c r="H4" s="100"/>
    </row>
    <row r="5" spans="1:8" s="28" customFormat="1" ht="31.5" customHeight="1">
      <c r="A5" s="692"/>
      <c r="B5" s="251" t="s">
        <v>152</v>
      </c>
      <c r="C5" s="251" t="s">
        <v>205</v>
      </c>
      <c r="D5" s="251" t="s">
        <v>152</v>
      </c>
      <c r="E5" s="251" t="s">
        <v>205</v>
      </c>
      <c r="G5" s="100"/>
      <c r="H5" s="100"/>
    </row>
    <row r="6" spans="1:8" s="29" customFormat="1">
      <c r="A6" s="251" t="s">
        <v>182</v>
      </c>
      <c r="B6" s="251" t="s">
        <v>183</v>
      </c>
      <c r="C6" s="251" t="s">
        <v>200</v>
      </c>
      <c r="D6" s="251" t="s">
        <v>184</v>
      </c>
      <c r="E6" s="251" t="s">
        <v>185</v>
      </c>
      <c r="G6" s="101"/>
      <c r="H6" s="101"/>
    </row>
    <row r="7" spans="1:8" ht="19.5" customHeight="1">
      <c r="A7" s="260" t="s">
        <v>206</v>
      </c>
      <c r="B7" s="17">
        <v>478318</v>
      </c>
      <c r="C7" s="17">
        <v>0</v>
      </c>
      <c r="D7" s="224">
        <v>0</v>
      </c>
      <c r="E7" s="17">
        <v>0</v>
      </c>
    </row>
    <row r="8" spans="1:8" ht="19.5" customHeight="1">
      <c r="A8" s="260" t="s">
        <v>207</v>
      </c>
      <c r="B8" s="17">
        <v>0</v>
      </c>
      <c r="C8" s="17">
        <v>0</v>
      </c>
      <c r="D8" s="224">
        <v>5408</v>
      </c>
      <c r="E8" s="17">
        <v>0</v>
      </c>
    </row>
    <row r="9" spans="1:8" ht="19.5" customHeight="1">
      <c r="A9" s="260" t="s">
        <v>208</v>
      </c>
      <c r="B9" s="17">
        <v>0</v>
      </c>
      <c r="C9" s="17">
        <v>0</v>
      </c>
      <c r="D9" s="17">
        <v>0</v>
      </c>
      <c r="E9" s="17">
        <v>0</v>
      </c>
    </row>
    <row r="10" spans="1:8" ht="19.5" customHeight="1">
      <c r="A10" s="260" t="s">
        <v>209</v>
      </c>
      <c r="B10" s="17">
        <v>0</v>
      </c>
      <c r="C10" s="17">
        <v>0</v>
      </c>
      <c r="D10" s="17">
        <v>0</v>
      </c>
      <c r="E10" s="17">
        <v>0</v>
      </c>
    </row>
    <row r="11" spans="1:8" ht="25.5" customHeight="1">
      <c r="A11" s="260" t="s">
        <v>210</v>
      </c>
      <c r="B11" s="17">
        <v>0</v>
      </c>
      <c r="C11" s="17">
        <v>0</v>
      </c>
      <c r="D11" s="17">
        <v>995325</v>
      </c>
      <c r="E11" s="17">
        <v>0</v>
      </c>
    </row>
    <row r="12" spans="1:8" ht="30.75" customHeight="1">
      <c r="A12" s="260" t="s">
        <v>211</v>
      </c>
      <c r="B12" s="17">
        <v>0</v>
      </c>
      <c r="C12" s="17">
        <v>0</v>
      </c>
      <c r="D12" s="17">
        <v>0</v>
      </c>
      <c r="E12" s="17">
        <v>0</v>
      </c>
    </row>
    <row r="13" spans="1:8" ht="19.5" customHeight="1">
      <c r="A13" s="260" t="s">
        <v>212</v>
      </c>
      <c r="B13" s="17">
        <v>181207</v>
      </c>
      <c r="C13" s="17">
        <v>0</v>
      </c>
      <c r="D13" s="17">
        <v>0</v>
      </c>
      <c r="E13" s="17">
        <v>0</v>
      </c>
    </row>
    <row r="14" spans="1:8" ht="19.5" customHeight="1">
      <c r="A14" s="260" t="s">
        <v>213</v>
      </c>
      <c r="B14" s="17">
        <v>3424292</v>
      </c>
      <c r="C14" s="17">
        <v>0</v>
      </c>
      <c r="D14" s="17">
        <v>40235</v>
      </c>
      <c r="E14" s="17">
        <v>0</v>
      </c>
    </row>
    <row r="15" spans="1:8" ht="19.5" customHeight="1">
      <c r="A15" s="261" t="s">
        <v>214</v>
      </c>
      <c r="B15" s="262">
        <f>SUM(B7:B14)</f>
        <v>4083817</v>
      </c>
      <c r="C15" s="262">
        <f>SUM(C7:C14)</f>
        <v>0</v>
      </c>
      <c r="D15" s="262">
        <f>SUM(D7:D14)</f>
        <v>1040968</v>
      </c>
      <c r="E15" s="262">
        <f>SUM(E7:E14)</f>
        <v>0</v>
      </c>
    </row>
    <row r="16" spans="1:8">
      <c r="A16" s="13"/>
      <c r="B16" s="23"/>
      <c r="C16" s="23"/>
      <c r="D16" s="23"/>
      <c r="E16" s="23"/>
    </row>
    <row r="17" spans="1:12">
      <c r="A17" s="13"/>
      <c r="B17" s="13"/>
      <c r="C17" s="13"/>
      <c r="D17" s="13"/>
      <c r="E17" s="13"/>
    </row>
    <row r="18" spans="1:12">
      <c r="A18" s="30" t="s">
        <v>215</v>
      </c>
      <c r="B18" s="23"/>
      <c r="C18" s="23"/>
      <c r="D18" s="23"/>
      <c r="E18" s="23"/>
    </row>
    <row r="19" spans="1:12">
      <c r="A19" s="253" t="s">
        <v>216</v>
      </c>
      <c r="B19" s="30"/>
      <c r="C19" s="23"/>
      <c r="D19" s="23"/>
      <c r="E19" s="13"/>
      <c r="F19" s="31"/>
    </row>
    <row r="20" spans="1:12" ht="19.5" customHeight="1">
      <c r="A20" s="687" t="s">
        <v>217</v>
      </c>
      <c r="B20" s="688"/>
      <c r="C20" s="39">
        <v>8904825</v>
      </c>
      <c r="D20" s="35"/>
      <c r="E20" s="23"/>
    </row>
    <row r="21" spans="1:12" ht="19.5" customHeight="1">
      <c r="A21" s="687" t="s">
        <v>218</v>
      </c>
      <c r="B21" s="688"/>
      <c r="C21" s="263">
        <f>D15</f>
        <v>1040968</v>
      </c>
      <c r="D21" s="35"/>
      <c r="E21" s="23"/>
    </row>
    <row r="22" spans="1:12" ht="19.5" customHeight="1">
      <c r="A22" s="687" t="s">
        <v>219</v>
      </c>
      <c r="B22" s="688">
        <v>0</v>
      </c>
      <c r="C22" s="264">
        <f>B15</f>
        <v>4083817</v>
      </c>
      <c r="D22" s="35"/>
      <c r="E22" s="23"/>
      <c r="H22" s="176"/>
    </row>
    <row r="23" spans="1:12" ht="29.25" customHeight="1">
      <c r="A23" s="687" t="s">
        <v>220</v>
      </c>
      <c r="B23" s="688"/>
      <c r="C23" s="39">
        <v>12410997</v>
      </c>
      <c r="D23" s="35"/>
      <c r="E23" s="23"/>
      <c r="H23" s="176"/>
    </row>
    <row r="24" spans="1:12" ht="19.5" customHeight="1">
      <c r="A24" s="687" t="s">
        <v>221</v>
      </c>
      <c r="B24" s="688"/>
      <c r="C24" s="39">
        <v>-9195805</v>
      </c>
      <c r="D24" s="35"/>
      <c r="E24" s="23"/>
      <c r="F24" s="102"/>
      <c r="G24" s="102"/>
      <c r="H24" s="177"/>
      <c r="I24" s="102"/>
      <c r="J24" s="102"/>
      <c r="K24" s="102"/>
      <c r="L24" s="102"/>
    </row>
    <row r="25" spans="1:12" ht="19.5" customHeight="1">
      <c r="A25" s="687" t="s">
        <v>222</v>
      </c>
      <c r="B25" s="688"/>
      <c r="C25" s="263">
        <f>SUM(C20:C21)-C22+SUM(C23:C24)</f>
        <v>9077168</v>
      </c>
      <c r="F25" s="102">
        <f>+'Asset Classification'!Y50</f>
        <v>9077168</v>
      </c>
      <c r="G25" s="102"/>
      <c r="H25" s="177"/>
      <c r="I25" s="102"/>
      <c r="J25" s="102"/>
      <c r="K25" s="102"/>
      <c r="L25" s="102"/>
    </row>
    <row r="26" spans="1:12">
      <c r="A26" s="1"/>
      <c r="B26" s="1"/>
      <c r="C26" s="1"/>
      <c r="D26" s="2"/>
      <c r="E26" s="1"/>
      <c r="F26" s="102"/>
      <c r="G26" s="102"/>
      <c r="H26" s="177"/>
      <c r="I26" s="102"/>
      <c r="J26" s="102"/>
      <c r="K26" s="102"/>
      <c r="L26" s="102"/>
    </row>
    <row r="27" spans="1:12">
      <c r="A27" s="1"/>
      <c r="B27" s="1"/>
      <c r="C27" s="1"/>
      <c r="D27" s="2"/>
      <c r="E27" s="1"/>
      <c r="F27" s="102"/>
      <c r="G27" s="102"/>
      <c r="H27" s="177"/>
      <c r="I27" s="102"/>
      <c r="J27" s="102"/>
      <c r="K27" s="102"/>
      <c r="L27" s="102"/>
    </row>
    <row r="28" spans="1:12">
      <c r="A28" s="5" t="s">
        <v>0</v>
      </c>
      <c r="B28" s="1"/>
      <c r="C28" s="1"/>
      <c r="D28" s="1"/>
      <c r="E28" s="1"/>
      <c r="H28" s="176"/>
    </row>
    <row r="29" spans="1:12">
      <c r="A29" s="5"/>
      <c r="B29" s="1"/>
      <c r="C29" s="1"/>
      <c r="D29" s="1"/>
      <c r="E29" s="1"/>
      <c r="H29" s="176"/>
    </row>
    <row r="30" spans="1:12">
      <c r="A30" s="5" t="s">
        <v>1</v>
      </c>
      <c r="B30" s="1"/>
      <c r="C30" s="1"/>
      <c r="D30" s="1"/>
      <c r="E30" s="1"/>
    </row>
    <row r="31" spans="1:12">
      <c r="A31" s="1"/>
      <c r="B31" s="1"/>
      <c r="C31" s="1"/>
      <c r="D31" s="1"/>
      <c r="E31" s="1"/>
    </row>
  </sheetData>
  <sheetProtection password="CACA" sheet="1" objects="1" scenarios="1"/>
  <mergeCells count="11">
    <mergeCell ref="A1:D1"/>
    <mergeCell ref="B3:C3"/>
    <mergeCell ref="A4:A5"/>
    <mergeCell ref="A20:B20"/>
    <mergeCell ref="A22:B22"/>
    <mergeCell ref="A24:B24"/>
    <mergeCell ref="A25:B25"/>
    <mergeCell ref="A21:B21"/>
    <mergeCell ref="B4:C4"/>
    <mergeCell ref="D4:E4"/>
    <mergeCell ref="A23:B23"/>
  </mergeCells>
  <phoneticPr fontId="17" type="noConversion"/>
  <conditionalFormatting sqref="H25">
    <cfRule type="cellIs" dxfId="114" priority="3" operator="notEqual">
      <formula>$H$25</formula>
    </cfRule>
  </conditionalFormatting>
  <conditionalFormatting sqref="C25">
    <cfRule type="cellIs" dxfId="113" priority="1" operator="notEqual">
      <formula>$F$25</formula>
    </cfRule>
  </conditionalFormatting>
  <dataValidations count="3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B7:E14" xr:uid="{00000000-0002-0000-0900-000000000000}">
      <formula1>-1E+22</formula1>
      <formula2>1E+22</formula2>
    </dataValidation>
    <dataValidation allowBlank="1" showInputMessage="1" showErrorMessage="1" prompt="Если значение в ячейке не равно значению оценки резерва по ссудам (отчет о прибылях и убытках), то ячейка окрасится" sqref="C23" xr:uid="{00000000-0002-0000-0900-000001000000}"/>
    <dataValidation type="whole" operator="greaterThanOrEqual" allowBlank="1" showInputMessage="1" showErrorMessage="1" prompt="Ввести как положительное число." sqref="C22" xr:uid="{00000000-0002-0000-0900-000002000000}">
      <formula1>0</formula1>
    </dataValidation>
  </dataValidations>
  <printOptions horizontalCentered="1"/>
  <pageMargins left="0.27559055118110237" right="0.27559055118110237" top="0.84" bottom="0.98425196850393704" header="0.51181102362204722" footer="0.51181102362204722"/>
  <pageSetup paperSize="9" scale="97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Лист23">
    <pageSetUpPr fitToPage="1"/>
  </sheetPr>
  <dimension ref="A1:L59"/>
  <sheetViews>
    <sheetView view="pageBreakPreview" zoomScale="70" zoomScaleNormal="75" zoomScaleSheetLayoutView="70" workbookViewId="0">
      <pane xSplit="2" ySplit="7" topLeftCell="C8" activePane="bottomRight" state="frozen"/>
      <selection activeCell="M64" sqref="M64"/>
      <selection pane="topRight" activeCell="M64" sqref="M64"/>
      <selection pane="bottomLeft" activeCell="M64" sqref="M64"/>
      <selection pane="bottomRight" activeCell="E40" sqref="E40"/>
    </sheetView>
  </sheetViews>
  <sheetFormatPr defaultColWidth="9.140625" defaultRowHeight="15.75"/>
  <cols>
    <col min="1" max="1" width="10.140625" style="169" customWidth="1"/>
    <col min="2" max="2" width="52" style="169" customWidth="1"/>
    <col min="3" max="3" width="18.5703125" style="169" customWidth="1"/>
    <col min="4" max="4" width="20.42578125" style="240" customWidth="1"/>
    <col min="5" max="5" width="18.5703125" style="169" customWidth="1"/>
    <col min="6" max="6" width="20.42578125" style="169" customWidth="1"/>
    <col min="7" max="7" width="18.5703125" style="169" customWidth="1"/>
    <col min="8" max="8" width="20.42578125" style="169" customWidth="1"/>
    <col min="9" max="9" width="9.140625" style="169"/>
    <col min="10" max="12" width="16.85546875" style="169" customWidth="1"/>
    <col min="13" max="16384" width="9.140625" style="169"/>
  </cols>
  <sheetData>
    <row r="1" spans="1:12" s="174" customFormat="1" ht="37.5" customHeight="1">
      <c r="A1" s="693" t="s">
        <v>683</v>
      </c>
      <c r="B1" s="693"/>
      <c r="C1" s="693"/>
      <c r="D1" s="693"/>
      <c r="E1" s="693"/>
      <c r="F1" s="693"/>
      <c r="G1" s="693"/>
      <c r="H1" s="225" t="s">
        <v>643</v>
      </c>
    </row>
    <row r="2" spans="1:12" ht="19.5" customHeight="1">
      <c r="B2" s="697"/>
      <c r="C2" s="697"/>
      <c r="D2" s="697"/>
      <c r="E2" s="697"/>
      <c r="F2" s="697"/>
      <c r="G2" s="697"/>
      <c r="H2" s="697"/>
    </row>
    <row r="3" spans="1:12" ht="19.5" customHeight="1">
      <c r="B3" s="213" t="str">
        <f>+'Asset quality'!B3</f>
        <v>АК "Алокабанк"</v>
      </c>
      <c r="C3" s="226"/>
      <c r="D3" s="238"/>
      <c r="F3" s="705">
        <f>+'Asset quality'!P3</f>
        <v>44196</v>
      </c>
      <c r="G3" s="705"/>
      <c r="H3" s="214" t="s">
        <v>408</v>
      </c>
    </row>
    <row r="4" spans="1:12" s="170" customFormat="1" ht="29.25" customHeight="1">
      <c r="A4" s="694" t="s">
        <v>83</v>
      </c>
      <c r="B4" s="694" t="s">
        <v>667</v>
      </c>
      <c r="C4" s="698" t="s">
        <v>656</v>
      </c>
      <c r="D4" s="699"/>
      <c r="E4" s="702" t="s">
        <v>657</v>
      </c>
      <c r="F4" s="703"/>
      <c r="G4" s="703"/>
      <c r="H4" s="704"/>
    </row>
    <row r="5" spans="1:12" s="170" customFormat="1" ht="30" customHeight="1">
      <c r="A5" s="695"/>
      <c r="B5" s="695"/>
      <c r="C5" s="700"/>
      <c r="D5" s="701"/>
      <c r="E5" s="702" t="s">
        <v>669</v>
      </c>
      <c r="F5" s="704"/>
      <c r="G5" s="702" t="s">
        <v>205</v>
      </c>
      <c r="H5" s="704"/>
    </row>
    <row r="6" spans="1:12" s="170" customFormat="1" ht="55.5" customHeight="1">
      <c r="A6" s="695"/>
      <c r="B6" s="696"/>
      <c r="C6" s="265" t="s">
        <v>666</v>
      </c>
      <c r="D6" s="265" t="s">
        <v>660</v>
      </c>
      <c r="E6" s="265" t="s">
        <v>666</v>
      </c>
      <c r="F6" s="265" t="s">
        <v>660</v>
      </c>
      <c r="G6" s="265" t="s">
        <v>666</v>
      </c>
      <c r="H6" s="265" t="s">
        <v>660</v>
      </c>
    </row>
    <row r="7" spans="1:12" s="170" customFormat="1">
      <c r="A7" s="696"/>
      <c r="B7" s="265" t="s">
        <v>182</v>
      </c>
      <c r="C7" s="355" t="s">
        <v>183</v>
      </c>
      <c r="D7" s="265" t="s">
        <v>200</v>
      </c>
      <c r="E7" s="265" t="s">
        <v>184</v>
      </c>
      <c r="F7" s="265" t="s">
        <v>185</v>
      </c>
      <c r="G7" s="265" t="s">
        <v>201</v>
      </c>
      <c r="H7" s="265" t="s">
        <v>186</v>
      </c>
    </row>
    <row r="8" spans="1:12" s="170" customFormat="1" ht="24" customHeight="1">
      <c r="A8" s="202">
        <v>1</v>
      </c>
      <c r="B8" s="268" t="s">
        <v>710</v>
      </c>
      <c r="C8" s="340">
        <f>SUM(C10:C14)</f>
        <v>202869977</v>
      </c>
      <c r="D8" s="341">
        <f>IFERROR(((C10*D10)/C8)+((C11*D11)/C8)+((C12*D12)/C8)+((C13*D13)/C8)+((C14*D14)/C8),0)</f>
        <v>0.10960682373357047</v>
      </c>
      <c r="E8" s="340">
        <f>SUM(E10:E14)</f>
        <v>202869977</v>
      </c>
      <c r="F8" s="341">
        <f>IFERROR(((E10*F10)/E8)+((E11*F11)/E8)+((E12*F12)/E8)+((E13*F13)/E8)+((E14*F14)/E8),0)</f>
        <v>0.10960682373357047</v>
      </c>
      <c r="G8" s="340">
        <f>SUM(G10:G14)</f>
        <v>0</v>
      </c>
      <c r="H8" s="341">
        <f>IFERROR(((G10*H10)/G8)+((G11*H11)/G8)+((G12*H12)/G8)+((G13*H13)/G8)+((G14*H14)/G8),0)</f>
        <v>0</v>
      </c>
      <c r="J8" s="509">
        <f>+C8+C16+C24+C33</f>
        <v>5705936821</v>
      </c>
      <c r="K8" s="509">
        <f>+E8+E16+E24+E33</f>
        <v>3786450485</v>
      </c>
      <c r="L8" s="509">
        <f>+G8+G16+G24+G33</f>
        <v>1919486336</v>
      </c>
    </row>
    <row r="9" spans="1:12" s="170" customFormat="1" ht="17.25" customHeight="1">
      <c r="A9" s="202"/>
      <c r="B9" s="269" t="s">
        <v>668</v>
      </c>
      <c r="C9" s="338"/>
      <c r="D9" s="227"/>
      <c r="E9" s="338"/>
      <c r="F9" s="227"/>
      <c r="G9" s="338"/>
      <c r="H9" s="227"/>
      <c r="J9" s="509">
        <f>+'loans type'!C8</f>
        <v>5705936821</v>
      </c>
      <c r="K9" s="509">
        <f>+'loans type'!E8</f>
        <v>3786450485</v>
      </c>
      <c r="L9" s="509">
        <f>+'loans type'!G8</f>
        <v>1919486336</v>
      </c>
    </row>
    <row r="10" spans="1:12" s="170" customFormat="1" ht="24" customHeight="1">
      <c r="A10" s="173" t="s">
        <v>268</v>
      </c>
      <c r="B10" s="270" t="s">
        <v>658</v>
      </c>
      <c r="C10" s="338">
        <f>+E10+G10</f>
        <v>124357836</v>
      </c>
      <c r="D10" s="242">
        <v>0.13414024034198077</v>
      </c>
      <c r="E10" s="339">
        <v>124357836</v>
      </c>
      <c r="F10" s="242">
        <v>0.13414024034198077</v>
      </c>
      <c r="G10" s="339">
        <v>0</v>
      </c>
      <c r="H10" s="242">
        <v>0</v>
      </c>
      <c r="J10" s="509">
        <f>+J8-J9</f>
        <v>0</v>
      </c>
      <c r="K10" s="509">
        <f t="shared" ref="K10:L10" si="0">+K8-K9</f>
        <v>0</v>
      </c>
      <c r="L10" s="509">
        <f t="shared" si="0"/>
        <v>0</v>
      </c>
    </row>
    <row r="11" spans="1:12" s="170" customFormat="1" ht="24" customHeight="1">
      <c r="A11" s="173" t="s">
        <v>269</v>
      </c>
      <c r="B11" s="270" t="s">
        <v>659</v>
      </c>
      <c r="C11" s="338">
        <f t="shared" ref="C11:C14" si="1">+E11+G11</f>
        <v>294435</v>
      </c>
      <c r="D11" s="242">
        <v>0.14269329475416359</v>
      </c>
      <c r="E11" s="339">
        <v>294435</v>
      </c>
      <c r="F11" s="242">
        <v>0.14269329475416359</v>
      </c>
      <c r="G11" s="339">
        <v>0</v>
      </c>
      <c r="H11" s="242">
        <v>0</v>
      </c>
    </row>
    <row r="12" spans="1:12" s="170" customFormat="1" ht="24" customHeight="1">
      <c r="A12" s="173" t="s">
        <v>270</v>
      </c>
      <c r="B12" s="270" t="s">
        <v>821</v>
      </c>
      <c r="C12" s="338">
        <f t="shared" si="1"/>
        <v>57322</v>
      </c>
      <c r="D12" s="242">
        <v>0.14416115719841563</v>
      </c>
      <c r="E12" s="339">
        <v>57322</v>
      </c>
      <c r="F12" s="242">
        <v>0.14416115719841563</v>
      </c>
      <c r="G12" s="339">
        <v>0</v>
      </c>
      <c r="H12" s="242">
        <v>0</v>
      </c>
    </row>
    <row r="13" spans="1:12" s="170" customFormat="1" ht="24" customHeight="1">
      <c r="A13" s="173" t="s">
        <v>274</v>
      </c>
      <c r="B13" s="270" t="s">
        <v>677</v>
      </c>
      <c r="C13" s="338">
        <f t="shared" si="1"/>
        <v>17238816</v>
      </c>
      <c r="D13" s="242">
        <v>2.6067430926380751E-3</v>
      </c>
      <c r="E13" s="339">
        <v>17238816</v>
      </c>
      <c r="F13" s="242">
        <v>2.6067430926380751E-3</v>
      </c>
      <c r="G13" s="339">
        <v>0</v>
      </c>
      <c r="H13" s="242">
        <v>0</v>
      </c>
    </row>
    <row r="14" spans="1:12" s="170" customFormat="1" ht="24" customHeight="1">
      <c r="A14" s="173" t="s">
        <v>275</v>
      </c>
      <c r="B14" s="270" t="s">
        <v>665</v>
      </c>
      <c r="C14" s="338">
        <f t="shared" si="1"/>
        <v>60921568</v>
      </c>
      <c r="D14" s="242">
        <v>8.9612419854274622E-2</v>
      </c>
      <c r="E14" s="339">
        <v>60921568</v>
      </c>
      <c r="F14" s="242">
        <v>8.9612419854274622E-2</v>
      </c>
      <c r="G14" s="339">
        <v>0</v>
      </c>
      <c r="H14" s="242">
        <v>0</v>
      </c>
    </row>
    <row r="15" spans="1:12" s="170" customFormat="1">
      <c r="A15" s="171"/>
      <c r="B15" s="271"/>
      <c r="C15" s="338"/>
      <c r="D15" s="239"/>
      <c r="E15" s="338"/>
      <c r="F15" s="241"/>
      <c r="G15" s="338"/>
      <c r="H15" s="241"/>
    </row>
    <row r="16" spans="1:12" s="170" customFormat="1" ht="24" customHeight="1">
      <c r="A16" s="199">
        <v>2</v>
      </c>
      <c r="B16" s="268" t="s">
        <v>712</v>
      </c>
      <c r="C16" s="340">
        <f>SUM(C18:C22)</f>
        <v>819530208</v>
      </c>
      <c r="D16" s="341">
        <f>IFERROR(((C18*D18)/C16)+((C19*D19)/C16)+((C20*D20)/C16)+((C21*D21)/C16)+((C22*D22)/C16),0)</f>
        <v>0.2188705900358017</v>
      </c>
      <c r="E16" s="340">
        <f>SUM(E18:E22)</f>
        <v>819530208</v>
      </c>
      <c r="F16" s="341">
        <f>IFERROR(((E18*F18)/E16)+((E19*F19)/E16)+((E20*F20)/E16)+((E21*F21)/E16)+((E22*F22)/E16),0)</f>
        <v>0.2188705900358017</v>
      </c>
      <c r="G16" s="340">
        <f>SUM(G18:G22)</f>
        <v>0</v>
      </c>
      <c r="H16" s="341">
        <f>IFERROR(((G18*H18)/G16)+((G19*H19)/G16)+((G20*H20)/G16)+((G21*H21)/G16)+((G22*H22)/G16),0)</f>
        <v>0</v>
      </c>
    </row>
    <row r="17" spans="1:8" s="170" customFormat="1" ht="17.25" customHeight="1">
      <c r="A17" s="172"/>
      <c r="B17" s="269" t="s">
        <v>668</v>
      </c>
      <c r="C17" s="338"/>
      <c r="D17" s="227"/>
      <c r="E17" s="338"/>
      <c r="F17" s="227"/>
      <c r="G17" s="338"/>
      <c r="H17" s="227"/>
    </row>
    <row r="18" spans="1:8" s="170" customFormat="1" ht="24" customHeight="1">
      <c r="A18" s="173" t="s">
        <v>281</v>
      </c>
      <c r="B18" s="270" t="s">
        <v>658</v>
      </c>
      <c r="C18" s="338">
        <f t="shared" ref="C18:C22" si="2">+E18+G18</f>
        <v>248824226</v>
      </c>
      <c r="D18" s="242">
        <v>0.1863599911068172</v>
      </c>
      <c r="E18" s="339">
        <v>248824226</v>
      </c>
      <c r="F18" s="242">
        <v>0.1863599911068172</v>
      </c>
      <c r="G18" s="339">
        <v>0</v>
      </c>
      <c r="H18" s="242">
        <v>0</v>
      </c>
    </row>
    <row r="19" spans="1:8" s="170" customFormat="1" ht="24" customHeight="1">
      <c r="A19" s="173" t="s">
        <v>282</v>
      </c>
      <c r="B19" s="270" t="s">
        <v>659</v>
      </c>
      <c r="C19" s="338">
        <f t="shared" si="2"/>
        <v>336936414</v>
      </c>
      <c r="D19" s="242">
        <v>0.22095798751686269</v>
      </c>
      <c r="E19" s="339">
        <v>336936414</v>
      </c>
      <c r="F19" s="242">
        <v>0.22095798751686269</v>
      </c>
      <c r="G19" s="339">
        <v>0</v>
      </c>
      <c r="H19" s="242">
        <v>0</v>
      </c>
    </row>
    <row r="20" spans="1:8" s="170" customFormat="1" ht="24" customHeight="1">
      <c r="A20" s="173" t="s">
        <v>284</v>
      </c>
      <c r="B20" s="270" t="s">
        <v>821</v>
      </c>
      <c r="C20" s="338">
        <f t="shared" si="2"/>
        <v>171704122</v>
      </c>
      <c r="D20" s="242">
        <v>0.24536909332369805</v>
      </c>
      <c r="E20" s="339">
        <v>171704122</v>
      </c>
      <c r="F20" s="242">
        <v>0.24536909332369805</v>
      </c>
      <c r="G20" s="339">
        <v>0</v>
      </c>
      <c r="H20" s="242">
        <v>0</v>
      </c>
    </row>
    <row r="21" spans="1:8" s="170" customFormat="1" ht="24" customHeight="1">
      <c r="A21" s="173" t="s">
        <v>286</v>
      </c>
      <c r="B21" s="270" t="s">
        <v>677</v>
      </c>
      <c r="C21" s="338">
        <f t="shared" si="2"/>
        <v>60017660</v>
      </c>
      <c r="D21" s="242">
        <v>0.26690586493253599</v>
      </c>
      <c r="E21" s="339">
        <v>60017660</v>
      </c>
      <c r="F21" s="242">
        <v>0.26690586493253599</v>
      </c>
      <c r="G21" s="339">
        <v>0</v>
      </c>
      <c r="H21" s="242">
        <v>0</v>
      </c>
    </row>
    <row r="22" spans="1:8" s="170" customFormat="1" ht="24" customHeight="1">
      <c r="A22" s="173" t="s">
        <v>671</v>
      </c>
      <c r="B22" s="270" t="s">
        <v>665</v>
      </c>
      <c r="C22" s="338">
        <f t="shared" si="2"/>
        <v>2047786</v>
      </c>
      <c r="D22" s="242">
        <v>0.19603488128429811</v>
      </c>
      <c r="E22" s="339">
        <v>2047786</v>
      </c>
      <c r="F22" s="242">
        <v>0.19603488128429811</v>
      </c>
      <c r="G22" s="339">
        <v>0</v>
      </c>
      <c r="H22" s="242">
        <v>0</v>
      </c>
    </row>
    <row r="23" spans="1:8" s="170" customFormat="1">
      <c r="A23" s="171"/>
      <c r="B23" s="271"/>
      <c r="C23" s="338"/>
      <c r="D23" s="239"/>
      <c r="E23" s="338"/>
      <c r="F23" s="241"/>
      <c r="G23" s="338"/>
      <c r="H23" s="241"/>
    </row>
    <row r="24" spans="1:8" s="170" customFormat="1" ht="36.75" customHeight="1">
      <c r="A24" s="199">
        <v>3</v>
      </c>
      <c r="B24" s="268" t="s">
        <v>711</v>
      </c>
      <c r="C24" s="340">
        <f>SUM(C26:C31)</f>
        <v>965096577</v>
      </c>
      <c r="D24" s="341">
        <f>IFERROR(((C26*D26)/C24)+((C27*D27)/C24)+((C28*D28)/C24)+((C29*D29)/C24)+((C30*D30)/C24)+((C31*D31)/C24),0)</f>
        <v>9.2275832924710699E-2</v>
      </c>
      <c r="E24" s="340">
        <f>SUM(E26:E31)</f>
        <v>665781293</v>
      </c>
      <c r="F24" s="341">
        <f>IFERROR(((E26*F26)/E24)+((E27*F27)/E24)+((E28*F28)/E24)+((E29*F29)/E24)+((E30*F30)/E24)+((E31*F31)/E24),0)</f>
        <v>0.11120043171052124</v>
      </c>
      <c r="G24" s="340">
        <f>SUM(G26:G31)</f>
        <v>299315284</v>
      </c>
      <c r="H24" s="341">
        <f>IFERROR(((G26*H26)/G24)+((G27*H27)/G24)+((G28*H28)/G24)+((G29*H29)/G24)+((G30*H30)/G24)+((G31*H31)/G24),0)</f>
        <v>5.0180943279438964E-2</v>
      </c>
    </row>
    <row r="25" spans="1:8" s="170" customFormat="1">
      <c r="A25" s="172"/>
      <c r="B25" s="269" t="s">
        <v>668</v>
      </c>
      <c r="C25" s="338"/>
      <c r="D25" s="241"/>
      <c r="E25" s="338"/>
      <c r="F25" s="241"/>
      <c r="G25" s="338"/>
      <c r="H25" s="241"/>
    </row>
    <row r="26" spans="1:8" s="170" customFormat="1" ht="24" customHeight="1">
      <c r="A26" s="173" t="s">
        <v>289</v>
      </c>
      <c r="B26" s="271" t="s">
        <v>678</v>
      </c>
      <c r="C26" s="338">
        <f t="shared" ref="C26:C31" si="3">+E26+G26</f>
        <v>29729185</v>
      </c>
      <c r="D26" s="242">
        <f>(E26*F26+G26*H26)/(E26+G26)</f>
        <v>9.6802165521680403E-2</v>
      </c>
      <c r="E26" s="339">
        <v>29729185</v>
      </c>
      <c r="F26" s="242">
        <v>9.6802165521680403E-2</v>
      </c>
      <c r="G26" s="339">
        <v>0</v>
      </c>
      <c r="H26" s="242">
        <v>0</v>
      </c>
    </row>
    <row r="27" spans="1:8" s="170" customFormat="1" ht="24" customHeight="1">
      <c r="A27" s="173" t="s">
        <v>290</v>
      </c>
      <c r="B27" s="271" t="s">
        <v>679</v>
      </c>
      <c r="C27" s="338">
        <f t="shared" si="3"/>
        <v>0</v>
      </c>
      <c r="D27" s="242">
        <v>0</v>
      </c>
      <c r="E27" s="339">
        <v>0</v>
      </c>
      <c r="F27" s="242">
        <v>0</v>
      </c>
      <c r="G27" s="339">
        <v>0</v>
      </c>
      <c r="H27" s="242">
        <v>0</v>
      </c>
    </row>
    <row r="28" spans="1:8" s="170" customFormat="1" ht="24" customHeight="1">
      <c r="A28" s="173" t="s">
        <v>291</v>
      </c>
      <c r="B28" s="271" t="s">
        <v>680</v>
      </c>
      <c r="C28" s="338">
        <f t="shared" si="3"/>
        <v>639526</v>
      </c>
      <c r="D28" s="242">
        <f t="shared" ref="D28:D31" si="4">(E28*F28+G28*H28)/(E28+G28)</f>
        <v>0.10999004074584623</v>
      </c>
      <c r="E28" s="339">
        <v>639526</v>
      </c>
      <c r="F28" s="242">
        <v>0.10999004074584623</v>
      </c>
      <c r="G28" s="339">
        <v>0</v>
      </c>
      <c r="H28" s="242">
        <v>0</v>
      </c>
    </row>
    <row r="29" spans="1:8" s="170" customFormat="1" ht="32.25" customHeight="1">
      <c r="A29" s="173" t="s">
        <v>292</v>
      </c>
      <c r="B29" s="271" t="s">
        <v>681</v>
      </c>
      <c r="C29" s="338">
        <f t="shared" si="3"/>
        <v>0</v>
      </c>
      <c r="D29" s="242">
        <v>0</v>
      </c>
      <c r="E29" s="339">
        <v>0</v>
      </c>
      <c r="F29" s="242">
        <v>0</v>
      </c>
      <c r="G29" s="339">
        <v>0</v>
      </c>
      <c r="H29" s="242">
        <v>0</v>
      </c>
    </row>
    <row r="30" spans="1:8" s="170" customFormat="1" ht="32.25" customHeight="1">
      <c r="A30" s="173" t="s">
        <v>294</v>
      </c>
      <c r="B30" s="271" t="s">
        <v>682</v>
      </c>
      <c r="C30" s="338">
        <f t="shared" si="3"/>
        <v>0</v>
      </c>
      <c r="D30" s="242">
        <v>0</v>
      </c>
      <c r="E30" s="339">
        <v>0</v>
      </c>
      <c r="F30" s="242">
        <v>0</v>
      </c>
      <c r="G30" s="339">
        <v>0</v>
      </c>
      <c r="H30" s="242">
        <v>0</v>
      </c>
    </row>
    <row r="31" spans="1:8" s="170" customFormat="1" ht="32.25" customHeight="1">
      <c r="A31" s="173" t="s">
        <v>295</v>
      </c>
      <c r="B31" s="270" t="s">
        <v>670</v>
      </c>
      <c r="C31" s="338">
        <f t="shared" si="3"/>
        <v>934727866</v>
      </c>
      <c r="D31" s="242">
        <f t="shared" si="4"/>
        <v>9.2119752335991137E-2</v>
      </c>
      <c r="E31" s="339">
        <v>635412582</v>
      </c>
      <c r="F31" s="242">
        <v>0.11187530471091039</v>
      </c>
      <c r="G31" s="339">
        <v>299315284</v>
      </c>
      <c r="H31" s="242">
        <v>5.0180943279438964E-2</v>
      </c>
    </row>
    <row r="32" spans="1:8" s="170" customFormat="1">
      <c r="A32" s="171"/>
      <c r="B32" s="271"/>
      <c r="C32" s="338"/>
      <c r="D32" s="239"/>
      <c r="E32" s="338"/>
      <c r="F32" s="241"/>
      <c r="G32" s="338"/>
      <c r="H32" s="241"/>
    </row>
    <row r="33" spans="1:10" s="170" customFormat="1" ht="36.75" customHeight="1">
      <c r="A33" s="199">
        <v>4</v>
      </c>
      <c r="B33" s="268" t="s">
        <v>713</v>
      </c>
      <c r="C33" s="340">
        <f>SUM(C35:C40)</f>
        <v>3718440059</v>
      </c>
      <c r="D33" s="341">
        <f>IFERROR(((C35*D35)/C33)+((C36*D39)/C33)+((C37*D37)/C33)+((C38*D38)/C33)+((C39*#REF!)/C33)+((C40*D40)/C33),0)</f>
        <v>0</v>
      </c>
      <c r="E33" s="340">
        <f>SUM(E35:E40)</f>
        <v>2098269007</v>
      </c>
      <c r="F33" s="341">
        <f>IFERROR(((E35*F35)/E33)+((E36*F36)/E33)+((E37*F37)/E33)+((E38*F38)/E33)+((E39*F39)/E33)+((E40*F40)/E33),0)</f>
        <v>0.20137565609658845</v>
      </c>
      <c r="G33" s="340">
        <f>SUM(G35:G40)</f>
        <v>1620171052</v>
      </c>
      <c r="H33" s="341">
        <f>IFERROR(((G35*H35)/G33)+((G36*H36)/G33)+((G37*H37)/G33)+((G38*H38)/G33)+((G39*H39)/G33)+((G40*H40)/G33),0)</f>
        <v>8.3863573628770477E-2</v>
      </c>
    </row>
    <row r="34" spans="1:10" s="170" customFormat="1">
      <c r="A34" s="172"/>
      <c r="B34" s="269" t="s">
        <v>668</v>
      </c>
      <c r="C34" s="338"/>
      <c r="D34" s="241"/>
      <c r="E34" s="338"/>
      <c r="F34" s="241"/>
      <c r="G34" s="338"/>
      <c r="H34" s="241"/>
    </row>
    <row r="35" spans="1:10" s="170" customFormat="1" ht="24" customHeight="1">
      <c r="A35" s="173" t="s">
        <v>585</v>
      </c>
      <c r="B35" s="271" t="s">
        <v>678</v>
      </c>
      <c r="C35" s="338">
        <f t="shared" ref="C35:C40" si="5">+E35+G35</f>
        <v>139806869</v>
      </c>
      <c r="D35" s="242">
        <f t="shared" ref="D35" si="6">(E35*F35+G35*H35)/(E35+G35)</f>
        <v>0.21700160687408801</v>
      </c>
      <c r="E35" s="339">
        <v>137923210</v>
      </c>
      <c r="F35" s="242">
        <v>0.21857771189835229</v>
      </c>
      <c r="G35" s="339">
        <v>1883659</v>
      </c>
      <c r="H35" s="242">
        <v>0.10159777622126964</v>
      </c>
    </row>
    <row r="36" spans="1:10" s="170" customFormat="1" ht="24" customHeight="1">
      <c r="A36" s="173" t="s">
        <v>586</v>
      </c>
      <c r="B36" s="271" t="s">
        <v>679</v>
      </c>
      <c r="C36" s="338">
        <f t="shared" si="5"/>
        <v>0</v>
      </c>
      <c r="D36" s="242">
        <v>0</v>
      </c>
      <c r="E36" s="339">
        <v>0</v>
      </c>
      <c r="F36" s="242">
        <v>0</v>
      </c>
      <c r="G36" s="339">
        <v>0</v>
      </c>
      <c r="H36" s="242">
        <v>0</v>
      </c>
    </row>
    <row r="37" spans="1:10" s="170" customFormat="1" ht="24" customHeight="1">
      <c r="A37" s="173" t="s">
        <v>714</v>
      </c>
      <c r="B37" s="271" t="s">
        <v>680</v>
      </c>
      <c r="C37" s="338">
        <f t="shared" si="5"/>
        <v>0</v>
      </c>
      <c r="D37" s="242">
        <v>0</v>
      </c>
      <c r="E37" s="339">
        <v>0</v>
      </c>
      <c r="F37" s="242">
        <v>0</v>
      </c>
      <c r="G37" s="339">
        <v>0</v>
      </c>
      <c r="H37" s="242">
        <v>0</v>
      </c>
    </row>
    <row r="38" spans="1:10" s="170" customFormat="1" ht="32.25" customHeight="1">
      <c r="A38" s="173" t="s">
        <v>715</v>
      </c>
      <c r="B38" s="271" t="s">
        <v>681</v>
      </c>
      <c r="C38" s="338">
        <f t="shared" si="5"/>
        <v>0</v>
      </c>
      <c r="D38" s="242">
        <v>0</v>
      </c>
      <c r="E38" s="339">
        <v>0</v>
      </c>
      <c r="F38" s="242">
        <v>0</v>
      </c>
      <c r="G38" s="339">
        <v>0</v>
      </c>
      <c r="H38" s="242">
        <v>0</v>
      </c>
    </row>
    <row r="39" spans="1:10" s="170" customFormat="1" ht="32.25" customHeight="1">
      <c r="A39" s="173" t="s">
        <v>716</v>
      </c>
      <c r="B39" s="271" t="s">
        <v>682</v>
      </c>
      <c r="C39" s="338">
        <f t="shared" si="5"/>
        <v>0</v>
      </c>
      <c r="D39" s="242">
        <v>0</v>
      </c>
      <c r="E39" s="339">
        <v>0</v>
      </c>
      <c r="F39" s="242">
        <v>0</v>
      </c>
      <c r="G39" s="339">
        <v>0</v>
      </c>
      <c r="H39" s="242">
        <v>0</v>
      </c>
    </row>
    <row r="40" spans="1:10" s="170" customFormat="1" ht="32.25" customHeight="1">
      <c r="A40" s="173" t="s">
        <v>717</v>
      </c>
      <c r="B40" s="270" t="s">
        <v>670</v>
      </c>
      <c r="C40" s="338">
        <f t="shared" si="5"/>
        <v>3578633190</v>
      </c>
      <c r="D40" s="242">
        <f t="shared" ref="D40" si="7">(E40*F40+G40*H40)/(E40+G40)</f>
        <v>0.14756341010667581</v>
      </c>
      <c r="E40" s="339">
        <v>1960345797</v>
      </c>
      <c r="F40" s="242">
        <v>0.20016537842087978</v>
      </c>
      <c r="G40" s="339">
        <v>1618287393</v>
      </c>
      <c r="H40" s="242">
        <v>8.3842931318593869E-2</v>
      </c>
    </row>
    <row r="41" spans="1:10" s="21" customFormat="1" ht="12" customHeight="1">
      <c r="B41" s="41"/>
      <c r="C41" s="103"/>
    </row>
    <row r="42" spans="1:10" s="21" customFormat="1" ht="12.75">
      <c r="B42" s="41"/>
      <c r="C42" s="103"/>
    </row>
    <row r="43" spans="1:10" s="25" customFormat="1">
      <c r="A43" s="112"/>
      <c r="B43" s="122" t="s">
        <v>0</v>
      </c>
      <c r="C43" s="361"/>
      <c r="J43" s="112"/>
    </row>
    <row r="44" spans="1:10" s="25" customFormat="1">
      <c r="A44" s="112"/>
      <c r="B44" s="122"/>
      <c r="C44" s="361"/>
      <c r="J44" s="112"/>
    </row>
    <row r="45" spans="1:10" s="25" customFormat="1">
      <c r="A45" s="112"/>
      <c r="B45" s="122" t="s">
        <v>1</v>
      </c>
      <c r="C45" s="361"/>
      <c r="J45" s="112"/>
    </row>
    <row r="46" spans="1:10" s="25" customFormat="1">
      <c r="A46" s="112"/>
      <c r="B46" s="122"/>
      <c r="J46" s="112"/>
    </row>
    <row r="47" spans="1:10">
      <c r="A47" s="356"/>
      <c r="B47" s="356" t="s">
        <v>152</v>
      </c>
      <c r="C47" s="360">
        <f>+C8+C16+C24+C33</f>
        <v>5705936821</v>
      </c>
      <c r="D47" s="360"/>
      <c r="E47" s="360">
        <f>+E8+E16+E24+E33</f>
        <v>3786450485</v>
      </c>
      <c r="F47" s="360"/>
      <c r="G47" s="360">
        <f>+G8+G16+G24+G33</f>
        <v>1919486336</v>
      </c>
      <c r="H47" s="357"/>
    </row>
    <row r="48" spans="1:10">
      <c r="A48" s="356"/>
      <c r="B48" s="357"/>
      <c r="C48" s="360">
        <f>+C50+C54</f>
        <v>5705936821</v>
      </c>
      <c r="D48" s="360"/>
      <c r="E48" s="360">
        <f>+E9+E17+E25+E34</f>
        <v>0</v>
      </c>
      <c r="F48" s="360"/>
      <c r="G48" s="360">
        <f>+G50+G54</f>
        <v>1919486336</v>
      </c>
      <c r="H48" s="357"/>
    </row>
    <row r="49" spans="1:8">
      <c r="A49" s="356"/>
      <c r="B49" s="356"/>
      <c r="C49" s="360"/>
      <c r="D49" s="360"/>
      <c r="E49" s="360"/>
      <c r="F49" s="360"/>
      <c r="G49" s="360"/>
      <c r="H49" s="357"/>
    </row>
    <row r="50" spans="1:8">
      <c r="A50" s="357"/>
      <c r="B50" s="356" t="s">
        <v>742</v>
      </c>
      <c r="C50" s="360">
        <f>+'Asset Classification'!C12</f>
        <v>1022400185</v>
      </c>
      <c r="D50" s="360"/>
      <c r="E50" s="360"/>
      <c r="F50" s="360"/>
      <c r="G50" s="360">
        <f>+'Asset Classification'!D12</f>
        <v>0</v>
      </c>
      <c r="H50" s="358"/>
    </row>
    <row r="51" spans="1:8">
      <c r="A51" s="357"/>
      <c r="B51" s="356"/>
      <c r="C51" s="360">
        <f>C8+C16</f>
        <v>1022400185</v>
      </c>
      <c r="D51" s="360"/>
      <c r="E51" s="360"/>
      <c r="F51" s="360"/>
      <c r="G51" s="360">
        <f>G8+G16</f>
        <v>0</v>
      </c>
      <c r="H51" s="358"/>
    </row>
    <row r="52" spans="1:8">
      <c r="A52" s="357"/>
      <c r="B52" s="356"/>
      <c r="C52" s="360">
        <f>+C50-C51</f>
        <v>0</v>
      </c>
      <c r="D52" s="360"/>
      <c r="E52" s="360"/>
      <c r="F52" s="360"/>
      <c r="G52" s="360">
        <f>+G50-G51</f>
        <v>0</v>
      </c>
      <c r="H52" s="358"/>
    </row>
    <row r="53" spans="1:8">
      <c r="A53" s="357"/>
      <c r="B53" s="356"/>
      <c r="C53" s="359"/>
      <c r="D53" s="359"/>
      <c r="E53" s="359"/>
      <c r="F53" s="359"/>
      <c r="G53" s="359"/>
      <c r="H53" s="358"/>
    </row>
    <row r="54" spans="1:8">
      <c r="A54" s="357"/>
      <c r="B54" s="356" t="s">
        <v>743</v>
      </c>
      <c r="C54" s="360">
        <f>+'Asset Classification'!C30-'Asset Classification'!C12</f>
        <v>4683536636</v>
      </c>
      <c r="D54" s="360"/>
      <c r="E54" s="360"/>
      <c r="F54" s="360"/>
      <c r="G54" s="360">
        <f>+'Asset Classification'!D30-'Asset Classification'!D12</f>
        <v>1919486336</v>
      </c>
      <c r="H54" s="358"/>
    </row>
    <row r="55" spans="1:8">
      <c r="A55" s="357"/>
      <c r="B55" s="356"/>
      <c r="C55" s="360">
        <f>C24+C33</f>
        <v>4683536636</v>
      </c>
      <c r="D55" s="360"/>
      <c r="E55" s="360"/>
      <c r="F55" s="360"/>
      <c r="G55" s="360">
        <f>G24+G33</f>
        <v>1919486336</v>
      </c>
      <c r="H55" s="358"/>
    </row>
    <row r="56" spans="1:8">
      <c r="A56" s="357"/>
      <c r="B56" s="356"/>
      <c r="C56" s="360">
        <f>+C54-C55</f>
        <v>0</v>
      </c>
      <c r="D56" s="360"/>
      <c r="E56" s="360"/>
      <c r="F56" s="360"/>
      <c r="G56" s="360">
        <f>+G54-G55</f>
        <v>0</v>
      </c>
      <c r="H56" s="358"/>
    </row>
    <row r="57" spans="1:8">
      <c r="A57" s="357"/>
      <c r="B57" s="356"/>
      <c r="C57" s="358"/>
      <c r="D57" s="358"/>
      <c r="E57" s="358"/>
      <c r="F57" s="358"/>
      <c r="G57" s="358"/>
      <c r="H57" s="358"/>
    </row>
    <row r="58" spans="1:8">
      <c r="A58" s="357"/>
      <c r="B58" s="356"/>
      <c r="C58" s="358"/>
      <c r="D58" s="358"/>
      <c r="E58" s="358"/>
      <c r="F58" s="358"/>
      <c r="G58" s="358"/>
      <c r="H58" s="358"/>
    </row>
    <row r="59" spans="1:8">
      <c r="B59" s="356"/>
    </row>
  </sheetData>
  <sheetProtection password="CACA" sheet="1" objects="1" scenarios="1"/>
  <mergeCells count="9">
    <mergeCell ref="A1:G1"/>
    <mergeCell ref="B4:B6"/>
    <mergeCell ref="B2:H2"/>
    <mergeCell ref="C4:D5"/>
    <mergeCell ref="E4:H4"/>
    <mergeCell ref="E5:F5"/>
    <mergeCell ref="G5:H5"/>
    <mergeCell ref="A4:A7"/>
    <mergeCell ref="F3:G3"/>
  </mergeCells>
  <conditionalFormatting sqref="C33">
    <cfRule type="cellIs" dxfId="112" priority="2" operator="notEqual">
      <formula>$C$54-$C$24</formula>
    </cfRule>
  </conditionalFormatting>
  <conditionalFormatting sqref="C16">
    <cfRule type="cellIs" dxfId="111" priority="3" operator="notEqual">
      <formula>$C$50-$C$8</formula>
    </cfRule>
  </conditionalFormatting>
  <printOptions horizontalCentered="1"/>
  <pageMargins left="0.23622047244094491" right="0.39370078740157483" top="0.43307086614173229" bottom="0.15748031496062992" header="0.39370078740157483" footer="0.31496062992125984"/>
  <pageSetup paperSize="9" scale="5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Лист30">
    <pageSetUpPr fitToPage="1"/>
  </sheetPr>
  <dimension ref="A1:AF48"/>
  <sheetViews>
    <sheetView view="pageBreakPreview" zoomScale="70" zoomScaleNormal="70" zoomScaleSheetLayoutView="70" workbookViewId="0">
      <selection activeCell="T24" sqref="T24"/>
    </sheetView>
  </sheetViews>
  <sheetFormatPr defaultColWidth="9.140625" defaultRowHeight="18.75"/>
  <cols>
    <col min="1" max="1" width="9.5703125" style="378" customWidth="1"/>
    <col min="2" max="2" width="61.7109375" style="378" customWidth="1"/>
    <col min="3" max="3" width="21.42578125" style="378" customWidth="1"/>
    <col min="4" max="4" width="13.7109375" style="379" customWidth="1"/>
    <col min="5" max="5" width="21.42578125" style="378" customWidth="1"/>
    <col min="6" max="6" width="13.7109375" style="378" customWidth="1"/>
    <col min="7" max="7" width="21.42578125" style="378" customWidth="1"/>
    <col min="8" max="8" width="13.7109375" style="378" customWidth="1"/>
    <col min="9" max="25" width="18.85546875" style="378" customWidth="1"/>
    <col min="26" max="26" width="21.7109375" style="378" customWidth="1"/>
    <col min="27" max="27" width="27.42578125" style="378" customWidth="1"/>
    <col min="28" max="32" width="20.7109375" style="427" customWidth="1"/>
    <col min="33" max="16384" width="9.140625" style="378"/>
  </cols>
  <sheetData>
    <row r="1" spans="1:32">
      <c r="Z1" s="405" t="s">
        <v>787</v>
      </c>
    </row>
    <row r="2" spans="1:32" s="380" customFormat="1" ht="50.25" customHeight="1">
      <c r="A2" s="707" t="s">
        <v>826</v>
      </c>
      <c r="B2" s="707"/>
      <c r="C2" s="707"/>
      <c r="D2" s="707"/>
      <c r="E2" s="707"/>
      <c r="F2" s="707"/>
      <c r="G2" s="707"/>
      <c r="H2" s="707"/>
      <c r="I2" s="707"/>
      <c r="J2" s="707"/>
      <c r="K2" s="707"/>
      <c r="L2" s="707"/>
      <c r="M2" s="707"/>
      <c r="N2" s="707"/>
      <c r="O2" s="707"/>
      <c r="P2" s="707"/>
      <c r="Q2" s="707"/>
      <c r="R2" s="707"/>
      <c r="S2" s="707"/>
      <c r="T2" s="707"/>
      <c r="U2" s="707"/>
      <c r="V2" s="707"/>
      <c r="W2" s="707"/>
      <c r="X2" s="707"/>
      <c r="Y2" s="707"/>
      <c r="Z2" s="707"/>
      <c r="AB2" s="428"/>
      <c r="AC2" s="428"/>
      <c r="AD2" s="428"/>
      <c r="AE2" s="428"/>
      <c r="AF2" s="428"/>
    </row>
    <row r="3" spans="1:32" ht="19.5" customHeight="1">
      <c r="B3" s="381" t="str">
        <f>+'Asset quality'!B3</f>
        <v>АК "Алокабанк"</v>
      </c>
      <c r="C3" s="381"/>
      <c r="D3" s="381"/>
      <c r="E3" s="381"/>
      <c r="F3" s="381"/>
      <c r="G3" s="381"/>
      <c r="H3" s="381"/>
      <c r="I3" s="381"/>
      <c r="J3" s="381"/>
      <c r="K3" s="381"/>
      <c r="L3" s="381"/>
      <c r="M3" s="381"/>
      <c r="V3" s="717">
        <f>+'Asset quality'!P3</f>
        <v>44196</v>
      </c>
      <c r="W3" s="717"/>
      <c r="Z3" s="205" t="s">
        <v>408</v>
      </c>
    </row>
    <row r="4" spans="1:32" s="382" customFormat="1" ht="18.75" customHeight="1">
      <c r="A4" s="708" t="s">
        <v>83</v>
      </c>
      <c r="B4" s="708" t="s">
        <v>667</v>
      </c>
      <c r="C4" s="711" t="s">
        <v>656</v>
      </c>
      <c r="D4" s="712"/>
      <c r="E4" s="712"/>
      <c r="F4" s="712"/>
      <c r="G4" s="712"/>
      <c r="H4" s="713"/>
      <c r="I4" s="711" t="s">
        <v>788</v>
      </c>
      <c r="J4" s="712"/>
      <c r="K4" s="712"/>
      <c r="L4" s="712"/>
      <c r="M4" s="713"/>
      <c r="N4" s="706" t="s">
        <v>411</v>
      </c>
      <c r="O4" s="706"/>
      <c r="P4" s="706"/>
      <c r="Q4" s="706"/>
      <c r="R4" s="706"/>
      <c r="S4" s="706" t="s">
        <v>413</v>
      </c>
      <c r="T4" s="706"/>
      <c r="U4" s="706"/>
      <c r="V4" s="706"/>
      <c r="W4" s="706"/>
      <c r="X4" s="706"/>
      <c r="Y4" s="708" t="s">
        <v>789</v>
      </c>
      <c r="Z4" s="708" t="s">
        <v>790</v>
      </c>
      <c r="AB4" s="429"/>
      <c r="AC4" s="429"/>
      <c r="AD4" s="429"/>
      <c r="AE4" s="429"/>
      <c r="AF4" s="429"/>
    </row>
    <row r="5" spans="1:32" s="382" customFormat="1" ht="26.25" customHeight="1">
      <c r="A5" s="709"/>
      <c r="B5" s="709"/>
      <c r="C5" s="714"/>
      <c r="D5" s="715"/>
      <c r="E5" s="715"/>
      <c r="F5" s="715"/>
      <c r="G5" s="715"/>
      <c r="H5" s="716"/>
      <c r="I5" s="706" t="s">
        <v>791</v>
      </c>
      <c r="J5" s="706" t="s">
        <v>792</v>
      </c>
      <c r="K5" s="706" t="s">
        <v>793</v>
      </c>
      <c r="L5" s="706" t="s">
        <v>794</v>
      </c>
      <c r="M5" s="706" t="s">
        <v>795</v>
      </c>
      <c r="N5" s="706"/>
      <c r="O5" s="706"/>
      <c r="P5" s="706"/>
      <c r="Q5" s="706"/>
      <c r="R5" s="706"/>
      <c r="S5" s="706" t="s">
        <v>414</v>
      </c>
      <c r="T5" s="706" t="s">
        <v>420</v>
      </c>
      <c r="U5" s="706"/>
      <c r="V5" s="706"/>
      <c r="W5" s="706"/>
      <c r="X5" s="706"/>
      <c r="Y5" s="709"/>
      <c r="Z5" s="709"/>
      <c r="AB5" s="429"/>
      <c r="AC5" s="429"/>
      <c r="AD5" s="429"/>
      <c r="AE5" s="429"/>
      <c r="AF5" s="429"/>
    </row>
    <row r="6" spans="1:32" s="382" customFormat="1" ht="63" customHeight="1">
      <c r="A6" s="709"/>
      <c r="B6" s="710"/>
      <c r="C6" s="408" t="s">
        <v>796</v>
      </c>
      <c r="D6" s="407" t="s">
        <v>797</v>
      </c>
      <c r="E6" s="408" t="s">
        <v>798</v>
      </c>
      <c r="F6" s="407" t="s">
        <v>797</v>
      </c>
      <c r="G6" s="408" t="s">
        <v>799</v>
      </c>
      <c r="H6" s="407" t="s">
        <v>797</v>
      </c>
      <c r="I6" s="706"/>
      <c r="J6" s="706"/>
      <c r="K6" s="706"/>
      <c r="L6" s="706"/>
      <c r="M6" s="706"/>
      <c r="N6" s="409" t="s">
        <v>278</v>
      </c>
      <c r="O6" s="409" t="s">
        <v>75</v>
      </c>
      <c r="P6" s="409" t="s">
        <v>77</v>
      </c>
      <c r="Q6" s="409" t="s">
        <v>78</v>
      </c>
      <c r="R6" s="409" t="s">
        <v>81</v>
      </c>
      <c r="S6" s="706"/>
      <c r="T6" s="409" t="s">
        <v>278</v>
      </c>
      <c r="U6" s="409" t="s">
        <v>75</v>
      </c>
      <c r="V6" s="409" t="s">
        <v>77</v>
      </c>
      <c r="W6" s="409" t="s">
        <v>78</v>
      </c>
      <c r="X6" s="409" t="s">
        <v>81</v>
      </c>
      <c r="Y6" s="710"/>
      <c r="Z6" s="710"/>
      <c r="AA6" s="431"/>
      <c r="AB6" s="430" t="s">
        <v>278</v>
      </c>
      <c r="AC6" s="430" t="s">
        <v>75</v>
      </c>
      <c r="AD6" s="430" t="s">
        <v>77</v>
      </c>
      <c r="AE6" s="430" t="s">
        <v>78</v>
      </c>
      <c r="AF6" s="430" t="s">
        <v>81</v>
      </c>
    </row>
    <row r="7" spans="1:32" s="382" customFormat="1">
      <c r="A7" s="710"/>
      <c r="B7" s="406" t="s">
        <v>182</v>
      </c>
      <c r="C7" s="406" t="s">
        <v>183</v>
      </c>
      <c r="D7" s="406" t="s">
        <v>200</v>
      </c>
      <c r="E7" s="406" t="s">
        <v>184</v>
      </c>
      <c r="F7" s="406" t="s">
        <v>185</v>
      </c>
      <c r="G7" s="406" t="s">
        <v>201</v>
      </c>
      <c r="H7" s="406" t="s">
        <v>186</v>
      </c>
      <c r="I7" s="406" t="s">
        <v>187</v>
      </c>
      <c r="J7" s="406" t="s">
        <v>188</v>
      </c>
      <c r="K7" s="406" t="s">
        <v>189</v>
      </c>
      <c r="L7" s="406" t="s">
        <v>190</v>
      </c>
      <c r="M7" s="406" t="s">
        <v>191</v>
      </c>
      <c r="N7" s="406" t="s">
        <v>192</v>
      </c>
      <c r="O7" s="406" t="s">
        <v>421</v>
      </c>
      <c r="P7" s="406" t="s">
        <v>422</v>
      </c>
      <c r="Q7" s="406" t="s">
        <v>423</v>
      </c>
      <c r="R7" s="406" t="s">
        <v>424</v>
      </c>
      <c r="S7" s="406" t="s">
        <v>700</v>
      </c>
      <c r="T7" s="406" t="s">
        <v>740</v>
      </c>
      <c r="U7" s="406" t="s">
        <v>800</v>
      </c>
      <c r="V7" s="406" t="s">
        <v>801</v>
      </c>
      <c r="W7" s="406" t="s">
        <v>802</v>
      </c>
      <c r="X7" s="406" t="s">
        <v>803</v>
      </c>
      <c r="Y7" s="406" t="s">
        <v>804</v>
      </c>
      <c r="Z7" s="406" t="s">
        <v>805</v>
      </c>
      <c r="AA7" s="431"/>
      <c r="AB7" s="429"/>
      <c r="AC7" s="429"/>
      <c r="AD7" s="429"/>
      <c r="AE7" s="429"/>
      <c r="AF7" s="429"/>
    </row>
    <row r="8" spans="1:32" s="382" customFormat="1" ht="49.5" customHeight="1">
      <c r="A8" s="383"/>
      <c r="B8" s="384" t="s">
        <v>223</v>
      </c>
      <c r="C8" s="385">
        <f>+C9+C25</f>
        <v>5705936821</v>
      </c>
      <c r="D8" s="386">
        <f>IFERROR(((C9*D9)/C8)+((C25*D25)/C8),0)</f>
        <v>4.116223753758691E-2</v>
      </c>
      <c r="E8" s="385">
        <f t="shared" ref="E8:G8" si="0">+E9+E25</f>
        <v>3786450485</v>
      </c>
      <c r="F8" s="386">
        <f>IFERROR(((E9*F9)/E8)+((E25*F25)/E8),0)</f>
        <v>0.1844015521572186</v>
      </c>
      <c r="G8" s="385">
        <f t="shared" si="0"/>
        <v>1919486336</v>
      </c>
      <c r="H8" s="386">
        <f>IFERROR(((G9*H9)/G8)+((G25*H25)/G8),0)</f>
        <v>7.8611269472758954E-2</v>
      </c>
      <c r="I8" s="385">
        <f t="shared" ref="I8:Z8" si="1">+I9+I25</f>
        <v>607080505</v>
      </c>
      <c r="J8" s="385">
        <f t="shared" si="1"/>
        <v>2690424936</v>
      </c>
      <c r="K8" s="385">
        <f t="shared" si="1"/>
        <v>2135130269</v>
      </c>
      <c r="L8" s="385">
        <f t="shared" si="1"/>
        <v>195641003</v>
      </c>
      <c r="M8" s="385">
        <f t="shared" si="1"/>
        <v>77660108</v>
      </c>
      <c r="N8" s="385">
        <f t="shared" si="1"/>
        <v>5607381631</v>
      </c>
      <c r="O8" s="385">
        <f t="shared" si="1"/>
        <v>92173584</v>
      </c>
      <c r="P8" s="385">
        <f t="shared" si="1"/>
        <v>3580002</v>
      </c>
      <c r="Q8" s="385">
        <f t="shared" si="1"/>
        <v>1457838</v>
      </c>
      <c r="R8" s="385">
        <f t="shared" si="1"/>
        <v>1343766</v>
      </c>
      <c r="S8" s="385">
        <f t="shared" si="1"/>
        <v>70409859</v>
      </c>
      <c r="T8" s="385">
        <f t="shared" si="1"/>
        <v>61332691</v>
      </c>
      <c r="U8" s="385">
        <f t="shared" si="1"/>
        <v>6889806</v>
      </c>
      <c r="V8" s="385">
        <f t="shared" si="1"/>
        <v>1047131</v>
      </c>
      <c r="W8" s="385">
        <f t="shared" si="1"/>
        <v>569578</v>
      </c>
      <c r="X8" s="385">
        <f t="shared" si="1"/>
        <v>570653</v>
      </c>
      <c r="Y8" s="385">
        <f t="shared" si="1"/>
        <v>944698.75197999994</v>
      </c>
      <c r="Z8" s="385">
        <f t="shared" si="1"/>
        <v>103020262</v>
      </c>
      <c r="AA8" s="431">
        <f>+'Loans Receivable'!C92</f>
        <v>5705936821</v>
      </c>
      <c r="AB8" s="431">
        <f>+'Asset Classification'!G30</f>
        <v>61332691</v>
      </c>
      <c r="AC8" s="431">
        <f>+'Asset Classification'!K30</f>
        <v>6889806</v>
      </c>
      <c r="AD8" s="431">
        <f>+'Asset Classification'!O50</f>
        <v>1047131</v>
      </c>
      <c r="AE8" s="431">
        <f>+'Asset Classification'!S50</f>
        <v>569578</v>
      </c>
      <c r="AF8" s="431">
        <f>+'Asset Classification'!W50</f>
        <v>570653</v>
      </c>
    </row>
    <row r="9" spans="1:32" s="399" customFormat="1" ht="49.5" customHeight="1">
      <c r="A9" s="384" t="s">
        <v>278</v>
      </c>
      <c r="B9" s="384" t="s">
        <v>806</v>
      </c>
      <c r="C9" s="385">
        <f>+C11+C16+C21+C22+C24</f>
        <v>1022400185</v>
      </c>
      <c r="D9" s="386">
        <f>IFERROR(((C11*D11)/C9)+((C16*D16)/C9)+((C21*D21)/C9)+((C22*D22)/C9)+((C24*D24)/C9),0)</f>
        <v>0.19723486461229769</v>
      </c>
      <c r="E9" s="385">
        <f>+E11+E16+E21+E22+E24</f>
        <v>1022400185</v>
      </c>
      <c r="F9" s="386">
        <f>IFERROR(((E11*F11)/E9)+((E16*F16)/E9)+((E21*F21)/E9)+((E22*F22)/E9)+((E24*F24)/E9),0)</f>
        <v>0.19723486461229769</v>
      </c>
      <c r="G9" s="385">
        <f>+G11+G16+G21+G22+G24</f>
        <v>0</v>
      </c>
      <c r="H9" s="386">
        <f>IFERROR(((G11*H11)/G9)+((G16*H16)/G9)+((G21*H21)/G9)+((G22*H22)/G9)+((G24*H24)/G9),0)</f>
        <v>0</v>
      </c>
      <c r="I9" s="385">
        <f t="shared" ref="I9:Z9" si="2">+I11+I16+I21+I22+I24</f>
        <v>148332396</v>
      </c>
      <c r="J9" s="385">
        <f t="shared" si="2"/>
        <v>500964992</v>
      </c>
      <c r="K9" s="385">
        <f t="shared" si="2"/>
        <v>180313608</v>
      </c>
      <c r="L9" s="385">
        <f t="shared" si="2"/>
        <v>142536048</v>
      </c>
      <c r="M9" s="385">
        <f t="shared" si="2"/>
        <v>50253141</v>
      </c>
      <c r="N9" s="385">
        <f t="shared" si="2"/>
        <v>1013972859</v>
      </c>
      <c r="O9" s="385">
        <f t="shared" si="2"/>
        <v>3431795</v>
      </c>
      <c r="P9" s="385">
        <f t="shared" si="2"/>
        <v>2193927</v>
      </c>
      <c r="Q9" s="385">
        <f t="shared" si="2"/>
        <v>1457838</v>
      </c>
      <c r="R9" s="385">
        <f t="shared" si="2"/>
        <v>1343766</v>
      </c>
      <c r="S9" s="385">
        <f>+S11+S16+S21+S22+S24</f>
        <v>13438214</v>
      </c>
      <c r="T9" s="385">
        <f t="shared" si="2"/>
        <v>11090682</v>
      </c>
      <c r="U9" s="385">
        <f t="shared" si="2"/>
        <v>736665</v>
      </c>
      <c r="V9" s="385">
        <f t="shared" si="2"/>
        <v>470636</v>
      </c>
      <c r="W9" s="385">
        <f t="shared" si="2"/>
        <v>569578</v>
      </c>
      <c r="X9" s="385">
        <f t="shared" si="2"/>
        <v>570653</v>
      </c>
      <c r="Y9" s="385">
        <f t="shared" si="2"/>
        <v>201513.75197999997</v>
      </c>
      <c r="Z9" s="385">
        <f t="shared" si="2"/>
        <v>0</v>
      </c>
      <c r="AA9" s="431">
        <f>+'Loans Receivable'!C80</f>
        <v>1022400185</v>
      </c>
      <c r="AB9" s="441">
        <f>+'Asset Classification'!E30</f>
        <v>5607381631</v>
      </c>
      <c r="AC9" s="441">
        <f>+'Asset Classification'!I30</f>
        <v>92173584</v>
      </c>
      <c r="AD9" s="441">
        <f>+'Asset Classification'!M30</f>
        <v>3580002</v>
      </c>
      <c r="AE9" s="441">
        <f>+'Asset Classification'!Q30</f>
        <v>1457838</v>
      </c>
      <c r="AF9" s="441">
        <f>+'Asset Classification'!U30</f>
        <v>1343766</v>
      </c>
    </row>
    <row r="10" spans="1:32" s="382" customFormat="1" ht="33.75" customHeight="1">
      <c r="A10" s="383"/>
      <c r="B10" s="384" t="s">
        <v>668</v>
      </c>
      <c r="C10" s="385"/>
      <c r="D10" s="385"/>
      <c r="E10" s="385"/>
      <c r="F10" s="385"/>
      <c r="G10" s="385"/>
      <c r="H10" s="385"/>
      <c r="I10" s="385"/>
      <c r="J10" s="385"/>
      <c r="K10" s="385"/>
      <c r="L10" s="385"/>
      <c r="M10" s="385"/>
      <c r="N10" s="385"/>
      <c r="O10" s="385"/>
      <c r="P10" s="385"/>
      <c r="Q10" s="385"/>
      <c r="R10" s="385"/>
      <c r="S10" s="385"/>
      <c r="T10" s="385"/>
      <c r="U10" s="385"/>
      <c r="V10" s="385"/>
      <c r="W10" s="385"/>
      <c r="X10" s="385"/>
      <c r="Y10" s="385"/>
      <c r="Z10" s="385"/>
      <c r="AA10" s="431"/>
      <c r="AB10" s="442">
        <f>+N8-AB9</f>
        <v>0</v>
      </c>
      <c r="AC10" s="442">
        <f>+O8-AC9</f>
        <v>0</v>
      </c>
      <c r="AD10" s="442">
        <f>+P8-AD9</f>
        <v>0</v>
      </c>
      <c r="AE10" s="442">
        <f>+Q8-AE9</f>
        <v>0</v>
      </c>
      <c r="AF10" s="442">
        <f>+R8-AF9</f>
        <v>0</v>
      </c>
    </row>
    <row r="11" spans="1:32" s="382" customFormat="1" ht="49.5" customHeight="1">
      <c r="A11" s="387">
        <v>1</v>
      </c>
      <c r="B11" s="388" t="s">
        <v>807</v>
      </c>
      <c r="C11" s="415">
        <f>SUM(C12:C15)</f>
        <v>124357836</v>
      </c>
      <c r="D11" s="416">
        <f>IFERROR(((C12*D12)/C11)+((C13*D13)/C11)+((C14*D14)/C11)+((C15*D15)/C11),0)</f>
        <v>0.13414024040278796</v>
      </c>
      <c r="E11" s="415">
        <f>SUM(E12:E15)</f>
        <v>124357836</v>
      </c>
      <c r="F11" s="416">
        <f>IFERROR(((E12*F12)/E11)+((E13*F13)/E11)+((E14*F14)/E11)+((E15*F15)/E11),0)</f>
        <v>0.13414024040278796</v>
      </c>
      <c r="G11" s="415">
        <f>SUM(G12:G15)</f>
        <v>0</v>
      </c>
      <c r="H11" s="416">
        <f>IFERROR(((G12*H12)/G11)+((G13*H13)/G11)+((G14*H14)/G11)+((G15*H15)/G11),0)</f>
        <v>0</v>
      </c>
      <c r="I11" s="415">
        <f t="shared" ref="I11:Z11" si="3">SUM(I12:I15)</f>
        <v>0</v>
      </c>
      <c r="J11" s="415">
        <f t="shared" si="3"/>
        <v>0</v>
      </c>
      <c r="K11" s="415">
        <f t="shared" si="3"/>
        <v>12968275</v>
      </c>
      <c r="L11" s="415">
        <f t="shared" si="3"/>
        <v>82544210</v>
      </c>
      <c r="M11" s="415">
        <f t="shared" si="3"/>
        <v>28845351</v>
      </c>
      <c r="N11" s="415">
        <f t="shared" si="3"/>
        <v>123601727</v>
      </c>
      <c r="O11" s="415">
        <f t="shared" si="3"/>
        <v>525395</v>
      </c>
      <c r="P11" s="415">
        <f t="shared" si="3"/>
        <v>230714</v>
      </c>
      <c r="Q11" s="415">
        <f t="shared" si="3"/>
        <v>0</v>
      </c>
      <c r="R11" s="415">
        <f t="shared" si="3"/>
        <v>0</v>
      </c>
      <c r="S11" s="415">
        <f t="shared" si="3"/>
        <v>1412181</v>
      </c>
      <c r="T11" s="415">
        <f t="shared" si="3"/>
        <v>1336713</v>
      </c>
      <c r="U11" s="415">
        <f t="shared" si="3"/>
        <v>19275</v>
      </c>
      <c r="V11" s="415">
        <f t="shared" si="3"/>
        <v>56193</v>
      </c>
      <c r="W11" s="415">
        <f t="shared" si="3"/>
        <v>0</v>
      </c>
      <c r="X11" s="415">
        <f t="shared" si="3"/>
        <v>0</v>
      </c>
      <c r="Y11" s="415">
        <f t="shared" si="3"/>
        <v>0</v>
      </c>
      <c r="Z11" s="415">
        <f t="shared" si="3"/>
        <v>0</v>
      </c>
      <c r="AA11" s="431">
        <f>+'loans_av rate'!C10</f>
        <v>124357836</v>
      </c>
      <c r="AB11" s="429">
        <f>+'loans_av rate'!E10</f>
        <v>124357836</v>
      </c>
      <c r="AC11" s="429">
        <f>+'loans_av rate'!G10</f>
        <v>0</v>
      </c>
      <c r="AD11" s="429"/>
      <c r="AE11" s="429"/>
      <c r="AF11" s="429"/>
    </row>
    <row r="12" spans="1:32" s="382" customFormat="1" ht="49.5" customHeight="1">
      <c r="A12" s="393" t="s">
        <v>268</v>
      </c>
      <c r="B12" s="412" t="s">
        <v>808</v>
      </c>
      <c r="C12" s="413">
        <f>+E12+G12</f>
        <v>123210582</v>
      </c>
      <c r="D12" s="389">
        <v>0.13428878479529466</v>
      </c>
      <c r="E12" s="414">
        <v>123210582</v>
      </c>
      <c r="F12" s="389">
        <v>0.13428878479529466</v>
      </c>
      <c r="G12" s="414">
        <v>0</v>
      </c>
      <c r="H12" s="389">
        <v>0</v>
      </c>
      <c r="I12" s="414">
        <v>0</v>
      </c>
      <c r="J12" s="414">
        <v>0</v>
      </c>
      <c r="K12" s="414">
        <v>12611963</v>
      </c>
      <c r="L12" s="414">
        <v>81980924</v>
      </c>
      <c r="M12" s="414">
        <v>28617695</v>
      </c>
      <c r="N12" s="414">
        <v>122454473</v>
      </c>
      <c r="O12" s="414">
        <v>525395</v>
      </c>
      <c r="P12" s="414">
        <v>230714</v>
      </c>
      <c r="Q12" s="414">
        <v>0</v>
      </c>
      <c r="R12" s="414">
        <v>0</v>
      </c>
      <c r="S12" s="413">
        <f>SUM(T12:X12)</f>
        <v>1399849</v>
      </c>
      <c r="T12" s="414">
        <v>1324381</v>
      </c>
      <c r="U12" s="414">
        <v>19275</v>
      </c>
      <c r="V12" s="414">
        <v>56193</v>
      </c>
      <c r="W12" s="414">
        <v>0</v>
      </c>
      <c r="X12" s="414">
        <v>0</v>
      </c>
      <c r="Y12" s="414"/>
      <c r="Z12" s="414"/>
      <c r="AA12" s="431"/>
      <c r="AB12" s="429"/>
      <c r="AC12" s="429"/>
      <c r="AD12" s="429"/>
      <c r="AE12" s="429"/>
      <c r="AF12" s="429"/>
    </row>
    <row r="13" spans="1:32" s="382" customFormat="1" ht="49.5" customHeight="1">
      <c r="A13" s="393" t="s">
        <v>269</v>
      </c>
      <c r="B13" s="412" t="s">
        <v>809</v>
      </c>
      <c r="C13" s="413">
        <f>+E13+G13</f>
        <v>0</v>
      </c>
      <c r="D13" s="389">
        <v>0</v>
      </c>
      <c r="E13" s="414">
        <v>0</v>
      </c>
      <c r="F13" s="389">
        <v>0</v>
      </c>
      <c r="G13" s="414">
        <v>0</v>
      </c>
      <c r="H13" s="389">
        <v>0</v>
      </c>
      <c r="I13" s="414">
        <v>0</v>
      </c>
      <c r="J13" s="414">
        <v>0</v>
      </c>
      <c r="K13" s="414">
        <v>0</v>
      </c>
      <c r="L13" s="414">
        <v>0</v>
      </c>
      <c r="M13" s="414">
        <v>0</v>
      </c>
      <c r="N13" s="414">
        <v>0</v>
      </c>
      <c r="O13" s="414">
        <v>0</v>
      </c>
      <c r="P13" s="414">
        <v>0</v>
      </c>
      <c r="Q13" s="414">
        <v>0</v>
      </c>
      <c r="R13" s="414">
        <v>0</v>
      </c>
      <c r="S13" s="413">
        <f t="shared" ref="S13:S24" si="4">SUM(T13:X13)</f>
        <v>0</v>
      </c>
      <c r="T13" s="414">
        <v>0</v>
      </c>
      <c r="U13" s="414">
        <v>0</v>
      </c>
      <c r="V13" s="414">
        <v>0</v>
      </c>
      <c r="W13" s="414">
        <v>0</v>
      </c>
      <c r="X13" s="414">
        <v>0</v>
      </c>
      <c r="Y13" s="414">
        <v>0</v>
      </c>
      <c r="Z13" s="414">
        <v>0</v>
      </c>
      <c r="AA13" s="431"/>
      <c r="AB13" s="429"/>
      <c r="AC13" s="429"/>
      <c r="AD13" s="429"/>
      <c r="AE13" s="429"/>
      <c r="AF13" s="429"/>
    </row>
    <row r="14" spans="1:32" s="382" customFormat="1" ht="49.5" customHeight="1">
      <c r="A14" s="393" t="s">
        <v>270</v>
      </c>
      <c r="B14" s="412" t="s">
        <v>813</v>
      </c>
      <c r="C14" s="413">
        <f>+E14+G14</f>
        <v>540997</v>
      </c>
      <c r="D14" s="389">
        <v>0.12834674707156868</v>
      </c>
      <c r="E14" s="414">
        <v>540997</v>
      </c>
      <c r="F14" s="389">
        <v>0.12834674707156868</v>
      </c>
      <c r="G14" s="414">
        <v>0</v>
      </c>
      <c r="H14" s="389">
        <v>0</v>
      </c>
      <c r="I14" s="414">
        <v>0</v>
      </c>
      <c r="J14" s="414">
        <v>0</v>
      </c>
      <c r="K14" s="414">
        <v>335886</v>
      </c>
      <c r="L14" s="414">
        <v>103776</v>
      </c>
      <c r="M14" s="414">
        <v>101335</v>
      </c>
      <c r="N14" s="414">
        <v>540997</v>
      </c>
      <c r="O14" s="414">
        <v>0</v>
      </c>
      <c r="P14" s="414">
        <v>0</v>
      </c>
      <c r="Q14" s="414">
        <v>0</v>
      </c>
      <c r="R14" s="414">
        <v>0</v>
      </c>
      <c r="S14" s="413">
        <f t="shared" si="4"/>
        <v>5815</v>
      </c>
      <c r="T14" s="414">
        <v>5815</v>
      </c>
      <c r="U14" s="414">
        <v>0</v>
      </c>
      <c r="V14" s="414">
        <v>0</v>
      </c>
      <c r="W14" s="414">
        <v>0</v>
      </c>
      <c r="X14" s="414">
        <v>0</v>
      </c>
      <c r="Y14" s="414">
        <v>0</v>
      </c>
      <c r="Z14" s="414">
        <v>0</v>
      </c>
      <c r="AA14" s="431"/>
      <c r="AB14" s="429"/>
      <c r="AC14" s="429"/>
      <c r="AD14" s="429"/>
      <c r="AE14" s="429"/>
      <c r="AF14" s="429"/>
    </row>
    <row r="15" spans="1:32" s="382" customFormat="1" ht="49.5" customHeight="1">
      <c r="A15" s="393" t="s">
        <v>274</v>
      </c>
      <c r="B15" s="412" t="s">
        <v>810</v>
      </c>
      <c r="C15" s="413">
        <f>+E15+G15</f>
        <v>606257</v>
      </c>
      <c r="D15" s="389">
        <v>0.10912118323416758</v>
      </c>
      <c r="E15" s="414">
        <v>606257</v>
      </c>
      <c r="F15" s="389">
        <v>0.10912118323416758</v>
      </c>
      <c r="G15" s="414">
        <v>0</v>
      </c>
      <c r="H15" s="389">
        <v>0</v>
      </c>
      <c r="I15" s="414">
        <v>0</v>
      </c>
      <c r="J15" s="414">
        <v>0</v>
      </c>
      <c r="K15" s="414">
        <v>20426</v>
      </c>
      <c r="L15" s="414">
        <v>459510</v>
      </c>
      <c r="M15" s="414">
        <v>126321</v>
      </c>
      <c r="N15" s="414">
        <v>606257</v>
      </c>
      <c r="O15" s="414">
        <v>0</v>
      </c>
      <c r="P15" s="414">
        <v>0</v>
      </c>
      <c r="Q15" s="414">
        <v>0</v>
      </c>
      <c r="R15" s="414">
        <v>0</v>
      </c>
      <c r="S15" s="413">
        <f t="shared" si="4"/>
        <v>6517</v>
      </c>
      <c r="T15" s="414">
        <v>6517</v>
      </c>
      <c r="U15" s="414">
        <v>0</v>
      </c>
      <c r="V15" s="414">
        <v>0</v>
      </c>
      <c r="W15" s="414">
        <v>0</v>
      </c>
      <c r="X15" s="414">
        <v>0</v>
      </c>
      <c r="Y15" s="414">
        <v>0</v>
      </c>
      <c r="Z15" s="414">
        <v>0</v>
      </c>
      <c r="AA15" s="431"/>
      <c r="AB15" s="429"/>
      <c r="AC15" s="429"/>
      <c r="AD15" s="429"/>
      <c r="AE15" s="429"/>
      <c r="AF15" s="429"/>
    </row>
    <row r="16" spans="1:32" s="382" customFormat="1" ht="49.5" customHeight="1">
      <c r="A16" s="387">
        <v>2</v>
      </c>
      <c r="B16" s="388" t="s">
        <v>811</v>
      </c>
      <c r="C16" s="415">
        <f>SUM(C17:C20)</f>
        <v>248824226</v>
      </c>
      <c r="D16" s="416">
        <f>IFERROR(((C17*D17)/C16)+((C18*D18)/C16)+((C19*D19)/C16)+((C20*D20)/C16),0)</f>
        <v>0.1863599910871136</v>
      </c>
      <c r="E16" s="415">
        <f>SUM(E17:E20)</f>
        <v>248824226</v>
      </c>
      <c r="F16" s="416">
        <f>IFERROR(((E17*F17)/E16)+((E18*F18)/E16)+((E19*F19)/E16)+((E20*F20)/E16),0)</f>
        <v>0.1863599910871136</v>
      </c>
      <c r="G16" s="415">
        <f>SUM(G17:G20)</f>
        <v>0</v>
      </c>
      <c r="H16" s="416">
        <f>IFERROR(((G17*H17)/G16)+((G18*H18)/G16)+((G19*H19)/G16)+((G20*H20)/G16),0)</f>
        <v>0</v>
      </c>
      <c r="I16" s="415">
        <f t="shared" ref="I16" si="5">SUM(I17:I20)</f>
        <v>0</v>
      </c>
      <c r="J16" s="415">
        <f t="shared" ref="J16:Z16" si="6">SUM(J17:J20)</f>
        <v>2634957</v>
      </c>
      <c r="K16" s="415">
        <f t="shared" si="6"/>
        <v>165869407</v>
      </c>
      <c r="L16" s="415">
        <f t="shared" si="6"/>
        <v>58912072</v>
      </c>
      <c r="M16" s="415">
        <f t="shared" si="6"/>
        <v>21407790</v>
      </c>
      <c r="N16" s="415">
        <f t="shared" si="6"/>
        <v>247439432</v>
      </c>
      <c r="O16" s="415">
        <f t="shared" si="6"/>
        <v>950460</v>
      </c>
      <c r="P16" s="415">
        <f t="shared" si="6"/>
        <v>34879</v>
      </c>
      <c r="Q16" s="415">
        <f t="shared" si="6"/>
        <v>127763</v>
      </c>
      <c r="R16" s="415">
        <f t="shared" si="6"/>
        <v>271692</v>
      </c>
      <c r="S16" s="415">
        <f>SUM(S17:S20)</f>
        <v>2832892</v>
      </c>
      <c r="T16" s="415">
        <f t="shared" si="6"/>
        <v>2674593</v>
      </c>
      <c r="U16" s="415">
        <f t="shared" si="6"/>
        <v>141132</v>
      </c>
      <c r="V16" s="415">
        <f t="shared" si="6"/>
        <v>0</v>
      </c>
      <c r="W16" s="415">
        <f t="shared" si="6"/>
        <v>17167</v>
      </c>
      <c r="X16" s="415">
        <f t="shared" si="6"/>
        <v>0</v>
      </c>
      <c r="Y16" s="415">
        <f t="shared" si="6"/>
        <v>0</v>
      </c>
      <c r="Z16" s="415">
        <f t="shared" si="6"/>
        <v>0</v>
      </c>
      <c r="AA16" s="431">
        <f>+'loans_av rate'!C18</f>
        <v>248824226</v>
      </c>
      <c r="AB16" s="429">
        <f>+'loans_av rate'!E18</f>
        <v>248824226</v>
      </c>
      <c r="AC16" s="429">
        <f>+'loans_av rate'!G18</f>
        <v>0</v>
      </c>
      <c r="AD16" s="429"/>
      <c r="AE16" s="429"/>
      <c r="AF16" s="429"/>
    </row>
    <row r="17" spans="1:32" s="392" customFormat="1" ht="49.5" customHeight="1">
      <c r="A17" s="390" t="s">
        <v>281</v>
      </c>
      <c r="B17" s="391" t="s">
        <v>808</v>
      </c>
      <c r="C17" s="413">
        <f t="shared" ref="C17:C24" si="7">+E17+G17</f>
        <v>248102877</v>
      </c>
      <c r="D17" s="389">
        <v>0.18631314959097139</v>
      </c>
      <c r="E17" s="414">
        <v>248102877</v>
      </c>
      <c r="F17" s="389">
        <v>0.18631314959097139</v>
      </c>
      <c r="G17" s="414">
        <v>0</v>
      </c>
      <c r="H17" s="389">
        <v>0</v>
      </c>
      <c r="I17" s="414">
        <v>0</v>
      </c>
      <c r="J17" s="414">
        <v>2634957</v>
      </c>
      <c r="K17" s="414">
        <v>165225683</v>
      </c>
      <c r="L17" s="414">
        <v>58834447</v>
      </c>
      <c r="M17" s="414">
        <v>21407790</v>
      </c>
      <c r="N17" s="414">
        <v>246718083</v>
      </c>
      <c r="O17" s="414">
        <v>950460</v>
      </c>
      <c r="P17" s="414">
        <v>34879</v>
      </c>
      <c r="Q17" s="414">
        <v>127763</v>
      </c>
      <c r="R17" s="414">
        <v>271692</v>
      </c>
      <c r="S17" s="413">
        <f t="shared" si="4"/>
        <v>2825138</v>
      </c>
      <c r="T17" s="414">
        <v>2666839</v>
      </c>
      <c r="U17" s="414">
        <v>141132</v>
      </c>
      <c r="V17" s="414">
        <v>0</v>
      </c>
      <c r="W17" s="414">
        <v>17167</v>
      </c>
      <c r="X17" s="414">
        <v>0</v>
      </c>
      <c r="Y17" s="414">
        <v>0</v>
      </c>
      <c r="Z17" s="414">
        <v>0</v>
      </c>
      <c r="AA17" s="431"/>
      <c r="AB17" s="433"/>
      <c r="AC17" s="433"/>
      <c r="AD17" s="433"/>
      <c r="AE17" s="433"/>
      <c r="AF17" s="433"/>
    </row>
    <row r="18" spans="1:32" s="392" customFormat="1" ht="49.5" customHeight="1">
      <c r="A18" s="390" t="s">
        <v>282</v>
      </c>
      <c r="B18" s="391" t="s">
        <v>809</v>
      </c>
      <c r="C18" s="413">
        <f t="shared" si="7"/>
        <v>0</v>
      </c>
      <c r="D18" s="389">
        <v>0</v>
      </c>
      <c r="E18" s="414">
        <v>0</v>
      </c>
      <c r="F18" s="389">
        <v>0</v>
      </c>
      <c r="G18" s="414">
        <v>0</v>
      </c>
      <c r="H18" s="389">
        <v>0</v>
      </c>
      <c r="I18" s="414">
        <v>0</v>
      </c>
      <c r="J18" s="414">
        <v>0</v>
      </c>
      <c r="K18" s="414">
        <v>0</v>
      </c>
      <c r="L18" s="414">
        <v>0</v>
      </c>
      <c r="M18" s="414">
        <v>0</v>
      </c>
      <c r="N18" s="414">
        <v>0</v>
      </c>
      <c r="O18" s="414">
        <v>0</v>
      </c>
      <c r="P18" s="414">
        <v>0</v>
      </c>
      <c r="Q18" s="414">
        <v>0</v>
      </c>
      <c r="R18" s="414">
        <v>0</v>
      </c>
      <c r="S18" s="413">
        <f t="shared" si="4"/>
        <v>0</v>
      </c>
      <c r="T18" s="414">
        <v>0</v>
      </c>
      <c r="U18" s="414">
        <v>0</v>
      </c>
      <c r="V18" s="414">
        <v>0</v>
      </c>
      <c r="W18" s="414">
        <v>0</v>
      </c>
      <c r="X18" s="414">
        <v>0</v>
      </c>
      <c r="Y18" s="414">
        <v>0</v>
      </c>
      <c r="Z18" s="414">
        <v>0</v>
      </c>
      <c r="AA18" s="431"/>
      <c r="AB18" s="433"/>
      <c r="AC18" s="433"/>
      <c r="AD18" s="433"/>
      <c r="AE18" s="433"/>
      <c r="AF18" s="433"/>
    </row>
    <row r="19" spans="1:32" s="392" customFormat="1" ht="49.5" customHeight="1">
      <c r="A19" s="390" t="s">
        <v>284</v>
      </c>
      <c r="B19" s="391" t="s">
        <v>813</v>
      </c>
      <c r="C19" s="413">
        <f t="shared" si="7"/>
        <v>468015</v>
      </c>
      <c r="D19" s="389">
        <v>0.19972215186144726</v>
      </c>
      <c r="E19" s="414">
        <v>468015</v>
      </c>
      <c r="F19" s="389">
        <v>0.19972215186144726</v>
      </c>
      <c r="G19" s="414">
        <v>0</v>
      </c>
      <c r="H19" s="389">
        <v>0</v>
      </c>
      <c r="I19" s="414">
        <v>0</v>
      </c>
      <c r="J19" s="414">
        <v>0</v>
      </c>
      <c r="K19" s="414">
        <v>390390</v>
      </c>
      <c r="L19" s="414">
        <v>77625</v>
      </c>
      <c r="M19" s="414">
        <v>0</v>
      </c>
      <c r="N19" s="414">
        <v>468015</v>
      </c>
      <c r="O19" s="414">
        <v>0</v>
      </c>
      <c r="P19" s="414">
        <v>0</v>
      </c>
      <c r="Q19" s="414">
        <v>0</v>
      </c>
      <c r="R19" s="414">
        <v>0</v>
      </c>
      <c r="S19" s="413">
        <f t="shared" si="4"/>
        <v>5031</v>
      </c>
      <c r="T19" s="414">
        <v>5031</v>
      </c>
      <c r="U19" s="414">
        <v>0</v>
      </c>
      <c r="V19" s="414">
        <v>0</v>
      </c>
      <c r="W19" s="414">
        <v>0</v>
      </c>
      <c r="X19" s="414">
        <v>0</v>
      </c>
      <c r="Y19" s="414">
        <v>0</v>
      </c>
      <c r="Z19" s="414">
        <v>0</v>
      </c>
      <c r="AA19" s="431"/>
      <c r="AB19" s="433"/>
      <c r="AC19" s="433"/>
      <c r="AD19" s="433"/>
      <c r="AE19" s="433"/>
      <c r="AF19" s="433"/>
    </row>
    <row r="20" spans="1:32" s="392" customFormat="1" ht="49.5" customHeight="1">
      <c r="A20" s="390" t="s">
        <v>286</v>
      </c>
      <c r="B20" s="391" t="s">
        <v>810</v>
      </c>
      <c r="C20" s="413">
        <f t="shared" si="7"/>
        <v>253334</v>
      </c>
      <c r="D20" s="389">
        <v>0.20754869170000137</v>
      </c>
      <c r="E20" s="414">
        <v>253334</v>
      </c>
      <c r="F20" s="389">
        <v>0.20754869170000137</v>
      </c>
      <c r="G20" s="414">
        <v>0</v>
      </c>
      <c r="H20" s="389">
        <v>0</v>
      </c>
      <c r="I20" s="414">
        <v>0</v>
      </c>
      <c r="J20" s="414">
        <v>0</v>
      </c>
      <c r="K20" s="414">
        <v>253334</v>
      </c>
      <c r="L20" s="414">
        <v>0</v>
      </c>
      <c r="M20" s="414">
        <v>0</v>
      </c>
      <c r="N20" s="414">
        <v>253334</v>
      </c>
      <c r="O20" s="414">
        <v>0</v>
      </c>
      <c r="P20" s="414">
        <v>0</v>
      </c>
      <c r="Q20" s="414">
        <v>0</v>
      </c>
      <c r="R20" s="414">
        <v>0</v>
      </c>
      <c r="S20" s="413">
        <f t="shared" si="4"/>
        <v>2723</v>
      </c>
      <c r="T20" s="414">
        <v>2723</v>
      </c>
      <c r="U20" s="414">
        <v>0</v>
      </c>
      <c r="V20" s="414">
        <v>0</v>
      </c>
      <c r="W20" s="414">
        <v>0</v>
      </c>
      <c r="X20" s="414">
        <v>0</v>
      </c>
      <c r="Y20" s="414">
        <v>0</v>
      </c>
      <c r="Z20" s="414">
        <v>0</v>
      </c>
      <c r="AA20" s="431"/>
      <c r="AB20" s="433"/>
      <c r="AC20" s="433"/>
      <c r="AD20" s="433"/>
      <c r="AE20" s="433"/>
      <c r="AF20" s="433"/>
    </row>
    <row r="21" spans="1:32" s="382" customFormat="1" ht="49.5" customHeight="1">
      <c r="A21" s="393">
        <v>3</v>
      </c>
      <c r="B21" s="394" t="s">
        <v>821</v>
      </c>
      <c r="C21" s="413">
        <f t="shared" si="7"/>
        <v>171761444</v>
      </c>
      <c r="D21" s="389">
        <v>0.24534354021834981</v>
      </c>
      <c r="E21" s="414">
        <v>171761444</v>
      </c>
      <c r="F21" s="389">
        <v>0.24534354021834981</v>
      </c>
      <c r="G21" s="414">
        <v>0</v>
      </c>
      <c r="H21" s="389">
        <v>0</v>
      </c>
      <c r="I21" s="414">
        <v>127792764</v>
      </c>
      <c r="J21" s="414">
        <v>43917032</v>
      </c>
      <c r="K21" s="414">
        <v>51648</v>
      </c>
      <c r="L21" s="414">
        <v>0</v>
      </c>
      <c r="M21" s="414">
        <v>0</v>
      </c>
      <c r="N21" s="414">
        <v>171435947</v>
      </c>
      <c r="O21" s="414">
        <v>97364</v>
      </c>
      <c r="P21" s="414">
        <v>9052</v>
      </c>
      <c r="Q21" s="414">
        <v>115563</v>
      </c>
      <c r="R21" s="414">
        <v>103518</v>
      </c>
      <c r="S21" s="413">
        <f t="shared" si="4"/>
        <v>2012524</v>
      </c>
      <c r="T21" s="414">
        <v>1842991</v>
      </c>
      <c r="U21" s="414">
        <v>31601</v>
      </c>
      <c r="V21" s="414">
        <v>1062</v>
      </c>
      <c r="W21" s="414">
        <v>63215</v>
      </c>
      <c r="X21" s="414">
        <v>73655</v>
      </c>
      <c r="Y21" s="414">
        <v>0</v>
      </c>
      <c r="Z21" s="414">
        <v>0</v>
      </c>
      <c r="AA21" s="431">
        <f>+'loans_av rate'!C12+'loans_av rate'!C20</f>
        <v>171761444</v>
      </c>
      <c r="AB21" s="431">
        <f>+'loans_av rate'!E12+'loans_av rate'!E20</f>
        <v>171761444</v>
      </c>
      <c r="AC21" s="431">
        <f>+'loans_av rate'!G12+'loans_av rate'!G20</f>
        <v>0</v>
      </c>
      <c r="AE21" s="429"/>
      <c r="AF21" s="429"/>
    </row>
    <row r="22" spans="1:32" s="382" customFormat="1" ht="49.5" customHeight="1">
      <c r="A22" s="393">
        <v>4</v>
      </c>
      <c r="B22" s="394" t="s">
        <v>677</v>
      </c>
      <c r="C22" s="413">
        <f t="shared" si="7"/>
        <v>414487325</v>
      </c>
      <c r="D22" s="389">
        <v>0.21847425256512554</v>
      </c>
      <c r="E22" s="414">
        <v>414487325</v>
      </c>
      <c r="F22" s="389">
        <v>0.21847425256512554</v>
      </c>
      <c r="G22" s="414">
        <v>0</v>
      </c>
      <c r="H22" s="389">
        <v>0</v>
      </c>
      <c r="I22" s="414">
        <v>20171299</v>
      </c>
      <c r="J22" s="414">
        <v>394069366</v>
      </c>
      <c r="K22" s="414">
        <v>246660</v>
      </c>
      <c r="L22" s="414">
        <v>0</v>
      </c>
      <c r="M22" s="414">
        <v>0</v>
      </c>
      <c r="N22" s="414">
        <v>411035185</v>
      </c>
      <c r="O22" s="414">
        <v>1180183</v>
      </c>
      <c r="P22" s="414">
        <v>1026002</v>
      </c>
      <c r="Q22" s="414">
        <v>603549</v>
      </c>
      <c r="R22" s="414">
        <v>642406</v>
      </c>
      <c r="S22" s="413">
        <f t="shared" si="4"/>
        <v>5294825</v>
      </c>
      <c r="T22" s="414">
        <v>4455294</v>
      </c>
      <c r="U22" s="414">
        <v>279071</v>
      </c>
      <c r="V22" s="414">
        <v>59591</v>
      </c>
      <c r="W22" s="414">
        <v>239628</v>
      </c>
      <c r="X22" s="414">
        <v>261241</v>
      </c>
      <c r="Y22" s="414">
        <v>41559.149270000002</v>
      </c>
      <c r="Z22" s="414">
        <v>0</v>
      </c>
      <c r="AA22" s="431">
        <f>+'loans_av rate'!C11+'loans_av rate'!C13+'loans_av rate'!C19+'loans_av rate'!C21</f>
        <v>414487325</v>
      </c>
      <c r="AB22" s="431">
        <f>+'loans_av rate'!E11+'loans_av rate'!E13+'loans_av rate'!E19+'loans_av rate'!E21</f>
        <v>414487325</v>
      </c>
      <c r="AC22" s="431"/>
      <c r="AE22" s="429"/>
      <c r="AF22" s="429"/>
    </row>
    <row r="23" spans="1:32" s="382" customFormat="1" ht="49.5" customHeight="1">
      <c r="A23" s="393" t="s">
        <v>585</v>
      </c>
      <c r="B23" s="394" t="s">
        <v>814</v>
      </c>
      <c r="C23" s="413">
        <f t="shared" si="7"/>
        <v>337230849</v>
      </c>
      <c r="D23" s="389">
        <v>0.22088965492552756</v>
      </c>
      <c r="E23" s="414">
        <v>337230849</v>
      </c>
      <c r="F23" s="389">
        <v>0.22088965492552756</v>
      </c>
      <c r="G23" s="414">
        <v>0</v>
      </c>
      <c r="H23" s="389">
        <v>0</v>
      </c>
      <c r="I23" s="414">
        <v>1920439</v>
      </c>
      <c r="J23" s="414">
        <v>335310410</v>
      </c>
      <c r="K23" s="414">
        <v>0</v>
      </c>
      <c r="L23" s="414">
        <v>0</v>
      </c>
      <c r="M23" s="414">
        <v>0</v>
      </c>
      <c r="N23" s="414">
        <v>334591316</v>
      </c>
      <c r="O23" s="414">
        <v>1042009</v>
      </c>
      <c r="P23" s="414">
        <v>985000</v>
      </c>
      <c r="Q23" s="414">
        <v>242446</v>
      </c>
      <c r="R23" s="414">
        <v>370078</v>
      </c>
      <c r="S23" s="413">
        <f t="shared" si="4"/>
        <v>4067631</v>
      </c>
      <c r="T23" s="414">
        <v>3624870</v>
      </c>
      <c r="U23" s="414">
        <v>177239</v>
      </c>
      <c r="V23" s="414">
        <v>50131</v>
      </c>
      <c r="W23" s="414">
        <v>67942</v>
      </c>
      <c r="X23" s="414">
        <v>147449</v>
      </c>
      <c r="Y23" s="414">
        <v>41559.149270000002</v>
      </c>
      <c r="Z23" s="414">
        <v>0</v>
      </c>
      <c r="AA23" s="431">
        <f>+'loans_av rate'!C11+'loans_av rate'!C19</f>
        <v>337230849</v>
      </c>
      <c r="AB23" s="431">
        <f>+'loans_av rate'!E11+'loans_av rate'!E19</f>
        <v>337230849</v>
      </c>
      <c r="AC23" s="431">
        <f>+'loans_av rate'!G11+'loans_av rate'!G19</f>
        <v>0</v>
      </c>
      <c r="AE23" s="429"/>
      <c r="AF23" s="429"/>
    </row>
    <row r="24" spans="1:32" s="382" customFormat="1" ht="49.5" customHeight="1">
      <c r="A24" s="393">
        <v>5</v>
      </c>
      <c r="B24" s="394" t="s">
        <v>665</v>
      </c>
      <c r="C24" s="413">
        <f t="shared" si="7"/>
        <v>62969354</v>
      </c>
      <c r="D24" s="389">
        <v>9.3780892850919242E-2</v>
      </c>
      <c r="E24" s="414">
        <v>62969354</v>
      </c>
      <c r="F24" s="389">
        <v>9.3780892850919242E-2</v>
      </c>
      <c r="G24" s="414">
        <v>0</v>
      </c>
      <c r="H24" s="389">
        <v>0</v>
      </c>
      <c r="I24" s="414">
        <v>368333</v>
      </c>
      <c r="J24" s="414">
        <v>60343637</v>
      </c>
      <c r="K24" s="414">
        <v>1177618</v>
      </c>
      <c r="L24" s="414">
        <v>1079766</v>
      </c>
      <c r="M24" s="414">
        <v>0</v>
      </c>
      <c r="N24" s="414">
        <v>60460568</v>
      </c>
      <c r="O24" s="414">
        <v>678393</v>
      </c>
      <c r="P24" s="414">
        <v>893280</v>
      </c>
      <c r="Q24" s="414">
        <v>610963</v>
      </c>
      <c r="R24" s="414">
        <v>326150</v>
      </c>
      <c r="S24" s="413">
        <f t="shared" si="4"/>
        <v>1885792</v>
      </c>
      <c r="T24" s="414">
        <v>781091</v>
      </c>
      <c r="U24" s="414">
        <v>265586</v>
      </c>
      <c r="V24" s="414">
        <v>353790</v>
      </c>
      <c r="W24" s="414">
        <v>249568</v>
      </c>
      <c r="X24" s="414">
        <v>235757</v>
      </c>
      <c r="Y24" s="414">
        <v>159954.60270999998</v>
      </c>
      <c r="Z24" s="414">
        <v>0</v>
      </c>
      <c r="AA24" s="431">
        <f>+'loans_av rate'!C14+'loans_av rate'!C22</f>
        <v>62969354</v>
      </c>
      <c r="AB24" s="431">
        <f>+'loans_av rate'!E14+'loans_av rate'!E22</f>
        <v>62969354</v>
      </c>
      <c r="AC24" s="431"/>
      <c r="AE24" s="429"/>
      <c r="AF24" s="429"/>
    </row>
    <row r="25" spans="1:32" s="399" customFormat="1" ht="49.5" customHeight="1">
      <c r="A25" s="384" t="s">
        <v>75</v>
      </c>
      <c r="B25" s="384" t="s">
        <v>812</v>
      </c>
      <c r="C25" s="385">
        <f>+C26</f>
        <v>4683536636</v>
      </c>
      <c r="D25" s="386">
        <f>IFERROR(((C27*D27)/C25)+((C28*D28)/C25)+((C29*D29)/C25)+((C30*D30)/C25)+((C31*D31)/C25)+((C32*D32)/C25),0)</f>
        <v>7.0921116485107389E-3</v>
      </c>
      <c r="E25" s="385">
        <f t="shared" ref="E25:Z25" si="8">+E26</f>
        <v>2764050300</v>
      </c>
      <c r="F25" s="386">
        <f>IFERROR(((E27*F27)/E25)+((E28*F28)/E25)+((E29*F29)/E25)+((E30*F30)/E25)+((E31*F31)/E25)+((E32*F32)/E25),0)</f>
        <v>0.17965461212206957</v>
      </c>
      <c r="G25" s="385">
        <f t="shared" si="8"/>
        <v>1919486336</v>
      </c>
      <c r="H25" s="386">
        <f>IFERROR(((G27*H27)/G25)+((G28*H28)/G25)+((G29*H29)/G25)+((G30*H30)/G25)+((G31*H31)/G25)+((G32*H32)/G25),0)</f>
        <v>7.8611269472758954E-2</v>
      </c>
      <c r="I25" s="385">
        <f t="shared" si="8"/>
        <v>458748109</v>
      </c>
      <c r="J25" s="385">
        <f t="shared" si="8"/>
        <v>2189459944</v>
      </c>
      <c r="K25" s="385">
        <f t="shared" si="8"/>
        <v>1954816661</v>
      </c>
      <c r="L25" s="385">
        <f t="shared" si="8"/>
        <v>53104955</v>
      </c>
      <c r="M25" s="385">
        <f t="shared" si="8"/>
        <v>27406967</v>
      </c>
      <c r="N25" s="385">
        <f t="shared" si="8"/>
        <v>4593408772</v>
      </c>
      <c r="O25" s="385">
        <f t="shared" si="8"/>
        <v>88741789</v>
      </c>
      <c r="P25" s="385">
        <f t="shared" si="8"/>
        <v>1386075</v>
      </c>
      <c r="Q25" s="385">
        <f t="shared" si="8"/>
        <v>0</v>
      </c>
      <c r="R25" s="385">
        <f t="shared" si="8"/>
        <v>0</v>
      </c>
      <c r="S25" s="385">
        <f t="shared" si="8"/>
        <v>56971645</v>
      </c>
      <c r="T25" s="385">
        <f t="shared" si="8"/>
        <v>50242009</v>
      </c>
      <c r="U25" s="385">
        <f t="shared" si="8"/>
        <v>6153141</v>
      </c>
      <c r="V25" s="385">
        <f t="shared" si="8"/>
        <v>576495</v>
      </c>
      <c r="W25" s="385">
        <f t="shared" si="8"/>
        <v>0</v>
      </c>
      <c r="X25" s="385">
        <f t="shared" si="8"/>
        <v>0</v>
      </c>
      <c r="Y25" s="385">
        <f t="shared" si="8"/>
        <v>743185</v>
      </c>
      <c r="Z25" s="385">
        <f t="shared" si="8"/>
        <v>103020262</v>
      </c>
      <c r="AA25" s="431">
        <f>+'loans_av rate'!C24+'loans_av rate'!C33</f>
        <v>4683536636</v>
      </c>
      <c r="AB25" s="431">
        <f>+'loans_av rate'!E24+'loans_av rate'!E33</f>
        <v>2764050300</v>
      </c>
      <c r="AC25" s="431">
        <f>+'loans_av rate'!G24+'loans_av rate'!G33</f>
        <v>1919486336</v>
      </c>
      <c r="AE25" s="432"/>
      <c r="AF25" s="432"/>
    </row>
    <row r="26" spans="1:32" s="399" customFormat="1" ht="33.75" customHeight="1">
      <c r="A26" s="384"/>
      <c r="B26" s="384" t="s">
        <v>822</v>
      </c>
      <c r="C26" s="385">
        <f>SUM(C27:C32)</f>
        <v>4683536636</v>
      </c>
      <c r="D26" s="386">
        <f>IFERROR(((C28*D28)/C26)+((C29*D29)/C26)+((C30*D30)/C26)+((C31*D31)/C26)+((C32*D32)/C26),0)</f>
        <v>0</v>
      </c>
      <c r="E26" s="385">
        <f t="shared" ref="E26:Z26" si="9">SUM(E27:E32)</f>
        <v>2764050300</v>
      </c>
      <c r="F26" s="386">
        <f>IFERROR(((E28*F28)/E26)+((E29*F29)/E26)+((E30*F30)/E26)+((E31*F31)/E26)+((E32*F32)/E26),0)</f>
        <v>0.16770664244624883</v>
      </c>
      <c r="G26" s="385">
        <f t="shared" si="9"/>
        <v>1919486336</v>
      </c>
      <c r="H26" s="386">
        <f>IFERROR(((G28*H28)/G26)+((G29*H29)/G26)+((G30*H30)/G26)+((G31*H31)/G26)+((G32*H32)/G26),0)</f>
        <v>7.8511568025569717E-2</v>
      </c>
      <c r="I26" s="385">
        <f t="shared" si="9"/>
        <v>458748109</v>
      </c>
      <c r="J26" s="385">
        <f t="shared" si="9"/>
        <v>2189459944</v>
      </c>
      <c r="K26" s="385">
        <f t="shared" si="9"/>
        <v>1954816661</v>
      </c>
      <c r="L26" s="385">
        <f t="shared" si="9"/>
        <v>53104955</v>
      </c>
      <c r="M26" s="385">
        <f t="shared" si="9"/>
        <v>27406967</v>
      </c>
      <c r="N26" s="385">
        <f t="shared" si="9"/>
        <v>4593408772</v>
      </c>
      <c r="O26" s="385">
        <f t="shared" si="9"/>
        <v>88741789</v>
      </c>
      <c r="P26" s="385">
        <f t="shared" si="9"/>
        <v>1386075</v>
      </c>
      <c r="Q26" s="385">
        <f t="shared" si="9"/>
        <v>0</v>
      </c>
      <c r="R26" s="385">
        <f t="shared" si="9"/>
        <v>0</v>
      </c>
      <c r="S26" s="385">
        <f t="shared" si="9"/>
        <v>56971645</v>
      </c>
      <c r="T26" s="385">
        <f t="shared" si="9"/>
        <v>50242009</v>
      </c>
      <c r="U26" s="385">
        <f t="shared" si="9"/>
        <v>6153141</v>
      </c>
      <c r="V26" s="385">
        <f t="shared" si="9"/>
        <v>576495</v>
      </c>
      <c r="W26" s="385">
        <f t="shared" si="9"/>
        <v>0</v>
      </c>
      <c r="X26" s="385">
        <f t="shared" si="9"/>
        <v>0</v>
      </c>
      <c r="Y26" s="385">
        <f t="shared" si="9"/>
        <v>743185</v>
      </c>
      <c r="Z26" s="385">
        <f t="shared" si="9"/>
        <v>103020262</v>
      </c>
      <c r="AA26" s="431"/>
      <c r="AB26" s="431"/>
      <c r="AC26" s="431"/>
      <c r="AE26" s="432"/>
      <c r="AF26" s="432"/>
    </row>
    <row r="27" spans="1:32" s="382" customFormat="1" ht="49.5" customHeight="1">
      <c r="A27" s="393">
        <v>1</v>
      </c>
      <c r="B27" s="394" t="s">
        <v>678</v>
      </c>
      <c r="C27" s="413">
        <f t="shared" ref="C27:C32" si="10">+E27+G27</f>
        <v>169536054</v>
      </c>
      <c r="D27" s="242">
        <f t="shared" ref="D27" si="11">(E27*F27+G27*H27)/(E27+G27)</f>
        <v>0.19592389906870428</v>
      </c>
      <c r="E27" s="414">
        <v>167652395</v>
      </c>
      <c r="F27" s="389">
        <v>0.19698370051226061</v>
      </c>
      <c r="G27" s="414">
        <v>1883659</v>
      </c>
      <c r="H27" s="389">
        <v>0.10159777622126964</v>
      </c>
      <c r="I27" s="414">
        <v>32209080</v>
      </c>
      <c r="J27" s="414">
        <v>120289712</v>
      </c>
      <c r="K27" s="414">
        <v>11561212</v>
      </c>
      <c r="L27" s="414">
        <v>5476050</v>
      </c>
      <c r="M27" s="414">
        <v>0</v>
      </c>
      <c r="N27" s="414">
        <v>162990006</v>
      </c>
      <c r="O27" s="414">
        <v>6459973</v>
      </c>
      <c r="P27" s="414">
        <v>86075</v>
      </c>
      <c r="Q27" s="414"/>
      <c r="R27" s="414"/>
      <c r="S27" s="413">
        <f t="shared" ref="S27:S32" si="12">SUM(T27:X27)</f>
        <v>2781372</v>
      </c>
      <c r="T27" s="414">
        <v>1822330</v>
      </c>
      <c r="U27" s="414">
        <v>932547</v>
      </c>
      <c r="V27" s="414">
        <v>26495</v>
      </c>
      <c r="W27" s="414"/>
      <c r="X27" s="414"/>
      <c r="Y27" s="414"/>
      <c r="Z27" s="414"/>
      <c r="AA27" s="431">
        <f>+'loans_av rate'!C26+'loans_av rate'!C35</f>
        <v>169536054</v>
      </c>
      <c r="AB27" s="431">
        <f>+'loans_av rate'!E26+'loans_av rate'!E35</f>
        <v>167652395</v>
      </c>
      <c r="AC27" s="431">
        <f>+'loans_av rate'!G26+'loans_av rate'!G35</f>
        <v>1883659</v>
      </c>
      <c r="AE27" s="429"/>
      <c r="AF27" s="429"/>
    </row>
    <row r="28" spans="1:32" s="382" customFormat="1" ht="49.5" customHeight="1">
      <c r="A28" s="393">
        <v>2</v>
      </c>
      <c r="B28" s="394" t="s">
        <v>679</v>
      </c>
      <c r="C28" s="413">
        <f t="shared" si="10"/>
        <v>0</v>
      </c>
      <c r="D28" s="242"/>
      <c r="E28" s="414"/>
      <c r="F28" s="389"/>
      <c r="G28" s="414"/>
      <c r="H28" s="389"/>
      <c r="I28" s="414"/>
      <c r="J28" s="414"/>
      <c r="K28" s="414"/>
      <c r="L28" s="414"/>
      <c r="M28" s="414"/>
      <c r="N28" s="414"/>
      <c r="O28" s="414"/>
      <c r="P28" s="414"/>
      <c r="Q28" s="414"/>
      <c r="R28" s="414"/>
      <c r="S28" s="413">
        <f t="shared" si="12"/>
        <v>0</v>
      </c>
      <c r="T28" s="414">
        <v>0</v>
      </c>
      <c r="U28" s="414"/>
      <c r="V28" s="414"/>
      <c r="W28" s="414"/>
      <c r="X28" s="414"/>
      <c r="Y28" s="414"/>
      <c r="Z28" s="414"/>
      <c r="AA28" s="431">
        <f>+'loans_av rate'!C27+'loans_av rate'!C36</f>
        <v>0</v>
      </c>
      <c r="AB28" s="431">
        <f>+'loans_av rate'!E27+'loans_av rate'!E36</f>
        <v>0</v>
      </c>
      <c r="AC28" s="431">
        <f>+'loans_av rate'!G27+'loans_av rate'!G36</f>
        <v>0</v>
      </c>
      <c r="AE28" s="429"/>
      <c r="AF28" s="429"/>
    </row>
    <row r="29" spans="1:32" s="382" customFormat="1" ht="49.5" customHeight="1">
      <c r="A29" s="393">
        <v>3</v>
      </c>
      <c r="B29" s="394" t="s">
        <v>680</v>
      </c>
      <c r="C29" s="413">
        <f t="shared" si="10"/>
        <v>639526</v>
      </c>
      <c r="D29" s="242"/>
      <c r="E29" s="414">
        <v>639526</v>
      </c>
      <c r="F29" s="389">
        <v>0.10999004074584624</v>
      </c>
      <c r="G29" s="414">
        <v>0</v>
      </c>
      <c r="H29" s="389"/>
      <c r="I29" s="414">
        <v>0</v>
      </c>
      <c r="J29" s="414">
        <v>0</v>
      </c>
      <c r="K29" s="414">
        <v>639526</v>
      </c>
      <c r="L29" s="414">
        <v>0</v>
      </c>
      <c r="M29" s="414">
        <v>0</v>
      </c>
      <c r="N29" s="414">
        <v>639526</v>
      </c>
      <c r="O29" s="414">
        <v>0</v>
      </c>
      <c r="P29" s="414">
        <v>0</v>
      </c>
      <c r="Q29" s="414"/>
      <c r="R29" s="414"/>
      <c r="S29" s="413">
        <f t="shared" si="12"/>
        <v>6874</v>
      </c>
      <c r="T29" s="414">
        <v>6874</v>
      </c>
      <c r="U29" s="414"/>
      <c r="V29" s="414"/>
      <c r="W29" s="414"/>
      <c r="X29" s="414"/>
      <c r="Y29" s="414"/>
      <c r="Z29" s="414"/>
      <c r="AA29" s="431">
        <f>+'loans_av rate'!C28+'loans_av rate'!C37</f>
        <v>639526</v>
      </c>
      <c r="AB29" s="431">
        <f>+'loans_av rate'!E28+'loans_av rate'!E37</f>
        <v>639526</v>
      </c>
      <c r="AC29" s="431">
        <f>+'loans_av rate'!G28+'loans_av rate'!G37</f>
        <v>0</v>
      </c>
      <c r="AE29" s="429"/>
      <c r="AF29" s="429"/>
    </row>
    <row r="30" spans="1:32" s="382" customFormat="1" ht="49.5" customHeight="1">
      <c r="A30" s="393">
        <v>4</v>
      </c>
      <c r="B30" s="394" t="s">
        <v>681</v>
      </c>
      <c r="C30" s="413">
        <f t="shared" si="10"/>
        <v>0</v>
      </c>
      <c r="D30" s="242"/>
      <c r="E30" s="414"/>
      <c r="F30" s="389"/>
      <c r="G30" s="414"/>
      <c r="H30" s="389"/>
      <c r="I30" s="414"/>
      <c r="J30" s="414"/>
      <c r="K30" s="414"/>
      <c r="L30" s="414"/>
      <c r="M30" s="414"/>
      <c r="N30" s="414"/>
      <c r="O30" s="414"/>
      <c r="P30" s="414"/>
      <c r="Q30" s="414"/>
      <c r="R30" s="414"/>
      <c r="S30" s="413">
        <f t="shared" si="12"/>
        <v>0</v>
      </c>
      <c r="T30" s="414">
        <v>0</v>
      </c>
      <c r="U30" s="414"/>
      <c r="V30" s="414"/>
      <c r="W30" s="414"/>
      <c r="X30" s="414"/>
      <c r="Y30" s="414"/>
      <c r="Z30" s="414"/>
      <c r="AA30" s="431">
        <f>+'loans_av rate'!C29+'loans_av rate'!C38</f>
        <v>0</v>
      </c>
      <c r="AB30" s="431">
        <f>+'loans_av rate'!E29+'loans_av rate'!E38</f>
        <v>0</v>
      </c>
      <c r="AC30" s="431">
        <f>+'loans_av rate'!G29+'loans_av rate'!G38</f>
        <v>0</v>
      </c>
      <c r="AE30" s="429"/>
      <c r="AF30" s="429"/>
    </row>
    <row r="31" spans="1:32" s="382" customFormat="1" ht="49.5" customHeight="1">
      <c r="A31" s="393">
        <v>5</v>
      </c>
      <c r="B31" s="394" t="s">
        <v>682</v>
      </c>
      <c r="C31" s="413">
        <f t="shared" si="10"/>
        <v>0</v>
      </c>
      <c r="D31" s="242"/>
      <c r="E31" s="414"/>
      <c r="F31" s="389"/>
      <c r="G31" s="414"/>
      <c r="H31" s="389"/>
      <c r="I31" s="414"/>
      <c r="J31" s="414"/>
      <c r="K31" s="414"/>
      <c r="L31" s="414"/>
      <c r="M31" s="414"/>
      <c r="N31" s="414"/>
      <c r="O31" s="414"/>
      <c r="P31" s="414"/>
      <c r="Q31" s="414"/>
      <c r="R31" s="414"/>
      <c r="S31" s="413">
        <f t="shared" si="12"/>
        <v>0</v>
      </c>
      <c r="T31" s="414">
        <v>0</v>
      </c>
      <c r="U31" s="414"/>
      <c r="V31" s="414"/>
      <c r="W31" s="414"/>
      <c r="X31" s="414"/>
      <c r="Y31" s="414"/>
      <c r="Z31" s="414"/>
      <c r="AA31" s="431">
        <f>+'loans_av rate'!C30+'loans_av rate'!C39</f>
        <v>0</v>
      </c>
      <c r="AB31" s="431">
        <f>+'loans_av rate'!E30+'loans_av rate'!E39</f>
        <v>0</v>
      </c>
      <c r="AC31" s="431">
        <f>+'loans_av rate'!G30+'loans_av rate'!G39</f>
        <v>0</v>
      </c>
      <c r="AE31" s="429"/>
      <c r="AF31" s="429"/>
    </row>
    <row r="32" spans="1:32" s="382" customFormat="1" ht="49.5" customHeight="1">
      <c r="A32" s="393">
        <v>6</v>
      </c>
      <c r="B32" s="394" t="s">
        <v>823</v>
      </c>
      <c r="C32" s="413">
        <f t="shared" si="10"/>
        <v>4513361056</v>
      </c>
      <c r="D32" s="242"/>
      <c r="E32" s="414">
        <v>2595758379</v>
      </c>
      <c r="F32" s="389">
        <v>0.17855254080054297</v>
      </c>
      <c r="G32" s="414">
        <v>1917602677</v>
      </c>
      <c r="H32" s="389">
        <v>7.8588689852468099E-2</v>
      </c>
      <c r="I32" s="414">
        <v>426539029</v>
      </c>
      <c r="J32" s="414">
        <v>2069170232</v>
      </c>
      <c r="K32" s="414">
        <v>1942615923</v>
      </c>
      <c r="L32" s="414">
        <v>47628905</v>
      </c>
      <c r="M32" s="414">
        <v>27406967</v>
      </c>
      <c r="N32" s="414">
        <v>4429779240</v>
      </c>
      <c r="O32" s="414">
        <v>82281816</v>
      </c>
      <c r="P32" s="414">
        <v>1300000</v>
      </c>
      <c r="Q32" s="414"/>
      <c r="R32" s="414"/>
      <c r="S32" s="413">
        <f t="shared" si="12"/>
        <v>54183399</v>
      </c>
      <c r="T32" s="414">
        <v>48412805</v>
      </c>
      <c r="U32" s="414">
        <v>5220594</v>
      </c>
      <c r="V32" s="414">
        <v>550000</v>
      </c>
      <c r="W32" s="414"/>
      <c r="X32" s="414"/>
      <c r="Y32" s="414">
        <v>743185</v>
      </c>
      <c r="Z32" s="414">
        <v>103020262</v>
      </c>
      <c r="AA32" s="431">
        <f>+'loans_av rate'!C31+'loans_av rate'!C40</f>
        <v>4513361056</v>
      </c>
      <c r="AB32" s="431">
        <f>+'loans_av rate'!E31+'loans_av rate'!E40</f>
        <v>2595758379</v>
      </c>
      <c r="AC32" s="431">
        <f>+'loans_av rate'!G31+'loans_av rate'!G40</f>
        <v>1917602677</v>
      </c>
      <c r="AE32" s="429"/>
      <c r="AF32" s="429"/>
    </row>
    <row r="33" spans="1:32" s="399" customFormat="1" ht="33.75" customHeight="1">
      <c r="A33" s="384"/>
      <c r="B33" s="384" t="s">
        <v>824</v>
      </c>
      <c r="C33" s="385">
        <f>SUM(C34:C39)</f>
        <v>4683536636</v>
      </c>
      <c r="D33" s="386">
        <f>IFERROR(((C35*D35)/C33)+((C36*D36)/C33)+((C37*D37)/C33)+((C38*D38)/C33)+((C39*D39)/C33),0)</f>
        <v>0</v>
      </c>
      <c r="E33" s="385">
        <f t="shared" ref="E33:Z33" si="13">SUM(E34:E39)</f>
        <v>2764050300</v>
      </c>
      <c r="F33" s="386">
        <f>IFERROR(((E35*F35)/E33)+((E36*F36)/E33)+((E37*F37)/E33)+((E38*F38)/E33)+((E39*F39)/E33),0)</f>
        <v>0.17615119390169565</v>
      </c>
      <c r="G33" s="385">
        <f t="shared" si="13"/>
        <v>1919486336</v>
      </c>
      <c r="H33" s="386">
        <f>IFERROR(((G35*H35)/G33)+((G36*H36)/G33)+((G37*H37)/G33)+((G38*H38)/G33)+((G39*H39)/G33),0)</f>
        <v>7.8611269464259406E-2</v>
      </c>
      <c r="I33" s="385">
        <f t="shared" si="13"/>
        <v>458748109</v>
      </c>
      <c r="J33" s="385">
        <f t="shared" si="13"/>
        <v>2189459944</v>
      </c>
      <c r="K33" s="385">
        <f t="shared" si="13"/>
        <v>1954816661</v>
      </c>
      <c r="L33" s="385">
        <f t="shared" si="13"/>
        <v>53104955</v>
      </c>
      <c r="M33" s="385">
        <f t="shared" si="13"/>
        <v>27406967</v>
      </c>
      <c r="N33" s="385">
        <f t="shared" si="13"/>
        <v>4593408772</v>
      </c>
      <c r="O33" s="385">
        <f t="shared" si="13"/>
        <v>88741789</v>
      </c>
      <c r="P33" s="385">
        <f t="shared" si="13"/>
        <v>1386075</v>
      </c>
      <c r="Q33" s="385">
        <f t="shared" si="13"/>
        <v>0</v>
      </c>
      <c r="R33" s="385">
        <f t="shared" si="13"/>
        <v>0</v>
      </c>
      <c r="S33" s="385">
        <f t="shared" si="13"/>
        <v>56971645</v>
      </c>
      <c r="T33" s="385">
        <f t="shared" si="13"/>
        <v>50242009</v>
      </c>
      <c r="U33" s="385">
        <f t="shared" si="13"/>
        <v>6153141</v>
      </c>
      <c r="V33" s="385">
        <f t="shared" si="13"/>
        <v>576495</v>
      </c>
      <c r="W33" s="385">
        <f t="shared" si="13"/>
        <v>0</v>
      </c>
      <c r="X33" s="385">
        <f t="shared" si="13"/>
        <v>0</v>
      </c>
      <c r="Y33" s="385">
        <f t="shared" si="13"/>
        <v>743185</v>
      </c>
      <c r="Z33" s="385">
        <f t="shared" si="13"/>
        <v>103020262</v>
      </c>
      <c r="AA33" s="431"/>
      <c r="AB33" s="432"/>
      <c r="AC33" s="432"/>
      <c r="AD33" s="432"/>
      <c r="AE33" s="432"/>
      <c r="AF33" s="432"/>
    </row>
    <row r="34" spans="1:32" s="382" customFormat="1" ht="49.5" customHeight="1">
      <c r="A34" s="393">
        <v>1</v>
      </c>
      <c r="B34" s="394" t="s">
        <v>816</v>
      </c>
      <c r="C34" s="413">
        <f t="shared" ref="C34:C39" si="14">+E34+G34</f>
        <v>48869627</v>
      </c>
      <c r="D34" s="242"/>
      <c r="E34" s="414">
        <v>48869627</v>
      </c>
      <c r="F34" s="389">
        <v>0.19813747255644737</v>
      </c>
      <c r="G34" s="414"/>
      <c r="H34" s="389"/>
      <c r="I34" s="414">
        <v>24531160</v>
      </c>
      <c r="J34" s="414">
        <v>21767171</v>
      </c>
      <c r="K34" s="414">
        <v>2571296</v>
      </c>
      <c r="L34" s="414">
        <v>0</v>
      </c>
      <c r="M34" s="414">
        <v>0</v>
      </c>
      <c r="N34" s="414">
        <v>48869627</v>
      </c>
      <c r="O34" s="414"/>
      <c r="P34" s="414"/>
      <c r="Q34" s="414"/>
      <c r="R34" s="414"/>
      <c r="S34" s="413">
        <f t="shared" ref="S34:S39" si="15">SUM(T34:X34)</f>
        <v>4113234</v>
      </c>
      <c r="T34" s="414">
        <v>525302</v>
      </c>
      <c r="U34" s="414">
        <v>3587932</v>
      </c>
      <c r="V34" s="414">
        <v>0</v>
      </c>
      <c r="W34" s="414"/>
      <c r="X34" s="414"/>
      <c r="Y34" s="414"/>
      <c r="Z34" s="414"/>
      <c r="AB34" s="429"/>
      <c r="AC34" s="429"/>
      <c r="AD34" s="429"/>
      <c r="AE34" s="429"/>
      <c r="AF34" s="429"/>
    </row>
    <row r="35" spans="1:32" s="382" customFormat="1" ht="49.5" customHeight="1">
      <c r="A35" s="393">
        <v>2</v>
      </c>
      <c r="B35" s="394" t="s">
        <v>817</v>
      </c>
      <c r="C35" s="413">
        <f t="shared" si="14"/>
        <v>488796205</v>
      </c>
      <c r="D35" s="242"/>
      <c r="E35" s="414">
        <v>379492543</v>
      </c>
      <c r="F35" s="389">
        <v>0.21339653544784851</v>
      </c>
      <c r="G35" s="414">
        <v>109303662</v>
      </c>
      <c r="H35" s="389">
        <v>7.8137264567907719E-2</v>
      </c>
      <c r="I35" s="414">
        <v>329549486</v>
      </c>
      <c r="J35" s="414">
        <v>158657171</v>
      </c>
      <c r="K35" s="414">
        <v>234428</v>
      </c>
      <c r="L35" s="414">
        <v>355120</v>
      </c>
      <c r="M35" s="414">
        <v>0</v>
      </c>
      <c r="N35" s="414">
        <v>484111674</v>
      </c>
      <c r="O35" s="414">
        <v>4647820</v>
      </c>
      <c r="P35" s="414">
        <v>36711</v>
      </c>
      <c r="Q35" s="414"/>
      <c r="R35" s="414"/>
      <c r="S35" s="413">
        <f t="shared" si="15"/>
        <v>5755944</v>
      </c>
      <c r="T35" s="414">
        <v>5254090</v>
      </c>
      <c r="U35" s="414">
        <v>475359</v>
      </c>
      <c r="V35" s="414">
        <v>26495</v>
      </c>
      <c r="W35" s="414"/>
      <c r="X35" s="414"/>
      <c r="Y35" s="414"/>
      <c r="Z35" s="414">
        <v>16280000</v>
      </c>
      <c r="AB35" s="429"/>
      <c r="AC35" s="429"/>
      <c r="AD35" s="429"/>
      <c r="AE35" s="429"/>
      <c r="AF35" s="429"/>
    </row>
    <row r="36" spans="1:32" s="382" customFormat="1" ht="58.5" customHeight="1">
      <c r="A36" s="393">
        <v>3</v>
      </c>
      <c r="B36" s="394" t="s">
        <v>818</v>
      </c>
      <c r="C36" s="413">
        <f t="shared" si="14"/>
        <v>2593489119</v>
      </c>
      <c r="D36" s="242"/>
      <c r="E36" s="414">
        <v>1590469514</v>
      </c>
      <c r="F36" s="389">
        <v>0.17829746719948161</v>
      </c>
      <c r="G36" s="414">
        <v>1003019605</v>
      </c>
      <c r="H36" s="389">
        <v>8.6639174257022819E-2</v>
      </c>
      <c r="I36" s="414">
        <v>58436093</v>
      </c>
      <c r="J36" s="414">
        <v>1332320442</v>
      </c>
      <c r="K36" s="414">
        <v>1181712546</v>
      </c>
      <c r="L36" s="414">
        <v>16518093</v>
      </c>
      <c r="M36" s="414">
        <v>4501945</v>
      </c>
      <c r="N36" s="414">
        <v>2530456738</v>
      </c>
      <c r="O36" s="414">
        <v>62983017</v>
      </c>
      <c r="P36" s="414">
        <v>49364</v>
      </c>
      <c r="Q36" s="414"/>
      <c r="R36" s="414"/>
      <c r="S36" s="413">
        <f t="shared" si="15"/>
        <v>27877519</v>
      </c>
      <c r="T36" s="414">
        <v>27877519</v>
      </c>
      <c r="U36" s="414"/>
      <c r="V36" s="414"/>
      <c r="W36" s="414"/>
      <c r="X36" s="414"/>
      <c r="Y36" s="414"/>
      <c r="Z36" s="414">
        <v>80880262</v>
      </c>
      <c r="AB36" s="429"/>
      <c r="AC36" s="429"/>
      <c r="AD36" s="429"/>
      <c r="AE36" s="429"/>
      <c r="AF36" s="429"/>
    </row>
    <row r="37" spans="1:32" s="382" customFormat="1" ht="49.5" customHeight="1">
      <c r="A37" s="393">
        <v>4</v>
      </c>
      <c r="B37" s="394" t="s">
        <v>819</v>
      </c>
      <c r="C37" s="413">
        <f t="shared" si="14"/>
        <v>0</v>
      </c>
      <c r="D37" s="242"/>
      <c r="E37" s="414"/>
      <c r="F37" s="389"/>
      <c r="G37" s="414"/>
      <c r="H37" s="389"/>
      <c r="I37" s="414"/>
      <c r="J37" s="414"/>
      <c r="K37" s="414"/>
      <c r="L37" s="414"/>
      <c r="M37" s="414"/>
      <c r="N37" s="414"/>
      <c r="O37" s="414"/>
      <c r="P37" s="414"/>
      <c r="Q37" s="414"/>
      <c r="R37" s="414"/>
      <c r="S37" s="413">
        <f t="shared" si="15"/>
        <v>0</v>
      </c>
      <c r="T37" s="414">
        <v>0</v>
      </c>
      <c r="U37" s="414"/>
      <c r="V37" s="414"/>
      <c r="W37" s="414"/>
      <c r="X37" s="414"/>
      <c r="Y37" s="414"/>
      <c r="Z37" s="414"/>
      <c r="AB37" s="429"/>
      <c r="AC37" s="429"/>
      <c r="AD37" s="429"/>
      <c r="AE37" s="429"/>
      <c r="AF37" s="429"/>
    </row>
    <row r="38" spans="1:32" s="382" customFormat="1" ht="49.5" customHeight="1">
      <c r="A38" s="393">
        <v>5</v>
      </c>
      <c r="B38" s="394" t="s">
        <v>820</v>
      </c>
      <c r="C38" s="413">
        <f t="shared" si="14"/>
        <v>0</v>
      </c>
      <c r="D38" s="242"/>
      <c r="E38" s="414"/>
      <c r="F38" s="389"/>
      <c r="G38" s="414"/>
      <c r="H38" s="389"/>
      <c r="I38" s="414"/>
      <c r="J38" s="414"/>
      <c r="K38" s="414"/>
      <c r="L38" s="414"/>
      <c r="M38" s="414"/>
      <c r="N38" s="414"/>
      <c r="O38" s="414"/>
      <c r="P38" s="414"/>
      <c r="Q38" s="414"/>
      <c r="R38" s="414"/>
      <c r="S38" s="413">
        <f t="shared" si="15"/>
        <v>0</v>
      </c>
      <c r="T38" s="414">
        <v>0</v>
      </c>
      <c r="U38" s="414"/>
      <c r="V38" s="414"/>
      <c r="W38" s="414"/>
      <c r="X38" s="414"/>
      <c r="Y38" s="414"/>
      <c r="Z38" s="414"/>
      <c r="AB38" s="429"/>
      <c r="AC38" s="429"/>
      <c r="AD38" s="429"/>
      <c r="AE38" s="429"/>
      <c r="AF38" s="429"/>
    </row>
    <row r="39" spans="1:32" s="382" customFormat="1" ht="49.5" customHeight="1">
      <c r="A39" s="393">
        <v>6</v>
      </c>
      <c r="B39" s="394" t="s">
        <v>825</v>
      </c>
      <c r="C39" s="413">
        <f t="shared" si="14"/>
        <v>1552381685</v>
      </c>
      <c r="D39" s="242"/>
      <c r="E39" s="414">
        <v>745218616</v>
      </c>
      <c r="F39" s="389">
        <v>0.16415542743319753</v>
      </c>
      <c r="G39" s="414">
        <v>807163069</v>
      </c>
      <c r="H39" s="389">
        <v>6.8699597671408832E-2</v>
      </c>
      <c r="I39" s="414">
        <v>46231370</v>
      </c>
      <c r="J39" s="414">
        <v>676715160</v>
      </c>
      <c r="K39" s="414">
        <v>770298391</v>
      </c>
      <c r="L39" s="414">
        <v>36231742</v>
      </c>
      <c r="M39" s="414">
        <v>22905022</v>
      </c>
      <c r="N39" s="414">
        <v>1529970733</v>
      </c>
      <c r="O39" s="414">
        <v>21110952</v>
      </c>
      <c r="P39" s="414">
        <v>1300000</v>
      </c>
      <c r="Q39" s="414"/>
      <c r="R39" s="414"/>
      <c r="S39" s="413">
        <f t="shared" si="15"/>
        <v>19224948</v>
      </c>
      <c r="T39" s="414">
        <v>16585098</v>
      </c>
      <c r="U39" s="414">
        <v>2089850</v>
      </c>
      <c r="V39" s="414">
        <v>550000</v>
      </c>
      <c r="W39" s="414"/>
      <c r="X39" s="414"/>
      <c r="Y39" s="414">
        <v>743185</v>
      </c>
      <c r="Z39" s="414">
        <v>5860000</v>
      </c>
      <c r="AB39" s="429"/>
      <c r="AC39" s="429"/>
      <c r="AD39" s="429"/>
      <c r="AE39" s="429"/>
      <c r="AF39" s="429"/>
    </row>
    <row r="40" spans="1:32" s="382" customFormat="1" ht="37.5" customHeight="1">
      <c r="A40" s="400"/>
      <c r="B40" s="401"/>
      <c r="C40" s="402"/>
      <c r="D40" s="417"/>
      <c r="E40" s="402"/>
      <c r="F40" s="402"/>
      <c r="G40" s="402"/>
      <c r="H40" s="402"/>
      <c r="I40" s="401"/>
      <c r="J40" s="401"/>
      <c r="K40" s="401"/>
      <c r="L40" s="401"/>
      <c r="M40" s="401"/>
      <c r="N40" s="417"/>
      <c r="O40" s="417"/>
      <c r="P40" s="417"/>
      <c r="Q40" s="417"/>
      <c r="R40" s="417"/>
      <c r="S40" s="417"/>
      <c r="T40" s="417"/>
      <c r="U40" s="417"/>
      <c r="V40" s="417"/>
      <c r="W40" s="417"/>
      <c r="X40" s="417"/>
      <c r="Y40" s="417"/>
      <c r="Z40" s="417"/>
      <c r="AB40" s="429"/>
      <c r="AC40" s="429"/>
      <c r="AD40" s="429"/>
      <c r="AE40" s="429"/>
      <c r="AF40" s="429"/>
    </row>
    <row r="41" spans="1:32" s="422" customFormat="1" ht="15.75">
      <c r="A41" s="420"/>
      <c r="B41" s="421" t="s">
        <v>0</v>
      </c>
      <c r="J41" s="420"/>
      <c r="AB41" s="434"/>
      <c r="AC41" s="434"/>
      <c r="AD41" s="434"/>
      <c r="AE41" s="434"/>
      <c r="AF41" s="434"/>
    </row>
    <row r="42" spans="1:32" s="422" customFormat="1" ht="15.75">
      <c r="A42" s="420"/>
      <c r="B42" s="421"/>
      <c r="J42" s="420"/>
      <c r="AB42" s="434"/>
      <c r="AC42" s="434"/>
      <c r="AD42" s="434"/>
      <c r="AE42" s="434"/>
      <c r="AF42" s="434"/>
    </row>
    <row r="43" spans="1:32" s="422" customFormat="1" ht="15.75">
      <c r="A43" s="420"/>
      <c r="B43" s="421" t="s">
        <v>1</v>
      </c>
      <c r="J43" s="420"/>
      <c r="AB43" s="434"/>
      <c r="AC43" s="434"/>
      <c r="AD43" s="434"/>
      <c r="AE43" s="434"/>
      <c r="AF43" s="434"/>
    </row>
    <row r="44" spans="1:32" s="169" customFormat="1" ht="15.75">
      <c r="A44" s="204"/>
      <c r="AB44" s="435"/>
      <c r="AC44" s="435"/>
      <c r="AD44" s="435"/>
      <c r="AE44" s="435"/>
      <c r="AF44" s="435"/>
    </row>
    <row r="45" spans="1:32" s="361" customFormat="1" ht="15.75">
      <c r="A45" s="418"/>
      <c r="B45" s="419"/>
      <c r="J45" s="418"/>
      <c r="AB45" s="436"/>
      <c r="AC45" s="436"/>
      <c r="AD45" s="436"/>
      <c r="AE45" s="436"/>
      <c r="AF45" s="436"/>
    </row>
    <row r="46" spans="1:32" s="361" customFormat="1" ht="15.75">
      <c r="A46" s="418"/>
      <c r="B46" s="419"/>
      <c r="J46" s="418"/>
      <c r="AB46" s="436"/>
      <c r="AC46" s="436"/>
      <c r="AD46" s="436"/>
      <c r="AE46" s="436"/>
      <c r="AF46" s="436"/>
    </row>
    <row r="47" spans="1:32" s="361" customFormat="1" ht="15.75">
      <c r="A47" s="418"/>
      <c r="B47" s="419"/>
      <c r="J47" s="418"/>
      <c r="AB47" s="436"/>
      <c r="AC47" s="436"/>
      <c r="AD47" s="436"/>
      <c r="AE47" s="436"/>
      <c r="AF47" s="436"/>
    </row>
    <row r="48" spans="1:32" s="404" customFormat="1" ht="15.75">
      <c r="A48" s="403"/>
      <c r="AB48" s="437"/>
      <c r="AC48" s="437"/>
      <c r="AD48" s="437"/>
      <c r="AE48" s="437"/>
      <c r="AF48" s="437"/>
    </row>
  </sheetData>
  <sheetProtection password="CACA" sheet="1" objects="1" scenarios="1"/>
  <mergeCells count="17">
    <mergeCell ref="K5:K6"/>
    <mergeCell ref="L5:L6"/>
    <mergeCell ref="M5:M6"/>
    <mergeCell ref="S5:S6"/>
    <mergeCell ref="A2:Z2"/>
    <mergeCell ref="A4:A7"/>
    <mergeCell ref="B4:B6"/>
    <mergeCell ref="C4:H5"/>
    <mergeCell ref="I4:M4"/>
    <mergeCell ref="N4:R5"/>
    <mergeCell ref="S4:X4"/>
    <mergeCell ref="Y4:Y6"/>
    <mergeCell ref="Z4:Z6"/>
    <mergeCell ref="I5:I6"/>
    <mergeCell ref="T5:X5"/>
    <mergeCell ref="V3:W3"/>
    <mergeCell ref="J5:J6"/>
  </mergeCells>
  <conditionalFormatting sqref="C8">
    <cfRule type="cellIs" dxfId="110" priority="198" operator="notEqual">
      <formula>$AA$8</formula>
    </cfRule>
  </conditionalFormatting>
  <conditionalFormatting sqref="C11">
    <cfRule type="cellIs" dxfId="109" priority="8" operator="notEqual">
      <formula>$AA$11</formula>
    </cfRule>
    <cfRule type="cellIs" dxfId="108" priority="189" operator="notEqual">
      <formula>N11+O11+P11+Q11+R11</formula>
    </cfRule>
    <cfRule type="cellIs" dxfId="107" priority="190" operator="notEqual">
      <formula>I11+J11+K11+L11+M11</formula>
    </cfRule>
  </conditionalFormatting>
  <conditionalFormatting sqref="C16">
    <cfRule type="cellIs" dxfId="106" priority="7" operator="notEqual">
      <formula>$AA$16</formula>
    </cfRule>
    <cfRule type="cellIs" dxfId="105" priority="187" operator="notEqual">
      <formula>N16+O16+P16+Q16+R16</formula>
    </cfRule>
    <cfRule type="cellIs" dxfId="104" priority="188" operator="notEqual">
      <formula>I16+J16+K16+L16+M16</formula>
    </cfRule>
  </conditionalFormatting>
  <conditionalFormatting sqref="C25">
    <cfRule type="cellIs" dxfId="103" priority="185" operator="notEqual">
      <formula>N25+O25+P25+Q25+R25</formula>
    </cfRule>
    <cfRule type="cellIs" dxfId="102" priority="186" operator="notEqual">
      <formula>I25+J25+K25+L25+M25</formula>
    </cfRule>
  </conditionalFormatting>
  <conditionalFormatting sqref="C26">
    <cfRule type="cellIs" dxfId="101" priority="178" operator="notEqual">
      <formula>N26+O26+P26+Q26+R26</formula>
    </cfRule>
    <cfRule type="cellIs" dxfId="100" priority="179" operator="notEqual">
      <formula>I26+J26+K26+L26+M26</formula>
    </cfRule>
  </conditionalFormatting>
  <conditionalFormatting sqref="C33">
    <cfRule type="cellIs" dxfId="99" priority="52" operator="notEqual">
      <formula>$C$26</formula>
    </cfRule>
    <cfRule type="cellIs" dxfId="98" priority="171" operator="notEqual">
      <formula>N33+O33+P33+Q33+R33</formula>
    </cfRule>
    <cfRule type="cellIs" dxfId="97" priority="172" operator="notEqual">
      <formula>I33+J33+K33+L33+M33</formula>
    </cfRule>
  </conditionalFormatting>
  <conditionalFormatting sqref="C12">
    <cfRule type="cellIs" dxfId="96" priority="109" operator="notEqual">
      <formula>N12+O12+P12+Q12+R12</formula>
    </cfRule>
    <cfRule type="cellIs" dxfId="95" priority="110" operator="notEqual">
      <formula>I12+J12+K12+L12+M12</formula>
    </cfRule>
  </conditionalFormatting>
  <conditionalFormatting sqref="C13">
    <cfRule type="cellIs" dxfId="94" priority="107" operator="notEqual">
      <formula>N13+O13+P13+Q13+R13</formula>
    </cfRule>
    <cfRule type="cellIs" dxfId="93" priority="108" operator="notEqual">
      <formula>I13+J13+K13+L13+M13</formula>
    </cfRule>
  </conditionalFormatting>
  <conditionalFormatting sqref="C14">
    <cfRule type="cellIs" dxfId="92" priority="105" operator="notEqual">
      <formula>N14+O14+P14+Q14+R14</formula>
    </cfRule>
    <cfRule type="cellIs" dxfId="91" priority="106" operator="notEqual">
      <formula>I14+J14+K14+L14+M14</formula>
    </cfRule>
  </conditionalFormatting>
  <conditionalFormatting sqref="C15">
    <cfRule type="cellIs" dxfId="90" priority="103" operator="notEqual">
      <formula>N15+O15+P15+Q15+R15</formula>
    </cfRule>
    <cfRule type="cellIs" dxfId="89" priority="104" operator="notEqual">
      <formula>I15+J15+K15+L15+M15</formula>
    </cfRule>
  </conditionalFormatting>
  <conditionalFormatting sqref="C17">
    <cfRule type="cellIs" dxfId="88" priority="101" operator="notEqual">
      <formula>N17+O17+P17+Q17+R17</formula>
    </cfRule>
    <cfRule type="cellIs" dxfId="87" priority="102" operator="notEqual">
      <formula>I17+J17+K17+L17+M17</formula>
    </cfRule>
  </conditionalFormatting>
  <conditionalFormatting sqref="C18">
    <cfRule type="cellIs" dxfId="86" priority="99" operator="notEqual">
      <formula>N18+O18+P18+Q18+R18</formula>
    </cfRule>
    <cfRule type="cellIs" dxfId="85" priority="100" operator="notEqual">
      <formula>I18+J18+K18+L18+M18</formula>
    </cfRule>
  </conditionalFormatting>
  <conditionalFormatting sqref="C19">
    <cfRule type="cellIs" dxfId="84" priority="97" operator="notEqual">
      <formula>N19+O19+P19+Q19+R19</formula>
    </cfRule>
    <cfRule type="cellIs" dxfId="83" priority="98" operator="notEqual">
      <formula>I19+J19+K19+L19+M19</formula>
    </cfRule>
  </conditionalFormatting>
  <conditionalFormatting sqref="C20">
    <cfRule type="cellIs" dxfId="82" priority="95" operator="notEqual">
      <formula>N20+O20+P20+Q20+R20</formula>
    </cfRule>
    <cfRule type="cellIs" dxfId="81" priority="96" operator="notEqual">
      <formula>I20+J20+K20+L20+M20</formula>
    </cfRule>
  </conditionalFormatting>
  <conditionalFormatting sqref="C21">
    <cfRule type="cellIs" dxfId="80" priority="26" operator="notEqual">
      <formula>$AA$21</formula>
    </cfRule>
    <cfRule type="cellIs" dxfId="79" priority="93" operator="notEqual">
      <formula>N21+O21+P21+Q21+R21</formula>
    </cfRule>
    <cfRule type="cellIs" dxfId="78" priority="94" operator="notEqual">
      <formula>I21+J21+K21+L21+M21</formula>
    </cfRule>
  </conditionalFormatting>
  <conditionalFormatting sqref="C22">
    <cfRule type="cellIs" dxfId="77" priority="91" operator="notEqual">
      <formula>N22+O22+P22+Q22+R22</formula>
    </cfRule>
    <cfRule type="cellIs" dxfId="76" priority="92" operator="notEqual">
      <formula>I22+J22+K22+L22+M22</formula>
    </cfRule>
  </conditionalFormatting>
  <conditionalFormatting sqref="C23">
    <cfRule type="cellIs" dxfId="75" priority="25" operator="notEqual">
      <formula>$AA$23</formula>
    </cfRule>
    <cfRule type="cellIs" dxfId="74" priority="89" operator="notEqual">
      <formula>N23+O23+P23+Q23+R23</formula>
    </cfRule>
    <cfRule type="cellIs" dxfId="73" priority="90" operator="notEqual">
      <formula>I23+J23+K23+L23+M23</formula>
    </cfRule>
  </conditionalFormatting>
  <conditionalFormatting sqref="C24">
    <cfRule type="cellIs" dxfId="72" priority="87" operator="notEqual">
      <formula>N24+O24+P24+Q24+R24</formula>
    </cfRule>
    <cfRule type="cellIs" dxfId="71" priority="88" operator="notEqual">
      <formula>I24+J24+K24+L24+M24</formula>
    </cfRule>
  </conditionalFormatting>
  <conditionalFormatting sqref="C27">
    <cfRule type="cellIs" dxfId="70" priority="32" operator="notEqual">
      <formula>$AA$27</formula>
    </cfRule>
    <cfRule type="cellIs" dxfId="69" priority="85" operator="notEqual">
      <formula>N27+O27+P27+Q27+R27</formula>
    </cfRule>
    <cfRule type="cellIs" dxfId="68" priority="86" operator="notEqual">
      <formula>I27+J27+K27+L27+M27</formula>
    </cfRule>
  </conditionalFormatting>
  <conditionalFormatting sqref="C28">
    <cfRule type="cellIs" dxfId="67" priority="31" operator="notEqual">
      <formula>$AA$28</formula>
    </cfRule>
    <cfRule type="cellIs" dxfId="66" priority="83" operator="notEqual">
      <formula>N28+O28+P28+Q28+R28</formula>
    </cfRule>
    <cfRule type="cellIs" dxfId="65" priority="84" operator="notEqual">
      <formula>I28+J28+K28+L28+M28</formula>
    </cfRule>
  </conditionalFormatting>
  <conditionalFormatting sqref="C29">
    <cfRule type="cellIs" dxfId="64" priority="30" operator="notEqual">
      <formula>$AA$29</formula>
    </cfRule>
    <cfRule type="cellIs" dxfId="63" priority="81" operator="notEqual">
      <formula>N29+O29+P29+Q29+R29</formula>
    </cfRule>
    <cfRule type="cellIs" dxfId="62" priority="82" operator="notEqual">
      <formula>I29+J29+K29+L29+M29</formula>
    </cfRule>
  </conditionalFormatting>
  <conditionalFormatting sqref="C30">
    <cfRule type="cellIs" dxfId="61" priority="29" operator="notEqual">
      <formula>$AA$30</formula>
    </cfRule>
    <cfRule type="cellIs" dxfId="60" priority="79" operator="notEqual">
      <formula>N30+O30+P30+Q30+R30</formula>
    </cfRule>
    <cfRule type="cellIs" dxfId="59" priority="80" operator="notEqual">
      <formula>I30+J30+K30+L30+M30</formula>
    </cfRule>
  </conditionalFormatting>
  <conditionalFormatting sqref="C31">
    <cfRule type="cellIs" dxfId="58" priority="28" operator="notEqual">
      <formula>$AA$31</formula>
    </cfRule>
    <cfRule type="cellIs" dxfId="57" priority="77" operator="notEqual">
      <formula>N31+O31+P31+Q31+R31</formula>
    </cfRule>
    <cfRule type="cellIs" dxfId="56" priority="78" operator="notEqual">
      <formula>I31+J31+K31+L31+M31</formula>
    </cfRule>
  </conditionalFormatting>
  <conditionalFormatting sqref="C32">
    <cfRule type="cellIs" dxfId="55" priority="27" operator="notEqual">
      <formula>$AA$32</formula>
    </cfRule>
    <cfRule type="cellIs" dxfId="54" priority="75" operator="notEqual">
      <formula>N32+O32+P32+Q32+R32</formula>
    </cfRule>
    <cfRule type="cellIs" dxfId="53" priority="76" operator="notEqual">
      <formula>I32+J32+K32+L32+M32</formula>
    </cfRule>
  </conditionalFormatting>
  <conditionalFormatting sqref="C34">
    <cfRule type="cellIs" dxfId="52" priority="73" operator="notEqual">
      <formula>N34+O34+P34+Q34+R34</formula>
    </cfRule>
    <cfRule type="cellIs" dxfId="51" priority="74" operator="notEqual">
      <formula>I34+J34+K34+L34+M34</formula>
    </cfRule>
  </conditionalFormatting>
  <conditionalFormatting sqref="C35">
    <cfRule type="cellIs" dxfId="50" priority="71" operator="notEqual">
      <formula>N35+O35+P35+Q35+R35</formula>
    </cfRule>
    <cfRule type="cellIs" dxfId="49" priority="72" operator="notEqual">
      <formula>I35+J35+K35+L35+M35</formula>
    </cfRule>
  </conditionalFormatting>
  <conditionalFormatting sqref="C36">
    <cfRule type="cellIs" dxfId="48" priority="69" operator="notEqual">
      <formula>N36+O36+P36+Q36+R36</formula>
    </cfRule>
    <cfRule type="cellIs" dxfId="47" priority="70" operator="notEqual">
      <formula>I36+J36+K36+L36+M36</formula>
    </cfRule>
  </conditionalFormatting>
  <conditionalFormatting sqref="C37">
    <cfRule type="cellIs" dxfId="46" priority="67" operator="notEqual">
      <formula>N37+O37+P37+Q37+R37</formula>
    </cfRule>
    <cfRule type="cellIs" dxfId="45" priority="68" operator="notEqual">
      <formula>I37+J37+K37+L37+M37</formula>
    </cfRule>
  </conditionalFormatting>
  <conditionalFormatting sqref="C38">
    <cfRule type="cellIs" dxfId="44" priority="65" operator="notEqual">
      <formula>N38+O38+P38+Q38+R38</formula>
    </cfRule>
    <cfRule type="cellIs" dxfId="43" priority="66" operator="notEqual">
      <formula>I38+J38+K38+L38+M38</formula>
    </cfRule>
  </conditionalFormatting>
  <conditionalFormatting sqref="C39">
    <cfRule type="cellIs" dxfId="42" priority="63" operator="notEqual">
      <formula>N39+O39+P39+Q39+R39</formula>
    </cfRule>
    <cfRule type="cellIs" dxfId="41" priority="64" operator="notEqual">
      <formula>I39+J39+K39+L39+M39</formula>
    </cfRule>
  </conditionalFormatting>
  <conditionalFormatting sqref="T8">
    <cfRule type="cellIs" dxfId="40" priority="62" operator="notEqual">
      <formula>$AB$8</formula>
    </cfRule>
  </conditionalFormatting>
  <conditionalFormatting sqref="U8">
    <cfRule type="cellIs" dxfId="39" priority="61" operator="notEqual">
      <formula>$AC$8</formula>
    </cfRule>
  </conditionalFormatting>
  <conditionalFormatting sqref="V8">
    <cfRule type="cellIs" dxfId="38" priority="60" operator="notEqual">
      <formula>$AD$8</formula>
    </cfRule>
  </conditionalFormatting>
  <conditionalFormatting sqref="W8">
    <cfRule type="cellIs" dxfId="37" priority="59" operator="notEqual">
      <formula>$AE$8</formula>
    </cfRule>
  </conditionalFormatting>
  <conditionalFormatting sqref="X8">
    <cfRule type="cellIs" dxfId="36" priority="58" operator="notEqual">
      <formula>$AF$8</formula>
    </cfRule>
  </conditionalFormatting>
  <conditionalFormatting sqref="N8">
    <cfRule type="cellIs" dxfId="35" priority="57" operator="notEqual">
      <formula>$AB$9</formula>
    </cfRule>
  </conditionalFormatting>
  <conditionalFormatting sqref="O8">
    <cfRule type="cellIs" dxfId="34" priority="56" operator="notEqual">
      <formula>$AC$9</formula>
    </cfRule>
  </conditionalFormatting>
  <conditionalFormatting sqref="P8">
    <cfRule type="cellIs" dxfId="33" priority="55" operator="notEqual">
      <formula>$AD$9</formula>
    </cfRule>
  </conditionalFormatting>
  <conditionalFormatting sqref="Q8">
    <cfRule type="cellIs" dxfId="32" priority="54" operator="notEqual">
      <formula>$AE$9</formula>
    </cfRule>
  </conditionalFormatting>
  <conditionalFormatting sqref="R8">
    <cfRule type="cellIs" dxfId="31" priority="53" operator="notEqual">
      <formula>$AF$9</formula>
    </cfRule>
  </conditionalFormatting>
  <conditionalFormatting sqref="E33">
    <cfRule type="cellIs" dxfId="30" priority="51" operator="notEqual">
      <formula>$E$26</formula>
    </cfRule>
  </conditionalFormatting>
  <conditionalFormatting sqref="G33">
    <cfRule type="cellIs" dxfId="29" priority="50" operator="notEqual">
      <formula>$G$26</formula>
    </cfRule>
  </conditionalFormatting>
  <conditionalFormatting sqref="J33">
    <cfRule type="cellIs" dxfId="28" priority="49" operator="notEqual">
      <formula>$J$26</formula>
    </cfRule>
  </conditionalFormatting>
  <conditionalFormatting sqref="K33">
    <cfRule type="cellIs" dxfId="27" priority="48" operator="notEqual">
      <formula>$K$26</formula>
    </cfRule>
  </conditionalFormatting>
  <conditionalFormatting sqref="L33">
    <cfRule type="cellIs" dxfId="26" priority="47" operator="notEqual">
      <formula>$L$26</formula>
    </cfRule>
  </conditionalFormatting>
  <conditionalFormatting sqref="M33">
    <cfRule type="cellIs" dxfId="25" priority="46" operator="notEqual">
      <formula>$M$26</formula>
    </cfRule>
  </conditionalFormatting>
  <conditionalFormatting sqref="N33">
    <cfRule type="cellIs" dxfId="24" priority="45" operator="notEqual">
      <formula>$N$26</formula>
    </cfRule>
  </conditionalFormatting>
  <conditionalFormatting sqref="O33">
    <cfRule type="cellIs" dxfId="23" priority="44" operator="notEqual">
      <formula>$O$26</formula>
    </cfRule>
  </conditionalFormatting>
  <conditionalFormatting sqref="P33">
    <cfRule type="cellIs" dxfId="22" priority="43" operator="notEqual">
      <formula>$P$26</formula>
    </cfRule>
  </conditionalFormatting>
  <conditionalFormatting sqref="Q33">
    <cfRule type="cellIs" dxfId="21" priority="42" operator="notEqual">
      <formula>$Q$26</formula>
    </cfRule>
  </conditionalFormatting>
  <conditionalFormatting sqref="R33">
    <cfRule type="cellIs" dxfId="20" priority="41" operator="notEqual">
      <formula>$R$26</formula>
    </cfRule>
  </conditionalFormatting>
  <conditionalFormatting sqref="S33">
    <cfRule type="cellIs" dxfId="19" priority="40" operator="notEqual">
      <formula>$S$26</formula>
    </cfRule>
  </conditionalFormatting>
  <conditionalFormatting sqref="T33">
    <cfRule type="cellIs" dxfId="18" priority="39" operator="notEqual">
      <formula>$T$26</formula>
    </cfRule>
  </conditionalFormatting>
  <conditionalFormatting sqref="U33">
    <cfRule type="cellIs" dxfId="17" priority="38" operator="notEqual">
      <formula>$U$26</formula>
    </cfRule>
  </conditionalFormatting>
  <conditionalFormatting sqref="V33">
    <cfRule type="cellIs" dxfId="16" priority="37" operator="notEqual">
      <formula>$V$26</formula>
    </cfRule>
  </conditionalFormatting>
  <conditionalFormatting sqref="W33">
    <cfRule type="cellIs" dxfId="15" priority="36" operator="notEqual">
      <formula>$W$26</formula>
    </cfRule>
  </conditionalFormatting>
  <conditionalFormatting sqref="X33">
    <cfRule type="cellIs" dxfId="14" priority="35" operator="notEqual">
      <formula>$X$26</formula>
    </cfRule>
  </conditionalFormatting>
  <conditionalFormatting sqref="Y33">
    <cfRule type="cellIs" dxfId="13" priority="34" operator="notEqual">
      <formula>$Y$26</formula>
    </cfRule>
  </conditionalFormatting>
  <conditionalFormatting sqref="Z33">
    <cfRule type="cellIs" dxfId="12" priority="33" operator="notEqual">
      <formula>$Z$26</formula>
    </cfRule>
  </conditionalFormatting>
  <conditionalFormatting sqref="E11">
    <cfRule type="cellIs" dxfId="11" priority="6" operator="notEqual">
      <formula>$AB$11</formula>
    </cfRule>
  </conditionalFormatting>
  <conditionalFormatting sqref="G11">
    <cfRule type="cellIs" dxfId="10" priority="5" operator="notEqual">
      <formula>$AC$11</formula>
    </cfRule>
  </conditionalFormatting>
  <conditionalFormatting sqref="E16">
    <cfRule type="cellIs" dxfId="9" priority="4" operator="notEqual">
      <formula>$AB$16</formula>
    </cfRule>
  </conditionalFormatting>
  <conditionalFormatting sqref="G16">
    <cfRule type="cellIs" dxfId="8" priority="3" operator="notEqual">
      <formula>$AC$16</formula>
    </cfRule>
  </conditionalFormatting>
  <printOptions horizontalCentered="1"/>
  <pageMargins left="0.16" right="0.24" top="0.32" bottom="0.15748031496062992" header="0.31" footer="0.28000000000000003"/>
  <pageSetup paperSize="9" scale="28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Лист25">
    <tabColor rgb="FFFFFF00"/>
    <pageSetUpPr fitToPage="1"/>
  </sheetPr>
  <dimension ref="A1:H60"/>
  <sheetViews>
    <sheetView view="pageBreakPreview" zoomScaleNormal="130" zoomScaleSheetLayoutView="100" workbookViewId="0">
      <pane xSplit="2" ySplit="4" topLeftCell="C5" activePane="bottomRight" state="frozen"/>
      <selection activeCell="B3" sqref="B3"/>
      <selection pane="topRight" activeCell="B3" sqref="B3"/>
      <selection pane="bottomLeft" activeCell="B3" sqref="B3"/>
      <selection pane="bottomRight" activeCell="C5" sqref="C5"/>
    </sheetView>
  </sheetViews>
  <sheetFormatPr defaultColWidth="9.140625" defaultRowHeight="12.75"/>
  <cols>
    <col min="1" max="1" width="6" style="127" customWidth="1"/>
    <col min="2" max="2" width="105.140625" style="127" customWidth="1"/>
    <col min="3" max="3" width="19.7109375" style="160" customWidth="1"/>
    <col min="4" max="4" width="10.28515625" style="273" bestFit="1" customWidth="1"/>
    <col min="5" max="5" width="19.42578125" style="274" bestFit="1" customWidth="1"/>
    <col min="6" max="6" width="9.28515625" style="273" bestFit="1" customWidth="1"/>
    <col min="7" max="7" width="9.140625" style="273"/>
    <col min="8" max="8" width="17.42578125" style="273" bestFit="1" customWidth="1"/>
    <col min="9" max="16384" width="9.140625" style="127"/>
  </cols>
  <sheetData>
    <row r="1" spans="1:8" ht="23.25" customHeight="1">
      <c r="A1" s="718" t="s">
        <v>701</v>
      </c>
      <c r="B1" s="719"/>
      <c r="C1" s="126" t="s">
        <v>655</v>
      </c>
    </row>
    <row r="2" spans="1:8">
      <c r="A2" s="162"/>
      <c r="B2" s="162"/>
      <c r="C2" s="162"/>
    </row>
    <row r="3" spans="1:8" ht="15.75">
      <c r="A3" s="128"/>
      <c r="B3" s="209" t="e">
        <f>#REF!</f>
        <v>#REF!</v>
      </c>
      <c r="C3" s="208" t="e">
        <f>+#REF!</f>
        <v>#REF!</v>
      </c>
    </row>
    <row r="4" spans="1:8" s="129" customFormat="1" ht="43.5" customHeight="1">
      <c r="A4" s="252" t="s">
        <v>83</v>
      </c>
      <c r="B4" s="252" t="s">
        <v>57</v>
      </c>
      <c r="C4" s="252" t="s">
        <v>16</v>
      </c>
      <c r="D4" s="275"/>
      <c r="E4" s="276"/>
      <c r="F4" s="275"/>
      <c r="G4" s="275"/>
      <c r="H4" s="275"/>
    </row>
    <row r="5" spans="1:8" ht="12.75" customHeight="1">
      <c r="A5" s="221" t="s">
        <v>61</v>
      </c>
      <c r="B5" s="131" t="s">
        <v>264</v>
      </c>
      <c r="C5" s="132"/>
    </row>
    <row r="6" spans="1:8" ht="12.75" customHeight="1">
      <c r="A6" s="130">
        <v>1</v>
      </c>
      <c r="B6" s="131" t="s">
        <v>265</v>
      </c>
      <c r="C6" s="133"/>
    </row>
    <row r="7" spans="1:8" s="140" customFormat="1" ht="18" customHeight="1">
      <c r="A7" s="137" t="s">
        <v>268</v>
      </c>
      <c r="B7" s="138" t="s">
        <v>266</v>
      </c>
      <c r="C7" s="168" t="s">
        <v>235</v>
      </c>
      <c r="D7" s="277"/>
      <c r="E7" s="194"/>
      <c r="F7" s="277"/>
      <c r="G7" s="277"/>
      <c r="H7" s="277"/>
    </row>
    <row r="8" spans="1:8" s="129" customFormat="1" ht="18" customHeight="1">
      <c r="A8" s="147" t="s">
        <v>62</v>
      </c>
      <c r="B8" s="236" t="s">
        <v>63</v>
      </c>
      <c r="C8" s="163"/>
      <c r="D8" s="275"/>
      <c r="E8" s="276"/>
      <c r="F8" s="275"/>
      <c r="G8" s="275"/>
      <c r="H8" s="275"/>
    </row>
    <row r="9" spans="1:8" s="129" customFormat="1" ht="18" customHeight="1">
      <c r="A9" s="147" t="s">
        <v>64</v>
      </c>
      <c r="B9" s="236" t="s">
        <v>65</v>
      </c>
      <c r="C9" s="164"/>
      <c r="D9" s="275"/>
      <c r="E9" s="276"/>
      <c r="F9" s="275"/>
      <c r="G9" s="275"/>
      <c r="H9" s="275"/>
    </row>
    <row r="10" spans="1:8" s="140" customFormat="1" ht="18" customHeight="1">
      <c r="A10" s="137" t="s">
        <v>269</v>
      </c>
      <c r="B10" s="138" t="s">
        <v>267</v>
      </c>
      <c r="C10" s="191">
        <v>0</v>
      </c>
      <c r="D10" s="277"/>
      <c r="E10" s="194"/>
      <c r="F10" s="277"/>
      <c r="G10" s="277"/>
      <c r="H10" s="277"/>
    </row>
    <row r="11" spans="1:8" s="129" customFormat="1" ht="18" customHeight="1">
      <c r="A11" s="147" t="s">
        <v>270</v>
      </c>
      <c r="B11" s="236" t="s">
        <v>271</v>
      </c>
      <c r="C11" s="168" t="s">
        <v>235</v>
      </c>
      <c r="D11" s="275"/>
      <c r="E11" s="276"/>
      <c r="F11" s="275"/>
      <c r="G11" s="275"/>
      <c r="H11" s="275"/>
    </row>
    <row r="12" spans="1:8" s="129" customFormat="1" ht="18" customHeight="1">
      <c r="A12" s="147" t="s">
        <v>68</v>
      </c>
      <c r="B12" s="236" t="s">
        <v>71</v>
      </c>
      <c r="C12" s="193"/>
      <c r="D12" s="275"/>
      <c r="E12" s="276"/>
      <c r="F12" s="275"/>
      <c r="G12" s="275"/>
      <c r="H12" s="275"/>
    </row>
    <row r="13" spans="1:8" s="129" customFormat="1" ht="18" customHeight="1">
      <c r="A13" s="142" t="s">
        <v>64</v>
      </c>
      <c r="B13" s="237" t="s">
        <v>72</v>
      </c>
      <c r="C13" s="193"/>
      <c r="D13" s="275"/>
      <c r="E13" s="276"/>
      <c r="F13" s="275"/>
      <c r="G13" s="275"/>
      <c r="H13" s="275"/>
    </row>
    <row r="14" spans="1:8" s="140" customFormat="1" ht="18" customHeight="1">
      <c r="A14" s="152" t="s">
        <v>66</v>
      </c>
      <c r="B14" s="234" t="s">
        <v>272</v>
      </c>
      <c r="C14" s="190"/>
      <c r="D14" s="277"/>
      <c r="E14" s="194"/>
      <c r="F14" s="277"/>
      <c r="G14" s="277"/>
      <c r="H14" s="277"/>
    </row>
    <row r="15" spans="1:8" s="140" customFormat="1" ht="18" customHeight="1">
      <c r="A15" s="152" t="s">
        <v>73</v>
      </c>
      <c r="B15" s="234" t="s">
        <v>273</v>
      </c>
      <c r="C15" s="190"/>
      <c r="D15" s="277"/>
      <c r="E15" s="194"/>
      <c r="F15" s="277"/>
      <c r="G15" s="277"/>
      <c r="H15" s="277"/>
    </row>
    <row r="16" spans="1:8" s="129" customFormat="1" ht="18" customHeight="1">
      <c r="A16" s="142" t="s">
        <v>274</v>
      </c>
      <c r="B16" s="237" t="s">
        <v>74</v>
      </c>
      <c r="C16" s="191"/>
      <c r="D16" s="275"/>
      <c r="E16" s="276"/>
      <c r="F16" s="275"/>
      <c r="G16" s="275"/>
      <c r="H16" s="275"/>
    </row>
    <row r="17" spans="1:8" s="129" customFormat="1" ht="18" customHeight="1">
      <c r="A17" s="142" t="s">
        <v>275</v>
      </c>
      <c r="B17" s="237" t="s">
        <v>17</v>
      </c>
      <c r="C17" s="191"/>
      <c r="D17" s="275"/>
      <c r="E17" s="276"/>
      <c r="F17" s="275"/>
      <c r="G17" s="275"/>
      <c r="H17" s="275"/>
    </row>
    <row r="18" spans="1:8" s="129" customFormat="1" ht="18" customHeight="1">
      <c r="A18" s="142"/>
      <c r="B18" s="237" t="s">
        <v>276</v>
      </c>
      <c r="C18" s="168" t="s">
        <v>235</v>
      </c>
      <c r="D18" s="275"/>
      <c r="E18" s="276"/>
      <c r="F18" s="275"/>
      <c r="G18" s="275"/>
      <c r="H18" s="275"/>
    </row>
    <row r="19" spans="1:8" s="129" customFormat="1" ht="18" customHeight="1">
      <c r="A19" s="142" t="s">
        <v>304</v>
      </c>
      <c r="B19" s="237" t="s">
        <v>277</v>
      </c>
      <c r="C19" s="168" t="s">
        <v>235</v>
      </c>
      <c r="D19" s="275"/>
      <c r="E19" s="276"/>
      <c r="F19" s="275"/>
      <c r="G19" s="275"/>
      <c r="H19" s="275"/>
    </row>
    <row r="20" spans="1:8" s="140" customFormat="1" ht="18" customHeight="1">
      <c r="A20" s="220" t="s">
        <v>68</v>
      </c>
      <c r="B20" s="396" t="s">
        <v>76</v>
      </c>
      <c r="C20" s="190"/>
      <c r="D20" s="277"/>
      <c r="E20" s="194"/>
      <c r="F20" s="277"/>
      <c r="G20" s="277"/>
      <c r="H20" s="277"/>
    </row>
    <row r="21" spans="1:8" s="139" customFormat="1" ht="25.5">
      <c r="A21" s="220" t="s">
        <v>64</v>
      </c>
      <c r="B21" s="234" t="s">
        <v>28</v>
      </c>
      <c r="C21" s="190"/>
      <c r="D21" s="277"/>
      <c r="E21" s="194"/>
      <c r="F21" s="277"/>
      <c r="G21" s="277"/>
      <c r="H21" s="277"/>
    </row>
    <row r="22" spans="1:8" s="140" customFormat="1" ht="18" customHeight="1">
      <c r="A22" s="220" t="s">
        <v>66</v>
      </c>
      <c r="B22" s="234" t="s">
        <v>18</v>
      </c>
      <c r="C22" s="190"/>
      <c r="D22" s="277"/>
      <c r="E22" s="194"/>
      <c r="F22" s="277"/>
      <c r="G22" s="277"/>
      <c r="H22" s="277"/>
    </row>
    <row r="23" spans="1:8" s="140" customFormat="1" ht="15" customHeight="1">
      <c r="A23" s="137" t="s">
        <v>278</v>
      </c>
      <c r="B23" s="138" t="s">
        <v>279</v>
      </c>
      <c r="C23" s="168" t="s">
        <v>235</v>
      </c>
      <c r="D23" s="277"/>
      <c r="E23" s="194"/>
      <c r="F23" s="277"/>
      <c r="G23" s="277"/>
      <c r="H23" s="277"/>
    </row>
    <row r="24" spans="1:8" ht="16.5" customHeight="1">
      <c r="A24" s="134">
        <v>2</v>
      </c>
      <c r="B24" s="141" t="s">
        <v>280</v>
      </c>
      <c r="C24" s="135"/>
    </row>
    <row r="25" spans="1:8" s="140" customFormat="1" ht="18" customHeight="1">
      <c r="A25" s="152" t="s">
        <v>281</v>
      </c>
      <c r="B25" s="234" t="s">
        <v>67</v>
      </c>
      <c r="C25" s="233">
        <f>+C26+C27</f>
        <v>0</v>
      </c>
      <c r="D25" s="277"/>
      <c r="E25" s="194"/>
      <c r="F25" s="277"/>
      <c r="G25" s="277"/>
      <c r="H25" s="277"/>
    </row>
    <row r="26" spans="1:8" s="140" customFormat="1" ht="18" customHeight="1">
      <c r="A26" s="152" t="s">
        <v>68</v>
      </c>
      <c r="B26" s="234" t="s">
        <v>69</v>
      </c>
      <c r="C26" s="190"/>
      <c r="D26" s="277"/>
      <c r="E26" s="194"/>
      <c r="F26" s="277"/>
      <c r="G26" s="277"/>
      <c r="H26" s="277"/>
    </row>
    <row r="27" spans="1:8" s="140" customFormat="1" ht="18" customHeight="1">
      <c r="A27" s="152" t="s">
        <v>64</v>
      </c>
      <c r="B27" s="234" t="s">
        <v>70</v>
      </c>
      <c r="C27" s="190"/>
      <c r="D27" s="277"/>
      <c r="E27" s="194"/>
      <c r="F27" s="277"/>
      <c r="G27" s="277"/>
      <c r="H27" s="277"/>
    </row>
    <row r="28" spans="1:8" s="140" customFormat="1" ht="18" customHeight="1">
      <c r="A28" s="152" t="s">
        <v>282</v>
      </c>
      <c r="B28" s="234" t="s">
        <v>283</v>
      </c>
      <c r="C28" s="190">
        <v>0</v>
      </c>
      <c r="D28" s="277"/>
      <c r="E28" s="194"/>
      <c r="F28" s="277"/>
      <c r="G28" s="277"/>
      <c r="H28" s="277"/>
    </row>
    <row r="29" spans="1:8">
      <c r="A29" s="142" t="s">
        <v>284</v>
      </c>
      <c r="B29" s="235" t="s">
        <v>285</v>
      </c>
      <c r="C29" s="165">
        <v>0</v>
      </c>
    </row>
    <row r="30" spans="1:8" s="140" customFormat="1" ht="29.25" customHeight="1">
      <c r="A30" s="152" t="s">
        <v>286</v>
      </c>
      <c r="B30" s="234" t="s">
        <v>27</v>
      </c>
      <c r="C30" s="190">
        <v>0</v>
      </c>
      <c r="D30" s="277"/>
      <c r="E30" s="194"/>
      <c r="F30" s="277"/>
      <c r="G30" s="277"/>
      <c r="H30" s="277"/>
    </row>
    <row r="31" spans="1:8" s="144" customFormat="1">
      <c r="A31" s="143" t="s">
        <v>75</v>
      </c>
      <c r="B31" s="198" t="s">
        <v>287</v>
      </c>
      <c r="C31" s="192">
        <f>+C25+C28+C29+C30</f>
        <v>0</v>
      </c>
      <c r="D31" s="278"/>
      <c r="E31" s="279"/>
      <c r="F31" s="280"/>
      <c r="G31" s="280"/>
      <c r="H31" s="280"/>
    </row>
    <row r="32" spans="1:8" s="144" customFormat="1" ht="16.5" customHeight="1">
      <c r="A32" s="143" t="s">
        <v>77</v>
      </c>
      <c r="B32" s="259" t="s">
        <v>288</v>
      </c>
      <c r="C32" s="168" t="s">
        <v>235</v>
      </c>
      <c r="D32" s="280"/>
      <c r="E32" s="279"/>
      <c r="F32" s="280"/>
      <c r="G32" s="280"/>
      <c r="H32" s="280"/>
    </row>
    <row r="33" spans="1:8" s="146" customFormat="1" ht="13.5" customHeight="1">
      <c r="A33" s="145"/>
      <c r="B33" s="145" t="s">
        <v>79</v>
      </c>
      <c r="C33" s="136"/>
      <c r="D33" s="281"/>
      <c r="E33" s="282"/>
      <c r="F33" s="281"/>
      <c r="G33" s="281"/>
      <c r="H33" s="283"/>
    </row>
    <row r="34" spans="1:8" s="140" customFormat="1" ht="18" customHeight="1">
      <c r="A34" s="152" t="s">
        <v>289</v>
      </c>
      <c r="B34" s="377" t="s">
        <v>771</v>
      </c>
      <c r="C34" s="190"/>
      <c r="D34" s="277"/>
      <c r="E34" s="194"/>
      <c r="F34" s="277"/>
      <c r="G34" s="277"/>
      <c r="H34" s="277"/>
    </row>
    <row r="35" spans="1:8" s="140" customFormat="1" ht="25.5">
      <c r="A35" s="152" t="s">
        <v>290</v>
      </c>
      <c r="B35" s="234" t="s">
        <v>29</v>
      </c>
      <c r="C35" s="363" t="e">
        <f>IF(#REF!&lt;(C43*1.25%),#REF!,(C43*1.25%))</f>
        <v>#REF!</v>
      </c>
      <c r="D35" s="277"/>
      <c r="E35" s="194"/>
      <c r="F35" s="277"/>
      <c r="G35" s="277"/>
      <c r="H35" s="277"/>
    </row>
    <row r="36" spans="1:8" s="140" customFormat="1" ht="18" customHeight="1">
      <c r="A36" s="152" t="s">
        <v>291</v>
      </c>
      <c r="B36" s="234" t="s">
        <v>19</v>
      </c>
      <c r="C36" s="190"/>
      <c r="D36" s="277"/>
      <c r="E36" s="194"/>
      <c r="F36" s="277"/>
      <c r="G36" s="277"/>
      <c r="H36" s="277"/>
    </row>
    <row r="37" spans="1:8" s="140" customFormat="1" ht="18" customHeight="1">
      <c r="A37" s="152" t="s">
        <v>292</v>
      </c>
      <c r="B37" s="234" t="s">
        <v>293</v>
      </c>
      <c r="C37" s="190"/>
      <c r="D37" s="277"/>
      <c r="E37" s="194"/>
      <c r="F37" s="277"/>
      <c r="G37" s="277"/>
      <c r="H37" s="277"/>
    </row>
    <row r="38" spans="1:8" s="140" customFormat="1" ht="18" customHeight="1">
      <c r="A38" s="152" t="s">
        <v>294</v>
      </c>
      <c r="B38" s="234" t="s">
        <v>20</v>
      </c>
      <c r="C38" s="190"/>
      <c r="D38" s="277"/>
      <c r="E38" s="194"/>
      <c r="F38" s="277"/>
      <c r="G38" s="277"/>
      <c r="H38" s="277"/>
    </row>
    <row r="39" spans="1:8" s="140" customFormat="1" ht="18" customHeight="1">
      <c r="A39" s="152" t="s">
        <v>295</v>
      </c>
      <c r="B39" s="234" t="s">
        <v>80</v>
      </c>
      <c r="C39" s="168" t="s">
        <v>235</v>
      </c>
      <c r="D39" s="277"/>
      <c r="E39" s="194"/>
      <c r="F39" s="277"/>
      <c r="G39" s="277"/>
      <c r="H39" s="277"/>
    </row>
    <row r="40" spans="1:8" ht="18.75" customHeight="1">
      <c r="A40" s="147"/>
      <c r="B40" s="148" t="s">
        <v>39</v>
      </c>
      <c r="C40" s="136" t="e">
        <f>SUM(C34:C38)</f>
        <v>#REF!</v>
      </c>
      <c r="D40" s="278"/>
    </row>
    <row r="41" spans="1:8" s="129" customFormat="1" ht="22.5" customHeight="1">
      <c r="A41" s="166" t="s">
        <v>78</v>
      </c>
      <c r="B41" s="149" t="s">
        <v>40</v>
      </c>
      <c r="C41" s="168" t="s">
        <v>235</v>
      </c>
      <c r="D41" s="284"/>
      <c r="E41" s="276"/>
      <c r="F41" s="275"/>
      <c r="G41" s="275"/>
      <c r="H41" s="275"/>
    </row>
    <row r="42" spans="1:8" s="129" customFormat="1" ht="15.75" customHeight="1">
      <c r="A42" s="145" t="s">
        <v>81</v>
      </c>
      <c r="B42" s="149" t="s">
        <v>296</v>
      </c>
      <c r="C42" s="168" t="s">
        <v>235</v>
      </c>
      <c r="D42" s="284"/>
      <c r="E42" s="276"/>
      <c r="F42" s="275"/>
      <c r="G42" s="275"/>
      <c r="H42" s="275"/>
    </row>
    <row r="43" spans="1:8" s="129" customFormat="1" ht="21.75" customHeight="1">
      <c r="A43" s="145" t="s">
        <v>25</v>
      </c>
      <c r="B43" s="138" t="s">
        <v>297</v>
      </c>
      <c r="C43" s="150" t="e">
        <f>+C44+C45+C46</f>
        <v>#REF!</v>
      </c>
      <c r="D43" s="275"/>
      <c r="E43" s="276"/>
      <c r="F43" s="275"/>
      <c r="G43" s="275"/>
      <c r="H43" s="275"/>
    </row>
    <row r="44" spans="1:8" s="140" customFormat="1" ht="18" customHeight="1">
      <c r="A44" s="152" t="s">
        <v>68</v>
      </c>
      <c r="B44" s="234" t="s">
        <v>30</v>
      </c>
      <c r="C44" s="233" t="e">
        <f>+#REF!</f>
        <v>#REF!</v>
      </c>
      <c r="D44" s="277"/>
      <c r="E44" s="194"/>
      <c r="F44" s="277"/>
      <c r="G44" s="277"/>
      <c r="H44" s="277"/>
    </row>
    <row r="45" spans="1:8" s="140" customFormat="1" ht="18" customHeight="1">
      <c r="A45" s="152" t="s">
        <v>64</v>
      </c>
      <c r="B45" s="234" t="s">
        <v>23</v>
      </c>
      <c r="C45" s="233" t="e">
        <f>+#REF!</f>
        <v>#REF!</v>
      </c>
      <c r="D45" s="277"/>
      <c r="E45" s="194"/>
      <c r="F45" s="277"/>
      <c r="G45" s="277"/>
      <c r="H45" s="277"/>
    </row>
    <row r="46" spans="1:8" s="140" customFormat="1" ht="18" customHeight="1">
      <c r="A46" s="152" t="s">
        <v>66</v>
      </c>
      <c r="B46" s="234" t="s">
        <v>24</v>
      </c>
      <c r="C46" s="233" t="e">
        <f>+#REF!</f>
        <v>#REF!</v>
      </c>
      <c r="D46" s="277"/>
      <c r="E46" s="194" t="e">
        <f>+#REF!</f>
        <v>#REF!</v>
      </c>
      <c r="F46" s="277"/>
      <c r="G46" s="277"/>
      <c r="H46" s="277"/>
    </row>
    <row r="47" spans="1:8" s="146" customFormat="1" ht="21.75" customHeight="1">
      <c r="A47" s="166" t="s">
        <v>26</v>
      </c>
      <c r="B47" s="167" t="s">
        <v>298</v>
      </c>
      <c r="C47" s="168" t="s">
        <v>235</v>
      </c>
      <c r="D47" s="281"/>
      <c r="E47" s="282"/>
      <c r="F47" s="281"/>
      <c r="G47" s="281"/>
      <c r="H47" s="281"/>
    </row>
    <row r="48" spans="1:8" s="146" customFormat="1" ht="21.75" customHeight="1">
      <c r="A48" s="166" t="s">
        <v>82</v>
      </c>
      <c r="B48" s="167" t="s">
        <v>299</v>
      </c>
      <c r="C48" s="168" t="s">
        <v>235</v>
      </c>
      <c r="D48" s="281"/>
      <c r="E48" s="282"/>
      <c r="F48" s="281"/>
      <c r="G48" s="281"/>
      <c r="H48" s="281"/>
    </row>
    <row r="49" spans="1:8" s="146" customFormat="1" ht="21.75" customHeight="1">
      <c r="A49" s="166" t="s">
        <v>41</v>
      </c>
      <c r="B49" s="167" t="s">
        <v>300</v>
      </c>
      <c r="C49" s="168" t="s">
        <v>235</v>
      </c>
      <c r="D49" s="281"/>
      <c r="E49" s="282"/>
      <c r="F49" s="281"/>
      <c r="G49" s="281"/>
      <c r="H49" s="281"/>
    </row>
    <row r="50" spans="1:8" s="151" customFormat="1" ht="21.75" customHeight="1">
      <c r="A50" s="145" t="s">
        <v>42</v>
      </c>
      <c r="B50" s="138" t="s">
        <v>33</v>
      </c>
      <c r="C50" s="168" t="s">
        <v>235</v>
      </c>
      <c r="D50" s="285"/>
      <c r="E50" s="286"/>
      <c r="F50" s="287"/>
      <c r="G50" s="285"/>
      <c r="H50" s="285"/>
    </row>
    <row r="51" spans="1:8" s="155" customFormat="1" ht="21.75" customHeight="1">
      <c r="A51" s="152" t="s">
        <v>68</v>
      </c>
      <c r="B51" s="153" t="s">
        <v>46</v>
      </c>
      <c r="C51" s="154" t="e">
        <f>+#REF!</f>
        <v>#REF!</v>
      </c>
      <c r="D51" s="288"/>
      <c r="E51" s="289"/>
      <c r="F51" s="290"/>
      <c r="G51" s="288"/>
      <c r="H51" s="288"/>
    </row>
    <row r="52" spans="1:8" s="155" customFormat="1" ht="21.75" customHeight="1">
      <c r="A52" s="152" t="s">
        <v>64</v>
      </c>
      <c r="B52" s="153" t="s">
        <v>301</v>
      </c>
      <c r="C52" s="312" t="e">
        <f>SUM(#REF!)</f>
        <v>#REF!</v>
      </c>
      <c r="D52" s="290" t="e">
        <f>+#REF!</f>
        <v>#REF!</v>
      </c>
      <c r="E52" s="289"/>
      <c r="F52" s="290"/>
      <c r="G52" s="288"/>
      <c r="H52" s="288"/>
    </row>
    <row r="53" spans="1:8" s="158" customFormat="1" ht="21.75" customHeight="1">
      <c r="A53" s="156" t="s">
        <v>66</v>
      </c>
      <c r="B53" s="157" t="s">
        <v>302</v>
      </c>
      <c r="C53" s="314" t="e">
        <f>SUM(#REF!)</f>
        <v>#REF!</v>
      </c>
      <c r="D53" s="311"/>
      <c r="E53" s="313"/>
      <c r="F53" s="291"/>
      <c r="G53" s="291"/>
      <c r="H53" s="291"/>
    </row>
    <row r="54" spans="1:8" s="158" customFormat="1" ht="21.75" customHeight="1">
      <c r="A54" s="156" t="s">
        <v>73</v>
      </c>
      <c r="B54" s="157" t="s">
        <v>303</v>
      </c>
      <c r="C54" s="203" t="str">
        <f>+C19</f>
        <v>Формула</v>
      </c>
      <c r="D54" s="291"/>
      <c r="E54" s="292"/>
      <c r="F54" s="291"/>
      <c r="G54" s="291"/>
      <c r="H54" s="291"/>
    </row>
    <row r="55" spans="1:8" s="146" customFormat="1" ht="21.75" customHeight="1">
      <c r="A55" s="166" t="s">
        <v>43</v>
      </c>
      <c r="B55" s="167" t="s">
        <v>47</v>
      </c>
      <c r="C55" s="168" t="s">
        <v>235</v>
      </c>
      <c r="D55" s="281"/>
      <c r="E55" s="282"/>
      <c r="F55" s="281"/>
      <c r="G55" s="281"/>
      <c r="H55" s="281"/>
    </row>
    <row r="56" spans="1:8">
      <c r="B56" s="159"/>
    </row>
    <row r="57" spans="1:8" s="1" customFormat="1">
      <c r="A57" s="57"/>
      <c r="B57" s="5" t="s">
        <v>0</v>
      </c>
      <c r="D57" s="123"/>
      <c r="E57" s="123"/>
      <c r="F57" s="123"/>
      <c r="G57" s="123"/>
      <c r="H57" s="123"/>
    </row>
    <row r="58" spans="1:8" s="1" customFormat="1">
      <c r="A58" s="57"/>
      <c r="B58" s="5"/>
      <c r="D58" s="123"/>
      <c r="E58" s="123"/>
      <c r="F58" s="123"/>
      <c r="G58" s="123"/>
      <c r="H58" s="123"/>
    </row>
    <row r="59" spans="1:8" s="1" customFormat="1">
      <c r="A59" s="57"/>
      <c r="B59" s="5" t="s">
        <v>1</v>
      </c>
      <c r="D59" s="123"/>
      <c r="E59" s="123"/>
      <c r="F59" s="123"/>
      <c r="G59" s="123"/>
      <c r="H59" s="123"/>
    </row>
    <row r="60" spans="1:8">
      <c r="B60" s="161"/>
    </row>
  </sheetData>
  <mergeCells count="1">
    <mergeCell ref="A1:B1"/>
  </mergeCells>
  <printOptions horizontalCentered="1"/>
  <pageMargins left="0.19685039370078741" right="0.19685039370078741" top="0.39370078740157483" bottom="0.39370078740157483" header="0.15748031496062992" footer="0.51181102362204722"/>
  <pageSetup paperSize="9" scale="77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Лист24">
    <pageSetUpPr fitToPage="1"/>
  </sheetPr>
  <dimension ref="A1:Z31"/>
  <sheetViews>
    <sheetView view="pageBreakPreview" zoomScale="70" zoomScaleNormal="70" zoomScaleSheetLayoutView="70" workbookViewId="0">
      <pane xSplit="2" ySplit="7" topLeftCell="C8" activePane="bottomRight" state="frozen"/>
      <selection activeCell="M64" sqref="M64"/>
      <selection pane="topRight" activeCell="M64" sqref="M64"/>
      <selection pane="bottomLeft" activeCell="M64" sqref="M64"/>
      <selection pane="bottomRight" activeCell="P10" sqref="P10"/>
    </sheetView>
  </sheetViews>
  <sheetFormatPr defaultColWidth="9.140625" defaultRowHeight="15.75"/>
  <cols>
    <col min="1" max="1" width="9.7109375" style="204" customWidth="1"/>
    <col min="2" max="2" width="31.140625" style="169" customWidth="1"/>
    <col min="3" max="3" width="17.140625" style="169" customWidth="1"/>
    <col min="4" max="4" width="16.5703125" style="169" customWidth="1"/>
    <col min="5" max="5" width="17.140625" style="169" customWidth="1"/>
    <col min="6" max="6" width="16.5703125" style="169" customWidth="1"/>
    <col min="7" max="7" width="17.140625" style="169" customWidth="1"/>
    <col min="8" max="8" width="16.5703125" style="169" customWidth="1"/>
    <col min="9" max="9" width="19" style="169" customWidth="1"/>
    <col min="10" max="10" width="16.5703125" style="169" customWidth="1"/>
    <col min="11" max="11" width="17.140625" style="169" customWidth="1"/>
    <col min="12" max="12" width="16.5703125" style="169" customWidth="1"/>
    <col min="13" max="13" width="19" style="169" customWidth="1"/>
    <col min="14" max="14" width="16.5703125" style="169" customWidth="1"/>
    <col min="15" max="15" width="9.140625" style="169"/>
    <col min="16" max="16" width="26" style="169" customWidth="1"/>
    <col min="17" max="17" width="13.5703125" style="169" customWidth="1"/>
    <col min="18" max="16384" width="9.140625" style="169"/>
  </cols>
  <sheetData>
    <row r="1" spans="1:26" s="174" customFormat="1" ht="48.75" customHeight="1">
      <c r="A1" s="722" t="s">
        <v>688</v>
      </c>
      <c r="B1" s="722"/>
      <c r="C1" s="722"/>
      <c r="D1" s="722"/>
      <c r="E1" s="722"/>
      <c r="F1" s="722"/>
      <c r="G1" s="722"/>
      <c r="H1" s="722"/>
      <c r="I1" s="722"/>
      <c r="J1" s="722"/>
      <c r="K1" s="722"/>
      <c r="L1" s="722"/>
      <c r="M1" s="722"/>
      <c r="N1" s="225" t="s">
        <v>687</v>
      </c>
    </row>
    <row r="2" spans="1:26" ht="18.75">
      <c r="B2" s="213" t="str">
        <f>+'Asset quality'!B3</f>
        <v>АК "Алокабанк"</v>
      </c>
      <c r="K2" s="721">
        <f>+'loans_av rate'!F3</f>
        <v>44196</v>
      </c>
      <c r="L2" s="721"/>
      <c r="N2" s="205" t="s">
        <v>408</v>
      </c>
    </row>
    <row r="3" spans="1:26" s="170" customFormat="1" ht="38.25" customHeight="1">
      <c r="A3" s="720" t="s">
        <v>83</v>
      </c>
      <c r="B3" s="694" t="s">
        <v>744</v>
      </c>
      <c r="C3" s="720" t="s">
        <v>661</v>
      </c>
      <c r="D3" s="720"/>
      <c r="E3" s="720"/>
      <c r="F3" s="720"/>
      <c r="G3" s="720"/>
      <c r="H3" s="720"/>
      <c r="I3" s="720" t="s">
        <v>662</v>
      </c>
      <c r="J3" s="720"/>
      <c r="K3" s="720"/>
      <c r="L3" s="720"/>
      <c r="M3" s="720"/>
      <c r="N3" s="720"/>
    </row>
    <row r="4" spans="1:26" s="170" customFormat="1" ht="24" customHeight="1">
      <c r="A4" s="720"/>
      <c r="B4" s="695"/>
      <c r="C4" s="720" t="s">
        <v>663</v>
      </c>
      <c r="D4" s="720" t="s">
        <v>660</v>
      </c>
      <c r="E4" s="720" t="s">
        <v>668</v>
      </c>
      <c r="F4" s="720"/>
      <c r="G4" s="720"/>
      <c r="H4" s="720"/>
      <c r="I4" s="720" t="s">
        <v>663</v>
      </c>
      <c r="J4" s="720" t="s">
        <v>660</v>
      </c>
      <c r="K4" s="720" t="s">
        <v>668</v>
      </c>
      <c r="L4" s="720"/>
      <c r="M4" s="720"/>
      <c r="N4" s="720"/>
    </row>
    <row r="5" spans="1:26" s="170" customFormat="1" ht="54.75" customHeight="1">
      <c r="A5" s="720"/>
      <c r="B5" s="695"/>
      <c r="C5" s="720"/>
      <c r="D5" s="720"/>
      <c r="E5" s="720" t="s">
        <v>669</v>
      </c>
      <c r="F5" s="720"/>
      <c r="G5" s="720" t="s">
        <v>205</v>
      </c>
      <c r="H5" s="720"/>
      <c r="I5" s="720"/>
      <c r="J5" s="720"/>
      <c r="K5" s="720" t="s">
        <v>669</v>
      </c>
      <c r="L5" s="720"/>
      <c r="M5" s="720" t="s">
        <v>205</v>
      </c>
      <c r="N5" s="720"/>
    </row>
    <row r="6" spans="1:26" s="170" customFormat="1" ht="54.75" customHeight="1">
      <c r="A6" s="720"/>
      <c r="B6" s="696"/>
      <c r="C6" s="720"/>
      <c r="D6" s="720"/>
      <c r="E6" s="351" t="s">
        <v>666</v>
      </c>
      <c r="F6" s="351" t="s">
        <v>660</v>
      </c>
      <c r="G6" s="351" t="s">
        <v>666</v>
      </c>
      <c r="H6" s="351" t="s">
        <v>660</v>
      </c>
      <c r="I6" s="720"/>
      <c r="J6" s="720"/>
      <c r="K6" s="351" t="s">
        <v>666</v>
      </c>
      <c r="L6" s="351" t="s">
        <v>660</v>
      </c>
      <c r="M6" s="351" t="s">
        <v>666</v>
      </c>
      <c r="N6" s="351" t="s">
        <v>660</v>
      </c>
    </row>
    <row r="7" spans="1:26" s="170" customFormat="1" ht="22.5" customHeight="1">
      <c r="A7" s="720"/>
      <c r="B7" s="351" t="s">
        <v>182</v>
      </c>
      <c r="C7" s="351" t="s">
        <v>183</v>
      </c>
      <c r="D7" s="351" t="s">
        <v>200</v>
      </c>
      <c r="E7" s="351" t="s">
        <v>184</v>
      </c>
      <c r="F7" s="351" t="s">
        <v>185</v>
      </c>
      <c r="G7" s="351" t="s">
        <v>201</v>
      </c>
      <c r="H7" s="351" t="s">
        <v>186</v>
      </c>
      <c r="I7" s="351" t="s">
        <v>187</v>
      </c>
      <c r="J7" s="351" t="s">
        <v>188</v>
      </c>
      <c r="K7" s="351" t="s">
        <v>189</v>
      </c>
      <c r="L7" s="351" t="s">
        <v>190</v>
      </c>
      <c r="M7" s="351" t="s">
        <v>191</v>
      </c>
      <c r="N7" s="351" t="s">
        <v>192</v>
      </c>
    </row>
    <row r="8" spans="1:26" s="336" customFormat="1" ht="41.25" customHeight="1">
      <c r="A8" s="332">
        <v>1</v>
      </c>
      <c r="B8" s="333" t="s">
        <v>224</v>
      </c>
      <c r="C8" s="362">
        <f>+E8+G8</f>
        <v>315114291</v>
      </c>
      <c r="D8" s="334">
        <v>0</v>
      </c>
      <c r="E8" s="352">
        <v>252596722</v>
      </c>
      <c r="F8" s="334">
        <v>0</v>
      </c>
      <c r="G8" s="352">
        <v>62517569</v>
      </c>
      <c r="H8" s="334">
        <v>0</v>
      </c>
      <c r="I8" s="362">
        <f>+K8+M8</f>
        <v>1185726857</v>
      </c>
      <c r="J8" s="334">
        <v>2.3173559178644547E-5</v>
      </c>
      <c r="K8" s="352">
        <v>931894470</v>
      </c>
      <c r="L8" s="334">
        <v>2.9509779188598122E-5</v>
      </c>
      <c r="M8" s="352">
        <v>253832387</v>
      </c>
      <c r="N8" s="334">
        <v>0</v>
      </c>
      <c r="O8" s="335"/>
      <c r="P8" s="630">
        <f>+'[8]Bank Liabilities Analysis'!$C$22</f>
        <v>1500841148</v>
      </c>
      <c r="Q8" s="630">
        <f t="shared" ref="Q8:Q15" si="0">+P8-C8-I8</f>
        <v>0</v>
      </c>
      <c r="R8" s="335"/>
      <c r="S8" s="335"/>
      <c r="T8" s="335"/>
      <c r="U8" s="335"/>
      <c r="V8" s="335"/>
      <c r="W8" s="335"/>
      <c r="X8" s="335"/>
      <c r="Y8" s="335"/>
      <c r="Z8" s="335"/>
    </row>
    <row r="9" spans="1:26" s="336" customFormat="1" ht="41.25" customHeight="1">
      <c r="A9" s="332">
        <v>2</v>
      </c>
      <c r="B9" s="333" t="s">
        <v>745</v>
      </c>
      <c r="C9" s="362">
        <f t="shared" ref="C9" si="1">+E9+G9</f>
        <v>866553</v>
      </c>
      <c r="D9" s="334">
        <v>0.18629999999999999</v>
      </c>
      <c r="E9" s="352">
        <v>866553</v>
      </c>
      <c r="F9" s="334">
        <v>0.18629999999999999</v>
      </c>
      <c r="G9" s="352">
        <v>0</v>
      </c>
      <c r="H9" s="334">
        <v>0</v>
      </c>
      <c r="I9" s="362">
        <f t="shared" ref="I9" si="2">+K9+M9</f>
        <v>111000000</v>
      </c>
      <c r="J9" s="334">
        <v>0.17549999999999999</v>
      </c>
      <c r="K9" s="352">
        <v>111000000</v>
      </c>
      <c r="L9" s="334">
        <v>0.17549999999999999</v>
      </c>
      <c r="M9" s="352">
        <v>0</v>
      </c>
      <c r="N9" s="334">
        <v>0</v>
      </c>
      <c r="O9" s="335"/>
      <c r="P9" s="630">
        <f>+'[8]Bank Liabilities Analysis'!$E$22</f>
        <v>111866553</v>
      </c>
      <c r="Q9" s="630">
        <f t="shared" si="0"/>
        <v>0</v>
      </c>
      <c r="R9" s="335"/>
      <c r="S9" s="335"/>
      <c r="T9" s="335"/>
      <c r="U9" s="335"/>
      <c r="V9" s="335"/>
      <c r="W9" s="335"/>
      <c r="X9" s="335"/>
      <c r="Y9" s="335"/>
      <c r="Z9" s="335"/>
    </row>
    <row r="10" spans="1:26" s="336" customFormat="1" ht="41.25" customHeight="1">
      <c r="A10" s="332">
        <v>3</v>
      </c>
      <c r="B10" s="333" t="s">
        <v>746</v>
      </c>
      <c r="C10" s="362">
        <f t="shared" ref="C10:C15" si="3">+E10+G10</f>
        <v>6963385</v>
      </c>
      <c r="D10" s="334">
        <v>0.18629999999999997</v>
      </c>
      <c r="E10" s="352">
        <v>6963385</v>
      </c>
      <c r="F10" s="334">
        <v>0.18629999999999999</v>
      </c>
      <c r="G10" s="352">
        <v>0</v>
      </c>
      <c r="H10" s="334">
        <v>0</v>
      </c>
      <c r="I10" s="362">
        <f t="shared" ref="I10:I15" si="4">+K10+M10</f>
        <v>35646593</v>
      </c>
      <c r="J10" s="334">
        <v>0.16880000000000001</v>
      </c>
      <c r="K10" s="352">
        <v>35200000</v>
      </c>
      <c r="L10" s="334">
        <v>0.16880000000000001</v>
      </c>
      <c r="M10" s="352">
        <v>446593</v>
      </c>
      <c r="N10" s="334">
        <v>0</v>
      </c>
      <c r="O10" s="335"/>
      <c r="P10" s="630">
        <f>+'[8]Bank Liabilities Analysis'!$G$22</f>
        <v>42609978</v>
      </c>
      <c r="Q10" s="630">
        <f t="shared" si="0"/>
        <v>0</v>
      </c>
      <c r="R10" s="335"/>
      <c r="S10" s="335"/>
      <c r="T10" s="335"/>
      <c r="U10" s="335"/>
      <c r="V10" s="335"/>
      <c r="W10" s="335"/>
      <c r="X10" s="335"/>
      <c r="Y10" s="335"/>
      <c r="Z10" s="335"/>
    </row>
    <row r="11" spans="1:26" s="336" customFormat="1" ht="41.25" customHeight="1">
      <c r="A11" s="332">
        <v>4</v>
      </c>
      <c r="B11" s="333" t="s">
        <v>621</v>
      </c>
      <c r="C11" s="362">
        <f t="shared" si="3"/>
        <v>22820177</v>
      </c>
      <c r="D11" s="334">
        <v>0.2</v>
      </c>
      <c r="E11" s="352">
        <v>22820177</v>
      </c>
      <c r="F11" s="334">
        <v>0.2</v>
      </c>
      <c r="G11" s="352">
        <v>0</v>
      </c>
      <c r="H11" s="334">
        <v>0</v>
      </c>
      <c r="I11" s="362">
        <f t="shared" si="4"/>
        <v>378155975</v>
      </c>
      <c r="J11" s="334">
        <v>0.17199999999999999</v>
      </c>
      <c r="K11" s="352">
        <v>377632129</v>
      </c>
      <c r="L11" s="334">
        <v>0.17199999999999999</v>
      </c>
      <c r="M11" s="352">
        <v>523846</v>
      </c>
      <c r="N11" s="334">
        <v>0</v>
      </c>
      <c r="O11" s="335"/>
      <c r="P11" s="630">
        <f>+'[8]Bank Liabilities Analysis'!$I$22</f>
        <v>400976152</v>
      </c>
      <c r="Q11" s="630">
        <f t="shared" si="0"/>
        <v>0</v>
      </c>
      <c r="R11" s="335"/>
      <c r="S11" s="335"/>
      <c r="T11" s="335"/>
      <c r="U11" s="335"/>
      <c r="V11" s="335"/>
      <c r="W11" s="335"/>
      <c r="X11" s="335"/>
      <c r="Y11" s="335"/>
      <c r="Z11" s="335"/>
    </row>
    <row r="12" spans="1:26" s="336" customFormat="1" ht="41.25" customHeight="1">
      <c r="A12" s="332">
        <v>5</v>
      </c>
      <c r="B12" s="333" t="s">
        <v>622</v>
      </c>
      <c r="C12" s="362">
        <f t="shared" si="3"/>
        <v>30139732</v>
      </c>
      <c r="D12" s="334">
        <v>0.19600000000000001</v>
      </c>
      <c r="E12" s="352">
        <v>30139732</v>
      </c>
      <c r="F12" s="334">
        <v>0.19600000000000001</v>
      </c>
      <c r="G12" s="352">
        <v>0</v>
      </c>
      <c r="H12" s="334">
        <v>0</v>
      </c>
      <c r="I12" s="362">
        <f t="shared" si="4"/>
        <v>287469740</v>
      </c>
      <c r="J12" s="334">
        <v>0.13200000000000001</v>
      </c>
      <c r="K12" s="352">
        <v>287469740</v>
      </c>
      <c r="L12" s="334">
        <v>0.13200000000000001</v>
      </c>
      <c r="M12" s="352">
        <v>0</v>
      </c>
      <c r="N12" s="334">
        <v>0</v>
      </c>
      <c r="O12" s="335"/>
      <c r="P12" s="630">
        <f>+'[8]Bank Liabilities Analysis'!$K$22</f>
        <v>317609472</v>
      </c>
      <c r="Q12" s="630">
        <f t="shared" si="0"/>
        <v>0</v>
      </c>
      <c r="R12" s="335"/>
      <c r="S12" s="335"/>
      <c r="T12" s="335"/>
      <c r="U12" s="335"/>
      <c r="V12" s="335"/>
      <c r="W12" s="335"/>
      <c r="X12" s="335"/>
      <c r="Y12" s="335"/>
      <c r="Z12" s="335"/>
    </row>
    <row r="13" spans="1:26" s="336" customFormat="1" ht="41.25" customHeight="1">
      <c r="A13" s="332">
        <v>6</v>
      </c>
      <c r="B13" s="333" t="s">
        <v>693</v>
      </c>
      <c r="C13" s="362">
        <f t="shared" si="3"/>
        <v>52890906</v>
      </c>
      <c r="D13" s="334">
        <v>0.17405626551377282</v>
      </c>
      <c r="E13" s="352">
        <v>51379401</v>
      </c>
      <c r="F13" s="334">
        <v>0.17799999999999999</v>
      </c>
      <c r="G13" s="352">
        <v>1511505</v>
      </c>
      <c r="H13" s="334">
        <v>0.04</v>
      </c>
      <c r="I13" s="362">
        <f t="shared" si="4"/>
        <v>364429448</v>
      </c>
      <c r="J13" s="334">
        <v>0.17193064841712208</v>
      </c>
      <c r="K13" s="352">
        <v>355419297</v>
      </c>
      <c r="L13" s="334">
        <v>0.1749</v>
      </c>
      <c r="M13" s="352">
        <v>9010151</v>
      </c>
      <c r="N13" s="334">
        <v>5.4800000000000001E-2</v>
      </c>
      <c r="O13" s="335"/>
      <c r="P13" s="630">
        <f>+'[8]Bank Liabilities Analysis'!$M$22</f>
        <v>417320354</v>
      </c>
      <c r="Q13" s="630">
        <f t="shared" si="0"/>
        <v>0</v>
      </c>
      <c r="R13" s="335"/>
      <c r="S13" s="335"/>
      <c r="T13" s="335"/>
      <c r="U13" s="335"/>
      <c r="V13" s="335"/>
      <c r="W13" s="335"/>
      <c r="X13" s="335"/>
      <c r="Y13" s="335"/>
      <c r="Z13" s="335"/>
    </row>
    <row r="14" spans="1:26" s="336" customFormat="1" ht="41.25" customHeight="1">
      <c r="A14" s="332">
        <v>7</v>
      </c>
      <c r="B14" s="333" t="s">
        <v>694</v>
      </c>
      <c r="C14" s="362">
        <f t="shared" si="3"/>
        <v>136654184</v>
      </c>
      <c r="D14" s="334">
        <v>0.17938880716597744</v>
      </c>
      <c r="E14" s="352">
        <v>125480113</v>
      </c>
      <c r="F14" s="334">
        <v>0.191</v>
      </c>
      <c r="G14" s="352">
        <v>11174071</v>
      </c>
      <c r="H14" s="334">
        <v>4.9000000000000002E-2</v>
      </c>
      <c r="I14" s="362">
        <f t="shared" si="4"/>
        <v>269814551</v>
      </c>
      <c r="J14" s="334">
        <v>0.12358799377472829</v>
      </c>
      <c r="K14" s="352">
        <v>170283811</v>
      </c>
      <c r="L14" s="334">
        <v>0.1749</v>
      </c>
      <c r="M14" s="352">
        <v>99530740</v>
      </c>
      <c r="N14" s="334">
        <v>3.5799999999999998E-2</v>
      </c>
      <c r="O14" s="335"/>
      <c r="P14" s="630">
        <f>+'[8]Bank Liabilities Analysis'!$O$22</f>
        <v>406468735</v>
      </c>
      <c r="Q14" s="630">
        <f t="shared" si="0"/>
        <v>0</v>
      </c>
      <c r="R14" s="335"/>
      <c r="S14" s="335"/>
      <c r="T14" s="335"/>
      <c r="U14" s="335"/>
      <c r="V14" s="335"/>
      <c r="W14" s="335"/>
      <c r="X14" s="335"/>
      <c r="Y14" s="335"/>
      <c r="Z14" s="335"/>
    </row>
    <row r="15" spans="1:26" s="336" customFormat="1" ht="41.25" customHeight="1">
      <c r="A15" s="332">
        <v>8</v>
      </c>
      <c r="B15" s="333" t="s">
        <v>158</v>
      </c>
      <c r="C15" s="362">
        <f t="shared" si="3"/>
        <v>27427585</v>
      </c>
      <c r="D15" s="334">
        <v>0.16206253572817292</v>
      </c>
      <c r="E15" s="352">
        <v>22272498</v>
      </c>
      <c r="F15" s="334">
        <v>0.188</v>
      </c>
      <c r="G15" s="352">
        <v>5155087</v>
      </c>
      <c r="H15" s="334">
        <v>0.05</v>
      </c>
      <c r="I15" s="362">
        <f t="shared" si="4"/>
        <v>1698968399</v>
      </c>
      <c r="J15" s="334">
        <v>5.4873792495738975E-2</v>
      </c>
      <c r="K15" s="352">
        <v>430979211</v>
      </c>
      <c r="L15" s="334">
        <v>0.1207</v>
      </c>
      <c r="M15" s="352">
        <v>1267989188</v>
      </c>
      <c r="N15" s="334">
        <v>3.2500000000000001E-2</v>
      </c>
      <c r="O15" s="335"/>
      <c r="P15" s="630">
        <f>+'[8]Bank Liabilities Analysis'!$Q$22</f>
        <v>1726395984</v>
      </c>
      <c r="Q15" s="630">
        <f t="shared" si="0"/>
        <v>0</v>
      </c>
      <c r="R15" s="335"/>
      <c r="S15" s="335"/>
      <c r="T15" s="335"/>
      <c r="U15" s="335"/>
      <c r="V15" s="335"/>
      <c r="W15" s="335"/>
      <c r="X15" s="335"/>
      <c r="Y15" s="335"/>
      <c r="Z15" s="335"/>
    </row>
    <row r="16" spans="1:26" s="336" customFormat="1" ht="41.25" customHeight="1">
      <c r="A16" s="332">
        <v>9</v>
      </c>
      <c r="B16" s="337" t="s">
        <v>747</v>
      </c>
      <c r="C16" s="353">
        <f>SUM(C8:C15)</f>
        <v>592876813</v>
      </c>
      <c r="D16" s="354">
        <f>IFERROR(((C8*D8)/C16)+((C9*D9)/C16)+((C10*D10)/C16)+((C11*D11)/C16)+((C12*D12)/C16)+((C13*D13)/C16)+((C14*D14)/C16)+((C15*D15)/C16),0)</f>
        <v>8.4495375492783867E-2</v>
      </c>
      <c r="E16" s="353">
        <f t="shared" ref="E16:M16" si="5">SUM(E8:E15)</f>
        <v>512518581</v>
      </c>
      <c r="F16" s="354">
        <f>IFERROR(((E8*F8)/E16)+((E9*F9)/E16)+((E10*F10)/E16)+((E11*F11)/E16)+((E12*F12)/E16)+((E13*F13)/E16)+((E14*F14)/E16)+((E15*F15)/E16),0)</f>
        <v>9.605428316441858E-2</v>
      </c>
      <c r="G16" s="353">
        <f t="shared" si="5"/>
        <v>80358232</v>
      </c>
      <c r="H16" s="354">
        <f>IFERROR(((G8*H8)/G16)+((G9*H9)/G16)+((G10*H10)/G16)+((G11*H11)/G16)+((G12*H12)/G16)+((G13*H13)/G16)+((G14*H14)/G16)+((G15*H15)/G16),0)</f>
        <v>1.0773557449596453E-2</v>
      </c>
      <c r="I16" s="353">
        <f t="shared" si="5"/>
        <v>4331211563</v>
      </c>
      <c r="J16" s="354">
        <f>IFERROR(((I8*J8)/I16)+((I9*J9)/I16)+((I10*J10)/I16)+((I11*J11)/I16)+((I12*J12)/I16)+((I13*J13)/I16)+((I14*J14)/I16)+((I15*J15)/I16),0)</f>
        <v>7.3361742066370444E-2</v>
      </c>
      <c r="K16" s="353">
        <f t="shared" si="5"/>
        <v>2699878658</v>
      </c>
      <c r="L16" s="354">
        <f>IFERROR(((K8*L8)/K16)+((K9*L9)/K16)+((K10*L10)/K16)+((K11*L11)/K16)+((K12*L12)/K16)+((K13*L13)/K16)+((K14*L14)/K16)+((K15*L15)/K16),0)</f>
        <v>0.10086125738208519</v>
      </c>
      <c r="M16" s="353">
        <f t="shared" si="5"/>
        <v>1631332905</v>
      </c>
      <c r="N16" s="354">
        <f>IFERROR(((M8*N8)/M16)+((M9*N9)/M16)+((M10*N10)/M16)+((M11*N11)/M16)+((M12*N12)/M16)+((M13*N13)/M16)+((M14*N14)/M16)+((M15*N15)/M16),0)</f>
        <v>2.7748232894744436E-2</v>
      </c>
      <c r="O16" s="335"/>
      <c r="P16" s="631">
        <f>+'[8]Bank Liabilities Analysis'!$S$22</f>
        <v>4924088376</v>
      </c>
      <c r="Q16" s="630">
        <f>+P16-C16-I16</f>
        <v>0</v>
      </c>
      <c r="R16" s="335"/>
      <c r="S16" s="335"/>
      <c r="T16" s="335"/>
      <c r="U16" s="335"/>
      <c r="V16" s="335"/>
      <c r="W16" s="335"/>
      <c r="X16" s="335"/>
      <c r="Y16" s="335"/>
      <c r="Z16" s="335"/>
    </row>
    <row r="17" spans="1:26" s="21" customFormat="1" ht="12" customHeight="1">
      <c r="B17" s="41"/>
      <c r="C17" s="103"/>
      <c r="I17" s="103"/>
      <c r="P17" s="335"/>
      <c r="Q17" s="335"/>
      <c r="R17" s="335"/>
      <c r="S17" s="335"/>
      <c r="T17" s="335"/>
      <c r="U17" s="335"/>
      <c r="V17" s="335"/>
      <c r="W17" s="335"/>
      <c r="X17" s="335"/>
      <c r="Y17" s="335"/>
      <c r="Z17" s="335"/>
    </row>
    <row r="18" spans="1:26" s="21" customFormat="1" ht="12.75">
      <c r="B18" s="41"/>
      <c r="C18" s="103"/>
      <c r="I18" s="103"/>
    </row>
    <row r="19" spans="1:26" s="25" customFormat="1">
      <c r="A19" s="112"/>
      <c r="B19" s="122" t="s">
        <v>0</v>
      </c>
      <c r="C19" s="361"/>
      <c r="J19" s="112"/>
    </row>
    <row r="20" spans="1:26" s="25" customFormat="1">
      <c r="A20" s="112"/>
      <c r="B20" s="122"/>
      <c r="J20" s="112"/>
    </row>
    <row r="21" spans="1:26" s="25" customFormat="1">
      <c r="A21" s="112"/>
      <c r="B21" s="122" t="s">
        <v>1</v>
      </c>
      <c r="J21" s="112"/>
    </row>
    <row r="24" spans="1:26" s="357" customFormat="1">
      <c r="A24" s="356"/>
      <c r="B24" s="357" t="s">
        <v>742</v>
      </c>
      <c r="C24" s="360">
        <f>+'[8]Deposits by Client'!$C$6+'[8]Deposits by Client'!$C$15</f>
        <v>592876813</v>
      </c>
      <c r="D24" s="360"/>
      <c r="E24" s="360"/>
      <c r="F24" s="360"/>
      <c r="G24" s="360">
        <f>+'[8]Deposits by Client'!$D$6+'[8]Deposits by Client'!$D$15</f>
        <v>80358232</v>
      </c>
      <c r="H24" s="360"/>
      <c r="I24" s="360"/>
      <c r="J24" s="360"/>
      <c r="K24" s="360"/>
      <c r="L24" s="360"/>
      <c r="M24" s="360"/>
      <c r="N24" s="628"/>
    </row>
    <row r="25" spans="1:26" s="357" customFormat="1">
      <c r="A25" s="356"/>
      <c r="C25" s="360">
        <f>+C16</f>
        <v>592876813</v>
      </c>
      <c r="D25" s="360"/>
      <c r="E25" s="360"/>
      <c r="F25" s="360"/>
      <c r="G25" s="360">
        <f>+G16</f>
        <v>80358232</v>
      </c>
      <c r="H25" s="360"/>
      <c r="I25" s="629"/>
      <c r="J25" s="629"/>
      <c r="K25" s="629"/>
      <c r="L25" s="629"/>
      <c r="M25" s="629"/>
      <c r="N25" s="628"/>
    </row>
    <row r="26" spans="1:26" s="357" customFormat="1">
      <c r="A26" s="356"/>
      <c r="C26" s="360">
        <f>+C24-C25</f>
        <v>0</v>
      </c>
      <c r="D26" s="360"/>
      <c r="E26" s="360"/>
      <c r="F26" s="360"/>
      <c r="G26" s="360">
        <f>+G24-G25</f>
        <v>0</v>
      </c>
      <c r="H26" s="360"/>
      <c r="I26" s="629"/>
      <c r="J26" s="629"/>
      <c r="K26" s="629"/>
      <c r="L26" s="629"/>
      <c r="M26" s="629"/>
      <c r="N26" s="628"/>
    </row>
    <row r="27" spans="1:26" s="357" customFormat="1">
      <c r="A27" s="356"/>
      <c r="B27" s="357" t="s">
        <v>743</v>
      </c>
      <c r="C27" s="629"/>
      <c r="D27" s="629"/>
      <c r="E27" s="629"/>
      <c r="F27" s="629"/>
      <c r="G27" s="629"/>
      <c r="H27" s="629"/>
      <c r="I27" s="360">
        <f>+'[8]Deposits by Client'!$C$22-'[8]Deposits by Client'!$C$6-'[8]Deposits by Client'!$C$15</f>
        <v>4331211563</v>
      </c>
      <c r="J27" s="360"/>
      <c r="K27" s="360"/>
      <c r="L27" s="360"/>
      <c r="M27" s="360">
        <f>+'[8]Deposits by Client'!$D$22-'[8]Deposits by Client'!$D$6-'[8]Deposits by Client'!$D$15</f>
        <v>1631332905</v>
      </c>
    </row>
    <row r="28" spans="1:26" s="357" customFormat="1">
      <c r="A28" s="356"/>
      <c r="C28" s="629"/>
      <c r="D28" s="629"/>
      <c r="E28" s="629"/>
      <c r="F28" s="629"/>
      <c r="G28" s="629"/>
      <c r="H28" s="629"/>
      <c r="I28" s="360">
        <f>+I16</f>
        <v>4331211563</v>
      </c>
      <c r="J28" s="360"/>
      <c r="K28" s="360"/>
      <c r="L28" s="360"/>
      <c r="M28" s="360">
        <f>+M16</f>
        <v>1631332905</v>
      </c>
    </row>
    <row r="29" spans="1:26" s="357" customFormat="1">
      <c r="A29" s="356"/>
      <c r="C29" s="629"/>
      <c r="D29" s="629"/>
      <c r="E29" s="629"/>
      <c r="F29" s="629"/>
      <c r="G29" s="629"/>
      <c r="H29" s="629"/>
      <c r="I29" s="360">
        <f>+I27-I28</f>
        <v>0</v>
      </c>
      <c r="J29" s="629"/>
      <c r="K29" s="629"/>
      <c r="L29" s="629"/>
      <c r="M29" s="360">
        <f>+M27-M28</f>
        <v>0</v>
      </c>
    </row>
    <row r="30" spans="1:26" s="357" customFormat="1">
      <c r="A30" s="356"/>
    </row>
    <row r="31" spans="1:26" s="357" customFormat="1">
      <c r="A31" s="356"/>
    </row>
  </sheetData>
  <sheetProtection password="CACA" sheet="1" objects="1" scenarios="1"/>
  <mergeCells count="16">
    <mergeCell ref="A3:A7"/>
    <mergeCell ref="K2:L2"/>
    <mergeCell ref="A1:M1"/>
    <mergeCell ref="I3:N3"/>
    <mergeCell ref="I4:I6"/>
    <mergeCell ref="J4:J6"/>
    <mergeCell ref="K4:N4"/>
    <mergeCell ref="K5:L5"/>
    <mergeCell ref="M5:N5"/>
    <mergeCell ref="D4:D6"/>
    <mergeCell ref="E4:H4"/>
    <mergeCell ref="E5:F5"/>
    <mergeCell ref="G5:H5"/>
    <mergeCell ref="C3:H3"/>
    <mergeCell ref="C4:C6"/>
    <mergeCell ref="B3:B6"/>
  </mergeCells>
  <printOptions horizontalCentered="1"/>
  <pageMargins left="0.39370078740157483" right="0.31" top="0.31496062992125984" bottom="0.35433070866141736" header="0.31496062992125984" footer="0.31496062992125984"/>
  <pageSetup paperSize="9" scale="57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Лист20">
    <pageSetUpPr fitToPage="1"/>
  </sheetPr>
  <dimension ref="A1:K49"/>
  <sheetViews>
    <sheetView view="pageBreakPreview" zoomScaleSheetLayoutView="100" workbookViewId="0">
      <pane xSplit="1" ySplit="5" topLeftCell="B15" activePane="bottomRight" state="frozen"/>
      <selection activeCell="M64" sqref="M64"/>
      <selection pane="topRight" activeCell="M64" sqref="M64"/>
      <selection pane="bottomLeft" activeCell="M64" sqref="M64"/>
      <selection pane="bottomRight" activeCell="K23" sqref="K23:K24"/>
    </sheetView>
  </sheetViews>
  <sheetFormatPr defaultColWidth="9" defaultRowHeight="12.75"/>
  <cols>
    <col min="1" max="1" width="5" style="103" customWidth="1"/>
    <col min="2" max="3" width="9" style="104" customWidth="1"/>
    <col min="4" max="4" width="25.42578125" style="104" customWidth="1"/>
    <col min="5" max="5" width="42.140625" style="104" customWidth="1"/>
    <col min="6" max="6" width="15.42578125" style="104" bestFit="1" customWidth="1"/>
    <col min="7" max="7" width="9" style="104" customWidth="1"/>
    <col min="8" max="8" width="36.28515625" style="104" customWidth="1"/>
    <col min="9" max="9" width="18.42578125" style="104" customWidth="1"/>
    <col min="10" max="10" width="15" style="103" customWidth="1"/>
    <col min="11" max="11" width="15.5703125" style="104" customWidth="1"/>
    <col min="12" max="16384" width="9" style="104"/>
  </cols>
  <sheetData>
    <row r="1" spans="1:11" s="558" customFormat="1" ht="27" customHeight="1">
      <c r="A1" s="725" t="s">
        <v>815</v>
      </c>
      <c r="B1" s="725"/>
      <c r="C1" s="725"/>
      <c r="D1" s="725"/>
      <c r="E1" s="725"/>
      <c r="F1" s="725"/>
      <c r="G1" s="725"/>
      <c r="H1" s="725"/>
      <c r="I1" s="726" t="s">
        <v>689</v>
      </c>
      <c r="J1" s="726"/>
      <c r="K1" s="726"/>
    </row>
    <row r="2" spans="1:11" ht="21" customHeight="1">
      <c r="A2" s="469"/>
      <c r="B2" s="751" t="str">
        <f>+'Asset quality'!B3</f>
        <v>АК "Алокабанк"</v>
      </c>
      <c r="C2" s="751"/>
      <c r="D2" s="751"/>
      <c r="E2" s="470"/>
      <c r="F2" s="470"/>
      <c r="G2" s="470"/>
      <c r="H2" s="470"/>
      <c r="I2" s="471">
        <f>+'Asset quality'!P3</f>
        <v>44196</v>
      </c>
      <c r="J2" s="222"/>
      <c r="K2" s="34"/>
    </row>
    <row r="3" spans="1:11" ht="6.75" customHeight="1">
      <c r="A3" s="727"/>
      <c r="B3" s="728"/>
      <c r="C3" s="728"/>
      <c r="D3" s="728"/>
      <c r="E3" s="728"/>
      <c r="F3" s="728"/>
      <c r="G3" s="728"/>
      <c r="H3" s="728"/>
      <c r="I3" s="728"/>
      <c r="J3" s="728"/>
      <c r="K3" s="729"/>
    </row>
    <row r="4" spans="1:11" s="559" customFormat="1" ht="41.25" customHeight="1">
      <c r="A4" s="740" t="s">
        <v>83</v>
      </c>
      <c r="B4" s="740" t="s">
        <v>234</v>
      </c>
      <c r="C4" s="740"/>
      <c r="D4" s="740"/>
      <c r="E4" s="740"/>
      <c r="F4" s="740" t="s">
        <v>235</v>
      </c>
      <c r="G4" s="740"/>
      <c r="H4" s="740"/>
      <c r="I4" s="517" t="s">
        <v>236</v>
      </c>
      <c r="J4" s="517" t="s">
        <v>237</v>
      </c>
      <c r="K4" s="517" t="s">
        <v>238</v>
      </c>
    </row>
    <row r="5" spans="1:11" s="559" customFormat="1" ht="14.25">
      <c r="A5" s="740"/>
      <c r="B5" s="740" t="s">
        <v>239</v>
      </c>
      <c r="C5" s="740"/>
      <c r="D5" s="740"/>
      <c r="E5" s="740"/>
      <c r="F5" s="740" t="s">
        <v>183</v>
      </c>
      <c r="G5" s="740"/>
      <c r="H5" s="740"/>
      <c r="I5" s="517" t="s">
        <v>200</v>
      </c>
      <c r="J5" s="517" t="s">
        <v>184</v>
      </c>
      <c r="K5" s="517" t="s">
        <v>185</v>
      </c>
    </row>
    <row r="6" spans="1:11" s="560" customFormat="1">
      <c r="A6" s="472">
        <v>1</v>
      </c>
      <c r="B6" s="735" t="s">
        <v>240</v>
      </c>
      <c r="C6" s="736"/>
      <c r="D6" s="736"/>
      <c r="E6" s="736"/>
      <c r="F6" s="736"/>
      <c r="G6" s="736"/>
      <c r="H6" s="736"/>
      <c r="I6" s="736"/>
      <c r="J6" s="736"/>
      <c r="K6" s="737"/>
    </row>
    <row r="7" spans="1:11" ht="24" customHeight="1">
      <c r="A7" s="741" t="s">
        <v>228</v>
      </c>
      <c r="B7" s="732" t="s">
        <v>241</v>
      </c>
      <c r="C7" s="743"/>
      <c r="D7" s="743"/>
      <c r="E7" s="744"/>
      <c r="F7" s="748" t="s">
        <v>242</v>
      </c>
      <c r="G7" s="749"/>
      <c r="H7" s="750"/>
      <c r="I7" s="730">
        <f>+'[9]Bank Capital Calc'!$C$50</f>
        <v>0.19025174201368983</v>
      </c>
      <c r="J7" s="473" t="s">
        <v>243</v>
      </c>
      <c r="K7" s="738" t="str">
        <f>IF(I7="",0-J8,(IF((I7-J8)&gt;0,"",I7-J8)))</f>
        <v/>
      </c>
    </row>
    <row r="8" spans="1:11">
      <c r="A8" s="742"/>
      <c r="B8" s="745"/>
      <c r="C8" s="746"/>
      <c r="D8" s="746"/>
      <c r="E8" s="747"/>
      <c r="F8" s="732" t="s">
        <v>244</v>
      </c>
      <c r="G8" s="733"/>
      <c r="H8" s="734"/>
      <c r="I8" s="731"/>
      <c r="J8" s="474">
        <v>0.13</v>
      </c>
      <c r="K8" s="739"/>
    </row>
    <row r="9" spans="1:11">
      <c r="A9" s="741" t="s">
        <v>230</v>
      </c>
      <c r="B9" s="732" t="s">
        <v>245</v>
      </c>
      <c r="C9" s="743"/>
      <c r="D9" s="743"/>
      <c r="E9" s="744"/>
      <c r="F9" s="752" t="s">
        <v>246</v>
      </c>
      <c r="G9" s="753"/>
      <c r="H9" s="754"/>
      <c r="I9" s="730">
        <f>+'[9]Bank Capital Calc'!$C$49</f>
        <v>0.16049009048241888</v>
      </c>
      <c r="J9" s="473" t="s">
        <v>243</v>
      </c>
      <c r="K9" s="738" t="str">
        <f>IF(I9="",0-J10,(IF((I9-J10)&gt;0,"",I9-J10)))</f>
        <v/>
      </c>
    </row>
    <row r="10" spans="1:11">
      <c r="A10" s="742"/>
      <c r="B10" s="758"/>
      <c r="C10" s="759"/>
      <c r="D10" s="759"/>
      <c r="E10" s="760"/>
      <c r="F10" s="765" t="s">
        <v>244</v>
      </c>
      <c r="G10" s="766"/>
      <c r="H10" s="767"/>
      <c r="I10" s="731"/>
      <c r="J10" s="474">
        <v>0.1</v>
      </c>
      <c r="K10" s="739"/>
    </row>
    <row r="11" spans="1:11">
      <c r="A11" s="741" t="s">
        <v>231</v>
      </c>
      <c r="B11" s="755" t="s">
        <v>610</v>
      </c>
      <c r="C11" s="756"/>
      <c r="D11" s="756"/>
      <c r="E11" s="757"/>
      <c r="F11" s="752" t="s">
        <v>611</v>
      </c>
      <c r="G11" s="753"/>
      <c r="H11" s="754"/>
      <c r="I11" s="730">
        <f>+'[9]Bank Capital Calc'!$C$48</f>
        <v>0.16020854345688204</v>
      </c>
      <c r="J11" s="473" t="s">
        <v>243</v>
      </c>
      <c r="K11" s="738" t="str">
        <f>IF(I11="",0-J12,(IF((I11-J12)&gt;0,"",I11-J12)))</f>
        <v/>
      </c>
    </row>
    <row r="12" spans="1:11" ht="24.75" customHeight="1">
      <c r="A12" s="742"/>
      <c r="B12" s="745"/>
      <c r="C12" s="746"/>
      <c r="D12" s="746"/>
      <c r="E12" s="747"/>
      <c r="F12" s="748" t="s">
        <v>244</v>
      </c>
      <c r="G12" s="749"/>
      <c r="H12" s="750"/>
      <c r="I12" s="731"/>
      <c r="J12" s="474">
        <v>0.08</v>
      </c>
      <c r="K12" s="739"/>
    </row>
    <row r="13" spans="1:11">
      <c r="A13" s="741" t="s">
        <v>233</v>
      </c>
      <c r="B13" s="755" t="s">
        <v>247</v>
      </c>
      <c r="C13" s="756"/>
      <c r="D13" s="756"/>
      <c r="E13" s="757"/>
      <c r="F13" s="762" t="s">
        <v>246</v>
      </c>
      <c r="G13" s="763"/>
      <c r="H13" s="764"/>
      <c r="I13" s="730">
        <f>+'[9]Bank Capital Calc'!$C$56</f>
        <v>0.14427315494122392</v>
      </c>
      <c r="J13" s="473" t="s">
        <v>243</v>
      </c>
      <c r="K13" s="738" t="str">
        <f>IF(I13="",0-J14,(IF((I13-J14)&gt;0,"",I13-J14)))</f>
        <v/>
      </c>
    </row>
    <row r="14" spans="1:11" ht="24.75" customHeight="1">
      <c r="A14" s="742"/>
      <c r="B14" s="745"/>
      <c r="C14" s="746"/>
      <c r="D14" s="746"/>
      <c r="E14" s="747"/>
      <c r="F14" s="748" t="s">
        <v>702</v>
      </c>
      <c r="G14" s="749"/>
      <c r="H14" s="750"/>
      <c r="I14" s="731"/>
      <c r="J14" s="474">
        <v>0.06</v>
      </c>
      <c r="K14" s="739"/>
    </row>
    <row r="15" spans="1:11" s="560" customFormat="1">
      <c r="A15" s="475">
        <v>2</v>
      </c>
      <c r="B15" s="761" t="s">
        <v>699</v>
      </c>
      <c r="C15" s="736"/>
      <c r="D15" s="736"/>
      <c r="E15" s="736"/>
      <c r="F15" s="736"/>
      <c r="G15" s="736"/>
      <c r="H15" s="736"/>
      <c r="I15" s="736"/>
      <c r="J15" s="736"/>
      <c r="K15" s="737"/>
    </row>
    <row r="16" spans="1:11" s="558" customFormat="1" ht="15.75" customHeight="1">
      <c r="A16" s="768" t="s">
        <v>248</v>
      </c>
      <c r="B16" s="772" t="s">
        <v>48</v>
      </c>
      <c r="C16" s="773"/>
      <c r="D16" s="773"/>
      <c r="E16" s="476" t="s">
        <v>152</v>
      </c>
      <c r="F16" s="778" t="s">
        <v>49</v>
      </c>
      <c r="G16" s="779"/>
      <c r="H16" s="780"/>
      <c r="I16" s="633">
        <f>IFERROR((+'[8]Liquidity Analysis'!$C$21),0)</f>
        <v>1.9137691676937976</v>
      </c>
      <c r="J16" s="723" t="s">
        <v>243</v>
      </c>
      <c r="K16" s="519" t="str">
        <f>IF(I16="",0-$J$18,(IF((I16-$J$18)&gt;0,"",I16-$J$18)))</f>
        <v/>
      </c>
    </row>
    <row r="17" spans="1:11" s="558" customFormat="1" ht="15.75" customHeight="1">
      <c r="A17" s="769"/>
      <c r="B17" s="774"/>
      <c r="C17" s="775"/>
      <c r="D17" s="775"/>
      <c r="E17" s="477" t="s">
        <v>306</v>
      </c>
      <c r="F17" s="781"/>
      <c r="G17" s="782"/>
      <c r="H17" s="783"/>
      <c r="I17" s="633">
        <f>IFERROR((+'[8]Liquidity Analysis'!$D$21),0)</f>
        <v>1.4845926497948265</v>
      </c>
      <c r="J17" s="724"/>
      <c r="K17" s="519" t="str">
        <f>IF(I17="",0-$J$18,(IF((I17-$J$18)&gt;0,"",I17-$J$18)))</f>
        <v/>
      </c>
    </row>
    <row r="18" spans="1:11" s="558" customFormat="1" ht="15.75" customHeight="1">
      <c r="A18" s="770"/>
      <c r="B18" s="776"/>
      <c r="C18" s="777"/>
      <c r="D18" s="777"/>
      <c r="E18" s="477" t="s">
        <v>205</v>
      </c>
      <c r="F18" s="771" t="s">
        <v>50</v>
      </c>
      <c r="G18" s="771"/>
      <c r="H18" s="771"/>
      <c r="I18" s="633">
        <f>IFERROR((+'[8]Liquidity Analysis'!$E$21),0)</f>
        <v>3.2242828353152291</v>
      </c>
      <c r="J18" s="478">
        <v>1</v>
      </c>
      <c r="K18" s="519" t="str">
        <f>IF(I18="",0-$J$18,(IF((I18-$J$18)&gt;0,"",I18-$J$18)))</f>
        <v/>
      </c>
    </row>
    <row r="19" spans="1:11" s="558" customFormat="1" ht="15" customHeight="1">
      <c r="A19" s="768" t="s">
        <v>55</v>
      </c>
      <c r="B19" s="772" t="s">
        <v>53</v>
      </c>
      <c r="C19" s="773"/>
      <c r="D19" s="773"/>
      <c r="E19" s="476" t="s">
        <v>152</v>
      </c>
      <c r="F19" s="808" t="s">
        <v>52</v>
      </c>
      <c r="G19" s="809"/>
      <c r="H19" s="810"/>
      <c r="I19" s="633">
        <f>IFERROR((+'[8]Liquidity Analysis'!$C$31),0)</f>
        <v>1.1363894860288646</v>
      </c>
      <c r="J19" s="723" t="s">
        <v>243</v>
      </c>
      <c r="K19" s="519" t="str">
        <f>IF(I19="",0-$J$21,(IF((I19-$J$21)&gt;0,"",I19-$J$21)))</f>
        <v/>
      </c>
    </row>
    <row r="20" spans="1:11" s="558" customFormat="1" ht="15" customHeight="1">
      <c r="A20" s="769"/>
      <c r="B20" s="774"/>
      <c r="C20" s="775"/>
      <c r="D20" s="775"/>
      <c r="E20" s="477" t="s">
        <v>306</v>
      </c>
      <c r="F20" s="811"/>
      <c r="G20" s="812"/>
      <c r="H20" s="813"/>
      <c r="I20" s="633">
        <f>IFERROR((+'[8]Liquidity Analysis'!$D$31),0)</f>
        <v>1.0846295222245432</v>
      </c>
      <c r="J20" s="724"/>
      <c r="K20" s="519" t="str">
        <f>IF(I20="",0-$J$21,(IF((I20-$J$21)&gt;0,"",I20-$J$21)))</f>
        <v/>
      </c>
    </row>
    <row r="21" spans="1:11" s="558" customFormat="1" ht="15" customHeight="1">
      <c r="A21" s="770"/>
      <c r="B21" s="776"/>
      <c r="C21" s="777"/>
      <c r="D21" s="777"/>
      <c r="E21" s="477" t="s">
        <v>205</v>
      </c>
      <c r="F21" s="807" t="s">
        <v>51</v>
      </c>
      <c r="G21" s="807"/>
      <c r="H21" s="807"/>
      <c r="I21" s="633">
        <f>IFERROR((+'[8]Liquidity Analysis'!$E$31),0)</f>
        <v>1.226607836650039</v>
      </c>
      <c r="J21" s="516">
        <v>1</v>
      </c>
      <c r="K21" s="519" t="str">
        <f>IF(I21="",0-$J$21,(IF((I21-$J$21)&gt;0,"",I21-$J$21)))</f>
        <v/>
      </c>
    </row>
    <row r="22" spans="1:11" s="560" customFormat="1">
      <c r="A22" s="475">
        <v>3</v>
      </c>
      <c r="B22" s="804" t="s">
        <v>249</v>
      </c>
      <c r="C22" s="805"/>
      <c r="D22" s="805"/>
      <c r="E22" s="805"/>
      <c r="F22" s="805"/>
      <c r="G22" s="805"/>
      <c r="H22" s="805"/>
      <c r="I22" s="805"/>
      <c r="J22" s="805"/>
      <c r="K22" s="806"/>
    </row>
    <row r="23" spans="1:11" ht="24">
      <c r="A23" s="741" t="s">
        <v>250</v>
      </c>
      <c r="B23" s="795" t="s">
        <v>869</v>
      </c>
      <c r="C23" s="796"/>
      <c r="D23" s="796"/>
      <c r="E23" s="797"/>
      <c r="F23" s="479" t="s">
        <v>612</v>
      </c>
      <c r="G23" s="480"/>
      <c r="H23" s="481"/>
      <c r="I23" s="801">
        <f>IFERROR(((+' Largest risk'!G8)/+'[9]Bank Capital Calc'!$C$33),0)</f>
        <v>0.24904623896191835</v>
      </c>
      <c r="J23" s="515" t="s">
        <v>251</v>
      </c>
      <c r="K23" s="790" t="str">
        <f>IF(I23="","",IF(I23&lt;0,"ОТР",IF((I23-J24)&lt;0,"",I23-J24)))</f>
        <v/>
      </c>
    </row>
    <row r="24" spans="1:11">
      <c r="A24" s="742"/>
      <c r="B24" s="798"/>
      <c r="C24" s="799"/>
      <c r="D24" s="799"/>
      <c r="E24" s="800"/>
      <c r="F24" s="792" t="s">
        <v>246</v>
      </c>
      <c r="G24" s="793"/>
      <c r="H24" s="794"/>
      <c r="I24" s="802"/>
      <c r="J24" s="478">
        <v>0.25</v>
      </c>
      <c r="K24" s="803"/>
    </row>
    <row r="25" spans="1:11" s="124" customFormat="1" ht="28.5" customHeight="1">
      <c r="A25" s="768" t="s">
        <v>252</v>
      </c>
      <c r="B25" s="829" t="s">
        <v>889</v>
      </c>
      <c r="C25" s="796"/>
      <c r="D25" s="796"/>
      <c r="E25" s="797"/>
      <c r="F25" s="479" t="s">
        <v>889</v>
      </c>
      <c r="G25" s="480"/>
      <c r="H25" s="481"/>
      <c r="I25" s="801">
        <f>IFERROR((' Largest risk'!L10/+'[9]Bank Capital Calc'!$C$33),0)</f>
        <v>0.12452311948095918</v>
      </c>
      <c r="J25" s="500" t="s">
        <v>251</v>
      </c>
      <c r="K25" s="738" t="str">
        <f>IF(I25&lt;0,"ОТР",IF((I25-J26)&lt;0,"",I25-J26))</f>
        <v/>
      </c>
    </row>
    <row r="26" spans="1:11" s="124" customFormat="1">
      <c r="A26" s="770"/>
      <c r="B26" s="787"/>
      <c r="C26" s="788"/>
      <c r="D26" s="788"/>
      <c r="E26" s="789"/>
      <c r="F26" s="792" t="s">
        <v>246</v>
      </c>
      <c r="G26" s="793"/>
      <c r="H26" s="794"/>
      <c r="I26" s="802"/>
      <c r="J26" s="499">
        <v>0.25</v>
      </c>
      <c r="K26" s="739"/>
    </row>
    <row r="27" spans="1:11" s="124" customFormat="1" ht="24">
      <c r="A27" s="768" t="s">
        <v>31</v>
      </c>
      <c r="B27" s="795" t="s">
        <v>613</v>
      </c>
      <c r="C27" s="796"/>
      <c r="D27" s="796"/>
      <c r="E27" s="797"/>
      <c r="F27" s="479" t="s">
        <v>613</v>
      </c>
      <c r="G27" s="480"/>
      <c r="H27" s="481"/>
      <c r="I27" s="801">
        <f>IFERROR(((0)/+'[9]Bank Capital Calc'!$C$33),0)</f>
        <v>0</v>
      </c>
      <c r="J27" s="500" t="s">
        <v>251</v>
      </c>
      <c r="K27" s="738" t="str">
        <f>IF(I27&lt;0,"ОТР",IF((I27-J28)&lt;0,"",I27-J28))</f>
        <v/>
      </c>
    </row>
    <row r="28" spans="1:11" s="124" customFormat="1">
      <c r="A28" s="770"/>
      <c r="B28" s="787"/>
      <c r="C28" s="788"/>
      <c r="D28" s="788"/>
      <c r="E28" s="789"/>
      <c r="F28" s="792" t="s">
        <v>246</v>
      </c>
      <c r="G28" s="793"/>
      <c r="H28" s="794"/>
      <c r="I28" s="802"/>
      <c r="J28" s="499">
        <v>0.05</v>
      </c>
      <c r="K28" s="739"/>
    </row>
    <row r="29" spans="1:11" s="124" customFormat="1" ht="14.25" customHeight="1">
      <c r="A29" s="768" t="s">
        <v>623</v>
      </c>
      <c r="B29" s="784" t="s">
        <v>614</v>
      </c>
      <c r="C29" s="785"/>
      <c r="D29" s="785"/>
      <c r="E29" s="786"/>
      <c r="F29" s="482" t="s">
        <v>615</v>
      </c>
      <c r="G29" s="483"/>
      <c r="H29" s="484"/>
      <c r="I29" s="790">
        <f>IFERROR((+' Largest risk'!G67/+'[9]Bank Capital Calc'!$C$33),0)</f>
        <v>0.81372199440742987</v>
      </c>
      <c r="J29" s="498" t="s">
        <v>251</v>
      </c>
      <c r="K29" s="738" t="str">
        <f>IF(I29="","",IF(I29&lt;0,"ОТР",IF((I29-J30)&lt;0,"",I29-J30)))</f>
        <v/>
      </c>
    </row>
    <row r="30" spans="1:11" s="124" customFormat="1">
      <c r="A30" s="770"/>
      <c r="B30" s="787"/>
      <c r="C30" s="788"/>
      <c r="D30" s="788"/>
      <c r="E30" s="789"/>
      <c r="F30" s="792" t="s">
        <v>246</v>
      </c>
      <c r="G30" s="793"/>
      <c r="H30" s="794"/>
      <c r="I30" s="791"/>
      <c r="J30" s="498">
        <v>8</v>
      </c>
      <c r="K30" s="739"/>
    </row>
    <row r="31" spans="1:11" s="561" customFormat="1">
      <c r="A31" s="461">
        <v>4</v>
      </c>
      <c r="B31" s="814" t="s">
        <v>253</v>
      </c>
      <c r="C31" s="815"/>
      <c r="D31" s="815"/>
      <c r="E31" s="815"/>
      <c r="F31" s="815"/>
      <c r="G31" s="815"/>
      <c r="H31" s="815"/>
      <c r="I31" s="815"/>
      <c r="J31" s="815"/>
      <c r="K31" s="816"/>
    </row>
    <row r="32" spans="1:11" s="124" customFormat="1">
      <c r="A32" s="768" t="s">
        <v>254</v>
      </c>
      <c r="B32" s="817" t="s">
        <v>255</v>
      </c>
      <c r="C32" s="818"/>
      <c r="D32" s="818"/>
      <c r="E32" s="819"/>
      <c r="F32" s="479" t="s">
        <v>256</v>
      </c>
      <c r="G32" s="480"/>
      <c r="H32" s="481"/>
      <c r="I32" s="801">
        <f>IFERROR((33000000/+'[9]Bank Capital Calc'!$C$33),0)</f>
        <v>2.6148034236980925E-2</v>
      </c>
      <c r="J32" s="500" t="s">
        <v>251</v>
      </c>
      <c r="K32" s="738" t="str">
        <f>IF(I32&lt;0,"ОТР",IF((I32-J33)&lt;0,"",I32-J33))</f>
        <v/>
      </c>
    </row>
    <row r="33" spans="1:11" s="124" customFormat="1">
      <c r="A33" s="770"/>
      <c r="B33" s="799"/>
      <c r="C33" s="799"/>
      <c r="D33" s="799"/>
      <c r="E33" s="800"/>
      <c r="F33" s="792" t="s">
        <v>246</v>
      </c>
      <c r="G33" s="793"/>
      <c r="H33" s="794"/>
      <c r="I33" s="802"/>
      <c r="J33" s="499">
        <v>0.15</v>
      </c>
      <c r="K33" s="739"/>
    </row>
    <row r="34" spans="1:11" s="124" customFormat="1" ht="24.75" customHeight="1">
      <c r="A34" s="768" t="s">
        <v>37</v>
      </c>
      <c r="B34" s="817" t="s">
        <v>257</v>
      </c>
      <c r="C34" s="818"/>
      <c r="D34" s="818"/>
      <c r="E34" s="819"/>
      <c r="F34" s="820" t="s">
        <v>258</v>
      </c>
      <c r="G34" s="826"/>
      <c r="H34" s="827"/>
      <c r="I34" s="790">
        <f>IFERROR((+('[8]Investment Securities'!$B$22+'[8]Investment Securities'!$B$23+'[8]Investment Securities'!$B$24+'[8]Investment Securities'!$B$25-'[8]Investment Securities'!$B$28)/+'[9]Bank Capital Calc'!$C$33),0)</f>
        <v>0</v>
      </c>
      <c r="J34" s="500" t="s">
        <v>251</v>
      </c>
      <c r="K34" s="738" t="str">
        <f>IF(I34="","",IF(I34&lt;0,"ОТР",IF((I34-J35)&lt;0,"",I34-J35)))</f>
        <v/>
      </c>
    </row>
    <row r="35" spans="1:11" s="124" customFormat="1">
      <c r="A35" s="770"/>
      <c r="B35" s="799"/>
      <c r="C35" s="799"/>
      <c r="D35" s="799"/>
      <c r="E35" s="800"/>
      <c r="F35" s="792" t="s">
        <v>246</v>
      </c>
      <c r="G35" s="793"/>
      <c r="H35" s="794"/>
      <c r="I35" s="828"/>
      <c r="J35" s="499">
        <v>0.25</v>
      </c>
      <c r="K35" s="739"/>
    </row>
    <row r="36" spans="1:11" s="124" customFormat="1" ht="36" customHeight="1">
      <c r="A36" s="768" t="s">
        <v>38</v>
      </c>
      <c r="B36" s="817" t="s">
        <v>259</v>
      </c>
      <c r="C36" s="818"/>
      <c r="D36" s="818"/>
      <c r="E36" s="819"/>
      <c r="F36" s="820" t="s">
        <v>260</v>
      </c>
      <c r="G36" s="826"/>
      <c r="H36" s="827"/>
      <c r="I36" s="790">
        <f>IFERROR((+(+'[8]Investment Securities'!$B$15-'[8]Investment Securities'!$B$6-'[8]Investment Securities'!$B$7+'[8]Investment Securities'!$B$22+'[8]Investment Securities'!$B$23+'[8]Investment Securities'!$B$24+'[8]Investment Securities'!$B$25-'[8]Investment Securities'!$B$28)/+'[9]Bank Capital Calc'!$C$33),0)</f>
        <v>3.25750372238265E-2</v>
      </c>
      <c r="J36" s="498" t="s">
        <v>251</v>
      </c>
      <c r="K36" s="738" t="str">
        <f>IF(I36="","",IF(I36&lt;0,"ОТР",IF((I36-J37)&lt;0,"",I36-J37)))</f>
        <v/>
      </c>
    </row>
    <row r="37" spans="1:11" s="124" customFormat="1">
      <c r="A37" s="770"/>
      <c r="B37" s="799"/>
      <c r="C37" s="799"/>
      <c r="D37" s="799"/>
      <c r="E37" s="800"/>
      <c r="F37" s="823" t="s">
        <v>246</v>
      </c>
      <c r="G37" s="824"/>
      <c r="H37" s="825"/>
      <c r="I37" s="791"/>
      <c r="J37" s="498">
        <v>0.5</v>
      </c>
      <c r="K37" s="739"/>
    </row>
    <row r="38" spans="1:11" s="561" customFormat="1">
      <c r="A38" s="461">
        <v>5</v>
      </c>
      <c r="B38" s="830" t="s">
        <v>261</v>
      </c>
      <c r="C38" s="831"/>
      <c r="D38" s="831"/>
      <c r="E38" s="831"/>
      <c r="F38" s="831"/>
      <c r="G38" s="831"/>
      <c r="H38" s="831"/>
      <c r="I38" s="831"/>
      <c r="J38" s="831"/>
      <c r="K38" s="832"/>
    </row>
    <row r="39" spans="1:11" s="124" customFormat="1" ht="23.25" customHeight="1">
      <c r="A39" s="768" t="s">
        <v>262</v>
      </c>
      <c r="B39" s="829" t="s">
        <v>704</v>
      </c>
      <c r="C39" s="818"/>
      <c r="D39" s="818"/>
      <c r="E39" s="819"/>
      <c r="F39" s="820" t="s">
        <v>617</v>
      </c>
      <c r="G39" s="821"/>
      <c r="H39" s="822"/>
      <c r="I39" s="801">
        <f>IFERROR(((+'Loans to Affiliated P.'!G7+'Loans to Affiliated P.'!G8)/+'[9]Bank Capital Calc'!$C$33),0)</f>
        <v>0.11869880649706514</v>
      </c>
      <c r="J39" s="500" t="s">
        <v>251</v>
      </c>
      <c r="K39" s="738" t="str">
        <f>IF(I39="","",IF(I39&lt;0,"ОТР",IF((I39-J40)&lt;0,"",I39-J40)))</f>
        <v/>
      </c>
    </row>
    <row r="40" spans="1:11" s="124" customFormat="1">
      <c r="A40" s="770"/>
      <c r="B40" s="798"/>
      <c r="C40" s="799"/>
      <c r="D40" s="799"/>
      <c r="E40" s="800"/>
      <c r="F40" s="792" t="s">
        <v>246</v>
      </c>
      <c r="G40" s="793"/>
      <c r="H40" s="794"/>
      <c r="I40" s="802"/>
      <c r="J40" s="499">
        <v>0.25</v>
      </c>
      <c r="K40" s="739"/>
    </row>
    <row r="41" spans="1:11" s="124" customFormat="1" ht="23.25" customHeight="1">
      <c r="A41" s="768" t="s">
        <v>885</v>
      </c>
      <c r="B41" s="833" t="s">
        <v>616</v>
      </c>
      <c r="C41" s="834"/>
      <c r="D41" s="834"/>
      <c r="E41" s="834"/>
      <c r="F41" s="835" t="s">
        <v>618</v>
      </c>
      <c r="G41" s="836"/>
      <c r="H41" s="837"/>
      <c r="I41" s="790">
        <f>IFERROR((+'Loans to Affiliated P.'!G69/+'[9]Bank Capital Calc'!$C$33),0)</f>
        <v>0.60722449540113843</v>
      </c>
      <c r="J41" s="498" t="s">
        <v>251</v>
      </c>
      <c r="K41" s="738" t="str">
        <f>IF(I41="","",IF(I41&lt;0,"ОТР",IF((I41-J42)&lt;0,"",I41-J42)))</f>
        <v/>
      </c>
    </row>
    <row r="42" spans="1:11" s="124" customFormat="1">
      <c r="A42" s="770"/>
      <c r="B42" s="834"/>
      <c r="C42" s="834"/>
      <c r="D42" s="834"/>
      <c r="E42" s="834"/>
      <c r="F42" s="792" t="s">
        <v>246</v>
      </c>
      <c r="G42" s="793"/>
      <c r="H42" s="794"/>
      <c r="I42" s="791"/>
      <c r="J42" s="499">
        <v>1</v>
      </c>
      <c r="K42" s="739"/>
    </row>
    <row r="43" spans="1:11" s="561" customFormat="1">
      <c r="A43" s="461">
        <v>6</v>
      </c>
      <c r="B43" s="830" t="s">
        <v>830</v>
      </c>
      <c r="C43" s="831"/>
      <c r="D43" s="831"/>
      <c r="E43" s="831"/>
      <c r="F43" s="831"/>
      <c r="G43" s="831"/>
      <c r="H43" s="831"/>
      <c r="I43" s="831"/>
      <c r="J43" s="831"/>
      <c r="K43" s="832"/>
    </row>
    <row r="44" spans="1:11" s="124" customFormat="1" ht="23.25" customHeight="1">
      <c r="A44" s="768" t="s">
        <v>831</v>
      </c>
      <c r="B44" s="829" t="s">
        <v>832</v>
      </c>
      <c r="C44" s="818"/>
      <c r="D44" s="818"/>
      <c r="E44" s="819"/>
      <c r="F44" s="820" t="s">
        <v>833</v>
      </c>
      <c r="G44" s="821"/>
      <c r="H44" s="822"/>
      <c r="I44" s="801">
        <f>IFERROR(((346491330)/+'[9]Bank Capital Calc'!$C$33),0)</f>
        <v>0.27454748968657744</v>
      </c>
      <c r="J44" s="498" t="s">
        <v>251</v>
      </c>
      <c r="K44" s="738" t="str">
        <f>IF(I44="","",IF(I44&lt;0,"ОТР",IF((I44-J45)&lt;0,"",I44-J45)))</f>
        <v/>
      </c>
    </row>
    <row r="45" spans="1:11" s="124" customFormat="1">
      <c r="A45" s="770"/>
      <c r="B45" s="787"/>
      <c r="C45" s="788"/>
      <c r="D45" s="788"/>
      <c r="E45" s="789"/>
      <c r="F45" s="792" t="s">
        <v>246</v>
      </c>
      <c r="G45" s="793"/>
      <c r="H45" s="794"/>
      <c r="I45" s="802"/>
      <c r="J45" s="499">
        <v>1</v>
      </c>
      <c r="K45" s="739"/>
    </row>
    <row r="46" spans="1:11" s="124" customFormat="1">
      <c r="A46" s="501"/>
      <c r="J46" s="501"/>
    </row>
    <row r="47" spans="1:11" s="124" customFormat="1">
      <c r="A47" s="501"/>
      <c r="D47" s="502" t="s">
        <v>0</v>
      </c>
      <c r="J47" s="501"/>
    </row>
    <row r="48" spans="1:11" s="124" customFormat="1">
      <c r="A48" s="501"/>
      <c r="D48" s="502"/>
      <c r="J48" s="501"/>
    </row>
    <row r="49" spans="1:10" s="124" customFormat="1">
      <c r="A49" s="501"/>
      <c r="D49" s="502" t="s">
        <v>1</v>
      </c>
      <c r="J49" s="501"/>
    </row>
  </sheetData>
  <sheetProtection algorithmName="SHA-512" hashValue="bC/htrwxzf2dc0LA9HrPcGYaRmoEN1HX20TmwnZTh1A8tBcwMlQOA827bXGo16KcPty29tQ8Dt/KiC9x073oQw==" saltValue="nd4N4wBGbcUOcrsLxzBiQQ==" spinCount="100000" sheet="1" objects="1" scenarios="1"/>
  <mergeCells count="108">
    <mergeCell ref="I25:I26"/>
    <mergeCell ref="K25:K26"/>
    <mergeCell ref="F26:H26"/>
    <mergeCell ref="B43:K43"/>
    <mergeCell ref="A44:A45"/>
    <mergeCell ref="B44:E45"/>
    <mergeCell ref="F44:H44"/>
    <mergeCell ref="I44:I45"/>
    <mergeCell ref="K44:K45"/>
    <mergeCell ref="F45:H45"/>
    <mergeCell ref="I36:I37"/>
    <mergeCell ref="A41:A42"/>
    <mergeCell ref="B41:E42"/>
    <mergeCell ref="F41:H41"/>
    <mergeCell ref="B38:K38"/>
    <mergeCell ref="A39:A40"/>
    <mergeCell ref="B39:E40"/>
    <mergeCell ref="I41:I42"/>
    <mergeCell ref="K41:K42"/>
    <mergeCell ref="F42:H42"/>
    <mergeCell ref="K39:K40"/>
    <mergeCell ref="B27:E28"/>
    <mergeCell ref="I27:I28"/>
    <mergeCell ref="B19:D21"/>
    <mergeCell ref="B31:E31"/>
    <mergeCell ref="F31:K31"/>
    <mergeCell ref="A36:A37"/>
    <mergeCell ref="B36:E37"/>
    <mergeCell ref="F39:H39"/>
    <mergeCell ref="I39:I40"/>
    <mergeCell ref="F40:H40"/>
    <mergeCell ref="K32:K33"/>
    <mergeCell ref="F33:H33"/>
    <mergeCell ref="A32:A33"/>
    <mergeCell ref="A34:A35"/>
    <mergeCell ref="B34:E35"/>
    <mergeCell ref="B32:E33"/>
    <mergeCell ref="I32:I33"/>
    <mergeCell ref="K34:K35"/>
    <mergeCell ref="F35:H35"/>
    <mergeCell ref="K36:K37"/>
    <mergeCell ref="F37:H37"/>
    <mergeCell ref="F36:H36"/>
    <mergeCell ref="I34:I35"/>
    <mergeCell ref="F34:H34"/>
    <mergeCell ref="A25:A26"/>
    <mergeCell ref="B25:E26"/>
    <mergeCell ref="A16:A18"/>
    <mergeCell ref="F18:H18"/>
    <mergeCell ref="K13:K14"/>
    <mergeCell ref="F14:H14"/>
    <mergeCell ref="B16:D18"/>
    <mergeCell ref="F16:H17"/>
    <mergeCell ref="A27:A28"/>
    <mergeCell ref="B29:E30"/>
    <mergeCell ref="I29:I30"/>
    <mergeCell ref="K29:K30"/>
    <mergeCell ref="F30:H30"/>
    <mergeCell ref="K27:K28"/>
    <mergeCell ref="F28:H28"/>
    <mergeCell ref="A19:A21"/>
    <mergeCell ref="A29:A30"/>
    <mergeCell ref="A23:A24"/>
    <mergeCell ref="B23:E24"/>
    <mergeCell ref="I23:I24"/>
    <mergeCell ref="K23:K24"/>
    <mergeCell ref="F24:H24"/>
    <mergeCell ref="B22:E22"/>
    <mergeCell ref="F22:K22"/>
    <mergeCell ref="F21:H21"/>
    <mergeCell ref="F19:H20"/>
    <mergeCell ref="B9:E10"/>
    <mergeCell ref="B15:E15"/>
    <mergeCell ref="F15:K15"/>
    <mergeCell ref="F13:H13"/>
    <mergeCell ref="I13:I14"/>
    <mergeCell ref="K9:K10"/>
    <mergeCell ref="F10:H10"/>
    <mergeCell ref="A11:A12"/>
    <mergeCell ref="B11:E12"/>
    <mergeCell ref="F11:H11"/>
    <mergeCell ref="I11:I12"/>
    <mergeCell ref="K11:K12"/>
    <mergeCell ref="F12:H12"/>
    <mergeCell ref="J16:J17"/>
    <mergeCell ref="J19:J20"/>
    <mergeCell ref="A1:H1"/>
    <mergeCell ref="I1:K1"/>
    <mergeCell ref="A3:K3"/>
    <mergeCell ref="I7:I8"/>
    <mergeCell ref="F8:H8"/>
    <mergeCell ref="B6:E6"/>
    <mergeCell ref="F6:K6"/>
    <mergeCell ref="K7:K8"/>
    <mergeCell ref="B4:E4"/>
    <mergeCell ref="F4:H4"/>
    <mergeCell ref="B5:E5"/>
    <mergeCell ref="F5:H5"/>
    <mergeCell ref="A7:A8"/>
    <mergeCell ref="B7:E8"/>
    <mergeCell ref="F7:H7"/>
    <mergeCell ref="B2:D2"/>
    <mergeCell ref="A4:A5"/>
    <mergeCell ref="F9:H9"/>
    <mergeCell ref="I9:I10"/>
    <mergeCell ref="A13:A14"/>
    <mergeCell ref="B13:E14"/>
    <mergeCell ref="A9:A10"/>
  </mergeCells>
  <phoneticPr fontId="17" type="noConversion"/>
  <dataValidations xWindow="806" yWindow="609" count="2">
    <dataValidation allowBlank="1" showErrorMessage="1" prompt="Это число может положительным или отрицательным. Вводите только десятичные числа до третего знака после точки. Например,10.7 % вводится как 0.107._x000a_" sqref="I44:I45 I39:I42 I16:I21 I29:I30 I7:I14 I34:I36" xr:uid="{00000000-0002-0000-0E00-000000000000}"/>
    <dataValidation allowBlank="1" showInputMessage="1" showErrorMessage="1" prompt="Это число может положительным или отрицательным. Вводите только десятичные числа до третего знака после точки. Например,10.7 % вводится как 0.107._x000a_" sqref="I32:I33 I23 I25:I28" xr:uid="{00000000-0002-0000-0E00-000001000000}"/>
  </dataValidations>
  <printOptions horizontalCentered="1" verticalCentered="1"/>
  <pageMargins left="0.16" right="0.18" top="0.22" bottom="0.15" header="0.51181102362204722" footer="0.51181102362204722"/>
  <pageSetup paperSize="9" scale="70" orientation="landscape" r:id="rId1"/>
  <headerFooter alignWithMargins="0"/>
  <colBreaks count="1" manualBreakCount="1">
    <brk id="11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Лист21">
    <pageSetUpPr fitToPage="1"/>
  </sheetPr>
  <dimension ref="A1:C30"/>
  <sheetViews>
    <sheetView view="pageBreakPreview" zoomScale="70" zoomScaleSheetLayoutView="70" workbookViewId="0">
      <pane xSplit="1" ySplit="2" topLeftCell="B3" activePane="bottomRight" state="frozen"/>
      <selection activeCell="M64" sqref="M64"/>
      <selection pane="topRight" activeCell="M64" sqref="M64"/>
      <selection pane="bottomLeft" activeCell="M64" sqref="M64"/>
      <selection pane="bottomRight" activeCell="K22" sqref="K22"/>
    </sheetView>
  </sheetViews>
  <sheetFormatPr defaultColWidth="9.140625" defaultRowHeight="12.75"/>
  <cols>
    <col min="1" max="1" width="6" style="1" customWidth="1"/>
    <col min="2" max="2" width="71.85546875" style="24" customWidth="1"/>
    <col min="3" max="3" width="19.28515625" style="1" customWidth="1"/>
    <col min="4" max="16384" width="9.140625" style="1"/>
  </cols>
  <sheetData>
    <row r="1" spans="1:3" s="21" customFormat="1" ht="39.75" customHeight="1">
      <c r="B1" s="68" t="s">
        <v>263</v>
      </c>
      <c r="C1" s="69" t="s">
        <v>690</v>
      </c>
    </row>
    <row r="2" spans="1:3" s="21" customFormat="1" ht="35.25" customHeight="1">
      <c r="A2" s="488"/>
      <c r="B2" s="488" t="str">
        <f>+'Asset quality'!B3</f>
        <v>АК "Алокабанк"</v>
      </c>
      <c r="C2" s="267" t="s">
        <v>408</v>
      </c>
    </row>
    <row r="3" spans="1:3" s="21" customFormat="1" ht="32.25" customHeight="1">
      <c r="A3" s="60" t="s">
        <v>598</v>
      </c>
      <c r="B3" s="82" t="s">
        <v>609</v>
      </c>
      <c r="C3" s="80"/>
    </row>
    <row r="4" spans="1:3" s="81" customFormat="1" ht="30" customHeight="1">
      <c r="A4" s="79" t="s">
        <v>68</v>
      </c>
      <c r="B4" s="84" t="s">
        <v>599</v>
      </c>
      <c r="C4" s="80">
        <v>1352</v>
      </c>
    </row>
    <row r="5" spans="1:3" s="81" customFormat="1" ht="30" customHeight="1">
      <c r="A5" s="79" t="s">
        <v>64</v>
      </c>
      <c r="B5" s="84" t="s">
        <v>600</v>
      </c>
      <c r="C5" s="80">
        <v>1328</v>
      </c>
    </row>
    <row r="6" spans="1:3" s="21" customFormat="1" ht="32.25" customHeight="1">
      <c r="A6" s="60" t="s">
        <v>505</v>
      </c>
      <c r="B6" s="82" t="s">
        <v>607</v>
      </c>
      <c r="C6" s="80">
        <f>+C8+C9+C10+C11</f>
        <v>226</v>
      </c>
    </row>
    <row r="7" spans="1:3" s="21" customFormat="1">
      <c r="A7" s="60"/>
      <c r="B7" s="83" t="s">
        <v>608</v>
      </c>
      <c r="C7" s="78"/>
    </row>
    <row r="8" spans="1:3" s="81" customFormat="1" ht="30" customHeight="1">
      <c r="A8" s="79" t="s">
        <v>68</v>
      </c>
      <c r="B8" s="84" t="s">
        <v>601</v>
      </c>
      <c r="C8" s="80">
        <v>14</v>
      </c>
    </row>
    <row r="9" spans="1:3" s="81" customFormat="1" ht="30" customHeight="1">
      <c r="A9" s="79" t="s">
        <v>64</v>
      </c>
      <c r="B9" s="84" t="s">
        <v>602</v>
      </c>
      <c r="C9" s="80">
        <v>0</v>
      </c>
    </row>
    <row r="10" spans="1:3" s="81" customFormat="1" ht="30" customHeight="1">
      <c r="A10" s="79" t="s">
        <v>66</v>
      </c>
      <c r="B10" s="84" t="s">
        <v>705</v>
      </c>
      <c r="C10" s="80">
        <v>136</v>
      </c>
    </row>
    <row r="11" spans="1:3" s="494" customFormat="1" ht="30" customHeight="1">
      <c r="A11" s="491" t="s">
        <v>73</v>
      </c>
      <c r="B11" s="492" t="s">
        <v>834</v>
      </c>
      <c r="C11" s="493">
        <v>76</v>
      </c>
    </row>
    <row r="12" spans="1:3" s="90" customFormat="1" ht="30" customHeight="1">
      <c r="A12" s="495" t="s">
        <v>506</v>
      </c>
      <c r="B12" s="496" t="s">
        <v>603</v>
      </c>
      <c r="C12" s="80">
        <f>C14+C15+C16</f>
        <v>761205</v>
      </c>
    </row>
    <row r="13" spans="1:3" s="90" customFormat="1">
      <c r="A13" s="495"/>
      <c r="B13" s="496" t="s">
        <v>608</v>
      </c>
      <c r="C13" s="497"/>
    </row>
    <row r="14" spans="1:3" s="494" customFormat="1" ht="30" customHeight="1">
      <c r="A14" s="491" t="s">
        <v>68</v>
      </c>
      <c r="B14" s="492" t="s">
        <v>164</v>
      </c>
      <c r="C14" s="493">
        <v>732507</v>
      </c>
    </row>
    <row r="15" spans="1:3" s="494" customFormat="1" ht="30" customHeight="1">
      <c r="A15" s="491" t="s">
        <v>64</v>
      </c>
      <c r="B15" s="492" t="s">
        <v>888</v>
      </c>
      <c r="C15" s="493">
        <v>11226</v>
      </c>
    </row>
    <row r="16" spans="1:3" s="494" customFormat="1" ht="30" customHeight="1">
      <c r="A16" s="491" t="s">
        <v>66</v>
      </c>
      <c r="B16" s="492" t="s">
        <v>812</v>
      </c>
      <c r="C16" s="493">
        <f>C18+C19+C20+C21+C22</f>
        <v>17472</v>
      </c>
    </row>
    <row r="17" spans="1:3" s="494" customFormat="1">
      <c r="A17" s="491"/>
      <c r="B17" s="492" t="s">
        <v>835</v>
      </c>
      <c r="C17" s="493"/>
    </row>
    <row r="18" spans="1:3" s="494" customFormat="1" ht="30" customHeight="1">
      <c r="A18" s="491" t="s">
        <v>887</v>
      </c>
      <c r="B18" s="492" t="s">
        <v>165</v>
      </c>
      <c r="C18" s="493">
        <v>289</v>
      </c>
    </row>
    <row r="19" spans="1:3" s="494" customFormat="1" ht="29.25" customHeight="1">
      <c r="A19" s="491" t="s">
        <v>887</v>
      </c>
      <c r="B19" s="492" t="s">
        <v>167</v>
      </c>
      <c r="C19" s="493">
        <v>14377</v>
      </c>
    </row>
    <row r="20" spans="1:3" s="494" customFormat="1" ht="30" customHeight="1">
      <c r="A20" s="491" t="s">
        <v>887</v>
      </c>
      <c r="B20" s="492" t="s">
        <v>168</v>
      </c>
      <c r="C20" s="493">
        <v>2109</v>
      </c>
    </row>
    <row r="21" spans="1:3" s="494" customFormat="1" ht="30" customHeight="1">
      <c r="A21" s="491" t="s">
        <v>887</v>
      </c>
      <c r="B21" s="492" t="s">
        <v>163</v>
      </c>
      <c r="C21" s="493">
        <v>19</v>
      </c>
    </row>
    <row r="22" spans="1:3" s="494" customFormat="1" ht="30" customHeight="1">
      <c r="A22" s="491" t="s">
        <v>887</v>
      </c>
      <c r="B22" s="492" t="s">
        <v>172</v>
      </c>
      <c r="C22" s="493">
        <v>678</v>
      </c>
    </row>
    <row r="23" spans="1:3" s="21" customFormat="1" ht="32.25" customHeight="1">
      <c r="A23" s="60" t="s">
        <v>507</v>
      </c>
      <c r="B23" s="82" t="s">
        <v>604</v>
      </c>
      <c r="C23" s="636"/>
    </row>
    <row r="24" spans="1:3" s="494" customFormat="1" ht="30" customHeight="1">
      <c r="A24" s="491" t="s">
        <v>68</v>
      </c>
      <c r="B24" s="492" t="s">
        <v>605</v>
      </c>
      <c r="C24" s="80" t="s">
        <v>979</v>
      </c>
    </row>
    <row r="25" spans="1:3" s="494" customFormat="1" ht="30" customHeight="1">
      <c r="A25" s="491" t="s">
        <v>64</v>
      </c>
      <c r="B25" s="492" t="s">
        <v>606</v>
      </c>
      <c r="C25" s="80" t="s">
        <v>980</v>
      </c>
    </row>
    <row r="26" spans="1:3" s="21" customFormat="1" ht="12" customHeight="1">
      <c r="B26" s="41"/>
    </row>
    <row r="27" spans="1:3" s="21" customFormat="1">
      <c r="B27" s="41"/>
    </row>
    <row r="28" spans="1:3">
      <c r="A28" s="21"/>
      <c r="B28" s="5" t="s">
        <v>0</v>
      </c>
    </row>
    <row r="29" spans="1:3">
      <c r="A29" s="21"/>
      <c r="B29" s="5"/>
    </row>
    <row r="30" spans="1:3">
      <c r="A30" s="21"/>
      <c r="B30" s="5" t="s">
        <v>1</v>
      </c>
    </row>
  </sheetData>
  <sheetProtection password="CACA" sheet="1" objects="1" scenarios="1"/>
  <phoneticPr fontId="17" type="noConversion"/>
  <dataValidations count="1">
    <dataValidation type="whole" operator="greaterThanOrEqual" allowBlank="1" showErrorMessage="1" error="Введите как целое положительное число." sqref="C8 C4:C5" xr:uid="{00000000-0002-0000-0F00-000000000000}">
      <formula1>0</formula1>
    </dataValidation>
  </dataValidations>
  <printOptions horizontalCentered="1"/>
  <pageMargins left="0.15748031496062992" right="0.23622047244094491" top="0.71" bottom="0.61" header="0.28000000000000003" footer="0.51181102362204722"/>
  <pageSetup paperSize="9" scale="98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Лист31">
    <pageSetUpPr fitToPage="1"/>
  </sheetPr>
  <dimension ref="A1:AF54"/>
  <sheetViews>
    <sheetView view="pageBreakPreview" zoomScale="70" zoomScaleNormal="40" zoomScaleSheetLayoutView="70" workbookViewId="0">
      <pane xSplit="1" ySplit="3" topLeftCell="B25" activePane="bottomRight" state="frozen"/>
      <selection activeCell="M64" sqref="M64"/>
      <selection pane="topRight" activeCell="M64" sqref="M64"/>
      <selection pane="bottomLeft" activeCell="M64" sqref="M64"/>
      <selection pane="bottomRight" activeCell="M24" sqref="M24"/>
    </sheetView>
  </sheetViews>
  <sheetFormatPr defaultColWidth="97.7109375" defaultRowHeight="18.75"/>
  <cols>
    <col min="1" max="1" width="103.140625" style="449" customWidth="1"/>
    <col min="2" max="2" width="25.140625" style="450" customWidth="1"/>
    <col min="3" max="4" width="14.7109375" style="443" customWidth="1"/>
    <col min="5" max="5" width="8.5703125" style="450" bestFit="1" customWidth="1"/>
    <col min="6" max="6" width="9.7109375" style="450" customWidth="1"/>
    <col min="7" max="9" width="9.7109375" style="443" customWidth="1"/>
    <col min="10" max="10" width="15" style="443" customWidth="1"/>
    <col min="11" max="11" width="10.140625" style="450" customWidth="1"/>
    <col min="12" max="13" width="19.5703125" style="443" customWidth="1"/>
    <col min="14" max="14" width="3.85546875" style="443" bestFit="1" customWidth="1"/>
    <col min="15" max="16" width="19.5703125" style="443" customWidth="1"/>
    <col min="17" max="16384" width="97.7109375" style="443"/>
  </cols>
  <sheetData>
    <row r="1" spans="1:16" s="451" customFormat="1" ht="33.75" customHeight="1">
      <c r="A1" s="838" t="s">
        <v>836</v>
      </c>
      <c r="B1" s="838"/>
    </row>
    <row r="2" spans="1:16" ht="20.25" customHeight="1">
      <c r="A2" s="490" t="str">
        <f>+'Asset quality'!B3</f>
        <v>АК "Алокабанк"</v>
      </c>
      <c r="B2" s="424" t="s">
        <v>408</v>
      </c>
      <c r="C2" s="453" t="s">
        <v>871</v>
      </c>
      <c r="D2" s="460"/>
      <c r="E2" s="462"/>
      <c r="F2" s="462"/>
      <c r="K2" s="443"/>
      <c r="M2" s="444"/>
    </row>
    <row r="3" spans="1:16" s="445" customFormat="1" ht="59.25" customHeight="1">
      <c r="A3" s="488" t="s">
        <v>837</v>
      </c>
      <c r="B3" s="489">
        <f>+'Asset quality'!P3</f>
        <v>44196</v>
      </c>
      <c r="C3" s="485"/>
      <c r="D3" s="460"/>
      <c r="E3" s="462"/>
      <c r="F3" s="462"/>
      <c r="K3" s="453" t="s">
        <v>871</v>
      </c>
      <c r="L3" s="455" t="s">
        <v>866</v>
      </c>
      <c r="M3" s="453" t="s">
        <v>867</v>
      </c>
      <c r="N3" s="462"/>
      <c r="O3" s="454" t="s">
        <v>851</v>
      </c>
      <c r="P3" s="456" t="s">
        <v>853</v>
      </c>
    </row>
    <row r="4" spans="1:16" ht="24" customHeight="1">
      <c r="A4" s="446" t="s">
        <v>838</v>
      </c>
      <c r="B4" s="619">
        <f>IFERROR((B5/B6),0)</f>
        <v>0.19387484692567813</v>
      </c>
      <c r="D4" s="460"/>
      <c r="E4" s="635"/>
      <c r="F4" s="635"/>
      <c r="J4" s="467" t="s">
        <v>872</v>
      </c>
      <c r="K4" s="468">
        <v>1</v>
      </c>
      <c r="L4" s="563">
        <v>7341732732</v>
      </c>
      <c r="M4" s="563">
        <v>1396370695</v>
      </c>
      <c r="N4" s="462"/>
      <c r="O4" s="445"/>
      <c r="P4" s="445"/>
    </row>
    <row r="5" spans="1:16" ht="24" customHeight="1">
      <c r="A5" s="447" t="s">
        <v>839</v>
      </c>
      <c r="B5" s="620">
        <f>+'[10]Bank Capital Calc'!$C$43</f>
        <v>1423921361</v>
      </c>
      <c r="D5" s="460"/>
      <c r="E5" s="635"/>
      <c r="F5" s="635"/>
      <c r="J5" s="467" t="s">
        <v>873</v>
      </c>
      <c r="K5" s="468">
        <v>2</v>
      </c>
      <c r="L5" s="563">
        <v>7120715993</v>
      </c>
      <c r="M5" s="563">
        <v>1421110100</v>
      </c>
      <c r="N5" s="463">
        <v>1</v>
      </c>
      <c r="O5" s="464">
        <f>+(L4+L5)/2</f>
        <v>7231224362.5</v>
      </c>
      <c r="P5" s="464">
        <f>+(M4+M5)/2</f>
        <v>1408740397.5</v>
      </c>
    </row>
    <row r="6" spans="1:16" ht="24" customHeight="1">
      <c r="A6" s="448" t="s">
        <v>840</v>
      </c>
      <c r="B6" s="621">
        <f>+'[10]Bank Capital Calc'!$C$44</f>
        <v>7344538931.0654612</v>
      </c>
      <c r="D6" s="460"/>
      <c r="E6" s="635"/>
      <c r="F6" s="635"/>
      <c r="J6" s="467" t="s">
        <v>874</v>
      </c>
      <c r="K6" s="468">
        <v>3</v>
      </c>
      <c r="L6" s="563">
        <v>7136809831</v>
      </c>
      <c r="M6" s="563">
        <v>1439417017</v>
      </c>
      <c r="N6" s="463">
        <v>2</v>
      </c>
      <c r="O6" s="464">
        <f>+(L4+L5+L6)/3</f>
        <v>7199752852</v>
      </c>
      <c r="P6" s="464">
        <f>+(M4+M5+M6)/3</f>
        <v>1418965937.3333333</v>
      </c>
    </row>
    <row r="7" spans="1:16" ht="24" customHeight="1">
      <c r="A7" s="446" t="s">
        <v>841</v>
      </c>
      <c r="B7" s="619">
        <f>IFERROR((B8/B9),0)</f>
        <v>0.17953184486813195</v>
      </c>
      <c r="D7" s="460"/>
      <c r="E7" s="635"/>
      <c r="F7" s="635"/>
      <c r="J7" s="467" t="s">
        <v>875</v>
      </c>
      <c r="K7" s="468">
        <v>4</v>
      </c>
      <c r="L7" s="563">
        <v>7256386817</v>
      </c>
      <c r="M7" s="563">
        <v>1447376099</v>
      </c>
      <c r="N7" s="463">
        <v>3</v>
      </c>
      <c r="O7" s="465">
        <f>+(L4+L7)/2</f>
        <v>7299059774.5</v>
      </c>
      <c r="P7" s="465">
        <f>+(M4+M7)/2</f>
        <v>1421873397</v>
      </c>
    </row>
    <row r="8" spans="1:16" ht="24" customHeight="1">
      <c r="A8" s="447" t="s">
        <v>842</v>
      </c>
      <c r="B8" s="620">
        <f>+'[10]Bank Capital Calc'!$C$33</f>
        <v>1318578624</v>
      </c>
      <c r="D8" s="460"/>
      <c r="E8" s="635"/>
      <c r="F8" s="635"/>
      <c r="J8" s="467" t="s">
        <v>876</v>
      </c>
      <c r="K8" s="468">
        <v>5</v>
      </c>
      <c r="L8" s="563">
        <v>7463956451</v>
      </c>
      <c r="M8" s="563">
        <v>1451780246</v>
      </c>
      <c r="N8" s="463">
        <v>4</v>
      </c>
      <c r="O8" s="464">
        <f>+(+L4+L5+L6+L7+L8)/5</f>
        <v>7263920364.8000002</v>
      </c>
      <c r="P8" s="464">
        <f>+(+M4+M5+M6+M7+M8)/5</f>
        <v>1431210831.4000001</v>
      </c>
    </row>
    <row r="9" spans="1:16" ht="24" customHeight="1">
      <c r="A9" s="448" t="s">
        <v>840</v>
      </c>
      <c r="B9" s="621">
        <f>+'[10]Bank Capital Calc'!$C$44</f>
        <v>7344538931.0654612</v>
      </c>
      <c r="D9" s="460"/>
      <c r="E9" s="635"/>
      <c r="F9" s="635"/>
      <c r="J9" s="467" t="s">
        <v>877</v>
      </c>
      <c r="K9" s="468">
        <v>6</v>
      </c>
      <c r="L9" s="563">
        <v>7455535974</v>
      </c>
      <c r="M9" s="563">
        <v>1447558325</v>
      </c>
      <c r="N9" s="463">
        <v>5</v>
      </c>
      <c r="O9" s="464">
        <f>+(+L4+L5+L6+L7+L8+L9)/6</f>
        <v>7295856299.666667</v>
      </c>
      <c r="P9" s="464">
        <f>+(+M4+M5+M6+M7+M8+M9)/6</f>
        <v>1433935413.6666667</v>
      </c>
    </row>
    <row r="10" spans="1:16" ht="24" customHeight="1">
      <c r="A10" s="446" t="s">
        <v>843</v>
      </c>
      <c r="B10" s="619">
        <f>IFERROR((B11/B12),0)</f>
        <v>2.6739969925417013E-3</v>
      </c>
      <c r="D10" s="460"/>
      <c r="E10" s="635"/>
      <c r="F10" s="635"/>
      <c r="J10" s="467" t="s">
        <v>878</v>
      </c>
      <c r="K10" s="468">
        <v>7</v>
      </c>
      <c r="L10" s="563">
        <v>7525975866</v>
      </c>
      <c r="M10" s="563">
        <v>1460947503</v>
      </c>
      <c r="N10" s="463">
        <v>6</v>
      </c>
      <c r="O10" s="465">
        <f>+(L4+L7+L10)/3</f>
        <v>7374698471.666667</v>
      </c>
      <c r="P10" s="465">
        <f>+(M4+M7+M10)/3</f>
        <v>1434898099</v>
      </c>
    </row>
    <row r="11" spans="1:16" ht="24" customHeight="1">
      <c r="A11" s="447" t="s">
        <v>844</v>
      </c>
      <c r="B11" s="620">
        <f>+('Asset Classification'!M50-'Asset Classification'!O50+'Asset Classification'!Q50-'Asset Classification'!S50+'Asset Classification'!U50-'Asset Classification'!W50)</f>
        <v>4194244</v>
      </c>
      <c r="D11" s="460"/>
      <c r="E11" s="635"/>
      <c r="F11" s="635"/>
      <c r="J11" s="467" t="s">
        <v>879</v>
      </c>
      <c r="K11" s="468">
        <v>8</v>
      </c>
      <c r="L11" s="563">
        <v>7798467447</v>
      </c>
      <c r="M11" s="563">
        <v>1465925407</v>
      </c>
      <c r="N11" s="463">
        <v>7</v>
      </c>
      <c r="O11" s="464">
        <f>(L4+L5+L6+L7+L8+L9+L10+L11)/8</f>
        <v>7387447638.875</v>
      </c>
      <c r="P11" s="464">
        <f>(M4+M5+M6+M7+M8+M9+M10+M11)/8</f>
        <v>1441310674</v>
      </c>
    </row>
    <row r="12" spans="1:16" ht="24" customHeight="1">
      <c r="A12" s="448" t="s">
        <v>845</v>
      </c>
      <c r="B12" s="621">
        <f>+B35</f>
        <v>1568529812</v>
      </c>
      <c r="D12" s="460"/>
      <c r="E12" s="635"/>
      <c r="F12" s="635"/>
      <c r="J12" s="467" t="s">
        <v>880</v>
      </c>
      <c r="K12" s="468">
        <v>9</v>
      </c>
      <c r="L12" s="563">
        <v>7897871930</v>
      </c>
      <c r="M12" s="563">
        <v>1482330874</v>
      </c>
      <c r="N12" s="463">
        <v>8</v>
      </c>
      <c r="O12" s="464">
        <f>(L4+L5+L6+L7+L8+L9+L10+L11+L12)/9</f>
        <v>7444161449</v>
      </c>
      <c r="P12" s="464">
        <f>(M4+M5+M6+M7+M8+M9+M10+M11+M12)/9</f>
        <v>1445868474</v>
      </c>
    </row>
    <row r="13" spans="1:16" ht="24" customHeight="1">
      <c r="A13" s="446" t="s">
        <v>846</v>
      </c>
      <c r="B13" s="619">
        <f>IFERROR((B14/B15),0)</f>
        <v>1.1184151174813718E-3</v>
      </c>
      <c r="E13" s="443"/>
      <c r="F13" s="443"/>
      <c r="J13" s="467" t="s">
        <v>881</v>
      </c>
      <c r="K13" s="468">
        <v>10</v>
      </c>
      <c r="L13" s="563">
        <v>8056867400</v>
      </c>
      <c r="M13" s="563">
        <v>1499005420</v>
      </c>
      <c r="N13" s="463">
        <v>9</v>
      </c>
      <c r="O13" s="465">
        <f>+(L4+L7+L10+L13)/4</f>
        <v>7545240703.75</v>
      </c>
      <c r="P13" s="465">
        <f>+(M4+M7+M10+M13)/4</f>
        <v>1450924929.25</v>
      </c>
    </row>
    <row r="14" spans="1:16" ht="24" customHeight="1">
      <c r="A14" s="447" t="s">
        <v>847</v>
      </c>
      <c r="B14" s="620">
        <f>+('Asset Classification'!M50+'Asset Classification'!Q50+'Asset Classification'!U50)</f>
        <v>6381606</v>
      </c>
      <c r="E14" s="443"/>
      <c r="F14" s="443"/>
      <c r="J14" s="467" t="s">
        <v>882</v>
      </c>
      <c r="K14" s="468">
        <v>11</v>
      </c>
      <c r="L14" s="563">
        <v>8168827942</v>
      </c>
      <c r="M14" s="563">
        <v>1531843962</v>
      </c>
      <c r="N14" s="463">
        <v>10</v>
      </c>
      <c r="O14" s="464">
        <f>(+L4+L5+L6+L7+L8+L9+L10+L11+L12+L13+L14)/11</f>
        <v>7565740762.090909</v>
      </c>
      <c r="P14" s="464">
        <f>(+M4+M5+M6+M7+M8+M9+M10+M11+M12+M13+M14)/11</f>
        <v>1458515058.909091</v>
      </c>
    </row>
    <row r="15" spans="1:16" ht="24" customHeight="1">
      <c r="A15" s="448" t="s">
        <v>848</v>
      </c>
      <c r="B15" s="621">
        <f>+'Loans Receivable'!C92</f>
        <v>5705936821</v>
      </c>
      <c r="E15" s="443"/>
      <c r="F15" s="443"/>
      <c r="J15" s="467" t="s">
        <v>883</v>
      </c>
      <c r="K15" s="468">
        <v>12</v>
      </c>
      <c r="L15" s="563">
        <v>8343264184</v>
      </c>
      <c r="M15" s="563">
        <v>1547647721</v>
      </c>
      <c r="N15" s="463">
        <v>11</v>
      </c>
      <c r="O15" s="464">
        <f>(+L4+L5+L6+L7+L8+L9+L10+L11+L12+L13+L14+L15)/12</f>
        <v>7630534380.583333</v>
      </c>
      <c r="P15" s="464">
        <f>(+M4+M5+M6+M7+M8+M9+M10+M11+M12+M13+M14+M15)/12</f>
        <v>1465942780.75</v>
      </c>
    </row>
    <row r="16" spans="1:16" ht="24" customHeight="1">
      <c r="A16" s="446" t="s">
        <v>849</v>
      </c>
      <c r="B16" s="619">
        <f>IFERROR((B17/B18),0)</f>
        <v>2.7773303643054865E-2</v>
      </c>
      <c r="E16" s="443"/>
      <c r="F16" s="443"/>
      <c r="J16" s="467" t="s">
        <v>884</v>
      </c>
      <c r="K16" s="468">
        <v>13</v>
      </c>
      <c r="L16" s="563">
        <v>8108166331</v>
      </c>
      <c r="M16" s="563">
        <v>1568529812</v>
      </c>
      <c r="N16" s="463">
        <v>12</v>
      </c>
      <c r="O16" s="465">
        <f>+(L4+L7+L10+L13+L16)/5</f>
        <v>7657825829.1999998</v>
      </c>
      <c r="P16" s="465">
        <f>+(M4+M7+M10+M13+M16)/5</f>
        <v>1474445905.8</v>
      </c>
    </row>
    <row r="17" spans="1:11" ht="24" customHeight="1">
      <c r="A17" s="447" t="s">
        <v>850</v>
      </c>
      <c r="B17" s="620">
        <f>(+'Income '!C69)/MONTH(B3)*12</f>
        <v>212683122</v>
      </c>
      <c r="C17" s="622"/>
      <c r="E17" s="443"/>
      <c r="F17" s="443"/>
      <c r="K17" s="443"/>
    </row>
    <row r="18" spans="1:11" ht="24" customHeight="1">
      <c r="A18" s="448" t="s">
        <v>851</v>
      </c>
      <c r="B18" s="621">
        <f>VLOOKUP(MONTH(B3),$N$4:$P$16,2,0)</f>
        <v>7657825829.1999998</v>
      </c>
      <c r="E18" s="443"/>
      <c r="F18" s="443"/>
      <c r="K18" s="443"/>
    </row>
    <row r="19" spans="1:11" ht="24" customHeight="1">
      <c r="A19" s="446" t="s">
        <v>852</v>
      </c>
      <c r="B19" s="619">
        <f>IFERROR((B20/B21),0)</f>
        <v>0.11529754962950775</v>
      </c>
      <c r="E19" s="443"/>
      <c r="F19" s="443"/>
      <c r="K19" s="443"/>
    </row>
    <row r="20" spans="1:11" ht="24" customHeight="1">
      <c r="A20" s="447" t="s">
        <v>891</v>
      </c>
      <c r="B20" s="620">
        <f>(+'Income '!C76)/MONTH(B3)*12</f>
        <v>170000000</v>
      </c>
      <c r="E20" s="443"/>
      <c r="F20" s="443"/>
      <c r="K20" s="443"/>
    </row>
    <row r="21" spans="1:11" ht="24" customHeight="1">
      <c r="A21" s="448" t="s">
        <v>853</v>
      </c>
      <c r="B21" s="621">
        <f>VLOOKUP(MONTH(B3),$N$4:$P$16,3,0)</f>
        <v>1474445905.8</v>
      </c>
      <c r="E21" s="443"/>
      <c r="F21" s="443"/>
      <c r="K21" s="443"/>
    </row>
    <row r="22" spans="1:11" ht="24" customHeight="1">
      <c r="A22" s="446" t="s">
        <v>854</v>
      </c>
      <c r="B22" s="619">
        <f>IFERROR((B23/B24),0)</f>
        <v>0.5545025194444666</v>
      </c>
      <c r="E22" s="443"/>
      <c r="F22" s="443"/>
      <c r="K22" s="443"/>
    </row>
    <row r="23" spans="1:11" ht="24" customHeight="1">
      <c r="A23" s="447" t="s">
        <v>855</v>
      </c>
      <c r="B23" s="620">
        <f>+'Income '!C30</f>
        <v>366536005</v>
      </c>
      <c r="E23" s="443"/>
      <c r="F23" s="443"/>
      <c r="K23" s="443"/>
    </row>
    <row r="24" spans="1:11" ht="24" customHeight="1">
      <c r="A24" s="448" t="s">
        <v>856</v>
      </c>
      <c r="B24" s="621">
        <f>+B27</f>
        <v>661017745</v>
      </c>
      <c r="E24" s="443"/>
      <c r="F24" s="443"/>
      <c r="K24" s="443"/>
    </row>
    <row r="25" spans="1:11" ht="24" customHeight="1">
      <c r="A25" s="446" t="s">
        <v>857</v>
      </c>
      <c r="B25" s="619">
        <f>IFERROR((B26/B27),0)</f>
        <v>0.65739180723506896</v>
      </c>
      <c r="E25" s="443"/>
      <c r="F25" s="443"/>
      <c r="K25" s="443"/>
    </row>
    <row r="26" spans="1:11" ht="24" customHeight="1">
      <c r="A26" s="447" t="s">
        <v>858</v>
      </c>
      <c r="B26" s="620">
        <f>+'Income '!C51+'Income '!C67</f>
        <v>434547650</v>
      </c>
      <c r="E26" s="443"/>
      <c r="F26" s="443"/>
      <c r="K26" s="443"/>
    </row>
    <row r="27" spans="1:11" ht="24" customHeight="1">
      <c r="A27" s="448" t="s">
        <v>859</v>
      </c>
      <c r="B27" s="621">
        <f>+'Income '!C30+'Income '!C43</f>
        <v>661017745</v>
      </c>
      <c r="E27" s="443"/>
      <c r="F27" s="443"/>
      <c r="K27" s="443"/>
    </row>
    <row r="28" spans="1:11" ht="24" customHeight="1">
      <c r="A28" s="446" t="s">
        <v>860</v>
      </c>
      <c r="B28" s="619">
        <f>IFERROR((B29/B30),0)</f>
        <v>0.14877926928901825</v>
      </c>
      <c r="E28" s="443"/>
      <c r="F28" s="443"/>
      <c r="K28" s="443"/>
    </row>
    <row r="29" spans="1:11" ht="24" customHeight="1">
      <c r="A29" s="447" t="s">
        <v>741</v>
      </c>
      <c r="B29" s="620">
        <f>+B32</f>
        <v>1206327062</v>
      </c>
      <c r="E29" s="443"/>
      <c r="F29" s="443"/>
      <c r="K29" s="443"/>
    </row>
    <row r="30" spans="1:11" ht="24" customHeight="1">
      <c r="A30" s="448" t="s">
        <v>861</v>
      </c>
      <c r="B30" s="621">
        <f>+B36</f>
        <v>8108166331</v>
      </c>
      <c r="E30" s="443"/>
      <c r="F30" s="443"/>
      <c r="K30" s="443"/>
    </row>
    <row r="31" spans="1:11" ht="24" customHeight="1">
      <c r="A31" s="446" t="s">
        <v>862</v>
      </c>
      <c r="B31" s="619">
        <f>IFERROR((B29/B33),0)</f>
        <v>0.33608082489021035</v>
      </c>
      <c r="E31" s="443"/>
      <c r="F31" s="443"/>
      <c r="K31" s="443"/>
    </row>
    <row r="32" spans="1:11" ht="24" customHeight="1">
      <c r="A32" s="447" t="s">
        <v>741</v>
      </c>
      <c r="B32" s="623">
        <f>+B54</f>
        <v>1206327062</v>
      </c>
      <c r="E32" s="443"/>
      <c r="F32" s="443"/>
      <c r="K32" s="443"/>
    </row>
    <row r="33" spans="1:32" ht="24" customHeight="1">
      <c r="A33" s="448" t="s">
        <v>829</v>
      </c>
      <c r="B33" s="621">
        <f>+('[8]Bank Liabilities Analysis'!$C$39+'[8]Bank Liabilities Analysis'!$E$39+'[8]Bank Liabilities Analysis'!$G$39+'[8]Bank Liabilities Analysis'!$I$39+'[8]Bank Liabilities Analysis'!$K$39+'[8]Bank Liabilities Analysis'!$M$39)</f>
        <v>3589395683</v>
      </c>
      <c r="E33" s="443"/>
      <c r="F33" s="443"/>
      <c r="K33" s="443"/>
    </row>
    <row r="34" spans="1:32" ht="24" customHeight="1">
      <c r="A34" s="446" t="s">
        <v>863</v>
      </c>
      <c r="B34" s="619">
        <f>IFERROR((B35/B36),0)</f>
        <v>0.19345062101193344</v>
      </c>
      <c r="E34" s="443"/>
      <c r="F34" s="443"/>
      <c r="K34" s="443"/>
    </row>
    <row r="35" spans="1:32" ht="24" customHeight="1">
      <c r="A35" s="447" t="s">
        <v>845</v>
      </c>
      <c r="B35" s="620">
        <f>+[8]Balance!$C$77</f>
        <v>1568529812</v>
      </c>
      <c r="E35" s="443"/>
      <c r="F35" s="443"/>
      <c r="K35" s="443"/>
    </row>
    <row r="36" spans="1:32" ht="24" customHeight="1">
      <c r="A36" s="448" t="s">
        <v>861</v>
      </c>
      <c r="B36" s="621">
        <f>+[8]Balance!$C$45</f>
        <v>8108166331</v>
      </c>
      <c r="E36" s="443"/>
      <c r="F36" s="443"/>
      <c r="K36" s="443"/>
    </row>
    <row r="37" spans="1:32" ht="24" customHeight="1">
      <c r="A37" s="446" t="s">
        <v>864</v>
      </c>
      <c r="B37" s="619">
        <f>IFERROR((B38/B39),0)</f>
        <v>3.0487179544917697E-2</v>
      </c>
      <c r="E37" s="443"/>
      <c r="F37" s="443"/>
      <c r="K37" s="443"/>
    </row>
    <row r="38" spans="1:32" ht="24" customHeight="1">
      <c r="A38" s="447" t="s">
        <v>865</v>
      </c>
      <c r="B38" s="620">
        <f>+'[10]Calculation of Risk'!$C$26</f>
        <v>47820050</v>
      </c>
      <c r="E38" s="443"/>
      <c r="F38" s="443"/>
      <c r="K38" s="443"/>
    </row>
    <row r="39" spans="1:32" ht="24" customHeight="1">
      <c r="A39" s="448" t="s">
        <v>845</v>
      </c>
      <c r="B39" s="621">
        <f>+B35</f>
        <v>1568529812</v>
      </c>
      <c r="E39" s="443"/>
      <c r="F39" s="443"/>
      <c r="K39" s="443"/>
    </row>
    <row r="40" spans="1:32">
      <c r="E40" s="443"/>
      <c r="F40" s="443"/>
      <c r="K40" s="443"/>
    </row>
    <row r="42" spans="1:32" s="422" customFormat="1" ht="15.75">
      <c r="A42" s="421" t="s">
        <v>0</v>
      </c>
      <c r="J42" s="420"/>
      <c r="AB42" s="434"/>
      <c r="AC42" s="434"/>
      <c r="AD42" s="434"/>
      <c r="AE42" s="434"/>
      <c r="AF42" s="434"/>
    </row>
    <row r="43" spans="1:32" s="422" customFormat="1" ht="15.75">
      <c r="A43" s="421"/>
      <c r="J43" s="420"/>
      <c r="AB43" s="434"/>
      <c r="AC43" s="434"/>
      <c r="AD43" s="434"/>
      <c r="AE43" s="434"/>
      <c r="AF43" s="434"/>
    </row>
    <row r="44" spans="1:32" s="422" customFormat="1" ht="15.75">
      <c r="A44" s="421" t="s">
        <v>1</v>
      </c>
      <c r="J44" s="420"/>
      <c r="AB44" s="434"/>
      <c r="AC44" s="434"/>
      <c r="AD44" s="434"/>
      <c r="AE44" s="434"/>
      <c r="AF44" s="434"/>
    </row>
    <row r="46" spans="1:32">
      <c r="A46" s="248" t="s">
        <v>741</v>
      </c>
      <c r="B46" s="248" t="s">
        <v>620</v>
      </c>
      <c r="C46" s="624" t="s">
        <v>749</v>
      </c>
      <c r="D46" s="248" t="s">
        <v>750</v>
      </c>
      <c r="E46" s="449"/>
    </row>
    <row r="47" spans="1:32" s="124" customFormat="1" ht="13.5" customHeight="1">
      <c r="A47" s="452" t="s">
        <v>868</v>
      </c>
      <c r="B47" s="625">
        <f>+'[8]Liquidity Analysis'!$C$57</f>
        <v>252072058</v>
      </c>
      <c r="C47" s="625">
        <f>+'[8]Liquidity Analysis'!$D$57</f>
        <v>61937102</v>
      </c>
      <c r="D47" s="625">
        <f>+'[8]Liquidity Analysis'!$E$57</f>
        <v>190134956</v>
      </c>
      <c r="E47" s="626" t="s">
        <v>329</v>
      </c>
      <c r="F47" s="457"/>
      <c r="G47" s="457"/>
      <c r="H47" s="458"/>
      <c r="I47" s="458"/>
      <c r="J47" s="457"/>
      <c r="K47" s="457"/>
      <c r="L47" s="457"/>
    </row>
    <row r="48" spans="1:32" s="124" customFormat="1" ht="13.5" customHeight="1">
      <c r="A48" s="452" t="s">
        <v>530</v>
      </c>
      <c r="B48" s="625">
        <f>+'[8]Liquidity Analysis'!$C$58</f>
        <v>376855943</v>
      </c>
      <c r="C48" s="625">
        <f>+'[8]Liquidity Analysis'!$D$58</f>
        <v>282195518</v>
      </c>
      <c r="D48" s="625">
        <f>+'[8]Liquidity Analysis'!$E$58</f>
        <v>94660425</v>
      </c>
      <c r="E48" s="634" t="s">
        <v>341</v>
      </c>
      <c r="F48" s="457"/>
      <c r="G48" s="457"/>
      <c r="H48" s="458"/>
      <c r="I48" s="458"/>
      <c r="J48" s="457"/>
      <c r="K48" s="457"/>
      <c r="L48" s="457"/>
    </row>
    <row r="49" spans="1:12" s="124" customFormat="1" ht="13.5" customHeight="1">
      <c r="A49" s="452" t="s">
        <v>226</v>
      </c>
      <c r="B49" s="625">
        <f>+'[8]Liquidity Analysis'!$C$59</f>
        <v>203594061</v>
      </c>
      <c r="C49" s="625">
        <f>+'[8]Liquidity Analysis'!$D$59</f>
        <v>714881</v>
      </c>
      <c r="D49" s="625">
        <f>+'[8]Liquidity Analysis'!$E$59</f>
        <v>202879180</v>
      </c>
      <c r="E49" s="634" t="s">
        <v>556</v>
      </c>
      <c r="F49" s="457"/>
      <c r="G49" s="457"/>
      <c r="H49" s="458"/>
      <c r="I49" s="458"/>
      <c r="J49" s="457"/>
      <c r="K49" s="457"/>
      <c r="L49" s="457"/>
    </row>
    <row r="50" spans="1:12" s="124" customFormat="1" ht="13.5" customHeight="1">
      <c r="A50" s="452" t="s">
        <v>624</v>
      </c>
      <c r="B50" s="625">
        <f>+'[8]Liquidity Analysis'!$C$60</f>
        <v>0</v>
      </c>
      <c r="C50" s="625">
        <f>+'[8]Liquidity Analysis'!$D$60</f>
        <v>0</v>
      </c>
      <c r="D50" s="625">
        <f>+'[8]Liquidity Analysis'!$E$60</f>
        <v>0</v>
      </c>
      <c r="E50" s="634" t="s">
        <v>619</v>
      </c>
      <c r="F50" s="459">
        <f>+'[8]Liquidity Analysis'!$F$60</f>
        <v>-93040756</v>
      </c>
      <c r="G50" s="459">
        <f>+'[8]Liquidity Analysis'!$G$60</f>
        <v>-30179236</v>
      </c>
      <c r="H50" s="459">
        <f>+'[8]Liquidity Analysis'!$H$60</f>
        <v>-62861520</v>
      </c>
      <c r="I50" s="458"/>
      <c r="J50" s="457"/>
      <c r="K50" s="457"/>
      <c r="L50" s="457"/>
    </row>
    <row r="51" spans="1:12" s="124" customFormat="1" ht="27.75" customHeight="1">
      <c r="A51" s="452" t="s">
        <v>32</v>
      </c>
      <c r="B51" s="625">
        <f>+'[8]Liquidity Analysis'!$C$61</f>
        <v>373805000</v>
      </c>
      <c r="C51" s="625">
        <f>+'[8]Liquidity Analysis'!$D$61</f>
        <v>373805000</v>
      </c>
      <c r="D51" s="625">
        <f>+'[8]Liquidity Analysis'!$E$61</f>
        <v>0</v>
      </c>
      <c r="E51" s="634" t="s">
        <v>353</v>
      </c>
      <c r="F51" s="457"/>
      <c r="G51" s="457"/>
      <c r="H51" s="458"/>
      <c r="I51" s="458"/>
      <c r="J51" s="457"/>
      <c r="K51" s="457"/>
      <c r="L51" s="457"/>
    </row>
    <row r="52" spans="1:12" s="124" customFormat="1" ht="13.5" customHeight="1">
      <c r="A52" s="452" t="s">
        <v>625</v>
      </c>
      <c r="B52" s="625">
        <f>+'[8]Liquidity Analysis'!$C$62</f>
        <v>0</v>
      </c>
      <c r="C52" s="625">
        <f>+'[8]Liquidity Analysis'!$D$62</f>
        <v>0</v>
      </c>
      <c r="D52" s="625">
        <f>+'[8]Liquidity Analysis'!$E$62</f>
        <v>0</v>
      </c>
      <c r="E52" s="626" t="s">
        <v>360</v>
      </c>
      <c r="F52" s="457"/>
      <c r="G52" s="457"/>
      <c r="H52" s="458"/>
      <c r="I52" s="458"/>
      <c r="J52" s="457"/>
      <c r="K52" s="457"/>
      <c r="L52" s="457"/>
    </row>
    <row r="53" spans="1:12" s="124" customFormat="1" ht="13.5" customHeight="1">
      <c r="A53" s="452" t="s">
        <v>626</v>
      </c>
      <c r="B53" s="625">
        <f>+'[8]Liquidity Analysis'!$C$63</f>
        <v>0</v>
      </c>
      <c r="C53" s="625">
        <f>+'[8]Liquidity Analysis'!$D$63</f>
        <v>0</v>
      </c>
      <c r="D53" s="625">
        <f>+'[8]Liquidity Analysis'!$E$63</f>
        <v>0</v>
      </c>
      <c r="E53" s="626" t="s">
        <v>557</v>
      </c>
      <c r="F53" s="457"/>
      <c r="G53" s="457"/>
      <c r="H53" s="458"/>
      <c r="I53" s="458"/>
      <c r="J53" s="457"/>
      <c r="K53" s="457"/>
      <c r="L53" s="457"/>
    </row>
    <row r="54" spans="1:12" s="124" customFormat="1" ht="13.5" customHeight="1">
      <c r="A54" s="466" t="s">
        <v>627</v>
      </c>
      <c r="B54" s="625">
        <f>+'[8]Liquidity Analysis'!$C$64</f>
        <v>1206327062</v>
      </c>
      <c r="C54" s="625">
        <f>+'[8]Liquidity Analysis'!$D$64</f>
        <v>718652501</v>
      </c>
      <c r="D54" s="625">
        <f>+'[8]Liquidity Analysis'!$E$64</f>
        <v>487674561</v>
      </c>
      <c r="E54" s="627" t="s">
        <v>362</v>
      </c>
      <c r="F54" s="457"/>
      <c r="G54" s="457"/>
      <c r="H54" s="458"/>
      <c r="I54" s="459"/>
      <c r="J54" s="457"/>
      <c r="K54" s="457"/>
      <c r="L54" s="457"/>
    </row>
  </sheetData>
  <sheetProtection password="CACA" sheet="1" objects="1" scenarios="1"/>
  <mergeCells count="1">
    <mergeCell ref="A1:B1"/>
  </mergeCells>
  <conditionalFormatting sqref="B34 B37 E4:F4 B28 B4 B7 B10 B13 B16 B19 B22 B25 B31">
    <cfRule type="cellIs" dxfId="7" priority="7" stopIfTrue="1" operator="equal">
      <formula>"Error"</formula>
    </cfRule>
    <cfRule type="cellIs" dxfId="6" priority="8" stopIfTrue="1" operator="equal">
      <formula>"?"</formula>
    </cfRule>
  </conditionalFormatting>
  <conditionalFormatting sqref="B34 B37 E4:F4 B28 B4 B7 B10 B13 B16 B19 B22 B25 B31">
    <cfRule type="cellIs" dxfId="5" priority="5" stopIfTrue="1" operator="equal">
      <formula>"Error"</formula>
    </cfRule>
    <cfRule type="cellIs" dxfId="4" priority="6" stopIfTrue="1" operator="equal">
      <formula>"?"</formula>
    </cfRule>
  </conditionalFormatting>
  <conditionalFormatting sqref="B34 B37 E4:F4 B28 B4 B7 B10 B13 B16 B19 B22 B25 B31">
    <cfRule type="cellIs" dxfId="3" priority="3" stopIfTrue="1" operator="equal">
      <formula>"Error"</formula>
    </cfRule>
    <cfRule type="cellIs" dxfId="2" priority="4" stopIfTrue="1" operator="equal">
      <formula>"?"</formula>
    </cfRule>
  </conditionalFormatting>
  <conditionalFormatting sqref="B34 B37 E4:F4 B28 B4 B7 B10 B13 B16 B19 B22 B25 B31">
    <cfRule type="cellIs" dxfId="1" priority="1" stopIfTrue="1" operator="equal">
      <formula>"Error"</formula>
    </cfRule>
    <cfRule type="cellIs" dxfId="0" priority="2" stopIfTrue="1" operator="equal">
      <formula>"?"</formula>
    </cfRule>
  </conditionalFormatting>
  <dataValidations count="1">
    <dataValidation allowBlank="1" showErrorMessage="1" prompt="Введите самостоятельно рассчитанный коэффициент" sqref="B46:D46" xr:uid="{00000000-0002-0000-1000-000000000000}"/>
  </dataValidations>
  <printOptions horizontalCentered="1"/>
  <pageMargins left="0" right="0" top="0.31496062992125984" bottom="0.39370078740157483" header="0.23622047244094491" footer="0.15748031496062992"/>
  <pageSetup paperSize="9" scale="76" orientation="portrait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17</vt:i4>
      </vt:variant>
      <vt:variant>
        <vt:lpstr>Именованные диапазоны</vt:lpstr>
      </vt:variant>
      <vt:variant>
        <vt:i4>17</vt:i4>
      </vt:variant>
    </vt:vector>
  </HeadingPairs>
  <TitlesOfParts>
    <vt:vector size="34" baseType="lpstr">
      <vt:lpstr>Asset quality</vt:lpstr>
      <vt:lpstr>Income </vt:lpstr>
      <vt:lpstr>Analysis of Interest</vt:lpstr>
      <vt:lpstr>Changes in Equity</vt:lpstr>
      <vt:lpstr>Loans Receivable</vt:lpstr>
      <vt:lpstr>Aging Analysis</vt:lpstr>
      <vt:lpstr>Asset Classification</vt:lpstr>
      <vt:lpstr>Loans to Affiliated P.</vt:lpstr>
      <vt:lpstr> Largest risk</vt:lpstr>
      <vt:lpstr>Charge-offs and Recoveries</vt:lpstr>
      <vt:lpstr>loans_av rate</vt:lpstr>
      <vt:lpstr>loans type</vt:lpstr>
      <vt:lpstr>Bank Capital Calc (2)</vt:lpstr>
      <vt:lpstr>Deposits_av rate</vt:lpstr>
      <vt:lpstr>Economic Normatives</vt:lpstr>
      <vt:lpstr>Miscellaneous</vt:lpstr>
      <vt:lpstr>ПФУ</vt:lpstr>
      <vt:lpstr>' Largest risk'!Область_печати</vt:lpstr>
      <vt:lpstr>'Aging Analysis'!Область_печати</vt:lpstr>
      <vt:lpstr>'Analysis of Interest'!Область_печати</vt:lpstr>
      <vt:lpstr>'Asset Classification'!Область_печати</vt:lpstr>
      <vt:lpstr>'Asset quality'!Область_печати</vt:lpstr>
      <vt:lpstr>'Bank Capital Calc (2)'!Область_печати</vt:lpstr>
      <vt:lpstr>'Changes in Equity'!Область_печати</vt:lpstr>
      <vt:lpstr>'Charge-offs and Recoveries'!Область_печати</vt:lpstr>
      <vt:lpstr>'Deposits_av rate'!Область_печати</vt:lpstr>
      <vt:lpstr>'Economic Normatives'!Область_печати</vt:lpstr>
      <vt:lpstr>'Income '!Область_печати</vt:lpstr>
      <vt:lpstr>'Loans Receivable'!Область_печати</vt:lpstr>
      <vt:lpstr>'Loans to Affiliated P.'!Область_печати</vt:lpstr>
      <vt:lpstr>'loans type'!Область_печати</vt:lpstr>
      <vt:lpstr>'loans_av rate'!Область_печати</vt:lpstr>
      <vt:lpstr>Miscellaneous!Область_печати</vt:lpstr>
      <vt:lpstr>ПФУ!Область_печати</vt:lpstr>
    </vt:vector>
  </TitlesOfParts>
  <Company>CBU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Iskandarov_U</dc:creator>
  <cp:lastModifiedBy>Dilshodbek Latipov</cp:lastModifiedBy>
  <cp:lastPrinted>2020-12-16T12:21:33Z</cp:lastPrinted>
  <dcterms:created xsi:type="dcterms:W3CDTF">2014-01-27T05:06:32Z</dcterms:created>
  <dcterms:modified xsi:type="dcterms:W3CDTF">2021-01-12T06:41:49Z</dcterms:modified>
</cp:coreProperties>
</file>