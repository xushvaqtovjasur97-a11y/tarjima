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Баланс\2023\01.01.2023\"/>
    </mc:Choice>
  </mc:AlternateContent>
  <xr:revisionPtr revIDLastSave="0" documentId="8_{7C135390-D367-4B84-8B6D-E990B23498BC}" xr6:coauthVersionLast="47" xr6:coauthVersionMax="47" xr10:uidLastSave="{00000000-0000-0000-0000-000000000000}"/>
  <workbookProtection workbookPassword="CACA" lockStructure="1"/>
  <bookViews>
    <workbookView xWindow="-120" yWindow="-120" windowWidth="29040" windowHeight="15840" tabRatio="923" firstSheet="4" activeTab="15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Asset Provisioning" sheetId="48" r:id="rId8"/>
    <sheet name="Transactions of related parties" sheetId="43" r:id="rId9"/>
    <sheet name=" Largest risk" sheetId="44" r:id="rId10"/>
    <sheet name="Charge-offs and Recoveries" sheetId="13" r:id="rId11"/>
    <sheet name="loans_av rate" sheetId="35" r:id="rId12"/>
    <sheet name="Bank Capital Calc (2)" sheetId="41" state="hidden" r:id="rId13"/>
    <sheet name="loans type" sheetId="40" r:id="rId14"/>
    <sheet name="Deposits_av rate" sheetId="30" r:id="rId15"/>
    <sheet name="Economic Normatives" sheetId="20" r:id="rId16"/>
    <sheet name="Miscellaneous" sheetId="21" r:id="rId17"/>
    <sheet name="ПФУ" sheetId="42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add21" localSheetId="17" hidden="1">[1]tab17!#REF!</definedName>
    <definedName name="___add21" localSheetId="17" hidden="1">[1]tab17!#REF!</definedName>
    <definedName name="__123Graph_A" localSheetId="17" hidden="1">'[2]tab 19'!#REF!</definedName>
    <definedName name="__123Graph_B" localSheetId="17" hidden="1">[3]tab17!#REF!</definedName>
    <definedName name="__123Graph_X" localSheetId="17" hidden="1">[3]tab17!#REF!</definedName>
    <definedName name="__2__123Graph_ACHART_1" hidden="1">[4]A!$C$31:$AJ$31</definedName>
    <definedName name="__4__123Graph_ACHART_2" hidden="1">[4]A!$C$31:$AJ$31</definedName>
    <definedName name="__add21" localSheetId="17" hidden="1">[1]tab17!#REF!</definedName>
    <definedName name="_10__123Graph_AREALEX_WAGE" localSheetId="17" hidden="1">'[2]tab 19'!#REF!</definedName>
    <definedName name="_10__123Graph_BCHART_2" hidden="1">[4]A!$C$36:$AJ$36</definedName>
    <definedName name="_10__123Graph_BREALEX_WAGE" localSheetId="17" hidden="1">#REF!</definedName>
    <definedName name="_11__123Graph_BCHART_1" hidden="1">[4]A!$C$28:$AJ$28</definedName>
    <definedName name="_12__123Graph_BREALEX_WAGE" localSheetId="17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7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7" hidden="1">#REF!</definedName>
    <definedName name="_2__123Graph_ACHART_1" hidden="1">[4]A!$C$31:$AJ$31</definedName>
    <definedName name="_20__123Graph_BREALEX_WAGE" localSheetId="17" hidden="1">#REF!</definedName>
    <definedName name="_20__123Graph_XCHART_2" hidden="1">[4]A!$C$39:$AJ$39</definedName>
    <definedName name="_22__123Graph_CCHART_2" hidden="1">[4]A!$C$38:$AJ$38</definedName>
    <definedName name="_22__123Graph_XREALEX_WAGE" localSheetId="17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7" hidden="1">#REF!</definedName>
    <definedName name="_32__123Graph_XCHART_2" hidden="1">[4]A!$C$39:$AJ$39</definedName>
    <definedName name="_36__123Graph_XREALEX_WAGE" localSheetId="17" hidden="1">#REF!</definedName>
    <definedName name="_4__123Graph_ACHART_2" hidden="1">[4]A!$C$31:$AJ$31</definedName>
    <definedName name="_5__123Graph_AREALEX_WAGE" localSheetId="17" hidden="1">'[2]tab 19'!#REF!</definedName>
    <definedName name="_6__123Graph_ACHART_2" hidden="1">[4]A!$C$31:$AJ$31</definedName>
    <definedName name="_6__123Graph_AREALEX_WAGE" localSheetId="17" hidden="1">'[5]tab 19'!#REF!</definedName>
    <definedName name="_7__123Graph_BCHART_1" hidden="1">[4]A!$C$28:$AJ$28</definedName>
    <definedName name="_8__123Graph_AREALEX_WAGE" localSheetId="17" hidden="1">'[2]tab 19'!#REF!</definedName>
    <definedName name="_8__123Graph_BCHART_1" hidden="1">[4]A!$C$28:$AJ$28</definedName>
    <definedName name="_9__123Graph_BCHART_2" hidden="1">[4]A!$C$36:$AJ$36</definedName>
    <definedName name="_add21" localSheetId="17" hidden="1">[1]tab17!#REF!</definedName>
    <definedName name="_Key1" localSheetId="17" hidden="1">#REF!</definedName>
    <definedName name="_Key2" localSheetId="17" hidden="1">#REF!</definedName>
    <definedName name="_Order1" hidden="1">255</definedName>
    <definedName name="_Order2" hidden="1">0</definedName>
    <definedName name="_Parse_Out" localSheetId="17" hidden="1">#REF!</definedName>
    <definedName name="_Sort" localSheetId="17" hidden="1">#REF!</definedName>
    <definedName name="jop" localSheetId="12">#REF!</definedName>
    <definedName name="kol" localSheetId="12">#REF!</definedName>
    <definedName name="RISKTOTASS" localSheetId="13">SUM('[6]Calculation of Risk Weighted As'!$C$38:$F$38)</definedName>
    <definedName name="RISKTOTASS" localSheetId="17">SUM('[7]Calculation of Risk Weighted As'!$C$41:$G$41)</definedName>
    <definedName name="rs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7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7" hidden="1">{"BOP_TAB",#N/A,FALSE,"N";"MIDTERM_TAB",#N/A,FALSE,"O"}</definedName>
    <definedName name="wrn.Input._.and._.output._.tables." localSheetId="17" hidden="1">{#N/A,#N/A,FALSE,"SimInp1";#N/A,#N/A,FALSE,"SimInp2";#N/A,#N/A,FALSE,"SimOut1";#N/A,#N/A,FALSE,"SimOut2";#N/A,#N/A,FALSE,"SimOut3";#N/A,#N/A,FALSE,"SimOut4";#N/A,#N/A,FALSE,"SimOut5"}</definedName>
    <definedName name="wrn.Input._.Report.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7" hidden="1">{"MONA",#N/A,FALSE,"S"}</definedName>
    <definedName name="wrn.Output._.tables." localSheetId="17" hidden="1">{#N/A,#N/A,FALSE,"I";#N/A,#N/A,FALSE,"J";#N/A,#N/A,FALSE,"K";#N/A,#N/A,FALSE,"L";#N/A,#N/A,FALSE,"M";#N/A,#N/A,FALSE,"N";#N/A,#N/A,FALSE,"O"}</definedName>
    <definedName name="wrn.WEO." localSheetId="17" hidden="1">{"WEO",#N/A,FALSE,"T"}</definedName>
    <definedName name="апв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Е" localSheetId="12">#REF!</definedName>
    <definedName name="_xlnm.Print_Area" localSheetId="9">' Largest risk'!$A$1:$Z$90</definedName>
    <definedName name="_xlnm.Print_Area" localSheetId="5">'Aging Analysis'!$A$1:$Y$35</definedName>
    <definedName name="_xlnm.Print_Area" localSheetId="2">'Analysis of Interest'!$A$1:$C$72</definedName>
    <definedName name="_xlnm.Print_Area" localSheetId="6">'Asset Classification'!$A$1:$AB$74</definedName>
    <definedName name="_xlnm.Print_Area" localSheetId="7">'Asset Provisioning'!$A$1:$AU$74</definedName>
    <definedName name="_xlnm.Print_Area" localSheetId="0">'Asset quality'!$A$1:$T$65</definedName>
    <definedName name="_xlnm.Print_Area" localSheetId="12">'Bank Capital Calc (2)'!$A$1:$C$55</definedName>
    <definedName name="_xlnm.Print_Area" localSheetId="3">'Changes in Equity'!$A$1:$C$14</definedName>
    <definedName name="_xlnm.Print_Area" localSheetId="10">'Charge-offs and Recoveries'!$A$1:$J$49</definedName>
    <definedName name="_xlnm.Print_Area" localSheetId="14">'Deposits_av rate'!$A$1:$N$16</definedName>
    <definedName name="_xlnm.Print_Area" localSheetId="15">'Economic Normatives'!$A$1:$K$47</definedName>
    <definedName name="_xlnm.Print_Area" localSheetId="1">'Income '!$A$1:$E$78</definedName>
    <definedName name="_xlnm.Print_Area" localSheetId="4">'Loans Receivable'!$A$1:$Y$85</definedName>
    <definedName name="_xlnm.Print_Area" localSheetId="13">'loans type'!$A$1:$Z$42</definedName>
    <definedName name="_xlnm.Print_Area" localSheetId="11">'loans_av rate'!$A$1:$H$44</definedName>
    <definedName name="_xlnm.Print_Area" localSheetId="16">Miscellaneous!$A$1:$C$25</definedName>
    <definedName name="_xlnm.Print_Area" localSheetId="8">'Transactions of related parties'!$A$1:$Z$90</definedName>
    <definedName name="_xlnm.Print_Area" localSheetId="17">ПФУ!$A$1:$B$39</definedName>
    <definedName name="тмвюқт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3" l="1"/>
  <c r="H16" i="13"/>
  <c r="H15" i="13"/>
  <c r="H14" i="13"/>
  <c r="H13" i="13"/>
  <c r="H12" i="13"/>
  <c r="H11" i="13"/>
  <c r="H10" i="13"/>
  <c r="B54" i="42" l="1"/>
  <c r="B53" i="42"/>
  <c r="B52" i="42"/>
  <c r="B51" i="42"/>
  <c r="B50" i="42"/>
  <c r="B49" i="42"/>
  <c r="B48" i="42"/>
  <c r="B47" i="42"/>
  <c r="B38" i="42"/>
  <c r="B36" i="42"/>
  <c r="B35" i="42"/>
  <c r="B33" i="42"/>
  <c r="B9" i="42"/>
  <c r="B6" i="42"/>
  <c r="I23" i="20"/>
  <c r="I22" i="20"/>
  <c r="I21" i="20"/>
  <c r="I20" i="20"/>
  <c r="I19" i="20"/>
  <c r="I18" i="20"/>
  <c r="I16" i="20"/>
  <c r="M27" i="30"/>
  <c r="I27" i="30"/>
  <c r="G24" i="30"/>
  <c r="C24" i="30"/>
  <c r="P16" i="30"/>
  <c r="P15" i="30"/>
  <c r="P14" i="30"/>
  <c r="P13" i="30"/>
  <c r="P12" i="30"/>
  <c r="P11" i="30"/>
  <c r="P10" i="30"/>
  <c r="P9" i="30"/>
  <c r="P8" i="30"/>
  <c r="M49" i="13"/>
  <c r="G42" i="9"/>
  <c r="J92" i="24"/>
  <c r="E92" i="24"/>
  <c r="D92" i="24"/>
  <c r="C92" i="24"/>
  <c r="D14" i="6"/>
  <c r="D8" i="6"/>
  <c r="C73" i="26"/>
  <c r="AM73" i="48" l="1"/>
  <c r="AJ73" i="48"/>
  <c r="AI73" i="48"/>
  <c r="AN73" i="48" s="1"/>
  <c r="AH73" i="48"/>
  <c r="AK73" i="48" s="1"/>
  <c r="AE73" i="48"/>
  <c r="AB73" i="48"/>
  <c r="AA73" i="48"/>
  <c r="AF73" i="48" s="1"/>
  <c r="AG73" i="48" s="1"/>
  <c r="Z73" i="48"/>
  <c r="AC73" i="48" s="1"/>
  <c r="W73" i="48"/>
  <c r="T73" i="48"/>
  <c r="S73" i="48"/>
  <c r="X73" i="48" s="1"/>
  <c r="R73" i="48"/>
  <c r="U73" i="48" s="1"/>
  <c r="O73" i="48"/>
  <c r="L73" i="48"/>
  <c r="K73" i="48"/>
  <c r="P73" i="48" s="1"/>
  <c r="J73" i="48"/>
  <c r="M73" i="48" s="1"/>
  <c r="G73" i="48"/>
  <c r="F73" i="48"/>
  <c r="E73" i="48"/>
  <c r="H73" i="48" s="1"/>
  <c r="AM72" i="48"/>
  <c r="AJ72" i="48"/>
  <c r="AI72" i="48"/>
  <c r="AN72" i="48" s="1"/>
  <c r="AH72" i="48"/>
  <c r="AK72" i="48" s="1"/>
  <c r="AE72" i="48"/>
  <c r="AB72" i="48"/>
  <c r="AA72" i="48"/>
  <c r="AF72" i="48" s="1"/>
  <c r="Z72" i="48"/>
  <c r="AC72" i="48" s="1"/>
  <c r="W72" i="48"/>
  <c r="T72" i="48"/>
  <c r="S72" i="48"/>
  <c r="X72" i="48" s="1"/>
  <c r="R72" i="48"/>
  <c r="U72" i="48" s="1"/>
  <c r="O72" i="48"/>
  <c r="L72" i="48"/>
  <c r="K72" i="48"/>
  <c r="P72" i="48" s="1"/>
  <c r="J72" i="48"/>
  <c r="M72" i="48" s="1"/>
  <c r="G72" i="48"/>
  <c r="F72" i="48"/>
  <c r="F54" i="48"/>
  <c r="E54" i="48"/>
  <c r="H54" i="48" s="1"/>
  <c r="Y72" i="48" l="1"/>
  <c r="AT73" i="48"/>
  <c r="AS72" i="48"/>
  <c r="AP72" i="48"/>
  <c r="N73" i="48"/>
  <c r="AD73" i="48"/>
  <c r="AP73" i="48"/>
  <c r="AO72" i="48"/>
  <c r="AS73" i="48"/>
  <c r="V72" i="48"/>
  <c r="AL72" i="48"/>
  <c r="AQ72" i="48"/>
  <c r="I73" i="48"/>
  <c r="AQ73" i="48"/>
  <c r="AL73" i="48"/>
  <c r="AO73" i="48"/>
  <c r="V73" i="48"/>
  <c r="Q73" i="48"/>
  <c r="Y73" i="48"/>
  <c r="AT72" i="48"/>
  <c r="AU72" i="48" s="1"/>
  <c r="Q72" i="48"/>
  <c r="N72" i="48"/>
  <c r="AD72" i="48"/>
  <c r="AG72" i="48"/>
  <c r="AR72" i="48" l="1"/>
  <c r="AU73" i="48"/>
  <c r="AR73" i="48"/>
  <c r="AM70" i="48"/>
  <c r="AJ70" i="48"/>
  <c r="AI70" i="48"/>
  <c r="AN70" i="48" s="1"/>
  <c r="AH70" i="48"/>
  <c r="AK70" i="48" s="1"/>
  <c r="AE70" i="48"/>
  <c r="AB70" i="48"/>
  <c r="AA70" i="48"/>
  <c r="Z70" i="48"/>
  <c r="AC70" i="48" s="1"/>
  <c r="W70" i="48"/>
  <c r="T70" i="48"/>
  <c r="S70" i="48"/>
  <c r="X70" i="48" s="1"/>
  <c r="R70" i="48"/>
  <c r="O70" i="48"/>
  <c r="L70" i="48"/>
  <c r="K70" i="48"/>
  <c r="P70" i="48" s="1"/>
  <c r="J70" i="48"/>
  <c r="G70" i="48"/>
  <c r="F70" i="48"/>
  <c r="E70" i="48"/>
  <c r="H70" i="48" s="1"/>
  <c r="AM69" i="48"/>
  <c r="AJ69" i="48"/>
  <c r="AI69" i="48"/>
  <c r="AN69" i="48" s="1"/>
  <c r="AH69" i="48"/>
  <c r="AE69" i="48"/>
  <c r="AB69" i="48"/>
  <c r="AA69" i="48"/>
  <c r="Z69" i="48"/>
  <c r="AC69" i="48" s="1"/>
  <c r="W69" i="48"/>
  <c r="T69" i="48"/>
  <c r="S69" i="48"/>
  <c r="X69" i="48" s="1"/>
  <c r="R69" i="48"/>
  <c r="U69" i="48" s="1"/>
  <c r="O69" i="48"/>
  <c r="L69" i="48"/>
  <c r="K69" i="48"/>
  <c r="P69" i="48" s="1"/>
  <c r="J69" i="48"/>
  <c r="G69" i="48"/>
  <c r="F69" i="48"/>
  <c r="E69" i="48"/>
  <c r="AM68" i="48"/>
  <c r="AJ68" i="48"/>
  <c r="AI68" i="48"/>
  <c r="AN68" i="48" s="1"/>
  <c r="AH68" i="48"/>
  <c r="AE68" i="48"/>
  <c r="AB68" i="48"/>
  <c r="AA68" i="48"/>
  <c r="AF68" i="48" s="1"/>
  <c r="Z68" i="48"/>
  <c r="AC68" i="48" s="1"/>
  <c r="W68" i="48"/>
  <c r="T68" i="48"/>
  <c r="S68" i="48"/>
  <c r="R68" i="48"/>
  <c r="U68" i="48" s="1"/>
  <c r="V68" i="48" s="1"/>
  <c r="O68" i="48"/>
  <c r="L68" i="48"/>
  <c r="K68" i="48"/>
  <c r="P68" i="48" s="1"/>
  <c r="J68" i="48"/>
  <c r="M68" i="48" s="1"/>
  <c r="G68" i="48"/>
  <c r="F68" i="48"/>
  <c r="E68" i="48"/>
  <c r="H68" i="48" s="1"/>
  <c r="AM67" i="48"/>
  <c r="AJ67" i="48"/>
  <c r="AI67" i="48"/>
  <c r="AN67" i="48" s="1"/>
  <c r="AH67" i="48"/>
  <c r="AK67" i="48" s="1"/>
  <c r="AE67" i="48"/>
  <c r="AB67" i="48"/>
  <c r="AA67" i="48"/>
  <c r="AF67" i="48" s="1"/>
  <c r="Z67" i="48"/>
  <c r="AC67" i="48" s="1"/>
  <c r="W67" i="48"/>
  <c r="T67" i="48"/>
  <c r="S67" i="48"/>
  <c r="X67" i="48" s="1"/>
  <c r="R67" i="48"/>
  <c r="U67" i="48" s="1"/>
  <c r="O67" i="48"/>
  <c r="L67" i="48"/>
  <c r="K67" i="48"/>
  <c r="J67" i="48"/>
  <c r="M67" i="48" s="1"/>
  <c r="N67" i="48" s="1"/>
  <c r="G67" i="48"/>
  <c r="F67" i="48"/>
  <c r="E67" i="48"/>
  <c r="AM66" i="48"/>
  <c r="AJ66" i="48"/>
  <c r="AI66" i="48"/>
  <c r="AN66" i="48" s="1"/>
  <c r="AH66" i="48"/>
  <c r="AK66" i="48" s="1"/>
  <c r="AE66" i="48"/>
  <c r="AB66" i="48"/>
  <c r="AA66" i="48"/>
  <c r="AF66" i="48" s="1"/>
  <c r="Z66" i="48"/>
  <c r="AC66" i="48" s="1"/>
  <c r="W66" i="48"/>
  <c r="T66" i="48"/>
  <c r="S66" i="48"/>
  <c r="X66" i="48" s="1"/>
  <c r="R66" i="48"/>
  <c r="U66" i="48" s="1"/>
  <c r="O66" i="48"/>
  <c r="L66" i="48"/>
  <c r="K66" i="48"/>
  <c r="P66" i="48" s="1"/>
  <c r="J66" i="48"/>
  <c r="M66" i="48" s="1"/>
  <c r="N66" i="48" s="1"/>
  <c r="G66" i="48"/>
  <c r="F66" i="48"/>
  <c r="E66" i="48"/>
  <c r="H66" i="48" s="1"/>
  <c r="AM65" i="48"/>
  <c r="AJ65" i="48"/>
  <c r="AI65" i="48"/>
  <c r="AH65" i="48"/>
  <c r="AE65" i="48"/>
  <c r="AB65" i="48"/>
  <c r="AA65" i="48"/>
  <c r="Z65" i="48"/>
  <c r="W65" i="48"/>
  <c r="T65" i="48"/>
  <c r="S65" i="48"/>
  <c r="X65" i="48" s="1"/>
  <c r="R65" i="48"/>
  <c r="U65" i="48" s="1"/>
  <c r="O65" i="48"/>
  <c r="L65" i="48"/>
  <c r="K65" i="48"/>
  <c r="P65" i="48" s="1"/>
  <c r="J65" i="48"/>
  <c r="M65" i="48" s="1"/>
  <c r="G65" i="48"/>
  <c r="F65" i="48"/>
  <c r="E65" i="48"/>
  <c r="H65" i="48" s="1"/>
  <c r="AM64" i="48"/>
  <c r="AJ64" i="48"/>
  <c r="AI64" i="48"/>
  <c r="AN64" i="48" s="1"/>
  <c r="AH64" i="48"/>
  <c r="AK64" i="48" s="1"/>
  <c r="AE64" i="48"/>
  <c r="AB64" i="48"/>
  <c r="AA64" i="48"/>
  <c r="AF64" i="48" s="1"/>
  <c r="Z64" i="48"/>
  <c r="AC64" i="48" s="1"/>
  <c r="W64" i="48"/>
  <c r="T64" i="48"/>
  <c r="S64" i="48"/>
  <c r="X64" i="48" s="1"/>
  <c r="R64" i="48"/>
  <c r="U64" i="48" s="1"/>
  <c r="O64" i="48"/>
  <c r="L64" i="48"/>
  <c r="K64" i="48"/>
  <c r="P64" i="48" s="1"/>
  <c r="J64" i="48"/>
  <c r="M64" i="48" s="1"/>
  <c r="G64" i="48"/>
  <c r="F64" i="48"/>
  <c r="E64" i="48"/>
  <c r="H64" i="48" s="1"/>
  <c r="AM63" i="48"/>
  <c r="AJ63" i="48"/>
  <c r="AI63" i="48"/>
  <c r="AH63" i="48"/>
  <c r="AK63" i="48" s="1"/>
  <c r="AE63" i="48"/>
  <c r="AB63" i="48"/>
  <c r="AA63" i="48"/>
  <c r="AF63" i="48" s="1"/>
  <c r="Z63" i="48"/>
  <c r="AC63" i="48" s="1"/>
  <c r="W63" i="48"/>
  <c r="T63" i="48"/>
  <c r="S63" i="48"/>
  <c r="R63" i="48"/>
  <c r="U63" i="48" s="1"/>
  <c r="O63" i="48"/>
  <c r="L63" i="48"/>
  <c r="K63" i="48"/>
  <c r="P63" i="48" s="1"/>
  <c r="J63" i="48"/>
  <c r="G63" i="48"/>
  <c r="F63" i="48"/>
  <c r="E63" i="48"/>
  <c r="H63" i="48" s="1"/>
  <c r="AM62" i="48"/>
  <c r="AJ62" i="48"/>
  <c r="AI62" i="48"/>
  <c r="AH62" i="48"/>
  <c r="AK62" i="48" s="1"/>
  <c r="AE62" i="48"/>
  <c r="AB62" i="48"/>
  <c r="AA62" i="48"/>
  <c r="AF62" i="48" s="1"/>
  <c r="Z62" i="48"/>
  <c r="W62" i="48"/>
  <c r="T62" i="48"/>
  <c r="S62" i="48"/>
  <c r="X62" i="48" s="1"/>
  <c r="R62" i="48"/>
  <c r="U62" i="48" s="1"/>
  <c r="O62" i="48"/>
  <c r="L62" i="48"/>
  <c r="K62" i="48"/>
  <c r="P62" i="48" s="1"/>
  <c r="J62" i="48"/>
  <c r="G62" i="48"/>
  <c r="F62" i="48"/>
  <c r="E62" i="48"/>
  <c r="H62" i="48" s="1"/>
  <c r="AM61" i="48"/>
  <c r="AJ61" i="48"/>
  <c r="AI61" i="48"/>
  <c r="AN61" i="48" s="1"/>
  <c r="AH61" i="48"/>
  <c r="AK61" i="48" s="1"/>
  <c r="AE61" i="48"/>
  <c r="AB61" i="48"/>
  <c r="AA61" i="48"/>
  <c r="AF61" i="48" s="1"/>
  <c r="Z61" i="48"/>
  <c r="AC61" i="48" s="1"/>
  <c r="W61" i="48"/>
  <c r="T61" i="48"/>
  <c r="S61" i="48"/>
  <c r="X61" i="48" s="1"/>
  <c r="R61" i="48"/>
  <c r="O61" i="48"/>
  <c r="L61" i="48"/>
  <c r="K61" i="48"/>
  <c r="J61" i="48"/>
  <c r="G61" i="48"/>
  <c r="F61" i="48"/>
  <c r="E61" i="48"/>
  <c r="H61" i="48" s="1"/>
  <c r="AM60" i="48"/>
  <c r="AJ60" i="48"/>
  <c r="AI60" i="48"/>
  <c r="AN60" i="48" s="1"/>
  <c r="AH60" i="48"/>
  <c r="AK60" i="48" s="1"/>
  <c r="AE60" i="48"/>
  <c r="AB60" i="48"/>
  <c r="AA60" i="48"/>
  <c r="AF60" i="48" s="1"/>
  <c r="Z60" i="48"/>
  <c r="AC60" i="48" s="1"/>
  <c r="W60" i="48"/>
  <c r="T60" i="48"/>
  <c r="S60" i="48"/>
  <c r="X60" i="48" s="1"/>
  <c r="R60" i="48"/>
  <c r="U60" i="48" s="1"/>
  <c r="O60" i="48"/>
  <c r="L60" i="48"/>
  <c r="K60" i="48"/>
  <c r="P60" i="48" s="1"/>
  <c r="J60" i="48"/>
  <c r="M60" i="48" s="1"/>
  <c r="G60" i="48"/>
  <c r="F60" i="48"/>
  <c r="E60" i="48"/>
  <c r="H60" i="48" s="1"/>
  <c r="AM59" i="48"/>
  <c r="AJ59" i="48"/>
  <c r="AI59" i="48"/>
  <c r="AN59" i="48" s="1"/>
  <c r="AH59" i="48"/>
  <c r="AK59" i="48" s="1"/>
  <c r="AE59" i="48"/>
  <c r="AB59" i="48"/>
  <c r="AA59" i="48"/>
  <c r="Z59" i="48"/>
  <c r="AC59" i="48" s="1"/>
  <c r="W59" i="48"/>
  <c r="T59" i="48"/>
  <c r="S59" i="48"/>
  <c r="X59" i="48" s="1"/>
  <c r="R59" i="48"/>
  <c r="U59" i="48" s="1"/>
  <c r="O59" i="48"/>
  <c r="L59" i="48"/>
  <c r="K59" i="48"/>
  <c r="P59" i="48" s="1"/>
  <c r="J59" i="48"/>
  <c r="M59" i="48" s="1"/>
  <c r="G59" i="48"/>
  <c r="F59" i="48"/>
  <c r="E59" i="48"/>
  <c r="AM58" i="48"/>
  <c r="AJ58" i="48"/>
  <c r="AI58" i="48"/>
  <c r="AN58" i="48" s="1"/>
  <c r="AH58" i="48"/>
  <c r="AK58" i="48" s="1"/>
  <c r="AE58" i="48"/>
  <c r="AB58" i="48"/>
  <c r="AA58" i="48"/>
  <c r="AF58" i="48" s="1"/>
  <c r="Z58" i="48"/>
  <c r="AC58" i="48" s="1"/>
  <c r="W58" i="48"/>
  <c r="T58" i="48"/>
  <c r="S58" i="48"/>
  <c r="X58" i="48" s="1"/>
  <c r="R58" i="48"/>
  <c r="O58" i="48"/>
  <c r="L58" i="48"/>
  <c r="K58" i="48"/>
  <c r="P58" i="48" s="1"/>
  <c r="J58" i="48"/>
  <c r="M58" i="48" s="1"/>
  <c r="G58" i="48"/>
  <c r="F58" i="48"/>
  <c r="E58" i="48"/>
  <c r="H58" i="48" s="1"/>
  <c r="AM57" i="48"/>
  <c r="AJ57" i="48"/>
  <c r="AI57" i="48"/>
  <c r="AN57" i="48" s="1"/>
  <c r="AH57" i="48"/>
  <c r="AK57" i="48" s="1"/>
  <c r="AE57" i="48"/>
  <c r="AB57" i="48"/>
  <c r="AA57" i="48"/>
  <c r="AF57" i="48" s="1"/>
  <c r="Z57" i="48"/>
  <c r="AC57" i="48" s="1"/>
  <c r="W57" i="48"/>
  <c r="T57" i="48"/>
  <c r="S57" i="48"/>
  <c r="X57" i="48" s="1"/>
  <c r="R57" i="48"/>
  <c r="U57" i="48" s="1"/>
  <c r="O57" i="48"/>
  <c r="L57" i="48"/>
  <c r="K57" i="48"/>
  <c r="P57" i="48" s="1"/>
  <c r="J57" i="48"/>
  <c r="M57" i="48" s="1"/>
  <c r="G57" i="48"/>
  <c r="F57" i="48"/>
  <c r="E57" i="48"/>
  <c r="AM52" i="48"/>
  <c r="AJ52" i="48"/>
  <c r="AI52" i="48"/>
  <c r="AN52" i="48" s="1"/>
  <c r="AH52" i="48"/>
  <c r="AK52" i="48" s="1"/>
  <c r="AE52" i="48"/>
  <c r="AB52" i="48"/>
  <c r="AA52" i="48"/>
  <c r="Z52" i="48"/>
  <c r="W52" i="48"/>
  <c r="T52" i="48"/>
  <c r="S52" i="48"/>
  <c r="X52" i="48" s="1"/>
  <c r="R52" i="48"/>
  <c r="O52" i="48"/>
  <c r="L52" i="48"/>
  <c r="K52" i="48"/>
  <c r="P52" i="48" s="1"/>
  <c r="J52" i="48"/>
  <c r="M52" i="48" s="1"/>
  <c r="G52" i="48"/>
  <c r="F52" i="48"/>
  <c r="E52" i="48"/>
  <c r="H52" i="48" s="1"/>
  <c r="AM51" i="48"/>
  <c r="AJ51" i="48"/>
  <c r="AI51" i="48"/>
  <c r="AN51" i="48" s="1"/>
  <c r="AH51" i="48"/>
  <c r="AK51" i="48" s="1"/>
  <c r="AE51" i="48"/>
  <c r="AB51" i="48"/>
  <c r="AA51" i="48"/>
  <c r="AF51" i="48" s="1"/>
  <c r="Z51" i="48"/>
  <c r="AC51" i="48" s="1"/>
  <c r="AD51" i="48" s="1"/>
  <c r="W51" i="48"/>
  <c r="T51" i="48"/>
  <c r="S51" i="48"/>
  <c r="R51" i="48"/>
  <c r="U51" i="48" s="1"/>
  <c r="O51" i="48"/>
  <c r="L51" i="48"/>
  <c r="K51" i="48"/>
  <c r="P51" i="48" s="1"/>
  <c r="J51" i="48"/>
  <c r="M51" i="48" s="1"/>
  <c r="G51" i="48"/>
  <c r="F51" i="48"/>
  <c r="E51" i="48"/>
  <c r="H51" i="48" s="1"/>
  <c r="AM50" i="48"/>
  <c r="AJ50" i="48"/>
  <c r="AI50" i="48"/>
  <c r="AH50" i="48"/>
  <c r="AK50" i="48" s="1"/>
  <c r="AE50" i="48"/>
  <c r="AB50" i="48"/>
  <c r="AA50" i="48"/>
  <c r="AF50" i="48" s="1"/>
  <c r="Z50" i="48"/>
  <c r="W50" i="48"/>
  <c r="T50" i="48"/>
  <c r="S50" i="48"/>
  <c r="R50" i="48"/>
  <c r="U50" i="48" s="1"/>
  <c r="O50" i="48"/>
  <c r="L50" i="48"/>
  <c r="K50" i="48"/>
  <c r="J50" i="48"/>
  <c r="G50" i="48"/>
  <c r="F50" i="48"/>
  <c r="E50" i="48"/>
  <c r="AM49" i="48"/>
  <c r="AJ49" i="48"/>
  <c r="AI49" i="48"/>
  <c r="AN49" i="48" s="1"/>
  <c r="AH49" i="48"/>
  <c r="AK49" i="48" s="1"/>
  <c r="AE49" i="48"/>
  <c r="AB49" i="48"/>
  <c r="AA49" i="48"/>
  <c r="AF49" i="48" s="1"/>
  <c r="Z49" i="48"/>
  <c r="W49" i="48"/>
  <c r="T49" i="48"/>
  <c r="S49" i="48"/>
  <c r="X49" i="48" s="1"/>
  <c r="R49" i="48"/>
  <c r="U49" i="48" s="1"/>
  <c r="O49" i="48"/>
  <c r="L49" i="48"/>
  <c r="K49" i="48"/>
  <c r="P49" i="48" s="1"/>
  <c r="J49" i="48"/>
  <c r="M49" i="48" s="1"/>
  <c r="G49" i="48"/>
  <c r="F49" i="48"/>
  <c r="E49" i="48"/>
  <c r="H49" i="48" s="1"/>
  <c r="AM48" i="48"/>
  <c r="AJ48" i="48"/>
  <c r="AI48" i="48"/>
  <c r="AN48" i="48" s="1"/>
  <c r="AH48" i="48"/>
  <c r="AK48" i="48" s="1"/>
  <c r="AE48" i="48"/>
  <c r="AB48" i="48"/>
  <c r="AA48" i="48"/>
  <c r="AF48" i="48" s="1"/>
  <c r="Z48" i="48"/>
  <c r="AC48" i="48" s="1"/>
  <c r="W48" i="48"/>
  <c r="T48" i="48"/>
  <c r="S48" i="48"/>
  <c r="X48" i="48" s="1"/>
  <c r="R48" i="48"/>
  <c r="U48" i="48" s="1"/>
  <c r="O48" i="48"/>
  <c r="L48" i="48"/>
  <c r="K48" i="48"/>
  <c r="J48" i="48"/>
  <c r="M48" i="48" s="1"/>
  <c r="G48" i="48"/>
  <c r="F48" i="48"/>
  <c r="E48" i="48"/>
  <c r="H48" i="48" s="1"/>
  <c r="AM47" i="48"/>
  <c r="AJ47" i="48"/>
  <c r="AI47" i="48"/>
  <c r="AH47" i="48"/>
  <c r="AK47" i="48" s="1"/>
  <c r="AE47" i="48"/>
  <c r="AB47" i="48"/>
  <c r="AA47" i="48"/>
  <c r="Z47" i="48"/>
  <c r="W47" i="48"/>
  <c r="T47" i="48"/>
  <c r="S47" i="48"/>
  <c r="X47" i="48" s="1"/>
  <c r="R47" i="48"/>
  <c r="U47" i="48" s="1"/>
  <c r="O47" i="48"/>
  <c r="L47" i="48"/>
  <c r="K47" i="48"/>
  <c r="J47" i="48"/>
  <c r="M47" i="48" s="1"/>
  <c r="G47" i="48"/>
  <c r="F47" i="48"/>
  <c r="E47" i="48"/>
  <c r="H47" i="48" s="1"/>
  <c r="AM46" i="48"/>
  <c r="AJ46" i="48"/>
  <c r="AI46" i="48"/>
  <c r="AN46" i="48" s="1"/>
  <c r="AH46" i="48"/>
  <c r="AK46" i="48" s="1"/>
  <c r="AE46" i="48"/>
  <c r="AB46" i="48"/>
  <c r="AA46" i="48"/>
  <c r="AF46" i="48" s="1"/>
  <c r="Z46" i="48"/>
  <c r="AC46" i="48" s="1"/>
  <c r="W46" i="48"/>
  <c r="T46" i="48"/>
  <c r="S46" i="48"/>
  <c r="X46" i="48" s="1"/>
  <c r="R46" i="48"/>
  <c r="U46" i="48" s="1"/>
  <c r="V46" i="48" s="1"/>
  <c r="O46" i="48"/>
  <c r="L46" i="48"/>
  <c r="K46" i="48"/>
  <c r="P46" i="48" s="1"/>
  <c r="J46" i="48"/>
  <c r="M46" i="48" s="1"/>
  <c r="G46" i="48"/>
  <c r="F46" i="48"/>
  <c r="E46" i="48"/>
  <c r="H46" i="48" s="1"/>
  <c r="AM45" i="48"/>
  <c r="AJ45" i="48"/>
  <c r="AI45" i="48"/>
  <c r="AH45" i="48"/>
  <c r="AE45" i="48"/>
  <c r="AB45" i="48"/>
  <c r="AA45" i="48"/>
  <c r="AF45" i="48" s="1"/>
  <c r="Z45" i="48"/>
  <c r="AC45" i="48" s="1"/>
  <c r="AD45" i="48" s="1"/>
  <c r="W45" i="48"/>
  <c r="T45" i="48"/>
  <c r="S45" i="48"/>
  <c r="X45" i="48" s="1"/>
  <c r="Y45" i="48" s="1"/>
  <c r="R45" i="48"/>
  <c r="U45" i="48" s="1"/>
  <c r="O45" i="48"/>
  <c r="L45" i="48"/>
  <c r="K45" i="48"/>
  <c r="J45" i="48"/>
  <c r="M45" i="48" s="1"/>
  <c r="G45" i="48"/>
  <c r="F45" i="48"/>
  <c r="E45" i="48"/>
  <c r="H45" i="48" s="1"/>
  <c r="I45" i="48" s="1"/>
  <c r="AM44" i="48"/>
  <c r="AJ44" i="48"/>
  <c r="AI44" i="48"/>
  <c r="AN44" i="48" s="1"/>
  <c r="AH44" i="48"/>
  <c r="AK44" i="48" s="1"/>
  <c r="AE44" i="48"/>
  <c r="AB44" i="48"/>
  <c r="AA44" i="48"/>
  <c r="AF44" i="48" s="1"/>
  <c r="Z44" i="48"/>
  <c r="AC44" i="48" s="1"/>
  <c r="W44" i="48"/>
  <c r="T44" i="48"/>
  <c r="S44" i="48"/>
  <c r="X44" i="48" s="1"/>
  <c r="R44" i="48"/>
  <c r="U44" i="48" s="1"/>
  <c r="O44" i="48"/>
  <c r="L44" i="48"/>
  <c r="K44" i="48"/>
  <c r="P44" i="48" s="1"/>
  <c r="J44" i="48"/>
  <c r="M44" i="48" s="1"/>
  <c r="G44" i="48"/>
  <c r="F44" i="48"/>
  <c r="E44" i="48"/>
  <c r="AM43" i="48"/>
  <c r="AJ43" i="48"/>
  <c r="AI43" i="48"/>
  <c r="AN43" i="48" s="1"/>
  <c r="AH43" i="48"/>
  <c r="AK43" i="48" s="1"/>
  <c r="AE43" i="48"/>
  <c r="AB43" i="48"/>
  <c r="AA43" i="48"/>
  <c r="AF43" i="48" s="1"/>
  <c r="Z43" i="48"/>
  <c r="AC43" i="48" s="1"/>
  <c r="W43" i="48"/>
  <c r="T43" i="48"/>
  <c r="S43" i="48"/>
  <c r="R43" i="48"/>
  <c r="O43" i="48"/>
  <c r="L43" i="48"/>
  <c r="K43" i="48"/>
  <c r="P43" i="48" s="1"/>
  <c r="J43" i="48"/>
  <c r="M43" i="48" s="1"/>
  <c r="G43" i="48"/>
  <c r="F43" i="48"/>
  <c r="E43" i="48"/>
  <c r="H43" i="48" s="1"/>
  <c r="AM42" i="48"/>
  <c r="AJ42" i="48"/>
  <c r="AI42" i="48"/>
  <c r="AH42" i="48"/>
  <c r="AK42" i="48" s="1"/>
  <c r="AE42" i="48"/>
  <c r="AB42" i="48"/>
  <c r="AA42" i="48"/>
  <c r="AF42" i="48" s="1"/>
  <c r="AG42" i="48" s="1"/>
  <c r="Z42" i="48"/>
  <c r="AC42" i="48" s="1"/>
  <c r="W42" i="48"/>
  <c r="T42" i="48"/>
  <c r="S42" i="48"/>
  <c r="X42" i="48" s="1"/>
  <c r="R42" i="48"/>
  <c r="U42" i="48" s="1"/>
  <c r="O42" i="48"/>
  <c r="L42" i="48"/>
  <c r="K42" i="48"/>
  <c r="P42" i="48" s="1"/>
  <c r="J42" i="48"/>
  <c r="G42" i="48"/>
  <c r="F42" i="48"/>
  <c r="E42" i="48"/>
  <c r="H42" i="48" s="1"/>
  <c r="AM41" i="48"/>
  <c r="AJ41" i="48"/>
  <c r="AI41" i="48"/>
  <c r="AN41" i="48" s="1"/>
  <c r="AH41" i="48"/>
  <c r="AK41" i="48" s="1"/>
  <c r="AE41" i="48"/>
  <c r="AB41" i="48"/>
  <c r="AA41" i="48"/>
  <c r="AF41" i="48" s="1"/>
  <c r="Z41" i="48"/>
  <c r="W41" i="48"/>
  <c r="T41" i="48"/>
  <c r="S41" i="48"/>
  <c r="X41" i="48" s="1"/>
  <c r="R41" i="48"/>
  <c r="U41" i="48" s="1"/>
  <c r="O41" i="48"/>
  <c r="L41" i="48"/>
  <c r="K41" i="48"/>
  <c r="P41" i="48" s="1"/>
  <c r="J41" i="48"/>
  <c r="M41" i="48" s="1"/>
  <c r="G41" i="48"/>
  <c r="F41" i="48"/>
  <c r="E41" i="48"/>
  <c r="AM40" i="48"/>
  <c r="AJ40" i="48"/>
  <c r="AI40" i="48"/>
  <c r="AH40" i="48"/>
  <c r="AK40" i="48" s="1"/>
  <c r="AE40" i="48"/>
  <c r="AB40" i="48"/>
  <c r="AA40" i="48"/>
  <c r="Z40" i="48"/>
  <c r="AC40" i="48" s="1"/>
  <c r="W40" i="48"/>
  <c r="T40" i="48"/>
  <c r="S40" i="48"/>
  <c r="X40" i="48" s="1"/>
  <c r="R40" i="48"/>
  <c r="U40" i="48" s="1"/>
  <c r="O40" i="48"/>
  <c r="L40" i="48"/>
  <c r="K40" i="48"/>
  <c r="P40" i="48" s="1"/>
  <c r="J40" i="48"/>
  <c r="M40" i="48" s="1"/>
  <c r="G40" i="48"/>
  <c r="F40" i="48"/>
  <c r="E40" i="48"/>
  <c r="H40" i="48" s="1"/>
  <c r="AM39" i="48"/>
  <c r="AJ39" i="48"/>
  <c r="AI39" i="48"/>
  <c r="AN39" i="48" s="1"/>
  <c r="AH39" i="48"/>
  <c r="AK39" i="48" s="1"/>
  <c r="AE39" i="48"/>
  <c r="AB39" i="48"/>
  <c r="AA39" i="48"/>
  <c r="AF39" i="48" s="1"/>
  <c r="Z39" i="48"/>
  <c r="AC39" i="48" s="1"/>
  <c r="W39" i="48"/>
  <c r="T39" i="48"/>
  <c r="S39" i="48"/>
  <c r="X39" i="48" s="1"/>
  <c r="R39" i="48"/>
  <c r="U39" i="48" s="1"/>
  <c r="O39" i="48"/>
  <c r="L39" i="48"/>
  <c r="K39" i="48"/>
  <c r="P39" i="48" s="1"/>
  <c r="J39" i="48"/>
  <c r="M39" i="48" s="1"/>
  <c r="G39" i="48"/>
  <c r="F39" i="48"/>
  <c r="E39" i="48"/>
  <c r="H39" i="48" s="1"/>
  <c r="AM38" i="48"/>
  <c r="AJ38" i="48"/>
  <c r="AI38" i="48"/>
  <c r="AN38" i="48" s="1"/>
  <c r="AO38" i="48" s="1"/>
  <c r="AH38" i="48"/>
  <c r="AE38" i="48"/>
  <c r="AB38" i="48"/>
  <c r="AA38" i="48"/>
  <c r="Z38" i="48"/>
  <c r="AC38" i="48" s="1"/>
  <c r="W38" i="48"/>
  <c r="T38" i="48"/>
  <c r="S38" i="48"/>
  <c r="X38" i="48" s="1"/>
  <c r="Y38" i="48" s="1"/>
  <c r="R38" i="48"/>
  <c r="U38" i="48" s="1"/>
  <c r="O38" i="48"/>
  <c r="L38" i="48"/>
  <c r="K38" i="48"/>
  <c r="P38" i="48" s="1"/>
  <c r="J38" i="48"/>
  <c r="M38" i="48" s="1"/>
  <c r="G38" i="48"/>
  <c r="F38" i="48"/>
  <c r="E38" i="48"/>
  <c r="H38" i="48" s="1"/>
  <c r="AM37" i="48"/>
  <c r="AJ37" i="48"/>
  <c r="AI37" i="48"/>
  <c r="AN37" i="48" s="1"/>
  <c r="AH37" i="48"/>
  <c r="AK37" i="48" s="1"/>
  <c r="AE37" i="48"/>
  <c r="AB37" i="48"/>
  <c r="AA37" i="48"/>
  <c r="AF37" i="48" s="1"/>
  <c r="Z37" i="48"/>
  <c r="AC37" i="48" s="1"/>
  <c r="W37" i="48"/>
  <c r="T37" i="48"/>
  <c r="S37" i="48"/>
  <c r="X37" i="48" s="1"/>
  <c r="R37" i="48"/>
  <c r="O37" i="48"/>
  <c r="L37" i="48"/>
  <c r="K37" i="48"/>
  <c r="J37" i="48"/>
  <c r="M37" i="48" s="1"/>
  <c r="G37" i="48"/>
  <c r="F37" i="48"/>
  <c r="E37" i="48"/>
  <c r="H37" i="48" s="1"/>
  <c r="AM36" i="48"/>
  <c r="AJ36" i="48"/>
  <c r="AI36" i="48"/>
  <c r="AN36" i="48" s="1"/>
  <c r="AH36" i="48"/>
  <c r="AK36" i="48" s="1"/>
  <c r="AE36" i="48"/>
  <c r="AB36" i="48"/>
  <c r="AA36" i="48"/>
  <c r="Z36" i="48"/>
  <c r="AC36" i="48" s="1"/>
  <c r="W36" i="48"/>
  <c r="T36" i="48"/>
  <c r="S36" i="48"/>
  <c r="R36" i="48"/>
  <c r="U36" i="48" s="1"/>
  <c r="O36" i="48"/>
  <c r="AS36" i="48" s="1"/>
  <c r="L36" i="48"/>
  <c r="K36" i="48"/>
  <c r="P36" i="48" s="1"/>
  <c r="J36" i="48"/>
  <c r="M36" i="48" s="1"/>
  <c r="N36" i="48" s="1"/>
  <c r="G36" i="48"/>
  <c r="F36" i="48"/>
  <c r="E36" i="48"/>
  <c r="H36" i="48" s="1"/>
  <c r="AM35" i="48"/>
  <c r="AJ35" i="48"/>
  <c r="AI35" i="48"/>
  <c r="AH35" i="48"/>
  <c r="AK35" i="48" s="1"/>
  <c r="AE35" i="48"/>
  <c r="AB35" i="48"/>
  <c r="AA35" i="48"/>
  <c r="AF35" i="48" s="1"/>
  <c r="Z35" i="48"/>
  <c r="AC35" i="48" s="1"/>
  <c r="W35" i="48"/>
  <c r="T35" i="48"/>
  <c r="S35" i="48"/>
  <c r="X35" i="48" s="1"/>
  <c r="R35" i="48"/>
  <c r="U35" i="48" s="1"/>
  <c r="O35" i="48"/>
  <c r="L35" i="48"/>
  <c r="K35" i="48"/>
  <c r="P35" i="48" s="1"/>
  <c r="J35" i="48"/>
  <c r="M35" i="48" s="1"/>
  <c r="N35" i="48" s="1"/>
  <c r="G35" i="48"/>
  <c r="F35" i="48"/>
  <c r="E35" i="48"/>
  <c r="H35" i="48" s="1"/>
  <c r="AM30" i="48"/>
  <c r="AJ30" i="48"/>
  <c r="AI30" i="48"/>
  <c r="AH30" i="48"/>
  <c r="AK30" i="48" s="1"/>
  <c r="AE30" i="48"/>
  <c r="AB30" i="48"/>
  <c r="AA30" i="48"/>
  <c r="AF30" i="48" s="1"/>
  <c r="Z30" i="48"/>
  <c r="AC30" i="48" s="1"/>
  <c r="W30" i="48"/>
  <c r="T30" i="48"/>
  <c r="S30" i="48"/>
  <c r="X30" i="48" s="1"/>
  <c r="R30" i="48"/>
  <c r="U30" i="48" s="1"/>
  <c r="V30" i="48" s="1"/>
  <c r="O30" i="48"/>
  <c r="L30" i="48"/>
  <c r="K30" i="48"/>
  <c r="P30" i="48" s="1"/>
  <c r="J30" i="48"/>
  <c r="M30" i="48" s="1"/>
  <c r="G30" i="48"/>
  <c r="F30" i="48"/>
  <c r="E30" i="48"/>
  <c r="H30" i="48" s="1"/>
  <c r="AM29" i="48"/>
  <c r="AJ29" i="48"/>
  <c r="AI29" i="48"/>
  <c r="AH29" i="48"/>
  <c r="AK29" i="48" s="1"/>
  <c r="AE29" i="48"/>
  <c r="AB29" i="48"/>
  <c r="AA29" i="48"/>
  <c r="AF29" i="48" s="1"/>
  <c r="Z29" i="48"/>
  <c r="W29" i="48"/>
  <c r="T29" i="48"/>
  <c r="S29" i="48"/>
  <c r="X29" i="48" s="1"/>
  <c r="R29" i="48"/>
  <c r="U29" i="48" s="1"/>
  <c r="O29" i="48"/>
  <c r="L29" i="48"/>
  <c r="K29" i="48"/>
  <c r="P29" i="48" s="1"/>
  <c r="J29" i="48"/>
  <c r="M29" i="48" s="1"/>
  <c r="G29" i="48"/>
  <c r="F29" i="48"/>
  <c r="E29" i="48"/>
  <c r="H29" i="48" s="1"/>
  <c r="AM28" i="48"/>
  <c r="AJ28" i="48"/>
  <c r="AI28" i="48"/>
  <c r="AN28" i="48" s="1"/>
  <c r="AO28" i="48" s="1"/>
  <c r="AH28" i="48"/>
  <c r="AK28" i="48" s="1"/>
  <c r="AE28" i="48"/>
  <c r="AB28" i="48"/>
  <c r="AA28" i="48"/>
  <c r="AF28" i="48" s="1"/>
  <c r="Z28" i="48"/>
  <c r="AC28" i="48" s="1"/>
  <c r="W28" i="48"/>
  <c r="T28" i="48"/>
  <c r="S28" i="48"/>
  <c r="X28" i="48" s="1"/>
  <c r="R28" i="48"/>
  <c r="U28" i="48" s="1"/>
  <c r="V28" i="48" s="1"/>
  <c r="O28" i="48"/>
  <c r="L28" i="48"/>
  <c r="K28" i="48"/>
  <c r="P28" i="48" s="1"/>
  <c r="J28" i="48"/>
  <c r="M28" i="48" s="1"/>
  <c r="G28" i="48"/>
  <c r="F28" i="48"/>
  <c r="E28" i="48"/>
  <c r="H28" i="48" s="1"/>
  <c r="AM27" i="48"/>
  <c r="AJ27" i="48"/>
  <c r="AI27" i="48"/>
  <c r="AN27" i="48" s="1"/>
  <c r="AH27" i="48"/>
  <c r="AK27" i="48" s="1"/>
  <c r="AL27" i="48" s="1"/>
  <c r="AE27" i="48"/>
  <c r="AB27" i="48"/>
  <c r="AA27" i="48"/>
  <c r="AF27" i="48" s="1"/>
  <c r="Z27" i="48"/>
  <c r="W27" i="48"/>
  <c r="T27" i="48"/>
  <c r="S27" i="48"/>
  <c r="X27" i="48" s="1"/>
  <c r="R27" i="48"/>
  <c r="O27" i="48"/>
  <c r="L27" i="48"/>
  <c r="K27" i="48"/>
  <c r="J27" i="48"/>
  <c r="M27" i="48" s="1"/>
  <c r="G27" i="48"/>
  <c r="F27" i="48"/>
  <c r="E27" i="48"/>
  <c r="H27" i="48" s="1"/>
  <c r="AM26" i="48"/>
  <c r="AJ26" i="48"/>
  <c r="AI26" i="48"/>
  <c r="AN26" i="48" s="1"/>
  <c r="AH26" i="48"/>
  <c r="AK26" i="48" s="1"/>
  <c r="AE26" i="48"/>
  <c r="AB26" i="48"/>
  <c r="AA26" i="48"/>
  <c r="AF26" i="48" s="1"/>
  <c r="Z26" i="48"/>
  <c r="AC26" i="48" s="1"/>
  <c r="W26" i="48"/>
  <c r="T26" i="48"/>
  <c r="S26" i="48"/>
  <c r="X26" i="48" s="1"/>
  <c r="R26" i="48"/>
  <c r="O26" i="48"/>
  <c r="L26" i="48"/>
  <c r="K26" i="48"/>
  <c r="P26" i="48" s="1"/>
  <c r="J26" i="48"/>
  <c r="M26" i="48" s="1"/>
  <c r="G26" i="48"/>
  <c r="F26" i="48"/>
  <c r="E26" i="48"/>
  <c r="H26" i="48" s="1"/>
  <c r="AM25" i="48"/>
  <c r="AJ25" i="48"/>
  <c r="AI25" i="48"/>
  <c r="AN25" i="48" s="1"/>
  <c r="AH25" i="48"/>
  <c r="AK25" i="48" s="1"/>
  <c r="AE25" i="48"/>
  <c r="AB25" i="48"/>
  <c r="AA25" i="48"/>
  <c r="AF25" i="48" s="1"/>
  <c r="Z25" i="48"/>
  <c r="AC25" i="48" s="1"/>
  <c r="AD25" i="48" s="1"/>
  <c r="W25" i="48"/>
  <c r="T25" i="48"/>
  <c r="S25" i="48"/>
  <c r="R25" i="48"/>
  <c r="U25" i="48" s="1"/>
  <c r="O25" i="48"/>
  <c r="L25" i="48"/>
  <c r="K25" i="48"/>
  <c r="J25" i="48"/>
  <c r="M25" i="48" s="1"/>
  <c r="G25" i="48"/>
  <c r="F25" i="48"/>
  <c r="E25" i="48"/>
  <c r="H25" i="48" s="1"/>
  <c r="AM24" i="48"/>
  <c r="AJ24" i="48"/>
  <c r="AI24" i="48"/>
  <c r="AN24" i="48" s="1"/>
  <c r="AH24" i="48"/>
  <c r="AE24" i="48"/>
  <c r="AB24" i="48"/>
  <c r="AA24" i="48"/>
  <c r="AF24" i="48" s="1"/>
  <c r="Z24" i="48"/>
  <c r="AC24" i="48" s="1"/>
  <c r="W24" i="48"/>
  <c r="T24" i="48"/>
  <c r="S24" i="48"/>
  <c r="X24" i="48" s="1"/>
  <c r="R24" i="48"/>
  <c r="U24" i="48" s="1"/>
  <c r="O24" i="48"/>
  <c r="L24" i="48"/>
  <c r="K24" i="48"/>
  <c r="J24" i="48"/>
  <c r="M24" i="48" s="1"/>
  <c r="G24" i="48"/>
  <c r="F24" i="48"/>
  <c r="E24" i="48"/>
  <c r="H24" i="48" s="1"/>
  <c r="AM23" i="48"/>
  <c r="AJ23" i="48"/>
  <c r="AI23" i="48"/>
  <c r="AN23" i="48" s="1"/>
  <c r="AH23" i="48"/>
  <c r="AK23" i="48" s="1"/>
  <c r="AL23" i="48" s="1"/>
  <c r="AE23" i="48"/>
  <c r="AB23" i="48"/>
  <c r="AA23" i="48"/>
  <c r="AF23" i="48" s="1"/>
  <c r="Z23" i="48"/>
  <c r="AC23" i="48" s="1"/>
  <c r="W23" i="48"/>
  <c r="T23" i="48"/>
  <c r="S23" i="48"/>
  <c r="X23" i="48" s="1"/>
  <c r="R23" i="48"/>
  <c r="U23" i="48" s="1"/>
  <c r="O23" i="48"/>
  <c r="L23" i="48"/>
  <c r="K23" i="48"/>
  <c r="J23" i="48"/>
  <c r="G23" i="48"/>
  <c r="F23" i="48"/>
  <c r="E23" i="48"/>
  <c r="H23" i="48" s="1"/>
  <c r="AM22" i="48"/>
  <c r="AJ22" i="48"/>
  <c r="AI22" i="48"/>
  <c r="AH22" i="48"/>
  <c r="AK22" i="48" s="1"/>
  <c r="AE22" i="48"/>
  <c r="AB22" i="48"/>
  <c r="AA22" i="48"/>
  <c r="AF22" i="48" s="1"/>
  <c r="Z22" i="48"/>
  <c r="AC22" i="48" s="1"/>
  <c r="W22" i="48"/>
  <c r="T22" i="48"/>
  <c r="S22" i="48"/>
  <c r="X22" i="48" s="1"/>
  <c r="R22" i="48"/>
  <c r="U22" i="48" s="1"/>
  <c r="O22" i="48"/>
  <c r="L22" i="48"/>
  <c r="K22" i="48"/>
  <c r="P22" i="48" s="1"/>
  <c r="J22" i="48"/>
  <c r="M22" i="48" s="1"/>
  <c r="G22" i="48"/>
  <c r="F22" i="48"/>
  <c r="E22" i="48"/>
  <c r="AM21" i="48"/>
  <c r="AJ21" i="48"/>
  <c r="AI21" i="48"/>
  <c r="AN21" i="48" s="1"/>
  <c r="AH21" i="48"/>
  <c r="AK21" i="48" s="1"/>
  <c r="AE21" i="48"/>
  <c r="AB21" i="48"/>
  <c r="AA21" i="48"/>
  <c r="AF21" i="48" s="1"/>
  <c r="Z21" i="48"/>
  <c r="AC21" i="48" s="1"/>
  <c r="W21" i="48"/>
  <c r="T21" i="48"/>
  <c r="S21" i="48"/>
  <c r="R21" i="48"/>
  <c r="U21" i="48" s="1"/>
  <c r="O21" i="48"/>
  <c r="L21" i="48"/>
  <c r="K21" i="48"/>
  <c r="P21" i="48" s="1"/>
  <c r="J21" i="48"/>
  <c r="M21" i="48" s="1"/>
  <c r="G21" i="48"/>
  <c r="F21" i="48"/>
  <c r="E21" i="48"/>
  <c r="H21" i="48" s="1"/>
  <c r="AM20" i="48"/>
  <c r="AJ20" i="48"/>
  <c r="AI20" i="48"/>
  <c r="AH20" i="48"/>
  <c r="AK20" i="48" s="1"/>
  <c r="AE20" i="48"/>
  <c r="AB20" i="48"/>
  <c r="AA20" i="48"/>
  <c r="AF20" i="48" s="1"/>
  <c r="Z20" i="48"/>
  <c r="AC20" i="48" s="1"/>
  <c r="W20" i="48"/>
  <c r="T20" i="48"/>
  <c r="S20" i="48"/>
  <c r="X20" i="48" s="1"/>
  <c r="R20" i="48"/>
  <c r="O20" i="48"/>
  <c r="L20" i="48"/>
  <c r="K20" i="48"/>
  <c r="P20" i="48" s="1"/>
  <c r="J20" i="48"/>
  <c r="M20" i="48" s="1"/>
  <c r="G20" i="48"/>
  <c r="F20" i="48"/>
  <c r="E20" i="48"/>
  <c r="H20" i="48" s="1"/>
  <c r="AM19" i="48"/>
  <c r="AJ19" i="48"/>
  <c r="AI19" i="48"/>
  <c r="AN19" i="48" s="1"/>
  <c r="AH19" i="48"/>
  <c r="AK19" i="48" s="1"/>
  <c r="AE19" i="48"/>
  <c r="AB19" i="48"/>
  <c r="AA19" i="48"/>
  <c r="AF19" i="48" s="1"/>
  <c r="Z19" i="48"/>
  <c r="W19" i="48"/>
  <c r="T19" i="48"/>
  <c r="S19" i="48"/>
  <c r="X19" i="48" s="1"/>
  <c r="R19" i="48"/>
  <c r="U19" i="48" s="1"/>
  <c r="O19" i="48"/>
  <c r="L19" i="48"/>
  <c r="K19" i="48"/>
  <c r="P19" i="48" s="1"/>
  <c r="J19" i="48"/>
  <c r="M19" i="48" s="1"/>
  <c r="G19" i="48"/>
  <c r="F19" i="48"/>
  <c r="E19" i="48"/>
  <c r="H19" i="48" s="1"/>
  <c r="AM18" i="48"/>
  <c r="AJ18" i="48"/>
  <c r="AI18" i="48"/>
  <c r="AN18" i="48" s="1"/>
  <c r="AH18" i="48"/>
  <c r="AK18" i="48" s="1"/>
  <c r="AE18" i="48"/>
  <c r="AB18" i="48"/>
  <c r="AA18" i="48"/>
  <c r="AF18" i="48" s="1"/>
  <c r="Z18" i="48"/>
  <c r="AC18" i="48" s="1"/>
  <c r="W18" i="48"/>
  <c r="T18" i="48"/>
  <c r="S18" i="48"/>
  <c r="X18" i="48" s="1"/>
  <c r="R18" i="48"/>
  <c r="U18" i="48" s="1"/>
  <c r="O18" i="48"/>
  <c r="L18" i="48"/>
  <c r="K18" i="48"/>
  <c r="J18" i="48"/>
  <c r="M18" i="48" s="1"/>
  <c r="G18" i="48"/>
  <c r="F18" i="48"/>
  <c r="E18" i="48"/>
  <c r="AM17" i="48"/>
  <c r="AJ17" i="48"/>
  <c r="AI17" i="48"/>
  <c r="AH17" i="48"/>
  <c r="AK17" i="48" s="1"/>
  <c r="AE17" i="48"/>
  <c r="AB17" i="48"/>
  <c r="AA17" i="48"/>
  <c r="AF17" i="48" s="1"/>
  <c r="Z17" i="48"/>
  <c r="AC17" i="48" s="1"/>
  <c r="W17" i="48"/>
  <c r="T17" i="48"/>
  <c r="S17" i="48"/>
  <c r="X17" i="48" s="1"/>
  <c r="Y17" i="48" s="1"/>
  <c r="R17" i="48"/>
  <c r="O17" i="48"/>
  <c r="L17" i="48"/>
  <c r="K17" i="48"/>
  <c r="P17" i="48" s="1"/>
  <c r="J17" i="48"/>
  <c r="M17" i="48" s="1"/>
  <c r="G17" i="48"/>
  <c r="F17" i="48"/>
  <c r="E17" i="48"/>
  <c r="H17" i="48" s="1"/>
  <c r="AM16" i="48"/>
  <c r="AJ16" i="48"/>
  <c r="AI16" i="48"/>
  <c r="AN16" i="48" s="1"/>
  <c r="AH16" i="48"/>
  <c r="AK16" i="48" s="1"/>
  <c r="AE16" i="48"/>
  <c r="AB16" i="48"/>
  <c r="AA16" i="48"/>
  <c r="AF16" i="48" s="1"/>
  <c r="Z16" i="48"/>
  <c r="AC16" i="48" s="1"/>
  <c r="W16" i="48"/>
  <c r="T16" i="48"/>
  <c r="S16" i="48"/>
  <c r="X16" i="48" s="1"/>
  <c r="R16" i="48"/>
  <c r="U16" i="48" s="1"/>
  <c r="O16" i="48"/>
  <c r="L16" i="48"/>
  <c r="K16" i="48"/>
  <c r="J16" i="48"/>
  <c r="M16" i="48" s="1"/>
  <c r="G16" i="48"/>
  <c r="F16" i="48"/>
  <c r="E16" i="48"/>
  <c r="H16" i="48" s="1"/>
  <c r="AM15" i="48"/>
  <c r="AJ15" i="48"/>
  <c r="AI15" i="48"/>
  <c r="AN15" i="48" s="1"/>
  <c r="AH15" i="48"/>
  <c r="AK15" i="48" s="1"/>
  <c r="AE15" i="48"/>
  <c r="AB15" i="48"/>
  <c r="AA15" i="48"/>
  <c r="AF15" i="48" s="1"/>
  <c r="Z15" i="48"/>
  <c r="W15" i="48"/>
  <c r="T15" i="48"/>
  <c r="S15" i="48"/>
  <c r="R15" i="48"/>
  <c r="U15" i="48" s="1"/>
  <c r="O15" i="48"/>
  <c r="L15" i="48"/>
  <c r="K15" i="48"/>
  <c r="P15" i="48" s="1"/>
  <c r="J15" i="48"/>
  <c r="M15" i="48" s="1"/>
  <c r="N15" i="48" s="1"/>
  <c r="G15" i="48"/>
  <c r="F15" i="48"/>
  <c r="E15" i="48"/>
  <c r="AM14" i="48"/>
  <c r="AJ14" i="48"/>
  <c r="AI14" i="48"/>
  <c r="AH14" i="48"/>
  <c r="AK14" i="48" s="1"/>
  <c r="AE14" i="48"/>
  <c r="AB14" i="48"/>
  <c r="AA14" i="48"/>
  <c r="AF14" i="48" s="1"/>
  <c r="Z14" i="48"/>
  <c r="W14" i="48"/>
  <c r="T14" i="48"/>
  <c r="S14" i="48"/>
  <c r="X14" i="48" s="1"/>
  <c r="R14" i="48"/>
  <c r="U14" i="48" s="1"/>
  <c r="O14" i="48"/>
  <c r="L14" i="48"/>
  <c r="K14" i="48"/>
  <c r="P14" i="48" s="1"/>
  <c r="J14" i="48"/>
  <c r="M14" i="48" s="1"/>
  <c r="G14" i="48"/>
  <c r="F14" i="48"/>
  <c r="E14" i="48"/>
  <c r="H14" i="48" s="1"/>
  <c r="AM13" i="48"/>
  <c r="AJ13" i="48"/>
  <c r="AI13" i="48"/>
  <c r="AN13" i="48" s="1"/>
  <c r="AH13" i="48"/>
  <c r="AK13" i="48" s="1"/>
  <c r="AE13" i="48"/>
  <c r="AB13" i="48"/>
  <c r="AA13" i="48"/>
  <c r="AF13" i="48" s="1"/>
  <c r="Z13" i="48"/>
  <c r="AC13" i="48" s="1"/>
  <c r="W13" i="48"/>
  <c r="T13" i="48"/>
  <c r="S13" i="48"/>
  <c r="X13" i="48" s="1"/>
  <c r="R13" i="48"/>
  <c r="U13" i="48" s="1"/>
  <c r="O13" i="48"/>
  <c r="L13" i="48"/>
  <c r="K13" i="48"/>
  <c r="P13" i="48" s="1"/>
  <c r="J13" i="48"/>
  <c r="M13" i="48" s="1"/>
  <c r="G13" i="48"/>
  <c r="F13" i="48"/>
  <c r="E13" i="48"/>
  <c r="H13" i="48" s="1"/>
  <c r="AM12" i="48"/>
  <c r="AJ12" i="48"/>
  <c r="AI12" i="48"/>
  <c r="AN12" i="48" s="1"/>
  <c r="AO12" i="48" s="1"/>
  <c r="AH12" i="48"/>
  <c r="AE12" i="48"/>
  <c r="AB12" i="48"/>
  <c r="AA12" i="48"/>
  <c r="AF12" i="48" s="1"/>
  <c r="Z12" i="48"/>
  <c r="W12" i="48"/>
  <c r="T12" i="48"/>
  <c r="S12" i="48"/>
  <c r="R12" i="48"/>
  <c r="U12" i="48" s="1"/>
  <c r="O12" i="48"/>
  <c r="L12" i="48"/>
  <c r="K12" i="48"/>
  <c r="P12" i="48" s="1"/>
  <c r="J12" i="48"/>
  <c r="M12" i="48" s="1"/>
  <c r="G12" i="48"/>
  <c r="F12" i="48"/>
  <c r="E12" i="48"/>
  <c r="H12" i="48" s="1"/>
  <c r="AM11" i="48"/>
  <c r="AJ11" i="48"/>
  <c r="AI11" i="48"/>
  <c r="AN11" i="48" s="1"/>
  <c r="AH11" i="48"/>
  <c r="AK11" i="48" s="1"/>
  <c r="AE11" i="48"/>
  <c r="AB11" i="48"/>
  <c r="AA11" i="48"/>
  <c r="AF11" i="48" s="1"/>
  <c r="Z11" i="48"/>
  <c r="AC11" i="48" s="1"/>
  <c r="W11" i="48"/>
  <c r="T11" i="48"/>
  <c r="S11" i="48"/>
  <c r="X11" i="48" s="1"/>
  <c r="R11" i="48"/>
  <c r="O11" i="48"/>
  <c r="L11" i="48"/>
  <c r="K11" i="48"/>
  <c r="P11" i="48" s="1"/>
  <c r="J11" i="48"/>
  <c r="M11" i="48" s="1"/>
  <c r="N11" i="48" s="1"/>
  <c r="G11" i="48"/>
  <c r="F11" i="48"/>
  <c r="E11" i="48"/>
  <c r="H11" i="48" s="1"/>
  <c r="AM10" i="48"/>
  <c r="AJ10" i="48"/>
  <c r="AI10" i="48"/>
  <c r="AN10" i="48" s="1"/>
  <c r="AH10" i="48"/>
  <c r="AK10" i="48" s="1"/>
  <c r="AE10" i="48"/>
  <c r="AB10" i="48"/>
  <c r="AA10" i="48"/>
  <c r="AF10" i="48" s="1"/>
  <c r="Z10" i="48"/>
  <c r="AC10" i="48" s="1"/>
  <c r="W10" i="48"/>
  <c r="T10" i="48"/>
  <c r="S10" i="48"/>
  <c r="R10" i="48"/>
  <c r="O10" i="48"/>
  <c r="AS10" i="48" s="1"/>
  <c r="L10" i="48"/>
  <c r="K10" i="48"/>
  <c r="P10" i="48" s="1"/>
  <c r="J10" i="48"/>
  <c r="M10" i="48" s="1"/>
  <c r="G10" i="48"/>
  <c r="F10" i="48"/>
  <c r="E10" i="48"/>
  <c r="H10" i="48" s="1"/>
  <c r="AM9" i="48"/>
  <c r="AJ9" i="48"/>
  <c r="AI9" i="48"/>
  <c r="AN9" i="48" s="1"/>
  <c r="AH9" i="48"/>
  <c r="AK9" i="48" s="1"/>
  <c r="AE9" i="48"/>
  <c r="AB9" i="48"/>
  <c r="AA9" i="48"/>
  <c r="AF9" i="48" s="1"/>
  <c r="AG9" i="48" s="1"/>
  <c r="Z9" i="48"/>
  <c r="AC9" i="48" s="1"/>
  <c r="AD9" i="48" s="1"/>
  <c r="W9" i="48"/>
  <c r="T9" i="48"/>
  <c r="S9" i="48"/>
  <c r="X9" i="48" s="1"/>
  <c r="R9" i="48"/>
  <c r="U9" i="48" s="1"/>
  <c r="O9" i="48"/>
  <c r="L9" i="48"/>
  <c r="K9" i="48"/>
  <c r="J9" i="48"/>
  <c r="M9" i="48" s="1"/>
  <c r="N9" i="48" s="1"/>
  <c r="G9" i="48"/>
  <c r="F9" i="48"/>
  <c r="E9" i="48"/>
  <c r="H9" i="48" s="1"/>
  <c r="AM8" i="48"/>
  <c r="AJ8" i="48"/>
  <c r="AI8" i="48"/>
  <c r="AN8" i="48" s="1"/>
  <c r="AH8" i="48"/>
  <c r="AE8" i="48"/>
  <c r="AB8" i="48"/>
  <c r="AA8" i="48"/>
  <c r="AF8" i="48" s="1"/>
  <c r="Z8" i="48"/>
  <c r="AC8" i="48" s="1"/>
  <c r="W8" i="48"/>
  <c r="T8" i="48"/>
  <c r="S8" i="48"/>
  <c r="X8" i="48" s="1"/>
  <c r="R8" i="48"/>
  <c r="U8" i="48" s="1"/>
  <c r="O8" i="48"/>
  <c r="L8" i="48"/>
  <c r="K8" i="48"/>
  <c r="P8" i="48" s="1"/>
  <c r="J8" i="48"/>
  <c r="M8" i="48" s="1"/>
  <c r="N8" i="48" s="1"/>
  <c r="G8" i="48"/>
  <c r="F8" i="48"/>
  <c r="E8" i="48"/>
  <c r="H8" i="48" s="1"/>
  <c r="AM7" i="48"/>
  <c r="AJ7" i="48"/>
  <c r="AI7" i="48"/>
  <c r="AN7" i="48" s="1"/>
  <c r="AH7" i="48"/>
  <c r="AK7" i="48" s="1"/>
  <c r="AL7" i="48" s="1"/>
  <c r="AE7" i="48"/>
  <c r="AB7" i="48"/>
  <c r="AA7" i="48"/>
  <c r="AF7" i="48" s="1"/>
  <c r="Z7" i="48"/>
  <c r="AC7" i="48" s="1"/>
  <c r="W7" i="48"/>
  <c r="T7" i="48"/>
  <c r="S7" i="48"/>
  <c r="X7" i="48" s="1"/>
  <c r="R7" i="48"/>
  <c r="O7" i="48"/>
  <c r="L7" i="48"/>
  <c r="K7" i="48"/>
  <c r="P7" i="48" s="1"/>
  <c r="J7" i="48"/>
  <c r="M7" i="48" s="1"/>
  <c r="G7" i="48"/>
  <c r="F7" i="48"/>
  <c r="E7" i="48"/>
  <c r="H7" i="48" s="1"/>
  <c r="AU3" i="48"/>
  <c r="AH3" i="48"/>
  <c r="B3" i="48"/>
  <c r="AF70" i="48"/>
  <c r="U70" i="48"/>
  <c r="M70" i="48"/>
  <c r="AK69" i="48"/>
  <c r="AF69" i="48"/>
  <c r="AG69" i="48" s="1"/>
  <c r="M69" i="48"/>
  <c r="H69" i="48"/>
  <c r="AK68" i="48"/>
  <c r="X68" i="48"/>
  <c r="P67" i="48"/>
  <c r="H67" i="48"/>
  <c r="AN65" i="48"/>
  <c r="AK65" i="48"/>
  <c r="AF65" i="48"/>
  <c r="AC65" i="48"/>
  <c r="AN63" i="48"/>
  <c r="X63" i="48"/>
  <c r="M63" i="48"/>
  <c r="N63" i="48" s="1"/>
  <c r="AN62" i="48"/>
  <c r="AC62" i="48"/>
  <c r="M62" i="48"/>
  <c r="U61" i="48"/>
  <c r="V61" i="48" s="1"/>
  <c r="P61" i="48"/>
  <c r="M61" i="48"/>
  <c r="AS60" i="48"/>
  <c r="AF59" i="48"/>
  <c r="H59" i="48"/>
  <c r="U58" i="48"/>
  <c r="H57" i="48"/>
  <c r="AC52" i="48"/>
  <c r="AF52" i="48"/>
  <c r="U52" i="48"/>
  <c r="X51" i="48"/>
  <c r="AN50" i="48"/>
  <c r="AC50" i="48"/>
  <c r="X50" i="48"/>
  <c r="P50" i="48"/>
  <c r="M50" i="48"/>
  <c r="H50" i="48"/>
  <c r="I50" i="48" s="1"/>
  <c r="AC49" i="48"/>
  <c r="P48" i="48"/>
  <c r="AN47" i="48"/>
  <c r="AF47" i="48"/>
  <c r="AG47" i="48" s="1"/>
  <c r="AC47" i="48"/>
  <c r="P47" i="48"/>
  <c r="AN45" i="48"/>
  <c r="AO45" i="48" s="1"/>
  <c r="AK45" i="48"/>
  <c r="AL45" i="48" s="1"/>
  <c r="P45" i="48"/>
  <c r="H44" i="48"/>
  <c r="X43" i="48"/>
  <c r="U43" i="48"/>
  <c r="AN42" i="48"/>
  <c r="M42" i="48"/>
  <c r="AC41" i="48"/>
  <c r="H41" i="48"/>
  <c r="AN40" i="48"/>
  <c r="AF40" i="48"/>
  <c r="AG40" i="48" s="1"/>
  <c r="AK38" i="48"/>
  <c r="AL38" i="48" s="1"/>
  <c r="AF38" i="48"/>
  <c r="U37" i="48"/>
  <c r="P37" i="48"/>
  <c r="AF36" i="48"/>
  <c r="X36" i="48"/>
  <c r="AP35" i="48"/>
  <c r="AN35" i="48"/>
  <c r="AN30" i="48"/>
  <c r="AN29" i="48"/>
  <c r="AC29" i="48"/>
  <c r="AC27" i="48"/>
  <c r="AD27" i="48" s="1"/>
  <c r="U27" i="48"/>
  <c r="P27" i="48"/>
  <c r="Q27" i="48" s="1"/>
  <c r="U26" i="48"/>
  <c r="X25" i="48"/>
  <c r="Y25" i="48" s="1"/>
  <c r="AP25" i="48"/>
  <c r="P25" i="48"/>
  <c r="AK24" i="48"/>
  <c r="P24" i="48"/>
  <c r="P23" i="48"/>
  <c r="M23" i="48"/>
  <c r="AN22" i="48"/>
  <c r="H22" i="48"/>
  <c r="X21" i="48"/>
  <c r="AN20" i="48"/>
  <c r="U20" i="48"/>
  <c r="AC19" i="48"/>
  <c r="P18" i="48"/>
  <c r="H18" i="48"/>
  <c r="AN17" i="48"/>
  <c r="AO17" i="48" s="1"/>
  <c r="U17" i="48"/>
  <c r="V17" i="48" s="1"/>
  <c r="P16" i="48"/>
  <c r="AC15" i="48"/>
  <c r="X15" i="48"/>
  <c r="H15" i="48"/>
  <c r="AN14" i="48"/>
  <c r="AO14" i="48" s="1"/>
  <c r="AC14" i="48"/>
  <c r="AK12" i="48"/>
  <c r="AL12" i="48" s="1"/>
  <c r="AC12" i="48"/>
  <c r="X12" i="48"/>
  <c r="U11" i="48"/>
  <c r="X10" i="48"/>
  <c r="Y10" i="48" s="1"/>
  <c r="U10" i="48"/>
  <c r="V10" i="48" s="1"/>
  <c r="P9" i="48"/>
  <c r="AK8" i="48"/>
  <c r="U7" i="48"/>
  <c r="AO20" i="48" l="1"/>
  <c r="AP45" i="48"/>
  <c r="I22" i="48"/>
  <c r="AG36" i="48"/>
  <c r="AS49" i="48"/>
  <c r="AS40" i="48"/>
  <c r="AD29" i="48"/>
  <c r="AD10" i="48"/>
  <c r="AG51" i="48"/>
  <c r="V62" i="48"/>
  <c r="AG38" i="48"/>
  <c r="AD11" i="48"/>
  <c r="V23" i="48"/>
  <c r="AO26" i="48"/>
  <c r="V8" i="48"/>
  <c r="AG57" i="48"/>
  <c r="Q65" i="48"/>
  <c r="AP46" i="48"/>
  <c r="AD50" i="48"/>
  <c r="AG14" i="48"/>
  <c r="I38" i="48"/>
  <c r="I43" i="48"/>
  <c r="I21" i="48"/>
  <c r="I25" i="48"/>
  <c r="AG46" i="48"/>
  <c r="AP12" i="48"/>
  <c r="I28" i="48"/>
  <c r="AL70" i="48"/>
  <c r="V70" i="48"/>
  <c r="Q64" i="48"/>
  <c r="AP67" i="48"/>
  <c r="AP37" i="48"/>
  <c r="Y28" i="48"/>
  <c r="AL26" i="48"/>
  <c r="N69" i="48"/>
  <c r="V11" i="48"/>
  <c r="AO23" i="48"/>
  <c r="Y29" i="48"/>
  <c r="AO47" i="48"/>
  <c r="AP20" i="48"/>
  <c r="AP28" i="48"/>
  <c r="AG41" i="48"/>
  <c r="AG24" i="48"/>
  <c r="AS68" i="48"/>
  <c r="AO42" i="48"/>
  <c r="AO21" i="48"/>
  <c r="V37" i="48"/>
  <c r="AL64" i="48"/>
  <c r="Y20" i="48"/>
  <c r="AP22" i="48"/>
  <c r="Q8" i="48"/>
  <c r="N13" i="48"/>
  <c r="I23" i="48"/>
  <c r="AD38" i="48"/>
  <c r="Q13" i="48"/>
  <c r="AO13" i="48"/>
  <c r="Y14" i="48"/>
  <c r="V19" i="48"/>
  <c r="I52" i="48"/>
  <c r="N39" i="48"/>
  <c r="AO49" i="48"/>
  <c r="AG50" i="48"/>
  <c r="Y35" i="48"/>
  <c r="Y44" i="48"/>
  <c r="Y9" i="48"/>
  <c r="AP30" i="48"/>
  <c r="AL57" i="48"/>
  <c r="AS64" i="48"/>
  <c r="Q66" i="48"/>
  <c r="AL28" i="48"/>
  <c r="AD46" i="48"/>
  <c r="AO7" i="48"/>
  <c r="AD13" i="48"/>
  <c r="AO16" i="48"/>
  <c r="AL21" i="48"/>
  <c r="AD22" i="48"/>
  <c r="Q41" i="48"/>
  <c r="Y49" i="48"/>
  <c r="AO70" i="48"/>
  <c r="AD12" i="48"/>
  <c r="AD57" i="48"/>
  <c r="Q26" i="48"/>
  <c r="AD69" i="48"/>
  <c r="AD40" i="48"/>
  <c r="AS26" i="48"/>
  <c r="AL22" i="48"/>
  <c r="Y50" i="48"/>
  <c r="Y58" i="48"/>
  <c r="I66" i="48"/>
  <c r="AD14" i="48"/>
  <c r="AG16" i="48"/>
  <c r="V22" i="48"/>
  <c r="AL11" i="48"/>
  <c r="AS18" i="48"/>
  <c r="AL20" i="48"/>
  <c r="AG21" i="48"/>
  <c r="AS30" i="48"/>
  <c r="AL37" i="48"/>
  <c r="Y48" i="48"/>
  <c r="Q57" i="48"/>
  <c r="N10" i="48"/>
  <c r="AO11" i="48"/>
  <c r="AP14" i="48"/>
  <c r="I20" i="48"/>
  <c r="AD26" i="48"/>
  <c r="I37" i="48"/>
  <c r="AO37" i="48"/>
  <c r="AP40" i="48"/>
  <c r="AP52" i="48"/>
  <c r="AG60" i="48"/>
  <c r="AS66" i="48"/>
  <c r="AO25" i="48"/>
  <c r="I47" i="48"/>
  <c r="AG48" i="48"/>
  <c r="I65" i="48"/>
  <c r="Y24" i="48"/>
  <c r="AS15" i="48"/>
  <c r="AD67" i="48"/>
  <c r="AP69" i="48"/>
  <c r="Y15" i="48"/>
  <c r="Q7" i="48"/>
  <c r="AO8" i="48"/>
  <c r="AG23" i="48"/>
  <c r="Y41" i="48"/>
  <c r="AL52" i="48"/>
  <c r="V69" i="48"/>
  <c r="AS25" i="48"/>
  <c r="I12" i="48"/>
  <c r="I11" i="48"/>
  <c r="AP23" i="48"/>
  <c r="AO30" i="48"/>
  <c r="I44" i="48"/>
  <c r="Y51" i="48"/>
  <c r="Q12" i="48"/>
  <c r="AG28" i="48"/>
  <c r="AG45" i="48"/>
  <c r="V59" i="48"/>
  <c r="AG68" i="48"/>
  <c r="V39" i="48"/>
  <c r="AD41" i="48"/>
  <c r="I67" i="48"/>
  <c r="AG10" i="48"/>
  <c r="AD24" i="48"/>
  <c r="Q49" i="48"/>
  <c r="AS17" i="48"/>
  <c r="AG19" i="48"/>
  <c r="AS16" i="48"/>
  <c r="AP48" i="48"/>
  <c r="AO68" i="48"/>
  <c r="AL24" i="48"/>
  <c r="I27" i="48"/>
  <c r="AL44" i="48"/>
  <c r="AD62" i="48"/>
  <c r="AO10" i="48"/>
  <c r="V12" i="48"/>
  <c r="I63" i="48"/>
  <c r="AD70" i="48"/>
  <c r="AO15" i="48"/>
  <c r="AP36" i="48"/>
  <c r="N40" i="48"/>
  <c r="Y22" i="48"/>
  <c r="AO69" i="48"/>
  <c r="AG25" i="48"/>
  <c r="AS41" i="48"/>
  <c r="AL8" i="48"/>
  <c r="AD15" i="48"/>
  <c r="Q18" i="48"/>
  <c r="Y36" i="48"/>
  <c r="AG18" i="48"/>
  <c r="AG44" i="48"/>
  <c r="AG67" i="48"/>
  <c r="Y30" i="48"/>
  <c r="I26" i="48"/>
  <c r="AD36" i="48"/>
  <c r="AS63" i="48"/>
  <c r="V64" i="48"/>
  <c r="AP66" i="48"/>
  <c r="I68" i="48"/>
  <c r="AP68" i="48"/>
  <c r="AP70" i="48"/>
  <c r="V36" i="48"/>
  <c r="AL46" i="48"/>
  <c r="AG49" i="48"/>
  <c r="I51" i="48"/>
  <c r="AL51" i="48"/>
  <c r="AD37" i="48"/>
  <c r="AG39" i="48"/>
  <c r="I41" i="48"/>
  <c r="AP41" i="48"/>
  <c r="N48" i="48"/>
  <c r="AG8" i="48"/>
  <c r="AQ22" i="48"/>
  <c r="AR22" i="48" s="1"/>
  <c r="Q24" i="48"/>
  <c r="V26" i="48"/>
  <c r="AQ27" i="48"/>
  <c r="Y16" i="48"/>
  <c r="AL41" i="48"/>
  <c r="AT51" i="48"/>
  <c r="AD8" i="48"/>
  <c r="Y11" i="48"/>
  <c r="AP13" i="48"/>
  <c r="AS14" i="48"/>
  <c r="V16" i="48"/>
  <c r="AS19" i="48"/>
  <c r="AP21" i="48"/>
  <c r="AO22" i="48"/>
  <c r="AS27" i="48"/>
  <c r="N29" i="48"/>
  <c r="Y37" i="48"/>
  <c r="AD39" i="48"/>
  <c r="AP42" i="48"/>
  <c r="Q45" i="48"/>
  <c r="AP47" i="48"/>
  <c r="AO48" i="48"/>
  <c r="AS59" i="48"/>
  <c r="AS61" i="48"/>
  <c r="AS65" i="48"/>
  <c r="Q67" i="48"/>
  <c r="AS69" i="48"/>
  <c r="I10" i="48"/>
  <c r="AS7" i="48"/>
  <c r="I8" i="48"/>
  <c r="V9" i="48"/>
  <c r="I13" i="48"/>
  <c r="V24" i="48"/>
  <c r="AL25" i="48"/>
  <c r="AD28" i="48"/>
  <c r="V29" i="48"/>
  <c r="AG37" i="48"/>
  <c r="AP38" i="48"/>
  <c r="I46" i="48"/>
  <c r="V50" i="48"/>
  <c r="AS62" i="48"/>
  <c r="AG66" i="48"/>
  <c r="AS70" i="48"/>
  <c r="AL68" i="48"/>
  <c r="N70" i="48"/>
  <c r="V14" i="48"/>
  <c r="N22" i="48"/>
  <c r="I30" i="48"/>
  <c r="AL30" i="48"/>
  <c r="V40" i="48"/>
  <c r="AQ41" i="48"/>
  <c r="V45" i="48"/>
  <c r="I49" i="48"/>
  <c r="AL49" i="48"/>
  <c r="AL58" i="48"/>
  <c r="AL66" i="48"/>
  <c r="V67" i="48"/>
  <c r="N68" i="48"/>
  <c r="Y7" i="48"/>
  <c r="AL13" i="48"/>
  <c r="AO18" i="48"/>
  <c r="AG26" i="48"/>
  <c r="AC53" i="48"/>
  <c r="AC74" i="48" s="1"/>
  <c r="V38" i="48"/>
  <c r="AO44" i="48"/>
  <c r="AD47" i="48"/>
  <c r="AS57" i="48"/>
  <c r="AG64" i="48"/>
  <c r="Y21" i="48"/>
  <c r="I36" i="48"/>
  <c r="Q15" i="48"/>
  <c r="Q36" i="48"/>
  <c r="Q60" i="48"/>
  <c r="AG13" i="48"/>
  <c r="AD23" i="48"/>
  <c r="AT25" i="48"/>
  <c r="AD44" i="48"/>
  <c r="Q25" i="48"/>
  <c r="V27" i="48"/>
  <c r="AS46" i="48"/>
  <c r="AS51" i="48"/>
  <c r="AD59" i="48"/>
  <c r="V65" i="48"/>
  <c r="I69" i="48"/>
  <c r="AL69" i="48"/>
  <c r="AL10" i="48"/>
  <c r="AT65" i="48"/>
  <c r="AQ14" i="48"/>
  <c r="N23" i="48"/>
  <c r="AT28" i="48"/>
  <c r="AG29" i="48"/>
  <c r="AQ37" i="48"/>
  <c r="AL40" i="48"/>
  <c r="V41" i="48"/>
  <c r="AP49" i="48"/>
  <c r="AL67" i="48"/>
  <c r="AQ28" i="48"/>
  <c r="I9" i="48"/>
  <c r="AO19" i="48"/>
  <c r="I24" i="48"/>
  <c r="AG27" i="48"/>
  <c r="I29" i="48"/>
  <c r="N47" i="48"/>
  <c r="AL50" i="48"/>
  <c r="V51" i="48"/>
  <c r="Q58" i="48"/>
  <c r="AG70" i="48"/>
  <c r="N28" i="48"/>
  <c r="AL60" i="48"/>
  <c r="AG12" i="48"/>
  <c r="AG17" i="48"/>
  <c r="V18" i="48"/>
  <c r="AO24" i="48"/>
  <c r="AO35" i="48"/>
  <c r="I40" i="48"/>
  <c r="Y46" i="48"/>
  <c r="N61" i="48"/>
  <c r="AD68" i="48"/>
  <c r="I70" i="48"/>
  <c r="V52" i="48"/>
  <c r="AG22" i="48"/>
  <c r="AL29" i="48"/>
  <c r="Q37" i="48"/>
  <c r="AO40" i="48"/>
  <c r="Q61" i="48"/>
  <c r="AG65" i="48"/>
  <c r="Q69" i="48"/>
  <c r="AP7" i="48"/>
  <c r="AO29" i="48"/>
  <c r="AS47" i="48"/>
  <c r="AO50" i="48"/>
  <c r="N52" i="48"/>
  <c r="AD60" i="48"/>
  <c r="N64" i="48"/>
  <c r="AL36" i="48"/>
  <c r="AT37" i="48"/>
  <c r="Y39" i="48"/>
  <c r="V44" i="48"/>
  <c r="AQ45" i="48"/>
  <c r="AR45" i="48" s="1"/>
  <c r="N45" i="48"/>
  <c r="V13" i="48"/>
  <c r="AT23" i="48"/>
  <c r="Y23" i="48"/>
  <c r="AQ29" i="48"/>
  <c r="AQ12" i="48"/>
  <c r="AQ17" i="48"/>
  <c r="AT26" i="48"/>
  <c r="Y26" i="48"/>
  <c r="AT36" i="48"/>
  <c r="AU36" i="48" s="1"/>
  <c r="AO36" i="48"/>
  <c r="AO41" i="48"/>
  <c r="AT41" i="48"/>
  <c r="AT70" i="48"/>
  <c r="Q70" i="48"/>
  <c r="AT39" i="48"/>
  <c r="AO39" i="48"/>
  <c r="AT10" i="48"/>
  <c r="AU10" i="48" s="1"/>
  <c r="AT68" i="48"/>
  <c r="Q68" i="48"/>
  <c r="AT24" i="48"/>
  <c r="AT27" i="48"/>
  <c r="Y27" i="48"/>
  <c r="AQ18" i="48"/>
  <c r="AT11" i="48"/>
  <c r="AT13" i="48"/>
  <c r="AT8" i="48"/>
  <c r="AL9" i="48"/>
  <c r="AG30" i="48"/>
  <c r="AS37" i="48"/>
  <c r="AS58" i="48"/>
  <c r="N24" i="48"/>
  <c r="AO51" i="48"/>
  <c r="AF53" i="48"/>
  <c r="AF74" i="48" s="1"/>
  <c r="AT46" i="48"/>
  <c r="AQ20" i="48"/>
  <c r="AR20" i="48" s="1"/>
  <c r="AT38" i="48"/>
  <c r="Q59" i="48"/>
  <c r="AQ19" i="48"/>
  <c r="AT29" i="48"/>
  <c r="AQ51" i="48"/>
  <c r="AO65" i="48"/>
  <c r="V21" i="48"/>
  <c r="AT20" i="48"/>
  <c r="AN53" i="48"/>
  <c r="V20" i="48"/>
  <c r="AP64" i="48"/>
  <c r="Q19" i="48"/>
  <c r="Q40" i="48"/>
  <c r="V47" i="48"/>
  <c r="AT52" i="48"/>
  <c r="AT69" i="48"/>
  <c r="AQ26" i="48"/>
  <c r="AT40" i="48"/>
  <c r="AU40" i="48" s="1"/>
  <c r="AT17" i="48"/>
  <c r="AO27" i="48"/>
  <c r="AQ30" i="48"/>
  <c r="AR30" i="48" s="1"/>
  <c r="AQ13" i="48"/>
  <c r="AQ40" i="48"/>
  <c r="AT9" i="48"/>
  <c r="AS11" i="48"/>
  <c r="AT14" i="48"/>
  <c r="AQ36" i="48"/>
  <c r="AQ47" i="48"/>
  <c r="AQ65" i="48"/>
  <c r="AS67" i="48"/>
  <c r="AT15" i="48"/>
  <c r="AT45" i="48"/>
  <c r="AQ66" i="48"/>
  <c r="AT16" i="48"/>
  <c r="AQ11" i="48"/>
  <c r="AT12" i="48"/>
  <c r="AQ52" i="48"/>
  <c r="AR52" i="48" s="1"/>
  <c r="AT22" i="48"/>
  <c r="AQ44" i="48"/>
  <c r="AT44" i="48"/>
  <c r="AD52" i="48"/>
  <c r="AQ62" i="48"/>
  <c r="AQ16" i="48"/>
  <c r="AQ15" i="48"/>
  <c r="AP10" i="48"/>
  <c r="Y18" i="48"/>
  <c r="AF31" i="48"/>
  <c r="AG7" i="48"/>
  <c r="N12" i="48"/>
  <c r="Q14" i="48"/>
  <c r="AG15" i="48"/>
  <c r="AD16" i="48"/>
  <c r="AD17" i="48"/>
  <c r="I19" i="48"/>
  <c r="AT7" i="48"/>
  <c r="P31" i="48"/>
  <c r="AK31" i="48"/>
  <c r="AP9" i="48"/>
  <c r="AP15" i="48"/>
  <c r="I18" i="48"/>
  <c r="AD18" i="48"/>
  <c r="AD20" i="48"/>
  <c r="Q29" i="48"/>
  <c r="N43" i="48"/>
  <c r="AP43" i="48"/>
  <c r="Y8" i="48"/>
  <c r="AQ9" i="48"/>
  <c r="AG20" i="48"/>
  <c r="AD21" i="48"/>
  <c r="Q28" i="48"/>
  <c r="X53" i="48"/>
  <c r="AP39" i="48"/>
  <c r="AL39" i="48"/>
  <c r="M71" i="48"/>
  <c r="AQ57" i="48"/>
  <c r="AL15" i="48"/>
  <c r="AQ25" i="48"/>
  <c r="AR25" i="48" s="1"/>
  <c r="N25" i="48"/>
  <c r="I35" i="48"/>
  <c r="H53" i="48"/>
  <c r="AQ42" i="48"/>
  <c r="N19" i="48"/>
  <c r="AQ21" i="48"/>
  <c r="AQ38" i="48"/>
  <c r="N38" i="48"/>
  <c r="AS9" i="48"/>
  <c r="H31" i="48"/>
  <c r="AP11" i="48"/>
  <c r="AL16" i="48"/>
  <c r="U31" i="48"/>
  <c r="N16" i="48"/>
  <c r="AP26" i="48"/>
  <c r="N26" i="48"/>
  <c r="V7" i="48"/>
  <c r="AN31" i="48"/>
  <c r="Q9" i="48"/>
  <c r="AQ10" i="48"/>
  <c r="AG11" i="48"/>
  <c r="AL17" i="48"/>
  <c r="N18" i="48"/>
  <c r="AL19" i="48"/>
  <c r="N20" i="48"/>
  <c r="AS24" i="48"/>
  <c r="AD35" i="48"/>
  <c r="AQ46" i="48"/>
  <c r="AR46" i="48" s="1"/>
  <c r="N46" i="48"/>
  <c r="AP8" i="48"/>
  <c r="I14" i="48"/>
  <c r="V15" i="48"/>
  <c r="AL18" i="48"/>
  <c r="AT19" i="48"/>
  <c r="AS20" i="48"/>
  <c r="Q20" i="48"/>
  <c r="N21" i="48"/>
  <c r="AD30" i="48"/>
  <c r="AG35" i="48"/>
  <c r="Q47" i="48"/>
  <c r="AT47" i="48"/>
  <c r="Q52" i="48"/>
  <c r="AS52" i="48"/>
  <c r="AN71" i="48"/>
  <c r="N17" i="48"/>
  <c r="I7" i="48"/>
  <c r="X31" i="48"/>
  <c r="AQ8" i="48"/>
  <c r="Q11" i="48"/>
  <c r="Y12" i="48"/>
  <c r="AS12" i="48"/>
  <c r="Q16" i="48"/>
  <c r="Q17" i="48"/>
  <c r="AT18" i="48"/>
  <c r="AS21" i="48"/>
  <c r="Q21" i="48"/>
  <c r="AK53" i="48"/>
  <c r="AL35" i="48"/>
  <c r="Y40" i="48"/>
  <c r="X71" i="48"/>
  <c r="AP17" i="48"/>
  <c r="AQ23" i="48"/>
  <c r="AP16" i="48"/>
  <c r="AP19" i="48"/>
  <c r="AT21" i="48"/>
  <c r="AS48" i="48"/>
  <c r="AT50" i="48"/>
  <c r="Q50" i="48"/>
  <c r="AQ60" i="48"/>
  <c r="AS8" i="48"/>
  <c r="AP18" i="48"/>
  <c r="Q22" i="48"/>
  <c r="AS22" i="48"/>
  <c r="AP27" i="48"/>
  <c r="N27" i="48"/>
  <c r="AQ35" i="48"/>
  <c r="AR35" i="48" s="1"/>
  <c r="M53" i="48"/>
  <c r="AO9" i="48"/>
  <c r="I15" i="48"/>
  <c r="P53" i="48"/>
  <c r="AT35" i="48"/>
  <c r="AD7" i="48"/>
  <c r="AC31" i="48"/>
  <c r="Y19" i="48"/>
  <c r="Q23" i="48"/>
  <c r="AS23" i="48"/>
  <c r="Q30" i="48"/>
  <c r="AT30" i="48"/>
  <c r="AS35" i="48"/>
  <c r="Q35" i="48"/>
  <c r="N30" i="48"/>
  <c r="U53" i="48"/>
  <c r="V35" i="48"/>
  <c r="I39" i="48"/>
  <c r="Q10" i="48"/>
  <c r="Y13" i="48"/>
  <c r="AS13" i="48"/>
  <c r="N14" i="48"/>
  <c r="AL14" i="48"/>
  <c r="H71" i="48"/>
  <c r="N7" i="48"/>
  <c r="AQ7" i="48"/>
  <c r="M31" i="48"/>
  <c r="I16" i="48"/>
  <c r="I17" i="48"/>
  <c r="AD19" i="48"/>
  <c r="AQ24" i="48"/>
  <c r="N37" i="48"/>
  <c r="AP24" i="48"/>
  <c r="AP29" i="48"/>
  <c r="AT42" i="48"/>
  <c r="AL47" i="48"/>
  <c r="AS50" i="48"/>
  <c r="I57" i="48"/>
  <c r="AO59" i="48"/>
  <c r="AG61" i="48"/>
  <c r="Y63" i="48"/>
  <c r="AL65" i="48"/>
  <c r="AQ67" i="48"/>
  <c r="AQ68" i="48"/>
  <c r="AQ69" i="48"/>
  <c r="AQ70" i="48"/>
  <c r="AQ43" i="48"/>
  <c r="AP59" i="48"/>
  <c r="AT60" i="48"/>
  <c r="AU60" i="48" s="1"/>
  <c r="AS28" i="48"/>
  <c r="AS29" i="48"/>
  <c r="AS38" i="48"/>
  <c r="N41" i="48"/>
  <c r="V42" i="48"/>
  <c r="Q43" i="48"/>
  <c r="AL43" i="48"/>
  <c r="AQ48" i="48"/>
  <c r="AC71" i="48"/>
  <c r="I58" i="48"/>
  <c r="AO60" i="48"/>
  <c r="AQ61" i="48"/>
  <c r="AG62" i="48"/>
  <c r="Y64" i="48"/>
  <c r="AT43" i="48"/>
  <c r="Y47" i="48"/>
  <c r="AD49" i="48"/>
  <c r="AO52" i="48"/>
  <c r="Y59" i="48"/>
  <c r="AL61" i="48"/>
  <c r="AD63" i="48"/>
  <c r="AP65" i="48"/>
  <c r="AT66" i="48"/>
  <c r="AO66" i="48"/>
  <c r="AT67" i="48"/>
  <c r="AO67" i="48"/>
  <c r="Q38" i="48"/>
  <c r="Y42" i="48"/>
  <c r="AS42" i="48"/>
  <c r="AO43" i="48"/>
  <c r="Q46" i="48"/>
  <c r="AT48" i="48"/>
  <c r="AF71" i="48"/>
  <c r="AD58" i="48"/>
  <c r="V60" i="48"/>
  <c r="AP60" i="48"/>
  <c r="AT61" i="48"/>
  <c r="N62" i="48"/>
  <c r="I64" i="48"/>
  <c r="AP44" i="48"/>
  <c r="Q48" i="48"/>
  <c r="AL48" i="48"/>
  <c r="AP51" i="48"/>
  <c r="N57" i="48"/>
  <c r="I59" i="48"/>
  <c r="AO61" i="48"/>
  <c r="AG63" i="48"/>
  <c r="Y65" i="48"/>
  <c r="I42" i="48"/>
  <c r="V43" i="48"/>
  <c r="N44" i="48"/>
  <c r="N49" i="48"/>
  <c r="N51" i="48"/>
  <c r="Y52" i="48"/>
  <c r="AG58" i="48"/>
  <c r="Y60" i="48"/>
  <c r="Q62" i="48"/>
  <c r="AL62" i="48"/>
  <c r="AD64" i="48"/>
  <c r="V66" i="48"/>
  <c r="AQ39" i="48"/>
  <c r="AS44" i="48"/>
  <c r="AQ49" i="48"/>
  <c r="AP61" i="48"/>
  <c r="AT62" i="48"/>
  <c r="AD42" i="48"/>
  <c r="Y43" i="48"/>
  <c r="AS43" i="48"/>
  <c r="Q44" i="48"/>
  <c r="V48" i="48"/>
  <c r="P71" i="48"/>
  <c r="AT57" i="48"/>
  <c r="AK71" i="48"/>
  <c r="N58" i="48"/>
  <c r="I60" i="48"/>
  <c r="AO62" i="48"/>
  <c r="AQ63" i="48"/>
  <c r="Y66" i="48"/>
  <c r="Y67" i="48"/>
  <c r="Y68" i="48"/>
  <c r="Y69" i="48"/>
  <c r="Y70" i="48"/>
  <c r="V25" i="48"/>
  <c r="AO46" i="48"/>
  <c r="AT49" i="48"/>
  <c r="AU49" i="48" s="1"/>
  <c r="Q51" i="48"/>
  <c r="AO57" i="48"/>
  <c r="AQ58" i="48"/>
  <c r="AG59" i="48"/>
  <c r="Y61" i="48"/>
  <c r="Q63" i="48"/>
  <c r="AL63" i="48"/>
  <c r="AD65" i="48"/>
  <c r="AP62" i="48"/>
  <c r="AT63" i="48"/>
  <c r="AS39" i="48"/>
  <c r="AS45" i="48"/>
  <c r="I48" i="48"/>
  <c r="AQ50" i="48"/>
  <c r="V57" i="48"/>
  <c r="AP57" i="48"/>
  <c r="AT58" i="48"/>
  <c r="AU58" i="48" s="1"/>
  <c r="N59" i="48"/>
  <c r="I61" i="48"/>
  <c r="AO63" i="48"/>
  <c r="AQ64" i="48"/>
  <c r="N42" i="48"/>
  <c r="AD43" i="48"/>
  <c r="U71" i="48"/>
  <c r="AO58" i="48"/>
  <c r="AQ59" i="48"/>
  <c r="Y62" i="48"/>
  <c r="AD66" i="48"/>
  <c r="Q39" i="48"/>
  <c r="V49" i="48"/>
  <c r="AP50" i="48"/>
  <c r="AG52" i="48"/>
  <c r="Y57" i="48"/>
  <c r="AL59" i="48"/>
  <c r="AD61" i="48"/>
  <c r="V63" i="48"/>
  <c r="AP63" i="48"/>
  <c r="AT64" i="48"/>
  <c r="N65" i="48"/>
  <c r="Q42" i="48"/>
  <c r="AL42" i="48"/>
  <c r="AG43" i="48"/>
  <c r="AD48" i="48"/>
  <c r="N50" i="48"/>
  <c r="V58" i="48"/>
  <c r="AP58" i="48"/>
  <c r="AT59" i="48"/>
  <c r="N60" i="48"/>
  <c r="I62" i="48"/>
  <c r="AO64" i="48"/>
  <c r="AR40" i="48" l="1"/>
  <c r="AR37" i="48"/>
  <c r="AU57" i="48"/>
  <c r="AU66" i="48"/>
  <c r="AR12" i="48"/>
  <c r="AR28" i="48"/>
  <c r="AR67" i="48"/>
  <c r="AU21" i="48"/>
  <c r="AR7" i="48"/>
  <c r="AU18" i="48"/>
  <c r="AU23" i="48"/>
  <c r="AU16" i="48"/>
  <c r="AU68" i="48"/>
  <c r="AR50" i="48"/>
  <c r="AU67" i="48"/>
  <c r="AU51" i="48"/>
  <c r="AC77" i="48"/>
  <c r="AU19" i="48"/>
  <c r="AU27" i="48"/>
  <c r="AR23" i="48"/>
  <c r="AU14" i="48"/>
  <c r="AR14" i="48"/>
  <c r="AU26" i="48"/>
  <c r="AR66" i="48"/>
  <c r="AU15" i="48"/>
  <c r="AR15" i="48"/>
  <c r="AU25" i="48"/>
  <c r="AR70" i="48"/>
  <c r="AU64" i="48"/>
  <c r="AR69" i="48"/>
  <c r="AR36" i="48"/>
  <c r="AR68" i="48"/>
  <c r="AU30" i="48"/>
  <c r="AU65" i="48"/>
  <c r="AR38" i="48"/>
  <c r="AR42" i="48"/>
  <c r="AR13" i="48"/>
  <c r="AR47" i="48"/>
  <c r="AU62" i="48"/>
  <c r="AR26" i="48"/>
  <c r="AU17" i="48"/>
  <c r="AU44" i="48"/>
  <c r="AU69" i="48"/>
  <c r="AU52" i="48"/>
  <c r="AU59" i="48"/>
  <c r="AU46" i="48"/>
  <c r="AU8" i="48"/>
  <c r="AR27" i="48"/>
  <c r="AR41" i="48"/>
  <c r="AU13" i="48"/>
  <c r="AU63" i="48"/>
  <c r="AU29" i="48"/>
  <c r="AU37" i="48"/>
  <c r="AR62" i="48"/>
  <c r="AR21" i="48"/>
  <c r="AN77" i="48"/>
  <c r="AU70" i="48"/>
  <c r="AU41" i="48"/>
  <c r="AR48" i="48"/>
  <c r="AU61" i="48"/>
  <c r="AR58" i="48"/>
  <c r="AU43" i="48"/>
  <c r="Y53" i="48"/>
  <c r="AF77" i="48"/>
  <c r="AU38" i="48"/>
  <c r="AU47" i="48"/>
  <c r="AG71" i="48"/>
  <c r="AU24" i="48"/>
  <c r="AR63" i="48"/>
  <c r="AR44" i="48"/>
  <c r="AD71" i="48"/>
  <c r="AU28" i="48"/>
  <c r="AR17" i="48"/>
  <c r="AL71" i="48"/>
  <c r="Q71" i="48"/>
  <c r="AR65" i="48"/>
  <c r="N53" i="48"/>
  <c r="N74" i="48" s="1"/>
  <c r="AS71" i="48"/>
  <c r="AD53" i="48"/>
  <c r="AD74" i="48" s="1"/>
  <c r="AR49" i="48"/>
  <c r="AO31" i="48"/>
  <c r="AR10" i="48"/>
  <c r="AR19" i="48"/>
  <c r="AR11" i="48"/>
  <c r="AL31" i="48"/>
  <c r="Y31" i="48"/>
  <c r="AU12" i="48"/>
  <c r="AU45" i="48"/>
  <c r="AR51" i="48"/>
  <c r="AR29" i="48"/>
  <c r="AU9" i="48"/>
  <c r="AU20" i="48"/>
  <c r="AO53" i="48"/>
  <c r="AO74" i="48" s="1"/>
  <c r="AN74" i="48"/>
  <c r="AO71" i="48"/>
  <c r="AR18" i="48"/>
  <c r="AU39" i="48"/>
  <c r="AU22" i="48"/>
  <c r="AR64" i="48"/>
  <c r="Q31" i="48"/>
  <c r="AR61" i="48"/>
  <c r="AU11" i="48"/>
  <c r="AG31" i="48"/>
  <c r="AT71" i="48"/>
  <c r="AC76" i="48"/>
  <c r="AC75" i="48"/>
  <c r="AR43" i="48"/>
  <c r="Y71" i="48"/>
  <c r="AD31" i="48"/>
  <c r="V53" i="48"/>
  <c r="V74" i="48" s="1"/>
  <c r="H75" i="48"/>
  <c r="H76" i="48"/>
  <c r="U77" i="48"/>
  <c r="U74" i="48"/>
  <c r="AF76" i="48"/>
  <c r="AF75" i="48"/>
  <c r="M76" i="48"/>
  <c r="M75" i="48"/>
  <c r="AQ71" i="48"/>
  <c r="AP53" i="48"/>
  <c r="X75" i="48"/>
  <c r="X76" i="48"/>
  <c r="N31" i="48"/>
  <c r="AT53" i="48"/>
  <c r="AL53" i="48"/>
  <c r="AL74" i="48" s="1"/>
  <c r="I31" i="48"/>
  <c r="AR60" i="48"/>
  <c r="AQ31" i="48"/>
  <c r="P74" i="48"/>
  <c r="P77" i="48"/>
  <c r="AK74" i="48"/>
  <c r="AK77" i="48"/>
  <c r="AR39" i="48"/>
  <c r="Q53" i="48"/>
  <c r="Q74" i="48" s="1"/>
  <c r="AR8" i="48"/>
  <c r="N71" i="48"/>
  <c r="AR59" i="48"/>
  <c r="I71" i="48"/>
  <c r="AN75" i="48"/>
  <c r="AN76" i="48"/>
  <c r="X77" i="48"/>
  <c r="AR9" i="48"/>
  <c r="AP31" i="48"/>
  <c r="AU50" i="48"/>
  <c r="AS53" i="48"/>
  <c r="AU35" i="48"/>
  <c r="V31" i="48"/>
  <c r="AK76" i="48"/>
  <c r="AK75" i="48"/>
  <c r="P76" i="48"/>
  <c r="P75" i="48"/>
  <c r="AU48" i="48"/>
  <c r="AT31" i="48"/>
  <c r="AU7" i="48"/>
  <c r="AS31" i="48"/>
  <c r="AP71" i="48"/>
  <c r="AR57" i="48"/>
  <c r="V71" i="48"/>
  <c r="AU42" i="48"/>
  <c r="AR24" i="48"/>
  <c r="M74" i="48"/>
  <c r="M77" i="48"/>
  <c r="AG53" i="48"/>
  <c r="AG74" i="48" s="1"/>
  <c r="H77" i="48"/>
  <c r="AQ53" i="48"/>
  <c r="AR16" i="48"/>
  <c r="U75" i="48"/>
  <c r="U76" i="48"/>
  <c r="I53" i="48"/>
  <c r="AU71" i="48" l="1"/>
  <c r="AS77" i="48"/>
  <c r="AU31" i="48"/>
  <c r="AR31" i="48"/>
  <c r="AU53" i="48"/>
  <c r="AU74" i="48" s="1"/>
  <c r="AR53" i="48"/>
  <c r="AR71" i="48"/>
  <c r="AP75" i="48"/>
  <c r="AP76" i="48"/>
  <c r="AS75" i="48"/>
  <c r="AS76" i="48"/>
  <c r="AQ75" i="48"/>
  <c r="AQ76" i="48"/>
  <c r="AT75" i="48"/>
  <c r="AT76" i="48"/>
  <c r="AQ77" i="48"/>
  <c r="AQ74" i="48"/>
  <c r="AT77" i="48"/>
  <c r="AT74" i="48"/>
  <c r="AP77" i="48"/>
  <c r="AR75" i="48" l="1"/>
  <c r="AU77" i="48"/>
  <c r="AR76" i="48"/>
  <c r="AU76" i="48"/>
  <c r="AR74" i="48"/>
  <c r="AR77" i="48"/>
  <c r="AU75" i="48"/>
  <c r="H48" i="13" l="1"/>
  <c r="H47" i="13"/>
  <c r="H46" i="13"/>
  <c r="H45" i="13"/>
  <c r="H44" i="13"/>
  <c r="H41" i="13"/>
  <c r="H40" i="13"/>
  <c r="H39" i="13"/>
  <c r="H38" i="13"/>
  <c r="H37" i="13"/>
  <c r="H36" i="13"/>
  <c r="H35" i="13"/>
  <c r="H34" i="13"/>
  <c r="J24" i="13"/>
  <c r="I24" i="13"/>
  <c r="H24" i="13"/>
  <c r="I23" i="13"/>
  <c r="J23" i="13"/>
  <c r="I22" i="13"/>
  <c r="J22" i="13"/>
  <c r="I21" i="13"/>
  <c r="J21" i="13"/>
  <c r="J20" i="13"/>
  <c r="I20" i="13"/>
  <c r="H20" i="13"/>
  <c r="J17" i="13"/>
  <c r="I17" i="13"/>
  <c r="J16" i="13"/>
  <c r="I16" i="13"/>
  <c r="J15" i="13"/>
  <c r="I15" i="13"/>
  <c r="J14" i="13"/>
  <c r="I14" i="13"/>
  <c r="J13" i="13"/>
  <c r="I13" i="13"/>
  <c r="J12" i="13"/>
  <c r="I12" i="13"/>
  <c r="J11" i="13"/>
  <c r="I11" i="13"/>
  <c r="I10" i="13"/>
  <c r="J10" i="13"/>
  <c r="H21" i="13" l="1"/>
  <c r="H22" i="13"/>
  <c r="H23" i="13"/>
  <c r="AA74" i="43" l="1"/>
  <c r="AA76" i="43"/>
  <c r="AA77" i="43"/>
  <c r="AA78" i="43"/>
  <c r="AA79" i="43"/>
  <c r="AA80" i="43"/>
  <c r="AA81" i="43"/>
  <c r="AA82" i="43"/>
  <c r="AA83" i="43"/>
  <c r="AA84" i="43"/>
  <c r="AA85" i="43"/>
  <c r="AA86" i="43"/>
  <c r="AA87" i="43"/>
  <c r="AA88" i="43"/>
  <c r="AA55" i="43"/>
  <c r="AA56" i="43"/>
  <c r="AA57" i="43"/>
  <c r="AA58" i="43"/>
  <c r="AA59" i="43"/>
  <c r="AA60" i="43"/>
  <c r="AA61" i="43"/>
  <c r="AA62" i="43"/>
  <c r="AA63" i="43"/>
  <c r="AA64" i="43"/>
  <c r="AA65" i="43"/>
  <c r="AA66" i="43"/>
  <c r="AA67" i="43"/>
  <c r="AA68" i="43"/>
  <c r="AA69" i="43"/>
  <c r="AA70" i="43"/>
  <c r="AA71" i="43"/>
  <c r="AA72" i="43"/>
  <c r="AA73" i="43"/>
  <c r="AA75" i="43"/>
  <c r="G9" i="26" l="1"/>
  <c r="H9" i="26"/>
  <c r="F9" i="26"/>
  <c r="E9" i="26"/>
  <c r="D9" i="26"/>
  <c r="S24" i="40" l="1"/>
  <c r="S25" i="40"/>
  <c r="S26" i="40"/>
  <c r="S34" i="40"/>
  <c r="C72" i="2" l="1"/>
  <c r="F16" i="24" l="1"/>
  <c r="F17" i="24"/>
  <c r="AB25" i="40" l="1"/>
  <c r="AC25" i="40"/>
  <c r="AB26" i="40"/>
  <c r="AC26" i="40"/>
  <c r="AD13" i="40"/>
  <c r="AE13" i="40"/>
  <c r="AF13" i="40"/>
  <c r="AG13" i="40"/>
  <c r="AH13" i="40"/>
  <c r="AD15" i="40"/>
  <c r="AE15" i="40"/>
  <c r="AF15" i="40"/>
  <c r="AG15" i="40"/>
  <c r="AH15" i="40"/>
  <c r="AB9" i="40"/>
  <c r="AC9" i="40"/>
  <c r="AB11" i="40"/>
  <c r="AC11" i="40"/>
  <c r="AB12" i="40"/>
  <c r="AC12" i="40"/>
  <c r="AB16" i="40"/>
  <c r="AC16" i="40"/>
  <c r="AB17" i="40"/>
  <c r="AC17" i="40"/>
  <c r="AB21" i="40"/>
  <c r="AC21" i="40"/>
  <c r="AB22" i="40"/>
  <c r="AC22" i="40"/>
  <c r="AB23" i="40"/>
  <c r="AC23" i="40"/>
  <c r="AB24" i="40"/>
  <c r="AC24" i="40"/>
  <c r="AB29" i="40"/>
  <c r="AC29" i="40"/>
  <c r="AB30" i="40"/>
  <c r="AC30" i="40"/>
  <c r="AB31" i="40"/>
  <c r="AC31" i="40"/>
  <c r="AB32" i="40"/>
  <c r="AC32" i="40"/>
  <c r="AB33" i="40"/>
  <c r="AC33" i="40"/>
  <c r="AB35" i="40"/>
  <c r="AC35" i="40"/>
  <c r="I28" i="40"/>
  <c r="I27" i="40" s="1"/>
  <c r="J28" i="40"/>
  <c r="J27" i="40" s="1"/>
  <c r="K28" i="40"/>
  <c r="K27" i="40" s="1"/>
  <c r="L28" i="40"/>
  <c r="L27" i="40" s="1"/>
  <c r="M28" i="40"/>
  <c r="M27" i="40" s="1"/>
  <c r="N28" i="40"/>
  <c r="N27" i="40" s="1"/>
  <c r="O28" i="40"/>
  <c r="O27" i="40" s="1"/>
  <c r="P28" i="40"/>
  <c r="P27" i="40" s="1"/>
  <c r="Q28" i="40"/>
  <c r="Q27" i="40" s="1"/>
  <c r="R28" i="40"/>
  <c r="R27" i="40" s="1"/>
  <c r="T28" i="40"/>
  <c r="T27" i="40" s="1"/>
  <c r="U28" i="40"/>
  <c r="U27" i="40" s="1"/>
  <c r="V28" i="40"/>
  <c r="V27" i="40" s="1"/>
  <c r="W28" i="40"/>
  <c r="W27" i="40" s="1"/>
  <c r="X28" i="40"/>
  <c r="X27" i="40" s="1"/>
  <c r="Y28" i="40"/>
  <c r="Y27" i="40" s="1"/>
  <c r="Z28" i="40"/>
  <c r="Z27" i="40" s="1"/>
  <c r="I36" i="40"/>
  <c r="J36" i="40"/>
  <c r="K36" i="40"/>
  <c r="L36" i="40"/>
  <c r="M36" i="40"/>
  <c r="N36" i="40"/>
  <c r="O36" i="40"/>
  <c r="P36" i="40"/>
  <c r="Q36" i="40"/>
  <c r="R36" i="40"/>
  <c r="T36" i="40"/>
  <c r="U36" i="40"/>
  <c r="V36" i="40"/>
  <c r="W36" i="40"/>
  <c r="X36" i="40"/>
  <c r="Y36" i="40"/>
  <c r="Z36" i="40"/>
  <c r="E28" i="40"/>
  <c r="F28" i="40" s="1"/>
  <c r="G28" i="40"/>
  <c r="G27" i="40" s="1"/>
  <c r="H27" i="40" s="1"/>
  <c r="E36" i="40"/>
  <c r="F36" i="40" s="1"/>
  <c r="G36" i="40"/>
  <c r="H36" i="40" s="1"/>
  <c r="H28" i="40" l="1"/>
  <c r="E27" i="40"/>
  <c r="F27" i="40" s="1"/>
  <c r="C30" i="40"/>
  <c r="D30" i="40" s="1"/>
  <c r="I76" i="24"/>
  <c r="F62" i="24"/>
  <c r="I65" i="26"/>
  <c r="C15" i="35" l="1"/>
  <c r="D15" i="35" s="1"/>
  <c r="C14" i="35"/>
  <c r="D14" i="35" s="1"/>
  <c r="C25" i="35"/>
  <c r="D25" i="35" s="1"/>
  <c r="C24" i="35"/>
  <c r="D24" i="35" s="1"/>
  <c r="AA24" i="40" l="1"/>
  <c r="AA25" i="40"/>
  <c r="E24" i="30" l="1"/>
  <c r="P16" i="40"/>
  <c r="L16" i="40"/>
  <c r="K16" i="40"/>
  <c r="D78" i="24"/>
  <c r="Z21" i="9"/>
  <c r="U80" i="10" l="1"/>
  <c r="Q80" i="10"/>
  <c r="M80" i="10"/>
  <c r="E11" i="40" l="1"/>
  <c r="G11" i="40"/>
  <c r="I11" i="40"/>
  <c r="K11" i="40"/>
  <c r="E16" i="40" l="1"/>
  <c r="G16" i="40"/>
  <c r="J16" i="40"/>
  <c r="I16" i="40"/>
  <c r="L11" i="40"/>
  <c r="J11" i="40"/>
  <c r="J9" i="40" l="1"/>
  <c r="J8" i="40" s="1"/>
  <c r="C26" i="40"/>
  <c r="D26" i="40" s="1"/>
  <c r="W16" i="40"/>
  <c r="V16" i="40"/>
  <c r="U16" i="40"/>
  <c r="O65" i="26"/>
  <c r="I70" i="24" l="1"/>
  <c r="H70" i="24"/>
  <c r="G70" i="24"/>
  <c r="O71" i="24" l="1"/>
  <c r="F71" i="24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G35" i="9"/>
  <c r="H33" i="9" s="1"/>
  <c r="E35" i="9"/>
  <c r="F33" i="9" s="1"/>
  <c r="C34" i="40" l="1"/>
  <c r="D34" i="40" s="1"/>
  <c r="L8" i="13"/>
  <c r="C33" i="40" l="1"/>
  <c r="D33" i="40" s="1"/>
  <c r="C32" i="40"/>
  <c r="D32" i="40" s="1"/>
  <c r="C31" i="40"/>
  <c r="D31" i="40" s="1"/>
  <c r="C29" i="40"/>
  <c r="D29" i="40" s="1"/>
  <c r="G75" i="43" l="1"/>
  <c r="Z75" i="43" s="1"/>
  <c r="G74" i="43"/>
  <c r="Z74" i="43" s="1"/>
  <c r="G73" i="43"/>
  <c r="Z73" i="43" s="1"/>
  <c r="G72" i="43"/>
  <c r="Z72" i="43" s="1"/>
  <c r="G71" i="43"/>
  <c r="Z71" i="43" s="1"/>
  <c r="G70" i="43"/>
  <c r="Z70" i="43" s="1"/>
  <c r="G69" i="43"/>
  <c r="Z69" i="43" s="1"/>
  <c r="G68" i="43"/>
  <c r="Z68" i="43" s="1"/>
  <c r="G67" i="43"/>
  <c r="Z67" i="43" s="1"/>
  <c r="G66" i="43"/>
  <c r="Z66" i="43" s="1"/>
  <c r="G65" i="43"/>
  <c r="Z65" i="43" s="1"/>
  <c r="G64" i="43"/>
  <c r="Z64" i="43" s="1"/>
  <c r="G63" i="43"/>
  <c r="Z63" i="43" s="1"/>
  <c r="G62" i="43"/>
  <c r="Z62" i="43" s="1"/>
  <c r="G61" i="43"/>
  <c r="Z61" i="43" s="1"/>
  <c r="G60" i="43"/>
  <c r="Z60" i="43" s="1"/>
  <c r="G59" i="43"/>
  <c r="Z59" i="43" s="1"/>
  <c r="G58" i="43"/>
  <c r="Z58" i="43" s="1"/>
  <c r="G57" i="43"/>
  <c r="Z57" i="43" s="1"/>
  <c r="G56" i="43"/>
  <c r="Z56" i="43" s="1"/>
  <c r="G55" i="43"/>
  <c r="Z55" i="43" s="1"/>
  <c r="G54" i="43"/>
  <c r="Z54" i="43" s="1"/>
  <c r="J33" i="9"/>
  <c r="I33" i="9"/>
  <c r="G84" i="24"/>
  <c r="G83" i="24"/>
  <c r="G82" i="24"/>
  <c r="G81" i="24"/>
  <c r="G80" i="24"/>
  <c r="G79" i="24"/>
  <c r="G78" i="24"/>
  <c r="G77" i="24"/>
  <c r="G76" i="24"/>
  <c r="G75" i="24"/>
  <c r="G74" i="24"/>
  <c r="G73" i="24"/>
  <c r="F52" i="24"/>
  <c r="F65" i="24"/>
  <c r="F64" i="24"/>
  <c r="F63" i="24"/>
  <c r="F61" i="24"/>
  <c r="F60" i="24"/>
  <c r="F70" i="24"/>
  <c r="F69" i="24"/>
  <c r="F68" i="24"/>
  <c r="F67" i="24"/>
  <c r="F66" i="24"/>
  <c r="I58" i="24"/>
  <c r="H58" i="24"/>
  <c r="G58" i="24"/>
  <c r="F57" i="24"/>
  <c r="F56" i="24"/>
  <c r="F55" i="24"/>
  <c r="F54" i="24"/>
  <c r="F53" i="24"/>
  <c r="I50" i="24"/>
  <c r="H50" i="24"/>
  <c r="G50" i="24"/>
  <c r="F49" i="24"/>
  <c r="F48" i="24"/>
  <c r="F47" i="24"/>
  <c r="F46" i="24"/>
  <c r="F45" i="24"/>
  <c r="I43" i="24"/>
  <c r="H43" i="24"/>
  <c r="G43" i="24"/>
  <c r="F42" i="24"/>
  <c r="F41" i="24"/>
  <c r="F40" i="24"/>
  <c r="F39" i="24"/>
  <c r="F38" i="24"/>
  <c r="I36" i="24"/>
  <c r="H36" i="24"/>
  <c r="G36" i="24"/>
  <c r="F35" i="24"/>
  <c r="F34" i="24"/>
  <c r="F33" i="24"/>
  <c r="F32" i="24"/>
  <c r="F31" i="24"/>
  <c r="I29" i="24"/>
  <c r="H29" i="24"/>
  <c r="G29" i="24"/>
  <c r="F28" i="24"/>
  <c r="F27" i="24"/>
  <c r="F26" i="24"/>
  <c r="F25" i="24"/>
  <c r="F24" i="24"/>
  <c r="I22" i="24"/>
  <c r="H22" i="24"/>
  <c r="G22" i="24"/>
  <c r="F21" i="24"/>
  <c r="F20" i="24"/>
  <c r="F19" i="24"/>
  <c r="F18" i="24"/>
  <c r="G14" i="24"/>
  <c r="F13" i="24"/>
  <c r="F12" i="24"/>
  <c r="F11" i="24"/>
  <c r="F10" i="24"/>
  <c r="F9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0" i="24"/>
  <c r="E58" i="24"/>
  <c r="E50" i="24"/>
  <c r="E43" i="24"/>
  <c r="E36" i="24"/>
  <c r="E29" i="24"/>
  <c r="E22" i="24"/>
  <c r="E14" i="24"/>
  <c r="Z33" i="9" l="1"/>
  <c r="F50" i="24"/>
  <c r="F29" i="24"/>
  <c r="F43" i="24"/>
  <c r="F36" i="24"/>
  <c r="F22" i="24"/>
  <c r="F58" i="24"/>
  <c r="E85" i="24"/>
  <c r="E93" i="24" s="1"/>
  <c r="G85" i="24"/>
  <c r="AA58" i="44" l="1"/>
  <c r="G58" i="44"/>
  <c r="Z58" i="44" s="1"/>
  <c r="AA57" i="44"/>
  <c r="G57" i="44"/>
  <c r="Z57" i="44" s="1"/>
  <c r="AA56" i="44"/>
  <c r="G56" i="44"/>
  <c r="Z56" i="44" s="1"/>
  <c r="AA55" i="44"/>
  <c r="G55" i="44"/>
  <c r="Z55" i="44" s="1"/>
  <c r="AA54" i="44"/>
  <c r="G54" i="44"/>
  <c r="Z54" i="44" s="1"/>
  <c r="AA53" i="44"/>
  <c r="G53" i="44"/>
  <c r="Z53" i="44" s="1"/>
  <c r="AA52" i="44"/>
  <c r="G52" i="44"/>
  <c r="Z52" i="44" s="1"/>
  <c r="AA51" i="44"/>
  <c r="G51" i="44"/>
  <c r="Z51" i="44" s="1"/>
  <c r="AA50" i="44"/>
  <c r="G50" i="44"/>
  <c r="Z50" i="44" s="1"/>
  <c r="AA49" i="44"/>
  <c r="G49" i="44"/>
  <c r="Z49" i="44" s="1"/>
  <c r="AA48" i="44"/>
  <c r="G48" i="44"/>
  <c r="Z48" i="44" s="1"/>
  <c r="AA47" i="44"/>
  <c r="G47" i="44"/>
  <c r="Z47" i="44" s="1"/>
  <c r="AA46" i="44"/>
  <c r="G46" i="44"/>
  <c r="Z46" i="44" s="1"/>
  <c r="AA45" i="44"/>
  <c r="G45" i="44"/>
  <c r="Z45" i="44" s="1"/>
  <c r="AA44" i="44"/>
  <c r="G44" i="44"/>
  <c r="Z44" i="44" s="1"/>
  <c r="AA43" i="44"/>
  <c r="G43" i="44"/>
  <c r="Z43" i="44" s="1"/>
  <c r="AA42" i="44"/>
  <c r="G42" i="44"/>
  <c r="Z42" i="44" s="1"/>
  <c r="AA41" i="44"/>
  <c r="G41" i="44"/>
  <c r="Z41" i="44" s="1"/>
  <c r="AA40" i="44"/>
  <c r="G40" i="44"/>
  <c r="Z40" i="44" s="1"/>
  <c r="AA39" i="44"/>
  <c r="G39" i="44"/>
  <c r="Z39" i="44" s="1"/>
  <c r="AA38" i="44"/>
  <c r="G38" i="44"/>
  <c r="Z38" i="44" s="1"/>
  <c r="AA37" i="44"/>
  <c r="G37" i="44"/>
  <c r="Z37" i="44" s="1"/>
  <c r="AA36" i="44"/>
  <c r="G36" i="44"/>
  <c r="Z36" i="44" s="1"/>
  <c r="AA35" i="44"/>
  <c r="G35" i="44"/>
  <c r="Z35" i="44" s="1"/>
  <c r="G34" i="44"/>
  <c r="Z34" i="44" s="1"/>
  <c r="AA54" i="43"/>
  <c r="AA53" i="43"/>
  <c r="G53" i="43"/>
  <c r="Z53" i="43" s="1"/>
  <c r="AA52" i="43"/>
  <c r="G52" i="43"/>
  <c r="Z52" i="43" s="1"/>
  <c r="AA51" i="43"/>
  <c r="G51" i="43"/>
  <c r="Z51" i="43" s="1"/>
  <c r="AA50" i="43"/>
  <c r="G50" i="43"/>
  <c r="Z50" i="43" s="1"/>
  <c r="AA49" i="43"/>
  <c r="G49" i="43"/>
  <c r="Z49" i="43" s="1"/>
  <c r="AA48" i="43"/>
  <c r="G48" i="43"/>
  <c r="Z48" i="43" s="1"/>
  <c r="AA47" i="43"/>
  <c r="G47" i="43"/>
  <c r="Z47" i="43" s="1"/>
  <c r="C25" i="40" l="1"/>
  <c r="D25" i="40" s="1"/>
  <c r="C24" i="40"/>
  <c r="D24" i="40" s="1"/>
  <c r="O59" i="26" l="1"/>
  <c r="C59" i="26" s="1"/>
  <c r="I59" i="26"/>
  <c r="C51" i="10"/>
  <c r="C51" i="48" s="1"/>
  <c r="A73" i="24" l="1"/>
  <c r="C71" i="24" l="1"/>
  <c r="C33" i="9" s="1"/>
  <c r="AC51" i="10" l="1"/>
  <c r="AV51" i="48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F73" i="24"/>
  <c r="D73" i="24"/>
  <c r="A10" i="24"/>
  <c r="A11" i="24" s="1"/>
  <c r="A12" i="24" s="1"/>
  <c r="C73" i="24" l="1"/>
  <c r="AA9" i="40" s="1"/>
  <c r="AB54" i="10"/>
  <c r="AA54" i="10"/>
  <c r="X54" i="10"/>
  <c r="AM54" i="48" s="1"/>
  <c r="W54" i="10"/>
  <c r="AJ54" i="48" s="1"/>
  <c r="V54" i="10"/>
  <c r="AI54" i="48" s="1"/>
  <c r="AN54" i="48" s="1"/>
  <c r="AO54" i="48" s="1"/>
  <c r="U54" i="10"/>
  <c r="AH54" i="48" s="1"/>
  <c r="AK54" i="48" s="1"/>
  <c r="T54" i="10"/>
  <c r="AE54" i="48" s="1"/>
  <c r="S54" i="10"/>
  <c r="AB54" i="48" s="1"/>
  <c r="R54" i="10"/>
  <c r="AA54" i="48" s="1"/>
  <c r="AF54" i="48" s="1"/>
  <c r="Q54" i="10"/>
  <c r="Z54" i="48" s="1"/>
  <c r="AC54" i="48" s="1"/>
  <c r="P54" i="10"/>
  <c r="W54" i="48" s="1"/>
  <c r="O54" i="10"/>
  <c r="T54" i="48" s="1"/>
  <c r="N54" i="10"/>
  <c r="S54" i="48" s="1"/>
  <c r="X54" i="48" s="1"/>
  <c r="M54" i="10"/>
  <c r="R54" i="48" s="1"/>
  <c r="U54" i="48" s="1"/>
  <c r="L54" i="10"/>
  <c r="O54" i="48" s="1"/>
  <c r="K54" i="10"/>
  <c r="L54" i="48" s="1"/>
  <c r="J54" i="10"/>
  <c r="K54" i="48" s="1"/>
  <c r="P54" i="48" s="1"/>
  <c r="I54" i="10"/>
  <c r="J54" i="48" s="1"/>
  <c r="M54" i="48" s="1"/>
  <c r="H54" i="10"/>
  <c r="G54" i="10"/>
  <c r="G54" i="48" s="1"/>
  <c r="I54" i="48" s="1"/>
  <c r="AB53" i="10"/>
  <c r="AA53" i="10"/>
  <c r="X53" i="10"/>
  <c r="AM53" i="48" s="1"/>
  <c r="W53" i="10"/>
  <c r="V53" i="10"/>
  <c r="AI53" i="48" s="1"/>
  <c r="U53" i="10"/>
  <c r="AH53" i="48" s="1"/>
  <c r="T53" i="10"/>
  <c r="AE53" i="48" s="1"/>
  <c r="S53" i="10"/>
  <c r="R53" i="10"/>
  <c r="AA53" i="48" s="1"/>
  <c r="Q53" i="10"/>
  <c r="Z53" i="48" s="1"/>
  <c r="P53" i="10"/>
  <c r="W53" i="48" s="1"/>
  <c r="O53" i="10"/>
  <c r="N53" i="10"/>
  <c r="S53" i="48" s="1"/>
  <c r="M53" i="10"/>
  <c r="R53" i="48" s="1"/>
  <c r="L53" i="10"/>
  <c r="O53" i="48" s="1"/>
  <c r="K53" i="10"/>
  <c r="L53" i="48" s="1"/>
  <c r="J53" i="10"/>
  <c r="K53" i="48" s="1"/>
  <c r="I53" i="10"/>
  <c r="J53" i="48" s="1"/>
  <c r="H53" i="10"/>
  <c r="G53" i="10"/>
  <c r="G53" i="48" s="1"/>
  <c r="F53" i="10"/>
  <c r="F53" i="48" s="1"/>
  <c r="E53" i="10"/>
  <c r="E53" i="48" s="1"/>
  <c r="Z52" i="10"/>
  <c r="Y52" i="10"/>
  <c r="D52" i="10"/>
  <c r="D52" i="48" s="1"/>
  <c r="C52" i="10"/>
  <c r="C52" i="48" s="1"/>
  <c r="Z51" i="10"/>
  <c r="Y51" i="10"/>
  <c r="D51" i="10"/>
  <c r="D51" i="48" s="1"/>
  <c r="B2" i="42"/>
  <c r="N2" i="30"/>
  <c r="Z3" i="40"/>
  <c r="H3" i="35"/>
  <c r="J3" i="13"/>
  <c r="Y3" i="44"/>
  <c r="AB3" i="10"/>
  <c r="X3" i="9"/>
  <c r="X3" i="24"/>
  <c r="C4" i="6"/>
  <c r="Y3" i="43"/>
  <c r="AG54" i="48" l="1"/>
  <c r="Q54" i="48"/>
  <c r="Y54" i="48"/>
  <c r="AS54" i="48"/>
  <c r="AD54" i="48"/>
  <c r="AG10" i="40"/>
  <c r="AB53" i="48"/>
  <c r="AP54" i="48"/>
  <c r="V54" i="48"/>
  <c r="AL54" i="48"/>
  <c r="AQ54" i="48"/>
  <c r="AR54" i="48" s="1"/>
  <c r="AH10" i="40"/>
  <c r="AJ53" i="48"/>
  <c r="AT54" i="48"/>
  <c r="AF10" i="40"/>
  <c r="T53" i="48"/>
  <c r="N54" i="48"/>
  <c r="C54" i="10"/>
  <c r="C54" i="48" s="1"/>
  <c r="C4" i="3"/>
  <c r="C9" i="2"/>
  <c r="E3" i="2"/>
  <c r="K62" i="26"/>
  <c r="L62" i="26"/>
  <c r="K9" i="26"/>
  <c r="C65" i="26"/>
  <c r="AU54" i="48" l="1"/>
  <c r="AA88" i="44"/>
  <c r="AA87" i="44"/>
  <c r="AA86" i="44"/>
  <c r="AA85" i="44"/>
  <c r="AA84" i="44"/>
  <c r="AA83" i="44"/>
  <c r="AA82" i="44"/>
  <c r="Y89" i="44"/>
  <c r="X89" i="44"/>
  <c r="V89" i="44"/>
  <c r="T89" i="44"/>
  <c r="S89" i="44"/>
  <c r="R89" i="44"/>
  <c r="Q89" i="44"/>
  <c r="P89" i="44"/>
  <c r="O89" i="44"/>
  <c r="N89" i="44"/>
  <c r="M89" i="44"/>
  <c r="L89" i="44"/>
  <c r="K89" i="44"/>
  <c r="J89" i="44"/>
  <c r="I89" i="44"/>
  <c r="H89" i="44"/>
  <c r="Y89" i="43"/>
  <c r="X89" i="43"/>
  <c r="V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B3" i="44" l="1"/>
  <c r="U3" i="44"/>
  <c r="G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G17" i="44"/>
  <c r="Z17" i="44" s="1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AA30" i="44" s="1"/>
  <c r="G31" i="44"/>
  <c r="Z31" i="44" s="1"/>
  <c r="G32" i="44"/>
  <c r="Z32" i="44" s="1"/>
  <c r="AA34" i="44" s="1"/>
  <c r="G33" i="44"/>
  <c r="Z33" i="44" s="1"/>
  <c r="G59" i="44"/>
  <c r="Z59" i="44" s="1"/>
  <c r="G60" i="44"/>
  <c r="Z60" i="44" s="1"/>
  <c r="G61" i="44"/>
  <c r="Z61" i="44" s="1"/>
  <c r="G62" i="44"/>
  <c r="Z62" i="44" s="1"/>
  <c r="G63" i="44"/>
  <c r="Z63" i="44" s="1"/>
  <c r="G64" i="44"/>
  <c r="Z64" i="44" s="1"/>
  <c r="G65" i="44"/>
  <c r="Z65" i="44" s="1"/>
  <c r="G66" i="44"/>
  <c r="Z66" i="44" s="1"/>
  <c r="G67" i="44"/>
  <c r="Z67" i="44" s="1"/>
  <c r="G68" i="44"/>
  <c r="Z68" i="44" s="1"/>
  <c r="G69" i="44"/>
  <c r="Z69" i="44" s="1"/>
  <c r="G70" i="44"/>
  <c r="Z70" i="44" s="1"/>
  <c r="G71" i="44"/>
  <c r="Z71" i="44" s="1"/>
  <c r="G72" i="44"/>
  <c r="Z72" i="44" s="1"/>
  <c r="AA72" i="44" s="1"/>
  <c r="G73" i="44"/>
  <c r="Z73" i="44" s="1"/>
  <c r="G74" i="44"/>
  <c r="Z74" i="44" s="1"/>
  <c r="G75" i="44"/>
  <c r="Z75" i="44" s="1"/>
  <c r="G76" i="44"/>
  <c r="Z76" i="44" s="1"/>
  <c r="G77" i="44"/>
  <c r="Z77" i="44" s="1"/>
  <c r="G78" i="44"/>
  <c r="Z78" i="44" s="1"/>
  <c r="AA78" i="44" s="1"/>
  <c r="G79" i="44"/>
  <c r="Z79" i="44" s="1"/>
  <c r="AA79" i="44" s="1"/>
  <c r="G80" i="44"/>
  <c r="Z80" i="44" s="1"/>
  <c r="AA80" i="44" s="1"/>
  <c r="G81" i="44"/>
  <c r="Z81" i="44" s="1"/>
  <c r="AA81" i="44" s="1"/>
  <c r="G82" i="44"/>
  <c r="Z82" i="44" s="1"/>
  <c r="G83" i="44"/>
  <c r="Z83" i="44" s="1"/>
  <c r="G84" i="44"/>
  <c r="Z84" i="44" s="1"/>
  <c r="G85" i="44"/>
  <c r="Z85" i="44" s="1"/>
  <c r="G86" i="44"/>
  <c r="Z86" i="44" s="1"/>
  <c r="G87" i="44"/>
  <c r="Z87" i="44" s="1"/>
  <c r="G88" i="44"/>
  <c r="Z88" i="44" s="1"/>
  <c r="B3" i="43"/>
  <c r="U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AA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AA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AA43" i="43" s="1"/>
  <c r="G44" i="43"/>
  <c r="Z44" i="43" s="1"/>
  <c r="AA44" i="43" s="1"/>
  <c r="G45" i="43"/>
  <c r="Z45" i="43" s="1"/>
  <c r="AA45" i="43" s="1"/>
  <c r="G46" i="43"/>
  <c r="Z46" i="43" s="1"/>
  <c r="AA46" i="43" s="1"/>
  <c r="G76" i="43"/>
  <c r="Z76" i="43" s="1"/>
  <c r="G77" i="43"/>
  <c r="Z77" i="43" s="1"/>
  <c r="G78" i="43"/>
  <c r="Z78" i="43" s="1"/>
  <c r="G79" i="43"/>
  <c r="Z79" i="43" s="1"/>
  <c r="G80" i="43"/>
  <c r="Z80" i="43" s="1"/>
  <c r="G81" i="43"/>
  <c r="Z81" i="43" s="1"/>
  <c r="G82" i="43"/>
  <c r="Z82" i="43" s="1"/>
  <c r="G83" i="43"/>
  <c r="Z83" i="43" s="1"/>
  <c r="G84" i="43"/>
  <c r="Z84" i="43" s="1"/>
  <c r="G85" i="43"/>
  <c r="Z85" i="43" s="1"/>
  <c r="G86" i="43"/>
  <c r="Z86" i="43" s="1"/>
  <c r="G87" i="43"/>
  <c r="Z87" i="43" s="1"/>
  <c r="G88" i="43"/>
  <c r="Z88" i="43" s="1"/>
  <c r="AA20" i="43" l="1"/>
  <c r="AA31" i="43"/>
  <c r="AA22" i="43"/>
  <c r="AA31" i="44"/>
  <c r="AA38" i="43"/>
  <c r="AA39" i="43"/>
  <c r="AA40" i="43"/>
  <c r="AA42" i="43"/>
  <c r="AA41" i="43"/>
  <c r="AA66" i="44"/>
  <c r="AA29" i="44"/>
  <c r="AA23" i="43"/>
  <c r="AA21" i="44"/>
  <c r="AA28" i="44"/>
  <c r="AA27" i="44"/>
  <c r="AA26" i="44"/>
  <c r="AA77" i="44"/>
  <c r="AA73" i="44"/>
  <c r="AA76" i="44"/>
  <c r="AA75" i="44"/>
  <c r="AA74" i="44"/>
  <c r="AA24" i="43"/>
  <c r="AA23" i="44"/>
  <c r="AA22" i="44"/>
  <c r="AA71" i="44"/>
  <c r="AA70" i="44"/>
  <c r="AA16" i="44"/>
  <c r="AA60" i="44"/>
  <c r="AA59" i="44"/>
  <c r="AA15" i="44"/>
  <c r="AA68" i="44"/>
  <c r="AA69" i="44"/>
  <c r="AA67" i="44"/>
  <c r="AA64" i="44"/>
  <c r="AA63" i="44"/>
  <c r="AA65" i="44"/>
  <c r="AA62" i="44"/>
  <c r="AA61" i="44"/>
  <c r="AA25" i="44"/>
  <c r="AA24" i="44"/>
  <c r="AA33" i="44"/>
  <c r="AA32" i="44"/>
  <c r="AA16" i="43"/>
  <c r="AA28" i="43"/>
  <c r="AA19" i="43"/>
  <c r="AA18" i="43"/>
  <c r="AA17" i="43"/>
  <c r="G89" i="43"/>
  <c r="AA25" i="43"/>
  <c r="AA26" i="43"/>
  <c r="AA27" i="43"/>
  <c r="AA37" i="43"/>
  <c r="AA36" i="43"/>
  <c r="AA35" i="43"/>
  <c r="AA33" i="43"/>
  <c r="AA34" i="43"/>
  <c r="AA30" i="43"/>
  <c r="AA29" i="43"/>
  <c r="AA20" i="44"/>
  <c r="AA19" i="44"/>
  <c r="Z9" i="44"/>
  <c r="AA10" i="44" s="1"/>
  <c r="G89" i="44"/>
  <c r="AA18" i="44"/>
  <c r="AA17" i="44"/>
  <c r="Z9" i="43"/>
  <c r="AA12" i="43" s="1"/>
  <c r="AA15" i="43" l="1"/>
  <c r="AA10" i="43"/>
  <c r="AA11" i="43"/>
  <c r="AA14" i="44"/>
  <c r="AA11" i="44"/>
  <c r="AA12" i="44"/>
  <c r="AA13" i="44"/>
  <c r="AA13" i="43"/>
  <c r="AA14" i="43"/>
  <c r="AA9" i="43"/>
  <c r="Z89" i="43"/>
  <c r="AA9" i="44"/>
  <c r="Z89" i="44"/>
  <c r="Z90" i="44" l="1"/>
  <c r="Z90" i="43"/>
  <c r="AA90" i="43" l="1"/>
  <c r="V90" i="43" s="1"/>
  <c r="AA90" i="44"/>
  <c r="X90" i="44" s="1"/>
  <c r="J8" i="13"/>
  <c r="I8" i="13"/>
  <c r="H8" i="13"/>
  <c r="G8" i="13"/>
  <c r="F8" i="13"/>
  <c r="E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T90" i="43" l="1"/>
  <c r="G90" i="43"/>
  <c r="M90" i="43"/>
  <c r="S90" i="43"/>
  <c r="O90" i="43"/>
  <c r="X90" i="43"/>
  <c r="Q90" i="43"/>
  <c r="Y90" i="43"/>
  <c r="K90" i="43"/>
  <c r="J90" i="43"/>
  <c r="N90" i="43"/>
  <c r="R90" i="43"/>
  <c r="L90" i="43"/>
  <c r="P90" i="43"/>
  <c r="I90" i="43"/>
  <c r="H90" i="43"/>
  <c r="O90" i="44"/>
  <c r="M90" i="44"/>
  <c r="G90" i="44"/>
  <c r="Q90" i="44"/>
  <c r="N90" i="44"/>
  <c r="V90" i="44"/>
  <c r="J90" i="44"/>
  <c r="L90" i="44"/>
  <c r="H90" i="44"/>
  <c r="R90" i="44"/>
  <c r="I90" i="44"/>
  <c r="K90" i="44"/>
  <c r="Y90" i="44"/>
  <c r="P90" i="44"/>
  <c r="T90" i="44"/>
  <c r="S90" i="44"/>
  <c r="G25" i="13"/>
  <c r="H25" i="13"/>
  <c r="E25" i="13"/>
  <c r="F25" i="13"/>
  <c r="D25" i="13"/>
  <c r="J25" i="13"/>
  <c r="I25" i="13"/>
  <c r="D49" i="13"/>
  <c r="E49" i="13"/>
  <c r="F49" i="13"/>
  <c r="G49" i="13"/>
  <c r="H49" i="13"/>
  <c r="I49" i="13"/>
  <c r="C16" i="21" l="1"/>
  <c r="C12" i="21" s="1"/>
  <c r="G3" i="13" l="1"/>
  <c r="I28" i="13" l="1"/>
  <c r="C28" i="13"/>
  <c r="J4" i="13"/>
  <c r="C4" i="13"/>
  <c r="AB31" i="10"/>
  <c r="AA31" i="10"/>
  <c r="AB71" i="10"/>
  <c r="AA71" i="10"/>
  <c r="AB74" i="10"/>
  <c r="AA74" i="10"/>
  <c r="C44" i="2"/>
  <c r="C43" i="2"/>
  <c r="C49" i="13" l="1"/>
  <c r="C25" i="13"/>
  <c r="D73" i="10" l="1"/>
  <c r="D73" i="48" s="1"/>
  <c r="D72" i="10"/>
  <c r="D72" i="48" s="1"/>
  <c r="D70" i="10"/>
  <c r="D70" i="48" s="1"/>
  <c r="D69" i="10"/>
  <c r="D69" i="48" s="1"/>
  <c r="D68" i="10"/>
  <c r="D68" i="48" s="1"/>
  <c r="D67" i="10"/>
  <c r="D67" i="48" s="1"/>
  <c r="D66" i="10"/>
  <c r="D66" i="48" s="1"/>
  <c r="D65" i="10"/>
  <c r="D65" i="48" s="1"/>
  <c r="D64" i="10"/>
  <c r="D64" i="48" s="1"/>
  <c r="D63" i="10"/>
  <c r="D63" i="48" s="1"/>
  <c r="D62" i="10"/>
  <c r="D62" i="48" s="1"/>
  <c r="D61" i="10"/>
  <c r="D61" i="48" s="1"/>
  <c r="D60" i="10"/>
  <c r="D60" i="48" s="1"/>
  <c r="D59" i="10"/>
  <c r="D59" i="48" s="1"/>
  <c r="D58" i="10"/>
  <c r="D58" i="48" s="1"/>
  <c r="D57" i="10"/>
  <c r="D57" i="48" s="1"/>
  <c r="D50" i="10"/>
  <c r="D50" i="48" s="1"/>
  <c r="D49" i="10"/>
  <c r="D49" i="48" s="1"/>
  <c r="D48" i="10"/>
  <c r="D48" i="48" s="1"/>
  <c r="D47" i="10"/>
  <c r="D47" i="48" s="1"/>
  <c r="D46" i="10"/>
  <c r="D46" i="48" s="1"/>
  <c r="D45" i="10"/>
  <c r="D45" i="48" s="1"/>
  <c r="D44" i="10"/>
  <c r="D44" i="48" s="1"/>
  <c r="D43" i="10"/>
  <c r="D43" i="48" s="1"/>
  <c r="D42" i="10"/>
  <c r="D42" i="48" s="1"/>
  <c r="D41" i="10"/>
  <c r="D41" i="48" s="1"/>
  <c r="D40" i="10"/>
  <c r="D40" i="48" s="1"/>
  <c r="D39" i="10"/>
  <c r="D39" i="48" s="1"/>
  <c r="D38" i="10"/>
  <c r="D38" i="48" s="1"/>
  <c r="D37" i="10"/>
  <c r="D37" i="48" s="1"/>
  <c r="D36" i="10"/>
  <c r="D36" i="48" s="1"/>
  <c r="D35" i="10"/>
  <c r="D35" i="48" s="1"/>
  <c r="D30" i="10"/>
  <c r="D30" i="48" s="1"/>
  <c r="D29" i="10"/>
  <c r="D29" i="48" s="1"/>
  <c r="D28" i="10"/>
  <c r="D28" i="48" s="1"/>
  <c r="D27" i="10"/>
  <c r="D27" i="48" s="1"/>
  <c r="D26" i="10"/>
  <c r="D26" i="48" s="1"/>
  <c r="D25" i="10"/>
  <c r="D25" i="48" s="1"/>
  <c r="D24" i="10"/>
  <c r="D24" i="48" s="1"/>
  <c r="D23" i="10"/>
  <c r="D23" i="48" s="1"/>
  <c r="D22" i="10"/>
  <c r="D22" i="48" s="1"/>
  <c r="D21" i="10"/>
  <c r="D21" i="48" s="1"/>
  <c r="D20" i="10"/>
  <c r="D20" i="48" s="1"/>
  <c r="D19" i="10"/>
  <c r="D19" i="48" s="1"/>
  <c r="D18" i="10"/>
  <c r="D18" i="48" s="1"/>
  <c r="D17" i="10"/>
  <c r="D17" i="48" s="1"/>
  <c r="D16" i="10"/>
  <c r="D16" i="48" s="1"/>
  <c r="D15" i="10"/>
  <c r="D15" i="48" s="1"/>
  <c r="D14" i="10"/>
  <c r="D14" i="48" s="1"/>
  <c r="D13" i="10"/>
  <c r="D13" i="48" s="1"/>
  <c r="D12" i="10"/>
  <c r="D12" i="48" s="1"/>
  <c r="D11" i="10"/>
  <c r="D11" i="48" s="1"/>
  <c r="D10" i="10"/>
  <c r="D10" i="48" s="1"/>
  <c r="D9" i="10"/>
  <c r="D9" i="48" s="1"/>
  <c r="D8" i="10"/>
  <c r="D8" i="48" s="1"/>
  <c r="D7" i="10"/>
  <c r="D7" i="48" s="1"/>
  <c r="D53" i="10" l="1"/>
  <c r="D53" i="48" s="1"/>
  <c r="D54" i="10"/>
  <c r="D54" i="48" s="1"/>
  <c r="M11" i="40"/>
  <c r="N11" i="40"/>
  <c r="O11" i="40"/>
  <c r="P11" i="40"/>
  <c r="Q11" i="40"/>
  <c r="R11" i="40"/>
  <c r="T11" i="40"/>
  <c r="U11" i="40"/>
  <c r="U9" i="40" s="1"/>
  <c r="V11" i="40"/>
  <c r="W11" i="40"/>
  <c r="X11" i="40"/>
  <c r="Y11" i="40"/>
  <c r="Z11" i="40"/>
  <c r="C12" i="40"/>
  <c r="D12" i="40" s="1"/>
  <c r="S12" i="40"/>
  <c r="C13" i="40"/>
  <c r="D13" i="40" s="1"/>
  <c r="S13" i="40"/>
  <c r="C14" i="40"/>
  <c r="D14" i="40" s="1"/>
  <c r="S14" i="40"/>
  <c r="C15" i="40"/>
  <c r="D15" i="40" s="1"/>
  <c r="S15" i="40"/>
  <c r="F16" i="40"/>
  <c r="H16" i="40"/>
  <c r="M16" i="40"/>
  <c r="N16" i="40"/>
  <c r="O16" i="40"/>
  <c r="Q16" i="40"/>
  <c r="R16" i="40"/>
  <c r="T16" i="40"/>
  <c r="X16" i="40"/>
  <c r="Y16" i="40"/>
  <c r="Z16" i="40"/>
  <c r="C17" i="40"/>
  <c r="D17" i="40" s="1"/>
  <c r="S17" i="40"/>
  <c r="C18" i="40"/>
  <c r="D18" i="40" s="1"/>
  <c r="S18" i="40"/>
  <c r="C19" i="40"/>
  <c r="D19" i="40" s="1"/>
  <c r="S19" i="40"/>
  <c r="C20" i="40"/>
  <c r="D20" i="40" s="1"/>
  <c r="S20" i="40"/>
  <c r="C21" i="40"/>
  <c r="D21" i="40" s="1"/>
  <c r="S21" i="40"/>
  <c r="C22" i="40"/>
  <c r="D22" i="40" s="1"/>
  <c r="S22" i="40"/>
  <c r="C23" i="40"/>
  <c r="D23" i="40" s="1"/>
  <c r="S23" i="40"/>
  <c r="S29" i="40"/>
  <c r="S30" i="40"/>
  <c r="S31" i="40"/>
  <c r="S32" i="40"/>
  <c r="S33" i="40"/>
  <c r="C35" i="40"/>
  <c r="S35" i="40"/>
  <c r="C37" i="40"/>
  <c r="D37" i="40" s="1"/>
  <c r="S37" i="40"/>
  <c r="C38" i="40"/>
  <c r="D38" i="40" s="1"/>
  <c r="S38" i="40"/>
  <c r="C39" i="40"/>
  <c r="D39" i="40" s="1"/>
  <c r="S39" i="40"/>
  <c r="C40" i="40"/>
  <c r="D40" i="40" s="1"/>
  <c r="S40" i="40"/>
  <c r="C41" i="40"/>
  <c r="D41" i="40" s="1"/>
  <c r="S41" i="40"/>
  <c r="C42" i="40"/>
  <c r="D42" i="40" s="1"/>
  <c r="S42" i="40"/>
  <c r="H29" i="9"/>
  <c r="F28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C28" i="40" l="1"/>
  <c r="D35" i="40"/>
  <c r="S36" i="40"/>
  <c r="S28" i="40"/>
  <c r="S27" i="40" s="1"/>
  <c r="T9" i="40"/>
  <c r="T8" i="40" s="1"/>
  <c r="C36" i="40"/>
  <c r="D36" i="40" s="1"/>
  <c r="C27" i="40"/>
  <c r="O9" i="40"/>
  <c r="O8" i="40" s="1"/>
  <c r="AE16" i="40"/>
  <c r="U8" i="40"/>
  <c r="I9" i="40"/>
  <c r="I8" i="40" s="1"/>
  <c r="G9" i="40"/>
  <c r="I35" i="9"/>
  <c r="J35" i="9"/>
  <c r="Z9" i="40"/>
  <c r="Z8" i="40" s="1"/>
  <c r="V9" i="40"/>
  <c r="Q9" i="40"/>
  <c r="M9" i="40"/>
  <c r="M8" i="40" s="1"/>
  <c r="Y9" i="40"/>
  <c r="P9" i="40"/>
  <c r="AF14" i="40" s="1"/>
  <c r="L9" i="40"/>
  <c r="L8" i="40" s="1"/>
  <c r="X9" i="40"/>
  <c r="K9" i="40"/>
  <c r="K8" i="40" s="1"/>
  <c r="E9" i="40"/>
  <c r="W9" i="40"/>
  <c r="R9" i="40"/>
  <c r="N9" i="40"/>
  <c r="AD14" i="40" s="1"/>
  <c r="H30" i="9"/>
  <c r="F20" i="9"/>
  <c r="H25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5" i="9"/>
  <c r="S11" i="40"/>
  <c r="F17" i="9"/>
  <c r="H27" i="9"/>
  <c r="H9" i="9"/>
  <c r="H10" i="9"/>
  <c r="I22" i="9"/>
  <c r="H16" i="9"/>
  <c r="H17" i="9"/>
  <c r="F25" i="9"/>
  <c r="H26" i="9"/>
  <c r="H31" i="9"/>
  <c r="H32" i="9"/>
  <c r="F35" i="9"/>
  <c r="F12" i="9"/>
  <c r="F13" i="9"/>
  <c r="F9" i="9"/>
  <c r="S16" i="40"/>
  <c r="F11" i="40"/>
  <c r="C16" i="40"/>
  <c r="D16" i="40" s="1"/>
  <c r="C11" i="40"/>
  <c r="H11" i="40"/>
  <c r="F10" i="9"/>
  <c r="F18" i="9"/>
  <c r="F30" i="9"/>
  <c r="F11" i="9"/>
  <c r="F19" i="9"/>
  <c r="F31" i="9"/>
  <c r="F14" i="9"/>
  <c r="F26" i="9"/>
  <c r="F15" i="9"/>
  <c r="F27" i="9"/>
  <c r="F16" i="9"/>
  <c r="D27" i="40" l="1"/>
  <c r="D28" i="40"/>
  <c r="H9" i="40"/>
  <c r="E8" i="40"/>
  <c r="F9" i="40"/>
  <c r="F8" i="40" s="1"/>
  <c r="AD16" i="40"/>
  <c r="AE14" i="40"/>
  <c r="Y8" i="40"/>
  <c r="L25" i="13" s="1"/>
  <c r="L18" i="13"/>
  <c r="V8" i="40"/>
  <c r="AF11" i="40" s="1"/>
  <c r="AF16" i="40"/>
  <c r="W8" i="40"/>
  <c r="AG11" i="40" s="1"/>
  <c r="AG16" i="40"/>
  <c r="X8" i="40"/>
  <c r="AH11" i="40" s="1"/>
  <c r="AH16" i="40"/>
  <c r="Q8" i="40"/>
  <c r="AG14" i="40"/>
  <c r="R8" i="40"/>
  <c r="AH14" i="40"/>
  <c r="P8" i="40"/>
  <c r="N8" i="40"/>
  <c r="S9" i="40"/>
  <c r="S8" i="40" s="1"/>
  <c r="D11" i="40"/>
  <c r="C9" i="40"/>
  <c r="G8" i="40"/>
  <c r="D9" i="40" l="1"/>
  <c r="H8" i="40"/>
  <c r="C8" i="40"/>
  <c r="D8" i="40" l="1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J84" i="24"/>
  <c r="I84" i="24"/>
  <c r="H84" i="24"/>
  <c r="F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D83" i="24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D82" i="24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D81" i="24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D80" i="24"/>
  <c r="Y79" i="24"/>
  <c r="X79" i="24"/>
  <c r="W79" i="24"/>
  <c r="V79" i="24"/>
  <c r="U79" i="24"/>
  <c r="T79" i="24"/>
  <c r="S79" i="24"/>
  <c r="R79" i="24"/>
  <c r="Q79" i="24"/>
  <c r="P79" i="24"/>
  <c r="N79" i="24"/>
  <c r="M79" i="24"/>
  <c r="L79" i="24"/>
  <c r="K79" i="24"/>
  <c r="J79" i="24"/>
  <c r="I79" i="24"/>
  <c r="H79" i="24"/>
  <c r="F79" i="24"/>
  <c r="D79" i="24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Y77" i="24"/>
  <c r="X77" i="24"/>
  <c r="W77" i="24"/>
  <c r="V77" i="24"/>
  <c r="U77" i="24"/>
  <c r="T77" i="24"/>
  <c r="S77" i="24"/>
  <c r="R77" i="24"/>
  <c r="Q77" i="24"/>
  <c r="P77" i="24"/>
  <c r="N77" i="24"/>
  <c r="M77" i="24"/>
  <c r="L77" i="24"/>
  <c r="K77" i="24"/>
  <c r="J77" i="24"/>
  <c r="I77" i="24"/>
  <c r="H77" i="24"/>
  <c r="F77" i="24"/>
  <c r="D77" i="24"/>
  <c r="Y76" i="24"/>
  <c r="X76" i="24"/>
  <c r="W76" i="24"/>
  <c r="V76" i="24"/>
  <c r="U76" i="24"/>
  <c r="T76" i="24"/>
  <c r="S76" i="24"/>
  <c r="R76" i="24"/>
  <c r="Q76" i="24"/>
  <c r="P76" i="24"/>
  <c r="N76" i="24"/>
  <c r="M76" i="24"/>
  <c r="L76" i="24"/>
  <c r="K76" i="24"/>
  <c r="J76" i="24"/>
  <c r="H76" i="24"/>
  <c r="F76" i="24"/>
  <c r="D76" i="24"/>
  <c r="Y75" i="24"/>
  <c r="X75" i="24"/>
  <c r="W75" i="24"/>
  <c r="V75" i="24"/>
  <c r="U75" i="24"/>
  <c r="T75" i="24"/>
  <c r="S75" i="24"/>
  <c r="R75" i="24"/>
  <c r="Q75" i="24"/>
  <c r="P75" i="24"/>
  <c r="N75" i="24"/>
  <c r="M75" i="24"/>
  <c r="L75" i="24"/>
  <c r="K75" i="24"/>
  <c r="J75" i="24"/>
  <c r="I75" i="24"/>
  <c r="H75" i="24"/>
  <c r="F75" i="24"/>
  <c r="D75" i="24"/>
  <c r="Y74" i="24"/>
  <c r="X74" i="24"/>
  <c r="W74" i="24"/>
  <c r="V74" i="24"/>
  <c r="U74" i="24"/>
  <c r="T74" i="24"/>
  <c r="S74" i="24"/>
  <c r="R74" i="24"/>
  <c r="Q74" i="24"/>
  <c r="P74" i="24"/>
  <c r="N74" i="24"/>
  <c r="M74" i="24"/>
  <c r="L74" i="24"/>
  <c r="K74" i="24"/>
  <c r="J74" i="24"/>
  <c r="I74" i="24"/>
  <c r="H74" i="24"/>
  <c r="F74" i="24"/>
  <c r="D74" i="24"/>
  <c r="Y70" i="24"/>
  <c r="X70" i="24"/>
  <c r="W70" i="24"/>
  <c r="V70" i="24"/>
  <c r="U70" i="24"/>
  <c r="T70" i="24"/>
  <c r="S70" i="24"/>
  <c r="R70" i="24"/>
  <c r="Q70" i="24"/>
  <c r="P70" i="24"/>
  <c r="N70" i="24"/>
  <c r="M70" i="24"/>
  <c r="L70" i="24"/>
  <c r="K70" i="24"/>
  <c r="J70" i="24"/>
  <c r="D70" i="24"/>
  <c r="O69" i="24"/>
  <c r="C69" i="24" s="1"/>
  <c r="O68" i="24"/>
  <c r="C68" i="24" s="1"/>
  <c r="O67" i="24"/>
  <c r="C67" i="24" s="1"/>
  <c r="O66" i="24"/>
  <c r="O81" i="24" s="1"/>
  <c r="O65" i="24"/>
  <c r="C65" i="24" s="1"/>
  <c r="O64" i="24"/>
  <c r="C64" i="24" s="1"/>
  <c r="O63" i="24"/>
  <c r="C63" i="24" s="1"/>
  <c r="O62" i="24"/>
  <c r="C62" i="24" s="1"/>
  <c r="O61" i="24"/>
  <c r="C61" i="24" s="1"/>
  <c r="O60" i="24"/>
  <c r="C60" i="24" s="1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D58" i="24"/>
  <c r="O57" i="24"/>
  <c r="C57" i="24" s="1"/>
  <c r="O56" i="24"/>
  <c r="O55" i="24"/>
  <c r="C55" i="24" s="1"/>
  <c r="O54" i="24"/>
  <c r="C54" i="24" s="1"/>
  <c r="O53" i="24"/>
  <c r="C53" i="24" s="1"/>
  <c r="O52" i="24"/>
  <c r="C52" i="24" s="1"/>
  <c r="Y50" i="24"/>
  <c r="X50" i="24"/>
  <c r="W50" i="24"/>
  <c r="V50" i="24"/>
  <c r="U50" i="24"/>
  <c r="T50" i="24"/>
  <c r="S50" i="24"/>
  <c r="R50" i="24"/>
  <c r="Q50" i="24"/>
  <c r="P50" i="24"/>
  <c r="N50" i="24"/>
  <c r="M50" i="24"/>
  <c r="L50" i="24"/>
  <c r="K50" i="24"/>
  <c r="J50" i="24"/>
  <c r="D50" i="24"/>
  <c r="O49" i="24"/>
  <c r="C49" i="24" s="1"/>
  <c r="O48" i="24"/>
  <c r="C48" i="24" s="1"/>
  <c r="O47" i="24"/>
  <c r="C47" i="24" s="1"/>
  <c r="O46" i="24"/>
  <c r="C46" i="24" s="1"/>
  <c r="O45" i="24"/>
  <c r="C45" i="24" s="1"/>
  <c r="Y43" i="24"/>
  <c r="X43" i="24"/>
  <c r="W43" i="24"/>
  <c r="V43" i="24"/>
  <c r="U43" i="24"/>
  <c r="T43" i="24"/>
  <c r="S43" i="24"/>
  <c r="R43" i="24"/>
  <c r="Q43" i="24"/>
  <c r="P43" i="24"/>
  <c r="N43" i="24"/>
  <c r="M43" i="24"/>
  <c r="L43" i="24"/>
  <c r="K43" i="24"/>
  <c r="J43" i="24"/>
  <c r="D43" i="24"/>
  <c r="O42" i="24"/>
  <c r="C42" i="24" s="1"/>
  <c r="O41" i="24"/>
  <c r="C41" i="24" s="1"/>
  <c r="O40" i="24"/>
  <c r="C40" i="24" s="1"/>
  <c r="O39" i="24"/>
  <c r="C39" i="24" s="1"/>
  <c r="O38" i="24"/>
  <c r="C38" i="24" s="1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D36" i="24"/>
  <c r="O35" i="24"/>
  <c r="C35" i="24" s="1"/>
  <c r="O34" i="24"/>
  <c r="C34" i="24" s="1"/>
  <c r="O33" i="24"/>
  <c r="C33" i="24" s="1"/>
  <c r="O32" i="24"/>
  <c r="C32" i="24" s="1"/>
  <c r="O31" i="24"/>
  <c r="C31" i="24" s="1"/>
  <c r="Y29" i="24"/>
  <c r="X29" i="24"/>
  <c r="W29" i="24"/>
  <c r="V29" i="24"/>
  <c r="U29" i="24"/>
  <c r="T29" i="24"/>
  <c r="S29" i="24"/>
  <c r="R29" i="24"/>
  <c r="Q29" i="24"/>
  <c r="P29" i="24"/>
  <c r="N29" i="24"/>
  <c r="M29" i="24"/>
  <c r="L29" i="24"/>
  <c r="K29" i="24"/>
  <c r="J29" i="24"/>
  <c r="D29" i="24"/>
  <c r="O28" i="24"/>
  <c r="C28" i="24" s="1"/>
  <c r="O27" i="24"/>
  <c r="C27" i="24" s="1"/>
  <c r="O26" i="24"/>
  <c r="C26" i="24" s="1"/>
  <c r="O25" i="24"/>
  <c r="C25" i="24" s="1"/>
  <c r="O24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D22" i="24"/>
  <c r="O21" i="24"/>
  <c r="C21" i="24" s="1"/>
  <c r="O20" i="24"/>
  <c r="C20" i="24" s="1"/>
  <c r="O19" i="24"/>
  <c r="C19" i="24" s="1"/>
  <c r="O18" i="24"/>
  <c r="C18" i="24" s="1"/>
  <c r="O17" i="24"/>
  <c r="O16" i="24"/>
  <c r="C16" i="24" s="1"/>
  <c r="Y14" i="24"/>
  <c r="X14" i="24"/>
  <c r="W14" i="24"/>
  <c r="V14" i="24"/>
  <c r="U14" i="24"/>
  <c r="T14" i="24"/>
  <c r="S14" i="24"/>
  <c r="R14" i="24"/>
  <c r="Q14" i="24"/>
  <c r="P14" i="24"/>
  <c r="N14" i="24"/>
  <c r="M14" i="24"/>
  <c r="L14" i="24"/>
  <c r="K14" i="24"/>
  <c r="J14" i="24"/>
  <c r="I14" i="24"/>
  <c r="H14" i="24"/>
  <c r="D14" i="24"/>
  <c r="O13" i="24"/>
  <c r="C13" i="24" s="1"/>
  <c r="O12" i="24"/>
  <c r="O11" i="24"/>
  <c r="C11" i="24" s="1"/>
  <c r="O10" i="24"/>
  <c r="C10" i="24" s="1"/>
  <c r="O9" i="24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50" i="26"/>
  <c r="O51" i="26"/>
  <c r="O52" i="26"/>
  <c r="O53" i="26"/>
  <c r="O54" i="26"/>
  <c r="O55" i="26"/>
  <c r="O56" i="26"/>
  <c r="O57" i="26"/>
  <c r="O58" i="26"/>
  <c r="O60" i="26"/>
  <c r="O82" i="24" l="1"/>
  <c r="R85" i="24"/>
  <c r="S85" i="24"/>
  <c r="T85" i="24"/>
  <c r="U85" i="24"/>
  <c r="I85" i="24"/>
  <c r="W85" i="24"/>
  <c r="V85" i="24"/>
  <c r="D85" i="24"/>
  <c r="D93" i="24" s="1"/>
  <c r="F85" i="24"/>
  <c r="X85" i="24"/>
  <c r="H85" i="24"/>
  <c r="Y85" i="24"/>
  <c r="J85" i="24"/>
  <c r="J93" i="24" s="1"/>
  <c r="K85" i="24"/>
  <c r="L85" i="24"/>
  <c r="M85" i="24"/>
  <c r="N85" i="24"/>
  <c r="P85" i="24"/>
  <c r="Q85" i="24"/>
  <c r="C82" i="24"/>
  <c r="C18" i="9" s="1"/>
  <c r="O50" i="24"/>
  <c r="C50" i="24" s="1"/>
  <c r="C30" i="9" s="1"/>
  <c r="O36" i="24"/>
  <c r="C36" i="24" s="1"/>
  <c r="C28" i="9" s="1"/>
  <c r="O78" i="24"/>
  <c r="C78" i="24" s="1"/>
  <c r="C10" i="9" s="1"/>
  <c r="O29" i="24"/>
  <c r="C29" i="24" s="1"/>
  <c r="C27" i="9" s="1"/>
  <c r="O80" i="24"/>
  <c r="C80" i="24" s="1"/>
  <c r="C11" i="9" s="1"/>
  <c r="O74" i="24"/>
  <c r="O14" i="24"/>
  <c r="C14" i="24" s="1"/>
  <c r="C25" i="9" s="1"/>
  <c r="C9" i="24"/>
  <c r="C12" i="24"/>
  <c r="O22" i="24"/>
  <c r="C22" i="24" s="1"/>
  <c r="C26" i="9" s="1"/>
  <c r="C24" i="24"/>
  <c r="O43" i="24"/>
  <c r="C43" i="24" s="1"/>
  <c r="C29" i="9" s="1"/>
  <c r="O83" i="24"/>
  <c r="C83" i="24" s="1"/>
  <c r="C19" i="9" s="1"/>
  <c r="C12" i="9"/>
  <c r="O84" i="24"/>
  <c r="C84" i="24" s="1"/>
  <c r="C20" i="9" s="1"/>
  <c r="O79" i="24"/>
  <c r="C79" i="24" s="1"/>
  <c r="C9" i="9" s="1"/>
  <c r="C81" i="24"/>
  <c r="C17" i="9" s="1"/>
  <c r="O75" i="24"/>
  <c r="C75" i="24" s="1"/>
  <c r="C14" i="9" s="1"/>
  <c r="C17" i="24"/>
  <c r="C66" i="24"/>
  <c r="O76" i="24"/>
  <c r="C76" i="24" s="1"/>
  <c r="C15" i="9" s="1"/>
  <c r="C56" i="24"/>
  <c r="O58" i="24"/>
  <c r="C58" i="24" s="1"/>
  <c r="C31" i="9" s="1"/>
  <c r="O77" i="24"/>
  <c r="C77" i="24" s="1"/>
  <c r="C16" i="9" s="1"/>
  <c r="O70" i="24"/>
  <c r="C70" i="24" s="1"/>
  <c r="C32" i="9" s="1"/>
  <c r="AC9" i="10" l="1"/>
  <c r="AV9" i="48"/>
  <c r="AC45" i="10"/>
  <c r="AV45" i="48"/>
  <c r="AC47" i="10"/>
  <c r="AV47" i="48"/>
  <c r="AC21" i="10"/>
  <c r="AV21" i="48"/>
  <c r="AC37" i="10"/>
  <c r="AV37" i="48"/>
  <c r="AC19" i="10"/>
  <c r="AV19" i="48"/>
  <c r="AC43" i="10"/>
  <c r="AV43" i="48"/>
  <c r="AC35" i="10"/>
  <c r="AV35" i="48"/>
  <c r="AC27" i="10"/>
  <c r="AV27" i="48"/>
  <c r="AC23" i="10"/>
  <c r="AV23" i="48"/>
  <c r="AC13" i="10"/>
  <c r="AV13" i="48"/>
  <c r="AC17" i="10"/>
  <c r="AV17" i="48"/>
  <c r="AC49" i="10"/>
  <c r="AV49" i="48"/>
  <c r="AC25" i="10"/>
  <c r="AV25" i="48"/>
  <c r="AC7" i="10"/>
  <c r="AV7" i="48"/>
  <c r="AC11" i="10"/>
  <c r="AV11" i="48"/>
  <c r="AC41" i="10"/>
  <c r="AV41" i="48"/>
  <c r="AC29" i="10"/>
  <c r="AV29" i="48"/>
  <c r="AC39" i="10"/>
  <c r="AV39" i="48"/>
  <c r="C35" i="9"/>
  <c r="C74" i="24"/>
  <c r="C13" i="9" s="1"/>
  <c r="AV15" i="48" s="1"/>
  <c r="O85" i="24"/>
  <c r="C85" i="24" s="1"/>
  <c r="AA8" i="40" l="1"/>
  <c r="AV71" i="48"/>
  <c r="AV31" i="48"/>
  <c r="AC53" i="10"/>
  <c r="AV53" i="48"/>
  <c r="B15" i="42"/>
  <c r="AC71" i="10"/>
  <c r="AC31" i="10"/>
  <c r="C22" i="9"/>
  <c r="D19" i="9" s="1"/>
  <c r="AC15" i="10"/>
  <c r="D33" i="9"/>
  <c r="D31" i="9"/>
  <c r="D29" i="9"/>
  <c r="D27" i="9"/>
  <c r="D25" i="9"/>
  <c r="D32" i="9"/>
  <c r="D30" i="9"/>
  <c r="D35" i="9"/>
  <c r="D28" i="9"/>
  <c r="D26" i="9"/>
  <c r="D18" i="9" l="1"/>
  <c r="D9" i="9"/>
  <c r="D13" i="9"/>
  <c r="D10" i="9"/>
  <c r="D15" i="9"/>
  <c r="D11" i="9"/>
  <c r="D12" i="9"/>
  <c r="D16" i="9"/>
  <c r="D14" i="9"/>
  <c r="D20" i="9"/>
  <c r="D17" i="9"/>
  <c r="D22" i="9"/>
  <c r="B3" i="42"/>
  <c r="B2" i="21" l="1"/>
  <c r="A2" i="42" l="1"/>
  <c r="I2" i="20"/>
  <c r="C2" i="21" s="1"/>
  <c r="V3" i="40"/>
  <c r="F3" i="35"/>
  <c r="U3" i="10"/>
  <c r="T3" i="9"/>
  <c r="T3" i="24"/>
  <c r="C3" i="6"/>
  <c r="C3" i="3"/>
  <c r="D3" i="2"/>
  <c r="B2" i="20"/>
  <c r="B2" i="30"/>
  <c r="B3" i="40"/>
  <c r="B3" i="35"/>
  <c r="B3" i="10"/>
  <c r="B3" i="9"/>
  <c r="B3" i="24"/>
  <c r="B3" i="6"/>
  <c r="B3" i="3"/>
  <c r="B3" i="2"/>
  <c r="W80" i="10" l="1"/>
  <c r="S80" i="10"/>
  <c r="O80" i="10"/>
  <c r="O7" i="42" l="1"/>
  <c r="P71" i="10" l="1"/>
  <c r="W71" i="48" s="1"/>
  <c r="W77" i="48" s="1"/>
  <c r="K71" i="10"/>
  <c r="L71" i="48" s="1"/>
  <c r="L77" i="48" s="1"/>
  <c r="P13" i="42" l="1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O8" i="42"/>
  <c r="O6" i="42"/>
  <c r="O5" i="42"/>
  <c r="B18" i="42" l="1"/>
  <c r="B21" i="42"/>
  <c r="L9" i="35"/>
  <c r="K9" i="35" l="1"/>
  <c r="J9" i="35" l="1"/>
  <c r="C76" i="2" l="1"/>
  <c r="C75" i="2"/>
  <c r="C52" i="2"/>
  <c r="C51" i="2"/>
  <c r="C50" i="2"/>
  <c r="C49" i="2"/>
  <c r="C48" i="2"/>
  <c r="C41" i="2"/>
  <c r="C40" i="2"/>
  <c r="C39" i="2"/>
  <c r="C38" i="2"/>
  <c r="C37" i="2"/>
  <c r="C33" i="2"/>
  <c r="C32" i="2"/>
  <c r="C31" i="2"/>
  <c r="C30" i="2"/>
  <c r="C25" i="2"/>
  <c r="C24" i="2"/>
  <c r="C23" i="2"/>
  <c r="C21" i="2"/>
  <c r="C20" i="2"/>
  <c r="C19" i="2"/>
  <c r="C18" i="2"/>
  <c r="C14" i="2"/>
  <c r="C13" i="2"/>
  <c r="C12" i="2"/>
  <c r="C11" i="2"/>
  <c r="C10" i="2"/>
  <c r="C8" i="2"/>
  <c r="C7" i="2"/>
  <c r="C6" i="2"/>
  <c r="C53" i="2" l="1"/>
  <c r="D69" i="2"/>
  <c r="C52" i="41" l="1"/>
  <c r="C25" i="41"/>
  <c r="C31" i="41" s="1"/>
  <c r="C54" i="41"/>
  <c r="C3" i="41"/>
  <c r="B3" i="41"/>
  <c r="X71" i="10" l="1"/>
  <c r="AM71" i="48" s="1"/>
  <c r="AM77" i="48" s="1"/>
  <c r="W71" i="10"/>
  <c r="AJ71" i="48" s="1"/>
  <c r="AJ77" i="48" s="1"/>
  <c r="V71" i="10"/>
  <c r="AI71" i="48" s="1"/>
  <c r="AI77" i="48" s="1"/>
  <c r="U71" i="10"/>
  <c r="AH71" i="48" s="1"/>
  <c r="AH77" i="48" s="1"/>
  <c r="T71" i="10"/>
  <c r="AE71" i="48" s="1"/>
  <c r="AE77" i="48" s="1"/>
  <c r="S71" i="10"/>
  <c r="AB71" i="48" s="1"/>
  <c r="AB77" i="48" s="1"/>
  <c r="R71" i="10"/>
  <c r="AA71" i="48" s="1"/>
  <c r="AA77" i="48" s="1"/>
  <c r="Q71" i="10"/>
  <c r="Z71" i="48" s="1"/>
  <c r="Z77" i="48" s="1"/>
  <c r="O71" i="10"/>
  <c r="T71" i="48" s="1"/>
  <c r="T77" i="48" s="1"/>
  <c r="N71" i="10"/>
  <c r="S71" i="48" s="1"/>
  <c r="S77" i="48" s="1"/>
  <c r="M71" i="10"/>
  <c r="R71" i="48" s="1"/>
  <c r="R77" i="48" s="1"/>
  <c r="L71" i="10"/>
  <c r="O71" i="48" s="1"/>
  <c r="O77" i="48" s="1"/>
  <c r="J71" i="10"/>
  <c r="K71" i="48" s="1"/>
  <c r="K77" i="48" s="1"/>
  <c r="I71" i="10"/>
  <c r="J71" i="48" s="1"/>
  <c r="J77" i="48" s="1"/>
  <c r="H71" i="10"/>
  <c r="G71" i="10"/>
  <c r="G71" i="48" s="1"/>
  <c r="G77" i="48" s="1"/>
  <c r="F71" i="10"/>
  <c r="F71" i="48" s="1"/>
  <c r="F77" i="48" s="1"/>
  <c r="E71" i="10"/>
  <c r="E71" i="48" s="1"/>
  <c r="E77" i="48" s="1"/>
  <c r="Z67" i="10"/>
  <c r="Y67" i="10"/>
  <c r="C67" i="10"/>
  <c r="C67" i="48" s="1"/>
  <c r="Z70" i="10"/>
  <c r="Y70" i="10"/>
  <c r="C70" i="10"/>
  <c r="C70" i="48" s="1"/>
  <c r="Z69" i="10"/>
  <c r="Y69" i="10"/>
  <c r="C69" i="10"/>
  <c r="C69" i="48" s="1"/>
  <c r="Z68" i="10"/>
  <c r="Y68" i="10"/>
  <c r="C68" i="10"/>
  <c r="C68" i="48" s="1"/>
  <c r="Z66" i="10"/>
  <c r="Y66" i="10"/>
  <c r="C66" i="10"/>
  <c r="C66" i="48" s="1"/>
  <c r="Z65" i="10"/>
  <c r="Y65" i="10"/>
  <c r="C65" i="10"/>
  <c r="C65" i="48" s="1"/>
  <c r="Z64" i="10"/>
  <c r="Y64" i="10"/>
  <c r="C64" i="10"/>
  <c r="C64" i="48" s="1"/>
  <c r="Z63" i="10"/>
  <c r="Y63" i="10"/>
  <c r="C63" i="10"/>
  <c r="C63" i="48" s="1"/>
  <c r="Z62" i="10"/>
  <c r="Y62" i="10"/>
  <c r="C62" i="10"/>
  <c r="C62" i="48" s="1"/>
  <c r="Z61" i="10"/>
  <c r="Y61" i="10"/>
  <c r="C61" i="10"/>
  <c r="C61" i="48" s="1"/>
  <c r="Z60" i="10"/>
  <c r="Y60" i="10"/>
  <c r="C60" i="10"/>
  <c r="C60" i="48" s="1"/>
  <c r="Z59" i="10"/>
  <c r="Y59" i="10"/>
  <c r="C59" i="10"/>
  <c r="C59" i="48" s="1"/>
  <c r="Z58" i="10"/>
  <c r="Y58" i="10"/>
  <c r="C58" i="10"/>
  <c r="C58" i="48" s="1"/>
  <c r="Z57" i="10"/>
  <c r="Y57" i="10"/>
  <c r="C57" i="10"/>
  <c r="C57" i="48" s="1"/>
  <c r="E26" i="2"/>
  <c r="E15" i="2"/>
  <c r="D26" i="2"/>
  <c r="D15" i="2"/>
  <c r="E45" i="2"/>
  <c r="D45" i="2"/>
  <c r="E53" i="2"/>
  <c r="D53" i="2"/>
  <c r="C69" i="2"/>
  <c r="B26" i="42" s="1"/>
  <c r="K80" i="10"/>
  <c r="I80" i="10"/>
  <c r="G80" i="10"/>
  <c r="E80" i="10"/>
  <c r="Q74" i="10"/>
  <c r="U74" i="10"/>
  <c r="AH74" i="48" s="1"/>
  <c r="X74" i="48" l="1"/>
  <c r="Z74" i="48"/>
  <c r="Z71" i="10"/>
  <c r="D71" i="10"/>
  <c r="D71" i="48" s="1"/>
  <c r="D77" i="48" s="1"/>
  <c r="M74" i="10"/>
  <c r="R74" i="48" s="1"/>
  <c r="Y71" i="10"/>
  <c r="C71" i="10"/>
  <c r="C71" i="48" s="1"/>
  <c r="D22" i="2"/>
  <c r="D27" i="2" s="1"/>
  <c r="D29" i="2" s="1"/>
  <c r="D34" i="2" s="1"/>
  <c r="D55" i="2" s="1"/>
  <c r="D71" i="2" s="1"/>
  <c r="E22" i="2"/>
  <c r="E27" i="2" s="1"/>
  <c r="E29" i="2" s="1"/>
  <c r="E34" i="2" s="1"/>
  <c r="E55" i="2" s="1"/>
  <c r="E71" i="2" s="1"/>
  <c r="E74" i="2" s="1"/>
  <c r="E78" i="2" s="1"/>
  <c r="Y80" i="10"/>
  <c r="D74" i="2" l="1"/>
  <c r="D78" i="2" s="1"/>
  <c r="C54" i="26" l="1"/>
  <c r="I54" i="26"/>
  <c r="O64" i="26" l="1"/>
  <c r="C64" i="26" s="1"/>
  <c r="I64" i="26"/>
  <c r="O63" i="26" l="1"/>
  <c r="I9" i="30" l="1"/>
  <c r="J9" i="30" s="1"/>
  <c r="C9" i="30"/>
  <c r="D9" i="30" s="1"/>
  <c r="E52" i="35" l="1"/>
  <c r="C15" i="30" l="1"/>
  <c r="D15" i="30" s="1"/>
  <c r="C14" i="30"/>
  <c r="D14" i="30" s="1"/>
  <c r="C13" i="30"/>
  <c r="D13" i="30" s="1"/>
  <c r="C12" i="30"/>
  <c r="D12" i="30" s="1"/>
  <c r="C11" i="30"/>
  <c r="D11" i="30" s="1"/>
  <c r="C10" i="30"/>
  <c r="D10" i="30" s="1"/>
  <c r="I15" i="30"/>
  <c r="J15" i="30" s="1"/>
  <c r="I14" i="30"/>
  <c r="J14" i="30" s="1"/>
  <c r="I13" i="30"/>
  <c r="J13" i="30" s="1"/>
  <c r="I12" i="30"/>
  <c r="J12" i="30" s="1"/>
  <c r="I11" i="30"/>
  <c r="J11" i="30" s="1"/>
  <c r="I10" i="30"/>
  <c r="J10" i="30" s="1"/>
  <c r="I8" i="30"/>
  <c r="J8" i="30" s="1"/>
  <c r="C8" i="30"/>
  <c r="D8" i="30" s="1"/>
  <c r="C44" i="35"/>
  <c r="D44" i="35" s="1"/>
  <c r="C43" i="35"/>
  <c r="D43" i="35" s="1"/>
  <c r="C42" i="35"/>
  <c r="D42" i="35" s="1"/>
  <c r="C41" i="35"/>
  <c r="D41" i="35" s="1"/>
  <c r="C40" i="35"/>
  <c r="D40" i="35" s="1"/>
  <c r="C39" i="35"/>
  <c r="D39" i="35" s="1"/>
  <c r="C35" i="35"/>
  <c r="D35" i="35" s="1"/>
  <c r="C34" i="35"/>
  <c r="D34" i="35" s="1"/>
  <c r="C33" i="35"/>
  <c r="C32" i="35"/>
  <c r="C31" i="35"/>
  <c r="D31" i="35" s="1"/>
  <c r="C30" i="35"/>
  <c r="D30" i="35" s="1"/>
  <c r="C26" i="35"/>
  <c r="D26" i="35" s="1"/>
  <c r="C23" i="35"/>
  <c r="D23" i="35" s="1"/>
  <c r="C22" i="35"/>
  <c r="D22" i="35" s="1"/>
  <c r="C21" i="35"/>
  <c r="D21" i="35" s="1"/>
  <c r="C20" i="35"/>
  <c r="C16" i="35"/>
  <c r="D16" i="35" s="1"/>
  <c r="C13" i="35"/>
  <c r="D13" i="35" s="1"/>
  <c r="C12" i="35"/>
  <c r="D12" i="35" s="1"/>
  <c r="C11" i="35"/>
  <c r="D11" i="35" s="1"/>
  <c r="C10" i="35"/>
  <c r="D20" i="35" l="1"/>
  <c r="AA17" i="40" s="1"/>
  <c r="D10" i="35"/>
  <c r="AA12" i="40" s="1"/>
  <c r="AA31" i="40"/>
  <c r="D32" i="35"/>
  <c r="AA32" i="40"/>
  <c r="D33" i="35"/>
  <c r="AA16" i="40"/>
  <c r="AA26" i="40"/>
  <c r="AA11" i="40"/>
  <c r="AA30" i="40"/>
  <c r="AA29" i="40"/>
  <c r="AA33" i="40"/>
  <c r="AA35" i="40"/>
  <c r="AA21" i="40"/>
  <c r="AA22" i="40"/>
  <c r="AA23" i="40"/>
  <c r="H32" i="10"/>
  <c r="Q62" i="26" l="1"/>
  <c r="C33" i="26" l="1"/>
  <c r="I33" i="26"/>
  <c r="C32" i="26"/>
  <c r="I32" i="26"/>
  <c r="Z73" i="10"/>
  <c r="Y73" i="10"/>
  <c r="Z50" i="10"/>
  <c r="Y5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Y54" i="10" l="1"/>
  <c r="Z54" i="10"/>
  <c r="C60" i="26"/>
  <c r="I60" i="26"/>
  <c r="C58" i="26"/>
  <c r="I58" i="26"/>
  <c r="C57" i="26"/>
  <c r="I57" i="26"/>
  <c r="C56" i="26"/>
  <c r="I56" i="26"/>
  <c r="C55" i="26"/>
  <c r="I55" i="26"/>
  <c r="C53" i="26"/>
  <c r="I53" i="26"/>
  <c r="C52" i="26"/>
  <c r="I52" i="26"/>
  <c r="C51" i="26"/>
  <c r="I51" i="26"/>
  <c r="C50" i="26"/>
  <c r="I50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4" i="26"/>
  <c r="I34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7" i="35" l="1"/>
  <c r="H37" i="35" s="1"/>
  <c r="E37" i="35"/>
  <c r="F37" i="35" s="1"/>
  <c r="C37" i="35"/>
  <c r="D37" i="35" s="1"/>
  <c r="G28" i="35"/>
  <c r="E28" i="35"/>
  <c r="C28" i="35"/>
  <c r="D28" i="35" s="1"/>
  <c r="G18" i="35"/>
  <c r="H18" i="35" s="1"/>
  <c r="E18" i="35"/>
  <c r="F18" i="35" s="1"/>
  <c r="C18" i="35"/>
  <c r="D18" i="35" s="1"/>
  <c r="G8" i="35"/>
  <c r="H8" i="35" s="1"/>
  <c r="E8" i="35"/>
  <c r="F8" i="35" s="1"/>
  <c r="C8" i="35"/>
  <c r="D8" i="35" s="1"/>
  <c r="C16" i="30"/>
  <c r="AA36" i="40" l="1"/>
  <c r="AA27" i="40"/>
  <c r="AA28" i="40"/>
  <c r="AC28" i="40"/>
  <c r="AC36" i="40"/>
  <c r="AC27" i="40"/>
  <c r="F28" i="35"/>
  <c r="AB36" i="40"/>
  <c r="AB27" i="40"/>
  <c r="AB28" i="40"/>
  <c r="C25" i="30"/>
  <c r="C26" i="30" s="1"/>
  <c r="L8" i="35"/>
  <c r="L10" i="35" s="1"/>
  <c r="J8" i="35"/>
  <c r="J10" i="35" s="1"/>
  <c r="K8" i="35"/>
  <c r="K10" i="35" s="1"/>
  <c r="G55" i="35"/>
  <c r="D16" i="30"/>
  <c r="C55" i="35"/>
  <c r="G51" i="35"/>
  <c r="H28" i="35"/>
  <c r="G59" i="35"/>
  <c r="E51" i="35"/>
  <c r="C59" i="35"/>
  <c r="C51" i="35"/>
  <c r="H62" i="26"/>
  <c r="G62" i="26"/>
  <c r="F62" i="26"/>
  <c r="E62" i="26"/>
  <c r="D62" i="26"/>
  <c r="J62" i="26"/>
  <c r="M62" i="26"/>
  <c r="N62" i="26"/>
  <c r="C63" i="26"/>
  <c r="C62" i="26" s="1"/>
  <c r="I63" i="26"/>
  <c r="I62" i="26" l="1"/>
  <c r="Z34" i="9"/>
  <c r="Z24" i="9"/>
  <c r="Z23" i="9"/>
  <c r="C7" i="10" l="1"/>
  <c r="C7" i="48" s="1"/>
  <c r="M16" i="30" l="1"/>
  <c r="M28" i="30" s="1"/>
  <c r="K16" i="30"/>
  <c r="L16" i="30" s="1"/>
  <c r="I16" i="30"/>
  <c r="G16" i="30"/>
  <c r="E16" i="30"/>
  <c r="F16" i="30" s="1"/>
  <c r="K28" i="30" l="1"/>
  <c r="G25" i="30"/>
  <c r="G26" i="30" s="1"/>
  <c r="E25" i="30"/>
  <c r="E26" i="30" s="1"/>
  <c r="I28" i="30"/>
  <c r="N16" i="30"/>
  <c r="H16" i="30"/>
  <c r="J16" i="30"/>
  <c r="N9" i="26"/>
  <c r="M9" i="26"/>
  <c r="L9" i="26"/>
  <c r="J9" i="26"/>
  <c r="K2" i="30" l="1"/>
  <c r="C26" i="2" l="1"/>
  <c r="T62" i="26" l="1"/>
  <c r="S62" i="26"/>
  <c r="R62" i="26"/>
  <c r="P62" i="26"/>
  <c r="O62" i="26"/>
  <c r="X32" i="10" l="1"/>
  <c r="AM32" i="48" s="1"/>
  <c r="W32" i="10"/>
  <c r="AJ32" i="48" s="1"/>
  <c r="V32" i="10"/>
  <c r="AI32" i="48" s="1"/>
  <c r="AN32" i="48" s="1"/>
  <c r="U32" i="10"/>
  <c r="AH32" i="48" s="1"/>
  <c r="AK32" i="48" s="1"/>
  <c r="T32" i="10"/>
  <c r="AE32" i="48" s="1"/>
  <c r="S32" i="10"/>
  <c r="AB32" i="48" s="1"/>
  <c r="R32" i="10"/>
  <c r="AA32" i="48" s="1"/>
  <c r="AF32" i="48" s="1"/>
  <c r="Q32" i="10"/>
  <c r="Z32" i="48" s="1"/>
  <c r="AC32" i="48" s="1"/>
  <c r="P32" i="10"/>
  <c r="W32" i="48" s="1"/>
  <c r="O32" i="10"/>
  <c r="T32" i="48" s="1"/>
  <c r="N32" i="10"/>
  <c r="S32" i="48" s="1"/>
  <c r="X32" i="48" s="1"/>
  <c r="M32" i="10"/>
  <c r="R32" i="48" s="1"/>
  <c r="U32" i="48" s="1"/>
  <c r="L32" i="10"/>
  <c r="O32" i="48" s="1"/>
  <c r="K32" i="10"/>
  <c r="L32" i="48" s="1"/>
  <c r="J32" i="10"/>
  <c r="K32" i="48" s="1"/>
  <c r="P32" i="48" s="1"/>
  <c r="I32" i="10"/>
  <c r="J32" i="48" s="1"/>
  <c r="M32" i="48" s="1"/>
  <c r="G32" i="10"/>
  <c r="G32" i="48" s="1"/>
  <c r="F32" i="10"/>
  <c r="F32" i="48" s="1"/>
  <c r="E32" i="10"/>
  <c r="E32" i="48" s="1"/>
  <c r="H32" i="48" s="1"/>
  <c r="X31" i="10"/>
  <c r="AM31" i="48" s="1"/>
  <c r="W31" i="10"/>
  <c r="AJ31" i="48" s="1"/>
  <c r="V31" i="10"/>
  <c r="AI31" i="48" s="1"/>
  <c r="U31" i="10"/>
  <c r="T31" i="10"/>
  <c r="AE31" i="48" s="1"/>
  <c r="S31" i="10"/>
  <c r="AB31" i="48" s="1"/>
  <c r="R31" i="10"/>
  <c r="AA31" i="48" s="1"/>
  <c r="Q31" i="10"/>
  <c r="P31" i="10"/>
  <c r="W31" i="48" s="1"/>
  <c r="O31" i="10"/>
  <c r="T31" i="48" s="1"/>
  <c r="N31" i="10"/>
  <c r="S31" i="48" s="1"/>
  <c r="M31" i="10"/>
  <c r="L31" i="10"/>
  <c r="O31" i="48" s="1"/>
  <c r="K31" i="10"/>
  <c r="J31" i="10"/>
  <c r="K31" i="48" s="1"/>
  <c r="I31" i="10"/>
  <c r="H31" i="10"/>
  <c r="G31" i="10"/>
  <c r="F31" i="10"/>
  <c r="F31" i="48" s="1"/>
  <c r="E31" i="10"/>
  <c r="X74" i="10"/>
  <c r="AM74" i="48" s="1"/>
  <c r="V74" i="10"/>
  <c r="AI74" i="48" s="1"/>
  <c r="T74" i="10"/>
  <c r="AE74" i="48" s="1"/>
  <c r="R74" i="10"/>
  <c r="P74" i="10"/>
  <c r="W74" i="48" s="1"/>
  <c r="N74" i="10"/>
  <c r="S74" i="48" s="1"/>
  <c r="L74" i="10"/>
  <c r="O74" i="48" s="1"/>
  <c r="J74" i="10"/>
  <c r="K74" i="48" s="1"/>
  <c r="H74" i="10"/>
  <c r="F74" i="10"/>
  <c r="F74" i="48" s="1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L42" i="13" s="1"/>
  <c r="Z12" i="10"/>
  <c r="Y12" i="10"/>
  <c r="Z11" i="10"/>
  <c r="Y11" i="10"/>
  <c r="Z10" i="10"/>
  <c r="Y10" i="10"/>
  <c r="Z9" i="10"/>
  <c r="Y9" i="10"/>
  <c r="Z8" i="10"/>
  <c r="Y8" i="10"/>
  <c r="Z7" i="10"/>
  <c r="Y7" i="10"/>
  <c r="Z72" i="10"/>
  <c r="Z35" i="10"/>
  <c r="Z53" i="10" s="1"/>
  <c r="G54" i="35"/>
  <c r="G56" i="35" s="1"/>
  <c r="C73" i="10"/>
  <c r="C73" i="48" s="1"/>
  <c r="C30" i="10"/>
  <c r="C30" i="48" s="1"/>
  <c r="C29" i="10"/>
  <c r="C29" i="48" s="1"/>
  <c r="C28" i="10"/>
  <c r="C28" i="48" s="1"/>
  <c r="C27" i="10"/>
  <c r="C27" i="48" s="1"/>
  <c r="C26" i="10"/>
  <c r="C26" i="48" s="1"/>
  <c r="C25" i="10"/>
  <c r="C25" i="48" s="1"/>
  <c r="C24" i="10"/>
  <c r="C24" i="48" s="1"/>
  <c r="C23" i="10"/>
  <c r="C23" i="48" s="1"/>
  <c r="C22" i="10"/>
  <c r="C22" i="48" s="1"/>
  <c r="C21" i="10"/>
  <c r="C21" i="48" s="1"/>
  <c r="C20" i="10"/>
  <c r="C20" i="48" s="1"/>
  <c r="C19" i="10"/>
  <c r="C19" i="48" s="1"/>
  <c r="C18" i="10"/>
  <c r="C18" i="48" s="1"/>
  <c r="C17" i="10"/>
  <c r="C17" i="48" s="1"/>
  <c r="C16" i="10"/>
  <c r="C16" i="48" s="1"/>
  <c r="C15" i="10"/>
  <c r="C15" i="48" s="1"/>
  <c r="C14" i="10"/>
  <c r="C14" i="48" s="1"/>
  <c r="C13" i="10"/>
  <c r="C13" i="48" s="1"/>
  <c r="C12" i="10"/>
  <c r="C12" i="48" s="1"/>
  <c r="C11" i="10"/>
  <c r="C11" i="48" s="1"/>
  <c r="C10" i="10"/>
  <c r="C10" i="48" s="1"/>
  <c r="C9" i="10"/>
  <c r="C9" i="48" s="1"/>
  <c r="C8" i="10"/>
  <c r="C8" i="48" s="1"/>
  <c r="C50" i="10"/>
  <c r="C50" i="48" s="1"/>
  <c r="C49" i="10"/>
  <c r="C49" i="48" s="1"/>
  <c r="C48" i="10"/>
  <c r="C48" i="48" s="1"/>
  <c r="C47" i="10"/>
  <c r="C47" i="48" s="1"/>
  <c r="C46" i="10"/>
  <c r="C46" i="48" s="1"/>
  <c r="C45" i="10"/>
  <c r="C45" i="48" s="1"/>
  <c r="C44" i="10"/>
  <c r="C44" i="48" s="1"/>
  <c r="C43" i="10"/>
  <c r="C43" i="48" s="1"/>
  <c r="C42" i="10"/>
  <c r="C42" i="48" s="1"/>
  <c r="C41" i="10"/>
  <c r="C41" i="48" s="1"/>
  <c r="C40" i="10"/>
  <c r="C40" i="48" s="1"/>
  <c r="C39" i="10"/>
  <c r="C39" i="48" s="1"/>
  <c r="C38" i="10"/>
  <c r="C38" i="48" s="1"/>
  <c r="C37" i="10"/>
  <c r="C37" i="48" s="1"/>
  <c r="C36" i="10"/>
  <c r="C36" i="48" s="1"/>
  <c r="C35" i="10"/>
  <c r="C35" i="48" s="1"/>
  <c r="AH31" i="48" l="1"/>
  <c r="R31" i="48"/>
  <c r="Z31" i="48"/>
  <c r="Z75" i="48" s="1"/>
  <c r="AQ32" i="48"/>
  <c r="AT32" i="48"/>
  <c r="Y74" i="48"/>
  <c r="AA74" i="48"/>
  <c r="O76" i="48"/>
  <c r="O75" i="48"/>
  <c r="R75" i="48"/>
  <c r="R76" i="48"/>
  <c r="S76" i="48"/>
  <c r="S75" i="48"/>
  <c r="AP32" i="48"/>
  <c r="N32" i="48"/>
  <c r="T75" i="48"/>
  <c r="T76" i="48"/>
  <c r="Q32" i="48"/>
  <c r="W75" i="48"/>
  <c r="W76" i="48"/>
  <c r="AA75" i="48"/>
  <c r="AA76" i="48"/>
  <c r="V32" i="48"/>
  <c r="AB76" i="48"/>
  <c r="AB75" i="48"/>
  <c r="AS32" i="48"/>
  <c r="Y32" i="48"/>
  <c r="AE75" i="48"/>
  <c r="AE76" i="48"/>
  <c r="AD8" i="40"/>
  <c r="AD9" i="40" s="1"/>
  <c r="E31" i="48"/>
  <c r="AH76" i="48"/>
  <c r="AH75" i="48"/>
  <c r="F76" i="48"/>
  <c r="F75" i="48"/>
  <c r="AI76" i="48"/>
  <c r="AI75" i="48"/>
  <c r="AD32" i="48"/>
  <c r="AD10" i="40"/>
  <c r="AD11" i="40" s="1"/>
  <c r="G31" i="48"/>
  <c r="AJ75" i="48"/>
  <c r="AJ76" i="48"/>
  <c r="AG32" i="48"/>
  <c r="AM76" i="48"/>
  <c r="AM75" i="48"/>
  <c r="AE8" i="40"/>
  <c r="AE9" i="40" s="1"/>
  <c r="J31" i="48"/>
  <c r="K76" i="48"/>
  <c r="K75" i="48"/>
  <c r="AL32" i="48"/>
  <c r="AE10" i="40"/>
  <c r="AE11" i="40" s="1"/>
  <c r="L31" i="48"/>
  <c r="I32" i="48"/>
  <c r="AO32" i="48"/>
  <c r="AG8" i="40"/>
  <c r="AG9" i="40" s="1"/>
  <c r="H92" i="24"/>
  <c r="H93" i="24" s="1"/>
  <c r="C54" i="35"/>
  <c r="C56" i="35" s="1"/>
  <c r="AH8" i="40"/>
  <c r="AH9" i="40" s="1"/>
  <c r="I92" i="24"/>
  <c r="I93" i="24" s="1"/>
  <c r="AF8" i="40"/>
  <c r="AF9" i="40" s="1"/>
  <c r="G92" i="24"/>
  <c r="G93" i="24" s="1"/>
  <c r="F92" i="24"/>
  <c r="F93" i="24" s="1"/>
  <c r="B14" i="42"/>
  <c r="B13" i="42" s="1"/>
  <c r="B11" i="42"/>
  <c r="C53" i="10"/>
  <c r="Y32" i="10"/>
  <c r="I74" i="10"/>
  <c r="J74" i="48" s="1"/>
  <c r="I82" i="10"/>
  <c r="M82" i="10"/>
  <c r="Q82" i="10"/>
  <c r="U82" i="10"/>
  <c r="K74" i="10"/>
  <c r="L74" i="48" s="1"/>
  <c r="K82" i="10"/>
  <c r="S74" i="10"/>
  <c r="AB74" i="48" s="1"/>
  <c r="S82" i="10"/>
  <c r="W74" i="10"/>
  <c r="AJ74" i="48" s="1"/>
  <c r="W82" i="10"/>
  <c r="O74" i="10"/>
  <c r="T74" i="48" s="1"/>
  <c r="O82" i="10"/>
  <c r="E82" i="10"/>
  <c r="G74" i="10"/>
  <c r="G74" i="48" s="1"/>
  <c r="G82" i="10"/>
  <c r="Z31" i="10"/>
  <c r="Y31" i="10"/>
  <c r="L49" i="13" s="1"/>
  <c r="Z32" i="10"/>
  <c r="D31" i="10"/>
  <c r="D31" i="48" s="1"/>
  <c r="D32" i="10"/>
  <c r="D32" i="48" s="1"/>
  <c r="D74" i="10"/>
  <c r="D74" i="48" s="1"/>
  <c r="C32" i="10"/>
  <c r="C32" i="48" s="1"/>
  <c r="C31" i="10"/>
  <c r="Z74" i="10"/>
  <c r="AS74" i="48" s="1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Z12" i="9"/>
  <c r="AU32" i="48" l="1"/>
  <c r="AR32" i="48"/>
  <c r="Z76" i="48"/>
  <c r="C53" i="48"/>
  <c r="C77" i="48" s="1"/>
  <c r="C58" i="35"/>
  <c r="C60" i="35" s="1"/>
  <c r="C31" i="48"/>
  <c r="J76" i="48"/>
  <c r="J75" i="48"/>
  <c r="E75" i="48"/>
  <c r="E76" i="48"/>
  <c r="G76" i="48"/>
  <c r="G75" i="48"/>
  <c r="D76" i="48"/>
  <c r="D75" i="48"/>
  <c r="L76" i="48"/>
  <c r="L75" i="48"/>
  <c r="G58" i="35"/>
  <c r="G52" i="35" s="1"/>
  <c r="AC8" i="40"/>
  <c r="AB8" i="40" s="1"/>
  <c r="L32" i="13"/>
  <c r="C52" i="35" l="1"/>
  <c r="C76" i="48"/>
  <c r="C75" i="48"/>
  <c r="G60" i="35"/>
  <c r="T9" i="26"/>
  <c r="S9" i="26"/>
  <c r="S81" i="10" s="1"/>
  <c r="S83" i="10" s="1"/>
  <c r="R9" i="26"/>
  <c r="O81" i="10" s="1"/>
  <c r="O83" i="10" s="1"/>
  <c r="I12" i="26"/>
  <c r="I9" i="26" s="1"/>
  <c r="W81" i="10" l="1"/>
  <c r="W83" i="10" s="1"/>
  <c r="P9" i="26"/>
  <c r="G81" i="10" s="1"/>
  <c r="G83" i="10" s="1"/>
  <c r="C12" i="26" l="1"/>
  <c r="Z22" i="9"/>
  <c r="C70" i="3"/>
  <c r="C61" i="3"/>
  <c r="C52" i="3"/>
  <c r="C36" i="3"/>
  <c r="C28" i="3"/>
  <c r="C19" i="3"/>
  <c r="C14" i="3"/>
  <c r="A13" i="24"/>
  <c r="A14" i="24" s="1"/>
  <c r="A17" i="24" s="1"/>
  <c r="A18" i="24" s="1"/>
  <c r="A19" i="24" s="1"/>
  <c r="A20" i="24" s="1"/>
  <c r="A21" i="24" s="1"/>
  <c r="A22" i="24" s="1"/>
  <c r="A25" i="24" s="1"/>
  <c r="A26" i="24" s="1"/>
  <c r="A27" i="24" s="1"/>
  <c r="A28" i="24" s="1"/>
  <c r="A29" i="24" s="1"/>
  <c r="A32" i="24" s="1"/>
  <c r="A33" i="24" s="1"/>
  <c r="A34" i="24" s="1"/>
  <c r="A35" i="24" s="1"/>
  <c r="A36" i="24" s="1"/>
  <c r="A39" i="24" s="1"/>
  <c r="A40" i="24" s="1"/>
  <c r="A41" i="24" s="1"/>
  <c r="A42" i="24" s="1"/>
  <c r="A43" i="24" s="1"/>
  <c r="A46" i="24" s="1"/>
  <c r="A47" i="24" s="1"/>
  <c r="A48" i="24" s="1"/>
  <c r="A49" i="24" s="1"/>
  <c r="A50" i="24" s="1"/>
  <c r="A53" i="24" s="1"/>
  <c r="A54" i="24" s="1"/>
  <c r="A55" i="24" s="1"/>
  <c r="Y72" i="10"/>
  <c r="Y35" i="10"/>
  <c r="Y53" i="10" s="1"/>
  <c r="C45" i="2"/>
  <c r="C7" i="6"/>
  <c r="K20" i="9" l="1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5" i="2"/>
  <c r="C22" i="2"/>
  <c r="C27" i="2" s="1"/>
  <c r="A57" i="24"/>
  <c r="A58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Y82" i="10"/>
  <c r="C42" i="3"/>
  <c r="G15" i="2" s="1"/>
  <c r="C63" i="3"/>
  <c r="C72" i="3" s="1"/>
  <c r="G27" i="2" s="1"/>
  <c r="Z35" i="9"/>
  <c r="K33" i="9" s="1"/>
  <c r="K32" i="9" l="1"/>
  <c r="K35" i="9"/>
  <c r="K31" i="9"/>
  <c r="K29" i="9"/>
  <c r="K28" i="9"/>
  <c r="K30" i="9"/>
  <c r="K27" i="9"/>
  <c r="K26" i="9"/>
  <c r="K25" i="9"/>
  <c r="C29" i="2"/>
  <c r="Y74" i="10"/>
  <c r="AP74" i="48" s="1"/>
  <c r="B27" i="42" l="1"/>
  <c r="B23" i="42"/>
  <c r="C34" i="2"/>
  <c r="C55" i="2" s="1"/>
  <c r="C71" i="2" s="1"/>
  <c r="B17" i="42" s="1"/>
  <c r="B16" i="42" s="1"/>
  <c r="E46" i="41"/>
  <c r="C45" i="41"/>
  <c r="C44" i="41"/>
  <c r="D52" i="41"/>
  <c r="B24" i="42" l="1"/>
  <c r="B22" i="42" s="1"/>
  <c r="B25" i="42"/>
  <c r="C74" i="2"/>
  <c r="C78" i="2" s="1"/>
  <c r="B20" i="42" s="1"/>
  <c r="B19" i="42" s="1"/>
  <c r="C46" i="41"/>
  <c r="C43" i="41" s="1"/>
  <c r="C35" i="41" s="1"/>
  <c r="C40" i="41" s="1"/>
  <c r="C8" i="6" l="1"/>
  <c r="C51" i="41"/>
  <c r="C14" i="6" l="1"/>
  <c r="F14" i="24" l="1"/>
  <c r="O49" i="26" l="1"/>
  <c r="O9" i="26" s="1"/>
  <c r="C49" i="26" l="1"/>
  <c r="C9" i="26" s="1"/>
  <c r="Q9" i="26"/>
  <c r="K81" i="10" s="1"/>
  <c r="K83" i="10" l="1"/>
  <c r="Y81" i="10"/>
  <c r="Y83" i="10" s="1"/>
  <c r="Q9" i="30" l="1"/>
  <c r="E8" i="6" l="1"/>
  <c r="C93" i="24" l="1"/>
  <c r="Q14" i="30" l="1"/>
  <c r="Q11" i="30"/>
  <c r="M29" i="30" l="1"/>
  <c r="Q15" i="30"/>
  <c r="Q12" i="30"/>
  <c r="Q10" i="30" l="1"/>
  <c r="Q13" i="30"/>
  <c r="E14" i="6" l="1"/>
  <c r="B12" i="42" l="1"/>
  <c r="B39" i="42"/>
  <c r="K27" i="30"/>
  <c r="K29" i="30" s="1"/>
  <c r="I29" i="30"/>
  <c r="B10" i="42" l="1"/>
  <c r="Q8" i="30"/>
  <c r="Q16" i="30" l="1"/>
  <c r="B37" i="42" l="1"/>
  <c r="B32" i="42" l="1"/>
  <c r="K23" i="20" l="1"/>
  <c r="B29" i="42"/>
  <c r="B31" i="42" l="1"/>
  <c r="K20" i="20"/>
  <c r="B30" i="42" l="1"/>
  <c r="B34" i="42"/>
  <c r="B28" i="42" l="1"/>
  <c r="K16" i="20" l="1"/>
  <c r="K22" i="20" l="1"/>
  <c r="K19" i="20"/>
  <c r="K21" i="20" l="1"/>
  <c r="K18" i="20" l="1"/>
  <c r="E72" i="48" l="1"/>
  <c r="H72" i="48" s="1"/>
  <c r="E74" i="10"/>
  <c r="E74" i="48" s="1"/>
  <c r="C72" i="10"/>
  <c r="C72" i="48" s="1"/>
  <c r="I72" i="48" l="1"/>
  <c r="I74" i="48" s="1"/>
  <c r="H74" i="48"/>
  <c r="C74" i="10"/>
  <c r="C74" i="48" s="1"/>
  <c r="I34" i="20" l="1"/>
  <c r="K34" i="20" s="1"/>
  <c r="I46" i="20"/>
  <c r="K46" i="20" s="1"/>
  <c r="I36" i="20"/>
  <c r="K36" i="20" s="1"/>
  <c r="B8" i="42"/>
  <c r="B7" i="42" s="1"/>
  <c r="I29" i="20"/>
  <c r="K29" i="20" s="1"/>
  <c r="I31" i="20"/>
  <c r="K31" i="20" s="1"/>
  <c r="I38" i="20"/>
  <c r="K38" i="20" s="1"/>
  <c r="I27" i="20"/>
  <c r="K27" i="20" s="1"/>
  <c r="I25" i="20"/>
  <c r="K25" i="20" s="1"/>
  <c r="I43" i="20"/>
  <c r="K43" i="20" s="1"/>
  <c r="I41" i="20"/>
  <c r="K41" i="20" s="1"/>
  <c r="I11" i="20"/>
  <c r="K11" i="20" s="1"/>
  <c r="I9" i="20"/>
  <c r="K9" i="20" s="1"/>
  <c r="B5" i="42" l="1"/>
  <c r="B4" i="42" s="1"/>
  <c r="I7" i="20" l="1"/>
  <c r="K7" i="20" s="1"/>
  <c r="I13" i="20" l="1"/>
  <c r="K13" i="20" s="1"/>
</calcChain>
</file>

<file path=xl/sharedStrings.xml><?xml version="1.0" encoding="utf-8"?>
<sst xmlns="http://schemas.openxmlformats.org/spreadsheetml/2006/main" count="1779" uniqueCount="846">
  <si>
    <t>Подпись Председателя правления:</t>
  </si>
  <si>
    <t>Подпись Главного Бухгалтера:</t>
  </si>
  <si>
    <t>1</t>
  </si>
  <si>
    <t>5</t>
  </si>
  <si>
    <t>4</t>
  </si>
  <si>
    <t>2</t>
  </si>
  <si>
    <t>3</t>
  </si>
  <si>
    <t>7</t>
  </si>
  <si>
    <t>6</t>
  </si>
  <si>
    <t xml:space="preserve">  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</si>
  <si>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</si>
  <si>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</si>
  <si>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</si>
  <si>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</si>
  <si>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</si>
  <si>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</si>
  <si>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</si>
  <si>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</si>
  <si>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</si>
  <si>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</si>
  <si>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</si>
  <si>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</si>
  <si>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</si>
  <si>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</si>
  <si>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Активы для расчета левеража</t>
  </si>
  <si>
    <t>4.2</t>
  </si>
  <si>
    <t>4.3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</si>
  <si>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</si>
  <si>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</si>
  <si>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</si>
  <si>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</si>
  <si>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</si>
  <si>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</si>
  <si>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 xml:space="preserve">Общие активы </t>
  </si>
  <si>
    <t>Коэффициент левеража</t>
  </si>
  <si>
    <t>2.2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</si>
  <si>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</si>
  <si>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</si>
  <si>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</si>
  <si>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</si>
  <si>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</si>
  <si>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</si>
  <si>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</si>
  <si>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</si>
  <si>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</si>
  <si>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</si>
  <si>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</si>
  <si>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</si>
  <si>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</si>
  <si>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</si>
  <si>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</si>
  <si>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</si>
  <si>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</si>
  <si>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</si>
  <si>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</si>
  <si>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</si>
  <si>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</si>
  <si>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</si>
  <si>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</si>
  <si>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</si>
  <si>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</si>
  <si>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</si>
  <si>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</si>
  <si>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</si>
  <si>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</si>
  <si>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(Ж)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</si>
  <si>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</si>
  <si>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</si>
  <si>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</si>
  <si>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</si>
  <si>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</si>
  <si>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</si>
  <si>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</si>
  <si>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</si>
  <si>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</si>
  <si>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</si>
  <si>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</si>
  <si>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%</t>
  </si>
  <si>
    <t>Всего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</si>
  <si>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</si>
  <si>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</si>
  <si>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</si>
  <si>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</si>
  <si>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</si>
  <si>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</si>
  <si>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</si>
  <si>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</si>
  <si>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</si>
  <si>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</si>
  <si>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</si>
  <si>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В</t>
  </si>
  <si>
    <t>Е</t>
  </si>
  <si>
    <t>3.</t>
  </si>
  <si>
    <t>1.1</t>
  </si>
  <si>
    <t>1.2</t>
  </si>
  <si>
    <t>1.3</t>
  </si>
  <si>
    <t>1.4</t>
  </si>
  <si>
    <t>Формула</t>
  </si>
  <si>
    <t xml:space="preserve">                              A</t>
  </si>
  <si>
    <t>Мин</t>
  </si>
  <si>
    <t>Левераж</t>
  </si>
  <si>
    <t>2.1</t>
  </si>
  <si>
    <t>3.1</t>
  </si>
  <si>
    <t>Макс</t>
  </si>
  <si>
    <t>3.2</t>
  </si>
  <si>
    <t>4.1</t>
  </si>
  <si>
    <t xml:space="preserve"> 5.1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</si>
  <si>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</si>
  <si>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</si>
  <si>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</si>
  <si>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</si>
  <si>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</si>
  <si>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</si>
  <si>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</si>
  <si>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</si>
  <si>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</si>
  <si>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</si>
  <si>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</si>
  <si>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</si>
  <si>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</si>
  <si>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</si>
  <si>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</si>
  <si>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</si>
  <si>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</si>
  <si>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</si>
  <si>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</si>
  <si>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</si>
  <si>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</si>
  <si>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</si>
  <si>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</si>
  <si>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</si>
  <si>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</si>
  <si>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</si>
  <si>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</si>
  <si>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</si>
  <si>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</si>
  <si>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</si>
  <si>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</si>
  <si>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</si>
  <si>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</si>
  <si>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</si>
  <si>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</si>
  <si>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</si>
  <si>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</si>
  <si>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</si>
  <si>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</si>
  <si>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</si>
  <si>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</si>
  <si>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</si>
  <si>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</si>
  <si>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</si>
  <si>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5. </t>
  </si>
  <si>
    <t xml:space="preserve">7. </t>
  </si>
  <si>
    <t xml:space="preserve">9. </t>
  </si>
  <si>
    <t xml:space="preserve">10. </t>
  </si>
  <si>
    <t>О</t>
  </si>
  <si>
    <t>П</t>
  </si>
  <si>
    <t>Р</t>
  </si>
  <si>
    <t>С</t>
  </si>
  <si>
    <t xml:space="preserve">8. </t>
  </si>
  <si>
    <t xml:space="preserve">3. </t>
  </si>
  <si>
    <t xml:space="preserve">6. </t>
  </si>
  <si>
    <t>4.1.</t>
  </si>
  <si>
    <t>4.2.</t>
  </si>
  <si>
    <t>Сумма</t>
  </si>
  <si>
    <t>3.4</t>
  </si>
  <si>
    <t>(К1)</t>
  </si>
  <si>
    <t>(З1)</t>
  </si>
  <si>
    <t>(Л1)</t>
  </si>
  <si>
    <t>(М1)</t>
  </si>
  <si>
    <t>(Н1)</t>
  </si>
  <si>
    <t>(О1)</t>
  </si>
  <si>
    <t>(П1)</t>
  </si>
  <si>
    <t>(Р1)</t>
  </si>
  <si>
    <t>Таблица-5</t>
  </si>
  <si>
    <t>автокредит</t>
  </si>
  <si>
    <t>2.5.</t>
  </si>
  <si>
    <t>микрокредит</t>
  </si>
  <si>
    <t>лизинг</t>
  </si>
  <si>
    <t>факторинг</t>
  </si>
  <si>
    <t>Т</t>
  </si>
  <si>
    <t>РАСЧЕТ РЕГУЛЯТИВНОГО КАПИТАЛА БАНКА</t>
  </si>
  <si>
    <t>(Б1)</t>
  </si>
  <si>
    <t>(Б3)</t>
  </si>
  <si>
    <t>4.3.</t>
  </si>
  <si>
    <t>4.4.</t>
  </si>
  <si>
    <t>4.5.</t>
  </si>
  <si>
    <t>4.6.</t>
  </si>
  <si>
    <t>50</t>
  </si>
  <si>
    <t>У</t>
  </si>
  <si>
    <t>Физлица</t>
  </si>
  <si>
    <t>Юрзлица</t>
  </si>
  <si>
    <t>51</t>
  </si>
  <si>
    <t xml:space="preserve">Прибыль за текущий год </t>
  </si>
  <si>
    <t>Ф</t>
  </si>
  <si>
    <t>Х</t>
  </si>
  <si>
    <t>Ц</t>
  </si>
  <si>
    <t>Ч</t>
  </si>
  <si>
    <t>Ш</t>
  </si>
  <si>
    <t>90908-90958</t>
  </si>
  <si>
    <t xml:space="preserve"> 6.1</t>
  </si>
  <si>
    <t>Всего активы (средний за период)</t>
  </si>
  <si>
    <t>Совокупный капитал (средний за период)</t>
  </si>
  <si>
    <t>Актив</t>
  </si>
  <si>
    <t>Капитал</t>
  </si>
  <si>
    <t>Месяц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</si>
  <si>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</si>
  <si>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</si>
  <si>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</si>
  <si>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</si>
  <si>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</si>
  <si>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</si>
  <si>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</si>
  <si>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</si>
  <si>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</si>
  <si>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</si>
  <si>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</si>
  <si>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</si>
  <si>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</si>
  <si>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</si>
  <si>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1.7.</t>
  </si>
  <si>
    <t>1.8.</t>
  </si>
  <si>
    <t>Е8</t>
  </si>
  <si>
    <t>Е7</t>
  </si>
  <si>
    <t>Е6</t>
  </si>
  <si>
    <t>Е5</t>
  </si>
  <si>
    <t>Е4</t>
  </si>
  <si>
    <t>Е3</t>
  </si>
  <si>
    <t>Е2</t>
  </si>
  <si>
    <t>Е1</t>
  </si>
  <si>
    <t>Активлар таркиби*</t>
  </si>
  <si>
    <t>Қолдиқ</t>
  </si>
  <si>
    <t>Сифат тоифаси</t>
  </si>
  <si>
    <t>Муддати ўтган қарздорлик (брутто)</t>
  </si>
  <si>
    <t>Зарарларни қоплаш захираси</t>
  </si>
  <si>
    <t>Жами</t>
  </si>
  <si>
    <t>30 кунгача</t>
  </si>
  <si>
    <t>31дан  90 кунгача</t>
  </si>
  <si>
    <t>91дан  180 кунгача</t>
  </si>
  <si>
    <t>181 дан 365 кунгача</t>
  </si>
  <si>
    <t>366 кун ва ундан ортиқ</t>
  </si>
  <si>
    <t>ҳақиқатдан яратилган захиралар</t>
  </si>
  <si>
    <t>сифат тоифаси бўйича</t>
  </si>
  <si>
    <t>АКТИВЛАР ТАСНИФИ ВА УЛАР БЎЙИЧА ЯРАТИЛГАН ЭҲТИМОЛИЙ ЙЎҚОТИШЛАРНИ ҚОПЛАШ ЗАХИРАЛАРИ ТЎҒРИСИДА ҲИСОБОТ</t>
  </si>
  <si>
    <t>2-жадвал</t>
  </si>
  <si>
    <t>минг. сўмда</t>
  </si>
  <si>
    <t>Кассадаги нақд пул ва бошқа тўлов ҳужжатлари</t>
  </si>
  <si>
    <t>Олди-сотдига мўлжалланган қимматбаҳо металлар, тошлар ва тангалар</t>
  </si>
  <si>
    <t>Мижозларнинг аккредитив ва/ёки траст ҳужжатлари билан кафолатланган тратталари бўйича мажбуриятлари</t>
  </si>
  <si>
    <t>Банкнинг тўланмаган акцептлари бўйича мижозларнинг мажбуриятлари</t>
  </si>
  <si>
    <t>РЕПО битимлари бўйича сотиб олинган қимматли қоғозлар</t>
  </si>
  <si>
    <t>Марказий банкка берилган қисқа муддатли кредитлар</t>
  </si>
  <si>
    <t>Бошқа банкларга берилган қисқа муддатли кредитлар</t>
  </si>
  <si>
    <t>Ҳукуматга берилган қисқа муддатли кредитлар</t>
  </si>
  <si>
    <t>Бюджет ташкилотларига берилган қисқа муддатли кредитлар</t>
  </si>
  <si>
    <t>Жисмоний шахсларга берилган қисқа муддатли кредитлар</t>
  </si>
  <si>
    <t>Якка тартибдаги тадбиркорларга берилган қисқа муддатли кредитлар</t>
  </si>
  <si>
    <t>Чет эл капитали иштирокидаги корхоналарга берилган қисқа муддатли кредитлар</t>
  </si>
  <si>
    <t>Нодавлат нотижорат ташкилотларига берилган қисқа муддатли кредитлар</t>
  </si>
  <si>
    <t>Хусусий корхоналар, хўжалик ширкатлари ва жамиятларга берилган қисқа муддатли кредитлар</t>
  </si>
  <si>
    <t>Банк бўлмаган молиявий муассасаларга берилган қисқа муддатли кредитлар</t>
  </si>
  <si>
    <t>Давлат эҳтиёжлари учун харид қилинадиган қишлоқ хўжалиги маҳсулотларини етиштириш учун берилган қисқа муддатли кредитлар</t>
  </si>
  <si>
    <t>Бошқа банкларга берилган узоқ муддатли кредитлар</t>
  </si>
  <si>
    <t>Ҳукуматга берилган узоқ муддатли кредитлар</t>
  </si>
  <si>
    <t>Бюджет ташкилотларига берилган узоқ муддатли кредитлар</t>
  </si>
  <si>
    <t>Жисмоний шахсларга берилган узоқ муддатли кредитлар</t>
  </si>
  <si>
    <t>Якка тартибдаги тадбиркорларга берилган узоқ муддатли кредитлар</t>
  </si>
  <si>
    <t>Нодавлат нотижорат ташкилотларига берилган узоқ муддатли кредитлар</t>
  </si>
  <si>
    <t>Чет эл капитали иштирокидаги корхоналарга берилган узоқ муддатли кредитлар</t>
  </si>
  <si>
    <t>Банк бўлмаган молиявий муассасаларга берилган узоқ муддатли кредитлар</t>
  </si>
  <si>
    <t>Хусусий корхоналар, хўжалик ширкатлари ва жамиятларга берилган узоқ муддатли кредитлар</t>
  </si>
  <si>
    <t>Лизинг (молиявий ижара)</t>
  </si>
  <si>
    <t>Асосий воситалар</t>
  </si>
  <si>
    <t>Номоддий активлар</t>
  </si>
  <si>
    <t>Банкнинг бошқа хусусий мулклари</t>
  </si>
  <si>
    <t>Ҳосилавий инструментларнинг ревальвацияси натижасида ўзлаштирилмаган фойда</t>
  </si>
  <si>
    <t>Транзит ҳисобварақлари</t>
  </si>
  <si>
    <t>Бошқа активлар</t>
  </si>
  <si>
    <t xml:space="preserve"> БАЛАНСДАН ТАШҚАРИ МОДДАЛАР</t>
  </si>
  <si>
    <t>Аккредитивлар</t>
  </si>
  <si>
    <t>Кафолат ва кафилликлар</t>
  </si>
  <si>
    <t>Банкнинг кредит ва лизинг бериш бўйича мажбуриятлари</t>
  </si>
  <si>
    <t>Жами активлар</t>
  </si>
  <si>
    <t>МОЛИЯВИЙ НАТИЖАЛАР ТЎҒРИСИДА ҲИСОБОТ</t>
  </si>
  <si>
    <t>3-жадвал</t>
  </si>
  <si>
    <t>Кўрсаткичлар</t>
  </si>
  <si>
    <t>миллий валютада</t>
  </si>
  <si>
    <t>хорижий валютада
(экв. сўмда)</t>
  </si>
  <si>
    <t>1.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</si>
  <si>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</si>
  <si>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</si>
  <si>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</si>
  <si>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</si>
  <si>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</si>
  <si>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</si>
  <si>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</si>
  <si>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</si>
  <si>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</si>
  <si>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</si>
  <si>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</si>
  <si>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</si>
  <si>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</si>
  <si>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</si>
  <si>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</si>
  <si>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</si>
  <si>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</si>
  <si>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</si>
  <si>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</si>
  <si>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</si>
  <si>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</si>
  <si>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2.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</si>
  <si>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</si>
  <si>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</si>
  <si>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</si>
  <si>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</si>
  <si>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</si>
  <si>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</si>
  <si>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</si>
  <si>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</si>
  <si>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</si>
  <si>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</si>
  <si>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</si>
  <si>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</si>
  <si>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</si>
  <si>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</si>
  <si>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</si>
  <si>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</si>
  <si>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</si>
  <si>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</si>
  <si>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4.</t>
  </si>
  <si>
    <t>ФОИЗСИЗ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</si>
  <si>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</si>
  <si>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</si>
  <si>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</si>
  <si>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</si>
  <si>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</si>
  <si>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д1.</t>
  </si>
  <si>
    <t>Активлар бўйича эҳтимолий йўқотишларга қарши яратилган захираларни қайтарилиши</t>
  </si>
  <si>
    <t>д2.</t>
  </si>
  <si>
    <t>Ҳисобдан чиқарилган кредитлар қайтарилиши билан боғлиқ даромадлар</t>
  </si>
  <si>
    <t>Жами фоизсиз даромадлар</t>
  </si>
  <si>
    <t>5.</t>
  </si>
  <si>
    <t>ФОИЗСИЗ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</si>
  <si>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</si>
  <si>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</si>
  <si>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</si>
  <si>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</si>
  <si>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</si>
  <si>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6.</t>
  </si>
  <si>
    <t>ОПЕРАЦИОН ХАРАЖАТЛАРДАН ОЛДИНГИ СОФ ДАРОМАД</t>
  </si>
  <si>
    <t>7.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</si>
  <si>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</si>
  <si>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</si>
  <si>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</si>
  <si>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</si>
  <si>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</si>
  <si>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</si>
  <si>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</si>
  <si>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</si>
  <si>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</si>
  <si>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</si>
  <si>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</si>
  <si>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</si>
  <si>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</si>
  <si>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</si>
  <si>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</si>
  <si>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>8.</t>
  </si>
  <si>
    <t xml:space="preserve">Солиқ тўлангунга қадар соф фойда ва бошқа тузатишлар </t>
  </si>
  <si>
    <t>Фойда солиғини баҳолаш</t>
  </si>
  <si>
    <t>9.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</si>
  <si>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</si>
  <si>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</si>
  <si>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</si>
  <si>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10.</t>
  </si>
  <si>
    <t>СОФ ФОЙДА (ЗАРАР)</t>
  </si>
  <si>
    <t>4-жадвал</t>
  </si>
  <si>
    <t>ФОИЗЛИ ДАРОМАД ВА ХАРАЖАТЛАР ТАҲЛИЛИ</t>
  </si>
  <si>
    <t>КРЕДИТ ВА ЛИЗИНГ ОПЕРАЦИЯЛАРИ БЎЙИЧА ФОИЗЛИ ДАРОМАДЛАР</t>
  </si>
  <si>
    <t>Жами кредит ва лизинг операциялари бўйича фоизли даромад</t>
  </si>
  <si>
    <t>ВАКИЛЛИК ҲИСОБВАРАҚЛАРИ БЎЙИЧА ФОИЗЛИ ДАРОМАДЛАР</t>
  </si>
  <si>
    <t>Жами вакиллик ҳисобварағи бўйича фоизли даромадлар</t>
  </si>
  <si>
    <t>ҚИММАТЛИ ҚОҒОЗЛАР ВА УЛАРГА ҚИЛИНГАН ИНВЕСТИЦИЯЛАР БЎЙИЧА ФОИЗЛИ ДАРОМАДЛАР</t>
  </si>
  <si>
    <t>Давлат қимматли қоғозлари</t>
  </si>
  <si>
    <t>Марказий банкнинг облигациялари ва бошқа қимматли қоғозлари</t>
  </si>
  <si>
    <t>Давлат корхоналарининг қарз қимматли қоғозлари бўйича фоизли даромадлар</t>
  </si>
  <si>
    <t>Еврооблигациялар бўйича фоизли даромадлар</t>
  </si>
  <si>
    <t>Хусусий корхоналарнинг қимматли қоғозлари</t>
  </si>
  <si>
    <t>Бошқа қимматли қоғозлар</t>
  </si>
  <si>
    <t>Жами олди-сотди қимматли қоғозлар бўйича фоизли даромадлар</t>
  </si>
  <si>
    <t>ИНВЕСТИЦИЯЛАР БЎЙИЧА ФОИЗЛИ ДАРОМАДЛАР</t>
  </si>
  <si>
    <t>Марказий банкнинг облигациялари ва бошқа қарз қимматли қоғозларига қилинган инвестициялар бўйича фоизли даромадлар</t>
  </si>
  <si>
    <t>Корхоналарнинг қарз қимматли қоғозларига қилинган инвестициялар бўйича фоизли даромадлар</t>
  </si>
  <si>
    <t>Еврооблигациялар</t>
  </si>
  <si>
    <t>Жами инвестициялар бўйича фоизли даромадлар</t>
  </si>
  <si>
    <t>БОШҚА ФОИЗЛИ ДАРОМАДЛАР</t>
  </si>
  <si>
    <t>Қимматли қоғозлар билан амалга оширилган репо битимлари бўйича фоизли даромадлар</t>
  </si>
  <si>
    <t>ЖАМИ ФОИЗЛИ ДАРОМАДЛАР</t>
  </si>
  <si>
    <t>ДЕПОЗИТЛАР БЎЙИЧА ФОИЗЛИ ХАРАЖАТЛАР</t>
  </si>
  <si>
    <t>A.</t>
  </si>
  <si>
    <t>Талаб қилиб олингунча сақланадиган депозитлар</t>
  </si>
  <si>
    <t>Ҳукумат</t>
  </si>
  <si>
    <t>Жисмоний шахслар</t>
  </si>
  <si>
    <t>Давлат корхоналари</t>
  </si>
  <si>
    <t>Қўшма ва чет эл капитали иштирокидаги корхоналар</t>
  </si>
  <si>
    <t>Хусусий корхоналар</t>
  </si>
  <si>
    <t>Бошқа депозитлар</t>
  </si>
  <si>
    <t>Жами талаб қилиб олингунча сақланадиган депозитлар бўйича фоизли харажатлар</t>
  </si>
  <si>
    <t>Б.</t>
  </si>
  <si>
    <t>Муддатли депозитлар</t>
  </si>
  <si>
    <t>Жами муддатли депозитлар бўйича фоизли харажатлар</t>
  </si>
  <si>
    <t>В.</t>
  </si>
  <si>
    <t>ЖАМИ ДЕПОЗИТЛАР БЎЙИЧА ФОИЗЛИ ХАРАЖАТЛАР</t>
  </si>
  <si>
    <t>БОШҚА МАЖБУРИЯТЛАР БЎЙИЧА ФОИЗЛИ ХАРАЖАТЛАР</t>
  </si>
  <si>
    <t>Банкнинг тўланмаган акцептлари бўйича фоизли харажатлари</t>
  </si>
  <si>
    <t>Жами бошқa мажбуриятлар бўйича фоизли хaрaжaтлaр</t>
  </si>
  <si>
    <t>ЖАМИ ФОИЗЛИ ХAРAЖAТЛAР</t>
  </si>
  <si>
    <t>ХУСУСИЙ КАПИТАЛДАГИ ЎЗГАРИШЛАР</t>
  </si>
  <si>
    <t>7-жадвал</t>
  </si>
  <si>
    <t>Ўтган йил учун дастлабки ҳисобланган умумий капитал</t>
  </si>
  <si>
    <t>Хусусий капиталдаги ўтган йил учун ҳисоботларда кўрсатилмаган тузатишлар, (соф)</t>
  </si>
  <si>
    <t>Ўтган календар йили якуни бўйича балансдаги тузатишлар (3=1-2 )</t>
  </si>
  <si>
    <t>Йил бошидан соф фойда (зарар)</t>
  </si>
  <si>
    <t>Жорий йилда сотиш, айирбошлаш, сотиб олиш ёки қайтиб сотиб олиш (соф кирим)</t>
  </si>
  <si>
    <t>Жорий йил учун бошланғич қийматига нисбатан баҳолаш қийматининг ошган суммаси</t>
  </si>
  <si>
    <t>МИНУС: Имтиёзли акциялар бўйича эълон қилинган пул дивидендлари</t>
  </si>
  <si>
    <t>МИНУС: Оддий акциялар бўйича эълон қилинган пуллик дивидендлар</t>
  </si>
  <si>
    <t>Жорий йилнинг соф хусусий капиталига таъсир этувчи бошқа моддалар</t>
  </si>
  <si>
    <t xml:space="preserve">Жорий давр якуни бўйича жами хусусий капитал </t>
  </si>
  <si>
    <t>АЛОҚАДОР ШАХСЛАР БИЛАН ТУЗИЛГАН БИТИМЛАР ТЎҒРИСИДА ҲИСОБОТ</t>
  </si>
  <si>
    <t>11-жадвал</t>
  </si>
  <si>
    <t>Мижоз номи</t>
  </si>
  <si>
    <t>СТИР</t>
  </si>
  <si>
    <t>Фаолият тури (ИФУТ)</t>
  </si>
  <si>
    <t>Валюта коди</t>
  </si>
  <si>
    <t>Гурух рақами</t>
  </si>
  <si>
    <t>Жорий қарздорлик, брутто</t>
  </si>
  <si>
    <t>Кредит ёки лизинглар бўйича шартлари қайта кўрилганлиги сони</t>
  </si>
  <si>
    <t>Нормативдан чегирмалар</t>
  </si>
  <si>
    <t>Таснифи (сонда)</t>
  </si>
  <si>
    <t>Яратилган захиралар</t>
  </si>
  <si>
    <t>Активлар манбаси</t>
  </si>
  <si>
    <t>Жорий қарздорлик, соф</t>
  </si>
  <si>
    <t>баланс активлари</t>
  </si>
  <si>
    <t>балансдан ташқари активлари</t>
  </si>
  <si>
    <t>Банклараро кредит ва депозитлар маблағлари бўйича жорий қарздорлик, вакиллик ҳисобварақларидаги қолдиқлар, банклараро ўзаро ҳисоб-китоблар учун маблағлар, бошқа жойлаштирилган маблағлар (овернайт ва клиринг операцияларидан ташқари), шунингдек улардан олинадиган даромадлар</t>
  </si>
  <si>
    <t>Кредитлар, лизинг, факторинг, ва улардан олинган даромадлар</t>
  </si>
  <si>
    <t>Инвестициялар ва улардан олинган даромадлар</t>
  </si>
  <si>
    <t>юқорида қайд этилмаган бошқа баланс активлари бўйича жорий қарздорликлар, шунингдек улар бўйича даромадлар</t>
  </si>
  <si>
    <t>Аккредитивлар ва улардан олинган даромадлар</t>
  </si>
  <si>
    <t>Кафолатлар, кафилликлар ва улардан олинган даромадлар</t>
  </si>
  <si>
    <t>Ўзлаштирилмаган кредит линиялари, қайтариб олинмайдиган мажбуриятлар  ҳамда улардан олинган даромадлар</t>
  </si>
  <si>
    <t xml:space="preserve">Юқорида кўрсатилмаган бошқа балансдан ташқари активлар ва улардан олинган даромадлар </t>
  </si>
  <si>
    <t>Гаров тури</t>
  </si>
  <si>
    <t>қолдиқ</t>
  </si>
  <si>
    <t>таваккалчилик даражаси</t>
  </si>
  <si>
    <t>ЖАМИ БАНККА АЛОҚАДОР БЎЛГАН БАРЧА ШАХСЛАРГА ТЎҒРИ КЕЛУВЧИ ТАВАККАЛЧИЛИКНИНГ ЭНГ КЎП МИҚДОРИ</t>
  </si>
  <si>
    <t>БАНКНИНГ БИР ҚАРЗ ОЛУВЧИ ЁКИ ЎЗАРО АЛОҚАДОР ҚАРЗ ОЛУВЧИЛАР ГУРУҲИ УЧУН ТАВАККАЛЧИЛИКНИНГ ЭНГ КЎП МИҚДОРИ</t>
  </si>
  <si>
    <t>БАНКНИНГ ЙИРИК ТАВАККАЛЧИЛИКЛАРИ ҲИСОБОТИ</t>
  </si>
  <si>
    <t>12-жадвал</t>
  </si>
  <si>
    <t>ЖAМИ ЙИРИК ХАТАРЛАР</t>
  </si>
  <si>
    <t>БAНК ТОМОНИДАН БЕРИЛГАН ЭНГ ЙИРИК ХАТАР</t>
  </si>
  <si>
    <t>13-жадвал</t>
  </si>
  <si>
    <t>ҲИСОБДАН ЧИҚАРИЛГАН КРЕДИТЛАРНИНГ ҚАЙТАРИЛИШИ ВА ЭҲТИМОЛИЙ ЙЎҚОТИШЛАРГА ҚАРШИ 
ЗАХИРАЛАР ҲАРАКАТИ ТЎҒРИСИДА ҲИСОБОТ</t>
  </si>
  <si>
    <t>1-қисм. ҲИСОБДАН ЧИҚАРИЛГАН КРЕДИТЛАРНИНГ ҚАЙТАРИЛИШИ</t>
  </si>
  <si>
    <t>Иқтисодиёт тармоқлари ва кредит турлари</t>
  </si>
  <si>
    <t>Кредит ва лизингларни ҳисобдан чиқариш ва қайтариш</t>
  </si>
  <si>
    <t>Ҳисобдан чиқарилган кредит ва лизинглар</t>
  </si>
  <si>
    <t>Ҳисобга қайтарилган кредит ва лизинглар</t>
  </si>
  <si>
    <t>Фарқи</t>
  </si>
  <si>
    <t>Хорижий валютада</t>
  </si>
  <si>
    <t>Юридик шахслар</t>
  </si>
  <si>
    <t>Саноат</t>
  </si>
  <si>
    <t>Қишлоқ хўжалиги</t>
  </si>
  <si>
    <t>Транспорт ва коммуникация</t>
  </si>
  <si>
    <t>Қурилиш соҳаси</t>
  </si>
  <si>
    <t>Савдо ва умумий хизмат</t>
  </si>
  <si>
    <t>Моддий ва техник таъминотни ривожлантириш</t>
  </si>
  <si>
    <t xml:space="preserve">Уй-жой коммунал хизмати </t>
  </si>
  <si>
    <t>Бошқа соҳалар</t>
  </si>
  <si>
    <t>ипотека кредитлари</t>
  </si>
  <si>
    <t>Микроқарз ва овердрафтлар (бошқа мақсадсиз кредитлар)</t>
  </si>
  <si>
    <t>истеъмол кредитлари</t>
  </si>
  <si>
    <t>жисмоний шахслар учун бошқа кредитлар</t>
  </si>
  <si>
    <t xml:space="preserve">Кредит ва лизинг бўйича эҳтимолий йўқотишларга қарши захиралар </t>
  </si>
  <si>
    <t>Ҳисобдан чиқарилган захиралар</t>
  </si>
  <si>
    <t>Шакллантирилган захиралар</t>
  </si>
  <si>
    <t>Сўнги 12 ой ичида яратилган захиралар</t>
  </si>
  <si>
    <t>2-қисм. ЭҲТИМОЛИЙ ЙЎҚОТИШЛАРГА ҚАРШИ ЗАХИРАЛАР ҲАРАКАТИ</t>
  </si>
  <si>
    <t>20-жадвал</t>
  </si>
  <si>
    <t>КРЕДИТ ВА ЛИЗИНГЛАР БЎЙИЧА ЎРТАЧА ТОРТИЛГАН ФОИЗ СТАВКАЛАРИ ТЎҒРИСИДА ҲИСОБОТ</t>
  </si>
  <si>
    <t>Кредитлаш турлари</t>
  </si>
  <si>
    <t>жами</t>
  </si>
  <si>
    <t>шунингдек</t>
  </si>
  <si>
    <t>хорижий валютада</t>
  </si>
  <si>
    <t>жами қолдиғи</t>
  </si>
  <si>
    <t>ўртача тортилган фоиз ставкалари</t>
  </si>
  <si>
    <t>Жисмоний шахслар (имтиёзли кредитлар)</t>
  </si>
  <si>
    <t>шунингдек:</t>
  </si>
  <si>
    <t>микроқарз (бошқа мақсадсиз кредитлар)</t>
  </si>
  <si>
    <t>Жисмоний шахслар (тижорат кредитлар)</t>
  </si>
  <si>
    <t>Юридик шахслар (имтиёзли кредитлар)</t>
  </si>
  <si>
    <t>синдициялаштирилган кредитлар</t>
  </si>
  <si>
    <t>банклараро кредитлар</t>
  </si>
  <si>
    <t>юридик шахслар учун бошқа кредитлар</t>
  </si>
  <si>
    <t>Юридик шахслар (тижорат кредитлар)</t>
  </si>
  <si>
    <t>КРЕДИТ ПОРТФЕЛЬ ТАРКИБИ ТЎҒРИСИДА ҲИСОБОТ</t>
  </si>
  <si>
    <t>20 А-жадвал</t>
  </si>
  <si>
    <t xml:space="preserve">Тўлов муддатлари бўйича </t>
  </si>
  <si>
    <t>Кредит ва лизингларни сифати бўйича таснифлаш</t>
  </si>
  <si>
    <t xml:space="preserve">Балансдан ташқарига чиқарилган барча кредит ва лизинглар </t>
  </si>
  <si>
    <t xml:space="preserve">Шартлари қайта кўриб чиқилган кредитлар </t>
  </si>
  <si>
    <t xml:space="preserve">1 йилгача </t>
  </si>
  <si>
    <t xml:space="preserve">1 йилдан 5 йилгача </t>
  </si>
  <si>
    <t xml:space="preserve">5 йилдан 10 йилгача </t>
  </si>
  <si>
    <t xml:space="preserve">10 йилдан 15 йилгача </t>
  </si>
  <si>
    <t xml:space="preserve">15 йилдан юқори </t>
  </si>
  <si>
    <t>Кредит ва лизингларни сифати бўйича захиралар яратилиши таснифи</t>
  </si>
  <si>
    <t>Э</t>
  </si>
  <si>
    <t>ЖАМИ</t>
  </si>
  <si>
    <t xml:space="preserve">Жисмоний шахслар </t>
  </si>
  <si>
    <t>кўчмас мулкни сотиб олиш учун</t>
  </si>
  <si>
    <t>кўчмас мулкни таъмирлаш учун</t>
  </si>
  <si>
    <t>кўчмас мулкни реконструкцияси учун</t>
  </si>
  <si>
    <t>кўчмас мулкни қурулиши учун</t>
  </si>
  <si>
    <t>шундан автокредитга</t>
  </si>
  <si>
    <t>таълим кредитлари</t>
  </si>
  <si>
    <t>тадбиркорликни ривожлантириш учун ажратилган кредитлар</t>
  </si>
  <si>
    <t xml:space="preserve">Юридик шахслар </t>
  </si>
  <si>
    <t>шундан, кредит турлари бўйича</t>
  </si>
  <si>
    <t>нобанк кредит ташкилотларига ажратилган кредитлар</t>
  </si>
  <si>
    <t>бошқа кредит турлари</t>
  </si>
  <si>
    <t>шундан, кредит мақсадлари бўйича</t>
  </si>
  <si>
    <t>бошланғич капитал учун ажратилган кредитлар</t>
  </si>
  <si>
    <t>айланма маблағни тўлдириш учун ажратилган кредитлар</t>
  </si>
  <si>
    <t>асосий воситаларни сотиб олиш, модернизациялаштириш ва приватизациялаштириш учун ажратилган кредитлар</t>
  </si>
  <si>
    <t>маҳсулотларни импорти ва экспорти билан боғлиқ харажатлари қоплаш учун ажратилган кредитлар</t>
  </si>
  <si>
    <t>ҳукумат томонидан  ажратилган кредитлар</t>
  </si>
  <si>
    <t>бошқа мақсадли кредитлар</t>
  </si>
  <si>
    <t>БАНК ТОМОНИДАН ЖАЛБ ҚИЛИНГАН ДЕПОЗИТЛАРНИНГ ЎРТАЧА ТОРТИЛГАН ФОИЗ СТАВКАЛАРИ ТЎҒРИСИДА ҲИСОБОТ</t>
  </si>
  <si>
    <t>21-жадвал</t>
  </si>
  <si>
    <t>Жалб қилинган 
маблағларнинг муддатлари</t>
  </si>
  <si>
    <t>Жисмоний шахсларнинг депозит (омонат) лари</t>
  </si>
  <si>
    <t>Юридик шахсларнинг депозит (омонат) лари</t>
  </si>
  <si>
    <t>жами сумма</t>
  </si>
  <si>
    <t>Муддатсиз</t>
  </si>
  <si>
    <t>1-7 кун</t>
  </si>
  <si>
    <t>8-30 кун</t>
  </si>
  <si>
    <t>31-90 кун</t>
  </si>
  <si>
    <t>91-180 кун</t>
  </si>
  <si>
    <t>181-365 кун</t>
  </si>
  <si>
    <t>366-730 кун</t>
  </si>
  <si>
    <t>2 йилдан ортиқ</t>
  </si>
  <si>
    <t>Жами (1, 2, 3, 4, 5, 6, 7, 8 қаторлар йиғиндиси)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</si>
  <si>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</si>
  <si>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</si>
  <si>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</si>
  <si>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</si>
  <si>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</si>
  <si>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Капитал монандлик кўрсаткичлари</t>
  </si>
  <si>
    <t>Регулятив капиталнинг монандлик коэффициенти</t>
  </si>
  <si>
    <t>I даражали капиталнинг монандлик коэффициенти</t>
  </si>
  <si>
    <t>I даражали асосий капиталнинг монандлик коэффициенти</t>
  </si>
  <si>
    <t>Жами регулятив капитал</t>
  </si>
  <si>
    <t>Таваккалчиликка тортилган активлар</t>
  </si>
  <si>
    <t>I даражали капитал</t>
  </si>
  <si>
    <t>I даражали асосий капитал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</si>
  <si>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</si>
  <si>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</si>
  <si>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</si>
  <si>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Ликвидликни қоплаш меъёри коэффициенти</t>
  </si>
  <si>
    <t>2.3</t>
  </si>
  <si>
    <t>Соф барқарор молиялаштириш меъёри коэффициенти</t>
  </si>
  <si>
    <t>Юқори ликвидли активлар</t>
  </si>
  <si>
    <t>Кейинги 30 кун ичида соф чиқим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</si>
  <si>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</si>
  <si>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</si>
  <si>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</si>
  <si>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</si>
  <si>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Банклараро операциялар учун бир банкка ёки ўзаро алоқадор банклар гуруҳига тўғри келувчи максимал таваккалчилик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</si>
  <si>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</si>
  <si>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Банкнинг барча йирик таваккалчиликларининг умумий миқдори</t>
  </si>
  <si>
    <t>Бир қарз олувчига ёки ўзаро алоқадор қарздорлар гуруҳига тўғри келувчи максимал хатар, таъминланган активлар</t>
  </si>
  <si>
    <t>Банклараро операциялар учун бир банкка ёки ўзаро алоқадор банклар гуруҳига тўғри келадиган максимал хатар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</si>
  <si>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</si>
  <si>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</si>
  <si>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</si>
  <si>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</si>
  <si>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>Олди-сотди учун қимматли қоғозларга қилинган инвестицияларнинг жами қиймати</t>
  </si>
  <si>
    <t>Банк томонидан 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йиғиндисининг максимал қиймати</t>
  </si>
  <si>
    <t xml:space="preserve">Битта эмитентнинг нодавлат қимматли қоғозларига қилинган инвестицияларнинг максимал қиймати </t>
  </si>
  <si>
    <t>Барча эмитентларнинг устав капиталига ва бошқа қимматли қоғозларига қилинган инвестицияларнинг жами максимал суммаси</t>
  </si>
  <si>
    <t>Банкка алоқадор шахслар ва уларга тўғри келувчи таваккалчилик кўрсаткичлари</t>
  </si>
  <si>
    <t>Банкка алоқадор битта шахсга тўғри келувчи таваккалчиликнинг энг кўп миқдори</t>
  </si>
  <si>
    <t>Банкка алоқадор бўлган барча шахсларга тўғри келувчи таваккалчиликнинг энг кўп миқдори</t>
  </si>
  <si>
    <t>Кўчмас мулкка қилинган банк инвестицияларининг меъёрий кўрсаткичи</t>
  </si>
  <si>
    <t>Банкнинг кўчмас мулкка қилинган барча инвестицияларининг умумий миқдори</t>
  </si>
  <si>
    <t>Банк билан алоқадор бир шахсга тўғри келувчи хатарнинг максимал қиймати, таъминланган активлар</t>
  </si>
  <si>
    <t>Банк билан алоқадор шахсларга тўғри келувчи хатарларнинг жами суммаси</t>
  </si>
  <si>
    <t>Банкнинг кўчмас мулкка қилинган барча инвестицияларининг умумий суммаси</t>
  </si>
  <si>
    <t>БОШҚА МАЪЛУМОТЛАР</t>
  </si>
  <si>
    <t>23-жадвал</t>
  </si>
  <si>
    <t>Банк ходимлари сони, бош офис, бўлим ва филиалларини ҳисобга олган ҳолда</t>
  </si>
  <si>
    <t>Штат жадвали бўйича ходимлар сони</t>
  </si>
  <si>
    <t xml:space="preserve">Амалда ишлайдиган банк ходимлари сони </t>
  </si>
  <si>
    <t>Банкнинг умумий бўлинмалари сони, бош офис ва филиалларини ҳисобга олган ҳолда</t>
  </si>
  <si>
    <t>шундан:</t>
  </si>
  <si>
    <t>филиаллар сони</t>
  </si>
  <si>
    <t>мини банклар сони</t>
  </si>
  <si>
    <t>банкдан ташқарида жойлашган чакана кассалар сони</t>
  </si>
  <si>
    <t>банк хизматлари марказлари сони</t>
  </si>
  <si>
    <t>Банк мижозлари базаси</t>
  </si>
  <si>
    <t>жисмоний шахслар</t>
  </si>
  <si>
    <t>якка тартибдаги тадбиркорлар</t>
  </si>
  <si>
    <t>юридик шахслар</t>
  </si>
  <si>
    <t>шундан банкда асосий ҳисоб рақами мавжуд мижозлар сони</t>
  </si>
  <si>
    <t>давлат корхоналари</t>
  </si>
  <si>
    <t>хусусий корхоналар</t>
  </si>
  <si>
    <t>фермер ҳўжалиги</t>
  </si>
  <si>
    <t>ҳукумат</t>
  </si>
  <si>
    <t>бошқалар</t>
  </si>
  <si>
    <t>Банк рейтинги</t>
  </si>
  <si>
    <t>Рейтинг компаниянинг номи</t>
  </si>
  <si>
    <t>Банкнинг рейтинг баҳоси</t>
  </si>
  <si>
    <t>МОЛИЯВИЙ БАРҚАРОРЛИК КЎРСАТКИЧЛАРИ</t>
  </si>
  <si>
    <t>Асосий кўрсаткичлар</t>
  </si>
  <si>
    <t>Регулятив капиталнинг таваккалчиликни ҳисобга олган ҳолдаги активларнинг умумий суммасига нисбати</t>
  </si>
  <si>
    <t>Таваккалчиликни ҳисобга олган ҳолдаги активларнинг умумий суммаси</t>
  </si>
  <si>
    <t>I даражали капиталнинг таваккалчиликни ҳисобга олган ҳолдаги активларнинг умумий суммасига нисбати</t>
  </si>
  <si>
    <t xml:space="preserve">Захиралар чегирилган ҳолда харакатсиз кредитлар/жами капитал </t>
  </si>
  <si>
    <t>Захиралар чегирилган ҳолда харакатсиз кредитлар миқдори</t>
  </si>
  <si>
    <t xml:space="preserve">Жами капитал </t>
  </si>
  <si>
    <t xml:space="preserve">Харакатсиз кредитлар/жами кредитлар миқдори </t>
  </si>
  <si>
    <t>Харакатсиз кредитлар</t>
  </si>
  <si>
    <t xml:space="preserve">Жами кредитлар миқдори </t>
  </si>
  <si>
    <t xml:space="preserve">Активлар рентабеллиги </t>
  </si>
  <si>
    <t>Солиқ тўлангунга қадар соф фойда</t>
  </si>
  <si>
    <t>Жами активлар (мазкур давр учун ўртача)</t>
  </si>
  <si>
    <t xml:space="preserve">Капитал рентабеллиги </t>
  </si>
  <si>
    <t>Соф фойда</t>
  </si>
  <si>
    <t>Жами капитал ҳажми (мазкур давр учун ўртача)</t>
  </si>
  <si>
    <t>Фоизли маржа/ялпи даромад</t>
  </si>
  <si>
    <t>Фоизли маржа</t>
  </si>
  <si>
    <t>Ялпи даромад</t>
  </si>
  <si>
    <t>Фоизсиз харажатлар/ялпи даромад</t>
  </si>
  <si>
    <t>Фоизсиз харажатлар</t>
  </si>
  <si>
    <t>Ликвид активлар/жами активлар</t>
  </si>
  <si>
    <t>Ликвид активлар</t>
  </si>
  <si>
    <t xml:space="preserve">Ликвид активлар/қисқа муддатли мажбуриятлар </t>
  </si>
  <si>
    <t xml:space="preserve">Қисқа муддатли мажбуриятлар </t>
  </si>
  <si>
    <t>Жами капитал/жами активлар</t>
  </si>
  <si>
    <t xml:space="preserve">Очиқ валюта позицияси, соф / Жами капитал </t>
  </si>
  <si>
    <t>Очиқ валюта позицияси, соф</t>
  </si>
  <si>
    <t>АКТИВЛАР СИФАТИ БЎЙИЧА ТАСНИФЛАНИШИ ТЎҒРИСИДА ҲИСОБОТ</t>
  </si>
  <si>
    <t>10-жадвал</t>
  </si>
  <si>
    <t>Жами суммаси</t>
  </si>
  <si>
    <t>шундан, хорижий валютада
(экв. сўмда)</t>
  </si>
  <si>
    <t>Стандарт</t>
  </si>
  <si>
    <t>Субстандарт</t>
  </si>
  <si>
    <t>Махсус захиралар
 (мин 10%)</t>
  </si>
  <si>
    <t>Қониқарсиз</t>
  </si>
  <si>
    <t>Махсус захиралар
 (мин 25%)</t>
  </si>
  <si>
    <t>Шубҳали</t>
  </si>
  <si>
    <t>Махсус захиралар
 (мин 50%)</t>
  </si>
  <si>
    <t>Умидсиз</t>
  </si>
  <si>
    <t>Махсус захиралар
 (мин 100%)</t>
  </si>
  <si>
    <t>Жами махсус захиралар суммаси</t>
  </si>
  <si>
    <t>ҳисобот ойида балансдан ташқари ҳисобдан чиқарилган кредитлар</t>
  </si>
  <si>
    <t xml:space="preserve">ҳисобот ойида балансдан ташқари қайтган кредитлар суммаси </t>
  </si>
  <si>
    <t>Мижозлар тури бўйича</t>
  </si>
  <si>
    <t>Марказий банк</t>
  </si>
  <si>
    <t>шундан, таъминланмаган қисми</t>
  </si>
  <si>
    <t>Бошқа банклар</t>
  </si>
  <si>
    <t xml:space="preserve">Давлат корхоналари </t>
  </si>
  <si>
    <t>Фермер хўжалиги</t>
  </si>
  <si>
    <t xml:space="preserve">Нобанк молиявий институтлар </t>
  </si>
  <si>
    <t>Нодавлат нотижорат ташкилотлар</t>
  </si>
  <si>
    <t>Бюджет ташкилотлари</t>
  </si>
  <si>
    <t>Бошқалар</t>
  </si>
  <si>
    <t>Жами кредит ва лизинг суммаси</t>
  </si>
  <si>
    <t>Иқтисодиёт соҳалари бўйича</t>
  </si>
  <si>
    <t>Ҳудудлар қирқимида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</si>
  <si>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</si>
  <si>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</si>
  <si>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</si>
  <si>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</si>
  <si>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</si>
  <si>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</si>
  <si>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</si>
  <si>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</si>
  <si>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</si>
  <si>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</si>
  <si>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шаҳар</t>
  </si>
  <si>
    <t>Тошкент вилояти</t>
  </si>
  <si>
    <t>Фарғона вилояти</t>
  </si>
  <si>
    <t>Хоразм вилояти</t>
  </si>
  <si>
    <t>Бошқа таснифланган активлар</t>
  </si>
  <si>
    <t>Жами таснифланган активлар суммаси</t>
  </si>
  <si>
    <t>ОЛИНИШИ ЛОЗИМ БЎЛГАН МУДДАТИ ЎТГАН КРЕДИТ ВА МОЛИЯВИЙ ЛИЗИНГ ТАҲЛИЛИ</t>
  </si>
  <si>
    <t>9-жадвал</t>
  </si>
  <si>
    <t>Жами кредит суммаси</t>
  </si>
  <si>
    <t>Шартлари қайта кўрилган кредит ва лизинглар</t>
  </si>
  <si>
    <t>Суд жараёнидаги қарздорликлар</t>
  </si>
  <si>
    <t xml:space="preserve">Муддати ўтган </t>
  </si>
  <si>
    <t>шу жумладан, кечиктирилган муддати бўйича</t>
  </si>
  <si>
    <t>1-30 кун</t>
  </si>
  <si>
    <t>31-60 кун</t>
  </si>
  <si>
    <t>61-90 кун</t>
  </si>
  <si>
    <t>асосий қарздорлик</t>
  </si>
  <si>
    <t>фоиз тўловлари</t>
  </si>
  <si>
    <t>Фермер хўжаликлари</t>
  </si>
  <si>
    <t>Нобанк молиявий институтлар</t>
  </si>
  <si>
    <t>Савдо ва умумий овқатланиш</t>
  </si>
  <si>
    <t>Уй-жой коммунал хизмати</t>
  </si>
  <si>
    <t>8-жадвал</t>
  </si>
  <si>
    <t>ИҚТИСОДИЁТ ТАРМОҚЛАРИ, МИЖОЗЛАР ТУРЛАРИ, ВА ТАЪМИНОТ ТУРЛАРИ БЎЙИЧА АЖРАТИЛГАН КРЕДИТЛАР ВА ЛИЗИНГЛАР ҲИСОБОТИ</t>
  </si>
  <si>
    <t>Иқтисодиёт тармоқлари бўйича</t>
  </si>
  <si>
    <t>Кредит суммаси</t>
  </si>
  <si>
    <t>Жами жисмоний шахслар</t>
  </si>
  <si>
    <t>Кредит ва лизинг операциялари</t>
  </si>
  <si>
    <t xml:space="preserve">Банк бўлмаган молиявий муассасалар </t>
  </si>
  <si>
    <t>шундан муаммоли кредитлар</t>
  </si>
  <si>
    <t>NPL</t>
  </si>
  <si>
    <t>(В1)</t>
  </si>
  <si>
    <t>(В2)</t>
  </si>
  <si>
    <t>Депозитлар</t>
  </si>
  <si>
    <t>Ўзбекистон Республикаси Ҳукумати тамонидан кафолатланган кредитлар</t>
  </si>
  <si>
    <t xml:space="preserve">Ўзбекистон Республикаси Ҳукумати томонидан кафолатланган хорижий валютадаги (эквивалент сўмда) кредитлар </t>
  </si>
  <si>
    <t>Транспорт воситалари</t>
  </si>
  <si>
    <t>Инвентарлар</t>
  </si>
  <si>
    <t>Кўчмас мулк</t>
  </si>
  <si>
    <t>турар жой
 (хонадон)</t>
  </si>
  <si>
    <t>тижорат кўчмас мулки</t>
  </si>
  <si>
    <t>Асбоб ускуналар</t>
  </si>
  <si>
    <t>Векселлар (облигациялар)</t>
  </si>
  <si>
    <t>Акциялар</t>
  </si>
  <si>
    <t>Учинчи шахс кафолати</t>
  </si>
  <si>
    <t>Учинчи шахс кафиллиги</t>
  </si>
  <si>
    <t>Суғурта полиси</t>
  </si>
  <si>
    <t xml:space="preserve">Таъминотсиз </t>
  </si>
  <si>
    <t>Бошқа кафолатлар</t>
  </si>
  <si>
    <t>(В3)</t>
  </si>
  <si>
    <t>(Д1)</t>
  </si>
  <si>
    <t>(З2)</t>
  </si>
  <si>
    <r>
      <t>(В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</si>
  <si>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</si>
  <si>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</si>
  <si>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</si>
  <si>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</si>
  <si>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</si>
  <si>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</si>
  <si>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</si>
  <si>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</si>
  <si>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</si>
  <si>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</si>
  <si>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</si>
  <si>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 xml:space="preserve">Ипотека кредитлари </t>
    </r>
    <r>
      <rPr>
        <b/>
        <sz val="14"/>
        <rFont val="Times New Roman"/>
        <family val="1"/>
        <charset val="204"/>
      </rPr>
      <t>(имтиёзли кредитлар)</t>
    </r>
    <r>
      <rPr>
        <sz val="14"/>
        <rFont val="Times New Roman"/>
        <family val="1"/>
        <charset val="204"/>
      </rPr>
      <t xml:space="preserve">
шундан:</t>
    </r>
  </si>
  <si>
    <r>
      <t>Ипотека кредитлари</t>
    </r>
    <r>
      <rPr>
        <b/>
        <sz val="14"/>
        <rFont val="Times New Roman"/>
        <family val="1"/>
        <charset val="204"/>
      </rPr>
      <t xml:space="preserve"> (тижорат кредитлар)</t>
    </r>
    <r>
      <rPr>
        <sz val="14"/>
        <rFont val="Times New Roman"/>
        <family val="1"/>
        <charset val="204"/>
      </rPr>
      <t xml:space="preserve">
шундан:</t>
    </r>
  </si>
  <si>
    <t>Ой</t>
  </si>
  <si>
    <t>Ликвидли активлар</t>
  </si>
  <si>
    <t>Кассадаги нақд пул ва бошқа тўлов ҳужжатлари ва қимматбаҳо металлар</t>
  </si>
  <si>
    <t>Банкнинг Марказий банкдаги маблағлар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</si>
  <si>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</si>
  <si>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</si>
  <si>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</si>
  <si>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</si>
  <si>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</si>
  <si>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</si>
  <si>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Стандарт активлар бўйича яратилган захирлар</t>
  </si>
  <si>
    <t>Фойда ёки зарар орқали ҳаққоний қийматда баҳоланадиган қимматли қоғозлар</t>
  </si>
  <si>
    <t>Бошқа умумлашган даромад орқали ҳаққоний қийматда баҳоланадиган қимматли қоғозларга қилинган инвестициялар</t>
  </si>
  <si>
    <t>Сотиб олинган дебиторлик қарзлари — Факторинг</t>
  </si>
  <si>
    <t>Давлат корхоналари, ташкилотлари ва муассасаларига берилган қисқа муддатли кредитлар</t>
  </si>
  <si>
    <t>Тадбиркорлик фаолиятини қўллаб-қувватлаш давлат жамғармаси кўмагида берилган қисқа муддатли кредитлар</t>
  </si>
  <si>
    <t>Давлат эҳтиёжлари учун харид қилинадиган қишлоқ хўжалиги маҳсулотларини етиштириш учун берилган узоқ муддатли кредитлар</t>
  </si>
  <si>
    <t>Тадбиркорлик фаолиятини қўллаб-қувватлаш давлат жамғармаси кўмагида берилган узоқ муддатли кредитлар</t>
  </si>
  <si>
    <t>Давлат корхоналари, ташкилотлари ва муассасаларига берилган узоқ муддатли кредитлар</t>
  </si>
  <si>
    <t>Мижозларнинг банк карталаридан ҳисобдан чиқарилиши лозим бўлган маблағлар бўйича транзит ҳисобварақлари</t>
  </si>
  <si>
    <t>Валюталар савдоси ва валюта позициялари</t>
  </si>
  <si>
    <t>Муддати узайтирилган дебитор қарздорлик</t>
  </si>
  <si>
    <t>Олиниши лозим бўлган ҳисобланган фоизсиз даромадлар</t>
  </si>
  <si>
    <t>Амортизацияланган қиймати бўйича баҳоланадиган қарз қимматли қоғозларга қилинган инвестициялар</t>
  </si>
  <si>
    <t>Олиниши лозим бўлган ҳисобланган фоизлар</t>
  </si>
  <si>
    <t>Суд ёки ижро иши юритиш жараёнидаги кредитлар ва лизинг</t>
  </si>
  <si>
    <t>Қарам хўжалик жамиятларига, биргаликдаги корхоналарга ва шўъба хўжалик жамиятларига қилинган инвестициялар</t>
  </si>
  <si>
    <t>Қўлда тўлдирилади</t>
  </si>
  <si>
    <t>ушбу қаторда барча юридик шахсларнинг сони кўрсатилади</t>
  </si>
  <si>
    <t>ушбу қаторда банкда асосий ҳисоб рақами мавжуд юридик шахсларнинг сони кўрсатилади</t>
  </si>
  <si>
    <t>миллий 
валютада</t>
  </si>
  <si>
    <t>Бошқарув Раис имзоси:</t>
  </si>
  <si>
    <t>Бош бухгалтер имзоси:</t>
  </si>
  <si>
    <t>Стандарт активлар бўйича яратилган захиралар (1%)</t>
  </si>
  <si>
    <t>2.6.</t>
  </si>
  <si>
    <t>2.7.</t>
  </si>
  <si>
    <t>Кўрсатилган хизматлар ва воситачилик учун олинган даромадлар</t>
  </si>
  <si>
    <t>Воситачилик ва кўрсатилган хизматлар учун харажатлар</t>
  </si>
  <si>
    <t>ПРУДЕНЦИАЛ МЕЪЁРЛАР ҲИСОБ-КИТОБИ</t>
  </si>
  <si>
    <t>Стандарт активлар бўйича яратилган захиралар (мин 1%)</t>
  </si>
  <si>
    <t>Субстандарт активлар бўйича яратилган захиралар (мин 10%)</t>
  </si>
  <si>
    <t>Қониқарсиз активлар бўйича яратилган захиралар (мин 25%)</t>
  </si>
  <si>
    <t>Шубҳали активлар бўйича яратилган захиралар (мин 50%)</t>
  </si>
  <si>
    <t>Умидсиз активлар бўйича яратилган захиралар (мин 100%)</t>
  </si>
  <si>
    <t>Ҳақиқатдан яратилган заҳира</t>
  </si>
  <si>
    <t xml:space="preserve"> Яратилиши лозим бўлган заҳира</t>
  </si>
  <si>
    <t>10 А-жадвал</t>
  </si>
  <si>
    <t xml:space="preserve">Бошқа банкларга берилган кредитлар </t>
  </si>
  <si>
    <t xml:space="preserve">Ҳукуматга берилган кредитлар </t>
  </si>
  <si>
    <t xml:space="preserve">Жисмоний шахсларга берилган кредит ва лизинглар </t>
  </si>
  <si>
    <t>Давлат корхоналарига берилган кредит ва лизинглар</t>
  </si>
  <si>
    <t>Қўшма ва чет эл капитали иштирокидаги корхоналарга берилган кредит ва лизинглар</t>
  </si>
  <si>
    <t>Хусусий корхоналар, хўжалик ширкатлари ва жамиятларга берилган кредит ва лизинглар</t>
  </si>
  <si>
    <t>Бошқа кредит ва лизинглар</t>
  </si>
  <si>
    <t>АКТИВЛАР ВА УЛАРНИНГ ТАСНИФИ БЎЙИЧА ШАКЛЛАНТИРИЛГАН ЗАХИРАЛАР</t>
  </si>
  <si>
    <t>№6</t>
  </si>
  <si>
    <t>0%</t>
  </si>
  <si>
    <t>12%</t>
  </si>
  <si>
    <t>7%</t>
  </si>
  <si>
    <t>22%</t>
  </si>
  <si>
    <t>5%</t>
  </si>
  <si>
    <t>4%</t>
  </si>
  <si>
    <t>"Ўзбектелеком" АЖ</t>
  </si>
  <si>
    <t xml:space="preserve"> "Нано Лизинг Компанияси" МЧЖ</t>
  </si>
  <si>
    <t>"Ўзбекистон почтаси" АЖ</t>
  </si>
  <si>
    <t>"Алоквенчурс" МЧЖ</t>
  </si>
  <si>
    <t>"Aлоқа актив" МЧЖ</t>
  </si>
  <si>
    <t>СК "Алском" АЖ</t>
  </si>
  <si>
    <t>"Алокализинг" МЧЖ</t>
  </si>
  <si>
    <t>"Уздижитал ТВ" МЧЖ</t>
  </si>
  <si>
    <t>Тураев Шавкат Абдузоирович</t>
  </si>
  <si>
    <t>Набиев Умиджон Бобоқулович</t>
  </si>
  <si>
    <t xml:space="preserve">   </t>
  </si>
  <si>
    <t/>
  </si>
  <si>
    <t>АК "Ўзбектелеком"</t>
  </si>
  <si>
    <t>Навоийский горно-метал. ком.</t>
  </si>
  <si>
    <t>ART SOFT TEX маъсулияти чекланган жамияти</t>
  </si>
  <si>
    <t>"Арт Фарфор" МЧЖ</t>
  </si>
  <si>
    <t>"Жиззах-тоштепа текстил" МЧЖ</t>
  </si>
  <si>
    <t>860, 840</t>
  </si>
  <si>
    <t>"Туронбанк" акциядорлик тижорат банки</t>
  </si>
  <si>
    <t>ХЁАТ "Ориент Финанс банк"</t>
  </si>
  <si>
    <t>ООО "MG GLASS"</t>
  </si>
  <si>
    <t>840</t>
  </si>
  <si>
    <t>АТ Халқ банки</t>
  </si>
  <si>
    <t>"Миллий Банк" АЖ</t>
  </si>
  <si>
    <t>Moody's</t>
  </si>
  <si>
    <t>B1/NP, B1/NP, Positive</t>
  </si>
  <si>
    <t>"Алоқабанк"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</si>
</sst>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_-* #,##0.00\ _₽_-;\-* #,##0.00\ _₽_-;_-* &quot;-&quot;??\ _₽_-;_-@_-"/>
    <numFmt numFmtId="165" formatCode="#,##0&quot;р.&quot;;[Red]\-#,##0&quot;р.&quot;"/>
    <numFmt numFmtId="166" formatCode="_-* #,##0_р_._-;\-* #,##0_р_._-;_-* &quot;-&quot;_р_._-;_-@_-"/>
    <numFmt numFmtId="167" formatCode="_-* #,##0.00_р_._-;\-* #,##0.00_р_._-;_-* &quot;-&quot;??_р_._-;_-@_-"/>
    <numFmt numFmtId="168" formatCode="\-############"/>
    <numFmt numFmtId="169" formatCode="0.000"/>
    <numFmt numFmtId="170" formatCode="_-* #,##0_р_._-;\-* #,##0_р_._-;_-* &quot;-&quot;??_р_._-;_-@_-"/>
    <numFmt numFmtId="171" formatCode="[$-F800]dddd\,\ mmmm\ dd\,\ yyyy"/>
    <numFmt numFmtId="172" formatCode="0.0%"/>
    <numFmt numFmtId="173" formatCode="#,##0.0"/>
    <numFmt numFmtId="174" formatCode="\$#.00"/>
    <numFmt numFmtId="175" formatCode="#"/>
    <numFmt numFmtId="176" formatCode="%#.00"/>
    <numFmt numFmtId="177" formatCode="#.00"/>
    <numFmt numFmtId="178" formatCode="_(* #,##0.00_);_(* \(#,##0.00\);_(* &quot;-&quot;??_);_(@_)"/>
    <numFmt numFmtId="179" formatCode="#,##0&quot; &quot;;\-#,##0&quot; &quot;"/>
    <numFmt numFmtId="180" formatCode="_-* #,##0.00_ _-;\-* #,##0.00_ _-;_-* &quot;-&quot;??_ _-;_-@_-"/>
    <numFmt numFmtId="181" formatCode="#&quot; &quot;##0&quot; &quot;;\-#&quot; &quot;##0&quot; &quot;"/>
    <numFmt numFmtId="182" formatCode="_-* #,##0.00\ _с_ў_м_-;\-* #,##0.00\ _с_ў_м_-;_-* &quot;-&quot;??\ _с_ў_м_-;_-@_-"/>
    <numFmt numFmtId="183" formatCode="#,##0.0_р_."/>
    <numFmt numFmtId="184" formatCode="&quot;   &quot;@"/>
    <numFmt numFmtId="185" formatCode="&quot;      &quot;@"/>
    <numFmt numFmtId="186" formatCode="&quot;            &quot;@"/>
    <numFmt numFmtId="187" formatCode="_-* #,##0.00\ &quot;сум&quot;_-;\-* #,##0.00\ &quot;сум&quot;_-;_-* &quot;-&quot;??\ &quot;сум&quot;_-;_-@_-"/>
    <numFmt numFmtId="188" formatCode="&quot;$&quot;#,##0\ ;\(&quot;$&quot;#,##0\)"/>
    <numFmt numFmtId="189" formatCode="_([$€-2]* #,##0.00_);_([$€-2]* \(#,##0.00\);_([$€-2]* &quot;-&quot;??_)"/>
    <numFmt numFmtId="190" formatCode="General_)"/>
    <numFmt numFmtId="191" formatCode="_(* #,##0_);_(* \(#,##0\);_(* &quot;-&quot;_);_(@_)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[Black]#,##0.0;[Black]\-#,##0.0;;"/>
    <numFmt numFmtId="195" formatCode="#,##0_ ;[Red]\-#,##0\ "/>
    <numFmt numFmtId="196" formatCode="[$-843]dd\ mmmm\ yyyy\ \й\и\л;@"/>
    <numFmt numFmtId="197" formatCode="_-* #,##0.0_р_._-;\-* #,##0.0_р_._-;_-* &quot;-&quot;??_р_._-;_-@_-"/>
    <numFmt numFmtId="198" formatCode="#,##0_ ;\-#,##0\ "/>
  </numFmts>
  <fonts count="118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b/>
      <sz val="25"/>
      <name val="Arial Cyr"/>
      <family val="2"/>
      <charset val="204"/>
    </font>
    <font>
      <b/>
      <sz val="16"/>
      <name val="Times New Roman"/>
      <family val="1"/>
      <charset val="204"/>
    </font>
    <font>
      <b/>
      <sz val="20"/>
      <name val="Arial Cyr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sz val="9"/>
      <name val="Arial"/>
      <family val="2"/>
      <charset val="204"/>
    </font>
    <font>
      <b/>
      <sz val="9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family val="2"/>
      <charset val="204"/>
    </font>
    <font>
      <sz val="11"/>
      <color theme="0" tint="-0.499984740745262"/>
      <name val="Arial Cyr"/>
      <family val="2"/>
      <charset val="204"/>
    </font>
    <font>
      <sz val="11"/>
      <color theme="0" tint="-0.499984740745262"/>
      <name val="Times New Roman"/>
      <family val="1"/>
      <charset val="204"/>
    </font>
    <font>
      <sz val="10"/>
      <color rgb="FFFF0000"/>
      <name val="Arial Cyr"/>
      <family val="2"/>
      <charset val="204"/>
    </font>
    <font>
      <b/>
      <sz val="20"/>
      <color rgb="FFFF0000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91">
    <xf numFmtId="0" fontId="0" fillId="0" borderId="0"/>
    <xf numFmtId="0" fontId="26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167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9" fontId="3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8" fillId="0" borderId="17">
      <protection locked="0"/>
    </xf>
    <xf numFmtId="174" fontId="60" fillId="0" borderId="0">
      <protection locked="0"/>
    </xf>
    <xf numFmtId="175" fontId="60" fillId="0" borderId="17">
      <protection locked="0"/>
    </xf>
    <xf numFmtId="176" fontId="60" fillId="0" borderId="0">
      <protection locked="0"/>
    </xf>
    <xf numFmtId="4" fontId="60" fillId="0" borderId="0">
      <protection locked="0"/>
    </xf>
    <xf numFmtId="177" fontId="60" fillId="0" borderId="0">
      <protection locked="0"/>
    </xf>
    <xf numFmtId="175" fontId="61" fillId="0" borderId="0">
      <protection locked="0"/>
    </xf>
    <xf numFmtId="175" fontId="62" fillId="0" borderId="0">
      <protection locked="0"/>
    </xf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63" fillId="0" borderId="5">
      <alignment horizontal="center"/>
    </xf>
    <xf numFmtId="166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64" fillId="0" borderId="0"/>
    <xf numFmtId="0" fontId="30" fillId="0" borderId="0"/>
    <xf numFmtId="9" fontId="32" fillId="0" borderId="0" applyFont="0" applyFill="0" applyBorder="0" applyAlignment="0" applyProtection="0"/>
    <xf numFmtId="0" fontId="65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10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66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5" fillId="0" borderId="0"/>
    <xf numFmtId="0" fontId="67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65" fillId="0" borderId="0"/>
    <xf numFmtId="0" fontId="68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6" fillId="0" borderId="0"/>
    <xf numFmtId="0" fontId="65" fillId="0" borderId="0"/>
    <xf numFmtId="0" fontId="2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30" fillId="0" borderId="0"/>
    <xf numFmtId="0" fontId="65" fillId="0" borderId="0"/>
    <xf numFmtId="0" fontId="30" fillId="0" borderId="0"/>
    <xf numFmtId="0" fontId="6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67" fillId="0" borderId="0"/>
    <xf numFmtId="0" fontId="2" fillId="0" borderId="0"/>
    <xf numFmtId="0" fontId="65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7" fillId="0" borderId="0"/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3" fillId="0" borderId="0"/>
    <xf numFmtId="0" fontId="32" fillId="0" borderId="0"/>
    <xf numFmtId="0" fontId="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2" fillId="0" borderId="0"/>
    <xf numFmtId="0" fontId="67" fillId="0" borderId="0"/>
    <xf numFmtId="0" fontId="65" fillId="0" borderId="0"/>
    <xf numFmtId="0" fontId="70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2" fillId="0" borderId="0"/>
    <xf numFmtId="0" fontId="2" fillId="0" borderId="0"/>
    <xf numFmtId="0" fontId="71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72" fillId="0" borderId="0"/>
    <xf numFmtId="0" fontId="32" fillId="0" borderId="0"/>
    <xf numFmtId="0" fontId="67" fillId="0" borderId="0"/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32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67" fillId="0" borderId="0"/>
    <xf numFmtId="0" fontId="2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7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32" fillId="0" borderId="0"/>
    <xf numFmtId="0" fontId="3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2" fillId="0" borderId="0"/>
    <xf numFmtId="0" fontId="66" fillId="0" borderId="0"/>
    <xf numFmtId="0" fontId="66" fillId="0" borderId="0"/>
    <xf numFmtId="0" fontId="32" fillId="0" borderId="0"/>
    <xf numFmtId="0" fontId="66" fillId="0" borderId="0"/>
    <xf numFmtId="0" fontId="66" fillId="0" borderId="0"/>
    <xf numFmtId="0" fontId="32" fillId="0" borderId="0"/>
    <xf numFmtId="0" fontId="32" fillId="0" borderId="0"/>
    <xf numFmtId="0" fontId="31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9" fontId="6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74" fillId="0" borderId="0"/>
    <xf numFmtId="166" fontId="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69" fillId="0" borderId="0" applyFont="0" applyFill="0" applyBorder="0" applyAlignment="0" applyProtection="0"/>
    <xf numFmtId="165" fontId="69" fillId="0" borderId="0" applyFont="0" applyFill="0" applyBorder="0" applyAlignment="0" applyProtection="0"/>
    <xf numFmtId="165" fontId="6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1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3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0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6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82" fontId="67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58" fillId="0" borderId="0">
      <protection locked="0"/>
    </xf>
    <xf numFmtId="0" fontId="8" fillId="0" borderId="0">
      <alignment vertical="top"/>
    </xf>
    <xf numFmtId="184" fontId="80" fillId="0" borderId="0" applyFont="0" applyFill="0" applyBorder="0" applyAlignment="0" applyProtection="0"/>
    <xf numFmtId="185" fontId="80" fillId="0" borderId="0" applyFont="0" applyFill="0" applyBorder="0" applyAlignment="0" applyProtection="0"/>
    <xf numFmtId="0" fontId="69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186" fontId="80" fillId="0" borderId="0" applyFont="0" applyFill="0" applyBorder="0" applyAlignment="0" applyProtection="0"/>
    <xf numFmtId="0" fontId="69" fillId="28" borderId="0" applyNumberFormat="0" applyBorder="0" applyAlignment="0" applyProtection="0"/>
    <xf numFmtId="0" fontId="69" fillId="29" borderId="0" applyNumberFormat="0" applyBorder="0" applyAlignment="0" applyProtection="0"/>
    <xf numFmtId="0" fontId="69" fillId="30" borderId="0" applyNumberFormat="0" applyBorder="0" applyAlignment="0" applyProtection="0"/>
    <xf numFmtId="0" fontId="69" fillId="25" borderId="0" applyNumberFormat="0" applyBorder="0" applyAlignment="0" applyProtection="0"/>
    <xf numFmtId="0" fontId="69" fillId="28" borderId="0" applyNumberFormat="0" applyBorder="0" applyAlignment="0" applyProtection="0"/>
    <xf numFmtId="0" fontId="69" fillId="31" borderId="0" applyNumberFormat="0" applyBorder="0" applyAlignment="0" applyProtection="0"/>
    <xf numFmtId="0" fontId="81" fillId="32" borderId="0" applyNumberFormat="0" applyBorder="0" applyAlignment="0" applyProtection="0"/>
    <xf numFmtId="0" fontId="81" fillId="29" borderId="0" applyNumberFormat="0" applyBorder="0" applyAlignment="0" applyProtection="0"/>
    <xf numFmtId="0" fontId="81" fillId="30" borderId="0" applyNumberFormat="0" applyBorder="0" applyAlignment="0" applyProtection="0"/>
    <xf numFmtId="0" fontId="81" fillId="33" borderId="0" applyNumberFormat="0" applyBorder="0" applyAlignment="0" applyProtection="0"/>
    <xf numFmtId="0" fontId="81" fillId="34" borderId="0" applyNumberFormat="0" applyBorder="0" applyAlignment="0" applyProtection="0"/>
    <xf numFmtId="0" fontId="81" fillId="35" borderId="0" applyNumberFormat="0" applyBorder="0" applyAlignment="0" applyProtection="0"/>
    <xf numFmtId="0" fontId="81" fillId="36" borderId="0" applyNumberFormat="0" applyBorder="0" applyAlignment="0" applyProtection="0"/>
    <xf numFmtId="0" fontId="81" fillId="37" borderId="0" applyNumberFormat="0" applyBorder="0" applyAlignment="0" applyProtection="0"/>
    <xf numFmtId="0" fontId="81" fillId="38" borderId="0" applyNumberFormat="0" applyBorder="0" applyAlignment="0" applyProtection="0"/>
    <xf numFmtId="0" fontId="81" fillId="33" borderId="0" applyNumberFormat="0" applyBorder="0" applyAlignment="0" applyProtection="0"/>
    <xf numFmtId="0" fontId="81" fillId="34" borderId="0" applyNumberFormat="0" applyBorder="0" applyAlignment="0" applyProtection="0"/>
    <xf numFmtId="0" fontId="81" fillId="39" borderId="0" applyNumberFormat="0" applyBorder="0" applyAlignment="0" applyProtection="0"/>
    <xf numFmtId="0" fontId="82" fillId="23" borderId="0" applyNumberFormat="0" applyBorder="0" applyAlignment="0" applyProtection="0"/>
    <xf numFmtId="0" fontId="83" fillId="40" borderId="20" applyNumberFormat="0" applyAlignment="0" applyProtection="0"/>
    <xf numFmtId="0" fontId="84" fillId="41" borderId="21" applyNumberFormat="0" applyAlignment="0" applyProtection="0"/>
    <xf numFmtId="178" fontId="85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14" fillId="0" borderId="0" applyNumberFormat="0" applyFont="0" applyFill="0" applyBorder="0" applyAlignment="0"/>
    <xf numFmtId="187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9" fontId="20" fillId="0" borderId="0" applyFont="0" applyFill="0" applyBorder="0" applyAlignment="0" applyProtection="0"/>
    <xf numFmtId="190" fontId="86" fillId="0" borderId="0"/>
    <xf numFmtId="0" fontId="87" fillId="0" borderId="0" applyNumberFormat="0" applyFill="0" applyBorder="0" applyAlignment="0" applyProtection="0"/>
    <xf numFmtId="2" fontId="30" fillId="0" borderId="0" applyFont="0" applyFill="0" applyBorder="0" applyAlignment="0" applyProtection="0"/>
    <xf numFmtId="0" fontId="88" fillId="24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22" applyNumberFormat="0" applyFill="0" applyAlignment="0" applyProtection="0"/>
    <xf numFmtId="0" fontId="91" fillId="0" borderId="0" applyNumberFormat="0" applyFill="0" applyBorder="0" applyAlignment="0" applyProtection="0"/>
    <xf numFmtId="173" fontId="80" fillId="0" borderId="0" applyFont="0" applyFill="0" applyBorder="0" applyAlignment="0" applyProtection="0"/>
    <xf numFmtId="0" fontId="92" fillId="27" borderId="20" applyNumberFormat="0" applyAlignment="0" applyProtection="0"/>
    <xf numFmtId="0" fontId="93" fillId="0" borderId="23" applyNumberFormat="0" applyFill="0" applyAlignment="0" applyProtection="0"/>
    <xf numFmtId="191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73" fontId="94" fillId="0" borderId="0" applyFill="0" applyBorder="0"/>
    <xf numFmtId="0" fontId="95" fillId="42" borderId="0" applyNumberFormat="0" applyBorder="0" applyAlignment="0" applyProtection="0"/>
    <xf numFmtId="0" fontId="94" fillId="0" borderId="0"/>
    <xf numFmtId="0" fontId="32" fillId="43" borderId="24" applyNumberFormat="0" applyFont="0" applyAlignment="0" applyProtection="0"/>
    <xf numFmtId="0" fontId="96" fillId="40" borderId="25" applyNumberFormat="0" applyAlignment="0" applyProtection="0"/>
    <xf numFmtId="9" fontId="30" fillId="0" borderId="0" applyFont="0" applyFill="0" applyBorder="0" applyAlignment="0" applyProtection="0"/>
    <xf numFmtId="194" fontId="80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30" fillId="0" borderId="26" applyNumberFormat="0" applyFont="0" applyFill="0" applyAlignment="0" applyProtection="0"/>
    <xf numFmtId="0" fontId="98" fillId="0" borderId="0" applyNumberForma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</cellStyleXfs>
  <cellXfs count="891">
    <xf numFmtId="0" fontId="0" fillId="0" borderId="0" xfId="0"/>
    <xf numFmtId="0" fontId="4" fillId="0" borderId="0" xfId="0" applyFont="1"/>
    <xf numFmtId="0" fontId="7" fillId="0" borderId="0" xfId="0" applyFont="1" applyBorder="1"/>
    <xf numFmtId="0" fontId="5" fillId="0" borderId="0" xfId="0" applyFont="1" applyBorder="1" applyAlignment="1">
      <alignment horizontal="centerContinuous"/>
    </xf>
    <xf numFmtId="0" fontId="5" fillId="0" borderId="0" xfId="0" applyFont="1" applyBorder="1" applyAlignment="1">
      <alignment horizontal="center" vertical="center"/>
    </xf>
    <xf numFmtId="3" fontId="12" fillId="0" borderId="0" xfId="0" applyNumberFormat="1" applyFont="1" applyBorder="1" applyAlignment="1">
      <alignment horizontal="centerContinuous"/>
    </xf>
    <xf numFmtId="0" fontId="9" fillId="0" borderId="0" xfId="0" applyFont="1"/>
    <xf numFmtId="0" fontId="9" fillId="0" borderId="0" xfId="0" applyFont="1" applyBorder="1"/>
    <xf numFmtId="0" fontId="8" fillId="0" borderId="0" xfId="0" applyFont="1" applyAlignment="1" applyProtection="1">
      <alignment horizontal="centerContinuous"/>
    </xf>
    <xf numFmtId="0" fontId="6" fillId="0" borderId="2" xfId="0" applyFont="1" applyBorder="1" applyAlignment="1">
      <alignment horizontal="center" vertical="center" wrapText="1"/>
    </xf>
    <xf numFmtId="0" fontId="16" fillId="0" borderId="0" xfId="4" applyNumberFormat="1" applyFont="1" applyFill="1" applyBorder="1" applyAlignment="1" applyProtection="1">
      <alignment vertical="center"/>
    </xf>
    <xf numFmtId="0" fontId="16" fillId="0" borderId="0" xfId="4" applyNumberFormat="1" applyFont="1" applyFill="1" applyBorder="1" applyAlignment="1" applyProtection="1">
      <alignment vertical="top"/>
    </xf>
    <xf numFmtId="0" fontId="16" fillId="0" borderId="0" xfId="4" applyNumberFormat="1" applyFont="1" applyFill="1" applyBorder="1" applyAlignment="1" applyProtection="1">
      <alignment vertical="top" wrapText="1"/>
    </xf>
    <xf numFmtId="0" fontId="14" fillId="0" borderId="0" xfId="4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3" fontId="29" fillId="0" borderId="1" xfId="0" applyNumberFormat="1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vertical="center"/>
    </xf>
    <xf numFmtId="3" fontId="6" fillId="0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0" xfId="0" applyFont="1"/>
    <xf numFmtId="3" fontId="33" fillId="0" borderId="0" xfId="0" applyNumberFormat="1" applyFont="1" applyBorder="1" applyAlignment="1">
      <alignment horizontal="centerContinuous"/>
    </xf>
    <xf numFmtId="0" fontId="9" fillId="0" borderId="0" xfId="0" applyFont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3" fontId="9" fillId="0" borderId="1" xfId="0" applyNumberFormat="1" applyFont="1" applyBorder="1" applyAlignment="1" applyProtection="1">
      <alignment horizontal="right" vertical="center"/>
      <protection locked="0"/>
    </xf>
    <xf numFmtId="3" fontId="9" fillId="0" borderId="1" xfId="0" applyNumberFormat="1" applyFont="1" applyBorder="1" applyAlignment="1" applyProtection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Border="1"/>
    <xf numFmtId="0" fontId="34" fillId="0" borderId="0" xfId="0" applyFont="1" applyProtection="1">
      <protection hidden="1"/>
    </xf>
    <xf numFmtId="0" fontId="3" fillId="0" borderId="0" xfId="0" applyFont="1" applyFill="1" applyProtection="1"/>
    <xf numFmtId="0" fontId="3" fillId="0" borderId="0" xfId="0" applyFont="1" applyBorder="1" applyProtection="1"/>
    <xf numFmtId="170" fontId="22" fillId="0" borderId="0" xfId="3" applyNumberFormat="1" applyFont="1" applyBorder="1" applyAlignment="1" applyProtection="1">
      <alignment horizontal="center" vertical="center" wrapText="1"/>
    </xf>
    <xf numFmtId="0" fontId="19" fillId="0" borderId="0" xfId="0" applyFont="1" applyProtection="1"/>
    <xf numFmtId="0" fontId="19" fillId="0" borderId="0" xfId="0" applyFont="1" applyBorder="1" applyAlignment="1" applyProtection="1">
      <alignment wrapText="1"/>
    </xf>
    <xf numFmtId="0" fontId="19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wrapText="1"/>
    </xf>
    <xf numFmtId="0" fontId="18" fillId="0" borderId="1" xfId="0" applyFont="1" applyBorder="1" applyAlignment="1" applyProtection="1">
      <alignment horizontal="center" vertical="center"/>
    </xf>
    <xf numFmtId="170" fontId="18" fillId="0" borderId="1" xfId="3" applyNumberFormat="1" applyFont="1" applyBorder="1" applyAlignment="1" applyProtection="1">
      <alignment horizontal="left" vertical="center"/>
    </xf>
    <xf numFmtId="3" fontId="18" fillId="0" borderId="1" xfId="3" applyNumberFormat="1" applyFont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center" wrapText="1"/>
    </xf>
    <xf numFmtId="3" fontId="19" fillId="0" borderId="1" xfId="3" applyNumberFormat="1" applyFont="1" applyFill="1" applyBorder="1" applyAlignment="1" applyProtection="1">
      <alignment horizontal="center" wrapText="1"/>
    </xf>
    <xf numFmtId="3" fontId="27" fillId="0" borderId="1" xfId="3" applyNumberFormat="1" applyFont="1" applyFill="1" applyBorder="1" applyAlignment="1" applyProtection="1">
      <alignment horizontal="center" wrapText="1"/>
    </xf>
    <xf numFmtId="0" fontId="18" fillId="0" borderId="1" xfId="0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 applyProtection="1">
      <alignment horizontal="left" vertical="center" wrapText="1" indent="2"/>
    </xf>
    <xf numFmtId="0" fontId="24" fillId="0" borderId="0" xfId="0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0" fontId="18" fillId="0" borderId="1" xfId="0" applyFont="1" applyFill="1" applyBorder="1" applyAlignment="1" applyProtection="1">
      <alignment horizontal="left" vertical="center" indent="2"/>
    </xf>
    <xf numFmtId="0" fontId="19" fillId="0" borderId="1" xfId="0" applyFont="1" applyFill="1" applyBorder="1" applyAlignment="1" applyProtection="1">
      <alignment horizontal="center" vertical="center" wrapText="1"/>
    </xf>
    <xf numFmtId="0" fontId="27" fillId="0" borderId="1" xfId="0" applyFont="1" applyFill="1" applyBorder="1" applyAlignment="1" applyProtection="1">
      <alignment horizontal="center" wrapText="1"/>
    </xf>
    <xf numFmtId="0" fontId="27" fillId="0" borderId="0" xfId="0" applyFont="1" applyProtection="1"/>
    <xf numFmtId="0" fontId="27" fillId="0" borderId="1" xfId="0" applyFont="1" applyFill="1" applyBorder="1" applyAlignment="1" applyProtection="1">
      <alignment horizontal="center" vertical="center" wrapText="1"/>
    </xf>
    <xf numFmtId="0" fontId="27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left" vertical="center" indent="2"/>
    </xf>
    <xf numFmtId="0" fontId="18" fillId="0" borderId="1" xfId="0" applyFont="1" applyBorder="1" applyAlignment="1" applyProtection="1">
      <alignment horizontal="left" vertical="center" wrapText="1" indent="2"/>
    </xf>
    <xf numFmtId="3" fontId="27" fillId="0" borderId="1" xfId="3" applyNumberFormat="1" applyFont="1" applyBorder="1" applyAlignment="1" applyProtection="1">
      <alignment horizontal="center" vertical="center" wrapText="1"/>
    </xf>
    <xf numFmtId="0" fontId="19" fillId="0" borderId="0" xfId="0" applyFont="1" applyFill="1" applyAlignment="1" applyProtection="1">
      <alignment vertical="center"/>
    </xf>
    <xf numFmtId="0" fontId="31" fillId="0" borderId="1" xfId="0" applyFont="1" applyFill="1" applyBorder="1" applyAlignment="1" applyProtection="1">
      <alignment horizontal="center" vertical="center" wrapText="1"/>
    </xf>
    <xf numFmtId="0" fontId="31" fillId="0" borderId="1" xfId="0" applyFont="1" applyFill="1" applyBorder="1" applyAlignment="1" applyProtection="1">
      <alignment horizontal="left" vertical="center" wrapText="1" indent="2"/>
    </xf>
    <xf numFmtId="3" fontId="31" fillId="0" borderId="1" xfId="3" applyNumberFormat="1" applyFont="1" applyFill="1" applyBorder="1" applyAlignment="1" applyProtection="1">
      <alignment horizontal="center"/>
    </xf>
    <xf numFmtId="0" fontId="31" fillId="0" borderId="0" xfId="0" applyFont="1" applyFill="1" applyAlignment="1" applyProtection="1">
      <alignment vertical="center"/>
    </xf>
    <xf numFmtId="0" fontId="31" fillId="0" borderId="1" xfId="0" applyFont="1" applyBorder="1" applyAlignment="1" applyProtection="1">
      <alignment horizontal="center" vertical="center" wrapText="1"/>
    </xf>
    <xf numFmtId="0" fontId="31" fillId="0" borderId="1" xfId="0" applyFont="1" applyBorder="1" applyAlignment="1" applyProtection="1">
      <alignment horizontal="left" vertical="center" wrapText="1" indent="2"/>
    </xf>
    <xf numFmtId="0" fontId="31" fillId="0" borderId="0" xfId="0" applyFont="1" applyAlignment="1" applyProtection="1">
      <alignment vertical="center"/>
    </xf>
    <xf numFmtId="0" fontId="18" fillId="0" borderId="0" xfId="0" applyFont="1" applyBorder="1" applyProtection="1"/>
    <xf numFmtId="170" fontId="19" fillId="0" borderId="0" xfId="3" applyNumberFormat="1" applyFont="1" applyProtection="1"/>
    <xf numFmtId="0" fontId="18" fillId="0" borderId="0" xfId="0" applyFont="1" applyFill="1" applyBorder="1" applyAlignment="1" applyProtection="1">
      <alignment horizontal="right"/>
    </xf>
    <xf numFmtId="171" fontId="19" fillId="0" borderId="0" xfId="0" applyNumberFormat="1" applyFont="1" applyBorder="1" applyAlignment="1" applyProtection="1">
      <alignment wrapText="1"/>
    </xf>
    <xf numFmtId="3" fontId="31" fillId="0" borderId="1" xfId="3" applyNumberFormat="1" applyFont="1" applyBorder="1" applyAlignment="1" applyProtection="1">
      <alignment horizontal="center" vertical="center"/>
      <protection locked="0"/>
    </xf>
    <xf numFmtId="3" fontId="18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Fill="1" applyBorder="1" applyAlignment="1" applyProtection="1">
      <alignment horizontal="center" wrapText="1"/>
      <protection locked="0"/>
    </xf>
    <xf numFmtId="0" fontId="27" fillId="0" borderId="1" xfId="0" applyFont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left" vertical="center" wrapText="1" indent="2"/>
    </xf>
    <xf numFmtId="10" fontId="27" fillId="0" borderId="1" xfId="2" applyNumberFormat="1" applyFont="1" applyFill="1" applyBorder="1" applyAlignment="1" applyProtection="1">
      <alignment horizontal="center" vertical="center"/>
    </xf>
    <xf numFmtId="0" fontId="16" fillId="0" borderId="0" xfId="5" applyNumberFormat="1" applyFont="1" applyFill="1" applyBorder="1" applyAlignment="1" applyProtection="1">
      <alignment vertical="top"/>
    </xf>
    <xf numFmtId="0" fontId="16" fillId="0" borderId="0" xfId="5" applyNumberFormat="1" applyFont="1" applyFill="1" applyBorder="1" applyAlignment="1" applyProtection="1">
      <alignment horizontal="center" vertical="center"/>
    </xf>
    <xf numFmtId="0" fontId="35" fillId="0" borderId="0" xfId="5" applyNumberFormat="1" applyFont="1" applyFill="1" applyBorder="1" applyAlignment="1" applyProtection="1">
      <alignment vertical="center"/>
    </xf>
    <xf numFmtId="3" fontId="19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</xf>
    <xf numFmtId="3" fontId="31" fillId="0" borderId="1" xfId="3" applyNumberFormat="1" applyFont="1" applyFill="1" applyBorder="1" applyAlignment="1" applyProtection="1">
      <alignment horizontal="center" vertical="center" wrapText="1"/>
      <protection locked="0"/>
    </xf>
    <xf numFmtId="167" fontId="37" fillId="0" borderId="0" xfId="3" applyFont="1" applyFill="1" applyBorder="1" applyAlignment="1" applyProtection="1">
      <alignment vertical="center"/>
    </xf>
    <xf numFmtId="0" fontId="35" fillId="0" borderId="0" xfId="4" applyNumberFormat="1" applyFont="1" applyFill="1" applyBorder="1" applyAlignment="1" applyProtection="1">
      <alignment horizontal="center" vertical="center"/>
    </xf>
    <xf numFmtId="0" fontId="27" fillId="0" borderId="1" xfId="0" applyFont="1" applyFill="1" applyBorder="1" applyAlignment="1" applyProtection="1">
      <alignment horizontal="left" vertical="center" indent="2"/>
    </xf>
    <xf numFmtId="3" fontId="16" fillId="0" borderId="0" xfId="4" applyNumberFormat="1" applyFont="1" applyFill="1" applyBorder="1" applyAlignment="1" applyProtection="1">
      <alignment vertical="top"/>
    </xf>
    <xf numFmtId="3" fontId="40" fillId="0" borderId="1" xfId="3" applyNumberFormat="1" applyFont="1" applyFill="1" applyBorder="1" applyAlignment="1" applyProtection="1">
      <alignment horizontal="center"/>
    </xf>
    <xf numFmtId="0" fontId="16" fillId="0" borderId="0" xfId="5" applyNumberFormat="1" applyFont="1" applyFill="1" applyBorder="1" applyAlignment="1" applyProtection="1">
      <alignment horizontal="center" vertical="top"/>
    </xf>
    <xf numFmtId="15" fontId="16" fillId="0" borderId="0" xfId="5" applyNumberFormat="1" applyFont="1" applyFill="1" applyBorder="1" applyAlignment="1" applyProtection="1">
      <alignment vertical="top"/>
    </xf>
    <xf numFmtId="0" fontId="41" fillId="0" borderId="0" xfId="0" applyFont="1" applyBorder="1" applyAlignment="1">
      <alignment horizontal="center" vertical="center"/>
    </xf>
    <xf numFmtId="15" fontId="31" fillId="0" borderId="0" xfId="0" applyNumberFormat="1" applyFont="1" applyBorder="1" applyAlignment="1" applyProtection="1">
      <alignment horizontal="left" wrapText="1" indent="3"/>
    </xf>
    <xf numFmtId="170" fontId="22" fillId="0" borderId="0" xfId="3" applyNumberFormat="1" applyFont="1" applyBorder="1" applyAlignment="1" applyProtection="1">
      <alignment horizontal="left" indent="2"/>
    </xf>
    <xf numFmtId="3" fontId="28" fillId="0" borderId="0" xfId="0" applyNumberFormat="1" applyFont="1"/>
    <xf numFmtId="3" fontId="42" fillId="0" borderId="0" xfId="0" applyNumberFormat="1" applyFont="1" applyAlignment="1">
      <alignment horizontal="center"/>
    </xf>
    <xf numFmtId="0" fontId="39" fillId="0" borderId="0" xfId="5" applyNumberFormat="1" applyFont="1" applyFill="1" applyBorder="1" applyAlignment="1" applyProtection="1">
      <alignment horizontal="center" vertical="top"/>
    </xf>
    <xf numFmtId="3" fontId="16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16" fillId="0" borderId="1" xfId="4" applyNumberFormat="1" applyFont="1" applyFill="1" applyBorder="1" applyAlignment="1" applyProtection="1">
      <alignment horizontal="center" vertical="top" wrapText="1"/>
      <protection locked="0"/>
    </xf>
    <xf numFmtId="0" fontId="43" fillId="0" borderId="1" xfId="0" applyFont="1" applyFill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center" wrapText="1"/>
    </xf>
    <xf numFmtId="0" fontId="8" fillId="0" borderId="0" xfId="0" applyFont="1" applyBorder="1" applyAlignment="1" applyProtection="1">
      <alignment horizontal="centerContinuous" vertical="center"/>
    </xf>
    <xf numFmtId="3" fontId="3" fillId="0" borderId="1" xfId="0" applyNumberFormat="1" applyFont="1" applyBorder="1" applyAlignment="1" applyProtection="1">
      <alignment horizontal="right"/>
      <protection locked="0"/>
    </xf>
    <xf numFmtId="0" fontId="16" fillId="0" borderId="1" xfId="5" applyNumberFormat="1" applyFont="1" applyFill="1" applyBorder="1" applyAlignment="1" applyProtection="1">
      <alignment horizontal="center" vertical="center" wrapText="1"/>
    </xf>
    <xf numFmtId="1" fontId="9" fillId="0" borderId="1" xfId="0" applyNumberFormat="1" applyFont="1" applyBorder="1" applyAlignment="1" applyProtection="1">
      <alignment vertical="center"/>
    </xf>
    <xf numFmtId="9" fontId="9" fillId="0" borderId="1" xfId="0" applyNumberFormat="1" applyFont="1" applyBorder="1" applyAlignment="1" applyProtection="1">
      <alignment vertical="center"/>
    </xf>
    <xf numFmtId="3" fontId="19" fillId="0" borderId="1" xfId="3" applyNumberFormat="1" applyFont="1" applyFill="1" applyBorder="1" applyAlignment="1" applyProtection="1">
      <alignment horizontal="center" vertical="center" wrapText="1"/>
    </xf>
    <xf numFmtId="0" fontId="31" fillId="0" borderId="1" xfId="0" applyFont="1" applyFill="1" applyBorder="1" applyAlignment="1" applyProtection="1">
      <alignment horizontal="left" vertical="center" wrapText="1" indent="1"/>
    </xf>
    <xf numFmtId="0" fontId="31" fillId="0" borderId="1" xfId="0" applyFont="1" applyFill="1" applyBorder="1" applyAlignment="1" applyProtection="1">
      <alignment horizontal="left" vertical="center" indent="1"/>
    </xf>
    <xf numFmtId="0" fontId="19" fillId="0" borderId="1" xfId="0" applyFont="1" applyBorder="1" applyAlignment="1" applyProtection="1">
      <alignment horizontal="left" vertical="center" wrapText="1" indent="1"/>
    </xf>
    <xf numFmtId="0" fontId="19" fillId="0" borderId="1" xfId="0" applyFont="1" applyFill="1" applyBorder="1" applyAlignment="1" applyProtection="1">
      <alignment horizontal="left" vertical="center" wrapText="1" indent="1"/>
    </xf>
    <xf numFmtId="9" fontId="16" fillId="0" borderId="0" xfId="2" applyFont="1" applyFill="1" applyBorder="1" applyAlignment="1" applyProtection="1">
      <alignment vertical="top"/>
    </xf>
    <xf numFmtId="9" fontId="16" fillId="0" borderId="1" xfId="2" applyFont="1" applyFill="1" applyBorder="1" applyAlignment="1" applyProtection="1">
      <alignment horizontal="center" vertical="center" wrapText="1"/>
    </xf>
    <xf numFmtId="3" fontId="42" fillId="3" borderId="1" xfId="0" applyNumberFormat="1" applyFont="1" applyFill="1" applyBorder="1" applyAlignment="1" applyProtection="1">
      <alignment horizontal="center" vertical="center" wrapText="1"/>
    </xf>
    <xf numFmtId="3" fontId="28" fillId="3" borderId="1" xfId="0" applyNumberFormat="1" applyFont="1" applyFill="1" applyBorder="1" applyAlignment="1" applyProtection="1">
      <alignment horizontal="center" vertical="center" wrapText="1"/>
    </xf>
    <xf numFmtId="3" fontId="16" fillId="0" borderId="1" xfId="4" applyNumberFormat="1" applyFont="1" applyFill="1" applyBorder="1" applyAlignment="1" applyProtection="1">
      <alignment horizontal="center" vertical="center" wrapText="1"/>
    </xf>
    <xf numFmtId="0" fontId="16" fillId="0" borderId="1" xfId="4" applyNumberFormat="1" applyFont="1" applyFill="1" applyBorder="1" applyAlignment="1" applyProtection="1">
      <alignment horizontal="center" vertical="center" wrapText="1"/>
    </xf>
    <xf numFmtId="0" fontId="16" fillId="0" borderId="1" xfId="4" applyNumberFormat="1" applyFont="1" applyFill="1" applyBorder="1" applyAlignment="1" applyProtection="1">
      <alignment vertical="center" wrapText="1"/>
    </xf>
    <xf numFmtId="0" fontId="27" fillId="0" borderId="1" xfId="0" applyFont="1" applyFill="1" applyBorder="1" applyAlignment="1" applyProtection="1">
      <alignment horizontal="left" vertical="center" wrapText="1" indent="2"/>
    </xf>
    <xf numFmtId="3" fontId="28" fillId="0" borderId="3" xfId="0" applyNumberFormat="1" applyFont="1" applyBorder="1" applyAlignment="1" applyProtection="1">
      <alignment vertical="center"/>
    </xf>
    <xf numFmtId="3" fontId="28" fillId="0" borderId="1" xfId="0" applyNumberFormat="1" applyFont="1" applyFill="1" applyBorder="1" applyAlignment="1">
      <alignment horizontal="center" vertical="center" wrapText="1"/>
    </xf>
    <xf numFmtId="0" fontId="46" fillId="0" borderId="0" xfId="0" applyFont="1" applyProtection="1"/>
    <xf numFmtId="167" fontId="46" fillId="0" borderId="0" xfId="3" applyFont="1" applyBorder="1" applyProtection="1"/>
    <xf numFmtId="0" fontId="46" fillId="0" borderId="0" xfId="0" applyFont="1" applyAlignment="1" applyProtection="1">
      <alignment vertical="center"/>
    </xf>
    <xf numFmtId="167" fontId="46" fillId="0" borderId="0" xfId="3" applyFont="1" applyBorder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3" fontId="47" fillId="0" borderId="0" xfId="0" applyNumberFormat="1" applyFont="1" applyProtection="1"/>
    <xf numFmtId="167" fontId="47" fillId="0" borderId="0" xfId="3" applyFont="1" applyBorder="1" applyProtection="1"/>
    <xf numFmtId="0" fontId="47" fillId="0" borderId="0" xfId="0" applyFont="1" applyProtection="1"/>
    <xf numFmtId="0" fontId="47" fillId="0" borderId="0" xfId="0" applyFont="1" applyAlignment="1" applyProtection="1">
      <alignment vertical="center"/>
    </xf>
    <xf numFmtId="167" fontId="47" fillId="0" borderId="0" xfId="3" applyFont="1" applyBorder="1" applyAlignment="1" applyProtection="1">
      <alignment vertical="center"/>
    </xf>
    <xf numFmtId="170" fontId="47" fillId="0" borderId="0" xfId="3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0" fontId="46" fillId="0" borderId="0" xfId="0" applyFont="1" applyFill="1" applyAlignment="1" applyProtection="1">
      <alignment vertical="center"/>
    </xf>
    <xf numFmtId="167" fontId="46" fillId="0" borderId="0" xfId="3" applyFont="1" applyFill="1" applyBorder="1" applyAlignment="1" applyProtection="1">
      <alignment vertical="center"/>
    </xf>
    <xf numFmtId="3" fontId="46" fillId="0" borderId="0" xfId="0" applyNumberFormat="1" applyFont="1" applyFill="1" applyAlignment="1" applyProtection="1">
      <alignment vertical="center"/>
    </xf>
    <xf numFmtId="0" fontId="48" fillId="0" borderId="0" xfId="0" applyFont="1" applyFill="1" applyAlignment="1" applyProtection="1">
      <alignment vertical="center"/>
    </xf>
    <xf numFmtId="167" fontId="48" fillId="0" borderId="0" xfId="3" applyFont="1" applyFill="1" applyBorder="1" applyAlignment="1" applyProtection="1">
      <alignment vertical="center"/>
    </xf>
    <xf numFmtId="3" fontId="48" fillId="0" borderId="0" xfId="0" applyNumberFormat="1" applyFont="1" applyFill="1" applyAlignment="1" applyProtection="1">
      <alignment vertical="center"/>
    </xf>
    <xf numFmtId="0" fontId="48" fillId="0" borderId="0" xfId="0" applyFont="1" applyAlignment="1" applyProtection="1">
      <alignment vertical="center"/>
    </xf>
    <xf numFmtId="167" fontId="48" fillId="0" borderId="0" xfId="3" applyFont="1" applyBorder="1" applyAlignment="1" applyProtection="1">
      <alignment vertical="center"/>
    </xf>
    <xf numFmtId="0" fontId="16" fillId="0" borderId="0" xfId="0" applyFont="1"/>
    <xf numFmtId="49" fontId="16" fillId="6" borderId="1" xfId="4" applyNumberFormat="1" applyFont="1" applyFill="1" applyBorder="1" applyAlignment="1" applyProtection="1">
      <alignment horizontal="center" vertical="center" wrapText="1"/>
    </xf>
    <xf numFmtId="3" fontId="16" fillId="6" borderId="1" xfId="4" applyNumberFormat="1" applyFont="1" applyFill="1" applyBorder="1" applyAlignment="1" applyProtection="1">
      <alignment horizontal="center" vertical="center" wrapText="1"/>
    </xf>
    <xf numFmtId="0" fontId="51" fillId="0" borderId="0" xfId="0" applyFont="1" applyAlignment="1" applyProtection="1">
      <alignment vertical="center"/>
    </xf>
    <xf numFmtId="3" fontId="31" fillId="0" borderId="1" xfId="3" applyNumberFormat="1" applyFont="1" applyFill="1" applyBorder="1" applyAlignment="1" applyProtection="1">
      <alignment horizontal="center"/>
      <protection locked="0"/>
    </xf>
    <xf numFmtId="167" fontId="51" fillId="0" borderId="0" xfId="3" applyFont="1" applyBorder="1" applyAlignment="1" applyProtection="1">
      <alignment vertical="center"/>
    </xf>
    <xf numFmtId="3" fontId="51" fillId="0" borderId="1" xfId="3" applyNumberFormat="1" applyFont="1" applyFill="1" applyBorder="1" applyAlignment="1" applyProtection="1">
      <alignment horizontal="center"/>
    </xf>
    <xf numFmtId="0" fontId="39" fillId="0" borderId="0" xfId="4" applyNumberFormat="1" applyFont="1" applyFill="1" applyBorder="1" applyAlignment="1" applyProtection="1">
      <alignment horizontal="center" vertical="center"/>
    </xf>
    <xf numFmtId="3" fontId="9" fillId="0" borderId="10" xfId="0" applyNumberFormat="1" applyFont="1" applyBorder="1"/>
    <xf numFmtId="3" fontId="9" fillId="0" borderId="0" xfId="0" applyNumberFormat="1" applyFont="1" applyBorder="1"/>
    <xf numFmtId="3" fontId="5" fillId="0" borderId="0" xfId="0" applyNumberFormat="1" applyFont="1" applyBorder="1"/>
    <xf numFmtId="171" fontId="12" fillId="0" borderId="10" xfId="0" applyNumberFormat="1" applyFont="1" applyBorder="1" applyAlignment="1">
      <alignment horizontal="centerContinuous"/>
    </xf>
    <xf numFmtId="0" fontId="33" fillId="0" borderId="0" xfId="0" applyFont="1" applyBorder="1"/>
    <xf numFmtId="3" fontId="53" fillId="0" borderId="0" xfId="0" applyNumberFormat="1" applyFont="1" applyBorder="1" applyAlignment="1">
      <alignment horizontal="centerContinuous"/>
    </xf>
    <xf numFmtId="3" fontId="54" fillId="0" borderId="0" xfId="0" applyNumberFormat="1" applyFont="1" applyBorder="1" applyAlignment="1">
      <alignment horizontal="centerContinuous"/>
    </xf>
    <xf numFmtId="0" fontId="54" fillId="0" borderId="0" xfId="0" applyFont="1" applyBorder="1"/>
    <xf numFmtId="3" fontId="53" fillId="0" borderId="0" xfId="0" applyNumberFormat="1" applyFont="1" applyBorder="1" applyAlignment="1">
      <alignment horizontal="center"/>
    </xf>
    <xf numFmtId="0" fontId="54" fillId="0" borderId="0" xfId="0" applyFont="1"/>
    <xf numFmtId="0" fontId="55" fillId="0" borderId="0" xfId="4" applyNumberFormat="1" applyFont="1" applyFill="1" applyBorder="1" applyAlignment="1" applyProtection="1">
      <alignment vertical="top"/>
    </xf>
    <xf numFmtId="3" fontId="55" fillId="0" borderId="0" xfId="4" applyNumberFormat="1" applyFont="1" applyFill="1" applyBorder="1" applyAlignment="1" applyProtection="1">
      <alignment vertical="top"/>
    </xf>
    <xf numFmtId="9" fontId="45" fillId="5" borderId="1" xfId="2" applyFont="1" applyFill="1" applyBorder="1" applyAlignment="1" applyProtection="1">
      <alignment horizontal="center" vertical="center" wrapText="1"/>
      <protection locked="0"/>
    </xf>
    <xf numFmtId="0" fontId="45" fillId="0" borderId="0" xfId="5" applyNumberFormat="1" applyFont="1" applyFill="1" applyBorder="1" applyAlignment="1" applyProtection="1">
      <alignment horizontal="center" vertical="center"/>
    </xf>
    <xf numFmtId="0" fontId="45" fillId="0" borderId="0" xfId="5" applyNumberFormat="1" applyFont="1" applyFill="1" applyBorder="1" applyAlignment="1" applyProtection="1">
      <alignment vertical="center"/>
    </xf>
    <xf numFmtId="173" fontId="16" fillId="0" borderId="1" xfId="5" applyNumberFormat="1" applyFont="1" applyFill="1" applyBorder="1" applyAlignment="1" applyProtection="1">
      <alignment horizontal="center" vertical="center" wrapText="1"/>
    </xf>
    <xf numFmtId="173" fontId="16" fillId="0" borderId="1" xfId="5" applyNumberFormat="1" applyFont="1" applyFill="1" applyBorder="1" applyAlignment="1" applyProtection="1">
      <alignment horizontal="center" vertical="center" wrapText="1"/>
      <protection locked="0"/>
    </xf>
    <xf numFmtId="173" fontId="14" fillId="0" borderId="1" xfId="5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3" fontId="20" fillId="5" borderId="1" xfId="7" applyNumberFormat="1" applyFont="1" applyFill="1" applyBorder="1" applyAlignment="1" applyProtection="1">
      <alignment horizontal="center" vertical="center" wrapText="1"/>
      <protection locked="0"/>
    </xf>
    <xf numFmtId="173" fontId="17" fillId="5" borderId="1" xfId="7" applyNumberFormat="1" applyFont="1" applyFill="1" applyBorder="1" applyAlignment="1" applyProtection="1">
      <alignment horizontal="center" vertical="center" wrapText="1"/>
    </xf>
    <xf numFmtId="172" fontId="17" fillId="5" borderId="1" xfId="2" applyNumberFormat="1" applyFont="1" applyFill="1" applyBorder="1" applyAlignment="1" applyProtection="1">
      <alignment horizontal="center" vertical="center" wrapText="1"/>
    </xf>
    <xf numFmtId="0" fontId="9" fillId="0" borderId="0" xfId="0" applyFont="1" applyProtection="1"/>
    <xf numFmtId="3" fontId="20" fillId="5" borderId="1" xfId="7" applyNumberFormat="1" applyFont="1" applyFill="1" applyBorder="1" applyAlignment="1" applyProtection="1">
      <alignment horizontal="center" vertical="center" wrapText="1"/>
    </xf>
    <xf numFmtId="3" fontId="10" fillId="0" borderId="1" xfId="3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>
      <alignment vertical="center"/>
    </xf>
    <xf numFmtId="0" fontId="16" fillId="0" borderId="0" xfId="0" applyFont="1" applyFill="1"/>
    <xf numFmtId="0" fontId="51" fillId="20" borderId="1" xfId="0" applyFont="1" applyFill="1" applyBorder="1" applyAlignment="1" applyProtection="1">
      <alignment horizontal="left" vertical="center" wrapText="1" indent="1"/>
    </xf>
    <xf numFmtId="0" fontId="35" fillId="0" borderId="0" xfId="9" applyNumberFormat="1" applyFont="1" applyFill="1" applyBorder="1" applyAlignment="1" applyProtection="1">
      <alignment vertical="top"/>
    </xf>
    <xf numFmtId="9" fontId="35" fillId="0" borderId="0" xfId="10" applyFont="1" applyFill="1" applyBorder="1" applyAlignment="1" applyProtection="1">
      <alignment vertical="top"/>
    </xf>
    <xf numFmtId="0" fontId="35" fillId="0" borderId="0" xfId="9" applyNumberFormat="1" applyFont="1" applyFill="1" applyBorder="1" applyAlignment="1" applyProtection="1">
      <alignment vertical="center"/>
    </xf>
    <xf numFmtId="0" fontId="35" fillId="0" borderId="0" xfId="9" applyNumberFormat="1" applyFont="1" applyFill="1" applyBorder="1" applyAlignment="1" applyProtection="1">
      <alignment horizontal="center" vertical="center"/>
    </xf>
    <xf numFmtId="3" fontId="39" fillId="0" borderId="1" xfId="9" applyNumberFormat="1" applyFont="1" applyFill="1" applyBorder="1" applyAlignment="1" applyProtection="1">
      <alignment horizontal="center" vertical="center" wrapText="1"/>
    </xf>
    <xf numFmtId="0" fontId="57" fillId="0" borderId="0" xfId="9" applyNumberFormat="1" applyFont="1" applyFill="1" applyBorder="1" applyAlignment="1" applyProtection="1">
      <alignment horizontal="center" vertical="center"/>
    </xf>
    <xf numFmtId="0" fontId="31" fillId="20" borderId="1" xfId="0" applyFont="1" applyFill="1" applyBorder="1" applyAlignment="1" applyProtection="1">
      <alignment horizontal="left" vertical="center" wrapText="1" indent="1"/>
    </xf>
    <xf numFmtId="3" fontId="8" fillId="0" borderId="3" xfId="0" applyNumberFormat="1" applyFont="1" applyBorder="1" applyAlignment="1" applyProtection="1">
      <alignment vertical="center"/>
      <protection locked="0"/>
    </xf>
    <xf numFmtId="3" fontId="8" fillId="0" borderId="3" xfId="0" applyNumberFormat="1" applyFont="1" applyBorder="1" applyAlignment="1" applyProtection="1">
      <alignment vertical="center"/>
    </xf>
    <xf numFmtId="0" fontId="39" fillId="0" borderId="0" xfId="9" applyNumberFormat="1" applyFont="1" applyFill="1" applyBorder="1" applyAlignment="1" applyProtection="1">
      <alignment horizontal="center" vertical="center"/>
    </xf>
    <xf numFmtId="173" fontId="35" fillId="0" borderId="0" xfId="9" applyNumberFormat="1" applyFont="1" applyFill="1" applyBorder="1" applyAlignment="1" applyProtection="1">
      <alignment horizontal="center" vertical="center" wrapText="1"/>
    </xf>
    <xf numFmtId="0" fontId="16" fillId="0" borderId="0" xfId="9" applyNumberFormat="1" applyFont="1" applyFill="1" applyBorder="1" applyAlignment="1" applyProtection="1">
      <alignment horizontal="center" vertical="top"/>
    </xf>
    <xf numFmtId="0" fontId="16" fillId="0" borderId="0" xfId="9" applyNumberFormat="1" applyFont="1" applyFill="1" applyBorder="1" applyAlignment="1" applyProtection="1">
      <alignment vertical="top"/>
    </xf>
    <xf numFmtId="0" fontId="5" fillId="0" borderId="0" xfId="0" applyFont="1" applyBorder="1" applyAlignment="1" applyProtection="1">
      <alignment horizontal="center" vertical="center" wrapText="1"/>
    </xf>
    <xf numFmtId="3" fontId="35" fillId="0" borderId="1" xfId="9" applyNumberFormat="1" applyFont="1" applyFill="1" applyBorder="1" applyAlignment="1" applyProtection="1">
      <alignment horizontal="center" vertical="center" wrapText="1"/>
    </xf>
    <xf numFmtId="3" fontId="35" fillId="0" borderId="1" xfId="9" applyNumberFormat="1" applyFont="1" applyFill="1" applyBorder="1" applyAlignment="1" applyProtection="1">
      <alignment horizontal="center" vertical="center" wrapText="1"/>
      <protection locked="0"/>
    </xf>
    <xf numFmtId="3" fontId="39" fillId="21" borderId="1" xfId="9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 applyProtection="1">
      <alignment vertical="center"/>
    </xf>
    <xf numFmtId="0" fontId="5" fillId="0" borderId="0" xfId="0" applyFont="1" applyBorder="1" applyProtection="1"/>
    <xf numFmtId="0" fontId="9" fillId="0" borderId="0" xfId="0" applyFont="1" applyAlignment="1" applyProtection="1">
      <alignment vertical="center"/>
      <protection locked="0"/>
    </xf>
    <xf numFmtId="0" fontId="5" fillId="0" borderId="0" xfId="0" applyFont="1" applyBorder="1" applyProtection="1">
      <protection locked="0"/>
    </xf>
    <xf numFmtId="0" fontId="9" fillId="0" borderId="0" xfId="0" applyFont="1" applyProtection="1">
      <protection locked="0"/>
    </xf>
    <xf numFmtId="0" fontId="5" fillId="0" borderId="0" xfId="0" applyFont="1" applyAlignment="1" applyProtection="1">
      <alignment horizontal="center" vertical="center" wrapText="1"/>
    </xf>
    <xf numFmtId="0" fontId="79" fillId="0" borderId="0" xfId="0" applyFont="1" applyFill="1" applyProtection="1"/>
    <xf numFmtId="0" fontId="79" fillId="0" borderId="0" xfId="0" applyFont="1" applyFill="1" applyBorder="1" applyAlignment="1" applyProtection="1"/>
    <xf numFmtId="14" fontId="79" fillId="0" borderId="0" xfId="0" applyNumberFormat="1" applyFont="1" applyFill="1" applyProtection="1"/>
    <xf numFmtId="0" fontId="79" fillId="0" borderId="0" xfId="0" applyFont="1" applyFill="1" applyAlignment="1" applyProtection="1">
      <alignment wrapText="1"/>
    </xf>
    <xf numFmtId="0" fontId="79" fillId="0" borderId="0" xfId="0" applyFont="1" applyFill="1" applyAlignment="1" applyProtection="1">
      <alignment horizontal="center"/>
    </xf>
    <xf numFmtId="0" fontId="100" fillId="0" borderId="0" xfId="0" applyFont="1" applyFill="1" applyProtection="1"/>
    <xf numFmtId="0" fontId="3" fillId="0" borderId="1" xfId="0" applyFont="1" applyFill="1" applyBorder="1" applyAlignment="1" applyProtection="1">
      <alignment horizontal="left" vertical="center" wrapText="1" indent="2"/>
    </xf>
    <xf numFmtId="14" fontId="79" fillId="0" borderId="0" xfId="0" applyNumberFormat="1" applyFont="1" applyFill="1" applyAlignment="1" applyProtection="1">
      <alignment horizontal="center" vertical="center"/>
    </xf>
    <xf numFmtId="0" fontId="79" fillId="0" borderId="0" xfId="0" applyFont="1" applyFill="1" applyAlignment="1" applyProtection="1">
      <alignment horizontal="center" vertical="center" wrapText="1"/>
    </xf>
    <xf numFmtId="0" fontId="79" fillId="0" borderId="0" xfId="0" applyFont="1" applyFill="1" applyAlignment="1" applyProtection="1">
      <alignment horizontal="center" vertical="center"/>
    </xf>
    <xf numFmtId="14" fontId="79" fillId="0" borderId="0" xfId="0" applyNumberFormat="1" applyFont="1" applyFill="1" applyAlignment="1" applyProtection="1">
      <alignment horizontal="center" vertical="center" wrapText="1"/>
    </xf>
    <xf numFmtId="0" fontId="15" fillId="0" borderId="0" xfId="0" applyFont="1" applyFill="1" applyProtection="1"/>
    <xf numFmtId="0" fontId="15" fillId="0" borderId="0" xfId="0" applyFont="1" applyFill="1" applyAlignment="1" applyProtection="1">
      <alignment horizontal="center"/>
    </xf>
    <xf numFmtId="3" fontId="15" fillId="0" borderId="0" xfId="0" applyNumberFormat="1" applyFont="1" applyFill="1" applyAlignment="1" applyProtection="1">
      <alignment horizontal="center"/>
    </xf>
    <xf numFmtId="3" fontId="79" fillId="0" borderId="0" xfId="0" applyNumberFormat="1" applyFont="1" applyFill="1" applyProtection="1"/>
    <xf numFmtId="10" fontId="78" fillId="0" borderId="1" xfId="1225" applyNumberFormat="1" applyFont="1" applyFill="1" applyBorder="1" applyAlignment="1" applyProtection="1">
      <alignment horizontal="center" vertical="center" wrapText="1"/>
    </xf>
    <xf numFmtId="183" fontId="79" fillId="0" borderId="18" xfId="1225" applyNumberFormat="1" applyFont="1" applyFill="1" applyBorder="1" applyAlignment="1" applyProtection="1">
      <alignment horizontal="center" vertical="center" wrapText="1"/>
    </xf>
    <xf numFmtId="183" fontId="79" fillId="0" borderId="19" xfId="1225" applyNumberFormat="1" applyFont="1" applyFill="1" applyBorder="1" applyAlignment="1" applyProtection="1">
      <alignment horizontal="center" vertical="center" wrapText="1"/>
    </xf>
    <xf numFmtId="0" fontId="28" fillId="0" borderId="1" xfId="0" applyFont="1" applyFill="1" applyBorder="1" applyAlignment="1" applyProtection="1">
      <alignment horizontal="left" vertical="center" wrapText="1" indent="2"/>
    </xf>
    <xf numFmtId="49" fontId="6" fillId="0" borderId="1" xfId="0" applyNumberFormat="1" applyFont="1" applyBorder="1" applyAlignment="1" applyProtection="1">
      <alignment horizontal="center" vertical="center"/>
    </xf>
    <xf numFmtId="170" fontId="79" fillId="0" borderId="0" xfId="3" applyNumberFormat="1" applyFont="1" applyFill="1" applyAlignment="1" applyProtection="1">
      <alignment horizontal="center" vertical="center"/>
      <protection locked="0"/>
    </xf>
    <xf numFmtId="3" fontId="39" fillId="3" borderId="1" xfId="0" applyNumberFormat="1" applyFont="1" applyFill="1" applyBorder="1" applyAlignment="1" applyProtection="1">
      <alignment horizontal="center" vertical="center" wrapText="1"/>
    </xf>
    <xf numFmtId="0" fontId="29" fillId="0" borderId="4" xfId="0" applyFont="1" applyFill="1" applyBorder="1" applyAlignment="1">
      <alignment horizontal="center" vertical="center"/>
    </xf>
    <xf numFmtId="3" fontId="29" fillId="0" borderId="1" xfId="0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Fill="1" applyAlignment="1">
      <alignment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2" fontId="3" fillId="0" borderId="3" xfId="0" applyNumberFormat="1" applyFont="1" applyFill="1" applyBorder="1" applyAlignment="1" applyProtection="1">
      <alignment horizontal="center" vertical="center"/>
    </xf>
    <xf numFmtId="2" fontId="3" fillId="0" borderId="5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3" fontId="38" fillId="0" borderId="0" xfId="0" applyNumberFormat="1" applyFont="1" applyBorder="1" applyAlignment="1">
      <alignment horizontal="center"/>
    </xf>
    <xf numFmtId="0" fontId="99" fillId="0" borderId="0" xfId="0" applyFont="1" applyFill="1" applyBorder="1" applyAlignment="1" applyProtection="1">
      <alignment horizontal="center" vertical="center" wrapText="1"/>
    </xf>
    <xf numFmtId="0" fontId="41" fillId="0" borderId="0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wrapText="1"/>
    </xf>
    <xf numFmtId="171" fontId="3" fillId="0" borderId="0" xfId="0" applyNumberFormat="1" applyFont="1" applyBorder="1" applyAlignment="1" applyProtection="1">
      <alignment horizont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0" borderId="0" xfId="0" applyFont="1" applyBorder="1" applyProtection="1"/>
    <xf numFmtId="3" fontId="20" fillId="4" borderId="1" xfId="0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center" vertical="center" wrapText="1"/>
    </xf>
    <xf numFmtId="0" fontId="6" fillId="0" borderId="0" xfId="0" applyFont="1" applyBorder="1" applyAlignment="1" applyProtection="1">
      <alignment horizontal="center" wrapText="1"/>
    </xf>
    <xf numFmtId="0" fontId="3" fillId="0" borderId="0" xfId="0" applyFont="1" applyBorder="1" applyAlignment="1" applyProtection="1">
      <alignment horizontal="center" wrapText="1"/>
    </xf>
    <xf numFmtId="0" fontId="6" fillId="0" borderId="0" xfId="0" applyFont="1" applyAlignment="1" applyProtection="1">
      <alignment vertical="center"/>
    </xf>
    <xf numFmtId="0" fontId="6" fillId="0" borderId="0" xfId="0" applyFont="1" applyFill="1" applyProtection="1"/>
    <xf numFmtId="3" fontId="13" fillId="0" borderId="1" xfId="0" applyNumberFormat="1" applyFont="1" applyFill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center" vertical="center"/>
    </xf>
    <xf numFmtId="3" fontId="36" fillId="0" borderId="0" xfId="0" applyNumberFormat="1" applyFont="1" applyBorder="1" applyAlignment="1" applyProtection="1">
      <alignment horizontal="centerContinuous" vertical="center"/>
    </xf>
    <xf numFmtId="3" fontId="36" fillId="0" borderId="0" xfId="0" applyNumberFormat="1" applyFont="1" applyBorder="1" applyAlignment="1" applyProtection="1">
      <alignment horizontal="centerContinuous"/>
    </xf>
    <xf numFmtId="3" fontId="12" fillId="0" borderId="0" xfId="0" applyNumberFormat="1" applyFont="1" applyBorder="1" applyAlignment="1" applyProtection="1">
      <alignment horizontal="centerContinuous"/>
    </xf>
    <xf numFmtId="0" fontId="52" fillId="0" borderId="0" xfId="0" applyFont="1" applyProtection="1"/>
    <xf numFmtId="3" fontId="5" fillId="0" borderId="0" xfId="0" applyNumberFormat="1" applyFont="1" applyBorder="1" applyAlignment="1" applyProtection="1">
      <alignment horizontal="centerContinuous"/>
    </xf>
    <xf numFmtId="0" fontId="42" fillId="0" borderId="0" xfId="0" applyFont="1" applyBorder="1" applyAlignment="1" applyProtection="1">
      <alignment horizontal="center"/>
    </xf>
    <xf numFmtId="3" fontId="50" fillId="0" borderId="0" xfId="0" applyNumberFormat="1" applyFont="1" applyBorder="1" applyProtection="1"/>
    <xf numFmtId="0" fontId="13" fillId="0" borderId="0" xfId="0" applyFont="1" applyProtection="1"/>
    <xf numFmtId="0" fontId="13" fillId="0" borderId="0" xfId="0" applyFont="1" applyBorder="1" applyAlignment="1" applyProtection="1">
      <alignment horizontal="center" vertical="center" textRotation="90" wrapText="1"/>
    </xf>
    <xf numFmtId="0" fontId="13" fillId="0" borderId="0" xfId="0" applyFont="1" applyBorder="1" applyProtection="1"/>
    <xf numFmtId="3" fontId="49" fillId="0" borderId="3" xfId="0" applyNumberFormat="1" applyFont="1" applyBorder="1" applyAlignment="1" applyProtection="1">
      <alignment horizontal="center" vertical="center"/>
    </xf>
    <xf numFmtId="0" fontId="9" fillId="0" borderId="0" xfId="0" applyFont="1" applyAlignment="1" applyProtection="1">
      <alignment horizontal="center" vertical="center"/>
    </xf>
    <xf numFmtId="3" fontId="13" fillId="0" borderId="0" xfId="0" applyNumberFormat="1" applyFont="1" applyProtection="1"/>
    <xf numFmtId="0" fontId="13" fillId="0" borderId="0" xfId="0" applyFont="1" applyFill="1" applyProtection="1"/>
    <xf numFmtId="0" fontId="13" fillId="0" borderId="0" xfId="0" applyFont="1" applyFill="1" applyBorder="1" applyProtection="1"/>
    <xf numFmtId="0" fontId="5" fillId="0" borderId="0" xfId="0" applyFont="1" applyBorder="1" applyAlignment="1" applyProtection="1">
      <alignment horizontal="center" vertical="center"/>
    </xf>
    <xf numFmtId="171" fontId="3" fillId="0" borderId="0" xfId="0" quotePrefix="1" applyNumberFormat="1" applyFont="1" applyBorder="1" applyAlignment="1" applyProtection="1">
      <alignment horizontal="center" vertical="center"/>
    </xf>
    <xf numFmtId="0" fontId="42" fillId="0" borderId="0" xfId="0" applyFont="1" applyBorder="1" applyAlignment="1" applyProtection="1">
      <alignment horizontal="left" indent="1"/>
    </xf>
    <xf numFmtId="0" fontId="29" fillId="0" borderId="0" xfId="0" applyFont="1" applyBorder="1" applyAlignment="1" applyProtection="1">
      <alignment horizontal="center"/>
    </xf>
    <xf numFmtId="0" fontId="29" fillId="0" borderId="0" xfId="0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3" fillId="0" borderId="0" xfId="0" applyFont="1" applyProtection="1"/>
    <xf numFmtId="0" fontId="5" fillId="0" borderId="0" xfId="0" applyFont="1" applyBorder="1" applyAlignment="1" applyProtection="1">
      <alignment horizontal="left" vertical="center" indent="2"/>
    </xf>
    <xf numFmtId="3" fontId="3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horizontal="center"/>
    </xf>
    <xf numFmtId="0" fontId="3" fillId="0" borderId="0" xfId="0" applyFont="1"/>
    <xf numFmtId="3" fontId="29" fillId="0" borderId="1" xfId="0" applyNumberFormat="1" applyFont="1" applyBorder="1" applyAlignment="1" applyProtection="1">
      <alignment horizontal="center" vertical="center"/>
    </xf>
    <xf numFmtId="3" fontId="29" fillId="0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3" fontId="3" fillId="0" borderId="0" xfId="0" applyNumberFormat="1" applyFont="1" applyProtection="1"/>
    <xf numFmtId="171" fontId="3" fillId="0" borderId="0" xfId="0" applyNumberFormat="1" applyFont="1" applyProtection="1"/>
    <xf numFmtId="3" fontId="6" fillId="0" borderId="0" xfId="0" applyNumberFormat="1" applyFont="1" applyAlignment="1" applyProtection="1">
      <alignment horizontal="centerContinuous"/>
    </xf>
    <xf numFmtId="3" fontId="11" fillId="0" borderId="0" xfId="0" quotePrefix="1" applyNumberFormat="1" applyFont="1" applyAlignment="1" applyProtection="1">
      <alignment horizontal="left" vertical="center"/>
    </xf>
    <xf numFmtId="171" fontId="0" fillId="0" borderId="0" xfId="0" applyNumberFormat="1" applyFont="1" applyBorder="1" applyAlignment="1" applyProtection="1"/>
    <xf numFmtId="0" fontId="101" fillId="0" borderId="0" xfId="0" applyFont="1" applyAlignment="1" applyProtection="1">
      <alignment horizontal="center" vertical="center"/>
    </xf>
    <xf numFmtId="3" fontId="3" fillId="0" borderId="1" xfId="0" applyNumberFormat="1" applyFont="1" applyBorder="1" applyAlignment="1" applyProtection="1">
      <alignment horizontal="left" vertical="center" wrapText="1" indent="1"/>
    </xf>
    <xf numFmtId="3" fontId="3" fillId="0" borderId="1" xfId="0" applyNumberFormat="1" applyFont="1" applyBorder="1" applyAlignment="1" applyProtection="1">
      <alignment horizontal="right"/>
    </xf>
    <xf numFmtId="3" fontId="9" fillId="0" borderId="0" xfId="0" applyNumberFormat="1" applyFont="1" applyProtection="1"/>
    <xf numFmtId="3" fontId="3" fillId="0" borderId="0" xfId="0" applyNumberFormat="1" applyFont="1" applyBorder="1" applyProtection="1"/>
    <xf numFmtId="171" fontId="0" fillId="0" borderId="0" xfId="0" applyNumberFormat="1" applyFont="1" applyBorder="1" applyAlignment="1" applyProtection="1">
      <alignment horizontal="center"/>
    </xf>
    <xf numFmtId="0" fontId="33" fillId="0" borderId="0" xfId="0" applyFont="1" applyProtection="1"/>
    <xf numFmtId="3" fontId="3" fillId="0" borderId="1" xfId="0" applyNumberFormat="1" applyFont="1" applyBorder="1" applyAlignment="1" applyProtection="1">
      <alignment horizontal="left" vertical="center" wrapText="1" indent="1"/>
      <protection locked="0"/>
    </xf>
    <xf numFmtId="0" fontId="15" fillId="0" borderId="0" xfId="0" applyFont="1"/>
    <xf numFmtId="0" fontId="15" fillId="0" borderId="0" xfId="0" applyFont="1" applyAlignment="1">
      <alignment vertical="center"/>
    </xf>
    <xf numFmtId="3" fontId="6" fillId="3" borderId="1" xfId="0" applyNumberFormat="1" applyFont="1" applyFill="1" applyBorder="1" applyAlignment="1" applyProtection="1">
      <alignment horizontal="center" vertical="center" wrapText="1"/>
    </xf>
    <xf numFmtId="3" fontId="15" fillId="0" borderId="0" xfId="0" applyNumberFormat="1" applyFont="1" applyAlignment="1">
      <alignment vertical="center"/>
    </xf>
    <xf numFmtId="0" fontId="15" fillId="0" borderId="0" xfId="0" applyFont="1" applyFill="1" applyAlignment="1">
      <alignment vertical="center"/>
    </xf>
    <xf numFmtId="3" fontId="41" fillId="3" borderId="1" xfId="0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Border="1" applyAlignment="1" applyProtection="1">
      <alignment horizontal="right" vertical="center" wrapText="1" indent="1"/>
      <protection locked="0"/>
    </xf>
    <xf numFmtId="0" fontId="6" fillId="0" borderId="0" xfId="0" applyFont="1" applyBorder="1" applyAlignment="1" applyProtection="1">
      <alignment vertical="center"/>
    </xf>
    <xf numFmtId="3" fontId="3" fillId="0" borderId="3" xfId="1288" applyNumberFormat="1" applyFont="1" applyFill="1" applyBorder="1" applyAlignment="1" applyProtection="1"/>
    <xf numFmtId="0" fontId="3" fillId="0" borderId="0" xfId="0" applyFont="1" applyAlignment="1" applyProtection="1">
      <alignment vertical="center" wrapText="1"/>
    </xf>
    <xf numFmtId="3" fontId="3" fillId="0" borderId="1" xfId="0" applyNumberFormat="1" applyFont="1" applyFill="1" applyBorder="1" applyAlignment="1" applyProtection="1">
      <alignment horizontal="right" vertical="center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3" fontId="3" fillId="0" borderId="1" xfId="0" applyNumberFormat="1" applyFont="1" applyBorder="1" applyAlignment="1" applyProtection="1">
      <alignment vertical="center"/>
      <protection locked="0"/>
    </xf>
    <xf numFmtId="3" fontId="3" fillId="0" borderId="3" xfId="1288" applyNumberFormat="1" applyFont="1" applyFill="1" applyBorder="1" applyProtection="1"/>
    <xf numFmtId="3" fontId="3" fillId="0" borderId="1" xfId="0" applyNumberFormat="1" applyFont="1" applyFill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right" vertical="center"/>
      <protection locked="0"/>
    </xf>
    <xf numFmtId="3" fontId="3" fillId="0" borderId="1" xfId="1288" applyNumberFormat="1" applyFont="1" applyFill="1" applyBorder="1" applyAlignment="1" applyProtection="1">
      <protection locked="0"/>
    </xf>
    <xf numFmtId="3" fontId="3" fillId="0" borderId="3" xfId="1288" applyNumberFormat="1" applyFont="1" applyFill="1" applyBorder="1" applyProtection="1">
      <protection locked="0"/>
    </xf>
    <xf numFmtId="0" fontId="28" fillId="0" borderId="0" xfId="0" applyFont="1" applyProtection="1"/>
    <xf numFmtId="3" fontId="3" fillId="0" borderId="0" xfId="0" applyNumberFormat="1" applyFont="1" applyBorder="1" applyAlignment="1" applyProtection="1">
      <alignment horizontal="center"/>
    </xf>
    <xf numFmtId="3" fontId="42" fillId="0" borderId="0" xfId="0" applyNumberFormat="1" applyFont="1" applyAlignment="1" applyProtection="1">
      <alignment horizontal="center"/>
    </xf>
    <xf numFmtId="3" fontId="3" fillId="0" borderId="0" xfId="0" applyNumberFormat="1" applyFont="1" applyAlignment="1" applyProtection="1">
      <alignment horizontal="center"/>
    </xf>
    <xf numFmtId="171" fontId="6" fillId="0" borderId="0" xfId="0" applyNumberFormat="1" applyFont="1" applyAlignment="1" applyProtection="1">
      <alignment horizontal="center"/>
    </xf>
    <xf numFmtId="195" fontId="3" fillId="0" borderId="1" xfId="0" applyNumberFormat="1" applyFont="1" applyFill="1" applyBorder="1" applyAlignment="1" applyProtection="1">
      <alignment horizontal="right" vertical="center"/>
    </xf>
    <xf numFmtId="195" fontId="3" fillId="0" borderId="1" xfId="0" applyNumberFormat="1" applyFont="1" applyBorder="1" applyAlignment="1" applyProtection="1">
      <alignment vertical="center" wrapText="1"/>
      <protection locked="0"/>
    </xf>
    <xf numFmtId="195" fontId="3" fillId="0" borderId="1" xfId="0" applyNumberFormat="1" applyFont="1" applyBorder="1" applyAlignment="1" applyProtection="1">
      <alignment vertical="center"/>
      <protection locked="0"/>
    </xf>
    <xf numFmtId="195" fontId="3" fillId="0" borderId="3" xfId="1288" applyNumberFormat="1" applyFont="1" applyFill="1" applyBorder="1" applyProtection="1"/>
    <xf numFmtId="195" fontId="3" fillId="0" borderId="1" xfId="0" applyNumberFormat="1" applyFont="1" applyFill="1" applyBorder="1" applyAlignment="1" applyProtection="1">
      <alignment horizontal="right" vertical="center"/>
      <protection locked="0"/>
    </xf>
    <xf numFmtId="3" fontId="35" fillId="3" borderId="5" xfId="0" applyNumberFormat="1" applyFont="1" applyFill="1" applyBorder="1" applyAlignment="1" applyProtection="1">
      <alignment horizontal="center" vertical="center" wrapText="1"/>
    </xf>
    <xf numFmtId="15" fontId="3" fillId="0" borderId="0" xfId="0" applyNumberFormat="1" applyFont="1" applyProtection="1"/>
    <xf numFmtId="3" fontId="3" fillId="4" borderId="7" xfId="0" applyNumberFormat="1" applyFont="1" applyFill="1" applyBorder="1" applyAlignment="1" applyProtection="1">
      <alignment horizontal="right"/>
    </xf>
    <xf numFmtId="3" fontId="3" fillId="0" borderId="3" xfId="1288" applyNumberFormat="1" applyFont="1" applyFill="1" applyBorder="1" applyAlignment="1" applyProtection="1">
      <alignment vertical="center"/>
    </xf>
    <xf numFmtId="3" fontId="3" fillId="4" borderId="7" xfId="0" applyNumberFormat="1" applyFont="1" applyFill="1" applyBorder="1" applyAlignment="1" applyProtection="1">
      <alignment horizontal="right" vertical="center"/>
    </xf>
    <xf numFmtId="0" fontId="3" fillId="0" borderId="0" xfId="0" applyFont="1" applyAlignment="1" applyProtection="1">
      <alignment wrapText="1"/>
    </xf>
    <xf numFmtId="196" fontId="30" fillId="0" borderId="9" xfId="4" applyNumberFormat="1" applyFont="1" applyFill="1" applyBorder="1" applyAlignment="1" applyProtection="1">
      <alignment vertical="center" wrapText="1"/>
      <protection locked="0"/>
    </xf>
    <xf numFmtId="196" fontId="30" fillId="0" borderId="9" xfId="4" applyNumberFormat="1" applyFont="1" applyFill="1" applyBorder="1" applyAlignment="1" applyProtection="1">
      <alignment horizontal="right" vertical="center" wrapText="1"/>
      <protection locked="0"/>
    </xf>
    <xf numFmtId="196" fontId="39" fillId="3" borderId="1" xfId="0" applyNumberFormat="1" applyFont="1" applyFill="1" applyBorder="1" applyAlignment="1" applyProtection="1">
      <alignment horizontal="center" vertical="center" wrapText="1"/>
    </xf>
    <xf numFmtId="171" fontId="0" fillId="0" borderId="9" xfId="0" applyNumberFormat="1" applyFont="1" applyBorder="1" applyAlignment="1" applyProtection="1">
      <alignment horizontal="center"/>
    </xf>
    <xf numFmtId="169" fontId="8" fillId="0" borderId="5" xfId="0" applyNumberFormat="1" applyFont="1" applyFill="1" applyBorder="1" applyAlignment="1" applyProtection="1">
      <alignment horizontal="center" vertical="center"/>
    </xf>
    <xf numFmtId="3" fontId="21" fillId="3" borderId="1" xfId="0" applyNumberFormat="1" applyFont="1" applyFill="1" applyBorder="1" applyAlignment="1" applyProtection="1">
      <alignment horizontal="center" vertical="center" wrapText="1"/>
    </xf>
    <xf numFmtId="3" fontId="16" fillId="0" borderId="0" xfId="5" applyNumberFormat="1" applyFont="1" applyFill="1" applyBorder="1" applyAlignment="1" applyProtection="1">
      <alignment horizontal="center" vertical="center"/>
    </xf>
    <xf numFmtId="197" fontId="100" fillId="0" borderId="0" xfId="3" applyNumberFormat="1" applyFont="1" applyFill="1" applyProtection="1"/>
    <xf numFmtId="197" fontId="99" fillId="0" borderId="0" xfId="3" applyNumberFormat="1" applyFont="1" applyFill="1" applyBorder="1" applyAlignment="1" applyProtection="1">
      <alignment vertical="center" wrapText="1"/>
    </xf>
    <xf numFmtId="197" fontId="79" fillId="0" borderId="0" xfId="3" applyNumberFormat="1" applyFont="1" applyFill="1" applyProtection="1"/>
    <xf numFmtId="197" fontId="9" fillId="0" borderId="0" xfId="3" applyNumberFormat="1" applyFont="1" applyProtection="1">
      <protection locked="0"/>
    </xf>
    <xf numFmtId="3" fontId="103" fillId="0" borderId="0" xfId="0" applyNumberFormat="1" applyFont="1" applyBorder="1" applyAlignment="1">
      <alignment horizontal="center" vertical="center"/>
    </xf>
    <xf numFmtId="0" fontId="35" fillId="0" borderId="0" xfId="4" applyNumberFormat="1" applyFont="1" applyFill="1" applyBorder="1" applyAlignment="1" applyProtection="1">
      <alignment horizontal="right" vertical="top" indent="2"/>
    </xf>
    <xf numFmtId="15" fontId="35" fillId="0" borderId="0" xfId="4" applyNumberFormat="1" applyFont="1" applyFill="1" applyBorder="1" applyAlignment="1" applyProtection="1">
      <alignment horizontal="center"/>
    </xf>
    <xf numFmtId="49" fontId="14" fillId="5" borderId="1" xfId="4" applyNumberFormat="1" applyFont="1" applyFill="1" applyBorder="1" applyAlignment="1" applyProtection="1">
      <alignment horizontal="center" vertical="center" wrapText="1"/>
    </xf>
    <xf numFmtId="0" fontId="14" fillId="5" borderId="1" xfId="4" applyNumberFormat="1" applyFont="1" applyFill="1" applyBorder="1" applyAlignment="1" applyProtection="1">
      <alignment horizontal="center" vertical="center" wrapText="1"/>
    </xf>
    <xf numFmtId="3" fontId="14" fillId="5" borderId="1" xfId="4" applyNumberFormat="1" applyFont="1" applyFill="1" applyBorder="1" applyAlignment="1" applyProtection="1">
      <alignment horizontal="center" vertical="center" wrapText="1"/>
    </xf>
    <xf numFmtId="49" fontId="14" fillId="6" borderId="1" xfId="4" applyNumberFormat="1" applyFont="1" applyFill="1" applyBorder="1" applyAlignment="1" applyProtection="1">
      <alignment horizontal="center" vertical="center" wrapText="1"/>
    </xf>
    <xf numFmtId="0" fontId="14" fillId="6" borderId="1" xfId="4" applyNumberFormat="1" applyFont="1" applyFill="1" applyBorder="1" applyAlignment="1" applyProtection="1">
      <alignment horizontal="center" vertical="center" wrapText="1"/>
    </xf>
    <xf numFmtId="3" fontId="14" fillId="6" borderId="1" xfId="4" applyNumberFormat="1" applyFont="1" applyFill="1" applyBorder="1" applyAlignment="1" applyProtection="1">
      <alignment horizontal="center" vertical="center" wrapText="1"/>
    </xf>
    <xf numFmtId="49" fontId="16" fillId="0" borderId="1" xfId="4" applyNumberFormat="1" applyFont="1" applyFill="1" applyBorder="1" applyAlignment="1" applyProtection="1">
      <alignment horizontal="center" vertical="center" wrapText="1"/>
    </xf>
    <xf numFmtId="0" fontId="32" fillId="0" borderId="0" xfId="0" applyFont="1"/>
    <xf numFmtId="0" fontId="16" fillId="0" borderId="0" xfId="4" applyNumberFormat="1" applyFont="1" applyFill="1" applyBorder="1" applyAlignment="1" applyProtection="1">
      <alignment vertical="center" wrapText="1"/>
    </xf>
    <xf numFmtId="0" fontId="16" fillId="0" borderId="0" xfId="4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71" fontId="0" fillId="0" borderId="0" xfId="0" applyNumberFormat="1" applyFont="1" applyBorder="1" applyAlignment="1" applyProtection="1">
      <alignment horizontal="left" indent="2"/>
    </xf>
    <xf numFmtId="0" fontId="6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left" vertical="center" indent="1"/>
    </xf>
    <xf numFmtId="0" fontId="3" fillId="0" borderId="2" xfId="0" applyFont="1" applyBorder="1" applyAlignment="1" applyProtection="1">
      <alignment horizontal="left" vertical="center" indent="1"/>
    </xf>
    <xf numFmtId="0" fontId="3" fillId="0" borderId="2" xfId="0" applyFont="1" applyBorder="1" applyAlignment="1" applyProtection="1">
      <alignment horizontal="left" vertical="center" wrapText="1" inden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 indent="1"/>
    </xf>
    <xf numFmtId="0" fontId="3" fillId="0" borderId="1" xfId="0" applyFont="1" applyBorder="1" applyAlignment="1" applyProtection="1">
      <alignment horizontal="left" vertical="center" indent="1"/>
    </xf>
    <xf numFmtId="0" fontId="3" fillId="0" borderId="2" xfId="0" quotePrefix="1" applyFont="1" applyBorder="1" applyAlignment="1" applyProtection="1">
      <alignment horizontal="center" vertical="center" wrapText="1"/>
    </xf>
    <xf numFmtId="0" fontId="3" fillId="0" borderId="2" xfId="0" quotePrefix="1" applyFont="1" applyBorder="1" applyAlignment="1" applyProtection="1">
      <alignment horizontal="left" vertical="center" wrapText="1" indent="1"/>
    </xf>
    <xf numFmtId="0" fontId="3" fillId="0" borderId="2" xfId="0" quotePrefix="1" applyFont="1" applyBorder="1" applyAlignment="1" applyProtection="1">
      <alignment horizontal="left" vertical="center" indent="1"/>
    </xf>
    <xf numFmtId="0" fontId="6" fillId="0" borderId="2" xfId="0" quotePrefix="1" applyFont="1" applyBorder="1" applyAlignment="1" applyProtection="1">
      <alignment horizontal="left" vertical="center" indent="1"/>
    </xf>
    <xf numFmtId="3" fontId="3" fillId="2" borderId="3" xfId="0" applyNumberFormat="1" applyFont="1" applyFill="1" applyBorder="1" applyAlignment="1" applyProtection="1">
      <alignment vertical="center"/>
    </xf>
    <xf numFmtId="0" fontId="3" fillId="0" borderId="2" xfId="0" applyFont="1" applyFill="1" applyBorder="1" applyAlignment="1" applyProtection="1">
      <alignment horizontal="left" vertical="center" indent="1"/>
    </xf>
    <xf numFmtId="0" fontId="6" fillId="0" borderId="2" xfId="0" applyFont="1" applyFill="1" applyBorder="1" applyAlignment="1" applyProtection="1">
      <alignment horizontal="left" vertical="center" indent="1"/>
    </xf>
    <xf numFmtId="0" fontId="3" fillId="0" borderId="2" xfId="0" quotePrefix="1" applyFont="1" applyFill="1" applyBorder="1" applyAlignment="1" applyProtection="1">
      <alignment horizontal="center" vertical="center" wrapText="1"/>
    </xf>
    <xf numFmtId="0" fontId="3" fillId="0" borderId="2" xfId="0" quotePrefix="1" applyFont="1" applyFill="1" applyBorder="1" applyAlignment="1" applyProtection="1">
      <alignment horizontal="left" vertical="center" indent="1"/>
    </xf>
    <xf numFmtId="0" fontId="6" fillId="0" borderId="2" xfId="0" quotePrefix="1" applyFont="1" applyFill="1" applyBorder="1" applyAlignment="1" applyProtection="1">
      <alignment horizontal="center" vertical="center" wrapText="1"/>
    </xf>
    <xf numFmtId="0" fontId="6" fillId="0" borderId="2" xfId="0" quotePrefix="1" applyFont="1" applyFill="1" applyBorder="1" applyAlignment="1" applyProtection="1">
      <alignment horizontal="left" vertical="center" indent="1"/>
    </xf>
    <xf numFmtId="0" fontId="28" fillId="0" borderId="2" xfId="0" applyFont="1" applyFill="1" applyBorder="1" applyAlignment="1" applyProtection="1">
      <alignment horizontal="left" vertical="center" wrapText="1" indent="1"/>
    </xf>
    <xf numFmtId="0" fontId="0" fillId="0" borderId="2" xfId="0" quotePrefix="1" applyFont="1" applyFill="1" applyBorder="1" applyAlignment="1" applyProtection="1">
      <alignment horizontal="left" vertical="center" indent="1"/>
    </xf>
    <xf numFmtId="0" fontId="6" fillId="0" borderId="2" xfId="0" applyFont="1" applyFill="1" applyBorder="1" applyAlignment="1" applyProtection="1">
      <alignment horizontal="left" vertical="center" wrapText="1" indent="1"/>
    </xf>
    <xf numFmtId="0" fontId="104" fillId="0" borderId="2" xfId="0" applyFont="1" applyFill="1" applyBorder="1" applyAlignment="1" applyProtection="1">
      <alignment horizontal="left" vertical="center" indent="1"/>
    </xf>
    <xf numFmtId="3" fontId="3" fillId="0" borderId="3" xfId="0" applyNumberFormat="1" applyFont="1" applyBorder="1" applyAlignment="1" applyProtection="1">
      <alignment vertical="center"/>
    </xf>
    <xf numFmtId="3" fontId="3" fillId="0" borderId="3" xfId="0" applyNumberFormat="1" applyFont="1" applyFill="1" applyBorder="1" applyAlignment="1" applyProtection="1">
      <alignment vertical="center"/>
    </xf>
    <xf numFmtId="0" fontId="3" fillId="0" borderId="2" xfId="0" applyFont="1" applyFill="1" applyBorder="1" applyAlignment="1" applyProtection="1">
      <alignment horizontal="left" vertical="center" wrapText="1" indent="1"/>
    </xf>
    <xf numFmtId="0" fontId="39" fillId="0" borderId="1" xfId="1225" applyFont="1" applyFill="1" applyBorder="1" applyAlignment="1" applyProtection="1">
      <alignment horizontal="left" vertical="center" wrapText="1"/>
    </xf>
    <xf numFmtId="49" fontId="79" fillId="0" borderId="0" xfId="0" applyNumberFormat="1" applyFont="1" applyFill="1" applyProtection="1"/>
    <xf numFmtId="0" fontId="35" fillId="0" borderId="18" xfId="1225" applyFont="1" applyFill="1" applyBorder="1" applyAlignment="1" applyProtection="1">
      <alignment horizontal="left" vertical="center" wrapText="1" indent="2"/>
    </xf>
    <xf numFmtId="0" fontId="35" fillId="0" borderId="19" xfId="1225" applyFont="1" applyFill="1" applyBorder="1" applyAlignment="1" applyProtection="1">
      <alignment horizontal="left" vertical="center" wrapText="1" indent="2"/>
    </xf>
    <xf numFmtId="0" fontId="78" fillId="0" borderId="1" xfId="1225" applyFont="1" applyFill="1" applyBorder="1" applyAlignment="1" applyProtection="1">
      <alignment horizontal="left" vertical="center" wrapText="1"/>
    </xf>
    <xf numFmtId="0" fontId="79" fillId="0" borderId="18" xfId="1225" applyFont="1" applyFill="1" applyBorder="1" applyAlignment="1" applyProtection="1">
      <alignment horizontal="left" vertical="center" wrapText="1" indent="2"/>
    </xf>
    <xf numFmtId="0" fontId="79" fillId="0" borderId="19" xfId="1225" applyFont="1" applyFill="1" applyBorder="1" applyAlignment="1" applyProtection="1">
      <alignment horizontal="left" vertical="center" wrapText="1" indent="2"/>
    </xf>
    <xf numFmtId="0" fontId="5" fillId="0" borderId="0" xfId="0" applyFont="1" applyBorder="1" applyAlignment="1">
      <alignment horizontal="centerContinuous" vertical="center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Protection="1">
      <protection hidden="1"/>
    </xf>
    <xf numFmtId="0" fontId="28" fillId="0" borderId="1" xfId="0" applyFont="1" applyBorder="1" applyAlignment="1">
      <alignment horizontal="left" vertical="center" indent="2"/>
    </xf>
    <xf numFmtId="3" fontId="3" fillId="0" borderId="1" xfId="0" applyNumberFormat="1" applyFont="1" applyBorder="1" applyProtection="1">
      <protection locked="0"/>
    </xf>
    <xf numFmtId="0" fontId="3" fillId="0" borderId="1" xfId="0" applyFont="1" applyFill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 wrapText="1" indent="2"/>
    </xf>
    <xf numFmtId="0" fontId="6" fillId="0" borderId="1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 indent="1"/>
    </xf>
    <xf numFmtId="3" fontId="3" fillId="2" borderId="3" xfId="0" applyNumberFormat="1" applyFont="1" applyFill="1" applyBorder="1"/>
    <xf numFmtId="0" fontId="3" fillId="0" borderId="0" xfId="0" applyFont="1" applyBorder="1" applyProtection="1">
      <protection hidden="1"/>
    </xf>
    <xf numFmtId="0" fontId="3" fillId="0" borderId="0" xfId="0" applyFont="1" applyBorder="1"/>
    <xf numFmtId="0" fontId="3" fillId="0" borderId="1" xfId="0" applyFont="1" applyBorder="1" applyAlignment="1">
      <alignment horizontal="left" vertical="center" indent="2"/>
    </xf>
    <xf numFmtId="0" fontId="6" fillId="0" borderId="1" xfId="0" applyFont="1" applyBorder="1" applyAlignment="1">
      <alignment horizontal="left" vertical="center" wrapText="1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0" fontId="6" fillId="0" borderId="0" xfId="0" applyFont="1" applyBorder="1"/>
    <xf numFmtId="0" fontId="3" fillId="0" borderId="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 indent="2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2" xfId="0" quotePrefix="1" applyFont="1" applyBorder="1" applyAlignment="1" applyProtection="1">
      <alignment horizontal="left" vertical="center" indent="2"/>
    </xf>
    <xf numFmtId="0" fontId="3" fillId="0" borderId="2" xfId="0" applyFont="1" applyBorder="1" applyAlignment="1" applyProtection="1">
      <alignment horizontal="left" vertical="center" indent="2"/>
    </xf>
    <xf numFmtId="3" fontId="3" fillId="0" borderId="3" xfId="0" applyNumberFormat="1" applyFont="1" applyBorder="1" applyAlignment="1" applyProtection="1">
      <alignment vertical="center"/>
      <protection locked="0"/>
    </xf>
    <xf numFmtId="168" fontId="3" fillId="0" borderId="3" xfId="0" applyNumberFormat="1" applyFont="1" applyBorder="1" applyAlignment="1" applyProtection="1">
      <alignment vertical="center"/>
      <protection locked="0"/>
    </xf>
    <xf numFmtId="3" fontId="3" fillId="0" borderId="0" xfId="0" applyNumberFormat="1" applyFont="1" applyAlignment="1" applyProtection="1">
      <alignment vertical="center"/>
    </xf>
    <xf numFmtId="3" fontId="13" fillId="0" borderId="0" xfId="0" applyNumberFormat="1" applyFont="1" applyBorder="1" applyAlignment="1" applyProtection="1">
      <alignment horizontal="center"/>
    </xf>
    <xf numFmtId="3" fontId="9" fillId="0" borderId="3" xfId="0" applyNumberFormat="1" applyFont="1" applyBorder="1" applyAlignment="1" applyProtection="1">
      <alignment horizontal="center" vertical="center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3" xfId="0" quotePrefix="1" applyNumberFormat="1" applyFont="1" applyBorder="1" applyAlignment="1" applyProtection="1">
      <alignment horizontal="center" vertical="center"/>
    </xf>
    <xf numFmtId="0" fontId="9" fillId="0" borderId="3" xfId="0" applyFont="1" applyBorder="1" applyAlignment="1" applyProtection="1">
      <alignment horizontal="center" vertical="center"/>
    </xf>
    <xf numFmtId="3" fontId="36" fillId="0" borderId="0" xfId="0" applyNumberFormat="1" applyFont="1" applyBorder="1" applyAlignment="1">
      <alignment horizontal="center"/>
    </xf>
    <xf numFmtId="3" fontId="9" fillId="0" borderId="0" xfId="0" applyNumberFormat="1" applyFont="1" applyBorder="1" applyAlignment="1">
      <alignment vertical="top"/>
    </xf>
    <xf numFmtId="3" fontId="42" fillId="0" borderId="1" xfId="0" applyNumberFormat="1" applyFont="1" applyBorder="1" applyAlignment="1">
      <alignment horizontal="center" vertical="center"/>
    </xf>
    <xf numFmtId="3" fontId="44" fillId="0" borderId="1" xfId="0" applyNumberFormat="1" applyFont="1" applyBorder="1" applyAlignment="1">
      <alignment vertical="center"/>
    </xf>
    <xf numFmtId="3" fontId="44" fillId="0" borderId="1" xfId="0" applyNumberFormat="1" applyFont="1" applyFill="1" applyBorder="1" applyAlignment="1">
      <alignment vertical="center"/>
    </xf>
    <xf numFmtId="0" fontId="44" fillId="0" borderId="1" xfId="0" applyFont="1" applyFill="1" applyBorder="1" applyAlignment="1">
      <alignment vertical="center" wrapText="1"/>
    </xf>
    <xf numFmtId="3" fontId="5" fillId="3" borderId="1" xfId="0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3" fontId="5" fillId="0" borderId="0" xfId="0" applyNumberFormat="1" applyFont="1" applyAlignment="1">
      <alignment horizontal="center"/>
    </xf>
    <xf numFmtId="3" fontId="3" fillId="0" borderId="0" xfId="0" applyNumberFormat="1" applyFont="1"/>
    <xf numFmtId="3" fontId="3" fillId="0" borderId="0" xfId="0" applyNumberFormat="1" applyFont="1" applyAlignment="1">
      <alignment horizontal="left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 applyProtection="1">
      <alignment vertical="center"/>
    </xf>
    <xf numFmtId="3" fontId="6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vertical="center"/>
    </xf>
    <xf numFmtId="0" fontId="3" fillId="0" borderId="0" xfId="0" applyFont="1" applyFill="1"/>
    <xf numFmtId="170" fontId="3" fillId="0" borderId="0" xfId="3" applyNumberFormat="1" applyFont="1"/>
    <xf numFmtId="170" fontId="106" fillId="0" borderId="0" xfId="3" applyNumberFormat="1" applyFont="1"/>
    <xf numFmtId="3" fontId="5" fillId="0" borderId="0" xfId="0" applyNumberFormat="1" applyFont="1" applyAlignment="1" applyProtection="1">
      <alignment horizontal="center"/>
    </xf>
    <xf numFmtId="170" fontId="3" fillId="0" borderId="0" xfId="3" applyNumberFormat="1" applyFont="1" applyProtection="1"/>
    <xf numFmtId="3" fontId="50" fillId="3" borderId="3" xfId="0" applyNumberFormat="1" applyFont="1" applyFill="1" applyBorder="1" applyAlignment="1" applyProtection="1">
      <alignment horizontal="center" vertical="center" wrapText="1"/>
    </xf>
    <xf numFmtId="3" fontId="41" fillId="3" borderId="5" xfId="0" applyNumberFormat="1" applyFont="1" applyFill="1" applyBorder="1" applyAlignment="1" applyProtection="1">
      <alignment horizontal="center" vertical="center" wrapText="1"/>
    </xf>
    <xf numFmtId="170" fontId="6" fillId="0" borderId="0" xfId="3" applyNumberFormat="1" applyFont="1" applyProtection="1"/>
    <xf numFmtId="0" fontId="3" fillId="0" borderId="2" xfId="0" applyFont="1" applyBorder="1" applyAlignment="1" applyProtection="1">
      <alignment horizontal="left" vertical="center" indent="1"/>
      <protection locked="0"/>
    </xf>
    <xf numFmtId="170" fontId="3" fillId="0" borderId="0" xfId="3" applyNumberFormat="1" applyFont="1" applyAlignment="1" applyProtection="1">
      <alignment vertical="center" wrapText="1"/>
    </xf>
    <xf numFmtId="0" fontId="0" fillId="0" borderId="1" xfId="0" applyNumberFormat="1" applyFont="1" applyBorder="1" applyProtection="1">
      <protection locked="0"/>
    </xf>
    <xf numFmtId="170" fontId="3" fillId="0" borderId="0" xfId="3" applyNumberFormat="1" applyFont="1" applyAlignment="1" applyProtection="1">
      <alignment vertical="center"/>
    </xf>
    <xf numFmtId="170" fontId="3" fillId="0" borderId="0" xfId="3" applyNumberFormat="1" applyFont="1" applyBorder="1" applyProtection="1"/>
    <xf numFmtId="170" fontId="3" fillId="0" borderId="0" xfId="3" applyNumberFormat="1" applyFont="1" applyAlignment="1" applyProtection="1">
      <alignment wrapText="1"/>
    </xf>
    <xf numFmtId="3" fontId="5" fillId="0" borderId="0" xfId="0" applyNumberFormat="1" applyFont="1" applyAlignment="1" applyProtection="1">
      <alignment horizontal="center" vertical="center" wrapText="1"/>
    </xf>
    <xf numFmtId="3" fontId="44" fillId="0" borderId="10" xfId="0" applyNumberFormat="1" applyFont="1" applyBorder="1" applyProtection="1"/>
    <xf numFmtId="3" fontId="29" fillId="0" borderId="1" xfId="0" applyNumberFormat="1" applyFont="1" applyBorder="1" applyAlignment="1" applyProtection="1">
      <alignment horizontal="left" vertical="center" wrapText="1" indent="1"/>
    </xf>
    <xf numFmtId="16" fontId="16" fillId="0" borderId="1" xfId="5" applyNumberFormat="1" applyFont="1" applyFill="1" applyBorder="1" applyAlignment="1" applyProtection="1">
      <alignment horizontal="left" vertical="center" wrapText="1" indent="2"/>
    </xf>
    <xf numFmtId="3" fontId="9" fillId="0" borderId="10" xfId="0" applyNumberFormat="1" applyFont="1" applyBorder="1" applyProtection="1"/>
    <xf numFmtId="0" fontId="14" fillId="0" borderId="0" xfId="5" applyNumberFormat="1" applyFont="1" applyFill="1" applyBorder="1" applyAlignment="1" applyProtection="1">
      <alignment horizontal="center" vertical="center"/>
    </xf>
    <xf numFmtId="9" fontId="14" fillId="0" borderId="0" xfId="2" applyFont="1" applyFill="1" applyBorder="1" applyAlignment="1" applyProtection="1">
      <alignment horizontal="center" vertical="center"/>
    </xf>
    <xf numFmtId="15" fontId="20" fillId="0" borderId="0" xfId="5" applyNumberFormat="1" applyFont="1" applyFill="1" applyBorder="1" applyAlignment="1" applyProtection="1">
      <alignment horizontal="center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0" fontId="16" fillId="5" borderId="1" xfId="5" applyNumberFormat="1" applyFont="1" applyFill="1" applyBorder="1" applyAlignment="1" applyProtection="1">
      <alignment horizontal="left" vertical="center" wrapText="1" indent="2"/>
    </xf>
    <xf numFmtId="0" fontId="14" fillId="5" borderId="1" xfId="5" applyNumberFormat="1" applyFont="1" applyFill="1" applyBorder="1" applyAlignment="1" applyProtection="1">
      <alignment horizontal="left" vertical="center" wrapText="1" indent="2"/>
    </xf>
    <xf numFmtId="172" fontId="14" fillId="0" borderId="1" xfId="2" applyNumberFormat="1" applyFont="1" applyFill="1" applyBorder="1" applyAlignment="1" applyProtection="1">
      <alignment horizontal="center" vertical="center" wrapText="1"/>
    </xf>
    <xf numFmtId="0" fontId="107" fillId="5" borderId="1" xfId="5" applyNumberFormat="1" applyFont="1" applyFill="1" applyBorder="1" applyAlignment="1" applyProtection="1">
      <alignment horizontal="left" vertical="center" wrapText="1" indent="4"/>
    </xf>
    <xf numFmtId="0" fontId="16" fillId="5" borderId="1" xfId="5" applyNumberFormat="1" applyFont="1" applyFill="1" applyBorder="1" applyAlignment="1" applyProtection="1">
      <alignment horizontal="left" vertical="center" wrapText="1" indent="1"/>
    </xf>
    <xf numFmtId="172" fontId="16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5" applyNumberFormat="1" applyFont="1" applyFill="1" applyBorder="1" applyAlignment="1" applyProtection="1">
      <alignment horizontal="left" vertical="center" wrapText="1" indent="2"/>
    </xf>
    <xf numFmtId="0" fontId="16" fillId="0" borderId="1" xfId="5" applyNumberFormat="1" applyFont="1" applyFill="1" applyBorder="1" applyAlignment="1" applyProtection="1">
      <alignment horizontal="left" vertical="center" wrapText="1" indent="1"/>
    </xf>
    <xf numFmtId="0" fontId="3" fillId="0" borderId="0" xfId="0" applyFont="1" applyAlignment="1">
      <alignment vertical="center" wrapText="1"/>
    </xf>
    <xf numFmtId="173" fontId="16" fillId="0" borderId="0" xfId="5" applyNumberFormat="1" applyFont="1" applyFill="1" applyBorder="1" applyAlignment="1" applyProtection="1">
      <alignment horizontal="center" vertical="top"/>
    </xf>
    <xf numFmtId="0" fontId="39" fillId="0" borderId="9" xfId="9" applyNumberFormat="1" applyFont="1" applyFill="1" applyBorder="1" applyAlignment="1" applyProtection="1">
      <alignment vertical="center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3" fontId="35" fillId="0" borderId="0" xfId="9" applyNumberFormat="1" applyFont="1" applyFill="1" applyBorder="1" applyAlignment="1" applyProtection="1">
      <alignment horizontal="center" vertical="center"/>
    </xf>
    <xf numFmtId="0" fontId="35" fillId="5" borderId="1" xfId="9" applyNumberFormat="1" applyFont="1" applyFill="1" applyBorder="1" applyAlignment="1" applyProtection="1">
      <alignment horizontal="left" vertical="center" wrapText="1" indent="2"/>
    </xf>
    <xf numFmtId="0" fontId="39" fillId="5" borderId="1" xfId="9" applyNumberFormat="1" applyFont="1" applyFill="1" applyBorder="1" applyAlignment="1" applyProtection="1">
      <alignment horizontal="left" vertical="center" wrapText="1" indent="2"/>
    </xf>
    <xf numFmtId="172" fontId="39" fillId="0" borderId="1" xfId="10" applyNumberFormat="1" applyFont="1" applyFill="1" applyBorder="1" applyAlignment="1" applyProtection="1">
      <alignment horizontal="center" vertical="center" wrapText="1"/>
    </xf>
    <xf numFmtId="3" fontId="39" fillId="0" borderId="0" xfId="9" applyNumberFormat="1" applyFont="1" applyFill="1" applyBorder="1" applyAlignment="1" applyProtection="1">
      <alignment horizontal="center" vertical="center"/>
    </xf>
    <xf numFmtId="0" fontId="35" fillId="21" borderId="1" xfId="9" applyNumberFormat="1" applyFont="1" applyFill="1" applyBorder="1" applyAlignment="1" applyProtection="1">
      <alignment horizontal="center" vertical="center" wrapText="1"/>
    </xf>
    <xf numFmtId="0" fontId="35" fillId="21" borderId="1" xfId="9" applyNumberFormat="1" applyFont="1" applyFill="1" applyBorder="1" applyAlignment="1" applyProtection="1">
      <alignment horizontal="left" vertical="center" wrapText="1" indent="1"/>
    </xf>
    <xf numFmtId="172" fontId="39" fillId="21" borderId="1" xfId="10" applyNumberFormat="1" applyFont="1" applyFill="1" applyBorder="1" applyAlignment="1" applyProtection="1">
      <alignment horizontal="center" vertical="center" wrapText="1"/>
    </xf>
    <xf numFmtId="0" fontId="35" fillId="0" borderId="1" xfId="9" applyNumberFormat="1" applyFont="1" applyFill="1" applyBorder="1" applyAlignment="1" applyProtection="1">
      <alignment horizontal="center" vertical="center" wrapText="1"/>
    </xf>
    <xf numFmtId="0" fontId="35" fillId="5" borderId="1" xfId="9" applyNumberFormat="1" applyFont="1" applyFill="1" applyBorder="1" applyAlignment="1" applyProtection="1">
      <alignment horizontal="left" vertical="center" wrapText="1" indent="1"/>
    </xf>
    <xf numFmtId="172" fontId="35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57" fillId="0" borderId="1" xfId="9" applyNumberFormat="1" applyFont="1" applyFill="1" applyBorder="1" applyAlignment="1" applyProtection="1">
      <alignment horizontal="center" vertical="center" wrapText="1"/>
    </xf>
    <xf numFmtId="0" fontId="57" fillId="5" borderId="1" xfId="9" applyNumberFormat="1" applyFont="1" applyFill="1" applyBorder="1" applyAlignment="1" applyProtection="1">
      <alignment horizontal="left" vertical="center" wrapText="1" indent="1"/>
    </xf>
    <xf numFmtId="0" fontId="35" fillId="0" borderId="1" xfId="9" applyNumberFormat="1" applyFont="1" applyFill="1" applyBorder="1" applyAlignment="1" applyProtection="1">
      <alignment horizontal="left" vertical="center" wrapText="1" indent="1"/>
    </xf>
    <xf numFmtId="0" fontId="35" fillId="0" borderId="0" xfId="9" applyNumberFormat="1" applyFont="1" applyFill="1" applyBorder="1" applyAlignment="1" applyProtection="1">
      <alignment horizontal="center" vertical="center" wrapText="1"/>
    </xf>
    <xf numFmtId="0" fontId="35" fillId="0" borderId="0" xfId="9" applyNumberFormat="1" applyFont="1" applyFill="1" applyBorder="1" applyAlignment="1" applyProtection="1">
      <alignment horizontal="left" vertical="center" wrapText="1" indent="1"/>
    </xf>
    <xf numFmtId="172" fontId="35" fillId="0" borderId="0" xfId="10" applyNumberFormat="1" applyFont="1" applyFill="1" applyBorder="1" applyAlignment="1" applyProtection="1">
      <alignment horizontal="center" vertical="center" wrapText="1"/>
    </xf>
    <xf numFmtId="3" fontId="16" fillId="3" borderId="1" xfId="0" applyNumberFormat="1" applyFont="1" applyFill="1" applyBorder="1" applyAlignment="1" applyProtection="1">
      <alignment horizontal="center" vertical="center" wrapText="1"/>
    </xf>
    <xf numFmtId="0" fontId="45" fillId="5" borderId="1" xfId="5" applyNumberFormat="1" applyFont="1" applyFill="1" applyBorder="1" applyAlignment="1" applyProtection="1">
      <alignment horizontal="center" vertical="center" wrapText="1"/>
    </xf>
    <xf numFmtId="0" fontId="45" fillId="5" borderId="1" xfId="5" applyNumberFormat="1" applyFont="1" applyFill="1" applyBorder="1" applyAlignment="1" applyProtection="1">
      <alignment horizontal="left" vertical="center" wrapText="1" indent="2"/>
    </xf>
    <xf numFmtId="3" fontId="45" fillId="0" borderId="0" xfId="5" applyNumberFormat="1" applyFont="1" applyFill="1" applyBorder="1" applyAlignment="1" applyProtection="1">
      <alignment horizontal="center" vertical="center"/>
    </xf>
    <xf numFmtId="0" fontId="21" fillId="5" borderId="1" xfId="5" applyNumberFormat="1" applyFont="1" applyFill="1" applyBorder="1" applyAlignment="1" applyProtection="1">
      <alignment horizontal="left" vertical="center" wrapText="1" indent="1"/>
    </xf>
    <xf numFmtId="3" fontId="21" fillId="0" borderId="0" xfId="5" applyNumberFormat="1" applyFont="1" applyFill="1" applyBorder="1" applyAlignment="1" applyProtection="1">
      <alignment horizontal="center" vertical="center"/>
    </xf>
    <xf numFmtId="171" fontId="6" fillId="0" borderId="0" xfId="0" quotePrefix="1" applyNumberFormat="1" applyFont="1" applyAlignment="1" applyProtection="1">
      <alignment horizontal="centerContinuous" vertical="center"/>
    </xf>
    <xf numFmtId="0" fontId="3" fillId="0" borderId="0" xfId="0" applyFont="1" applyAlignment="1" applyProtection="1">
      <alignment horizontal="centerContinuous"/>
    </xf>
    <xf numFmtId="0" fontId="6" fillId="0" borderId="1" xfId="0" applyFont="1" applyBorder="1" applyAlignment="1" applyProtection="1">
      <alignment horizontal="center" vertical="center"/>
    </xf>
    <xf numFmtId="0" fontId="6" fillId="0" borderId="0" xfId="0" applyFont="1" applyProtection="1"/>
    <xf numFmtId="2" fontId="3" fillId="0" borderId="5" xfId="0" applyNumberFormat="1" applyFont="1" applyBorder="1" applyAlignment="1" applyProtection="1">
      <alignment horizontal="center" vertical="center"/>
    </xf>
    <xf numFmtId="169" fontId="3" fillId="0" borderId="3" xfId="0" applyNumberFormat="1" applyFont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left" vertical="center" indent="4"/>
    </xf>
    <xf numFmtId="0" fontId="104" fillId="0" borderId="1" xfId="0" applyFont="1" applyFill="1" applyBorder="1" applyAlignment="1" applyProtection="1">
      <alignment horizontal="left" vertical="center" indent="4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2"/>
    </xf>
    <xf numFmtId="0" fontId="104" fillId="0" borderId="4" xfId="0" applyFont="1" applyBorder="1" applyAlignment="1">
      <alignment horizontal="center" vertical="center"/>
    </xf>
    <xf numFmtId="0" fontId="104" fillId="0" borderId="1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4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104" fillId="0" borderId="4" xfId="0" applyFont="1" applyFill="1" applyBorder="1" applyAlignment="1">
      <alignment horizontal="center" vertical="center"/>
    </xf>
    <xf numFmtId="0" fontId="104" fillId="0" borderId="1" xfId="0" applyFont="1" applyFill="1" applyBorder="1" applyAlignment="1">
      <alignment horizontal="left" vertical="center" wrapText="1" indent="4"/>
    </xf>
    <xf numFmtId="0" fontId="28" fillId="0" borderId="4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wrapText="1" indent="4"/>
    </xf>
    <xf numFmtId="0" fontId="0" fillId="0" borderId="4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 wrapText="1" indent="4"/>
    </xf>
    <xf numFmtId="0" fontId="29" fillId="0" borderId="1" xfId="0" applyFont="1" applyFill="1" applyBorder="1" applyAlignment="1">
      <alignment horizontal="left" vertical="center" wrapText="1" indent="5"/>
    </xf>
    <xf numFmtId="0" fontId="28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 indent="2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wrapText="1"/>
    </xf>
    <xf numFmtId="170" fontId="79" fillId="0" borderId="0" xfId="3" applyNumberFormat="1" applyFont="1" applyFill="1" applyAlignment="1" applyProtection="1">
      <alignment vertical="center"/>
    </xf>
    <xf numFmtId="170" fontId="78" fillId="0" borderId="0" xfId="3" applyNumberFormat="1" applyFont="1" applyFill="1" applyAlignment="1" applyProtection="1">
      <alignment vertical="center"/>
    </xf>
    <xf numFmtId="171" fontId="3" fillId="0" borderId="0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3" fontId="13" fillId="3" borderId="1" xfId="0" applyNumberFormat="1" applyFont="1" applyFill="1" applyBorder="1" applyAlignment="1" applyProtection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/>
    </xf>
    <xf numFmtId="196" fontId="109" fillId="0" borderId="9" xfId="4" applyNumberFormat="1" applyFont="1" applyFill="1" applyBorder="1" applyAlignment="1" applyProtection="1">
      <alignment vertical="center" wrapText="1"/>
      <protection locked="0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3" fontId="13" fillId="3" borderId="1" xfId="0" applyNumberFormat="1" applyFont="1" applyFill="1" applyBorder="1" applyAlignment="1" applyProtection="1">
      <alignment horizontal="center"/>
    </xf>
    <xf numFmtId="3" fontId="11" fillId="3" borderId="1" xfId="0" applyNumberFormat="1" applyFont="1" applyFill="1" applyBorder="1" applyAlignment="1" applyProtection="1">
      <alignment horizontal="center" vertical="center"/>
    </xf>
    <xf numFmtId="3" fontId="13" fillId="3" borderId="1" xfId="0" applyNumberFormat="1" applyFont="1" applyFill="1" applyBorder="1" applyProtection="1"/>
    <xf numFmtId="3" fontId="13" fillId="0" borderId="1" xfId="0" applyNumberFormat="1" applyFont="1" applyBorder="1" applyAlignment="1" applyProtection="1">
      <alignment horizontal="center" vertical="center"/>
    </xf>
    <xf numFmtId="3" fontId="13" fillId="0" borderId="1" xfId="0" applyNumberFormat="1" applyFont="1" applyBorder="1" applyAlignment="1" applyProtection="1">
      <alignment horizontal="left" vertical="center" indent="2"/>
    </xf>
    <xf numFmtId="3" fontId="13" fillId="0" borderId="1" xfId="0" applyNumberFormat="1" applyFont="1" applyBorder="1" applyAlignment="1" applyProtection="1">
      <alignment vertical="center"/>
    </xf>
    <xf numFmtId="3" fontId="13" fillId="0" borderId="1" xfId="0" applyNumberFormat="1" applyFont="1" applyBorder="1" applyAlignment="1" applyProtection="1">
      <alignment vertical="center"/>
      <protection locked="0"/>
    </xf>
    <xf numFmtId="3" fontId="13" fillId="0" borderId="1" xfId="0" applyNumberFormat="1" applyFont="1" applyFill="1" applyBorder="1" applyAlignment="1" applyProtection="1">
      <alignment horizontal="center" vertical="center"/>
    </xf>
    <xf numFmtId="3" fontId="13" fillId="3" borderId="1" xfId="0" applyNumberFormat="1" applyFont="1" applyFill="1" applyBorder="1" applyAlignment="1" applyProtection="1">
      <alignment horizontal="center" vertical="center"/>
    </xf>
    <xf numFmtId="3" fontId="13" fillId="3" borderId="1" xfId="0" applyNumberFormat="1" applyFont="1" applyFill="1" applyBorder="1" applyAlignment="1" applyProtection="1">
      <alignment vertical="center"/>
    </xf>
    <xf numFmtId="9" fontId="13" fillId="3" borderId="1" xfId="2" applyFont="1" applyFill="1" applyBorder="1" applyAlignment="1" applyProtection="1">
      <alignment vertical="center"/>
    </xf>
    <xf numFmtId="3" fontId="13" fillId="0" borderId="1" xfId="0" applyNumberFormat="1" applyFont="1" applyFill="1" applyBorder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vertical="center"/>
      <protection locked="0"/>
    </xf>
    <xf numFmtId="9" fontId="13" fillId="3" borderId="1" xfId="2" applyFont="1" applyFill="1" applyBorder="1" applyAlignment="1" applyProtection="1">
      <alignment vertical="center"/>
      <protection locked="0"/>
    </xf>
    <xf numFmtId="3" fontId="11" fillId="0" borderId="1" xfId="0" applyNumberFormat="1" applyFont="1" applyBorder="1" applyAlignment="1" applyProtection="1">
      <alignment horizontal="left" vertical="center" indent="2"/>
    </xf>
    <xf numFmtId="3" fontId="6" fillId="0" borderId="1" xfId="0" applyNumberFormat="1" applyFont="1" applyFill="1" applyBorder="1" applyAlignment="1">
      <alignment horizontal="right" vertical="center" wrapText="1"/>
    </xf>
    <xf numFmtId="196" fontId="17" fillId="3" borderId="1" xfId="0" applyNumberFormat="1" applyFont="1" applyFill="1" applyBorder="1" applyAlignment="1" applyProtection="1">
      <alignment horizontal="center" vertical="center" wrapText="1"/>
    </xf>
    <xf numFmtId="170" fontId="45" fillId="0" borderId="0" xfId="3" applyNumberFormat="1" applyFont="1" applyFill="1" applyBorder="1" applyAlignment="1" applyProtection="1">
      <alignment horizontal="center" vertical="top"/>
    </xf>
    <xf numFmtId="3" fontId="45" fillId="0" borderId="0" xfId="5" applyNumberFormat="1" applyFont="1" applyFill="1" applyBorder="1" applyAlignment="1" applyProtection="1">
      <alignment horizontal="center" vertical="top"/>
    </xf>
    <xf numFmtId="170" fontId="45" fillId="0" borderId="0" xfId="3" applyNumberFormat="1" applyFont="1" applyFill="1" applyBorder="1" applyAlignment="1" applyProtection="1">
      <alignment vertical="top"/>
    </xf>
    <xf numFmtId="0" fontId="45" fillId="0" borderId="0" xfId="5" applyNumberFormat="1" applyFont="1" applyFill="1" applyBorder="1" applyAlignment="1" applyProtection="1">
      <alignment vertical="top"/>
    </xf>
    <xf numFmtId="0" fontId="110" fillId="0" borderId="0" xfId="0" applyFont="1" applyAlignment="1">
      <alignment vertical="center"/>
    </xf>
    <xf numFmtId="0" fontId="14" fillId="0" borderId="0" xfId="4" applyNumberFormat="1" applyFont="1" applyFill="1" applyBorder="1" applyAlignment="1" applyProtection="1">
      <alignment vertical="center"/>
    </xf>
    <xf numFmtId="3" fontId="38" fillId="3" borderId="5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/>
    </xf>
    <xf numFmtId="169" fontId="8" fillId="0" borderId="5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 wrapText="1"/>
    </xf>
    <xf numFmtId="0" fontId="28" fillId="0" borderId="2" xfId="0" applyFont="1" applyFill="1" applyBorder="1" applyAlignment="1" applyProtection="1">
      <alignment horizontal="center" vertical="center" wrapText="1"/>
    </xf>
    <xf numFmtId="0" fontId="0" fillId="0" borderId="2" xfId="0" quotePrefix="1" applyFont="1" applyFill="1" applyBorder="1" applyAlignment="1" applyProtection="1">
      <alignment horizontal="center" vertical="center" wrapText="1"/>
    </xf>
    <xf numFmtId="0" fontId="110" fillId="0" borderId="0" xfId="0" applyFont="1" applyAlignment="1">
      <alignment horizontal="justify" vertical="center"/>
    </xf>
    <xf numFmtId="0" fontId="111" fillId="0" borderId="0" xfId="0" applyFont="1" applyBorder="1" applyProtection="1"/>
    <xf numFmtId="3" fontId="111" fillId="0" borderId="0" xfId="0" applyNumberFormat="1" applyFont="1" applyBorder="1" applyProtection="1"/>
    <xf numFmtId="0" fontId="112" fillId="0" borderId="0" xfId="0" applyFont="1" applyBorder="1" applyProtection="1"/>
    <xf numFmtId="0" fontId="111" fillId="0" borderId="0" xfId="0" quotePrefix="1" applyFont="1" applyBorder="1" applyAlignment="1" applyProtection="1">
      <alignment horizontal="left"/>
    </xf>
    <xf numFmtId="0" fontId="113" fillId="0" borderId="0" xfId="0" applyFont="1" applyBorder="1"/>
    <xf numFmtId="0" fontId="114" fillId="0" borderId="0" xfId="0" applyFont="1"/>
    <xf numFmtId="0" fontId="115" fillId="0" borderId="0" xfId="5" applyNumberFormat="1" applyFont="1" applyFill="1" applyBorder="1" applyAlignment="1" applyProtection="1">
      <alignment horizontal="center" vertical="top"/>
    </xf>
    <xf numFmtId="170" fontId="115" fillId="0" borderId="0" xfId="3" applyNumberFormat="1" applyFont="1" applyFill="1" applyBorder="1" applyAlignment="1" applyProtection="1">
      <alignment horizontal="center" vertical="top"/>
    </xf>
    <xf numFmtId="0" fontId="115" fillId="0" borderId="0" xfId="5" applyNumberFormat="1" applyFont="1" applyFill="1" applyBorder="1" applyAlignment="1" applyProtection="1">
      <alignment vertical="top"/>
    </xf>
    <xf numFmtId="170" fontId="115" fillId="0" borderId="0" xfId="3" applyNumberFormat="1" applyFont="1" applyFill="1" applyBorder="1" applyAlignment="1" applyProtection="1">
      <alignment vertical="top"/>
    </xf>
    <xf numFmtId="173" fontId="115" fillId="0" borderId="0" xfId="5" applyNumberFormat="1" applyFont="1" applyFill="1" applyBorder="1" applyAlignment="1" applyProtection="1">
      <alignment horizontal="center" vertical="top"/>
    </xf>
    <xf numFmtId="9" fontId="115" fillId="0" borderId="0" xfId="2" applyFont="1" applyFill="1" applyBorder="1" applyAlignment="1" applyProtection="1">
      <alignment vertical="top"/>
    </xf>
    <xf numFmtId="3" fontId="115" fillId="0" borderId="0" xfId="5" applyNumberFormat="1" applyFont="1" applyFill="1" applyBorder="1" applyAlignment="1" applyProtection="1">
      <alignment horizontal="center" vertical="center"/>
    </xf>
    <xf numFmtId="3" fontId="3" fillId="0" borderId="3" xfId="0" applyNumberFormat="1" applyFont="1" applyFill="1" applyBorder="1" applyAlignment="1" applyProtection="1">
      <alignment horizontal="center"/>
    </xf>
    <xf numFmtId="3" fontId="28" fillId="0" borderId="1" xfId="0" applyNumberFormat="1" applyFont="1" applyBorder="1" applyProtection="1"/>
    <xf numFmtId="0" fontId="28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indent="2"/>
    </xf>
    <xf numFmtId="3" fontId="28" fillId="2" borderId="3" xfId="0" applyNumberFormat="1" applyFont="1" applyFill="1" applyBorder="1"/>
    <xf numFmtId="0" fontId="111" fillId="0" borderId="0" xfId="0" applyFont="1" applyFill="1" applyProtection="1"/>
    <xf numFmtId="0" fontId="111" fillId="0" borderId="0" xfId="0" applyFont="1" applyProtection="1"/>
    <xf numFmtId="0" fontId="112" fillId="0" borderId="0" xfId="0" applyFont="1" applyAlignment="1" applyProtection="1">
      <alignment vertical="center"/>
    </xf>
    <xf numFmtId="0" fontId="112" fillId="0" borderId="0" xfId="0" applyFont="1" applyProtection="1"/>
    <xf numFmtId="0" fontId="112" fillId="0" borderId="0" xfId="0" applyFont="1" applyFill="1" applyProtection="1"/>
    <xf numFmtId="3" fontId="39" fillId="0" borderId="1" xfId="9" applyNumberFormat="1" applyFont="1" applyFill="1" applyBorder="1" applyAlignment="1" applyProtection="1">
      <alignment horizontal="center" vertical="center" wrapText="1"/>
      <protection locked="0"/>
    </xf>
    <xf numFmtId="170" fontId="35" fillId="0" borderId="0" xfId="3" applyNumberFormat="1" applyFont="1" applyFill="1" applyBorder="1" applyAlignment="1" applyProtection="1">
      <alignment horizontal="center" vertical="center"/>
    </xf>
    <xf numFmtId="0" fontId="11" fillId="0" borderId="0" xfId="0" applyFont="1" applyBorder="1" applyProtection="1"/>
    <xf numFmtId="0" fontId="12" fillId="0" borderId="0" xfId="0" applyFont="1" applyBorder="1" applyAlignment="1" applyProtection="1">
      <alignment horizontal="left" indent="2"/>
    </xf>
    <xf numFmtId="0" fontId="78" fillId="0" borderId="0" xfId="0" applyFont="1" applyFill="1" applyBorder="1" applyAlignment="1" applyProtection="1">
      <alignment horizontal="left" vertical="center" wrapText="1" indent="2"/>
    </xf>
    <xf numFmtId="0" fontId="12" fillId="0" borderId="0" xfId="0" applyFont="1" applyBorder="1" applyProtection="1"/>
    <xf numFmtId="3" fontId="111" fillId="0" borderId="0" xfId="0" applyNumberFormat="1" applyFont="1" applyAlignment="1" applyProtection="1">
      <alignment horizontal="center" vertical="center"/>
    </xf>
    <xf numFmtId="3" fontId="28" fillId="0" borderId="1" xfId="0" applyNumberFormat="1" applyFont="1" applyBorder="1" applyAlignment="1">
      <alignment horizontal="center" vertical="center" wrapText="1"/>
    </xf>
    <xf numFmtId="3" fontId="28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 applyProtection="1">
      <alignment vertical="center" wrapText="1"/>
      <protection locked="0"/>
    </xf>
    <xf numFmtId="3" fontId="28" fillId="0" borderId="1" xfId="0" applyNumberFormat="1" applyFont="1" applyFill="1" applyBorder="1" applyAlignment="1">
      <alignment vertical="center" wrapText="1"/>
    </xf>
    <xf numFmtId="3" fontId="6" fillId="0" borderId="1" xfId="0" applyNumberFormat="1" applyFont="1" applyFill="1" applyBorder="1" applyAlignment="1" applyProtection="1">
      <alignment vertical="center" wrapText="1"/>
      <protection locked="0"/>
    </xf>
    <xf numFmtId="3" fontId="0" fillId="0" borderId="1" xfId="0" applyNumberFormat="1" applyFont="1" applyFill="1" applyBorder="1" applyAlignment="1" applyProtection="1">
      <alignment horizontal="right" vertical="center" wrapText="1"/>
      <protection locked="0"/>
    </xf>
    <xf numFmtId="3" fontId="41" fillId="3" borderId="1" xfId="0" applyNumberFormat="1" applyFont="1" applyFill="1" applyBorder="1" applyAlignment="1" applyProtection="1">
      <alignment horizontal="center" vertical="center"/>
    </xf>
    <xf numFmtId="3" fontId="41" fillId="3" borderId="1" xfId="0" applyNumberFormat="1" applyFont="1" applyFill="1" applyBorder="1" applyAlignment="1" applyProtection="1">
      <alignment vertical="center"/>
    </xf>
    <xf numFmtId="0" fontId="41" fillId="0" borderId="0" xfId="0" applyFont="1" applyFill="1" applyProtection="1"/>
    <xf numFmtId="0" fontId="41" fillId="0" borderId="0" xfId="0" applyFont="1" applyFill="1" applyBorder="1" applyProtection="1"/>
    <xf numFmtId="3" fontId="41" fillId="0" borderId="0" xfId="0" applyNumberFormat="1" applyFont="1" applyProtection="1"/>
    <xf numFmtId="3" fontId="9" fillId="3" borderId="1" xfId="0" applyNumberFormat="1" applyFont="1" applyFill="1" applyBorder="1" applyAlignment="1" applyProtection="1">
      <alignment horizontal="center" vertical="center" wrapText="1"/>
    </xf>
    <xf numFmtId="9" fontId="9" fillId="3" borderId="1" xfId="2" applyFont="1" applyFill="1" applyBorder="1" applyAlignment="1" applyProtection="1">
      <alignment horizontal="center" vertical="center" wrapText="1"/>
    </xf>
    <xf numFmtId="9" fontId="9" fillId="0" borderId="1" xfId="0" applyNumberFormat="1" applyFont="1" applyBorder="1" applyProtection="1"/>
    <xf numFmtId="167" fontId="35" fillId="0" borderId="0" xfId="3" applyFont="1" applyFill="1" applyBorder="1" applyAlignment="1" applyProtection="1">
      <alignment horizontal="center" vertical="center"/>
    </xf>
    <xf numFmtId="167" fontId="45" fillId="0" borderId="0" xfId="3" applyFont="1" applyFill="1" applyBorder="1" applyAlignment="1" applyProtection="1">
      <alignment horizontal="center" vertical="center"/>
    </xf>
    <xf numFmtId="198" fontId="45" fillId="0" borderId="0" xfId="3" applyNumberFormat="1" applyFont="1" applyFill="1" applyBorder="1" applyAlignment="1" applyProtection="1">
      <alignment horizontal="center" vertical="top"/>
    </xf>
    <xf numFmtId="0" fontId="116" fillId="0" borderId="0" xfId="0" applyFont="1" applyBorder="1" applyProtection="1"/>
    <xf numFmtId="3" fontId="9" fillId="0" borderId="0" xfId="0" applyNumberFormat="1" applyFont="1"/>
    <xf numFmtId="3" fontId="9" fillId="0" borderId="0" xfId="0" applyNumberFormat="1" applyFont="1" applyAlignment="1" applyProtection="1">
      <alignment horizontal="center" vertical="center"/>
    </xf>
    <xf numFmtId="172" fontId="35" fillId="0" borderId="0" xfId="2" applyNumberFormat="1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left" vertical="center" indent="1"/>
    </xf>
    <xf numFmtId="167" fontId="3" fillId="0" borderId="0" xfId="3" applyFont="1"/>
    <xf numFmtId="167" fontId="14" fillId="0" borderId="0" xfId="3" applyFont="1" applyFill="1" applyBorder="1" applyAlignment="1" applyProtection="1">
      <alignment horizontal="center" vertical="center"/>
    </xf>
    <xf numFmtId="167" fontId="110" fillId="0" borderId="0" xfId="3" applyFont="1" applyAlignment="1">
      <alignment vertical="center"/>
    </xf>
    <xf numFmtId="167" fontId="16" fillId="0" borderId="0" xfId="3" applyFont="1" applyFill="1" applyBorder="1" applyAlignment="1" applyProtection="1">
      <alignment vertical="center"/>
    </xf>
    <xf numFmtId="167" fontId="14" fillId="0" borderId="0" xfId="3" applyFont="1" applyFill="1" applyBorder="1" applyAlignment="1" applyProtection="1">
      <alignment vertical="center"/>
    </xf>
    <xf numFmtId="3" fontId="11" fillId="3" borderId="1" xfId="0" applyNumberFormat="1" applyFont="1" applyFill="1" applyBorder="1" applyAlignment="1" applyProtection="1">
      <alignment horizontal="center" vertical="center" wrapText="1"/>
    </xf>
    <xf numFmtId="3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3" fontId="28" fillId="0" borderId="3" xfId="0" applyNumberFormat="1" applyFont="1" applyFill="1" applyBorder="1" applyAlignment="1" applyProtection="1">
      <alignment horizontal="center"/>
    </xf>
    <xf numFmtId="3" fontId="6" fillId="0" borderId="3" xfId="0" applyNumberFormat="1" applyFont="1" applyBorder="1" applyAlignment="1" applyProtection="1">
      <alignment horizontal="center" vertical="center" wrapText="1"/>
    </xf>
    <xf numFmtId="3" fontId="3" fillId="0" borderId="3" xfId="0" applyNumberFormat="1" applyFont="1" applyBorder="1" applyAlignment="1" applyProtection="1">
      <alignment vertical="center" wrapText="1"/>
      <protection locked="0"/>
    </xf>
    <xf numFmtId="3" fontId="3" fillId="0" borderId="3" xfId="0" applyNumberFormat="1" applyFont="1" applyFill="1" applyBorder="1" applyAlignment="1" applyProtection="1">
      <alignment horizontal="right" vertical="center"/>
      <protection locked="0"/>
    </xf>
    <xf numFmtId="3" fontId="3" fillId="0" borderId="3" xfId="0" applyNumberFormat="1" applyFont="1" applyFill="1" applyBorder="1" applyAlignment="1" applyProtection="1">
      <alignment horizontal="center" vertical="center"/>
      <protection locked="0"/>
    </xf>
    <xf numFmtId="3" fontId="3" fillId="0" borderId="3" xfId="0" applyNumberFormat="1" applyFont="1" applyFill="1" applyBorder="1" applyAlignment="1" applyProtection="1">
      <alignment vertical="center"/>
      <protection locked="0"/>
    </xf>
    <xf numFmtId="3" fontId="3" fillId="0" borderId="3" xfId="0" applyNumberFormat="1" applyFont="1" applyFill="1" applyBorder="1" applyAlignment="1" applyProtection="1">
      <alignment horizontal="right" vertical="center"/>
    </xf>
    <xf numFmtId="0" fontId="56" fillId="0" borderId="0" xfId="4" quotePrefix="1" applyNumberFormat="1" applyFont="1" applyFill="1" applyBorder="1" applyAlignment="1" applyProtection="1">
      <alignment horizontal="center" vertical="top"/>
      <protection locked="0"/>
    </xf>
    <xf numFmtId="0" fontId="117" fillId="0" borderId="0" xfId="0" applyFont="1" applyAlignment="1" applyProtection="1">
      <alignment horizontal="center"/>
    </xf>
    <xf numFmtId="3" fontId="38" fillId="3" borderId="1" xfId="0" applyNumberFormat="1" applyFont="1" applyFill="1" applyBorder="1" applyAlignment="1" applyProtection="1">
      <alignment horizontal="center" vertical="center" wrapText="1"/>
    </xf>
    <xf numFmtId="172" fontId="16" fillId="0" borderId="1" xfId="2" applyNumberFormat="1" applyFont="1" applyFill="1" applyBorder="1" applyAlignment="1" applyProtection="1">
      <alignment horizontal="center" vertical="center" wrapText="1"/>
    </xf>
    <xf numFmtId="172" fontId="35" fillId="0" borderId="1" xfId="10" applyNumberFormat="1" applyFont="1" applyFill="1" applyBorder="1" applyAlignment="1" applyProtection="1">
      <alignment horizontal="center" vertical="center" wrapText="1"/>
    </xf>
    <xf numFmtId="9" fontId="45" fillId="5" borderId="1" xfId="2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vertical="center"/>
      <protection locked="0"/>
    </xf>
    <xf numFmtId="195" fontId="28" fillId="0" borderId="1" xfId="0" applyNumberFormat="1" applyFont="1" applyFill="1" applyBorder="1" applyAlignment="1" applyProtection="1">
      <alignment vertical="center"/>
    </xf>
    <xf numFmtId="195" fontId="11" fillId="3" borderId="1" xfId="0" applyNumberFormat="1" applyFont="1" applyFill="1" applyBorder="1" applyAlignment="1" applyProtection="1">
      <alignment horizontal="center" vertical="center" wrapText="1"/>
    </xf>
    <xf numFmtId="167" fontId="3" fillId="0" borderId="0" xfId="3" applyFont="1" applyProtection="1"/>
    <xf numFmtId="167" fontId="3" fillId="0" borderId="0" xfId="3" applyFont="1" applyBorder="1" applyProtection="1"/>
    <xf numFmtId="0" fontId="12" fillId="0" borderId="0" xfId="0" applyFont="1" applyAlignment="1" applyProtection="1">
      <alignment horizontal="centerContinuous"/>
    </xf>
    <xf numFmtId="3" fontId="3" fillId="0" borderId="0" xfId="0" applyNumberFormat="1" applyFont="1" applyAlignment="1" applyProtection="1">
      <alignment horizontal="centerContinuous"/>
    </xf>
    <xf numFmtId="0" fontId="15" fillId="0" borderId="0" xfId="0" applyFont="1" applyProtection="1"/>
    <xf numFmtId="3" fontId="28" fillId="0" borderId="0" xfId="0" applyNumberFormat="1" applyFont="1" applyProtection="1"/>
    <xf numFmtId="3" fontId="3" fillId="0" borderId="0" xfId="0" applyNumberFormat="1" applyFont="1" applyAlignment="1" applyProtection="1">
      <alignment horizontal="left"/>
    </xf>
    <xf numFmtId="3" fontId="6" fillId="0" borderId="1" xfId="0" applyNumberFormat="1" applyFont="1" applyFill="1" applyBorder="1" applyAlignment="1" applyProtection="1">
      <alignment horizontal="center" vertical="center" wrapText="1"/>
    </xf>
    <xf numFmtId="0" fontId="13" fillId="0" borderId="0" xfId="0" applyFont="1" applyAlignment="1" applyProtection="1">
      <alignment vertical="center"/>
    </xf>
    <xf numFmtId="3" fontId="6" fillId="0" borderId="1" xfId="0" applyNumberFormat="1" applyFont="1" applyFill="1" applyBorder="1" applyAlignment="1" applyProtection="1">
      <alignment horizontal="center" vertical="center"/>
    </xf>
    <xf numFmtId="195" fontId="28" fillId="0" borderId="1" xfId="0" applyNumberFormat="1" applyFont="1" applyFill="1" applyBorder="1" applyAlignment="1" applyProtection="1">
      <alignment vertical="center" wrapText="1"/>
    </xf>
    <xf numFmtId="195" fontId="0" fillId="0" borderId="1" xfId="0" applyNumberFormat="1" applyFont="1" applyFill="1" applyBorder="1" applyAlignment="1" applyProtection="1">
      <alignment vertical="center" wrapText="1"/>
    </xf>
    <xf numFmtId="3" fontId="15" fillId="0" borderId="0" xfId="0" applyNumberFormat="1" applyFont="1" applyAlignment="1" applyProtection="1">
      <alignment vertical="center"/>
    </xf>
    <xf numFmtId="0" fontId="15" fillId="0" borderId="0" xfId="0" applyFont="1" applyAlignment="1" applyProtection="1">
      <alignment vertical="center"/>
    </xf>
    <xf numFmtId="3" fontId="0" fillId="0" borderId="1" xfId="0" applyNumberFormat="1" applyFont="1" applyFill="1" applyBorder="1" applyAlignment="1" applyProtection="1">
      <alignment horizontal="left" vertical="center"/>
    </xf>
    <xf numFmtId="195" fontId="6" fillId="0" borderId="1" xfId="0" applyNumberFormat="1" applyFont="1" applyFill="1" applyBorder="1" applyAlignment="1" applyProtection="1">
      <alignment vertical="center" wrapText="1"/>
    </xf>
    <xf numFmtId="195" fontId="6" fillId="0" borderId="1" xfId="0" applyNumberFormat="1" applyFont="1" applyBorder="1" applyAlignment="1" applyProtection="1">
      <alignment vertical="center" wrapText="1"/>
    </xf>
    <xf numFmtId="195" fontId="0" fillId="0" borderId="1" xfId="0" applyNumberFormat="1" applyBorder="1" applyAlignment="1" applyProtection="1">
      <alignment vertical="center" wrapText="1"/>
    </xf>
    <xf numFmtId="3" fontId="13" fillId="0" borderId="0" xfId="0" applyNumberFormat="1" applyFont="1" applyAlignment="1" applyProtection="1">
      <alignment vertical="center"/>
    </xf>
    <xf numFmtId="3" fontId="3" fillId="0" borderId="1" xfId="0" applyNumberFormat="1" applyFont="1" applyFill="1" applyBorder="1" applyAlignment="1" applyProtection="1">
      <alignment horizontal="left" vertical="center"/>
    </xf>
    <xf numFmtId="195" fontId="6" fillId="0" borderId="1" xfId="0" applyNumberFormat="1" applyFont="1" applyFill="1" applyBorder="1" applyAlignment="1" applyProtection="1">
      <alignment horizontal="center" vertical="center" wrapText="1"/>
    </xf>
    <xf numFmtId="195" fontId="6" fillId="0" borderId="1" xfId="0" applyNumberFormat="1" applyFont="1" applyBorder="1" applyAlignment="1" applyProtection="1">
      <alignment horizontal="center" vertical="center" wrapText="1"/>
    </xf>
    <xf numFmtId="195" fontId="28" fillId="0" borderId="1" xfId="0" applyNumberFormat="1" applyFont="1" applyBorder="1" applyAlignment="1" applyProtection="1">
      <alignment horizontal="center" vertical="center" wrapText="1"/>
    </xf>
    <xf numFmtId="195" fontId="0" fillId="0" borderId="1" xfId="0" applyNumberFormat="1" applyFont="1" applyFill="1" applyBorder="1" applyAlignment="1" applyProtection="1">
      <alignment horizontal="right" vertical="center" wrapText="1"/>
    </xf>
    <xf numFmtId="195" fontId="0" fillId="0" borderId="1" xfId="0" applyNumberFormat="1" applyBorder="1" applyAlignment="1" applyProtection="1">
      <alignment horizontal="right" vertical="center" wrapText="1"/>
    </xf>
    <xf numFmtId="0" fontId="15" fillId="0" borderId="0" xfId="0" applyFont="1" applyFill="1" applyAlignment="1" applyProtection="1">
      <alignment vertical="center"/>
    </xf>
    <xf numFmtId="170" fontId="106" fillId="0" borderId="0" xfId="3" applyNumberFormat="1" applyFont="1" applyProtection="1"/>
    <xf numFmtId="0" fontId="0" fillId="0" borderId="1" xfId="0" applyFont="1" applyFill="1" applyBorder="1" applyAlignment="1">
      <alignment horizontal="left" vertical="center" indent="2"/>
    </xf>
    <xf numFmtId="0" fontId="0" fillId="0" borderId="1" xfId="0" applyFont="1" applyFill="1" applyBorder="1" applyAlignment="1">
      <alignment horizontal="left" vertical="center" wrapText="1" indent="2"/>
    </xf>
    <xf numFmtId="196" fontId="30" fillId="0" borderId="9" xfId="4" applyNumberFormat="1" applyFont="1" applyFill="1" applyBorder="1" applyAlignment="1" applyProtection="1">
      <alignment horizontal="right" wrapText="1"/>
      <protection locked="0"/>
    </xf>
    <xf numFmtId="3" fontId="38" fillId="3" borderId="1" xfId="0" applyNumberFormat="1" applyFont="1" applyFill="1" applyBorder="1" applyAlignment="1" applyProtection="1">
      <alignment horizontal="center" vertical="center" wrapText="1"/>
    </xf>
    <xf numFmtId="0" fontId="102" fillId="0" borderId="0" xfId="4" applyNumberFormat="1" applyFont="1" applyFill="1" applyBorder="1" applyAlignment="1" applyProtection="1">
      <alignment horizontal="center" vertical="center" wrapText="1"/>
    </xf>
    <xf numFmtId="0" fontId="102" fillId="0" borderId="0" xfId="4" applyNumberFormat="1" applyFont="1" applyFill="1" applyBorder="1" applyAlignment="1" applyProtection="1">
      <alignment horizontal="center" vertical="center"/>
    </xf>
    <xf numFmtId="0" fontId="38" fillId="0" borderId="0" xfId="0" applyFont="1" applyBorder="1" applyAlignment="1" applyProtection="1">
      <alignment horizontal="center" vertical="center" wrapText="1"/>
    </xf>
    <xf numFmtId="3" fontId="38" fillId="3" borderId="5" xfId="0" applyNumberFormat="1" applyFont="1" applyFill="1" applyBorder="1" applyAlignment="1" applyProtection="1">
      <alignment horizontal="center" vertical="center" wrapText="1"/>
    </xf>
    <xf numFmtId="3" fontId="38" fillId="3" borderId="12" xfId="0" applyNumberFormat="1" applyFont="1" applyFill="1" applyBorder="1" applyAlignment="1" applyProtection="1">
      <alignment horizontal="center" vertical="center" wrapText="1"/>
    </xf>
    <xf numFmtId="3" fontId="38" fillId="3" borderId="3" xfId="0" applyNumberFormat="1" applyFont="1" applyFill="1" applyBorder="1" applyAlignment="1" applyProtection="1">
      <alignment horizontal="center" vertical="center" wrapText="1"/>
    </xf>
    <xf numFmtId="3" fontId="38" fillId="3" borderId="7" xfId="0" applyNumberFormat="1" applyFont="1" applyFill="1" applyBorder="1" applyAlignment="1" applyProtection="1">
      <alignment horizontal="center" vertical="center" wrapText="1"/>
    </xf>
    <xf numFmtId="3" fontId="38" fillId="3" borderId="11" xfId="0" applyNumberFormat="1" applyFont="1" applyFill="1" applyBorder="1" applyAlignment="1" applyProtection="1">
      <alignment horizontal="center" vertical="center" wrapText="1"/>
    </xf>
    <xf numFmtId="3" fontId="38" fillId="3" borderId="15" xfId="0" applyNumberFormat="1" applyFont="1" applyFill="1" applyBorder="1" applyAlignment="1" applyProtection="1">
      <alignment horizontal="center" vertical="center" wrapText="1"/>
    </xf>
    <xf numFmtId="3" fontId="38" fillId="3" borderId="10" xfId="0" applyNumberFormat="1" applyFont="1" applyFill="1" applyBorder="1" applyAlignment="1" applyProtection="1">
      <alignment horizontal="center" vertical="center" wrapText="1"/>
    </xf>
    <xf numFmtId="3" fontId="38" fillId="3" borderId="0" xfId="0" applyNumberFormat="1" applyFont="1" applyFill="1" applyBorder="1" applyAlignment="1" applyProtection="1">
      <alignment horizontal="center" vertical="center" wrapText="1"/>
    </xf>
    <xf numFmtId="3" fontId="38" fillId="3" borderId="13" xfId="0" applyNumberFormat="1" applyFont="1" applyFill="1" applyBorder="1" applyAlignment="1" applyProtection="1">
      <alignment horizontal="center" vertical="center" wrapText="1"/>
    </xf>
    <xf numFmtId="3" fontId="38" fillId="3" borderId="2" xfId="0" applyNumberFormat="1" applyFont="1" applyFill="1" applyBorder="1" applyAlignment="1" applyProtection="1">
      <alignment horizontal="center" vertical="center" wrapText="1"/>
    </xf>
    <xf numFmtId="3" fontId="38" fillId="3" borderId="9" xfId="0" applyNumberFormat="1" applyFont="1" applyFill="1" applyBorder="1" applyAlignment="1" applyProtection="1">
      <alignment horizontal="center" vertical="center" wrapText="1"/>
    </xf>
    <xf numFmtId="3" fontId="38" fillId="3" borderId="14" xfId="0" applyNumberFormat="1" applyFont="1" applyFill="1" applyBorder="1" applyAlignment="1" applyProtection="1">
      <alignment horizontal="center" vertical="center" wrapText="1"/>
    </xf>
    <xf numFmtId="3" fontId="38" fillId="3" borderId="4" xfId="0" applyNumberFormat="1" applyFont="1" applyFill="1" applyBorder="1" applyAlignment="1" applyProtection="1">
      <alignment horizontal="center" vertical="center" wrapText="1"/>
    </xf>
    <xf numFmtId="3" fontId="38" fillId="3" borderId="8" xfId="0" applyNumberFormat="1" applyFont="1" applyFill="1" applyBorder="1" applyAlignment="1" applyProtection="1">
      <alignment horizontal="center" vertical="center" wrapText="1"/>
    </xf>
    <xf numFmtId="3" fontId="38" fillId="3" borderId="6" xfId="0" applyNumberFormat="1" applyFont="1" applyFill="1" applyBorder="1" applyAlignment="1" applyProtection="1">
      <alignment horizontal="center" vertical="center" wrapText="1"/>
    </xf>
    <xf numFmtId="196" fontId="39" fillId="0" borderId="9" xfId="4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 vertical="center"/>
    </xf>
    <xf numFmtId="3" fontId="13" fillId="3" borderId="1" xfId="0" applyNumberFormat="1" applyFont="1" applyFill="1" applyBorder="1" applyAlignment="1" applyProtection="1">
      <alignment horizontal="center" vertical="center" wrapText="1"/>
    </xf>
    <xf numFmtId="3" fontId="13" fillId="3" borderId="5" xfId="0" applyNumberFormat="1" applyFont="1" applyFill="1" applyBorder="1" applyAlignment="1" applyProtection="1">
      <alignment horizontal="center" vertical="center"/>
    </xf>
    <xf numFmtId="3" fontId="13" fillId="3" borderId="12" xfId="0" applyNumberFormat="1" applyFont="1" applyFill="1" applyBorder="1" applyAlignment="1" applyProtection="1">
      <alignment horizontal="center" vertical="center"/>
    </xf>
    <xf numFmtId="3" fontId="13" fillId="3" borderId="3" xfId="0" applyNumberFormat="1" applyFont="1" applyFill="1" applyBorder="1" applyAlignment="1" applyProtection="1">
      <alignment horizontal="center" vertical="center"/>
    </xf>
    <xf numFmtId="3" fontId="13" fillId="3" borderId="5" xfId="0" applyNumberFormat="1" applyFont="1" applyFill="1" applyBorder="1" applyAlignment="1" applyProtection="1">
      <alignment horizontal="center" vertical="center" wrapText="1"/>
    </xf>
    <xf numFmtId="3" fontId="13" fillId="3" borderId="12" xfId="0" applyNumberFormat="1" applyFont="1" applyFill="1" applyBorder="1" applyAlignment="1" applyProtection="1">
      <alignment horizontal="center" vertical="center" wrapText="1"/>
    </xf>
    <xf numFmtId="3" fontId="13" fillId="3" borderId="3" xfId="0" applyNumberFormat="1" applyFont="1" applyFill="1" applyBorder="1" applyAlignment="1" applyProtection="1">
      <alignment horizontal="center" vertical="center" wrapText="1"/>
    </xf>
    <xf numFmtId="3" fontId="13" fillId="3" borderId="4" xfId="0" applyNumberFormat="1" applyFont="1" applyFill="1" applyBorder="1" applyAlignment="1" applyProtection="1">
      <alignment horizontal="center" vertical="center" wrapText="1"/>
    </xf>
    <xf numFmtId="3" fontId="13" fillId="3" borderId="6" xfId="0" applyNumberFormat="1" applyFont="1" applyFill="1" applyBorder="1" applyAlignment="1" applyProtection="1">
      <alignment horizontal="center" vertical="center" wrapText="1"/>
    </xf>
    <xf numFmtId="196" fontId="30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13" fillId="3" borderId="1" xfId="0" applyNumberFormat="1" applyFont="1" applyFill="1" applyBorder="1" applyAlignment="1" applyProtection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/>
    </xf>
    <xf numFmtId="3" fontId="13" fillId="3" borderId="5" xfId="0" applyNumberFormat="1" applyFont="1" applyFill="1" applyBorder="1" applyAlignment="1" applyProtection="1">
      <alignment horizontal="center" vertical="center" textRotation="90" wrapText="1"/>
    </xf>
    <xf numFmtId="3" fontId="13" fillId="3" borderId="3" xfId="0" applyNumberFormat="1" applyFont="1" applyFill="1" applyBorder="1" applyAlignment="1" applyProtection="1">
      <alignment horizontal="center" vertical="center" textRotation="90" wrapText="1"/>
    </xf>
    <xf numFmtId="3" fontId="42" fillId="3" borderId="4" xfId="0" applyNumberFormat="1" applyFont="1" applyFill="1" applyBorder="1" applyAlignment="1" applyProtection="1">
      <alignment horizontal="center" vertical="center" wrapText="1"/>
    </xf>
    <xf numFmtId="3" fontId="42" fillId="3" borderId="6" xfId="0" applyNumberFormat="1" applyFont="1" applyFill="1" applyBorder="1" applyAlignment="1" applyProtection="1">
      <alignment horizontal="center" vertical="center" wrapText="1"/>
    </xf>
    <xf numFmtId="3" fontId="42" fillId="3" borderId="8" xfId="0" applyNumberFormat="1" applyFont="1" applyFill="1" applyBorder="1" applyAlignment="1" applyProtection="1">
      <alignment horizontal="center" vertical="center" wrapText="1"/>
    </xf>
    <xf numFmtId="196" fontId="85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42" fillId="3" borderId="7" xfId="0" applyNumberFormat="1" applyFont="1" applyFill="1" applyBorder="1" applyAlignment="1" applyProtection="1">
      <alignment horizontal="center" vertical="center" wrapText="1"/>
    </xf>
    <xf numFmtId="3" fontId="42" fillId="3" borderId="15" xfId="0" applyNumberFormat="1" applyFont="1" applyFill="1" applyBorder="1" applyAlignment="1" applyProtection="1">
      <alignment horizontal="center" vertical="center" wrapText="1"/>
    </xf>
    <xf numFmtId="3" fontId="42" fillId="3" borderId="2" xfId="0" applyNumberFormat="1" applyFont="1" applyFill="1" applyBorder="1" applyAlignment="1" applyProtection="1">
      <alignment horizontal="center" vertical="center" wrapText="1"/>
    </xf>
    <xf numFmtId="3" fontId="42" fillId="3" borderId="14" xfId="0" applyNumberFormat="1" applyFont="1" applyFill="1" applyBorder="1" applyAlignment="1" applyProtection="1">
      <alignment horizontal="center" vertical="center" wrapText="1"/>
    </xf>
    <xf numFmtId="3" fontId="42" fillId="3" borderId="5" xfId="0" applyNumberFormat="1" applyFont="1" applyFill="1" applyBorder="1" applyAlignment="1" applyProtection="1">
      <alignment horizontal="center" vertical="center" wrapText="1"/>
    </xf>
    <xf numFmtId="3" fontId="42" fillId="3" borderId="12" xfId="0" applyNumberFormat="1" applyFont="1" applyFill="1" applyBorder="1" applyAlignment="1" applyProtection="1">
      <alignment horizontal="center" vertical="center" wrapText="1"/>
    </xf>
    <xf numFmtId="3" fontId="42" fillId="3" borderId="3" xfId="0" applyNumberFormat="1" applyFont="1" applyFill="1" applyBorder="1" applyAlignment="1" applyProtection="1">
      <alignment horizontal="center" vertical="center" wrapText="1"/>
    </xf>
    <xf numFmtId="196" fontId="85" fillId="0" borderId="9" xfId="4" applyNumberFormat="1" applyFont="1" applyFill="1" applyBorder="1" applyAlignment="1" applyProtection="1">
      <alignment horizontal="center" vertical="center" wrapText="1"/>
    </xf>
    <xf numFmtId="3" fontId="6" fillId="0" borderId="5" xfId="0" quotePrefix="1" applyNumberFormat="1" applyFont="1" applyFill="1" applyBorder="1" applyAlignment="1" applyProtection="1">
      <alignment horizontal="center" vertical="center"/>
    </xf>
    <xf numFmtId="3" fontId="6" fillId="0" borderId="3" xfId="0" quotePrefix="1" applyNumberFormat="1" applyFont="1" applyFill="1" applyBorder="1" applyAlignment="1" applyProtection="1">
      <alignment horizontal="center" vertical="center"/>
    </xf>
    <xf numFmtId="3" fontId="6" fillId="0" borderId="5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center" vertical="center"/>
    </xf>
    <xf numFmtId="3" fontId="6" fillId="0" borderId="5" xfId="0" applyNumberFormat="1" applyFont="1" applyFill="1" applyBorder="1" applyAlignment="1" applyProtection="1">
      <alignment horizontal="center" vertical="center" textRotation="90" wrapText="1"/>
    </xf>
    <xf numFmtId="3" fontId="6" fillId="0" borderId="3" xfId="0" applyNumberFormat="1" applyFont="1" applyFill="1" applyBorder="1" applyAlignment="1" applyProtection="1">
      <alignment horizontal="center" vertical="center" textRotation="90" wrapText="1"/>
    </xf>
    <xf numFmtId="3" fontId="28" fillId="0" borderId="4" xfId="0" applyNumberFormat="1" applyFont="1" applyFill="1" applyBorder="1" applyAlignment="1" applyProtection="1">
      <alignment horizontal="center" vertical="center" wrapText="1"/>
    </xf>
    <xf numFmtId="3" fontId="28" fillId="0" borderId="8" xfId="0" applyNumberFormat="1" applyFont="1" applyFill="1" applyBorder="1" applyAlignment="1" applyProtection="1">
      <alignment horizontal="center" vertical="center" wrapText="1"/>
    </xf>
    <xf numFmtId="3" fontId="41" fillId="3" borderId="5" xfId="0" applyNumberFormat="1" applyFont="1" applyFill="1" applyBorder="1" applyAlignment="1" applyProtection="1">
      <alignment horizontal="center" vertical="center" textRotation="90" wrapText="1"/>
    </xf>
    <xf numFmtId="3" fontId="41" fillId="3" borderId="12" xfId="0" applyNumberFormat="1" applyFont="1" applyFill="1" applyBorder="1" applyAlignment="1" applyProtection="1">
      <alignment horizontal="center" vertical="center" textRotation="90" wrapText="1"/>
    </xf>
    <xf numFmtId="3" fontId="41" fillId="3" borderId="3" xfId="0" applyNumberFormat="1" applyFont="1" applyFill="1" applyBorder="1" applyAlignment="1" applyProtection="1">
      <alignment horizontal="center" vertical="center" textRotation="90" wrapText="1"/>
    </xf>
    <xf numFmtId="3" fontId="50" fillId="3" borderId="4" xfId="0" applyNumberFormat="1" applyFont="1" applyFill="1" applyBorder="1" applyAlignment="1" applyProtection="1">
      <alignment horizontal="center" vertical="center" wrapText="1"/>
    </xf>
    <xf numFmtId="3" fontId="50" fillId="3" borderId="8" xfId="0" applyNumberFormat="1" applyFont="1" applyFill="1" applyBorder="1" applyAlignment="1" applyProtection="1">
      <alignment horizontal="center" vertical="center" wrapText="1"/>
    </xf>
    <xf numFmtId="3" fontId="50" fillId="3" borderId="6" xfId="0" applyNumberFormat="1" applyFont="1" applyFill="1" applyBorder="1" applyAlignment="1" applyProtection="1">
      <alignment horizontal="center" vertical="center" wrapText="1"/>
    </xf>
    <xf numFmtId="3" fontId="41" fillId="3" borderId="4" xfId="0" applyNumberFormat="1" applyFont="1" applyFill="1" applyBorder="1" applyAlignment="1" applyProtection="1">
      <alignment horizontal="center" vertical="center" textRotation="90" wrapText="1"/>
    </xf>
    <xf numFmtId="3" fontId="41" fillId="3" borderId="6" xfId="0" applyNumberFormat="1" applyFont="1" applyFill="1" applyBorder="1" applyAlignment="1" applyProtection="1">
      <alignment horizontal="center" vertical="center" textRotation="90" wrapText="1"/>
    </xf>
    <xf numFmtId="0" fontId="16" fillId="0" borderId="0" xfId="0" applyFont="1" applyAlignment="1">
      <alignment horizontal="left" indent="1"/>
    </xf>
    <xf numFmtId="3" fontId="3" fillId="0" borderId="9" xfId="0" applyNumberFormat="1" applyFont="1" applyBorder="1" applyAlignment="1" applyProtection="1">
      <alignment horizontal="center"/>
    </xf>
    <xf numFmtId="0" fontId="36" fillId="0" borderId="0" xfId="0" applyFont="1" applyAlignment="1" applyProtection="1">
      <alignment horizontal="center" vertical="center"/>
    </xf>
    <xf numFmtId="3" fontId="41" fillId="3" borderId="5" xfId="0" applyNumberFormat="1" applyFont="1" applyFill="1" applyBorder="1" applyAlignment="1" applyProtection="1">
      <alignment horizontal="center" vertical="center" wrapText="1"/>
    </xf>
    <xf numFmtId="3" fontId="41" fillId="3" borderId="12" xfId="0" applyNumberFormat="1" applyFont="1" applyFill="1" applyBorder="1" applyAlignment="1" applyProtection="1">
      <alignment horizontal="center" vertical="center" wrapText="1"/>
    </xf>
    <xf numFmtId="3" fontId="41" fillId="3" borderId="3" xfId="0" applyNumberFormat="1" applyFont="1" applyFill="1" applyBorder="1" applyAlignment="1" applyProtection="1">
      <alignment horizontal="center" vertical="center" wrapText="1"/>
    </xf>
    <xf numFmtId="171" fontId="0" fillId="0" borderId="9" xfId="0" applyNumberFormat="1" applyFont="1" applyBorder="1" applyAlignment="1" applyProtection="1">
      <alignment horizontal="center"/>
    </xf>
    <xf numFmtId="3" fontId="41" fillId="3" borderId="4" xfId="0" applyNumberFormat="1" applyFont="1" applyFill="1" applyBorder="1" applyAlignment="1" applyProtection="1">
      <alignment horizontal="center" vertical="center" wrapText="1"/>
    </xf>
    <xf numFmtId="3" fontId="41" fillId="3" borderId="6" xfId="0" applyNumberFormat="1" applyFont="1" applyFill="1" applyBorder="1" applyAlignment="1" applyProtection="1">
      <alignment horizontal="center" vertical="center" wrapText="1"/>
    </xf>
    <xf numFmtId="3" fontId="41" fillId="3" borderId="7" xfId="0" applyNumberFormat="1" applyFont="1" applyFill="1" applyBorder="1" applyAlignment="1" applyProtection="1">
      <alignment horizontal="center" vertical="center" wrapText="1"/>
    </xf>
    <xf numFmtId="3" fontId="41" fillId="3" borderId="15" xfId="0" applyNumberFormat="1" applyFont="1" applyFill="1" applyBorder="1" applyAlignment="1" applyProtection="1">
      <alignment horizontal="center" vertical="center" wrapText="1"/>
    </xf>
    <xf numFmtId="3" fontId="41" fillId="3" borderId="2" xfId="0" applyNumberFormat="1" applyFont="1" applyFill="1" applyBorder="1" applyAlignment="1" applyProtection="1">
      <alignment horizontal="center" vertical="center" wrapText="1"/>
    </xf>
    <xf numFmtId="3" fontId="41" fillId="3" borderId="14" xfId="0" applyNumberFormat="1" applyFont="1" applyFill="1" applyBorder="1" applyAlignment="1" applyProtection="1">
      <alignment horizontal="center" vertical="center" wrapText="1"/>
    </xf>
    <xf numFmtId="3" fontId="6" fillId="0" borderId="4" xfId="0" applyNumberFormat="1" applyFont="1" applyBorder="1" applyAlignment="1" applyProtection="1">
      <alignment horizontal="left" vertical="center" wrapText="1" indent="1"/>
    </xf>
    <xf numFmtId="3" fontId="6" fillId="0" borderId="8" xfId="0" applyNumberFormat="1" applyFont="1" applyBorder="1" applyAlignment="1" applyProtection="1">
      <alignment horizontal="left" vertical="center" wrapText="1" indent="1"/>
    </xf>
    <xf numFmtId="3" fontId="6" fillId="0" borderId="6" xfId="0" applyNumberFormat="1" applyFont="1" applyBorder="1" applyAlignment="1" applyProtection="1">
      <alignment horizontal="left" vertical="center" wrapText="1" indent="1"/>
    </xf>
    <xf numFmtId="3" fontId="6" fillId="0" borderId="4" xfId="0" applyNumberFormat="1" applyFont="1" applyBorder="1" applyAlignment="1" applyProtection="1">
      <alignment horizontal="left" wrapText="1" indent="2"/>
    </xf>
    <xf numFmtId="3" fontId="6" fillId="0" borderId="8" xfId="0" applyNumberFormat="1" applyFont="1" applyBorder="1" applyAlignment="1" applyProtection="1">
      <alignment horizontal="left" wrapText="1" indent="2"/>
    </xf>
    <xf numFmtId="3" fontId="6" fillId="0" borderId="6" xfId="0" applyNumberFormat="1" applyFont="1" applyBorder="1" applyAlignment="1" applyProtection="1">
      <alignment horizontal="left" wrapText="1" indent="2"/>
    </xf>
    <xf numFmtId="3" fontId="5" fillId="0" borderId="0" xfId="0" applyNumberFormat="1" applyFont="1" applyAlignment="1" applyProtection="1">
      <alignment horizontal="center" vertical="center" wrapText="1"/>
    </xf>
    <xf numFmtId="14" fontId="41" fillId="3" borderId="5" xfId="0" applyNumberFormat="1" applyFont="1" applyFill="1" applyBorder="1" applyAlignment="1" applyProtection="1">
      <alignment horizontal="center" vertical="center" wrapText="1"/>
    </xf>
    <xf numFmtId="14" fontId="41" fillId="3" borderId="12" xfId="0" applyNumberFormat="1" applyFont="1" applyFill="1" applyBorder="1" applyAlignment="1" applyProtection="1">
      <alignment horizontal="center" vertical="center" wrapText="1"/>
    </xf>
    <xf numFmtId="14" fontId="41" fillId="3" borderId="3" xfId="0" applyNumberFormat="1" applyFont="1" applyFill="1" applyBorder="1" applyAlignment="1" applyProtection="1">
      <alignment horizontal="center" vertical="center" wrapText="1"/>
    </xf>
    <xf numFmtId="3" fontId="41" fillId="3" borderId="8" xfId="0" applyNumberFormat="1" applyFont="1" applyFill="1" applyBorder="1" applyAlignment="1" applyProtection="1">
      <alignment horizontal="center" vertical="center" wrapText="1"/>
    </xf>
    <xf numFmtId="3" fontId="41" fillId="3" borderId="10" xfId="0" applyNumberFormat="1" applyFont="1" applyFill="1" applyBorder="1" applyAlignment="1" applyProtection="1">
      <alignment horizontal="center" vertical="center" wrapText="1"/>
    </xf>
    <xf numFmtId="3" fontId="41" fillId="3" borderId="13" xfId="0" applyNumberFormat="1" applyFont="1" applyFill="1" applyBorder="1" applyAlignment="1" applyProtection="1">
      <alignment horizontal="center" vertical="center" wrapText="1"/>
    </xf>
    <xf numFmtId="3" fontId="41" fillId="3" borderId="9" xfId="0" applyNumberFormat="1" applyFont="1" applyFill="1" applyBorder="1" applyAlignment="1" applyProtection="1">
      <alignment horizontal="center" vertical="center" wrapText="1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6" fillId="3" borderId="12" xfId="0" applyNumberFormat="1" applyFont="1" applyFill="1" applyBorder="1" applyAlignment="1" applyProtection="1">
      <alignment horizontal="center" vertical="center" wrapText="1"/>
    </xf>
    <xf numFmtId="3" fontId="16" fillId="3" borderId="3" xfId="0" applyNumberFormat="1" applyFont="1" applyFill="1" applyBorder="1" applyAlignment="1" applyProtection="1">
      <alignment horizontal="center" vertical="center" wrapText="1"/>
    </xf>
    <xf numFmtId="0" fontId="39" fillId="0" borderId="0" xfId="5" applyNumberFormat="1" applyFont="1" applyFill="1" applyBorder="1" applyAlignment="1" applyProtection="1">
      <alignment horizontal="center" vertical="center" wrapText="1"/>
    </xf>
    <xf numFmtId="0" fontId="14" fillId="0" borderId="0" xfId="5" applyNumberFormat="1" applyFont="1" applyFill="1" applyBorder="1" applyAlignment="1" applyProtection="1">
      <alignment horizontal="center" vertical="center"/>
    </xf>
    <xf numFmtId="3" fontId="16" fillId="3" borderId="7" xfId="0" applyNumberFormat="1" applyFont="1" applyFill="1" applyBorder="1" applyAlignment="1" applyProtection="1">
      <alignment horizontal="center" vertical="center" wrapText="1"/>
    </xf>
    <xf numFmtId="3" fontId="16" fillId="3" borderId="15" xfId="0" applyNumberFormat="1" applyFont="1" applyFill="1" applyBorder="1" applyAlignment="1" applyProtection="1">
      <alignment horizontal="center" vertical="center" wrapText="1"/>
    </xf>
    <xf numFmtId="3" fontId="16" fillId="3" borderId="2" xfId="0" applyNumberFormat="1" applyFont="1" applyFill="1" applyBorder="1" applyAlignment="1" applyProtection="1">
      <alignment horizontal="center" vertical="center" wrapText="1"/>
    </xf>
    <xf numFmtId="3" fontId="16" fillId="3" borderId="14" xfId="0" applyNumberFormat="1" applyFont="1" applyFill="1" applyBorder="1" applyAlignment="1" applyProtection="1">
      <alignment horizontal="center" vertical="center" wrapText="1"/>
    </xf>
    <xf numFmtId="3" fontId="16" fillId="3" borderId="4" xfId="0" applyNumberFormat="1" applyFont="1" applyFill="1" applyBorder="1" applyAlignment="1" applyProtection="1">
      <alignment horizontal="center" vertical="center" wrapText="1"/>
    </xf>
    <xf numFmtId="3" fontId="16" fillId="3" borderId="8" xfId="0" applyNumberFormat="1" applyFont="1" applyFill="1" applyBorder="1" applyAlignment="1" applyProtection="1">
      <alignment horizontal="center" vertical="center" wrapText="1"/>
    </xf>
    <xf numFmtId="3" fontId="16" fillId="3" borderId="6" xfId="0" applyNumberFormat="1" applyFont="1" applyFill="1" applyBorder="1" applyAlignment="1" applyProtection="1">
      <alignment horizontal="center" vertical="center" wrapText="1"/>
    </xf>
    <xf numFmtId="196" fontId="30" fillId="0" borderId="9" xfId="4" applyNumberFormat="1" applyFont="1" applyFill="1" applyBorder="1" applyAlignment="1" applyProtection="1">
      <alignment horizontal="center" wrapText="1"/>
      <protection locked="0"/>
    </xf>
    <xf numFmtId="0" fontId="22" fillId="0" borderId="0" xfId="0" applyFont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horizontal="center" vertical="center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0" fontId="108" fillId="0" borderId="0" xfId="9" applyNumberFormat="1" applyFont="1" applyFill="1" applyBorder="1" applyAlignment="1" applyProtection="1">
      <alignment horizontal="center" vertical="center" wrapText="1"/>
    </xf>
    <xf numFmtId="3" fontId="35" fillId="3" borderId="5" xfId="0" applyNumberFormat="1" applyFont="1" applyFill="1" applyBorder="1" applyAlignment="1" applyProtection="1">
      <alignment horizontal="center" vertical="center" wrapText="1"/>
    </xf>
    <xf numFmtId="3" fontId="35" fillId="3" borderId="12" xfId="0" applyNumberFormat="1" applyFont="1" applyFill="1" applyBorder="1" applyAlignment="1" applyProtection="1">
      <alignment horizontal="center" vertical="center" wrapText="1"/>
    </xf>
    <xf numFmtId="3" fontId="35" fillId="3" borderId="3" xfId="0" applyNumberFormat="1" applyFont="1" applyFill="1" applyBorder="1" applyAlignment="1" applyProtection="1">
      <alignment horizontal="center" vertical="center" wrapText="1"/>
    </xf>
    <xf numFmtId="3" fontId="35" fillId="3" borderId="7" xfId="0" applyNumberFormat="1" applyFont="1" applyFill="1" applyBorder="1" applyAlignment="1" applyProtection="1">
      <alignment horizontal="center" vertical="center" wrapText="1"/>
    </xf>
    <xf numFmtId="3" fontId="35" fillId="3" borderId="11" xfId="0" applyNumberFormat="1" applyFont="1" applyFill="1" applyBorder="1" applyAlignment="1" applyProtection="1">
      <alignment horizontal="center" vertical="center" wrapText="1"/>
    </xf>
    <xf numFmtId="3" fontId="35" fillId="3" borderId="15" xfId="0" applyNumberFormat="1" applyFont="1" applyFill="1" applyBorder="1" applyAlignment="1" applyProtection="1">
      <alignment horizontal="center" vertical="center" wrapText="1"/>
    </xf>
    <xf numFmtId="3" fontId="35" fillId="3" borderId="2" xfId="0" applyNumberFormat="1" applyFont="1" applyFill="1" applyBorder="1" applyAlignment="1" applyProtection="1">
      <alignment horizontal="center" vertical="center" wrapText="1"/>
    </xf>
    <xf numFmtId="3" fontId="35" fillId="3" borderId="9" xfId="0" applyNumberFormat="1" applyFont="1" applyFill="1" applyBorder="1" applyAlignment="1" applyProtection="1">
      <alignment horizontal="center" vertical="center" wrapText="1"/>
    </xf>
    <xf numFmtId="3" fontId="35" fillId="3" borderId="14" xfId="0" applyNumberFormat="1" applyFont="1" applyFill="1" applyBorder="1" applyAlignment="1" applyProtection="1">
      <alignment horizontal="center" vertical="center" wrapText="1"/>
    </xf>
    <xf numFmtId="3" fontId="35" fillId="3" borderId="4" xfId="0" applyNumberFormat="1" applyFont="1" applyFill="1" applyBorder="1" applyAlignment="1" applyProtection="1">
      <alignment horizontal="center" vertical="center" wrapText="1"/>
    </xf>
    <xf numFmtId="3" fontId="35" fillId="3" borderId="8" xfId="0" applyNumberFormat="1" applyFont="1" applyFill="1" applyBorder="1" applyAlignment="1" applyProtection="1">
      <alignment horizontal="center" vertical="center" wrapText="1"/>
    </xf>
    <xf numFmtId="3" fontId="35" fillId="3" borderId="6" xfId="0" applyNumberFormat="1" applyFont="1" applyFill="1" applyBorder="1" applyAlignment="1" applyProtection="1">
      <alignment horizontal="center" vertical="center" wrapText="1"/>
    </xf>
    <xf numFmtId="196" fontId="35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16" fillId="3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center" vertical="center"/>
    </xf>
    <xf numFmtId="0" fontId="14" fillId="0" borderId="0" xfId="0" applyFont="1" applyFill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169" fontId="8" fillId="0" borderId="5" xfId="0" applyNumberFormat="1" applyFont="1" applyBorder="1" applyAlignment="1" applyProtection="1">
      <alignment horizontal="center" vertical="center"/>
    </xf>
    <xf numFmtId="169" fontId="3" fillId="0" borderId="12" xfId="0" applyNumberFormat="1" applyFont="1" applyBorder="1" applyAlignment="1" applyProtection="1">
      <alignment horizontal="center" vertical="center"/>
    </xf>
    <xf numFmtId="0" fontId="106" fillId="0" borderId="7" xfId="0" applyFont="1" applyBorder="1" applyAlignment="1" applyProtection="1">
      <alignment horizontal="center" vertical="center"/>
    </xf>
    <xf numFmtId="0" fontId="106" fillId="0" borderId="11" xfId="0" applyFont="1" applyBorder="1" applyAlignment="1" applyProtection="1">
      <alignment horizontal="center" vertical="center"/>
    </xf>
    <xf numFmtId="0" fontId="106" fillId="0" borderId="15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center"/>
    </xf>
    <xf numFmtId="169" fontId="8" fillId="0" borderId="1" xfId="0" applyNumberFormat="1" applyFont="1" applyFill="1" applyBorder="1" applyAlignment="1" applyProtection="1">
      <alignment horizontal="center" vertical="center"/>
    </xf>
    <xf numFmtId="169" fontId="3" fillId="0" borderId="1" xfId="0" applyNumberFormat="1" applyFont="1" applyFill="1" applyBorder="1" applyAlignment="1" applyProtection="1">
      <alignment horizontal="center" vertical="center"/>
    </xf>
    <xf numFmtId="3" fontId="21" fillId="3" borderId="1" xfId="0" applyNumberFormat="1" applyFont="1" applyFill="1" applyBorder="1" applyAlignment="1" applyProtection="1">
      <alignment horizontal="center" vertical="center" wrapText="1"/>
    </xf>
    <xf numFmtId="49" fontId="3" fillId="0" borderId="5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horizontal="center" vertical="center"/>
    </xf>
    <xf numFmtId="0" fontId="3" fillId="0" borderId="11" xfId="0" applyFont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0" fontId="106" fillId="0" borderId="4" xfId="0" applyFont="1" applyBorder="1" applyAlignment="1" applyProtection="1">
      <alignment horizontal="center" vertical="center" wrapText="1"/>
    </xf>
    <xf numFmtId="0" fontId="106" fillId="0" borderId="8" xfId="0" applyFont="1" applyBorder="1" applyAlignment="1" applyProtection="1">
      <alignment horizontal="center" vertical="center" wrapText="1"/>
    </xf>
    <xf numFmtId="0" fontId="106" fillId="0" borderId="6" xfId="0" applyFont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center" vertical="center"/>
    </xf>
    <xf numFmtId="0" fontId="106" fillId="0" borderId="4" xfId="0" applyFont="1" applyBorder="1" applyAlignment="1" applyProtection="1">
      <alignment horizontal="center" vertical="center"/>
    </xf>
    <xf numFmtId="0" fontId="106" fillId="0" borderId="8" xfId="0" applyFont="1" applyBorder="1" applyAlignment="1" applyProtection="1">
      <alignment horizontal="center" vertical="center"/>
    </xf>
    <xf numFmtId="0" fontId="106" fillId="0" borderId="6" xfId="0" applyFont="1" applyBorder="1" applyAlignment="1" applyProtection="1">
      <alignment horizontal="center" vertical="center"/>
    </xf>
    <xf numFmtId="0" fontId="106" fillId="0" borderId="7" xfId="0" applyFont="1" applyBorder="1" applyAlignment="1" applyProtection="1">
      <alignment horizontal="center"/>
    </xf>
    <xf numFmtId="0" fontId="106" fillId="0" borderId="11" xfId="0" applyFont="1" applyBorder="1" applyAlignment="1" applyProtection="1">
      <alignment horizontal="center"/>
    </xf>
    <xf numFmtId="0" fontId="106" fillId="0" borderId="15" xfId="0" applyFont="1" applyBorder="1" applyAlignment="1" applyProtection="1">
      <alignment horizontal="center"/>
    </xf>
    <xf numFmtId="0" fontId="106" fillId="0" borderId="7" xfId="0" applyFont="1" applyBorder="1" applyAlignment="1" applyProtection="1">
      <alignment horizontal="center" vertical="center" wrapText="1"/>
    </xf>
    <xf numFmtId="0" fontId="106" fillId="0" borderId="11" xfId="0" quotePrefix="1" applyFont="1" applyBorder="1" applyAlignment="1" applyProtection="1">
      <alignment horizontal="center" vertical="center" wrapText="1"/>
    </xf>
    <xf numFmtId="0" fontId="106" fillId="0" borderId="15" xfId="0" quotePrefix="1" applyFont="1" applyBorder="1" applyAlignment="1" applyProtection="1">
      <alignment horizontal="center" vertical="center" wrapText="1"/>
    </xf>
    <xf numFmtId="0" fontId="106" fillId="0" borderId="4" xfId="0" applyFont="1" applyBorder="1" applyAlignment="1" applyProtection="1">
      <alignment horizontal="center"/>
    </xf>
    <xf numFmtId="0" fontId="106" fillId="0" borderId="8" xfId="0" applyFont="1" applyBorder="1" applyAlignment="1" applyProtection="1">
      <alignment horizontal="center"/>
    </xf>
    <xf numFmtId="0" fontId="106" fillId="0" borderId="6" xfId="0" applyFont="1" applyBorder="1" applyAlignment="1" applyProtection="1">
      <alignment horizontal="center"/>
    </xf>
    <xf numFmtId="49" fontId="3" fillId="0" borderId="5" xfId="0" applyNumberFormat="1" applyFont="1" applyFill="1" applyBorder="1" applyAlignment="1" applyProtection="1">
      <alignment horizontal="center" vertical="center"/>
    </xf>
    <xf numFmtId="49" fontId="3" fillId="0" borderId="12" xfId="0" applyNumberFormat="1" applyFont="1" applyFill="1" applyBorder="1" applyAlignment="1" applyProtection="1">
      <alignment horizontal="center" vertical="center"/>
    </xf>
    <xf numFmtId="49" fontId="3" fillId="0" borderId="3" xfId="0" applyNumberFormat="1" applyFont="1" applyFill="1" applyBorder="1" applyAlignment="1" applyProtection="1">
      <alignment horizontal="center" vertical="center"/>
    </xf>
    <xf numFmtId="0" fontId="106" fillId="0" borderId="7" xfId="0" quotePrefix="1" applyFont="1" applyFill="1" applyBorder="1" applyAlignment="1" applyProtection="1">
      <alignment horizontal="center" vertical="center" wrapText="1"/>
    </xf>
    <xf numFmtId="0" fontId="106" fillId="0" borderId="11" xfId="0" quotePrefix="1" applyFont="1" applyFill="1" applyBorder="1" applyAlignment="1" applyProtection="1">
      <alignment horizontal="center" vertical="center" wrapText="1"/>
    </xf>
    <xf numFmtId="0" fontId="106" fillId="0" borderId="15" xfId="0" quotePrefix="1" applyFont="1" applyFill="1" applyBorder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169" fontId="8" fillId="0" borderId="5" xfId="0" applyNumberFormat="1" applyFont="1" applyFill="1" applyBorder="1" applyAlignment="1" applyProtection="1">
      <alignment horizontal="center" vertical="center"/>
    </xf>
    <xf numFmtId="169" fontId="3" fillId="0" borderId="3" xfId="0" applyNumberFormat="1" applyFont="1" applyFill="1" applyBorder="1" applyAlignment="1" applyProtection="1">
      <alignment horizontal="center" vertical="center"/>
    </xf>
    <xf numFmtId="0" fontId="0" fillId="0" borderId="3" xfId="0" applyFont="1" applyBorder="1" applyProtection="1"/>
    <xf numFmtId="0" fontId="6" fillId="0" borderId="4" xfId="0" applyFont="1" applyFill="1" applyBorder="1" applyAlignment="1" applyProtection="1">
      <alignment horizontal="center"/>
    </xf>
    <xf numFmtId="0" fontId="6" fillId="0" borderId="8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7" xfId="0" applyFont="1" applyFill="1" applyBorder="1" applyAlignment="1" applyProtection="1">
      <alignment horizontal="center" vertical="center" wrapText="1"/>
    </xf>
    <xf numFmtId="0" fontId="3" fillId="0" borderId="11" xfId="0" applyFont="1" applyFill="1" applyBorder="1" applyAlignment="1" applyProtection="1">
      <alignment horizontal="center" vertical="center" wrapText="1"/>
    </xf>
    <xf numFmtId="0" fontId="3" fillId="0" borderId="15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0" fontId="106" fillId="0" borderId="7" xfId="0" applyFont="1" applyFill="1" applyBorder="1" applyAlignment="1" applyProtection="1">
      <alignment horizontal="center" vertical="center" wrapText="1"/>
    </xf>
    <xf numFmtId="0" fontId="106" fillId="0" borderId="10" xfId="0" quotePrefix="1" applyFont="1" applyFill="1" applyBorder="1" applyAlignment="1" applyProtection="1">
      <alignment horizontal="center" vertical="center" wrapText="1"/>
    </xf>
    <xf numFmtId="0" fontId="106" fillId="0" borderId="0" xfId="0" quotePrefix="1" applyFont="1" applyFill="1" applyBorder="1" applyAlignment="1" applyProtection="1">
      <alignment horizontal="center" vertical="center" wrapText="1"/>
    </xf>
    <xf numFmtId="0" fontId="106" fillId="0" borderId="2" xfId="0" quotePrefix="1" applyFont="1" applyFill="1" applyBorder="1" applyAlignment="1" applyProtection="1">
      <alignment horizontal="center" vertical="center" wrapText="1"/>
    </xf>
    <xf numFmtId="0" fontId="106" fillId="0" borderId="9" xfId="0" quotePrefix="1" applyFont="1" applyFill="1" applyBorder="1" applyAlignment="1" applyProtection="1">
      <alignment horizontal="center" vertical="center" wrapText="1"/>
    </xf>
    <xf numFmtId="0" fontId="106" fillId="0" borderId="11" xfId="0" applyFont="1" applyFill="1" applyBorder="1" applyAlignment="1" applyProtection="1">
      <alignment horizontal="center" vertical="center" wrapText="1"/>
    </xf>
    <xf numFmtId="169" fontId="8" fillId="0" borderId="5" xfId="0" applyNumberFormat="1" applyFont="1" applyFill="1" applyBorder="1" applyAlignment="1" applyProtection="1">
      <alignment horizontal="center" vertical="center"/>
      <protection locked="0"/>
    </xf>
    <xf numFmtId="169" fontId="3" fillId="0" borderId="3" xfId="0" applyNumberFormat="1" applyFont="1" applyFill="1" applyBorder="1" applyAlignment="1" applyProtection="1">
      <alignment horizontal="center" vertical="center"/>
      <protection locked="0"/>
    </xf>
    <xf numFmtId="0" fontId="106" fillId="0" borderId="4" xfId="0" applyFont="1" applyFill="1" applyBorder="1" applyAlignment="1" applyProtection="1">
      <alignment horizontal="center" vertical="center"/>
    </xf>
    <xf numFmtId="0" fontId="106" fillId="0" borderId="8" xfId="0" applyFont="1" applyFill="1" applyBorder="1" applyAlignment="1" applyProtection="1">
      <alignment horizontal="center" vertical="center"/>
    </xf>
    <xf numFmtId="0" fontId="106" fillId="0" borderId="6" xfId="0" applyFont="1" applyFill="1" applyBorder="1" applyAlignment="1" applyProtection="1">
      <alignment horizontal="center" vertical="center"/>
    </xf>
    <xf numFmtId="0" fontId="106" fillId="0" borderId="10" xfId="0" applyFont="1" applyFill="1" applyBorder="1" applyAlignment="1" applyProtection="1">
      <alignment horizontal="center" vertical="center" wrapText="1"/>
    </xf>
    <xf numFmtId="0" fontId="106" fillId="0" borderId="13" xfId="0" quotePrefix="1" applyFont="1" applyFill="1" applyBorder="1" applyAlignment="1" applyProtection="1">
      <alignment horizontal="center" vertical="center" wrapText="1"/>
    </xf>
    <xf numFmtId="0" fontId="106" fillId="0" borderId="4" xfId="0" applyFont="1" applyFill="1" applyBorder="1" applyAlignment="1" applyProtection="1">
      <alignment horizontal="center" vertical="center" wrapText="1"/>
    </xf>
    <xf numFmtId="0" fontId="3" fillId="0" borderId="8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169" fontId="3" fillId="0" borderId="12" xfId="0" applyNumberFormat="1" applyFont="1" applyFill="1" applyBorder="1" applyAlignment="1" applyProtection="1">
      <alignment horizontal="center" vertical="center"/>
    </xf>
    <xf numFmtId="0" fontId="106" fillId="0" borderId="8" xfId="0" applyFont="1" applyFill="1" applyBorder="1" applyAlignment="1" applyProtection="1">
      <alignment horizontal="center" vertical="center" wrapText="1"/>
    </xf>
    <xf numFmtId="0" fontId="106" fillId="0" borderId="6" xfId="0" applyFont="1" applyFill="1" applyBorder="1" applyAlignment="1" applyProtection="1">
      <alignment horizontal="center" vertical="center" wrapText="1"/>
    </xf>
    <xf numFmtId="0" fontId="106" fillId="0" borderId="1" xfId="0" applyFont="1" applyFill="1" applyBorder="1" applyAlignment="1" applyProtection="1">
      <alignment horizontal="center" vertical="center" wrapText="1"/>
    </xf>
    <xf numFmtId="0" fontId="106" fillId="0" borderId="9" xfId="0" applyFont="1" applyFill="1" applyBorder="1" applyAlignment="1" applyProtection="1">
      <alignment horizontal="center" vertical="center" wrapText="1"/>
    </xf>
    <xf numFmtId="0" fontId="106" fillId="0" borderId="14" xfId="0" applyFont="1" applyFill="1" applyBorder="1" applyAlignment="1" applyProtection="1">
      <alignment horizontal="center" vertical="center" wrapText="1"/>
    </xf>
    <xf numFmtId="169" fontId="8" fillId="0" borderId="3" xfId="0" applyNumberFormat="1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wrapText="1"/>
    </xf>
    <xf numFmtId="0" fontId="106" fillId="0" borderId="4" xfId="0" quotePrefix="1" applyFont="1" applyFill="1" applyBorder="1" applyAlignment="1" applyProtection="1">
      <alignment horizontal="center" vertical="center" wrapText="1"/>
    </xf>
    <xf numFmtId="0" fontId="106" fillId="0" borderId="8" xfId="0" quotePrefix="1" applyFont="1" applyFill="1" applyBorder="1" applyAlignment="1" applyProtection="1">
      <alignment horizontal="center" vertical="center" wrapText="1"/>
    </xf>
    <xf numFmtId="0" fontId="106" fillId="0" borderId="6" xfId="0" quotePrefix="1" applyFont="1" applyFill="1" applyBorder="1" applyAlignment="1" applyProtection="1">
      <alignment horizontal="center" vertical="center" wrapText="1"/>
    </xf>
    <xf numFmtId="0" fontId="99" fillId="0" borderId="0" xfId="0" applyFont="1" applyFill="1" applyBorder="1" applyAlignment="1" applyProtection="1">
      <alignment horizontal="center" vertical="center" wrapText="1"/>
    </xf>
  </cellXfs>
  <cellStyles count="1291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5" xfId="1289" xr:uid="{00000000-0005-0000-0000-000096010000}"/>
    <cellStyle name="Обычный 106" xfId="353" xr:uid="{00000000-0005-0000-0000-000097010000}"/>
    <cellStyle name="Обычный 107" xfId="354" xr:uid="{00000000-0005-0000-0000-000098010000}"/>
    <cellStyle name="Обычный 109" xfId="355" xr:uid="{00000000-0005-0000-0000-000099010000}"/>
    <cellStyle name="Обычный 11" xfId="356" xr:uid="{00000000-0005-0000-0000-00009A010000}"/>
    <cellStyle name="Обычный 11 2" xfId="357" xr:uid="{00000000-0005-0000-0000-00009B010000}"/>
    <cellStyle name="Обычный 11 2 2" xfId="358" xr:uid="{00000000-0005-0000-0000-00009C010000}"/>
    <cellStyle name="Обычный 11 3" xfId="359" xr:uid="{00000000-0005-0000-0000-00009D010000}"/>
    <cellStyle name="Обычный 11 4" xfId="360" xr:uid="{00000000-0005-0000-0000-00009E010000}"/>
    <cellStyle name="Обычный 11 6" xfId="361" xr:uid="{00000000-0005-0000-0000-00009F010000}"/>
    <cellStyle name="Обычный 110" xfId="362" xr:uid="{00000000-0005-0000-0000-0000A0010000}"/>
    <cellStyle name="Обычный 112" xfId="363" xr:uid="{00000000-0005-0000-0000-0000A1010000}"/>
    <cellStyle name="Обычный 113" xfId="364" xr:uid="{00000000-0005-0000-0000-0000A2010000}"/>
    <cellStyle name="Обычный 115" xfId="365" xr:uid="{00000000-0005-0000-0000-0000A3010000}"/>
    <cellStyle name="Обычный 116" xfId="366" xr:uid="{00000000-0005-0000-0000-0000A4010000}"/>
    <cellStyle name="Обычный 118" xfId="367" xr:uid="{00000000-0005-0000-0000-0000A5010000}"/>
    <cellStyle name="Обычный 12" xfId="368" xr:uid="{00000000-0005-0000-0000-0000A6010000}"/>
    <cellStyle name="Обычный 12 2" xfId="369" xr:uid="{00000000-0005-0000-0000-0000A7010000}"/>
    <cellStyle name="Обычный 12 2 2" xfId="370" xr:uid="{00000000-0005-0000-0000-0000A8010000}"/>
    <cellStyle name="Обычный 12 3" xfId="371" xr:uid="{00000000-0005-0000-0000-0000A9010000}"/>
    <cellStyle name="Обычный 12 4" xfId="372" xr:uid="{00000000-0005-0000-0000-0000AA010000}"/>
    <cellStyle name="Обычный 12 5" xfId="373" xr:uid="{00000000-0005-0000-0000-0000AB010000}"/>
    <cellStyle name="Обычный 12 6" xfId="374" xr:uid="{00000000-0005-0000-0000-0000AC010000}"/>
    <cellStyle name="Обычный 12 7" xfId="375" xr:uid="{00000000-0005-0000-0000-0000AD010000}"/>
    <cellStyle name="Обычный 12 8" xfId="376" xr:uid="{00000000-0005-0000-0000-0000AE010000}"/>
    <cellStyle name="Обычный 120" xfId="377" xr:uid="{00000000-0005-0000-0000-0000AF010000}"/>
    <cellStyle name="Обычный 121" xfId="378" xr:uid="{00000000-0005-0000-0000-0000B0010000}"/>
    <cellStyle name="Обычный 122" xfId="379" xr:uid="{00000000-0005-0000-0000-0000B1010000}"/>
    <cellStyle name="Обычный 123" xfId="380" xr:uid="{00000000-0005-0000-0000-0000B2010000}"/>
    <cellStyle name="Обычный 13" xfId="381" xr:uid="{00000000-0005-0000-0000-0000B3010000}"/>
    <cellStyle name="Обычный 13 2" xfId="382" xr:uid="{00000000-0005-0000-0000-0000B4010000}"/>
    <cellStyle name="Обычный 13 2 2" xfId="383" xr:uid="{00000000-0005-0000-0000-0000B5010000}"/>
    <cellStyle name="Обычный 14" xfId="384" xr:uid="{00000000-0005-0000-0000-0000B6010000}"/>
    <cellStyle name="Обычный 14 2" xfId="385" xr:uid="{00000000-0005-0000-0000-0000B7010000}"/>
    <cellStyle name="Обычный 14 2 2" xfId="386" xr:uid="{00000000-0005-0000-0000-0000B8010000}"/>
    <cellStyle name="Обычный 14 3" xfId="387" xr:uid="{00000000-0005-0000-0000-0000B9010000}"/>
    <cellStyle name="Обычный 14 4" xfId="388" xr:uid="{00000000-0005-0000-0000-0000BA010000}"/>
    <cellStyle name="Обычный 14 5" xfId="389" xr:uid="{00000000-0005-0000-0000-0000BB010000}"/>
    <cellStyle name="Обычный 144" xfId="390" xr:uid="{00000000-0005-0000-0000-0000BC010000}"/>
    <cellStyle name="Обычный 147" xfId="391" xr:uid="{00000000-0005-0000-0000-0000BD010000}"/>
    <cellStyle name="Обычный 148" xfId="392" xr:uid="{00000000-0005-0000-0000-0000BE010000}"/>
    <cellStyle name="Обычный 15" xfId="393" xr:uid="{00000000-0005-0000-0000-0000BF010000}"/>
    <cellStyle name="Обычный 15 2" xfId="394" xr:uid="{00000000-0005-0000-0000-0000C0010000}"/>
    <cellStyle name="Обычный 15 2 2" xfId="395" xr:uid="{00000000-0005-0000-0000-0000C1010000}"/>
    <cellStyle name="Обычный 15 2 3" xfId="396" xr:uid="{00000000-0005-0000-0000-0000C2010000}"/>
    <cellStyle name="Обычный 15 2 4" xfId="397" xr:uid="{00000000-0005-0000-0000-0000C3010000}"/>
    <cellStyle name="Обычный 15 2 5" xfId="398" xr:uid="{00000000-0005-0000-0000-0000C4010000}"/>
    <cellStyle name="Обычный 15 2 6" xfId="399" xr:uid="{00000000-0005-0000-0000-0000C5010000}"/>
    <cellStyle name="Обычный 15 3" xfId="400" xr:uid="{00000000-0005-0000-0000-0000C6010000}"/>
    <cellStyle name="Обычный 15 4" xfId="401" xr:uid="{00000000-0005-0000-0000-0000C7010000}"/>
    <cellStyle name="Обычный 15 5" xfId="402" xr:uid="{00000000-0005-0000-0000-0000C8010000}"/>
    <cellStyle name="Обычный 16" xfId="403" xr:uid="{00000000-0005-0000-0000-0000C9010000}"/>
    <cellStyle name="Обычный 16 10" xfId="404" xr:uid="{00000000-0005-0000-0000-0000CA010000}"/>
    <cellStyle name="Обычный 16 11" xfId="405" xr:uid="{00000000-0005-0000-0000-0000CB010000}"/>
    <cellStyle name="Обычный 16 12" xfId="406" xr:uid="{00000000-0005-0000-0000-0000CC010000}"/>
    <cellStyle name="Обычный 16 13" xfId="407" xr:uid="{00000000-0005-0000-0000-0000CD010000}"/>
    <cellStyle name="Обычный 16 14" xfId="408" xr:uid="{00000000-0005-0000-0000-0000CE010000}"/>
    <cellStyle name="Обычный 16 2" xfId="409" xr:uid="{00000000-0005-0000-0000-0000CF010000}"/>
    <cellStyle name="Обычный 16 2 2" xfId="410" xr:uid="{00000000-0005-0000-0000-0000D0010000}"/>
    <cellStyle name="Обычный 16 3" xfId="411" xr:uid="{00000000-0005-0000-0000-0000D1010000}"/>
    <cellStyle name="Обычный 16 3 2" xfId="412" xr:uid="{00000000-0005-0000-0000-0000D2010000}"/>
    <cellStyle name="Обычный 16 4" xfId="413" xr:uid="{00000000-0005-0000-0000-0000D3010000}"/>
    <cellStyle name="Обычный 16 4 2" xfId="414" xr:uid="{00000000-0005-0000-0000-0000D4010000}"/>
    <cellStyle name="Обычный 16 5" xfId="415" xr:uid="{00000000-0005-0000-0000-0000D5010000}"/>
    <cellStyle name="Обычный 16 6" xfId="416" xr:uid="{00000000-0005-0000-0000-0000D6010000}"/>
    <cellStyle name="Обычный 16 7" xfId="417" xr:uid="{00000000-0005-0000-0000-0000D7010000}"/>
    <cellStyle name="Обычный 16 8" xfId="418" xr:uid="{00000000-0005-0000-0000-0000D8010000}"/>
    <cellStyle name="Обычный 16 9" xfId="419" xr:uid="{00000000-0005-0000-0000-0000D9010000}"/>
    <cellStyle name="Обычный 17" xfId="420" xr:uid="{00000000-0005-0000-0000-0000DA010000}"/>
    <cellStyle name="Обычный 17 2" xfId="421" xr:uid="{00000000-0005-0000-0000-0000DB010000}"/>
    <cellStyle name="Обычный 17 2 2" xfId="422" xr:uid="{00000000-0005-0000-0000-0000DC010000}"/>
    <cellStyle name="Обычный 17 3" xfId="423" xr:uid="{00000000-0005-0000-0000-0000DD010000}"/>
    <cellStyle name="Обычный 17 4" xfId="424" xr:uid="{00000000-0005-0000-0000-0000DE010000}"/>
    <cellStyle name="Обычный 18" xfId="425" xr:uid="{00000000-0005-0000-0000-0000DF010000}"/>
    <cellStyle name="Обычный 18 2" xfId="426" xr:uid="{00000000-0005-0000-0000-0000E0010000}"/>
    <cellStyle name="Обычный 18 2 2" xfId="427" xr:uid="{00000000-0005-0000-0000-0000E1010000}"/>
    <cellStyle name="Обычный 18 2 2 2" xfId="428" xr:uid="{00000000-0005-0000-0000-0000E2010000}"/>
    <cellStyle name="Обычный 18 2 3" xfId="429" xr:uid="{00000000-0005-0000-0000-0000E3010000}"/>
    <cellStyle name="Обычный 18 2 4" xfId="430" xr:uid="{00000000-0005-0000-0000-0000E4010000}"/>
    <cellStyle name="Обычный 18 3" xfId="431" xr:uid="{00000000-0005-0000-0000-0000E5010000}"/>
    <cellStyle name="Обычный 18 3 2" xfId="432" xr:uid="{00000000-0005-0000-0000-0000E6010000}"/>
    <cellStyle name="Обычный 18 4" xfId="433" xr:uid="{00000000-0005-0000-0000-0000E7010000}"/>
    <cellStyle name="Обычный 18 5" xfId="434" xr:uid="{00000000-0005-0000-0000-0000E8010000}"/>
    <cellStyle name="Обычный 18 6" xfId="435" xr:uid="{00000000-0005-0000-0000-0000E9010000}"/>
    <cellStyle name="Обычный 188" xfId="436" xr:uid="{00000000-0005-0000-0000-0000EA010000}"/>
    <cellStyle name="Обычный 19" xfId="437" xr:uid="{00000000-0005-0000-0000-0000EB010000}"/>
    <cellStyle name="Обычный 19 2" xfId="438" xr:uid="{00000000-0005-0000-0000-0000EC010000}"/>
    <cellStyle name="Обычный 19 2 2" xfId="439" xr:uid="{00000000-0005-0000-0000-0000ED010000}"/>
    <cellStyle name="Обычный 19 2 3" xfId="440" xr:uid="{00000000-0005-0000-0000-0000EE010000}"/>
    <cellStyle name="Обычный 19 3" xfId="441" xr:uid="{00000000-0005-0000-0000-0000EF010000}"/>
    <cellStyle name="Обычный 190" xfId="442" xr:uid="{00000000-0005-0000-0000-0000F0010000}"/>
    <cellStyle name="Обычный 2" xfId="1" xr:uid="{00000000-0005-0000-0000-0000F1010000}"/>
    <cellStyle name="Обычный 2 10" xfId="443" xr:uid="{00000000-0005-0000-0000-0000F2010000}"/>
    <cellStyle name="Обычный 2 11" xfId="444" xr:uid="{00000000-0005-0000-0000-0000F3010000}"/>
    <cellStyle name="Обычный 2 12" xfId="445" xr:uid="{00000000-0005-0000-0000-0000F4010000}"/>
    <cellStyle name="Обычный 2 13" xfId="446" xr:uid="{00000000-0005-0000-0000-0000F5010000}"/>
    <cellStyle name="Обычный 2 14" xfId="447" xr:uid="{00000000-0005-0000-0000-0000F6010000}"/>
    <cellStyle name="Обычный 2 15" xfId="448" xr:uid="{00000000-0005-0000-0000-0000F7010000}"/>
    <cellStyle name="Обычный 2 16" xfId="449" xr:uid="{00000000-0005-0000-0000-0000F8010000}"/>
    <cellStyle name="Обычный 2 17" xfId="450" xr:uid="{00000000-0005-0000-0000-0000F9010000}"/>
    <cellStyle name="Обычный 2 18" xfId="451" xr:uid="{00000000-0005-0000-0000-0000FA010000}"/>
    <cellStyle name="Обычный 2 19" xfId="452" xr:uid="{00000000-0005-0000-0000-0000FB010000}"/>
    <cellStyle name="Обычный 2 2" xfId="453" xr:uid="{00000000-0005-0000-0000-0000FC010000}"/>
    <cellStyle name="Обычный 2 2 10" xfId="454" xr:uid="{00000000-0005-0000-0000-0000FD010000}"/>
    <cellStyle name="Обычный 2 2 10 2" xfId="455" xr:uid="{00000000-0005-0000-0000-0000FE010000}"/>
    <cellStyle name="Обычный 2 2 11" xfId="456" xr:uid="{00000000-0005-0000-0000-0000FF010000}"/>
    <cellStyle name="Обычный 2 2 11 2" xfId="457" xr:uid="{00000000-0005-0000-0000-000000020000}"/>
    <cellStyle name="Обычный 2 2 12" xfId="458" xr:uid="{00000000-0005-0000-0000-000001020000}"/>
    <cellStyle name="Обычный 2 2 12 2" xfId="459" xr:uid="{00000000-0005-0000-0000-000002020000}"/>
    <cellStyle name="Обычный 2 2 13" xfId="460" xr:uid="{00000000-0005-0000-0000-000003020000}"/>
    <cellStyle name="Обычный 2 2 13 2" xfId="461" xr:uid="{00000000-0005-0000-0000-000004020000}"/>
    <cellStyle name="Обычный 2 2 14" xfId="462" xr:uid="{00000000-0005-0000-0000-000005020000}"/>
    <cellStyle name="Обычный 2 2 14 2" xfId="463" xr:uid="{00000000-0005-0000-0000-000006020000}"/>
    <cellStyle name="Обычный 2 2 15" xfId="464" xr:uid="{00000000-0005-0000-0000-000007020000}"/>
    <cellStyle name="Обычный 2 2 15 2" xfId="465" xr:uid="{00000000-0005-0000-0000-000008020000}"/>
    <cellStyle name="Обычный 2 2 16" xfId="466" xr:uid="{00000000-0005-0000-0000-000009020000}"/>
    <cellStyle name="Обычный 2 2 16 2" xfId="467" xr:uid="{00000000-0005-0000-0000-00000A020000}"/>
    <cellStyle name="Обычный 2 2 17" xfId="468" xr:uid="{00000000-0005-0000-0000-00000B020000}"/>
    <cellStyle name="Обычный 2 2 17 2" xfId="469" xr:uid="{00000000-0005-0000-0000-00000C020000}"/>
    <cellStyle name="Обычный 2 2 18" xfId="470" xr:uid="{00000000-0005-0000-0000-00000D020000}"/>
    <cellStyle name="Обычный 2 2 18 2" xfId="471" xr:uid="{00000000-0005-0000-0000-00000E020000}"/>
    <cellStyle name="Обычный 2 2 19" xfId="472" xr:uid="{00000000-0005-0000-0000-00000F020000}"/>
    <cellStyle name="Обычный 2 2 19 2" xfId="473" xr:uid="{00000000-0005-0000-0000-000010020000}"/>
    <cellStyle name="Обычный 2 2 2" xfId="474" xr:uid="{00000000-0005-0000-0000-000011020000}"/>
    <cellStyle name="Обычный 2 2 2 10" xfId="475" xr:uid="{00000000-0005-0000-0000-000012020000}"/>
    <cellStyle name="Обычный 2 2 2 11" xfId="476" xr:uid="{00000000-0005-0000-0000-000013020000}"/>
    <cellStyle name="Обычный 2 2 2 12" xfId="477" xr:uid="{00000000-0005-0000-0000-000014020000}"/>
    <cellStyle name="Обычный 2 2 2 13" xfId="478" xr:uid="{00000000-0005-0000-0000-000015020000}"/>
    <cellStyle name="Обычный 2 2 2 14" xfId="479" xr:uid="{00000000-0005-0000-0000-000016020000}"/>
    <cellStyle name="Обычный 2 2 2 15" xfId="480" xr:uid="{00000000-0005-0000-0000-000017020000}"/>
    <cellStyle name="Обычный 2 2 2 16" xfId="481" xr:uid="{00000000-0005-0000-0000-000018020000}"/>
    <cellStyle name="Обычный 2 2 2 17" xfId="482" xr:uid="{00000000-0005-0000-0000-000019020000}"/>
    <cellStyle name="Обычный 2 2 2 18" xfId="483" xr:uid="{00000000-0005-0000-0000-00001A020000}"/>
    <cellStyle name="Обычный 2 2 2 19" xfId="484" xr:uid="{00000000-0005-0000-0000-00001B020000}"/>
    <cellStyle name="Обычный 2 2 2 2" xfId="485" xr:uid="{00000000-0005-0000-0000-00001C020000}"/>
    <cellStyle name="Обычный 2 2 2 2 10" xfId="486" xr:uid="{00000000-0005-0000-0000-00001D020000}"/>
    <cellStyle name="Обычный 2 2 2 2 11" xfId="487" xr:uid="{00000000-0005-0000-0000-00001E020000}"/>
    <cellStyle name="Обычный 2 2 2 2 12" xfId="488" xr:uid="{00000000-0005-0000-0000-00001F020000}"/>
    <cellStyle name="Обычный 2 2 2 2 13" xfId="489" xr:uid="{00000000-0005-0000-0000-000020020000}"/>
    <cellStyle name="Обычный 2 2 2 2 14" xfId="490" xr:uid="{00000000-0005-0000-0000-000021020000}"/>
    <cellStyle name="Обычный 2 2 2 2 15" xfId="491" xr:uid="{00000000-0005-0000-0000-000022020000}"/>
    <cellStyle name="Обычный 2 2 2 2 16" xfId="492" xr:uid="{00000000-0005-0000-0000-000023020000}"/>
    <cellStyle name="Обычный 2 2 2 2 17" xfId="493" xr:uid="{00000000-0005-0000-0000-000024020000}"/>
    <cellStyle name="Обычный 2 2 2 2 18" xfId="494" xr:uid="{00000000-0005-0000-0000-000025020000}"/>
    <cellStyle name="Обычный 2 2 2 2 19" xfId="495" xr:uid="{00000000-0005-0000-0000-000026020000}"/>
    <cellStyle name="Обычный 2 2 2 2 2" xfId="496" xr:uid="{00000000-0005-0000-0000-000027020000}"/>
    <cellStyle name="Обычный 2 2 2 2 20" xfId="497" xr:uid="{00000000-0005-0000-0000-000028020000}"/>
    <cellStyle name="Обычный 2 2 2 2 21" xfId="498" xr:uid="{00000000-0005-0000-0000-000029020000}"/>
    <cellStyle name="Обычный 2 2 2 2 22" xfId="499" xr:uid="{00000000-0005-0000-0000-00002A020000}"/>
    <cellStyle name="Обычный 2 2 2 2 23" xfId="500" xr:uid="{00000000-0005-0000-0000-00002B020000}"/>
    <cellStyle name="Обычный 2 2 2 2 24" xfId="501" xr:uid="{00000000-0005-0000-0000-00002C020000}"/>
    <cellStyle name="Обычный 2 2 2 2 25" xfId="502" xr:uid="{00000000-0005-0000-0000-00002D020000}"/>
    <cellStyle name="Обычный 2 2 2 2 26" xfId="503" xr:uid="{00000000-0005-0000-0000-00002E020000}"/>
    <cellStyle name="Обычный 2 2 2 2 27" xfId="504" xr:uid="{00000000-0005-0000-0000-00002F020000}"/>
    <cellStyle name="Обычный 2 2 2 2 28" xfId="505" xr:uid="{00000000-0005-0000-0000-000030020000}"/>
    <cellStyle name="Обычный 2 2 2 2 29" xfId="506" xr:uid="{00000000-0005-0000-0000-000031020000}"/>
    <cellStyle name="Обычный 2 2 2 2 3" xfId="507" xr:uid="{00000000-0005-0000-0000-000032020000}"/>
    <cellStyle name="Обычный 2 2 2 2 30" xfId="508" xr:uid="{00000000-0005-0000-0000-000033020000}"/>
    <cellStyle name="Обычный 2 2 2 2 4" xfId="509" xr:uid="{00000000-0005-0000-0000-000034020000}"/>
    <cellStyle name="Обычный 2 2 2 2 5" xfId="510" xr:uid="{00000000-0005-0000-0000-000035020000}"/>
    <cellStyle name="Обычный 2 2 2 2 6" xfId="511" xr:uid="{00000000-0005-0000-0000-000036020000}"/>
    <cellStyle name="Обычный 2 2 2 2 7" xfId="512" xr:uid="{00000000-0005-0000-0000-000037020000}"/>
    <cellStyle name="Обычный 2 2 2 2 8" xfId="513" xr:uid="{00000000-0005-0000-0000-000038020000}"/>
    <cellStyle name="Обычный 2 2 2 2 9" xfId="514" xr:uid="{00000000-0005-0000-0000-000039020000}"/>
    <cellStyle name="Обычный 2 2 2 20" xfId="515" xr:uid="{00000000-0005-0000-0000-00003A020000}"/>
    <cellStyle name="Обычный 2 2 2 21" xfId="516" xr:uid="{00000000-0005-0000-0000-00003B020000}"/>
    <cellStyle name="Обычный 2 2 2 22" xfId="517" xr:uid="{00000000-0005-0000-0000-00003C020000}"/>
    <cellStyle name="Обычный 2 2 2 23" xfId="518" xr:uid="{00000000-0005-0000-0000-00003D020000}"/>
    <cellStyle name="Обычный 2 2 2 24" xfId="519" xr:uid="{00000000-0005-0000-0000-00003E020000}"/>
    <cellStyle name="Обычный 2 2 2 25" xfId="520" xr:uid="{00000000-0005-0000-0000-00003F020000}"/>
    <cellStyle name="Обычный 2 2 2 26" xfId="521" xr:uid="{00000000-0005-0000-0000-000040020000}"/>
    <cellStyle name="Обычный 2 2 2 27" xfId="522" xr:uid="{00000000-0005-0000-0000-000041020000}"/>
    <cellStyle name="Обычный 2 2 2 28" xfId="523" xr:uid="{00000000-0005-0000-0000-000042020000}"/>
    <cellStyle name="Обычный 2 2 2 29" xfId="524" xr:uid="{00000000-0005-0000-0000-000043020000}"/>
    <cellStyle name="Обычный 2 2 2 3" xfId="525" xr:uid="{00000000-0005-0000-0000-000044020000}"/>
    <cellStyle name="Обычный 2 2 2 30" xfId="526" xr:uid="{00000000-0005-0000-0000-000045020000}"/>
    <cellStyle name="Обычный 2 2 2 31" xfId="527" xr:uid="{00000000-0005-0000-0000-000046020000}"/>
    <cellStyle name="Обычный 2 2 2 4" xfId="528" xr:uid="{00000000-0005-0000-0000-000047020000}"/>
    <cellStyle name="Обычный 2 2 2 5" xfId="529" xr:uid="{00000000-0005-0000-0000-000048020000}"/>
    <cellStyle name="Обычный 2 2 2 6" xfId="530" xr:uid="{00000000-0005-0000-0000-000049020000}"/>
    <cellStyle name="Обычный 2 2 2 7" xfId="531" xr:uid="{00000000-0005-0000-0000-00004A020000}"/>
    <cellStyle name="Обычный 2 2 2 8" xfId="532" xr:uid="{00000000-0005-0000-0000-00004B020000}"/>
    <cellStyle name="Обычный 2 2 2 9" xfId="533" xr:uid="{00000000-0005-0000-0000-00004C020000}"/>
    <cellStyle name="Обычный 2 2 20" xfId="534" xr:uid="{00000000-0005-0000-0000-00004D020000}"/>
    <cellStyle name="Обычный 2 2 20 2" xfId="535" xr:uid="{00000000-0005-0000-0000-00004E020000}"/>
    <cellStyle name="Обычный 2 2 21" xfId="536" xr:uid="{00000000-0005-0000-0000-00004F020000}"/>
    <cellStyle name="Обычный 2 2 21 2" xfId="537" xr:uid="{00000000-0005-0000-0000-000050020000}"/>
    <cellStyle name="Обычный 2 2 22" xfId="538" xr:uid="{00000000-0005-0000-0000-000051020000}"/>
    <cellStyle name="Обычный 2 2 22 2" xfId="539" xr:uid="{00000000-0005-0000-0000-000052020000}"/>
    <cellStyle name="Обычный 2 2 23" xfId="540" xr:uid="{00000000-0005-0000-0000-000053020000}"/>
    <cellStyle name="Обычный 2 2 23 2" xfId="541" xr:uid="{00000000-0005-0000-0000-000054020000}"/>
    <cellStyle name="Обычный 2 2 24" xfId="542" xr:uid="{00000000-0005-0000-0000-000055020000}"/>
    <cellStyle name="Обычный 2 2 24 2" xfId="543" xr:uid="{00000000-0005-0000-0000-000056020000}"/>
    <cellStyle name="Обычный 2 2 25" xfId="544" xr:uid="{00000000-0005-0000-0000-000057020000}"/>
    <cellStyle name="Обычный 2 2 25 2" xfId="545" xr:uid="{00000000-0005-0000-0000-000058020000}"/>
    <cellStyle name="Обычный 2 2 26" xfId="546" xr:uid="{00000000-0005-0000-0000-000059020000}"/>
    <cellStyle name="Обычный 2 2 26 2" xfId="547" xr:uid="{00000000-0005-0000-0000-00005A020000}"/>
    <cellStyle name="Обычный 2 2 27" xfId="548" xr:uid="{00000000-0005-0000-0000-00005B020000}"/>
    <cellStyle name="Обычный 2 2 27 2" xfId="549" xr:uid="{00000000-0005-0000-0000-00005C020000}"/>
    <cellStyle name="Обычный 2 2 28" xfId="550" xr:uid="{00000000-0005-0000-0000-00005D020000}"/>
    <cellStyle name="Обычный 2 2 28 2" xfId="551" xr:uid="{00000000-0005-0000-0000-00005E020000}"/>
    <cellStyle name="Обычный 2 2 29" xfId="552" xr:uid="{00000000-0005-0000-0000-00005F020000}"/>
    <cellStyle name="Обычный 2 2 29 2" xfId="553" xr:uid="{00000000-0005-0000-0000-000060020000}"/>
    <cellStyle name="Обычный 2 2 3" xfId="554" xr:uid="{00000000-0005-0000-0000-000061020000}"/>
    <cellStyle name="Обычный 2 2 3 2" xfId="555" xr:uid="{00000000-0005-0000-0000-000062020000}"/>
    <cellStyle name="Обычный 2 2 30" xfId="556" xr:uid="{00000000-0005-0000-0000-000063020000}"/>
    <cellStyle name="Обычный 2 2 30 2" xfId="557" xr:uid="{00000000-0005-0000-0000-000064020000}"/>
    <cellStyle name="Обычный 2 2 31" xfId="558" xr:uid="{00000000-0005-0000-0000-000065020000}"/>
    <cellStyle name="Обычный 2 2 31 2" xfId="559" xr:uid="{00000000-0005-0000-0000-000066020000}"/>
    <cellStyle name="Обычный 2 2 32" xfId="560" xr:uid="{00000000-0005-0000-0000-000067020000}"/>
    <cellStyle name="Обычный 2 2 4" xfId="561" xr:uid="{00000000-0005-0000-0000-000068020000}"/>
    <cellStyle name="Обычный 2 2 4 2" xfId="562" xr:uid="{00000000-0005-0000-0000-000069020000}"/>
    <cellStyle name="Обычный 2 2 5" xfId="563" xr:uid="{00000000-0005-0000-0000-00006A020000}"/>
    <cellStyle name="Обычный 2 2 5 2" xfId="564" xr:uid="{00000000-0005-0000-0000-00006B020000}"/>
    <cellStyle name="Обычный 2 2 6" xfId="565" xr:uid="{00000000-0005-0000-0000-00006C020000}"/>
    <cellStyle name="Обычный 2 2 6 2" xfId="566" xr:uid="{00000000-0005-0000-0000-00006D020000}"/>
    <cellStyle name="Обычный 2 2 7" xfId="567" xr:uid="{00000000-0005-0000-0000-00006E020000}"/>
    <cellStyle name="Обычный 2 2 7 2" xfId="568" xr:uid="{00000000-0005-0000-0000-00006F020000}"/>
    <cellStyle name="Обычный 2 2 8" xfId="569" xr:uid="{00000000-0005-0000-0000-000070020000}"/>
    <cellStyle name="Обычный 2 2 8 2" xfId="570" xr:uid="{00000000-0005-0000-0000-000071020000}"/>
    <cellStyle name="Обычный 2 2 9" xfId="571" xr:uid="{00000000-0005-0000-0000-000072020000}"/>
    <cellStyle name="Обычный 2 2 9 2" xfId="572" xr:uid="{00000000-0005-0000-0000-000073020000}"/>
    <cellStyle name="Обычный 2 20" xfId="573" xr:uid="{00000000-0005-0000-0000-000074020000}"/>
    <cellStyle name="Обычный 2 21" xfId="574" xr:uid="{00000000-0005-0000-0000-000075020000}"/>
    <cellStyle name="Обычный 2 22" xfId="575" xr:uid="{00000000-0005-0000-0000-000076020000}"/>
    <cellStyle name="Обычный 2 23" xfId="576" xr:uid="{00000000-0005-0000-0000-000077020000}"/>
    <cellStyle name="Обычный 2 24" xfId="577" xr:uid="{00000000-0005-0000-0000-000078020000}"/>
    <cellStyle name="Обычный 2 25" xfId="578" xr:uid="{00000000-0005-0000-0000-000079020000}"/>
    <cellStyle name="Обычный 2 26" xfId="579" xr:uid="{00000000-0005-0000-0000-00007A020000}"/>
    <cellStyle name="Обычный 2 27" xfId="580" xr:uid="{00000000-0005-0000-0000-00007B020000}"/>
    <cellStyle name="Обычный 2 28" xfId="581" xr:uid="{00000000-0005-0000-0000-00007C020000}"/>
    <cellStyle name="Обычный 2 29" xfId="582" xr:uid="{00000000-0005-0000-0000-00007D020000}"/>
    <cellStyle name="Обычный 2 3" xfId="583" xr:uid="{00000000-0005-0000-0000-00007E020000}"/>
    <cellStyle name="Обычный 2 3 2" xfId="584" xr:uid="{00000000-0005-0000-0000-00007F020000}"/>
    <cellStyle name="Обычный 2 3 3" xfId="585" xr:uid="{00000000-0005-0000-0000-000080020000}"/>
    <cellStyle name="Обычный 2 30" xfId="586" xr:uid="{00000000-0005-0000-0000-000081020000}"/>
    <cellStyle name="Обычный 2 31" xfId="587" xr:uid="{00000000-0005-0000-0000-000082020000}"/>
    <cellStyle name="Обычный 2 32" xfId="588" xr:uid="{00000000-0005-0000-0000-000083020000}"/>
    <cellStyle name="Обычный 2 33" xfId="589" xr:uid="{00000000-0005-0000-0000-000084020000}"/>
    <cellStyle name="Обычный 2 34" xfId="590" xr:uid="{00000000-0005-0000-0000-000085020000}"/>
    <cellStyle name="Обычный 2 34 2" xfId="591" xr:uid="{00000000-0005-0000-0000-000086020000}"/>
    <cellStyle name="Обычный 2 35" xfId="592" xr:uid="{00000000-0005-0000-0000-000087020000}"/>
    <cellStyle name="Обычный 2 36" xfId="593" xr:uid="{00000000-0005-0000-0000-000088020000}"/>
    <cellStyle name="Обычный 2 4" xfId="594" xr:uid="{00000000-0005-0000-0000-000089020000}"/>
    <cellStyle name="Обычный 2 4 2" xfId="595" xr:uid="{00000000-0005-0000-0000-00008A020000}"/>
    <cellStyle name="Обычный 2 4 3" xfId="596" xr:uid="{00000000-0005-0000-0000-00008B020000}"/>
    <cellStyle name="Обычный 2 5" xfId="597" xr:uid="{00000000-0005-0000-0000-00008C020000}"/>
    <cellStyle name="Обычный 2 5 2" xfId="598" xr:uid="{00000000-0005-0000-0000-00008D020000}"/>
    <cellStyle name="Обычный 2 5 3" xfId="599" xr:uid="{00000000-0005-0000-0000-00008E020000}"/>
    <cellStyle name="Обычный 2 6" xfId="600" xr:uid="{00000000-0005-0000-0000-00008F020000}"/>
    <cellStyle name="Обычный 2 7" xfId="601" xr:uid="{00000000-0005-0000-0000-000090020000}"/>
    <cellStyle name="Обычный 2 8" xfId="602" xr:uid="{00000000-0005-0000-0000-000091020000}"/>
    <cellStyle name="Обычный 2 9" xfId="603" xr:uid="{00000000-0005-0000-0000-000092020000}"/>
    <cellStyle name="Обычный 20" xfId="604" xr:uid="{00000000-0005-0000-0000-000093020000}"/>
    <cellStyle name="Обычный 20 10" xfId="605" xr:uid="{00000000-0005-0000-0000-000094020000}"/>
    <cellStyle name="Обычный 20 11" xfId="606" xr:uid="{00000000-0005-0000-0000-000095020000}"/>
    <cellStyle name="Обычный 20 12" xfId="607" xr:uid="{00000000-0005-0000-0000-000096020000}"/>
    <cellStyle name="Обычный 20 13" xfId="608" xr:uid="{00000000-0005-0000-0000-000097020000}"/>
    <cellStyle name="Обычный 20 14" xfId="609" xr:uid="{00000000-0005-0000-0000-000098020000}"/>
    <cellStyle name="Обычный 20 15" xfId="610" xr:uid="{00000000-0005-0000-0000-000099020000}"/>
    <cellStyle name="Обычный 20 16" xfId="611" xr:uid="{00000000-0005-0000-0000-00009A020000}"/>
    <cellStyle name="Обычный 20 17" xfId="612" xr:uid="{00000000-0005-0000-0000-00009B020000}"/>
    <cellStyle name="Обычный 20 18" xfId="613" xr:uid="{00000000-0005-0000-0000-00009C020000}"/>
    <cellStyle name="Обычный 20 19" xfId="614" xr:uid="{00000000-0005-0000-0000-00009D020000}"/>
    <cellStyle name="Обычный 20 2" xfId="615" xr:uid="{00000000-0005-0000-0000-00009E020000}"/>
    <cellStyle name="Обычный 20 2 2" xfId="616" xr:uid="{00000000-0005-0000-0000-00009F020000}"/>
    <cellStyle name="Обычный 20 2 2 2" xfId="617" xr:uid="{00000000-0005-0000-0000-0000A0020000}"/>
    <cellStyle name="Обычный 20 2 3" xfId="618" xr:uid="{00000000-0005-0000-0000-0000A1020000}"/>
    <cellStyle name="Обычный 20 2 4" xfId="619" xr:uid="{00000000-0005-0000-0000-0000A2020000}"/>
    <cellStyle name="Обычный 20 20" xfId="620" xr:uid="{00000000-0005-0000-0000-0000A3020000}"/>
    <cellStyle name="Обычный 20 21" xfId="621" xr:uid="{00000000-0005-0000-0000-0000A4020000}"/>
    <cellStyle name="Обычный 20 22" xfId="622" xr:uid="{00000000-0005-0000-0000-0000A5020000}"/>
    <cellStyle name="Обычный 20 23" xfId="623" xr:uid="{00000000-0005-0000-0000-0000A6020000}"/>
    <cellStyle name="Обычный 20 24" xfId="624" xr:uid="{00000000-0005-0000-0000-0000A7020000}"/>
    <cellStyle name="Обычный 20 25" xfId="625" xr:uid="{00000000-0005-0000-0000-0000A8020000}"/>
    <cellStyle name="Обычный 20 26" xfId="626" xr:uid="{00000000-0005-0000-0000-0000A9020000}"/>
    <cellStyle name="Обычный 20 27" xfId="627" xr:uid="{00000000-0005-0000-0000-0000AA020000}"/>
    <cellStyle name="Обычный 20 28" xfId="628" xr:uid="{00000000-0005-0000-0000-0000AB020000}"/>
    <cellStyle name="Обычный 20 29" xfId="629" xr:uid="{00000000-0005-0000-0000-0000AC020000}"/>
    <cellStyle name="Обычный 20 3" xfId="630" xr:uid="{00000000-0005-0000-0000-0000AD020000}"/>
    <cellStyle name="Обычный 20 3 2" xfId="631" xr:uid="{00000000-0005-0000-0000-0000AE020000}"/>
    <cellStyle name="Обычный 20 30" xfId="632" xr:uid="{00000000-0005-0000-0000-0000AF020000}"/>
    <cellStyle name="Обычный 20 31" xfId="633" xr:uid="{00000000-0005-0000-0000-0000B0020000}"/>
    <cellStyle name="Обычный 20 32" xfId="634" xr:uid="{00000000-0005-0000-0000-0000B1020000}"/>
    <cellStyle name="Обычный 20 4" xfId="635" xr:uid="{00000000-0005-0000-0000-0000B2020000}"/>
    <cellStyle name="Обычный 20 5" xfId="636" xr:uid="{00000000-0005-0000-0000-0000B3020000}"/>
    <cellStyle name="Обычный 20 6" xfId="637" xr:uid="{00000000-0005-0000-0000-0000B4020000}"/>
    <cellStyle name="Обычный 20 7" xfId="638" xr:uid="{00000000-0005-0000-0000-0000B5020000}"/>
    <cellStyle name="Обычный 20 8" xfId="639" xr:uid="{00000000-0005-0000-0000-0000B6020000}"/>
    <cellStyle name="Обычный 20 9" xfId="640" xr:uid="{00000000-0005-0000-0000-0000B7020000}"/>
    <cellStyle name="Обычный 21" xfId="641" xr:uid="{00000000-0005-0000-0000-0000B8020000}"/>
    <cellStyle name="Обычный 21 2" xfId="642" xr:uid="{00000000-0005-0000-0000-0000B9020000}"/>
    <cellStyle name="Обычный 21 2 2" xfId="643" xr:uid="{00000000-0005-0000-0000-0000BA020000}"/>
    <cellStyle name="Обычный 21 2 3" xfId="644" xr:uid="{00000000-0005-0000-0000-0000BB020000}"/>
    <cellStyle name="Обычный 21 2 4" xfId="645" xr:uid="{00000000-0005-0000-0000-0000BC020000}"/>
    <cellStyle name="Обычный 22" xfId="646" xr:uid="{00000000-0005-0000-0000-0000BD020000}"/>
    <cellStyle name="Обычный 22 10" xfId="647" xr:uid="{00000000-0005-0000-0000-0000BE020000}"/>
    <cellStyle name="Обычный 22 11" xfId="648" xr:uid="{00000000-0005-0000-0000-0000BF020000}"/>
    <cellStyle name="Обычный 22 12" xfId="649" xr:uid="{00000000-0005-0000-0000-0000C0020000}"/>
    <cellStyle name="Обычный 22 13" xfId="650" xr:uid="{00000000-0005-0000-0000-0000C1020000}"/>
    <cellStyle name="Обычный 22 14" xfId="651" xr:uid="{00000000-0005-0000-0000-0000C2020000}"/>
    <cellStyle name="Обычный 22 15" xfId="652" xr:uid="{00000000-0005-0000-0000-0000C3020000}"/>
    <cellStyle name="Обычный 22 16" xfId="653" xr:uid="{00000000-0005-0000-0000-0000C4020000}"/>
    <cellStyle name="Обычный 22 17" xfId="654" xr:uid="{00000000-0005-0000-0000-0000C5020000}"/>
    <cellStyle name="Обычный 22 18" xfId="655" xr:uid="{00000000-0005-0000-0000-0000C6020000}"/>
    <cellStyle name="Обычный 22 19" xfId="656" xr:uid="{00000000-0005-0000-0000-0000C7020000}"/>
    <cellStyle name="Обычный 22 2" xfId="657" xr:uid="{00000000-0005-0000-0000-0000C8020000}"/>
    <cellStyle name="Обычный 22 2 2" xfId="658" xr:uid="{00000000-0005-0000-0000-0000C9020000}"/>
    <cellStyle name="Обычный 22 2 3" xfId="659" xr:uid="{00000000-0005-0000-0000-0000CA020000}"/>
    <cellStyle name="Обычный 22 20" xfId="660" xr:uid="{00000000-0005-0000-0000-0000CB020000}"/>
    <cellStyle name="Обычный 22 21" xfId="661" xr:uid="{00000000-0005-0000-0000-0000CC020000}"/>
    <cellStyle name="Обычный 22 22" xfId="662" xr:uid="{00000000-0005-0000-0000-0000CD020000}"/>
    <cellStyle name="Обычный 22 23" xfId="663" xr:uid="{00000000-0005-0000-0000-0000CE020000}"/>
    <cellStyle name="Обычный 22 24" xfId="664" xr:uid="{00000000-0005-0000-0000-0000CF020000}"/>
    <cellStyle name="Обычный 22 25" xfId="665" xr:uid="{00000000-0005-0000-0000-0000D0020000}"/>
    <cellStyle name="Обычный 22 26" xfId="666" xr:uid="{00000000-0005-0000-0000-0000D1020000}"/>
    <cellStyle name="Обычный 22 27" xfId="667" xr:uid="{00000000-0005-0000-0000-0000D2020000}"/>
    <cellStyle name="Обычный 22 28" xfId="668" xr:uid="{00000000-0005-0000-0000-0000D3020000}"/>
    <cellStyle name="Обычный 22 29" xfId="669" xr:uid="{00000000-0005-0000-0000-0000D4020000}"/>
    <cellStyle name="Обычный 22 3" xfId="670" xr:uid="{00000000-0005-0000-0000-0000D5020000}"/>
    <cellStyle name="Обычный 22 30" xfId="671" xr:uid="{00000000-0005-0000-0000-0000D6020000}"/>
    <cellStyle name="Обычный 22 31" xfId="672" xr:uid="{00000000-0005-0000-0000-0000D7020000}"/>
    <cellStyle name="Обычный 22 32" xfId="673" xr:uid="{00000000-0005-0000-0000-0000D8020000}"/>
    <cellStyle name="Обычный 22 4" xfId="674" xr:uid="{00000000-0005-0000-0000-0000D9020000}"/>
    <cellStyle name="Обычный 22 5" xfId="675" xr:uid="{00000000-0005-0000-0000-0000DA020000}"/>
    <cellStyle name="Обычный 22 6" xfId="676" xr:uid="{00000000-0005-0000-0000-0000DB020000}"/>
    <cellStyle name="Обычный 22 7" xfId="677" xr:uid="{00000000-0005-0000-0000-0000DC020000}"/>
    <cellStyle name="Обычный 22 8" xfId="678" xr:uid="{00000000-0005-0000-0000-0000DD020000}"/>
    <cellStyle name="Обычный 22 9" xfId="679" xr:uid="{00000000-0005-0000-0000-0000DE020000}"/>
    <cellStyle name="Обычный 23" xfId="680" xr:uid="{00000000-0005-0000-0000-0000DF020000}"/>
    <cellStyle name="Обычный 24" xfId="681" xr:uid="{00000000-0005-0000-0000-0000E0020000}"/>
    <cellStyle name="Обычный 24 2" xfId="682" xr:uid="{00000000-0005-0000-0000-0000E1020000}"/>
    <cellStyle name="Обычный 24 3" xfId="683" xr:uid="{00000000-0005-0000-0000-0000E2020000}"/>
    <cellStyle name="Обычный 24 4" xfId="684" xr:uid="{00000000-0005-0000-0000-0000E3020000}"/>
    <cellStyle name="Обычный 25" xfId="685" xr:uid="{00000000-0005-0000-0000-0000E4020000}"/>
    <cellStyle name="Обычный 25 2" xfId="686" xr:uid="{00000000-0005-0000-0000-0000E5020000}"/>
    <cellStyle name="Обычный 256" xfId="687" xr:uid="{00000000-0005-0000-0000-0000E6020000}"/>
    <cellStyle name="Обычный 256 2" xfId="688" xr:uid="{00000000-0005-0000-0000-0000E7020000}"/>
    <cellStyle name="Обычный 26" xfId="689" xr:uid="{00000000-0005-0000-0000-0000E8020000}"/>
    <cellStyle name="Обычный 26 10" xfId="690" xr:uid="{00000000-0005-0000-0000-0000E9020000}"/>
    <cellStyle name="Обычный 26 11" xfId="691" xr:uid="{00000000-0005-0000-0000-0000EA020000}"/>
    <cellStyle name="Обычный 26 12" xfId="692" xr:uid="{00000000-0005-0000-0000-0000EB020000}"/>
    <cellStyle name="Обычный 26 13" xfId="693" xr:uid="{00000000-0005-0000-0000-0000EC020000}"/>
    <cellStyle name="Обычный 26 14" xfId="694" xr:uid="{00000000-0005-0000-0000-0000ED020000}"/>
    <cellStyle name="Обычный 26 15" xfId="695" xr:uid="{00000000-0005-0000-0000-0000EE020000}"/>
    <cellStyle name="Обычный 26 16" xfId="696" xr:uid="{00000000-0005-0000-0000-0000EF020000}"/>
    <cellStyle name="Обычный 26 17" xfId="697" xr:uid="{00000000-0005-0000-0000-0000F0020000}"/>
    <cellStyle name="Обычный 26 18" xfId="698" xr:uid="{00000000-0005-0000-0000-0000F1020000}"/>
    <cellStyle name="Обычный 26 19" xfId="699" xr:uid="{00000000-0005-0000-0000-0000F2020000}"/>
    <cellStyle name="Обычный 26 2" xfId="700" xr:uid="{00000000-0005-0000-0000-0000F3020000}"/>
    <cellStyle name="Обычный 26 20" xfId="701" xr:uid="{00000000-0005-0000-0000-0000F4020000}"/>
    <cellStyle name="Обычный 26 21" xfId="702" xr:uid="{00000000-0005-0000-0000-0000F5020000}"/>
    <cellStyle name="Обычный 26 22" xfId="703" xr:uid="{00000000-0005-0000-0000-0000F6020000}"/>
    <cellStyle name="Обычный 26 23" xfId="704" xr:uid="{00000000-0005-0000-0000-0000F7020000}"/>
    <cellStyle name="Обычный 26 24" xfId="705" xr:uid="{00000000-0005-0000-0000-0000F8020000}"/>
    <cellStyle name="Обычный 26 25" xfId="706" xr:uid="{00000000-0005-0000-0000-0000F9020000}"/>
    <cellStyle name="Обычный 26 26" xfId="707" xr:uid="{00000000-0005-0000-0000-0000FA020000}"/>
    <cellStyle name="Обычный 26 27" xfId="708" xr:uid="{00000000-0005-0000-0000-0000FB020000}"/>
    <cellStyle name="Обычный 26 28" xfId="709" xr:uid="{00000000-0005-0000-0000-0000FC020000}"/>
    <cellStyle name="Обычный 26 29" xfId="710" xr:uid="{00000000-0005-0000-0000-0000FD020000}"/>
    <cellStyle name="Обычный 26 3" xfId="711" xr:uid="{00000000-0005-0000-0000-0000FE020000}"/>
    <cellStyle name="Обычный 26 3 2" xfId="712" xr:uid="{00000000-0005-0000-0000-0000FF020000}"/>
    <cellStyle name="Обычный 26 30" xfId="713" xr:uid="{00000000-0005-0000-0000-000000030000}"/>
    <cellStyle name="Обычный 26 31" xfId="714" xr:uid="{00000000-0005-0000-0000-000001030000}"/>
    <cellStyle name="Обычный 26 32" xfId="715" xr:uid="{00000000-0005-0000-0000-000002030000}"/>
    <cellStyle name="Обычный 26 4" xfId="716" xr:uid="{00000000-0005-0000-0000-000003030000}"/>
    <cellStyle name="Обычный 26 5" xfId="717" xr:uid="{00000000-0005-0000-0000-000004030000}"/>
    <cellStyle name="Обычный 26 6" xfId="718" xr:uid="{00000000-0005-0000-0000-000005030000}"/>
    <cellStyle name="Обычный 26 7" xfId="719" xr:uid="{00000000-0005-0000-0000-000006030000}"/>
    <cellStyle name="Обычный 26 8" xfId="720" xr:uid="{00000000-0005-0000-0000-000007030000}"/>
    <cellStyle name="Обычный 26 9" xfId="721" xr:uid="{00000000-0005-0000-0000-000008030000}"/>
    <cellStyle name="Обычный 27" xfId="722" xr:uid="{00000000-0005-0000-0000-000009030000}"/>
    <cellStyle name="Обычный 27 2" xfId="723" xr:uid="{00000000-0005-0000-0000-00000A030000}"/>
    <cellStyle name="Обычный 28" xfId="724" xr:uid="{00000000-0005-0000-0000-00000B030000}"/>
    <cellStyle name="Обычный 29" xfId="725" xr:uid="{00000000-0005-0000-0000-00000C030000}"/>
    <cellStyle name="Обычный 3" xfId="5" xr:uid="{00000000-0005-0000-0000-00000D030000}"/>
    <cellStyle name="Обычный 3 2" xfId="726" xr:uid="{00000000-0005-0000-0000-00000E030000}"/>
    <cellStyle name="Обычный 3 2 2" xfId="727" xr:uid="{00000000-0005-0000-0000-00000F030000}"/>
    <cellStyle name="Обычный 3 2 2 2" xfId="728" xr:uid="{00000000-0005-0000-0000-000010030000}"/>
    <cellStyle name="Обычный 3 2 3" xfId="729" xr:uid="{00000000-0005-0000-0000-000011030000}"/>
    <cellStyle name="Обычный 3 2 4" xfId="730" xr:uid="{00000000-0005-0000-0000-000012030000}"/>
    <cellStyle name="Обычный 3 3" xfId="731" xr:uid="{00000000-0005-0000-0000-000013030000}"/>
    <cellStyle name="Обычный 3 3 2" xfId="732" xr:uid="{00000000-0005-0000-0000-000014030000}"/>
    <cellStyle name="Обычный 3 3 2 2" xfId="733" xr:uid="{00000000-0005-0000-0000-000015030000}"/>
    <cellStyle name="Обычный 3 3 3" xfId="734" xr:uid="{00000000-0005-0000-0000-000016030000}"/>
    <cellStyle name="Обычный 3 4" xfId="735" xr:uid="{00000000-0005-0000-0000-000017030000}"/>
    <cellStyle name="Обычный 3 5" xfId="736" xr:uid="{00000000-0005-0000-0000-000018030000}"/>
    <cellStyle name="Обычный 3 5 2" xfId="737" xr:uid="{00000000-0005-0000-0000-000019030000}"/>
    <cellStyle name="Обычный 3 6" xfId="738" xr:uid="{00000000-0005-0000-0000-00001A030000}"/>
    <cellStyle name="Обычный 3 7" xfId="739" xr:uid="{00000000-0005-0000-0000-00001B030000}"/>
    <cellStyle name="Обычный 3 8" xfId="9" xr:uid="{00000000-0005-0000-0000-00001C030000}"/>
    <cellStyle name="Обычный 30" xfId="740" xr:uid="{00000000-0005-0000-0000-00001D030000}"/>
    <cellStyle name="Обычный 30 2" xfId="741" xr:uid="{00000000-0005-0000-0000-00001E030000}"/>
    <cellStyle name="Обычный 31" xfId="742" xr:uid="{00000000-0005-0000-0000-00001F030000}"/>
    <cellStyle name="Обычный 31 2" xfId="743" xr:uid="{00000000-0005-0000-0000-000020030000}"/>
    <cellStyle name="Обычный 32" xfId="744" xr:uid="{00000000-0005-0000-0000-000021030000}"/>
    <cellStyle name="Обычный 32 2" xfId="745" xr:uid="{00000000-0005-0000-0000-000022030000}"/>
    <cellStyle name="Обычный 33" xfId="746" xr:uid="{00000000-0005-0000-0000-000023030000}"/>
    <cellStyle name="Обычный 33 2" xfId="747" xr:uid="{00000000-0005-0000-0000-000024030000}"/>
    <cellStyle name="Обычный 34" xfId="748" xr:uid="{00000000-0005-0000-0000-000025030000}"/>
    <cellStyle name="Обычный 34 2" xfId="749" xr:uid="{00000000-0005-0000-0000-000026030000}"/>
    <cellStyle name="Обычный 35" xfId="750" xr:uid="{00000000-0005-0000-0000-000027030000}"/>
    <cellStyle name="Обычный 35 10" xfId="751" xr:uid="{00000000-0005-0000-0000-000028030000}"/>
    <cellStyle name="Обычный 35 11" xfId="752" xr:uid="{00000000-0005-0000-0000-000029030000}"/>
    <cellStyle name="Обычный 35 12" xfId="753" xr:uid="{00000000-0005-0000-0000-00002A030000}"/>
    <cellStyle name="Обычный 35 13" xfId="754" xr:uid="{00000000-0005-0000-0000-00002B030000}"/>
    <cellStyle name="Обычный 35 14" xfId="755" xr:uid="{00000000-0005-0000-0000-00002C030000}"/>
    <cellStyle name="Обычный 35 15" xfId="756" xr:uid="{00000000-0005-0000-0000-00002D030000}"/>
    <cellStyle name="Обычный 35 16" xfId="757" xr:uid="{00000000-0005-0000-0000-00002E030000}"/>
    <cellStyle name="Обычный 35 17" xfId="758" xr:uid="{00000000-0005-0000-0000-00002F030000}"/>
    <cellStyle name="Обычный 35 18" xfId="759" xr:uid="{00000000-0005-0000-0000-000030030000}"/>
    <cellStyle name="Обычный 35 19" xfId="760" xr:uid="{00000000-0005-0000-0000-000031030000}"/>
    <cellStyle name="Обычный 35 2" xfId="761" xr:uid="{00000000-0005-0000-0000-000032030000}"/>
    <cellStyle name="Обычный 35 2 2" xfId="762" xr:uid="{00000000-0005-0000-0000-000033030000}"/>
    <cellStyle name="Обычный 35 20" xfId="763" xr:uid="{00000000-0005-0000-0000-000034030000}"/>
    <cellStyle name="Обычный 35 21" xfId="764" xr:uid="{00000000-0005-0000-0000-000035030000}"/>
    <cellStyle name="Обычный 35 22" xfId="765" xr:uid="{00000000-0005-0000-0000-000036030000}"/>
    <cellStyle name="Обычный 35 23" xfId="766" xr:uid="{00000000-0005-0000-0000-000037030000}"/>
    <cellStyle name="Обычный 35 24" xfId="767" xr:uid="{00000000-0005-0000-0000-000038030000}"/>
    <cellStyle name="Обычный 35 25" xfId="768" xr:uid="{00000000-0005-0000-0000-000039030000}"/>
    <cellStyle name="Обычный 35 26" xfId="769" xr:uid="{00000000-0005-0000-0000-00003A030000}"/>
    <cellStyle name="Обычный 35 27" xfId="770" xr:uid="{00000000-0005-0000-0000-00003B030000}"/>
    <cellStyle name="Обычный 35 28" xfId="771" xr:uid="{00000000-0005-0000-0000-00003C030000}"/>
    <cellStyle name="Обычный 35 29" xfId="772" xr:uid="{00000000-0005-0000-0000-00003D030000}"/>
    <cellStyle name="Обычный 35 3" xfId="773" xr:uid="{00000000-0005-0000-0000-00003E030000}"/>
    <cellStyle name="Обычный 35 30" xfId="774" xr:uid="{00000000-0005-0000-0000-00003F030000}"/>
    <cellStyle name="Обычный 35 31" xfId="775" xr:uid="{00000000-0005-0000-0000-000040030000}"/>
    <cellStyle name="Обычный 35 4" xfId="776" xr:uid="{00000000-0005-0000-0000-000041030000}"/>
    <cellStyle name="Обычный 35 5" xfId="777" xr:uid="{00000000-0005-0000-0000-000042030000}"/>
    <cellStyle name="Обычный 35 6" xfId="778" xr:uid="{00000000-0005-0000-0000-000043030000}"/>
    <cellStyle name="Обычный 35 7" xfId="779" xr:uid="{00000000-0005-0000-0000-000044030000}"/>
    <cellStyle name="Обычный 35 8" xfId="780" xr:uid="{00000000-0005-0000-0000-000045030000}"/>
    <cellStyle name="Обычный 35 9" xfId="781" xr:uid="{00000000-0005-0000-0000-000046030000}"/>
    <cellStyle name="Обычный 36" xfId="782" xr:uid="{00000000-0005-0000-0000-000047030000}"/>
    <cellStyle name="Обычный 36 2" xfId="783" xr:uid="{00000000-0005-0000-0000-000048030000}"/>
    <cellStyle name="Обычный 37" xfId="784" xr:uid="{00000000-0005-0000-0000-000049030000}"/>
    <cellStyle name="Обычный 37 2" xfId="785" xr:uid="{00000000-0005-0000-0000-00004A030000}"/>
    <cellStyle name="Обычный 38" xfId="786" xr:uid="{00000000-0005-0000-0000-00004B030000}"/>
    <cellStyle name="Обычный 38 2" xfId="787" xr:uid="{00000000-0005-0000-0000-00004C030000}"/>
    <cellStyle name="Обычный 39" xfId="788" xr:uid="{00000000-0005-0000-0000-00004D030000}"/>
    <cellStyle name="Обычный 39 2" xfId="789" xr:uid="{00000000-0005-0000-0000-00004E030000}"/>
    <cellStyle name="Обычный 4" xfId="6" xr:uid="{00000000-0005-0000-0000-00004F030000}"/>
    <cellStyle name="Обычный 4 2" xfId="4" xr:uid="{00000000-0005-0000-0000-000050030000}"/>
    <cellStyle name="Обычный 4 2 2" xfId="790" xr:uid="{00000000-0005-0000-0000-000051030000}"/>
    <cellStyle name="Обычный 4 2 3" xfId="791" xr:uid="{00000000-0005-0000-0000-000052030000}"/>
    <cellStyle name="Обычный 4 3" xfId="792" xr:uid="{00000000-0005-0000-0000-000053030000}"/>
    <cellStyle name="Обычный 4 3 2" xfId="793" xr:uid="{00000000-0005-0000-0000-000054030000}"/>
    <cellStyle name="Обычный 4 4" xfId="794" xr:uid="{00000000-0005-0000-0000-000055030000}"/>
    <cellStyle name="Обычный 4 4 2" xfId="795" xr:uid="{00000000-0005-0000-0000-000056030000}"/>
    <cellStyle name="Обычный 4 5" xfId="796" xr:uid="{00000000-0005-0000-0000-000057030000}"/>
    <cellStyle name="Обычный 40" xfId="797" xr:uid="{00000000-0005-0000-0000-000058030000}"/>
    <cellStyle name="Обычный 40 10" xfId="798" xr:uid="{00000000-0005-0000-0000-000059030000}"/>
    <cellStyle name="Обычный 40 11" xfId="799" xr:uid="{00000000-0005-0000-0000-00005A030000}"/>
    <cellStyle name="Обычный 40 12" xfId="800" xr:uid="{00000000-0005-0000-0000-00005B030000}"/>
    <cellStyle name="Обычный 40 13" xfId="801" xr:uid="{00000000-0005-0000-0000-00005C030000}"/>
    <cellStyle name="Обычный 40 14" xfId="802" xr:uid="{00000000-0005-0000-0000-00005D030000}"/>
    <cellStyle name="Обычный 40 15" xfId="803" xr:uid="{00000000-0005-0000-0000-00005E030000}"/>
    <cellStyle name="Обычный 40 16" xfId="804" xr:uid="{00000000-0005-0000-0000-00005F030000}"/>
    <cellStyle name="Обычный 40 17" xfId="805" xr:uid="{00000000-0005-0000-0000-000060030000}"/>
    <cellStyle name="Обычный 40 18" xfId="806" xr:uid="{00000000-0005-0000-0000-000061030000}"/>
    <cellStyle name="Обычный 40 19" xfId="807" xr:uid="{00000000-0005-0000-0000-000062030000}"/>
    <cellStyle name="Обычный 40 2" xfId="808" xr:uid="{00000000-0005-0000-0000-000063030000}"/>
    <cellStyle name="Обычный 40 2 2" xfId="809" xr:uid="{00000000-0005-0000-0000-000064030000}"/>
    <cellStyle name="Обычный 40 20" xfId="810" xr:uid="{00000000-0005-0000-0000-000065030000}"/>
    <cellStyle name="Обычный 40 21" xfId="811" xr:uid="{00000000-0005-0000-0000-000066030000}"/>
    <cellStyle name="Обычный 40 22" xfId="812" xr:uid="{00000000-0005-0000-0000-000067030000}"/>
    <cellStyle name="Обычный 40 23" xfId="813" xr:uid="{00000000-0005-0000-0000-000068030000}"/>
    <cellStyle name="Обычный 40 24" xfId="814" xr:uid="{00000000-0005-0000-0000-000069030000}"/>
    <cellStyle name="Обычный 40 25" xfId="815" xr:uid="{00000000-0005-0000-0000-00006A030000}"/>
    <cellStyle name="Обычный 40 26" xfId="816" xr:uid="{00000000-0005-0000-0000-00006B030000}"/>
    <cellStyle name="Обычный 40 27" xfId="817" xr:uid="{00000000-0005-0000-0000-00006C030000}"/>
    <cellStyle name="Обычный 40 28" xfId="818" xr:uid="{00000000-0005-0000-0000-00006D030000}"/>
    <cellStyle name="Обычный 40 29" xfId="819" xr:uid="{00000000-0005-0000-0000-00006E030000}"/>
    <cellStyle name="Обычный 40 3" xfId="820" xr:uid="{00000000-0005-0000-0000-00006F030000}"/>
    <cellStyle name="Обычный 40 30" xfId="821" xr:uid="{00000000-0005-0000-0000-000070030000}"/>
    <cellStyle name="Обычный 40 31" xfId="822" xr:uid="{00000000-0005-0000-0000-000071030000}"/>
    <cellStyle name="Обычный 40 32" xfId="823" xr:uid="{00000000-0005-0000-0000-000072030000}"/>
    <cellStyle name="Обычный 40 4" xfId="824" xr:uid="{00000000-0005-0000-0000-000073030000}"/>
    <cellStyle name="Обычный 40 5" xfId="825" xr:uid="{00000000-0005-0000-0000-000074030000}"/>
    <cellStyle name="Обычный 40 6" xfId="826" xr:uid="{00000000-0005-0000-0000-000075030000}"/>
    <cellStyle name="Обычный 40 7" xfId="827" xr:uid="{00000000-0005-0000-0000-000076030000}"/>
    <cellStyle name="Обычный 40 8" xfId="828" xr:uid="{00000000-0005-0000-0000-000077030000}"/>
    <cellStyle name="Обычный 40 9" xfId="829" xr:uid="{00000000-0005-0000-0000-000078030000}"/>
    <cellStyle name="Обычный 41" xfId="830" xr:uid="{00000000-0005-0000-0000-000079030000}"/>
    <cellStyle name="Обычный 41 10" xfId="831" xr:uid="{00000000-0005-0000-0000-00007A030000}"/>
    <cellStyle name="Обычный 41 11" xfId="832" xr:uid="{00000000-0005-0000-0000-00007B030000}"/>
    <cellStyle name="Обычный 41 12" xfId="833" xr:uid="{00000000-0005-0000-0000-00007C030000}"/>
    <cellStyle name="Обычный 41 13" xfId="834" xr:uid="{00000000-0005-0000-0000-00007D030000}"/>
    <cellStyle name="Обычный 41 14" xfId="835" xr:uid="{00000000-0005-0000-0000-00007E030000}"/>
    <cellStyle name="Обычный 41 15" xfId="836" xr:uid="{00000000-0005-0000-0000-00007F030000}"/>
    <cellStyle name="Обычный 41 16" xfId="837" xr:uid="{00000000-0005-0000-0000-000080030000}"/>
    <cellStyle name="Обычный 41 17" xfId="838" xr:uid="{00000000-0005-0000-0000-000081030000}"/>
    <cellStyle name="Обычный 41 18" xfId="839" xr:uid="{00000000-0005-0000-0000-000082030000}"/>
    <cellStyle name="Обычный 41 19" xfId="840" xr:uid="{00000000-0005-0000-0000-000083030000}"/>
    <cellStyle name="Обычный 41 2" xfId="841" xr:uid="{00000000-0005-0000-0000-000084030000}"/>
    <cellStyle name="Обычный 41 2 2" xfId="842" xr:uid="{00000000-0005-0000-0000-000085030000}"/>
    <cellStyle name="Обычный 41 20" xfId="843" xr:uid="{00000000-0005-0000-0000-000086030000}"/>
    <cellStyle name="Обычный 41 21" xfId="844" xr:uid="{00000000-0005-0000-0000-000087030000}"/>
    <cellStyle name="Обычный 41 22" xfId="845" xr:uid="{00000000-0005-0000-0000-000088030000}"/>
    <cellStyle name="Обычный 41 23" xfId="846" xr:uid="{00000000-0005-0000-0000-000089030000}"/>
    <cellStyle name="Обычный 41 24" xfId="847" xr:uid="{00000000-0005-0000-0000-00008A030000}"/>
    <cellStyle name="Обычный 41 25" xfId="848" xr:uid="{00000000-0005-0000-0000-00008B030000}"/>
    <cellStyle name="Обычный 41 26" xfId="849" xr:uid="{00000000-0005-0000-0000-00008C030000}"/>
    <cellStyle name="Обычный 41 27" xfId="850" xr:uid="{00000000-0005-0000-0000-00008D030000}"/>
    <cellStyle name="Обычный 41 28" xfId="851" xr:uid="{00000000-0005-0000-0000-00008E030000}"/>
    <cellStyle name="Обычный 41 29" xfId="852" xr:uid="{00000000-0005-0000-0000-00008F030000}"/>
    <cellStyle name="Обычный 41 3" xfId="853" xr:uid="{00000000-0005-0000-0000-000090030000}"/>
    <cellStyle name="Обычный 41 30" xfId="854" xr:uid="{00000000-0005-0000-0000-000091030000}"/>
    <cellStyle name="Обычный 41 31" xfId="855" xr:uid="{00000000-0005-0000-0000-000092030000}"/>
    <cellStyle name="Обычный 41 32" xfId="856" xr:uid="{00000000-0005-0000-0000-000093030000}"/>
    <cellStyle name="Обычный 41 4" xfId="857" xr:uid="{00000000-0005-0000-0000-000094030000}"/>
    <cellStyle name="Обычный 41 5" xfId="858" xr:uid="{00000000-0005-0000-0000-000095030000}"/>
    <cellStyle name="Обычный 41 6" xfId="859" xr:uid="{00000000-0005-0000-0000-000096030000}"/>
    <cellStyle name="Обычный 41 7" xfId="860" xr:uid="{00000000-0005-0000-0000-000097030000}"/>
    <cellStyle name="Обычный 41 8" xfId="861" xr:uid="{00000000-0005-0000-0000-000098030000}"/>
    <cellStyle name="Обычный 41 9" xfId="862" xr:uid="{00000000-0005-0000-0000-000099030000}"/>
    <cellStyle name="Обычный 42" xfId="863" xr:uid="{00000000-0005-0000-0000-00009A030000}"/>
    <cellStyle name="Обычный 43" xfId="864" xr:uid="{00000000-0005-0000-0000-00009B030000}"/>
    <cellStyle name="Обычный 44" xfId="865" xr:uid="{00000000-0005-0000-0000-00009C030000}"/>
    <cellStyle name="Обычный 45" xfId="866" xr:uid="{00000000-0005-0000-0000-00009D030000}"/>
    <cellStyle name="Обычный 46" xfId="867" xr:uid="{00000000-0005-0000-0000-00009E030000}"/>
    <cellStyle name="Обычный 47" xfId="868" xr:uid="{00000000-0005-0000-0000-00009F030000}"/>
    <cellStyle name="Обычный 47 2" xfId="869" xr:uid="{00000000-0005-0000-0000-0000A0030000}"/>
    <cellStyle name="Обычный 47 3" xfId="870" xr:uid="{00000000-0005-0000-0000-0000A1030000}"/>
    <cellStyle name="Обычный 47 4" xfId="871" xr:uid="{00000000-0005-0000-0000-0000A2030000}"/>
    <cellStyle name="Обычный 47 5" xfId="872" xr:uid="{00000000-0005-0000-0000-0000A3030000}"/>
    <cellStyle name="Обычный 47 6" xfId="873" xr:uid="{00000000-0005-0000-0000-0000A4030000}"/>
    <cellStyle name="Обычный 47 7" xfId="874" xr:uid="{00000000-0005-0000-0000-0000A5030000}"/>
    <cellStyle name="Обычный 48" xfId="875" xr:uid="{00000000-0005-0000-0000-0000A6030000}"/>
    <cellStyle name="Обычный 48 2" xfId="876" xr:uid="{00000000-0005-0000-0000-0000A7030000}"/>
    <cellStyle name="Обычный 48 3" xfId="877" xr:uid="{00000000-0005-0000-0000-0000A8030000}"/>
    <cellStyle name="Обычный 49" xfId="878" xr:uid="{00000000-0005-0000-0000-0000A9030000}"/>
    <cellStyle name="Обычный 5" xfId="879" xr:uid="{00000000-0005-0000-0000-0000AA030000}"/>
    <cellStyle name="Обычный 5 2" xfId="880" xr:uid="{00000000-0005-0000-0000-0000AB030000}"/>
    <cellStyle name="Обычный 5 2 2" xfId="881" xr:uid="{00000000-0005-0000-0000-0000AC030000}"/>
    <cellStyle name="Обычный 5 2 2 2" xfId="882" xr:uid="{00000000-0005-0000-0000-0000AD030000}"/>
    <cellStyle name="Обычный 5 2 3" xfId="883" xr:uid="{00000000-0005-0000-0000-0000AE030000}"/>
    <cellStyle name="Обычный 5 3" xfId="884" xr:uid="{00000000-0005-0000-0000-0000AF030000}"/>
    <cellStyle name="Обычный 5 3 2" xfId="885" xr:uid="{00000000-0005-0000-0000-0000B0030000}"/>
    <cellStyle name="Обычный 5 3 2 2" xfId="886" xr:uid="{00000000-0005-0000-0000-0000B1030000}"/>
    <cellStyle name="Обычный 5 3 3" xfId="887" xr:uid="{00000000-0005-0000-0000-0000B2030000}"/>
    <cellStyle name="Обычный 5 3 4" xfId="888" xr:uid="{00000000-0005-0000-0000-0000B3030000}"/>
    <cellStyle name="Обычный 5 4" xfId="889" xr:uid="{00000000-0005-0000-0000-0000B4030000}"/>
    <cellStyle name="Обычный 5 4 2" xfId="890" xr:uid="{00000000-0005-0000-0000-0000B5030000}"/>
    <cellStyle name="Обычный 5 5" xfId="891" xr:uid="{00000000-0005-0000-0000-0000B6030000}"/>
    <cellStyle name="Обычный 5 5 2" xfId="892" xr:uid="{00000000-0005-0000-0000-0000B7030000}"/>
    <cellStyle name="Обычный 5 6" xfId="893" xr:uid="{00000000-0005-0000-0000-0000B8030000}"/>
    <cellStyle name="Обычный 5 6 2" xfId="894" xr:uid="{00000000-0005-0000-0000-0000B9030000}"/>
    <cellStyle name="Обычный 5 7" xfId="895" xr:uid="{00000000-0005-0000-0000-0000BA030000}"/>
    <cellStyle name="Обычный 5 7 2" xfId="896" xr:uid="{00000000-0005-0000-0000-0000BB030000}"/>
    <cellStyle name="Обычный 5 8" xfId="897" xr:uid="{00000000-0005-0000-0000-0000BC030000}"/>
    <cellStyle name="Обычный 5 8 2" xfId="898" xr:uid="{00000000-0005-0000-0000-0000BD030000}"/>
    <cellStyle name="Обычный 50" xfId="899" xr:uid="{00000000-0005-0000-0000-0000BE030000}"/>
    <cellStyle name="Обычный 51" xfId="900" xr:uid="{00000000-0005-0000-0000-0000BF030000}"/>
    <cellStyle name="Обычный 52" xfId="901" xr:uid="{00000000-0005-0000-0000-0000C0030000}"/>
    <cellStyle name="Обычный 53" xfId="902" xr:uid="{00000000-0005-0000-0000-0000C1030000}"/>
    <cellStyle name="Обычный 54" xfId="903" xr:uid="{00000000-0005-0000-0000-0000C2030000}"/>
    <cellStyle name="Обычный 55" xfId="904" xr:uid="{00000000-0005-0000-0000-0000C3030000}"/>
    <cellStyle name="Обычный 56" xfId="905" xr:uid="{00000000-0005-0000-0000-0000C4030000}"/>
    <cellStyle name="Обычный 57" xfId="906" xr:uid="{00000000-0005-0000-0000-0000C5030000}"/>
    <cellStyle name="Обычный 58" xfId="907" xr:uid="{00000000-0005-0000-0000-0000C6030000}"/>
    <cellStyle name="Обычный 59" xfId="908" xr:uid="{00000000-0005-0000-0000-0000C7030000}"/>
    <cellStyle name="Обычный 6" xfId="909" xr:uid="{00000000-0005-0000-0000-0000C8030000}"/>
    <cellStyle name="Обычный 6 2" xfId="910" xr:uid="{00000000-0005-0000-0000-0000C9030000}"/>
    <cellStyle name="Обычный 6 2 2" xfId="911" xr:uid="{00000000-0005-0000-0000-0000CA030000}"/>
    <cellStyle name="Обычный 6 2 3" xfId="912" xr:uid="{00000000-0005-0000-0000-0000CB030000}"/>
    <cellStyle name="Обычный 6 3" xfId="913" xr:uid="{00000000-0005-0000-0000-0000CC030000}"/>
    <cellStyle name="Обычный 6 3 2" xfId="914" xr:uid="{00000000-0005-0000-0000-0000CD030000}"/>
    <cellStyle name="Обычный 6 4" xfId="915" xr:uid="{00000000-0005-0000-0000-0000CE030000}"/>
    <cellStyle name="Обычный 6 5" xfId="916" xr:uid="{00000000-0005-0000-0000-0000CF030000}"/>
    <cellStyle name="Обычный 6 6" xfId="917" xr:uid="{00000000-0005-0000-0000-0000D0030000}"/>
    <cellStyle name="Обычный 60" xfId="918" xr:uid="{00000000-0005-0000-0000-0000D1030000}"/>
    <cellStyle name="Обычный 61" xfId="919" xr:uid="{00000000-0005-0000-0000-0000D2030000}"/>
    <cellStyle name="Обычный 62" xfId="920" xr:uid="{00000000-0005-0000-0000-0000D3030000}"/>
    <cellStyle name="Обычный 63" xfId="921" xr:uid="{00000000-0005-0000-0000-0000D4030000}"/>
    <cellStyle name="Обычный 64" xfId="922" xr:uid="{00000000-0005-0000-0000-0000D5030000}"/>
    <cellStyle name="Обычный 65" xfId="923" xr:uid="{00000000-0005-0000-0000-0000D6030000}"/>
    <cellStyle name="Обычный 65 2" xfId="924" xr:uid="{00000000-0005-0000-0000-0000D7030000}"/>
    <cellStyle name="Обычный 66" xfId="925" xr:uid="{00000000-0005-0000-0000-0000D8030000}"/>
    <cellStyle name="Обычный 66 2" xfId="926" xr:uid="{00000000-0005-0000-0000-0000D9030000}"/>
    <cellStyle name="Обычный 66 3" xfId="927" xr:uid="{00000000-0005-0000-0000-0000DA030000}"/>
    <cellStyle name="Обычный 67" xfId="928" xr:uid="{00000000-0005-0000-0000-0000DB030000}"/>
    <cellStyle name="Обычный 68" xfId="929" xr:uid="{00000000-0005-0000-0000-0000DC030000}"/>
    <cellStyle name="Обычный 69" xfId="930" xr:uid="{00000000-0005-0000-0000-0000DD030000}"/>
    <cellStyle name="Обычный 7" xfId="931" xr:uid="{00000000-0005-0000-0000-0000DE030000}"/>
    <cellStyle name="Обычный 7 2" xfId="932" xr:uid="{00000000-0005-0000-0000-0000DF030000}"/>
    <cellStyle name="Обычный 7 2 2" xfId="933" xr:uid="{00000000-0005-0000-0000-0000E0030000}"/>
    <cellStyle name="Обычный 7 2 3" xfId="934" xr:uid="{00000000-0005-0000-0000-0000E1030000}"/>
    <cellStyle name="Обычный 7 3" xfId="935" xr:uid="{00000000-0005-0000-0000-0000E2030000}"/>
    <cellStyle name="Обычный 7 3 2" xfId="936" xr:uid="{00000000-0005-0000-0000-0000E3030000}"/>
    <cellStyle name="Обычный 7 4" xfId="937" xr:uid="{00000000-0005-0000-0000-0000E4030000}"/>
    <cellStyle name="Обычный 7 4 2" xfId="938" xr:uid="{00000000-0005-0000-0000-0000E5030000}"/>
    <cellStyle name="Обычный 7 5" xfId="939" xr:uid="{00000000-0005-0000-0000-0000E6030000}"/>
    <cellStyle name="Обычный 70" xfId="940" xr:uid="{00000000-0005-0000-0000-0000E7030000}"/>
    <cellStyle name="Обычный 71" xfId="941" xr:uid="{00000000-0005-0000-0000-0000E8030000}"/>
    <cellStyle name="Обычный 72" xfId="942" xr:uid="{00000000-0005-0000-0000-0000E9030000}"/>
    <cellStyle name="Обычный 73" xfId="943" xr:uid="{00000000-0005-0000-0000-0000EA030000}"/>
    <cellStyle name="Обычный 73 2" xfId="944" xr:uid="{00000000-0005-0000-0000-0000EB030000}"/>
    <cellStyle name="Обычный 73 3" xfId="945" xr:uid="{00000000-0005-0000-0000-0000EC030000}"/>
    <cellStyle name="Обычный 73 4" xfId="946" xr:uid="{00000000-0005-0000-0000-0000ED030000}"/>
    <cellStyle name="Обычный 74" xfId="947" xr:uid="{00000000-0005-0000-0000-0000EE030000}"/>
    <cellStyle name="Обычный 75" xfId="948" xr:uid="{00000000-0005-0000-0000-0000EF030000}"/>
    <cellStyle name="Обычный 75 2" xfId="949" xr:uid="{00000000-0005-0000-0000-0000F0030000}"/>
    <cellStyle name="Обычный 76" xfId="950" xr:uid="{00000000-0005-0000-0000-0000F1030000}"/>
    <cellStyle name="Обычный 77" xfId="951" xr:uid="{00000000-0005-0000-0000-0000F2030000}"/>
    <cellStyle name="Обычный 78" xfId="952" xr:uid="{00000000-0005-0000-0000-0000F3030000}"/>
    <cellStyle name="Обычный 78 2" xfId="953" xr:uid="{00000000-0005-0000-0000-0000F4030000}"/>
    <cellStyle name="Обычный 78 3" xfId="954" xr:uid="{00000000-0005-0000-0000-0000F5030000}"/>
    <cellStyle name="Обычный 79" xfId="955" xr:uid="{00000000-0005-0000-0000-0000F6030000}"/>
    <cellStyle name="Обычный 8" xfId="956" xr:uid="{00000000-0005-0000-0000-0000F7030000}"/>
    <cellStyle name="Обычный 8 2" xfId="957" xr:uid="{00000000-0005-0000-0000-0000F8030000}"/>
    <cellStyle name="Обычный 8 2 2" xfId="958" xr:uid="{00000000-0005-0000-0000-0000F9030000}"/>
    <cellStyle name="Обычный 8 2 3" xfId="959" xr:uid="{00000000-0005-0000-0000-0000FA030000}"/>
    <cellStyle name="Обычный 8 3" xfId="960" xr:uid="{00000000-0005-0000-0000-0000FB030000}"/>
    <cellStyle name="Обычный 8 3 2" xfId="961" xr:uid="{00000000-0005-0000-0000-0000FC030000}"/>
    <cellStyle name="Обычный 8 4" xfId="962" xr:uid="{00000000-0005-0000-0000-0000FD030000}"/>
    <cellStyle name="Обычный 8 5" xfId="963" xr:uid="{00000000-0005-0000-0000-0000FE030000}"/>
    <cellStyle name="Обычный 8 6" xfId="964" xr:uid="{00000000-0005-0000-0000-0000FF030000}"/>
    <cellStyle name="Обычный 80" xfId="965" xr:uid="{00000000-0005-0000-0000-000000040000}"/>
    <cellStyle name="Обычный 81" xfId="966" xr:uid="{00000000-0005-0000-0000-000001040000}"/>
    <cellStyle name="Обычный 82" xfId="967" xr:uid="{00000000-0005-0000-0000-000002040000}"/>
    <cellStyle name="Обычный 83" xfId="968" xr:uid="{00000000-0005-0000-0000-000003040000}"/>
    <cellStyle name="Обычный 84" xfId="969" xr:uid="{00000000-0005-0000-0000-000004040000}"/>
    <cellStyle name="Обычный 85" xfId="970" xr:uid="{00000000-0005-0000-0000-000005040000}"/>
    <cellStyle name="Обычный 86" xfId="971" xr:uid="{00000000-0005-0000-0000-000006040000}"/>
    <cellStyle name="Обычный 87" xfId="972" xr:uid="{00000000-0005-0000-0000-000007040000}"/>
    <cellStyle name="Обычный 87 2" xfId="973" xr:uid="{00000000-0005-0000-0000-000008040000}"/>
    <cellStyle name="Обычный 87 3" xfId="974" xr:uid="{00000000-0005-0000-0000-000009040000}"/>
    <cellStyle name="Обычный 88" xfId="975" xr:uid="{00000000-0005-0000-0000-00000A040000}"/>
    <cellStyle name="Обычный 88 2" xfId="976" xr:uid="{00000000-0005-0000-0000-00000B040000}"/>
    <cellStyle name="Обычный 88 3" xfId="977" xr:uid="{00000000-0005-0000-0000-00000C040000}"/>
    <cellStyle name="Обычный 89" xfId="978" xr:uid="{00000000-0005-0000-0000-00000D040000}"/>
    <cellStyle name="Обычный 9" xfId="979" xr:uid="{00000000-0005-0000-0000-00000E040000}"/>
    <cellStyle name="Обычный 9 2" xfId="980" xr:uid="{00000000-0005-0000-0000-00000F040000}"/>
    <cellStyle name="Обычный 9 2 2" xfId="981" xr:uid="{00000000-0005-0000-0000-000010040000}"/>
    <cellStyle name="Обычный 9 2 3" xfId="982" xr:uid="{00000000-0005-0000-0000-000011040000}"/>
    <cellStyle name="Обычный 9 3" xfId="983" xr:uid="{00000000-0005-0000-0000-000012040000}"/>
    <cellStyle name="Обычный 9 3 2" xfId="984" xr:uid="{00000000-0005-0000-0000-000013040000}"/>
    <cellStyle name="Обычный 9 4" xfId="985" xr:uid="{00000000-0005-0000-0000-000014040000}"/>
    <cellStyle name="Обычный 90" xfId="986" xr:uid="{00000000-0005-0000-0000-000015040000}"/>
    <cellStyle name="Обычный 90 2" xfId="987" xr:uid="{00000000-0005-0000-0000-000016040000}"/>
    <cellStyle name="Обычный 91" xfId="988" xr:uid="{00000000-0005-0000-0000-000017040000}"/>
    <cellStyle name="Обычный 92" xfId="989" xr:uid="{00000000-0005-0000-0000-000018040000}"/>
    <cellStyle name="Обычный 92 2" xfId="990" xr:uid="{00000000-0005-0000-0000-000019040000}"/>
    <cellStyle name="Обычный 93" xfId="991" xr:uid="{00000000-0005-0000-0000-00001A040000}"/>
    <cellStyle name="Обычный 93 2" xfId="992" xr:uid="{00000000-0005-0000-0000-00001B040000}"/>
    <cellStyle name="Обычный 93 3" xfId="993" xr:uid="{00000000-0005-0000-0000-00001C040000}"/>
    <cellStyle name="Обычный 94" xfId="994" xr:uid="{00000000-0005-0000-0000-00001D040000}"/>
    <cellStyle name="Обычный 94 2" xfId="995" xr:uid="{00000000-0005-0000-0000-00001E040000}"/>
    <cellStyle name="Обычный 94 3" xfId="996" xr:uid="{00000000-0005-0000-0000-00001F040000}"/>
    <cellStyle name="Обычный 95" xfId="997" xr:uid="{00000000-0005-0000-0000-000020040000}"/>
    <cellStyle name="Обычный 95 2" xfId="998" xr:uid="{00000000-0005-0000-0000-000021040000}"/>
    <cellStyle name="Обычный 96" xfId="999" xr:uid="{00000000-0005-0000-0000-000022040000}"/>
    <cellStyle name="Обычный 97" xfId="1000" xr:uid="{00000000-0005-0000-0000-000023040000}"/>
    <cellStyle name="Обычный 97 2" xfId="1001" xr:uid="{00000000-0005-0000-0000-000024040000}"/>
    <cellStyle name="Обычный 98" xfId="1002" xr:uid="{00000000-0005-0000-0000-000025040000}"/>
    <cellStyle name="Обычный 99" xfId="1003" xr:uid="{00000000-0005-0000-0000-000026040000}"/>
    <cellStyle name="Обычный 99 2" xfId="1004" xr:uid="{00000000-0005-0000-0000-000027040000}"/>
    <cellStyle name="Обычный 99 2 2" xfId="1005" xr:uid="{00000000-0005-0000-0000-000028040000}"/>
    <cellStyle name="Обычный_Книга3" xfId="1288" xr:uid="{00000000-0005-0000-0000-000029040000}"/>
    <cellStyle name="Примечание 10" xfId="1006" xr:uid="{00000000-0005-0000-0000-00002A040000}"/>
    <cellStyle name="Примечание 11" xfId="1007" xr:uid="{00000000-0005-0000-0000-00002B040000}"/>
    <cellStyle name="Примечание 12" xfId="1008" xr:uid="{00000000-0005-0000-0000-00002C040000}"/>
    <cellStyle name="Примечание 13" xfId="1009" xr:uid="{00000000-0005-0000-0000-00002D040000}"/>
    <cellStyle name="Примечание 14" xfId="1010" xr:uid="{00000000-0005-0000-0000-00002E040000}"/>
    <cellStyle name="Примечание 15" xfId="1011" xr:uid="{00000000-0005-0000-0000-00002F040000}"/>
    <cellStyle name="Примечание 16" xfId="1012" xr:uid="{00000000-0005-0000-0000-000030040000}"/>
    <cellStyle name="Примечание 17" xfId="1013" xr:uid="{00000000-0005-0000-0000-000031040000}"/>
    <cellStyle name="Примечание 18" xfId="1014" xr:uid="{00000000-0005-0000-0000-000032040000}"/>
    <cellStyle name="Примечание 19" xfId="1015" xr:uid="{00000000-0005-0000-0000-000033040000}"/>
    <cellStyle name="Примечание 2" xfId="1016" xr:uid="{00000000-0005-0000-0000-000034040000}"/>
    <cellStyle name="Примечание 2 2" xfId="1017" xr:uid="{00000000-0005-0000-0000-000035040000}"/>
    <cellStyle name="Примечание 2 3" xfId="1018" xr:uid="{00000000-0005-0000-0000-000036040000}"/>
    <cellStyle name="Примечание 20" xfId="1019" xr:uid="{00000000-0005-0000-0000-000037040000}"/>
    <cellStyle name="Примечание 21" xfId="1020" xr:uid="{00000000-0005-0000-0000-000038040000}"/>
    <cellStyle name="Примечание 22" xfId="1021" xr:uid="{00000000-0005-0000-0000-000039040000}"/>
    <cellStyle name="Примечание 23" xfId="1022" xr:uid="{00000000-0005-0000-0000-00003A040000}"/>
    <cellStyle name="Примечание 24" xfId="1023" xr:uid="{00000000-0005-0000-0000-00003B040000}"/>
    <cellStyle name="Примечание 25" xfId="1024" xr:uid="{00000000-0005-0000-0000-00003C040000}"/>
    <cellStyle name="Примечание 26" xfId="1025" xr:uid="{00000000-0005-0000-0000-00003D040000}"/>
    <cellStyle name="Примечание 27" xfId="1026" xr:uid="{00000000-0005-0000-0000-00003E040000}"/>
    <cellStyle name="Примечание 28" xfId="1027" xr:uid="{00000000-0005-0000-0000-00003F040000}"/>
    <cellStyle name="Примечание 29" xfId="1028" xr:uid="{00000000-0005-0000-0000-000040040000}"/>
    <cellStyle name="Примечание 3" xfId="1029" xr:uid="{00000000-0005-0000-0000-000041040000}"/>
    <cellStyle name="Примечание 3 2" xfId="1030" xr:uid="{00000000-0005-0000-0000-000042040000}"/>
    <cellStyle name="Примечание 3 3" xfId="1031" xr:uid="{00000000-0005-0000-0000-000043040000}"/>
    <cellStyle name="Примечание 30" xfId="1032" xr:uid="{00000000-0005-0000-0000-000044040000}"/>
    <cellStyle name="Примечание 4" xfId="1033" xr:uid="{00000000-0005-0000-0000-000045040000}"/>
    <cellStyle name="Примечание 4 2" xfId="1034" xr:uid="{00000000-0005-0000-0000-000046040000}"/>
    <cellStyle name="Примечание 4 3" xfId="1035" xr:uid="{00000000-0005-0000-0000-000047040000}"/>
    <cellStyle name="Примечание 5" xfId="1036" xr:uid="{00000000-0005-0000-0000-000048040000}"/>
    <cellStyle name="Примечание 5 2" xfId="1037" xr:uid="{00000000-0005-0000-0000-000049040000}"/>
    <cellStyle name="Примечание 5 3" xfId="1038" xr:uid="{00000000-0005-0000-0000-00004A040000}"/>
    <cellStyle name="Примечание 6" xfId="1039" xr:uid="{00000000-0005-0000-0000-00004B040000}"/>
    <cellStyle name="Примечание 6 2" xfId="1040" xr:uid="{00000000-0005-0000-0000-00004C040000}"/>
    <cellStyle name="Примечание 6 3" xfId="1041" xr:uid="{00000000-0005-0000-0000-00004D040000}"/>
    <cellStyle name="Примечание 7" xfId="1042" xr:uid="{00000000-0005-0000-0000-00004E040000}"/>
    <cellStyle name="Примечание 7 2" xfId="1043" xr:uid="{00000000-0005-0000-0000-00004F040000}"/>
    <cellStyle name="Примечание 7 3" xfId="1044" xr:uid="{00000000-0005-0000-0000-000050040000}"/>
    <cellStyle name="Примечание 8" xfId="1045" xr:uid="{00000000-0005-0000-0000-000051040000}"/>
    <cellStyle name="Примечание 8 2" xfId="1046" xr:uid="{00000000-0005-0000-0000-000052040000}"/>
    <cellStyle name="Примечание 8 3" xfId="1047" xr:uid="{00000000-0005-0000-0000-000053040000}"/>
    <cellStyle name="Примечание 9" xfId="1048" xr:uid="{00000000-0005-0000-0000-000054040000}"/>
    <cellStyle name="Примечание 9 2" xfId="1049" xr:uid="{00000000-0005-0000-0000-000055040000}"/>
    <cellStyle name="Процентный" xfId="2" builtinId="5"/>
    <cellStyle name="Процентный 2" xfId="8" xr:uid="{00000000-0005-0000-0000-000057040000}"/>
    <cellStyle name="Процентный 2 2" xfId="1050" xr:uid="{00000000-0005-0000-0000-000058040000}"/>
    <cellStyle name="Процентный 2 2 2" xfId="10" xr:uid="{00000000-0005-0000-0000-000059040000}"/>
    <cellStyle name="Процентный 2 2 3" xfId="1051" xr:uid="{00000000-0005-0000-0000-00005A040000}"/>
    <cellStyle name="Процентный 2 3" xfId="1052" xr:uid="{00000000-0005-0000-0000-00005B040000}"/>
    <cellStyle name="Процентный 2 4" xfId="1053" xr:uid="{00000000-0005-0000-0000-00005C040000}"/>
    <cellStyle name="Процентный 2 5" xfId="1054" xr:uid="{00000000-0005-0000-0000-00005D040000}"/>
    <cellStyle name="Процентный 2 6" xfId="1055" xr:uid="{00000000-0005-0000-0000-00005E040000}"/>
    <cellStyle name="Процентный 2 7" xfId="1056" xr:uid="{00000000-0005-0000-0000-00005F040000}"/>
    <cellStyle name="Процентный 3" xfId="1057" xr:uid="{00000000-0005-0000-0000-000060040000}"/>
    <cellStyle name="Процентный 4" xfId="1058" xr:uid="{00000000-0005-0000-0000-000061040000}"/>
    <cellStyle name="Стиль 1" xfId="1059" xr:uid="{00000000-0005-0000-0000-000062040000}"/>
    <cellStyle name="Финансовый" xfId="3" builtinId="3"/>
    <cellStyle name="Финансовый [0] 2" xfId="1060" xr:uid="{00000000-0005-0000-0000-000064040000}"/>
    <cellStyle name="Финансовый [0] 2 2" xfId="1061" xr:uid="{00000000-0005-0000-0000-000065040000}"/>
    <cellStyle name="Финансовый [0] 67" xfId="1062" xr:uid="{00000000-0005-0000-0000-000066040000}"/>
    <cellStyle name="Финансовый 10" xfId="1063" xr:uid="{00000000-0005-0000-0000-000067040000}"/>
    <cellStyle name="Финансовый 10 2" xfId="1064" xr:uid="{00000000-0005-0000-0000-000068040000}"/>
    <cellStyle name="Финансовый 11" xfId="1065" xr:uid="{00000000-0005-0000-0000-000069040000}"/>
    <cellStyle name="Финансовый 11 2" xfId="1066" xr:uid="{00000000-0005-0000-0000-00006A040000}"/>
    <cellStyle name="Финансовый 12" xfId="1290" xr:uid="{00000000-0005-0000-0000-00006B040000}"/>
    <cellStyle name="Финансовый 13" xfId="1067" xr:uid="{00000000-0005-0000-0000-00006C040000}"/>
    <cellStyle name="Финансовый 13 2" xfId="1068" xr:uid="{00000000-0005-0000-0000-00006D040000}"/>
    <cellStyle name="Финансовый 13 3" xfId="1069" xr:uid="{00000000-0005-0000-0000-00006E040000}"/>
    <cellStyle name="Финансовый 17" xfId="1070" xr:uid="{00000000-0005-0000-0000-00006F040000}"/>
    <cellStyle name="Финансовый 19" xfId="1071" xr:uid="{00000000-0005-0000-0000-000070040000}"/>
    <cellStyle name="Финансовый 19 2" xfId="1072" xr:uid="{00000000-0005-0000-0000-000071040000}"/>
    <cellStyle name="Финансовый 19 3" xfId="1073" xr:uid="{00000000-0005-0000-0000-000072040000}"/>
    <cellStyle name="Финансовый 2" xfId="7" xr:uid="{00000000-0005-0000-0000-000073040000}"/>
    <cellStyle name="Финансовый 2 10" xfId="1074" xr:uid="{00000000-0005-0000-0000-000074040000}"/>
    <cellStyle name="Финансовый 2 11" xfId="1075" xr:uid="{00000000-0005-0000-0000-000075040000}"/>
    <cellStyle name="Финансовый 2 12" xfId="1076" xr:uid="{00000000-0005-0000-0000-000076040000}"/>
    <cellStyle name="Финансовый 2 13" xfId="1077" xr:uid="{00000000-0005-0000-0000-000077040000}"/>
    <cellStyle name="Финансовый 2 14" xfId="1078" xr:uid="{00000000-0005-0000-0000-000078040000}"/>
    <cellStyle name="Финансовый 2 15" xfId="1079" xr:uid="{00000000-0005-0000-0000-000079040000}"/>
    <cellStyle name="Финансовый 2 16" xfId="1080" xr:uid="{00000000-0005-0000-0000-00007A040000}"/>
    <cellStyle name="Финансовый 2 17" xfId="1081" xr:uid="{00000000-0005-0000-0000-00007B040000}"/>
    <cellStyle name="Финансовый 2 18" xfId="1082" xr:uid="{00000000-0005-0000-0000-00007C040000}"/>
    <cellStyle name="Финансовый 2 19" xfId="1083" xr:uid="{00000000-0005-0000-0000-00007D040000}"/>
    <cellStyle name="Финансовый 2 2" xfId="1084" xr:uid="{00000000-0005-0000-0000-00007E040000}"/>
    <cellStyle name="Финансовый 2 2 2" xfId="1085" xr:uid="{00000000-0005-0000-0000-00007F040000}"/>
    <cellStyle name="Финансовый 2 2 2 2" xfId="1086" xr:uid="{00000000-0005-0000-0000-000080040000}"/>
    <cellStyle name="Финансовый 2 2 2 3" xfId="1087" xr:uid="{00000000-0005-0000-0000-000081040000}"/>
    <cellStyle name="Финансовый 2 2 3" xfId="1088" xr:uid="{00000000-0005-0000-0000-000082040000}"/>
    <cellStyle name="Финансовый 2 2 4" xfId="1089" xr:uid="{00000000-0005-0000-0000-000083040000}"/>
    <cellStyle name="Финансовый 2 20" xfId="1090" xr:uid="{00000000-0005-0000-0000-000084040000}"/>
    <cellStyle name="Финансовый 2 21" xfId="1091" xr:uid="{00000000-0005-0000-0000-000085040000}"/>
    <cellStyle name="Финансовый 2 22" xfId="1092" xr:uid="{00000000-0005-0000-0000-000086040000}"/>
    <cellStyle name="Финансовый 2 23" xfId="1093" xr:uid="{00000000-0005-0000-0000-000087040000}"/>
    <cellStyle name="Финансовый 2 24" xfId="1094" xr:uid="{00000000-0005-0000-0000-000088040000}"/>
    <cellStyle name="Финансовый 2 25" xfId="1095" xr:uid="{00000000-0005-0000-0000-000089040000}"/>
    <cellStyle name="Финансовый 2 26" xfId="1096" xr:uid="{00000000-0005-0000-0000-00008A040000}"/>
    <cellStyle name="Финансовый 2 27" xfId="1097" xr:uid="{00000000-0005-0000-0000-00008B040000}"/>
    <cellStyle name="Финансовый 2 28" xfId="1098" xr:uid="{00000000-0005-0000-0000-00008C040000}"/>
    <cellStyle name="Финансовый 2 29" xfId="1099" xr:uid="{00000000-0005-0000-0000-00008D040000}"/>
    <cellStyle name="Финансовый 2 3" xfId="1100" xr:uid="{00000000-0005-0000-0000-00008E040000}"/>
    <cellStyle name="Финансовый 2 3 2" xfId="1101" xr:uid="{00000000-0005-0000-0000-00008F040000}"/>
    <cellStyle name="Финансовый 2 3 3" xfId="1102" xr:uid="{00000000-0005-0000-0000-000090040000}"/>
    <cellStyle name="Финансовый 2 3 4" xfId="1103" xr:uid="{00000000-0005-0000-0000-000091040000}"/>
    <cellStyle name="Финансовый 2 30" xfId="1104" xr:uid="{00000000-0005-0000-0000-000092040000}"/>
    <cellStyle name="Финансовый 2 4" xfId="1105" xr:uid="{00000000-0005-0000-0000-000093040000}"/>
    <cellStyle name="Финансовый 2 4 2" xfId="1106" xr:uid="{00000000-0005-0000-0000-000094040000}"/>
    <cellStyle name="Финансовый 2 4 3" xfId="1107" xr:uid="{00000000-0005-0000-0000-000095040000}"/>
    <cellStyle name="Финансовый 2 4 4" xfId="1108" xr:uid="{00000000-0005-0000-0000-000096040000}"/>
    <cellStyle name="Финансовый 2 5" xfId="1109" xr:uid="{00000000-0005-0000-0000-000097040000}"/>
    <cellStyle name="Финансовый 2 5 2" xfId="1110" xr:uid="{00000000-0005-0000-0000-000098040000}"/>
    <cellStyle name="Финансовый 2 6" xfId="1111" xr:uid="{00000000-0005-0000-0000-000099040000}"/>
    <cellStyle name="Финансовый 2 6 2" xfId="1112" xr:uid="{00000000-0005-0000-0000-00009A040000}"/>
    <cellStyle name="Финансовый 2 7" xfId="1113" xr:uid="{00000000-0005-0000-0000-00009B040000}"/>
    <cellStyle name="Финансовый 2 8" xfId="1114" xr:uid="{00000000-0005-0000-0000-00009C040000}"/>
    <cellStyle name="Финансовый 2 9" xfId="1115" xr:uid="{00000000-0005-0000-0000-00009D040000}"/>
    <cellStyle name="Финансовый 20" xfId="1116" xr:uid="{00000000-0005-0000-0000-00009E040000}"/>
    <cellStyle name="Финансовый 21" xfId="1117" xr:uid="{00000000-0005-0000-0000-00009F040000}"/>
    <cellStyle name="Финансовый 23" xfId="1118" xr:uid="{00000000-0005-0000-0000-0000A0040000}"/>
    <cellStyle name="Финансовый 24" xfId="1119" xr:uid="{00000000-0005-0000-0000-0000A1040000}"/>
    <cellStyle name="Финансовый 25" xfId="1120" xr:uid="{00000000-0005-0000-0000-0000A2040000}"/>
    <cellStyle name="Финансовый 26" xfId="1121" xr:uid="{00000000-0005-0000-0000-0000A3040000}"/>
    <cellStyle name="Финансовый 27" xfId="1122" xr:uid="{00000000-0005-0000-0000-0000A4040000}"/>
    <cellStyle name="Финансовый 28" xfId="1123" xr:uid="{00000000-0005-0000-0000-0000A5040000}"/>
    <cellStyle name="Финансовый 3" xfId="1124" xr:uid="{00000000-0005-0000-0000-0000A6040000}"/>
    <cellStyle name="Финансовый 3 10" xfId="1125" xr:uid="{00000000-0005-0000-0000-0000A7040000}"/>
    <cellStyle name="Финансовый 3 11" xfId="1126" xr:uid="{00000000-0005-0000-0000-0000A8040000}"/>
    <cellStyle name="Финансовый 3 12" xfId="1127" xr:uid="{00000000-0005-0000-0000-0000A9040000}"/>
    <cellStyle name="Финансовый 3 13" xfId="1128" xr:uid="{00000000-0005-0000-0000-0000AA040000}"/>
    <cellStyle name="Финансовый 3 14" xfId="1129" xr:uid="{00000000-0005-0000-0000-0000AB040000}"/>
    <cellStyle name="Финансовый 3 15" xfId="1130" xr:uid="{00000000-0005-0000-0000-0000AC040000}"/>
    <cellStyle name="Финансовый 3 16" xfId="1131" xr:uid="{00000000-0005-0000-0000-0000AD040000}"/>
    <cellStyle name="Финансовый 3 17" xfId="1132" xr:uid="{00000000-0005-0000-0000-0000AE040000}"/>
    <cellStyle name="Финансовый 3 18" xfId="1133" xr:uid="{00000000-0005-0000-0000-0000AF040000}"/>
    <cellStyle name="Финансовый 3 19" xfId="1134" xr:uid="{00000000-0005-0000-0000-0000B0040000}"/>
    <cellStyle name="Финансовый 3 2" xfId="1135" xr:uid="{00000000-0005-0000-0000-0000B1040000}"/>
    <cellStyle name="Финансовый 3 2 2" xfId="1136" xr:uid="{00000000-0005-0000-0000-0000B2040000}"/>
    <cellStyle name="Финансовый 3 2 2 2" xfId="1137" xr:uid="{00000000-0005-0000-0000-0000B3040000}"/>
    <cellStyle name="Финансовый 3 2 2 3" xfId="1138" xr:uid="{00000000-0005-0000-0000-0000B4040000}"/>
    <cellStyle name="Финансовый 3 2 3" xfId="1139" xr:uid="{00000000-0005-0000-0000-0000B5040000}"/>
    <cellStyle name="Финансовый 3 2 3 2" xfId="1140" xr:uid="{00000000-0005-0000-0000-0000B6040000}"/>
    <cellStyle name="Финансовый 3 2 4" xfId="1141" xr:uid="{00000000-0005-0000-0000-0000B7040000}"/>
    <cellStyle name="Финансовый 3 2 5" xfId="1142" xr:uid="{00000000-0005-0000-0000-0000B8040000}"/>
    <cellStyle name="Финансовый 3 2 6" xfId="1143" xr:uid="{00000000-0005-0000-0000-0000B9040000}"/>
    <cellStyle name="Финансовый 3 20" xfId="1144" xr:uid="{00000000-0005-0000-0000-0000BA040000}"/>
    <cellStyle name="Финансовый 3 21" xfId="1145" xr:uid="{00000000-0005-0000-0000-0000BB040000}"/>
    <cellStyle name="Финансовый 3 22" xfId="1146" xr:uid="{00000000-0005-0000-0000-0000BC040000}"/>
    <cellStyle name="Финансовый 3 3" xfId="1147" xr:uid="{00000000-0005-0000-0000-0000BD040000}"/>
    <cellStyle name="Финансовый 3 3 2" xfId="1148" xr:uid="{00000000-0005-0000-0000-0000BE040000}"/>
    <cellStyle name="Финансовый 3 3 3" xfId="1149" xr:uid="{00000000-0005-0000-0000-0000BF040000}"/>
    <cellStyle name="Финансовый 3 4" xfId="1150" xr:uid="{00000000-0005-0000-0000-0000C0040000}"/>
    <cellStyle name="Финансовый 3 4 2" xfId="1151" xr:uid="{00000000-0005-0000-0000-0000C1040000}"/>
    <cellStyle name="Финансовый 3 4 3" xfId="1152" xr:uid="{00000000-0005-0000-0000-0000C2040000}"/>
    <cellStyle name="Финансовый 3 5" xfId="1153" xr:uid="{00000000-0005-0000-0000-0000C3040000}"/>
    <cellStyle name="Финансовый 3 5 2" xfId="1154" xr:uid="{00000000-0005-0000-0000-0000C4040000}"/>
    <cellStyle name="Финансовый 3 5 3" xfId="1155" xr:uid="{00000000-0005-0000-0000-0000C5040000}"/>
    <cellStyle name="Финансовый 3 5 4" xfId="1156" xr:uid="{00000000-0005-0000-0000-0000C6040000}"/>
    <cellStyle name="Финансовый 3 6" xfId="1157" xr:uid="{00000000-0005-0000-0000-0000C7040000}"/>
    <cellStyle name="Финансовый 3 6 2" xfId="1158" xr:uid="{00000000-0005-0000-0000-0000C8040000}"/>
    <cellStyle name="Финансовый 3 7" xfId="1159" xr:uid="{00000000-0005-0000-0000-0000C9040000}"/>
    <cellStyle name="Финансовый 3 7 2" xfId="1160" xr:uid="{00000000-0005-0000-0000-0000CA040000}"/>
    <cellStyle name="Финансовый 3 8" xfId="1161" xr:uid="{00000000-0005-0000-0000-0000CB040000}"/>
    <cellStyle name="Финансовый 3 9" xfId="1162" xr:uid="{00000000-0005-0000-0000-0000CC040000}"/>
    <cellStyle name="Финансовый 30" xfId="1163" xr:uid="{00000000-0005-0000-0000-0000CD040000}"/>
    <cellStyle name="Финансовый 31" xfId="1164" xr:uid="{00000000-0005-0000-0000-0000CE040000}"/>
    <cellStyle name="Финансовый 31 2" xfId="1165" xr:uid="{00000000-0005-0000-0000-0000CF040000}"/>
    <cellStyle name="Финансовый 32" xfId="1166" xr:uid="{00000000-0005-0000-0000-0000D0040000}"/>
    <cellStyle name="Финансовый 32 2" xfId="1167" xr:uid="{00000000-0005-0000-0000-0000D1040000}"/>
    <cellStyle name="Финансовый 33" xfId="1168" xr:uid="{00000000-0005-0000-0000-0000D2040000}"/>
    <cellStyle name="Финансовый 33 2" xfId="1169" xr:uid="{00000000-0005-0000-0000-0000D3040000}"/>
    <cellStyle name="Финансовый 34" xfId="1170" xr:uid="{00000000-0005-0000-0000-0000D4040000}"/>
    <cellStyle name="Финансовый 34 2" xfId="1171" xr:uid="{00000000-0005-0000-0000-0000D5040000}"/>
    <cellStyle name="Финансовый 35" xfId="1172" xr:uid="{00000000-0005-0000-0000-0000D6040000}"/>
    <cellStyle name="Финансовый 35 2" xfId="1173" xr:uid="{00000000-0005-0000-0000-0000D7040000}"/>
    <cellStyle name="Финансовый 36" xfId="1174" xr:uid="{00000000-0005-0000-0000-0000D8040000}"/>
    <cellStyle name="Финансовый 36 2" xfId="1175" xr:uid="{00000000-0005-0000-0000-0000D9040000}"/>
    <cellStyle name="Финансовый 37" xfId="1176" xr:uid="{00000000-0005-0000-0000-0000DA040000}"/>
    <cellStyle name="Финансовый 37 2" xfId="1177" xr:uid="{00000000-0005-0000-0000-0000DB040000}"/>
    <cellStyle name="Финансовый 38" xfId="1178" xr:uid="{00000000-0005-0000-0000-0000DC040000}"/>
    <cellStyle name="Финансовый 38 2" xfId="1179" xr:uid="{00000000-0005-0000-0000-0000DD040000}"/>
    <cellStyle name="Финансовый 39" xfId="1180" xr:uid="{00000000-0005-0000-0000-0000DE040000}"/>
    <cellStyle name="Финансовый 4" xfId="1181" xr:uid="{00000000-0005-0000-0000-0000DF040000}"/>
    <cellStyle name="Финансовый 4 2" xfId="1182" xr:uid="{00000000-0005-0000-0000-0000E0040000}"/>
    <cellStyle name="Финансовый 4 2 2" xfId="1183" xr:uid="{00000000-0005-0000-0000-0000E1040000}"/>
    <cellStyle name="Финансовый 4 2 2 2" xfId="1184" xr:uid="{00000000-0005-0000-0000-0000E2040000}"/>
    <cellStyle name="Финансовый 4 2 3" xfId="1185" xr:uid="{00000000-0005-0000-0000-0000E3040000}"/>
    <cellStyle name="Финансовый 4 3" xfId="1186" xr:uid="{00000000-0005-0000-0000-0000E4040000}"/>
    <cellStyle name="Финансовый 4 3 2" xfId="1187" xr:uid="{00000000-0005-0000-0000-0000E5040000}"/>
    <cellStyle name="Финансовый 4 4" xfId="1188" xr:uid="{00000000-0005-0000-0000-0000E6040000}"/>
    <cellStyle name="Финансовый 4 4 2" xfId="1189" xr:uid="{00000000-0005-0000-0000-0000E7040000}"/>
    <cellStyle name="Финансовый 4 5" xfId="1190" xr:uid="{00000000-0005-0000-0000-0000E8040000}"/>
    <cellStyle name="Финансовый 4 6" xfId="1191" xr:uid="{00000000-0005-0000-0000-0000E9040000}"/>
    <cellStyle name="Финансовый 4 7" xfId="1192" xr:uid="{00000000-0005-0000-0000-0000EA040000}"/>
    <cellStyle name="Финансовый 4 8" xfId="1193" xr:uid="{00000000-0005-0000-0000-0000EB040000}"/>
    <cellStyle name="Финансовый 4 9" xfId="1194" xr:uid="{00000000-0005-0000-0000-0000EC040000}"/>
    <cellStyle name="Финансовый 40" xfId="1195" xr:uid="{00000000-0005-0000-0000-0000ED040000}"/>
    <cellStyle name="Финансовый 41" xfId="1196" xr:uid="{00000000-0005-0000-0000-0000EE040000}"/>
    <cellStyle name="Финансовый 42" xfId="1197" xr:uid="{00000000-0005-0000-0000-0000EF040000}"/>
    <cellStyle name="Финансовый 42 2" xfId="1198" xr:uid="{00000000-0005-0000-0000-0000F0040000}"/>
    <cellStyle name="Финансовый 44" xfId="1199" xr:uid="{00000000-0005-0000-0000-0000F1040000}"/>
    <cellStyle name="Финансовый 46" xfId="1200" xr:uid="{00000000-0005-0000-0000-0000F2040000}"/>
    <cellStyle name="Финансовый 47" xfId="1201" xr:uid="{00000000-0005-0000-0000-0000F3040000}"/>
    <cellStyle name="Финансовый 5" xfId="1202" xr:uid="{00000000-0005-0000-0000-0000F4040000}"/>
    <cellStyle name="Финансовый 5 2" xfId="1203" xr:uid="{00000000-0005-0000-0000-0000F5040000}"/>
    <cellStyle name="Финансовый 5 2 2" xfId="1204" xr:uid="{00000000-0005-0000-0000-0000F6040000}"/>
    <cellStyle name="Финансовый 5 3" xfId="1205" xr:uid="{00000000-0005-0000-0000-0000F7040000}"/>
    <cellStyle name="Финансовый 5 3 2" xfId="1206" xr:uid="{00000000-0005-0000-0000-0000F8040000}"/>
    <cellStyle name="Финансовый 5 3 3" xfId="1207" xr:uid="{00000000-0005-0000-0000-0000F9040000}"/>
    <cellStyle name="Финансовый 5 4" xfId="1208" xr:uid="{00000000-0005-0000-0000-0000FA040000}"/>
    <cellStyle name="Финансовый 5 5" xfId="1209" xr:uid="{00000000-0005-0000-0000-0000FB040000}"/>
    <cellStyle name="Финансовый 6" xfId="1210" xr:uid="{00000000-0005-0000-0000-0000FC040000}"/>
    <cellStyle name="Финансовый 6 2" xfId="1211" xr:uid="{00000000-0005-0000-0000-0000FD040000}"/>
    <cellStyle name="Финансовый 6 2 2" xfId="1212" xr:uid="{00000000-0005-0000-0000-0000FE040000}"/>
    <cellStyle name="Финансовый 6 2 3" xfId="1213" xr:uid="{00000000-0005-0000-0000-0000FF040000}"/>
    <cellStyle name="Финансовый 6 3" xfId="1214" xr:uid="{00000000-0005-0000-0000-000000050000}"/>
    <cellStyle name="Финансовый 6 4" xfId="1215" xr:uid="{00000000-0005-0000-0000-000001050000}"/>
    <cellStyle name="Финансовый 7" xfId="1216" xr:uid="{00000000-0005-0000-0000-000002050000}"/>
    <cellStyle name="Финансовый 7 2" xfId="1217" xr:uid="{00000000-0005-0000-0000-000003050000}"/>
    <cellStyle name="Финансовый 7 2 2" xfId="1218" xr:uid="{00000000-0005-0000-0000-000004050000}"/>
    <cellStyle name="Финансовый 7 2 3" xfId="1219" xr:uid="{00000000-0005-0000-0000-000005050000}"/>
    <cellStyle name="Финансовый 7 3" xfId="1220" xr:uid="{00000000-0005-0000-0000-000006050000}"/>
    <cellStyle name="Финансовый 8" xfId="1221" xr:uid="{00000000-0005-0000-0000-000007050000}"/>
    <cellStyle name="Финансовый 8 2" xfId="1222" xr:uid="{00000000-0005-0000-0000-000008050000}"/>
    <cellStyle name="Финансовый 9" xfId="1223" xr:uid="{00000000-0005-0000-0000-000009050000}"/>
    <cellStyle name="Џђћ–…ќ’ќ›‰" xfId="1224" xr:uid="{00000000-0005-0000-0000-00000A050000}"/>
  </cellStyles>
  <dxfs count="355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ont>
        <color rgb="FF9C6500"/>
      </font>
      <fill>
        <patternFill>
          <bgColor rgb="FFFD9F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00FF"/>
      <color rgb="FFCC00CC"/>
      <color rgb="FFFD9FF6"/>
      <color rgb="FFF8A4E0"/>
      <color rgb="FFFF99FF"/>
      <color rgb="FFD9F29C"/>
      <color rgb="FFFF33CC"/>
      <color rgb="FFFF66FF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crs031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crs031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H28">
            <v>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5">
          <cell r="C25">
            <v>9161876946</v>
          </cell>
          <cell r="D25">
            <v>5642036040</v>
          </cell>
          <cell r="E25">
            <v>3519840906</v>
          </cell>
        </row>
        <row r="26">
          <cell r="C26">
            <v>56912822</v>
          </cell>
        </row>
        <row r="47">
          <cell r="C47">
            <v>16083550327</v>
          </cell>
        </row>
        <row r="77">
          <cell r="C77">
            <v>228394438</v>
          </cell>
        </row>
        <row r="78">
          <cell r="C78">
            <v>1795333660</v>
          </cell>
        </row>
      </sheetData>
      <sheetData sheetId="1"/>
      <sheetData sheetId="2">
        <row r="18">
          <cell r="C18">
            <v>0.14719364752463404</v>
          </cell>
        </row>
        <row r="24">
          <cell r="C24">
            <v>2.2680144748073383</v>
          </cell>
          <cell r="D24">
            <v>1.3992993515374768</v>
          </cell>
          <cell r="E24">
            <v>5.0842544855188123</v>
          </cell>
        </row>
        <row r="29">
          <cell r="C29">
            <v>1.0094710886287941</v>
          </cell>
          <cell r="D29">
            <v>1.0066989995785218</v>
          </cell>
          <cell r="E29">
            <v>1.0147331159791524</v>
          </cell>
        </row>
        <row r="51">
          <cell r="C51">
            <v>483941378</v>
          </cell>
        </row>
        <row r="52">
          <cell r="C52">
            <v>1620915397</v>
          </cell>
        </row>
        <row r="53">
          <cell r="C53">
            <v>622556835</v>
          </cell>
        </row>
        <row r="54">
          <cell r="C54">
            <v>409644890</v>
          </cell>
        </row>
        <row r="55">
          <cell r="C55">
            <v>820000000</v>
          </cell>
        </row>
        <row r="58">
          <cell r="C58">
            <v>3957058500</v>
          </cell>
        </row>
      </sheetData>
      <sheetData sheetId="3">
        <row r="31">
          <cell r="S31">
            <v>157663830</v>
          </cell>
        </row>
      </sheetData>
      <sheetData sheetId="4"/>
      <sheetData sheetId="5">
        <row r="20">
          <cell r="C20">
            <v>2786276838</v>
          </cell>
          <cell r="E20">
            <v>3599254.1240596771</v>
          </cell>
          <cell r="G20">
            <v>38843287.265500002</v>
          </cell>
          <cell r="I20">
            <v>105535877.42300001</v>
          </cell>
          <cell r="K20">
            <v>1048771049</v>
          </cell>
          <cell r="M20">
            <v>1443864259.4955502</v>
          </cell>
          <cell r="O20">
            <v>1530978774.77231</v>
          </cell>
          <cell r="Q20">
            <v>739787747.9195801</v>
          </cell>
          <cell r="S20">
            <v>7697657088</v>
          </cell>
        </row>
        <row r="40">
          <cell r="C40">
            <v>3157519134</v>
          </cell>
          <cell r="E40">
            <v>318004920.12405968</v>
          </cell>
          <cell r="G40">
            <v>1099928036.2655001</v>
          </cell>
          <cell r="I40">
            <v>1335971922.4229999</v>
          </cell>
          <cell r="K40">
            <v>1831518051</v>
          </cell>
          <cell r="M40">
            <v>2520159369.4955502</v>
          </cell>
        </row>
      </sheetData>
      <sheetData sheetId="6"/>
      <sheetData sheetId="7"/>
      <sheetData sheetId="8">
        <row r="6">
          <cell r="C6">
            <v>670763115</v>
          </cell>
          <cell r="D6">
            <v>125253966</v>
          </cell>
        </row>
        <row r="15">
          <cell r="C15">
            <v>1075854895</v>
          </cell>
          <cell r="D15">
            <v>34887752</v>
          </cell>
        </row>
        <row r="22">
          <cell r="C22">
            <v>7697657088</v>
          </cell>
          <cell r="D22">
            <v>1519278946</v>
          </cell>
        </row>
      </sheetData>
      <sheetData sheetId="9">
        <row r="6">
          <cell r="B6">
            <v>0</v>
          </cell>
        </row>
        <row r="7">
          <cell r="B7">
            <v>0</v>
          </cell>
        </row>
        <row r="15">
          <cell r="B15">
            <v>95846445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1463719882</v>
          </cell>
        </row>
        <row r="44">
          <cell r="C44">
            <v>1945011006</v>
          </cell>
        </row>
        <row r="45">
          <cell r="C45">
            <v>15578589455.523077</v>
          </cell>
        </row>
        <row r="49">
          <cell r="C49">
            <v>9.3815032880390364E-2</v>
          </cell>
        </row>
        <row r="50">
          <cell r="C50">
            <v>9.3957151010296849E-2</v>
          </cell>
        </row>
        <row r="51">
          <cell r="C51">
            <v>0.12485154779596784</v>
          </cell>
        </row>
        <row r="57">
          <cell r="C57">
            <v>7.8807186214779404E-2</v>
          </cell>
        </row>
      </sheetData>
      <sheetData sheetId="1" refreshError="1"/>
      <sheetData sheetId="2">
        <row r="24">
          <cell r="C24">
            <v>687374863</v>
          </cell>
        </row>
      </sheetData>
      <sheetData sheetId="3" refreshError="1"/>
      <sheetData sheetId="4" refreshError="1"/>
      <sheetData sheetId="5">
        <row r="26">
          <cell r="C26">
            <v>251000547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G73"/>
  <sheetViews>
    <sheetView view="pageBreakPreview" zoomScale="40" zoomScaleNormal="55" zoomScaleSheetLayoutView="40" workbookViewId="0">
      <pane xSplit="3" ySplit="9" topLeftCell="D10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P51" sqref="P51"/>
    </sheetView>
  </sheetViews>
  <sheetFormatPr defaultRowHeight="15.75"/>
  <cols>
    <col min="1" max="1" width="8" style="11" customWidth="1"/>
    <col min="2" max="2" width="108.7109375" style="12" customWidth="1"/>
    <col min="3" max="3" width="19.42578125" style="88" customWidth="1"/>
    <col min="4" max="8" width="18.28515625" style="11" customWidth="1"/>
    <col min="9" max="9" width="19.42578125" style="11" customWidth="1"/>
    <col min="10" max="14" width="18" style="11" customWidth="1"/>
    <col min="15" max="15" width="19.42578125" style="11" customWidth="1"/>
    <col min="16" max="20" width="16" style="11" customWidth="1"/>
    <col min="21" max="21" width="9.140625" style="11"/>
    <col min="22" max="22" width="14.85546875" style="11" customWidth="1"/>
    <col min="23" max="23" width="16.7109375" style="11" customWidth="1"/>
    <col min="24" max="16384" width="9.140625" style="11"/>
  </cols>
  <sheetData>
    <row r="1" spans="1:24" s="86" customFormat="1" ht="27.75" customHeight="1">
      <c r="A1" s="676" t="s">
        <v>243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8" t="s">
        <v>244</v>
      </c>
      <c r="T1" s="678"/>
      <c r="V1" s="637" t="s">
        <v>812</v>
      </c>
    </row>
    <row r="2" spans="1:24" ht="8.25" customHeight="1"/>
    <row r="3" spans="1:24" s="161" customFormat="1" ht="26.25">
      <c r="B3" s="636" t="s">
        <v>845</v>
      </c>
      <c r="C3" s="162"/>
      <c r="N3" s="336"/>
      <c r="Q3" s="694">
        <v>44926</v>
      </c>
      <c r="R3" s="694"/>
      <c r="S3" s="337"/>
      <c r="T3" s="338" t="s">
        <v>245</v>
      </c>
    </row>
    <row r="4" spans="1:24" s="150" customFormat="1" ht="30.75" customHeight="1">
      <c r="A4" s="679" t="s">
        <v>62</v>
      </c>
      <c r="B4" s="679" t="s">
        <v>230</v>
      </c>
      <c r="C4" s="679" t="s">
        <v>231</v>
      </c>
      <c r="D4" s="682" t="s">
        <v>232</v>
      </c>
      <c r="E4" s="683"/>
      <c r="F4" s="683"/>
      <c r="G4" s="683"/>
      <c r="H4" s="684"/>
      <c r="I4" s="691" t="s">
        <v>233</v>
      </c>
      <c r="J4" s="692"/>
      <c r="K4" s="692"/>
      <c r="L4" s="692"/>
      <c r="M4" s="692"/>
      <c r="N4" s="693"/>
      <c r="O4" s="675" t="s">
        <v>234</v>
      </c>
      <c r="P4" s="675"/>
      <c r="Q4" s="675"/>
      <c r="R4" s="675"/>
      <c r="S4" s="675"/>
      <c r="T4" s="675"/>
    </row>
    <row r="5" spans="1:24" s="150" customFormat="1" ht="30.75" customHeight="1">
      <c r="A5" s="680"/>
      <c r="B5" s="680"/>
      <c r="C5" s="680"/>
      <c r="D5" s="685"/>
      <c r="E5" s="686"/>
      <c r="F5" s="686"/>
      <c r="G5" s="686"/>
      <c r="H5" s="687"/>
      <c r="I5" s="679" t="s">
        <v>235</v>
      </c>
      <c r="J5" s="679" t="s">
        <v>236</v>
      </c>
      <c r="K5" s="679" t="s">
        <v>237</v>
      </c>
      <c r="L5" s="679" t="s">
        <v>238</v>
      </c>
      <c r="M5" s="679" t="s">
        <v>239</v>
      </c>
      <c r="N5" s="679" t="s">
        <v>240</v>
      </c>
      <c r="O5" s="675" t="s">
        <v>241</v>
      </c>
      <c r="P5" s="675"/>
      <c r="Q5" s="675"/>
      <c r="R5" s="675"/>
      <c r="S5" s="675"/>
      <c r="T5" s="675"/>
    </row>
    <row r="6" spans="1:24" s="150" customFormat="1" ht="30.75" customHeight="1">
      <c r="A6" s="680"/>
      <c r="B6" s="680"/>
      <c r="C6" s="680"/>
      <c r="D6" s="688"/>
      <c r="E6" s="689"/>
      <c r="F6" s="689"/>
      <c r="G6" s="689"/>
      <c r="H6" s="690"/>
      <c r="I6" s="680"/>
      <c r="J6" s="680"/>
      <c r="K6" s="680"/>
      <c r="L6" s="680"/>
      <c r="M6" s="680"/>
      <c r="N6" s="680"/>
      <c r="O6" s="675" t="s">
        <v>235</v>
      </c>
      <c r="P6" s="675" t="s">
        <v>242</v>
      </c>
      <c r="Q6" s="675"/>
      <c r="R6" s="675"/>
      <c r="S6" s="675"/>
      <c r="T6" s="675"/>
    </row>
    <row r="7" spans="1:24" s="150" customFormat="1" ht="21" customHeight="1">
      <c r="A7" s="681"/>
      <c r="B7" s="681"/>
      <c r="C7" s="681"/>
      <c r="D7" s="561" t="s">
        <v>121</v>
      </c>
      <c r="E7" s="561" t="s">
        <v>54</v>
      </c>
      <c r="F7" s="561" t="s">
        <v>56</v>
      </c>
      <c r="G7" s="561" t="s">
        <v>57</v>
      </c>
      <c r="H7" s="561" t="s">
        <v>60</v>
      </c>
      <c r="I7" s="681"/>
      <c r="J7" s="681"/>
      <c r="K7" s="681"/>
      <c r="L7" s="681"/>
      <c r="M7" s="681"/>
      <c r="N7" s="681"/>
      <c r="O7" s="675"/>
      <c r="P7" s="638" t="s">
        <v>121</v>
      </c>
      <c r="Q7" s="638" t="s">
        <v>54</v>
      </c>
      <c r="R7" s="638" t="s">
        <v>56</v>
      </c>
      <c r="S7" s="638" t="s">
        <v>57</v>
      </c>
      <c r="T7" s="638" t="s">
        <v>60</v>
      </c>
    </row>
    <row r="8" spans="1:24" s="13" customFormat="1">
      <c r="A8" s="339" t="s">
        <v>79</v>
      </c>
      <c r="B8" s="340" t="s">
        <v>80</v>
      </c>
      <c r="C8" s="341" t="s">
        <v>90</v>
      </c>
      <c r="D8" s="340" t="s">
        <v>81</v>
      </c>
      <c r="E8" s="340" t="s">
        <v>82</v>
      </c>
      <c r="F8" s="340" t="s">
        <v>91</v>
      </c>
      <c r="G8" s="340" t="s">
        <v>83</v>
      </c>
      <c r="H8" s="340" t="s">
        <v>84</v>
      </c>
      <c r="I8" s="340" t="s">
        <v>85</v>
      </c>
      <c r="J8" s="340" t="s">
        <v>86</v>
      </c>
      <c r="K8" s="340" t="s">
        <v>87</v>
      </c>
      <c r="L8" s="340" t="s">
        <v>88</v>
      </c>
      <c r="M8" s="340" t="s">
        <v>89</v>
      </c>
      <c r="N8" s="340" t="s">
        <v>155</v>
      </c>
      <c r="O8" s="340" t="s">
        <v>156</v>
      </c>
      <c r="P8" s="340" t="s">
        <v>157</v>
      </c>
      <c r="Q8" s="340" t="s">
        <v>158</v>
      </c>
      <c r="R8" s="340" t="s">
        <v>180</v>
      </c>
      <c r="S8" s="340" t="s">
        <v>189</v>
      </c>
      <c r="T8" s="340" t="s">
        <v>194</v>
      </c>
    </row>
    <row r="9" spans="1:24" s="13" customFormat="1" ht="29.25" customHeight="1">
      <c r="A9" s="342"/>
      <c r="B9" s="343" t="s">
        <v>282</v>
      </c>
      <c r="C9" s="344">
        <f>SUM(C10:C58)+C60-C59</f>
        <v>16083550327</v>
      </c>
      <c r="D9" s="344">
        <f>SUM(D10:D58)-D59+D60</f>
        <v>15814396708</v>
      </c>
      <c r="E9" s="344">
        <f>SUM(E10:E58)-E59+E60</f>
        <v>107991697</v>
      </c>
      <c r="F9" s="344">
        <f>SUM(F10:F58)-F59+F60</f>
        <v>76834183</v>
      </c>
      <c r="G9" s="344">
        <f>SUM(G10:G58)-G59+G60</f>
        <v>108609918</v>
      </c>
      <c r="H9" s="344">
        <f>SUM(H10:H58)-H59+H60</f>
        <v>47100552</v>
      </c>
      <c r="I9" s="344">
        <f t="shared" ref="I9:T9" si="0">SUM(I10:I60)</f>
        <v>249976833</v>
      </c>
      <c r="J9" s="344">
        <f t="shared" si="0"/>
        <v>27958576</v>
      </c>
      <c r="K9" s="344">
        <f t="shared" si="0"/>
        <v>27112156</v>
      </c>
      <c r="L9" s="344">
        <f t="shared" si="0"/>
        <v>28554737</v>
      </c>
      <c r="M9" s="344">
        <f t="shared" si="0"/>
        <v>122116056</v>
      </c>
      <c r="N9" s="344">
        <f t="shared" si="0"/>
        <v>44235308</v>
      </c>
      <c r="O9" s="344">
        <f t="shared" si="0"/>
        <v>173576502</v>
      </c>
      <c r="P9" s="344">
        <f t="shared" si="0"/>
        <v>102193771</v>
      </c>
      <c r="Q9" s="344">
        <f t="shared" si="0"/>
        <v>11813954</v>
      </c>
      <c r="R9" s="344">
        <f t="shared" si="0"/>
        <v>11373097</v>
      </c>
      <c r="S9" s="344">
        <f t="shared" si="0"/>
        <v>22455552</v>
      </c>
      <c r="T9" s="344">
        <f t="shared" si="0"/>
        <v>25740128</v>
      </c>
      <c r="V9" s="622"/>
      <c r="W9" s="622"/>
    </row>
    <row r="10" spans="1:24" s="10" customFormat="1" ht="23.25" customHeight="1">
      <c r="A10" s="345" t="s">
        <v>2</v>
      </c>
      <c r="B10" s="119" t="s">
        <v>246</v>
      </c>
      <c r="C10" s="117">
        <f>SUM(D10:H10)-O10+P10</f>
        <v>483941127</v>
      </c>
      <c r="D10" s="98">
        <v>483941127</v>
      </c>
      <c r="E10" s="98">
        <v>0</v>
      </c>
      <c r="F10" s="98">
        <v>0</v>
      </c>
      <c r="G10" s="98">
        <v>0</v>
      </c>
      <c r="H10" s="98">
        <v>0</v>
      </c>
      <c r="I10" s="117">
        <f t="shared" ref="I10:I11" si="1">SUM(J10:N10)</f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117">
        <f>SUM(P10:T10)</f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10">
        <v>10100</v>
      </c>
      <c r="V10" s="623"/>
      <c r="W10" s="624"/>
      <c r="X10" s="559"/>
    </row>
    <row r="11" spans="1:24" s="10" customFormat="1" ht="23.25" customHeight="1">
      <c r="A11" s="345" t="s">
        <v>5</v>
      </c>
      <c r="B11" s="119" t="s">
        <v>760</v>
      </c>
      <c r="C11" s="117">
        <f t="shared" ref="C11:C60" si="2">SUM(D11:H11)-O11+P11</f>
        <v>1620915398</v>
      </c>
      <c r="D11" s="98">
        <v>1620915398</v>
      </c>
      <c r="E11" s="98">
        <v>0</v>
      </c>
      <c r="F11" s="98">
        <v>0</v>
      </c>
      <c r="G11" s="98">
        <v>0</v>
      </c>
      <c r="H11" s="98">
        <v>0</v>
      </c>
      <c r="I11" s="117">
        <f t="shared" si="1"/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117">
        <f t="shared" ref="O11:O60" si="3">SUM(P11:T11)</f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143">
        <v>10300</v>
      </c>
      <c r="V11" s="623"/>
      <c r="W11" s="625"/>
      <c r="X11" s="559"/>
    </row>
    <row r="12" spans="1:24" s="10" customFormat="1" ht="23.25" customHeight="1">
      <c r="A12" s="345" t="s">
        <v>6</v>
      </c>
      <c r="B12" s="119" t="s">
        <v>761</v>
      </c>
      <c r="C12" s="117">
        <f t="shared" si="2"/>
        <v>1613206481</v>
      </c>
      <c r="D12" s="98">
        <v>1613206481</v>
      </c>
      <c r="E12" s="98">
        <v>0</v>
      </c>
      <c r="F12" s="98">
        <v>0</v>
      </c>
      <c r="G12" s="98">
        <v>0</v>
      </c>
      <c r="H12" s="98">
        <v>0</v>
      </c>
      <c r="I12" s="117">
        <f>SUM(J12:N12)</f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117">
        <f t="shared" si="3"/>
        <v>9005453</v>
      </c>
      <c r="P12" s="98">
        <v>9005453</v>
      </c>
      <c r="Q12" s="98">
        <v>0</v>
      </c>
      <c r="R12" s="98">
        <v>0</v>
      </c>
      <c r="S12" s="98">
        <v>0</v>
      </c>
      <c r="T12" s="98">
        <v>0</v>
      </c>
      <c r="U12" s="143">
        <v>10500</v>
      </c>
      <c r="V12" s="559"/>
      <c r="X12" s="559"/>
    </row>
    <row r="13" spans="1:24" s="10" customFormat="1" ht="23.25" customHeight="1">
      <c r="A13" s="345" t="s">
        <v>4</v>
      </c>
      <c r="B13" s="119" t="s">
        <v>768</v>
      </c>
      <c r="C13" s="117">
        <f t="shared" si="2"/>
        <v>789666478</v>
      </c>
      <c r="D13" s="98">
        <v>789666478</v>
      </c>
      <c r="E13" s="98">
        <v>0</v>
      </c>
      <c r="F13" s="98">
        <v>0</v>
      </c>
      <c r="G13" s="98">
        <v>0</v>
      </c>
      <c r="H13" s="98">
        <v>0</v>
      </c>
      <c r="I13" s="117">
        <f t="shared" ref="I13:I60" si="4">SUM(J13:N13)</f>
        <v>0</v>
      </c>
      <c r="J13" s="98">
        <v>0</v>
      </c>
      <c r="K13" s="98">
        <v>0</v>
      </c>
      <c r="L13" s="98">
        <v>0</v>
      </c>
      <c r="M13" s="98">
        <v>0</v>
      </c>
      <c r="N13" s="98">
        <v>0</v>
      </c>
      <c r="O13" s="117">
        <f t="shared" si="3"/>
        <v>0</v>
      </c>
      <c r="P13" s="98"/>
      <c r="Q13" s="98">
        <v>0</v>
      </c>
      <c r="R13" s="98">
        <v>0</v>
      </c>
      <c r="S13" s="98">
        <v>0</v>
      </c>
      <c r="T13" s="98">
        <v>0</v>
      </c>
      <c r="U13" s="10">
        <v>10700</v>
      </c>
      <c r="V13" s="559"/>
      <c r="X13" s="559"/>
    </row>
    <row r="14" spans="1:24" s="10" customFormat="1" ht="35.25" customHeight="1">
      <c r="A14" s="345" t="s">
        <v>3</v>
      </c>
      <c r="B14" s="119" t="s">
        <v>769</v>
      </c>
      <c r="C14" s="117">
        <f t="shared" si="2"/>
        <v>0</v>
      </c>
      <c r="D14" s="98">
        <v>0</v>
      </c>
      <c r="E14" s="98">
        <v>0</v>
      </c>
      <c r="F14" s="98">
        <v>0</v>
      </c>
      <c r="G14" s="98">
        <v>0</v>
      </c>
      <c r="H14" s="98">
        <v>0</v>
      </c>
      <c r="I14" s="117">
        <f t="shared" si="4"/>
        <v>0</v>
      </c>
      <c r="J14" s="98">
        <v>0</v>
      </c>
      <c r="K14" s="98">
        <v>0</v>
      </c>
      <c r="L14" s="98">
        <v>0</v>
      </c>
      <c r="M14" s="98">
        <v>0</v>
      </c>
      <c r="N14" s="98">
        <v>0</v>
      </c>
      <c r="O14" s="117">
        <f t="shared" si="3"/>
        <v>0</v>
      </c>
      <c r="P14" s="98"/>
      <c r="Q14" s="98">
        <v>0</v>
      </c>
      <c r="R14" s="98">
        <v>0</v>
      </c>
      <c r="S14" s="98">
        <v>0</v>
      </c>
      <c r="T14" s="98">
        <v>0</v>
      </c>
      <c r="U14" s="10">
        <v>10800</v>
      </c>
      <c r="V14" s="559"/>
      <c r="X14" s="559"/>
    </row>
    <row r="15" spans="1:24" s="10" customFormat="1" ht="23.25" customHeight="1">
      <c r="A15" s="345" t="s">
        <v>8</v>
      </c>
      <c r="B15" s="119" t="s">
        <v>247</v>
      </c>
      <c r="C15" s="117">
        <f t="shared" si="2"/>
        <v>251</v>
      </c>
      <c r="D15" s="98">
        <v>251</v>
      </c>
      <c r="E15" s="98">
        <v>0</v>
      </c>
      <c r="F15" s="98">
        <v>0</v>
      </c>
      <c r="G15" s="98">
        <v>0</v>
      </c>
      <c r="H15" s="98">
        <v>0</v>
      </c>
      <c r="I15" s="117">
        <f t="shared" si="4"/>
        <v>0</v>
      </c>
      <c r="J15" s="98">
        <v>0</v>
      </c>
      <c r="K15" s="98">
        <v>0</v>
      </c>
      <c r="L15" s="98">
        <v>0</v>
      </c>
      <c r="M15" s="98">
        <v>0</v>
      </c>
      <c r="N15" s="98">
        <v>0</v>
      </c>
      <c r="O15" s="117">
        <f t="shared" si="3"/>
        <v>0</v>
      </c>
      <c r="P15" s="98"/>
      <c r="Q15" s="98">
        <v>0</v>
      </c>
      <c r="R15" s="98">
        <v>0</v>
      </c>
      <c r="S15" s="98">
        <v>0</v>
      </c>
      <c r="T15" s="98">
        <v>0</v>
      </c>
      <c r="U15" s="10">
        <v>10900</v>
      </c>
      <c r="V15" s="559"/>
      <c r="X15" s="559"/>
    </row>
    <row r="16" spans="1:24" s="10" customFormat="1" ht="23.25" customHeight="1">
      <c r="A16" s="345" t="s">
        <v>7</v>
      </c>
      <c r="B16" s="119" t="s">
        <v>770</v>
      </c>
      <c r="C16" s="117">
        <f t="shared" si="2"/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117">
        <f t="shared" si="4"/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117">
        <f t="shared" si="3"/>
        <v>0</v>
      </c>
      <c r="P16" s="98"/>
      <c r="Q16" s="98">
        <v>0</v>
      </c>
      <c r="R16" s="98">
        <v>0</v>
      </c>
      <c r="S16" s="98">
        <v>0</v>
      </c>
      <c r="T16" s="98">
        <v>0</v>
      </c>
      <c r="U16" s="10">
        <v>11100</v>
      </c>
      <c r="V16" s="559"/>
      <c r="X16" s="559"/>
    </row>
    <row r="17" spans="1:24" ht="31.5">
      <c r="A17" s="118">
        <v>8</v>
      </c>
      <c r="B17" s="119" t="s">
        <v>248</v>
      </c>
      <c r="C17" s="117">
        <f t="shared" si="2"/>
        <v>329584914</v>
      </c>
      <c r="D17" s="98">
        <v>329584914</v>
      </c>
      <c r="E17" s="98">
        <v>0</v>
      </c>
      <c r="F17" s="98">
        <v>0</v>
      </c>
      <c r="G17" s="98">
        <v>0</v>
      </c>
      <c r="H17" s="98">
        <v>0</v>
      </c>
      <c r="I17" s="117">
        <f t="shared" si="4"/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117">
        <f t="shared" si="3"/>
        <v>6100218</v>
      </c>
      <c r="P17" s="98">
        <v>6100218</v>
      </c>
      <c r="Q17" s="98">
        <v>0</v>
      </c>
      <c r="R17" s="98">
        <v>0</v>
      </c>
      <c r="S17" s="98">
        <v>0</v>
      </c>
      <c r="T17" s="98">
        <v>0</v>
      </c>
      <c r="U17" s="143">
        <v>11500</v>
      </c>
      <c r="V17" s="559"/>
      <c r="W17" s="10"/>
      <c r="X17" s="559"/>
    </row>
    <row r="18" spans="1:24" ht="23.25" customHeight="1">
      <c r="A18" s="118">
        <v>9</v>
      </c>
      <c r="B18" s="119" t="s">
        <v>249</v>
      </c>
      <c r="C18" s="117">
        <f t="shared" si="2"/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117">
        <f t="shared" si="4"/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117">
        <f t="shared" si="3"/>
        <v>0</v>
      </c>
      <c r="P18" s="98"/>
      <c r="Q18" s="98">
        <v>0</v>
      </c>
      <c r="R18" s="98">
        <v>0</v>
      </c>
      <c r="S18" s="98">
        <v>0</v>
      </c>
      <c r="T18" s="98">
        <v>0</v>
      </c>
      <c r="U18" s="143">
        <v>11700</v>
      </c>
      <c r="V18" s="559"/>
      <c r="W18" s="10"/>
      <c r="X18" s="559"/>
    </row>
    <row r="19" spans="1:24" ht="23.25" customHeight="1">
      <c r="A19" s="118">
        <v>10</v>
      </c>
      <c r="B19" s="347" t="s">
        <v>250</v>
      </c>
      <c r="C19" s="117">
        <f t="shared" si="2"/>
        <v>0</v>
      </c>
      <c r="D19" s="98">
        <v>0</v>
      </c>
      <c r="E19" s="98">
        <v>0</v>
      </c>
      <c r="F19" s="98">
        <v>0</v>
      </c>
      <c r="G19" s="98">
        <v>0</v>
      </c>
      <c r="H19" s="98">
        <v>0</v>
      </c>
      <c r="I19" s="117">
        <f t="shared" si="4"/>
        <v>0</v>
      </c>
      <c r="J19" s="98">
        <v>0</v>
      </c>
      <c r="K19" s="98">
        <v>0</v>
      </c>
      <c r="L19" s="98">
        <v>0</v>
      </c>
      <c r="M19" s="98">
        <v>0</v>
      </c>
      <c r="N19" s="98">
        <v>0</v>
      </c>
      <c r="O19" s="117">
        <f t="shared" si="3"/>
        <v>0</v>
      </c>
      <c r="P19" s="98"/>
      <c r="Q19" s="98">
        <v>0</v>
      </c>
      <c r="R19" s="98">
        <v>0</v>
      </c>
      <c r="S19" s="98">
        <v>0</v>
      </c>
      <c r="T19" s="98">
        <v>0</v>
      </c>
      <c r="U19" s="143">
        <v>11800</v>
      </c>
      <c r="V19" s="559"/>
      <c r="W19" s="10"/>
      <c r="X19" s="559"/>
    </row>
    <row r="20" spans="1:24" ht="23.25" customHeight="1">
      <c r="A20" s="118">
        <v>11</v>
      </c>
      <c r="B20" s="119" t="s">
        <v>251</v>
      </c>
      <c r="C20" s="117">
        <f t="shared" si="2"/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117">
        <f t="shared" si="4"/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117">
        <f t="shared" si="3"/>
        <v>0</v>
      </c>
      <c r="P20" s="98"/>
      <c r="Q20" s="98">
        <v>0</v>
      </c>
      <c r="R20" s="98">
        <v>0</v>
      </c>
      <c r="S20" s="98">
        <v>0</v>
      </c>
      <c r="T20" s="98">
        <v>0</v>
      </c>
      <c r="U20" s="143">
        <v>11900</v>
      </c>
      <c r="V20" s="559"/>
      <c r="W20" s="10"/>
      <c r="X20" s="559"/>
    </row>
    <row r="21" spans="1:24" ht="23.25" customHeight="1">
      <c r="A21" s="118">
        <v>12</v>
      </c>
      <c r="B21" s="119" t="s">
        <v>252</v>
      </c>
      <c r="C21" s="117">
        <f t="shared" si="2"/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117">
        <f t="shared" si="4"/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117">
        <f t="shared" si="3"/>
        <v>0</v>
      </c>
      <c r="P21" s="98"/>
      <c r="Q21" s="98">
        <v>0</v>
      </c>
      <c r="R21" s="98">
        <v>0</v>
      </c>
      <c r="S21" s="98">
        <v>0</v>
      </c>
      <c r="T21" s="98">
        <v>0</v>
      </c>
      <c r="U21" s="143">
        <v>12100</v>
      </c>
      <c r="V21" s="559"/>
      <c r="W21" s="10"/>
      <c r="X21" s="559"/>
    </row>
    <row r="22" spans="1:24" ht="23.25" customHeight="1">
      <c r="A22" s="118">
        <v>13</v>
      </c>
      <c r="B22" s="119" t="s">
        <v>253</v>
      </c>
      <c r="C22" s="117">
        <f t="shared" si="2"/>
        <v>0</v>
      </c>
      <c r="D22" s="98">
        <v>0</v>
      </c>
      <c r="E22" s="98">
        <v>0</v>
      </c>
      <c r="F22" s="98">
        <v>0</v>
      </c>
      <c r="G22" s="98">
        <v>0</v>
      </c>
      <c r="H22" s="98">
        <v>0</v>
      </c>
      <c r="I22" s="117">
        <f t="shared" si="4"/>
        <v>0</v>
      </c>
      <c r="J22" s="98">
        <v>0</v>
      </c>
      <c r="K22" s="98">
        <v>0</v>
      </c>
      <c r="L22" s="98">
        <v>0</v>
      </c>
      <c r="M22" s="98">
        <v>0</v>
      </c>
      <c r="N22" s="98">
        <v>0</v>
      </c>
      <c r="O22" s="117">
        <f t="shared" si="3"/>
        <v>0</v>
      </c>
      <c r="P22" s="98"/>
      <c r="Q22" s="98">
        <v>0</v>
      </c>
      <c r="R22" s="98">
        <v>0</v>
      </c>
      <c r="S22" s="98">
        <v>0</v>
      </c>
      <c r="T22" s="98">
        <v>0</v>
      </c>
      <c r="U22" s="143">
        <v>12300</v>
      </c>
      <c r="V22" s="559"/>
      <c r="W22" s="10"/>
      <c r="X22" s="559"/>
    </row>
    <row r="23" spans="1:24" ht="23.25" customHeight="1">
      <c r="A23" s="118">
        <v>14</v>
      </c>
      <c r="B23" s="119" t="s">
        <v>254</v>
      </c>
      <c r="C23" s="117">
        <f t="shared" si="2"/>
        <v>0</v>
      </c>
      <c r="D23" s="98">
        <v>0</v>
      </c>
      <c r="E23" s="98">
        <v>0</v>
      </c>
      <c r="F23" s="98">
        <v>0</v>
      </c>
      <c r="G23" s="98">
        <v>0</v>
      </c>
      <c r="H23" s="98">
        <v>0</v>
      </c>
      <c r="I23" s="117">
        <f t="shared" si="4"/>
        <v>0</v>
      </c>
      <c r="J23" s="98">
        <v>0</v>
      </c>
      <c r="K23" s="98">
        <v>0</v>
      </c>
      <c r="L23" s="98">
        <v>0</v>
      </c>
      <c r="M23" s="98">
        <v>0</v>
      </c>
      <c r="N23" s="98">
        <v>0</v>
      </c>
      <c r="O23" s="117">
        <f t="shared" si="3"/>
        <v>0</v>
      </c>
      <c r="P23" s="98"/>
      <c r="Q23" s="98">
        <v>0</v>
      </c>
      <c r="R23" s="98">
        <v>0</v>
      </c>
      <c r="S23" s="98">
        <v>0</v>
      </c>
      <c r="T23" s="98">
        <v>0</v>
      </c>
      <c r="U23" s="143">
        <v>12400</v>
      </c>
      <c r="V23" s="559"/>
      <c r="W23" s="10"/>
      <c r="X23" s="559"/>
    </row>
    <row r="24" spans="1:24" ht="23.25" customHeight="1">
      <c r="A24" s="118">
        <v>15</v>
      </c>
      <c r="B24" s="119" t="s">
        <v>255</v>
      </c>
      <c r="C24" s="117">
        <f>SUM(D24:H24)-O24+P24</f>
        <v>33390784</v>
      </c>
      <c r="D24" s="98">
        <v>24355448</v>
      </c>
      <c r="E24" s="98">
        <v>1321694</v>
      </c>
      <c r="F24" s="98">
        <v>1726879</v>
      </c>
      <c r="G24" s="98">
        <v>2658664</v>
      </c>
      <c r="H24" s="98">
        <v>3738879</v>
      </c>
      <c r="I24" s="117">
        <f t="shared" si="4"/>
        <v>10640116</v>
      </c>
      <c r="J24" s="98">
        <v>1217405</v>
      </c>
      <c r="K24" s="98">
        <v>1364074</v>
      </c>
      <c r="L24" s="98">
        <v>1673711</v>
      </c>
      <c r="M24" s="98">
        <v>2669203</v>
      </c>
      <c r="N24" s="98">
        <v>3715723</v>
      </c>
      <c r="O24" s="117">
        <f t="shared" si="3"/>
        <v>584618</v>
      </c>
      <c r="P24" s="98">
        <v>173838</v>
      </c>
      <c r="Q24" s="98">
        <v>16498</v>
      </c>
      <c r="R24" s="98">
        <v>40258</v>
      </c>
      <c r="S24" s="98">
        <v>44651</v>
      </c>
      <c r="T24" s="98">
        <v>309373</v>
      </c>
      <c r="U24" s="143">
        <v>12500</v>
      </c>
      <c r="V24" s="559"/>
      <c r="W24" s="10"/>
      <c r="X24" s="559"/>
    </row>
    <row r="25" spans="1:24" ht="23.25" customHeight="1">
      <c r="A25" s="118">
        <v>16</v>
      </c>
      <c r="B25" s="119" t="s">
        <v>256</v>
      </c>
      <c r="C25" s="117">
        <f t="shared" si="2"/>
        <v>139986</v>
      </c>
      <c r="D25" s="98">
        <v>139986</v>
      </c>
      <c r="E25" s="98">
        <v>0</v>
      </c>
      <c r="F25" s="98">
        <v>0</v>
      </c>
      <c r="G25" s="98">
        <v>0</v>
      </c>
      <c r="H25" s="98">
        <v>0</v>
      </c>
      <c r="I25" s="117">
        <f t="shared" si="4"/>
        <v>0</v>
      </c>
      <c r="J25" s="98">
        <v>0</v>
      </c>
      <c r="K25" s="98">
        <v>0</v>
      </c>
      <c r="L25" s="98">
        <v>0</v>
      </c>
      <c r="M25" s="98">
        <v>0</v>
      </c>
      <c r="N25" s="98">
        <v>0</v>
      </c>
      <c r="O25" s="117">
        <f t="shared" si="3"/>
        <v>55190</v>
      </c>
      <c r="P25" s="98">
        <v>55190</v>
      </c>
      <c r="Q25" s="98">
        <v>0</v>
      </c>
      <c r="R25" s="98">
        <v>0</v>
      </c>
      <c r="S25" s="98">
        <v>0</v>
      </c>
      <c r="T25" s="98">
        <v>0</v>
      </c>
      <c r="U25" s="143">
        <v>12600</v>
      </c>
      <c r="V25" s="559"/>
      <c r="W25" s="10"/>
      <c r="X25" s="559"/>
    </row>
    <row r="26" spans="1:24" ht="23.25" customHeight="1">
      <c r="A26" s="118">
        <v>17</v>
      </c>
      <c r="B26" s="119" t="s">
        <v>771</v>
      </c>
      <c r="C26" s="117">
        <f>SUM(D26:H26)-O26+P26</f>
        <v>6283034</v>
      </c>
      <c r="D26" s="98">
        <v>6283034</v>
      </c>
      <c r="E26" s="98">
        <v>0</v>
      </c>
      <c r="F26" s="98">
        <v>0</v>
      </c>
      <c r="G26" s="98">
        <v>0</v>
      </c>
      <c r="H26" s="98">
        <v>0</v>
      </c>
      <c r="I26" s="117">
        <f t="shared" si="4"/>
        <v>5285655</v>
      </c>
      <c r="J26" s="98">
        <v>0</v>
      </c>
      <c r="K26" s="98">
        <v>5285655</v>
      </c>
      <c r="L26" s="98">
        <v>0</v>
      </c>
      <c r="M26" s="98">
        <v>0</v>
      </c>
      <c r="N26" s="98">
        <v>0</v>
      </c>
      <c r="O26" s="117">
        <f t="shared" si="3"/>
        <v>78000</v>
      </c>
      <c r="P26" s="98">
        <v>78000</v>
      </c>
      <c r="Q26" s="98">
        <v>0</v>
      </c>
      <c r="R26" s="98">
        <v>0</v>
      </c>
      <c r="S26" s="98">
        <v>0</v>
      </c>
      <c r="T26" s="98">
        <v>0</v>
      </c>
      <c r="U26" s="143">
        <v>12700</v>
      </c>
      <c r="V26" s="559"/>
      <c r="W26" s="560"/>
      <c r="X26" s="559"/>
    </row>
    <row r="27" spans="1:24" ht="33.75" customHeight="1">
      <c r="A27" s="118">
        <v>18</v>
      </c>
      <c r="B27" s="119" t="s">
        <v>772</v>
      </c>
      <c r="C27" s="117">
        <f t="shared" si="2"/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117">
        <f t="shared" si="4"/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117">
        <f t="shared" si="3"/>
        <v>16600</v>
      </c>
      <c r="P27" s="98">
        <v>16600</v>
      </c>
      <c r="Q27" s="98">
        <v>0</v>
      </c>
      <c r="R27" s="98">
        <v>0</v>
      </c>
      <c r="S27" s="98">
        <v>0</v>
      </c>
      <c r="T27" s="98">
        <v>0</v>
      </c>
      <c r="U27" s="143">
        <v>12800</v>
      </c>
      <c r="V27" s="559"/>
      <c r="W27" s="560"/>
      <c r="X27" s="567"/>
    </row>
    <row r="28" spans="1:24" ht="23.25" customHeight="1">
      <c r="A28" s="118">
        <v>19</v>
      </c>
      <c r="B28" s="119" t="s">
        <v>257</v>
      </c>
      <c r="C28" s="117">
        <f t="shared" si="2"/>
        <v>32442841</v>
      </c>
      <c r="D28" s="98">
        <v>32442841</v>
      </c>
      <c r="E28" s="98">
        <v>0</v>
      </c>
      <c r="F28" s="98">
        <v>0</v>
      </c>
      <c r="G28" s="98">
        <v>0</v>
      </c>
      <c r="H28" s="98">
        <v>0</v>
      </c>
      <c r="I28" s="117">
        <f t="shared" si="4"/>
        <v>0</v>
      </c>
      <c r="J28" s="98">
        <v>0</v>
      </c>
      <c r="K28" s="98">
        <v>0</v>
      </c>
      <c r="L28" s="98">
        <v>0</v>
      </c>
      <c r="M28" s="98">
        <v>0</v>
      </c>
      <c r="N28" s="98">
        <v>0</v>
      </c>
      <c r="O28" s="117">
        <f t="shared" si="3"/>
        <v>106136</v>
      </c>
      <c r="P28" s="98">
        <v>106136</v>
      </c>
      <c r="Q28" s="98">
        <v>0</v>
      </c>
      <c r="R28" s="98">
        <v>0</v>
      </c>
      <c r="S28" s="98">
        <v>0</v>
      </c>
      <c r="T28" s="98">
        <v>0</v>
      </c>
      <c r="U28" s="143">
        <v>12900</v>
      </c>
      <c r="V28" s="559"/>
      <c r="W28" s="10"/>
      <c r="X28" s="559"/>
    </row>
    <row r="29" spans="1:24" ht="24" customHeight="1">
      <c r="A29" s="118">
        <v>20</v>
      </c>
      <c r="B29" s="119" t="s">
        <v>258</v>
      </c>
      <c r="C29" s="117">
        <f t="shared" si="2"/>
        <v>200958</v>
      </c>
      <c r="D29" s="98">
        <v>0</v>
      </c>
      <c r="E29" s="98">
        <v>0</v>
      </c>
      <c r="F29" s="98">
        <v>0</v>
      </c>
      <c r="G29" s="98">
        <v>10362</v>
      </c>
      <c r="H29" s="98">
        <v>190596</v>
      </c>
      <c r="I29" s="117">
        <f t="shared" si="4"/>
        <v>200958</v>
      </c>
      <c r="J29" s="98">
        <v>0</v>
      </c>
      <c r="K29" s="98">
        <v>0</v>
      </c>
      <c r="L29" s="98">
        <v>0</v>
      </c>
      <c r="M29" s="98">
        <v>21975</v>
      </c>
      <c r="N29" s="98">
        <v>178983</v>
      </c>
      <c r="O29" s="117">
        <f t="shared" si="3"/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143">
        <v>13000</v>
      </c>
      <c r="V29" s="559"/>
      <c r="W29" s="10"/>
      <c r="X29" s="559"/>
    </row>
    <row r="30" spans="1:24" ht="33.75" customHeight="1">
      <c r="A30" s="118">
        <v>21</v>
      </c>
      <c r="B30" s="119" t="s">
        <v>259</v>
      </c>
      <c r="C30" s="117">
        <f t="shared" si="2"/>
        <v>360539766</v>
      </c>
      <c r="D30" s="98">
        <v>337527829</v>
      </c>
      <c r="E30" s="98">
        <v>25842402</v>
      </c>
      <c r="F30" s="98">
        <v>758897</v>
      </c>
      <c r="G30" s="98">
        <v>79644</v>
      </c>
      <c r="H30" s="98">
        <v>219436</v>
      </c>
      <c r="I30" s="117">
        <f t="shared" si="4"/>
        <v>14397182</v>
      </c>
      <c r="J30" s="98">
        <v>422543</v>
      </c>
      <c r="K30" s="98">
        <v>940510</v>
      </c>
      <c r="L30" s="98">
        <v>4925564</v>
      </c>
      <c r="M30" s="98">
        <v>7889129</v>
      </c>
      <c r="N30" s="98">
        <v>219436</v>
      </c>
      <c r="O30" s="117">
        <f t="shared" si="3"/>
        <v>11347240</v>
      </c>
      <c r="P30" s="98">
        <v>7458798</v>
      </c>
      <c r="Q30" s="98">
        <v>3888442</v>
      </c>
      <c r="R30" s="98"/>
      <c r="S30" s="98">
        <v>0</v>
      </c>
      <c r="T30" s="98">
        <v>0</v>
      </c>
      <c r="U30" s="143">
        <v>13100</v>
      </c>
      <c r="V30" s="559"/>
      <c r="W30" s="10"/>
      <c r="X30" s="559"/>
    </row>
    <row r="31" spans="1:24" ht="23.25" customHeight="1">
      <c r="A31" s="118">
        <v>22</v>
      </c>
      <c r="B31" s="119" t="s">
        <v>260</v>
      </c>
      <c r="C31" s="117">
        <f t="shared" si="2"/>
        <v>11301750</v>
      </c>
      <c r="D31" s="98">
        <v>11301750</v>
      </c>
      <c r="E31" s="98">
        <v>0</v>
      </c>
      <c r="F31" s="98">
        <v>0</v>
      </c>
      <c r="G31" s="98">
        <v>0</v>
      </c>
      <c r="H31" s="98">
        <v>0</v>
      </c>
      <c r="I31" s="117">
        <f t="shared" si="4"/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117">
        <f t="shared" si="3"/>
        <v>83696</v>
      </c>
      <c r="P31" s="98">
        <v>83696</v>
      </c>
      <c r="Q31" s="98">
        <v>0</v>
      </c>
      <c r="R31" s="98">
        <v>0</v>
      </c>
      <c r="S31" s="98">
        <v>0</v>
      </c>
      <c r="T31" s="98">
        <v>0</v>
      </c>
      <c r="U31" s="143">
        <v>13200</v>
      </c>
      <c r="V31" s="559"/>
      <c r="W31" s="10"/>
      <c r="X31" s="559"/>
    </row>
    <row r="32" spans="1:24" ht="32.25" customHeight="1">
      <c r="A32" s="118">
        <v>23</v>
      </c>
      <c r="B32" s="119" t="s">
        <v>261</v>
      </c>
      <c r="C32" s="117">
        <f t="shared" si="2"/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117">
        <f t="shared" ref="I32:I33" si="5">SUM(J32:N32)</f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117">
        <f t="shared" si="3"/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143">
        <v>13300</v>
      </c>
      <c r="V32" s="559"/>
      <c r="W32" s="10"/>
      <c r="X32" s="559"/>
    </row>
    <row r="33" spans="1:24" ht="32.25" customHeight="1">
      <c r="A33" s="118">
        <v>24</v>
      </c>
      <c r="B33" s="119" t="s">
        <v>773</v>
      </c>
      <c r="C33" s="117">
        <f t="shared" si="2"/>
        <v>0</v>
      </c>
      <c r="D33" s="98">
        <v>0</v>
      </c>
      <c r="E33" s="98">
        <v>0</v>
      </c>
      <c r="F33" s="98">
        <v>0</v>
      </c>
      <c r="G33" s="98">
        <v>0</v>
      </c>
      <c r="H33" s="98">
        <v>0</v>
      </c>
      <c r="I33" s="117">
        <f t="shared" si="5"/>
        <v>0</v>
      </c>
      <c r="J33" s="98">
        <v>0</v>
      </c>
      <c r="K33" s="98">
        <v>0</v>
      </c>
      <c r="L33" s="98">
        <v>0</v>
      </c>
      <c r="M33" s="98">
        <v>0</v>
      </c>
      <c r="N33" s="98">
        <v>0</v>
      </c>
      <c r="O33" s="117">
        <f t="shared" si="3"/>
        <v>0</v>
      </c>
      <c r="P33" s="98">
        <v>0</v>
      </c>
      <c r="Q33" s="98">
        <v>0</v>
      </c>
      <c r="R33" s="98">
        <v>0</v>
      </c>
      <c r="S33" s="98">
        <v>0</v>
      </c>
      <c r="T33" s="98">
        <v>0</v>
      </c>
      <c r="U33" s="143">
        <v>14300</v>
      </c>
      <c r="V33" s="559"/>
      <c r="W33" s="560"/>
      <c r="X33" s="559"/>
    </row>
    <row r="34" spans="1:24" ht="33.75" customHeight="1">
      <c r="A34" s="118">
        <v>25</v>
      </c>
      <c r="B34" s="119" t="s">
        <v>774</v>
      </c>
      <c r="C34" s="117">
        <f t="shared" si="2"/>
        <v>17561669</v>
      </c>
      <c r="D34" s="98">
        <v>17561669</v>
      </c>
      <c r="E34" s="98">
        <v>0</v>
      </c>
      <c r="F34" s="98">
        <v>0</v>
      </c>
      <c r="G34" s="98">
        <v>0</v>
      </c>
      <c r="H34" s="98">
        <v>0</v>
      </c>
      <c r="I34" s="117">
        <f t="shared" si="4"/>
        <v>0</v>
      </c>
      <c r="J34" s="98">
        <v>0</v>
      </c>
      <c r="K34" s="98">
        <v>0</v>
      </c>
      <c r="L34" s="98">
        <v>0</v>
      </c>
      <c r="M34" s="98">
        <v>0</v>
      </c>
      <c r="N34" s="98">
        <v>0</v>
      </c>
      <c r="O34" s="117">
        <f t="shared" si="3"/>
        <v>138545</v>
      </c>
      <c r="P34" s="98">
        <v>138545</v>
      </c>
      <c r="Q34" s="98">
        <v>0</v>
      </c>
      <c r="R34" s="98">
        <v>0</v>
      </c>
      <c r="S34" s="98">
        <v>0</v>
      </c>
      <c r="T34" s="98">
        <v>0</v>
      </c>
      <c r="U34" s="143">
        <v>14400</v>
      </c>
      <c r="V34" s="559"/>
      <c r="W34" s="560"/>
      <c r="X34" s="559"/>
    </row>
    <row r="35" spans="1:24" ht="23.25" customHeight="1">
      <c r="A35" s="118">
        <v>26</v>
      </c>
      <c r="B35" s="119" t="s">
        <v>262</v>
      </c>
      <c r="C35" s="117">
        <f t="shared" si="2"/>
        <v>0</v>
      </c>
      <c r="D35" s="98">
        <v>0</v>
      </c>
      <c r="E35" s="98">
        <v>0</v>
      </c>
      <c r="F35" s="98">
        <v>0</v>
      </c>
      <c r="G35" s="98">
        <v>0</v>
      </c>
      <c r="H35" s="98">
        <v>0</v>
      </c>
      <c r="I35" s="117">
        <f t="shared" si="4"/>
        <v>0</v>
      </c>
      <c r="J35" s="98">
        <v>0</v>
      </c>
      <c r="K35" s="98">
        <v>0</v>
      </c>
      <c r="L35" s="98">
        <v>0</v>
      </c>
      <c r="M35" s="98">
        <v>0</v>
      </c>
      <c r="N35" s="98">
        <v>0</v>
      </c>
      <c r="O35" s="117">
        <f t="shared" si="3"/>
        <v>0</v>
      </c>
      <c r="P35" s="98">
        <v>0</v>
      </c>
      <c r="Q35" s="98">
        <v>0</v>
      </c>
      <c r="R35" s="98">
        <v>0</v>
      </c>
      <c r="S35" s="98">
        <v>0</v>
      </c>
      <c r="T35" s="98">
        <v>0</v>
      </c>
      <c r="U35" s="143">
        <v>14500</v>
      </c>
      <c r="V35" s="559"/>
      <c r="W35" s="10"/>
      <c r="X35" s="559"/>
    </row>
    <row r="36" spans="1:24" ht="23.25" customHeight="1">
      <c r="A36" s="118">
        <v>27</v>
      </c>
      <c r="B36" s="119" t="s">
        <v>263</v>
      </c>
      <c r="C36" s="117">
        <f t="shared" si="2"/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117">
        <f t="shared" si="4"/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117">
        <f t="shared" si="3"/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143">
        <v>14700</v>
      </c>
      <c r="V36" s="559"/>
      <c r="W36" s="10"/>
      <c r="X36" s="559"/>
    </row>
    <row r="37" spans="1:24" ht="23.25" customHeight="1">
      <c r="A37" s="118">
        <v>28</v>
      </c>
      <c r="B37" s="119" t="s">
        <v>264</v>
      </c>
      <c r="C37" s="117">
        <f t="shared" si="2"/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117">
        <f t="shared" si="4"/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117">
        <f t="shared" si="3"/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143">
        <v>14800</v>
      </c>
      <c r="V37" s="559"/>
      <c r="W37" s="10"/>
      <c r="X37" s="559"/>
    </row>
    <row r="38" spans="1:24" ht="23.25" customHeight="1">
      <c r="A38" s="118">
        <v>29</v>
      </c>
      <c r="B38" s="119" t="s">
        <v>265</v>
      </c>
      <c r="C38" s="117">
        <f t="shared" si="2"/>
        <v>2336291745</v>
      </c>
      <c r="D38" s="98">
        <v>2310593004</v>
      </c>
      <c r="E38" s="98">
        <v>18570132</v>
      </c>
      <c r="F38" s="98">
        <v>10700355</v>
      </c>
      <c r="G38" s="98">
        <v>12493880</v>
      </c>
      <c r="H38" s="98">
        <v>5132594</v>
      </c>
      <c r="I38" s="117">
        <f t="shared" si="4"/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117">
        <f t="shared" si="3"/>
        <v>33715409</v>
      </c>
      <c r="P38" s="98">
        <v>12517189</v>
      </c>
      <c r="Q38" s="98">
        <v>2332497</v>
      </c>
      <c r="R38" s="98">
        <v>2860770</v>
      </c>
      <c r="S38" s="98">
        <v>7488703</v>
      </c>
      <c r="T38" s="98">
        <v>8516250</v>
      </c>
      <c r="U38" s="143">
        <v>14900</v>
      </c>
      <c r="V38" s="559"/>
      <c r="W38" s="10"/>
      <c r="X38" s="559"/>
    </row>
    <row r="39" spans="1:24" ht="23.25" customHeight="1">
      <c r="A39" s="118">
        <v>30</v>
      </c>
      <c r="B39" s="119" t="s">
        <v>266</v>
      </c>
      <c r="C39" s="117">
        <f t="shared" si="2"/>
        <v>134287861</v>
      </c>
      <c r="D39" s="98">
        <v>134287861</v>
      </c>
      <c r="E39" s="98">
        <v>0</v>
      </c>
      <c r="F39" s="98">
        <v>0</v>
      </c>
      <c r="G39" s="98">
        <v>0</v>
      </c>
      <c r="H39" s="98">
        <v>0</v>
      </c>
      <c r="I39" s="117">
        <f t="shared" si="4"/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117">
        <f t="shared" si="3"/>
        <v>705104</v>
      </c>
      <c r="P39" s="98">
        <v>705104</v>
      </c>
      <c r="Q39" s="98">
        <v>0</v>
      </c>
      <c r="R39" s="98">
        <v>0</v>
      </c>
      <c r="S39" s="98">
        <v>0</v>
      </c>
      <c r="T39" s="98">
        <v>0</v>
      </c>
      <c r="U39" s="143">
        <v>15000</v>
      </c>
      <c r="V39" s="559"/>
      <c r="W39" s="10"/>
      <c r="X39" s="559"/>
    </row>
    <row r="40" spans="1:24" ht="33.75" customHeight="1">
      <c r="A40" s="118">
        <v>31</v>
      </c>
      <c r="B40" s="119" t="s">
        <v>775</v>
      </c>
      <c r="C40" s="117">
        <f t="shared" si="2"/>
        <v>1022108026</v>
      </c>
      <c r="D40" s="98">
        <v>1008770829</v>
      </c>
      <c r="E40" s="98">
        <v>0</v>
      </c>
      <c r="F40" s="98">
        <v>13337197</v>
      </c>
      <c r="G40" s="98">
        <v>0</v>
      </c>
      <c r="H40" s="98">
        <v>0</v>
      </c>
      <c r="I40" s="117">
        <f t="shared" si="4"/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117">
        <f t="shared" si="3"/>
        <v>10050839</v>
      </c>
      <c r="P40" s="98">
        <v>10050839</v>
      </c>
      <c r="Q40" s="98">
        <v>0</v>
      </c>
      <c r="R40" s="98">
        <v>0</v>
      </c>
      <c r="S40" s="98">
        <v>0</v>
      </c>
      <c r="T40" s="98">
        <v>0</v>
      </c>
      <c r="U40" s="143">
        <v>15100</v>
      </c>
      <c r="V40" s="559"/>
      <c r="W40" s="560"/>
      <c r="X40" s="559"/>
    </row>
    <row r="41" spans="1:24" ht="23.25" customHeight="1">
      <c r="A41" s="118">
        <v>32</v>
      </c>
      <c r="B41" s="119" t="s">
        <v>267</v>
      </c>
      <c r="C41" s="117">
        <f t="shared" si="2"/>
        <v>1721161</v>
      </c>
      <c r="D41" s="98">
        <v>725289</v>
      </c>
      <c r="E41" s="98">
        <v>0</v>
      </c>
      <c r="F41" s="98">
        <v>0</v>
      </c>
      <c r="G41" s="98">
        <v>0</v>
      </c>
      <c r="H41" s="98">
        <v>995872</v>
      </c>
      <c r="I41" s="117">
        <f t="shared" si="4"/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117">
        <f t="shared" si="3"/>
        <v>16683</v>
      </c>
      <c r="P41" s="98">
        <v>16683</v>
      </c>
      <c r="Q41" s="98">
        <v>0</v>
      </c>
      <c r="R41" s="98">
        <v>0</v>
      </c>
      <c r="S41" s="98">
        <v>0</v>
      </c>
      <c r="T41" s="98">
        <v>0</v>
      </c>
      <c r="U41" s="143">
        <v>15200</v>
      </c>
      <c r="V41" s="559"/>
      <c r="W41" s="10"/>
      <c r="X41" s="559"/>
    </row>
    <row r="42" spans="1:24" ht="23.25" customHeight="1">
      <c r="A42" s="118">
        <v>33</v>
      </c>
      <c r="B42" s="119" t="s">
        <v>268</v>
      </c>
      <c r="C42" s="117">
        <f t="shared" si="2"/>
        <v>226570209</v>
      </c>
      <c r="D42" s="98">
        <v>226570209</v>
      </c>
      <c r="E42" s="98">
        <v>0</v>
      </c>
      <c r="F42" s="98">
        <v>0</v>
      </c>
      <c r="G42" s="98">
        <v>0</v>
      </c>
      <c r="H42" s="98">
        <v>0</v>
      </c>
      <c r="I42" s="117">
        <f t="shared" si="4"/>
        <v>0</v>
      </c>
      <c r="J42" s="98">
        <v>0</v>
      </c>
      <c r="K42" s="98">
        <v>0</v>
      </c>
      <c r="L42" s="98">
        <v>0</v>
      </c>
      <c r="M42" s="98">
        <v>0</v>
      </c>
      <c r="N42" s="98">
        <v>0</v>
      </c>
      <c r="O42" s="117">
        <f t="shared" si="3"/>
        <v>2638699</v>
      </c>
      <c r="P42" s="98">
        <v>2638699</v>
      </c>
      <c r="Q42" s="98">
        <v>0</v>
      </c>
      <c r="R42" s="98">
        <v>0</v>
      </c>
      <c r="S42" s="98">
        <v>0</v>
      </c>
      <c r="T42" s="98">
        <v>0</v>
      </c>
      <c r="U42" s="143">
        <v>15300</v>
      </c>
      <c r="V42" s="559"/>
      <c r="W42" s="10"/>
      <c r="X42" s="559"/>
    </row>
    <row r="43" spans="1:24" ht="23.25" customHeight="1">
      <c r="A43" s="118">
        <v>34</v>
      </c>
      <c r="B43" s="119" t="s">
        <v>269</v>
      </c>
      <c r="C43" s="117">
        <f t="shared" si="2"/>
        <v>6153800</v>
      </c>
      <c r="D43" s="98">
        <v>6153800</v>
      </c>
      <c r="E43" s="98">
        <v>0</v>
      </c>
      <c r="F43" s="98">
        <v>0</v>
      </c>
      <c r="G43" s="98">
        <v>0</v>
      </c>
      <c r="H43" s="98">
        <v>0</v>
      </c>
      <c r="I43" s="117">
        <f t="shared" si="4"/>
        <v>0</v>
      </c>
      <c r="J43" s="98">
        <v>0</v>
      </c>
      <c r="K43" s="98">
        <v>0</v>
      </c>
      <c r="L43" s="98">
        <v>0</v>
      </c>
      <c r="M43" s="98">
        <v>0</v>
      </c>
      <c r="N43" s="98">
        <v>0</v>
      </c>
      <c r="O43" s="117">
        <f t="shared" si="3"/>
        <v>200370</v>
      </c>
      <c r="P43" s="98">
        <v>200370</v>
      </c>
      <c r="Q43" s="98">
        <v>0</v>
      </c>
      <c r="R43" s="98">
        <v>0</v>
      </c>
      <c r="S43" s="98">
        <v>0</v>
      </c>
      <c r="T43" s="98">
        <v>0</v>
      </c>
      <c r="U43" s="143">
        <v>15400</v>
      </c>
      <c r="V43" s="559"/>
      <c r="W43" s="10"/>
      <c r="X43" s="559"/>
    </row>
    <row r="44" spans="1:24" ht="33.75" customHeight="1">
      <c r="A44" s="118">
        <v>35</v>
      </c>
      <c r="B44" s="119" t="s">
        <v>270</v>
      </c>
      <c r="C44" s="117">
        <f t="shared" si="2"/>
        <v>4758306704</v>
      </c>
      <c r="D44" s="98">
        <v>4732990370</v>
      </c>
      <c r="E44" s="98">
        <v>17020880</v>
      </c>
      <c r="F44" s="98">
        <v>4797435</v>
      </c>
      <c r="G44" s="98">
        <v>5912595</v>
      </c>
      <c r="H44" s="98">
        <v>1404412</v>
      </c>
      <c r="I44" s="117">
        <f t="shared" si="4"/>
        <v>0</v>
      </c>
      <c r="J44" s="98">
        <v>0</v>
      </c>
      <c r="K44" s="98">
        <v>0</v>
      </c>
      <c r="L44" s="98">
        <v>0</v>
      </c>
      <c r="M44" s="98">
        <v>0</v>
      </c>
      <c r="N44" s="98">
        <v>0</v>
      </c>
      <c r="O44" s="117">
        <f t="shared" si="3"/>
        <v>39571156</v>
      </c>
      <c r="P44" s="98">
        <v>35752168</v>
      </c>
      <c r="Q44" s="98">
        <v>2600178</v>
      </c>
      <c r="R44" s="98">
        <v>1187200</v>
      </c>
      <c r="S44" s="98">
        <v>0</v>
      </c>
      <c r="T44" s="98">
        <v>31610</v>
      </c>
      <c r="U44" s="143">
        <v>15500</v>
      </c>
      <c r="V44" s="559"/>
      <c r="W44" s="10"/>
      <c r="X44" s="559"/>
    </row>
    <row r="45" spans="1:24" ht="18" customHeight="1">
      <c r="A45" s="118">
        <v>36</v>
      </c>
      <c r="B45" s="119" t="s">
        <v>271</v>
      </c>
      <c r="C45" s="117">
        <f t="shared" si="2"/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117">
        <f t="shared" si="4"/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117">
        <f t="shared" si="3"/>
        <v>2663</v>
      </c>
      <c r="P45" s="98">
        <v>2663</v>
      </c>
      <c r="Q45" s="98">
        <v>0</v>
      </c>
      <c r="R45" s="98">
        <v>0</v>
      </c>
      <c r="S45" s="98">
        <v>0</v>
      </c>
      <c r="T45" s="98">
        <v>0</v>
      </c>
      <c r="U45" s="143">
        <v>15600</v>
      </c>
      <c r="V45" s="559"/>
      <c r="W45" s="10"/>
      <c r="X45" s="559"/>
    </row>
    <row r="46" spans="1:24" ht="23.25" customHeight="1">
      <c r="A46" s="118">
        <v>37</v>
      </c>
      <c r="B46" s="119" t="s">
        <v>782</v>
      </c>
      <c r="C46" s="117">
        <f t="shared" si="2"/>
        <v>157663830</v>
      </c>
      <c r="D46" s="98">
        <v>24970461</v>
      </c>
      <c r="E46" s="98">
        <v>38595012</v>
      </c>
      <c r="F46" s="98">
        <v>38372355</v>
      </c>
      <c r="G46" s="98">
        <v>59138175</v>
      </c>
      <c r="H46" s="98">
        <v>24184219</v>
      </c>
      <c r="I46" s="117">
        <f t="shared" si="4"/>
        <v>185260222</v>
      </c>
      <c r="J46" s="98">
        <v>24970461</v>
      </c>
      <c r="K46" s="98">
        <v>17224884</v>
      </c>
      <c r="L46" s="98">
        <v>17750818</v>
      </c>
      <c r="M46" s="98">
        <v>93728198</v>
      </c>
      <c r="N46" s="98">
        <v>31585861</v>
      </c>
      <c r="O46" s="117">
        <f t="shared" si="3"/>
        <v>27596392</v>
      </c>
      <c r="P46" s="98"/>
      <c r="Q46" s="98">
        <v>2387383</v>
      </c>
      <c r="R46" s="98">
        <v>5887472</v>
      </c>
      <c r="S46" s="98">
        <v>9487295</v>
      </c>
      <c r="T46" s="98">
        <v>9834242</v>
      </c>
      <c r="U46" s="143">
        <v>15700</v>
      </c>
      <c r="V46" s="559"/>
      <c r="W46" s="560"/>
      <c r="X46" s="559"/>
    </row>
    <row r="47" spans="1:24" ht="33.75" customHeight="1">
      <c r="A47" s="118">
        <v>38</v>
      </c>
      <c r="B47" s="119" t="s">
        <v>783</v>
      </c>
      <c r="C47" s="117">
        <f t="shared" si="2"/>
        <v>95846445</v>
      </c>
      <c r="D47" s="98">
        <v>95846445</v>
      </c>
      <c r="E47" s="98">
        <v>0</v>
      </c>
      <c r="F47" s="98">
        <v>0</v>
      </c>
      <c r="G47" s="98">
        <v>0</v>
      </c>
      <c r="H47" s="98">
        <v>0</v>
      </c>
      <c r="I47" s="117">
        <f t="shared" si="4"/>
        <v>0</v>
      </c>
      <c r="J47" s="98">
        <v>0</v>
      </c>
      <c r="K47" s="98">
        <v>0</v>
      </c>
      <c r="L47" s="98">
        <v>0</v>
      </c>
      <c r="M47" s="98">
        <v>0</v>
      </c>
      <c r="N47" s="98">
        <v>0</v>
      </c>
      <c r="O47" s="117">
        <f t="shared" si="3"/>
        <v>1159642</v>
      </c>
      <c r="P47" s="98">
        <v>1159642</v>
      </c>
      <c r="Q47" s="98">
        <v>0</v>
      </c>
      <c r="R47" s="98">
        <v>0</v>
      </c>
      <c r="S47" s="98">
        <v>0</v>
      </c>
      <c r="T47" s="98">
        <v>0</v>
      </c>
      <c r="U47" s="143">
        <v>15800</v>
      </c>
      <c r="V47" s="559"/>
      <c r="W47" s="560"/>
      <c r="X47" s="559"/>
    </row>
    <row r="48" spans="1:24" ht="23.25" customHeight="1">
      <c r="A48" s="118">
        <v>39</v>
      </c>
      <c r="B48" s="119" t="s">
        <v>780</v>
      </c>
      <c r="C48" s="117">
        <f t="shared" si="2"/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117">
        <f t="shared" si="4"/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117">
        <f t="shared" si="3"/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143">
        <v>15900</v>
      </c>
      <c r="V48" s="559"/>
      <c r="W48" s="560"/>
      <c r="X48" s="559"/>
    </row>
    <row r="49" spans="1:30" ht="23.25" customHeight="1">
      <c r="A49" s="118">
        <v>40</v>
      </c>
      <c r="B49" s="119" t="s">
        <v>781</v>
      </c>
      <c r="C49" s="117">
        <f t="shared" si="2"/>
        <v>234070407</v>
      </c>
      <c r="D49" s="98">
        <v>198284722</v>
      </c>
      <c r="E49" s="98">
        <v>6170167</v>
      </c>
      <c r="F49" s="98">
        <v>6408132</v>
      </c>
      <c r="G49" s="98">
        <v>26182625</v>
      </c>
      <c r="H49" s="98">
        <v>8454679</v>
      </c>
      <c r="I49" s="117">
        <f t="shared" si="4"/>
        <v>34192700</v>
      </c>
      <c r="J49" s="98">
        <v>1348167</v>
      </c>
      <c r="K49" s="98">
        <v>2297033</v>
      </c>
      <c r="L49" s="98">
        <v>4204644</v>
      </c>
      <c r="M49" s="98">
        <v>17807551</v>
      </c>
      <c r="N49" s="98">
        <v>8535305</v>
      </c>
      <c r="O49" s="117">
        <f t="shared" si="3"/>
        <v>11789070</v>
      </c>
      <c r="P49" s="98">
        <v>359152</v>
      </c>
      <c r="Q49" s="98">
        <v>468733</v>
      </c>
      <c r="R49" s="98">
        <v>1255951</v>
      </c>
      <c r="S49" s="98">
        <v>4855495</v>
      </c>
      <c r="T49" s="98">
        <v>4849739</v>
      </c>
      <c r="U49" s="143">
        <v>16300</v>
      </c>
      <c r="V49" s="559"/>
      <c r="W49" s="560"/>
      <c r="X49" s="559"/>
    </row>
    <row r="50" spans="1:30" ht="23.25" customHeight="1">
      <c r="A50" s="118">
        <v>41</v>
      </c>
      <c r="B50" s="119" t="s">
        <v>779</v>
      </c>
      <c r="C50" s="117">
        <f t="shared" si="2"/>
        <v>19789398</v>
      </c>
      <c r="D50" s="98">
        <v>16636818</v>
      </c>
      <c r="E50" s="98">
        <v>471410</v>
      </c>
      <c r="F50" s="98">
        <v>732933</v>
      </c>
      <c r="G50" s="98">
        <v>2133973</v>
      </c>
      <c r="H50" s="98">
        <v>2779865</v>
      </c>
      <c r="I50" s="117">
        <f t="shared" si="4"/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117">
        <f t="shared" si="3"/>
        <v>3069074</v>
      </c>
      <c r="P50" s="98">
        <v>103473</v>
      </c>
      <c r="Q50" s="98">
        <v>45833</v>
      </c>
      <c r="R50" s="98">
        <v>141446</v>
      </c>
      <c r="S50" s="98">
        <v>579408</v>
      </c>
      <c r="T50" s="98">
        <v>2198914</v>
      </c>
      <c r="U50" s="143">
        <v>16400</v>
      </c>
      <c r="V50" s="559"/>
      <c r="W50" s="560"/>
      <c r="X50" s="559"/>
    </row>
    <row r="51" spans="1:30" ht="23.25" customHeight="1">
      <c r="A51" s="118">
        <v>42</v>
      </c>
      <c r="B51" s="119" t="s">
        <v>272</v>
      </c>
      <c r="C51" s="117">
        <f t="shared" si="2"/>
        <v>1181906279</v>
      </c>
      <c r="D51" s="98">
        <v>1181906279</v>
      </c>
      <c r="E51" s="98">
        <v>0</v>
      </c>
      <c r="F51" s="98">
        <v>0</v>
      </c>
      <c r="G51" s="98">
        <v>0</v>
      </c>
      <c r="H51" s="98">
        <v>0</v>
      </c>
      <c r="I51" s="117">
        <f t="shared" si="4"/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117">
        <f t="shared" si="3"/>
        <v>8717829</v>
      </c>
      <c r="P51" s="98">
        <v>8717829</v>
      </c>
      <c r="Q51" s="98">
        <v>0</v>
      </c>
      <c r="R51" s="98">
        <v>0</v>
      </c>
      <c r="S51" s="98">
        <v>0</v>
      </c>
      <c r="T51" s="98">
        <v>0</v>
      </c>
      <c r="U51" s="143">
        <v>16500</v>
      </c>
      <c r="V51" s="559"/>
      <c r="W51" s="560"/>
      <c r="X51" s="559"/>
    </row>
    <row r="52" spans="1:30" ht="23.25" customHeight="1">
      <c r="A52" s="118">
        <v>43</v>
      </c>
      <c r="B52" s="119" t="s">
        <v>273</v>
      </c>
      <c r="C52" s="117">
        <f t="shared" si="2"/>
        <v>56381988</v>
      </c>
      <c r="D52" s="98">
        <v>56381988</v>
      </c>
      <c r="E52" s="98">
        <v>0</v>
      </c>
      <c r="F52" s="98">
        <v>0</v>
      </c>
      <c r="G52" s="98">
        <v>0</v>
      </c>
      <c r="H52" s="98">
        <v>0</v>
      </c>
      <c r="I52" s="117">
        <f t="shared" si="4"/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117">
        <f t="shared" si="3"/>
        <v>627950</v>
      </c>
      <c r="P52" s="98">
        <v>627950</v>
      </c>
      <c r="Q52" s="98">
        <v>0</v>
      </c>
      <c r="R52" s="98">
        <v>0</v>
      </c>
      <c r="S52" s="98">
        <v>0</v>
      </c>
      <c r="T52" s="98">
        <v>0</v>
      </c>
      <c r="U52" s="143">
        <v>16600</v>
      </c>
      <c r="V52" s="559"/>
      <c r="W52" s="560"/>
      <c r="X52" s="559"/>
    </row>
    <row r="53" spans="1:30" ht="23.25" customHeight="1">
      <c r="A53" s="118">
        <v>44</v>
      </c>
      <c r="B53" s="119" t="s">
        <v>274</v>
      </c>
      <c r="C53" s="117">
        <f t="shared" si="2"/>
        <v>149057251</v>
      </c>
      <c r="D53" s="98">
        <v>149057251</v>
      </c>
      <c r="E53" s="98">
        <v>0</v>
      </c>
      <c r="F53" s="98">
        <v>0</v>
      </c>
      <c r="G53" s="98">
        <v>0</v>
      </c>
      <c r="H53" s="98">
        <v>0</v>
      </c>
      <c r="I53" s="117">
        <f t="shared" si="4"/>
        <v>0</v>
      </c>
      <c r="J53" s="98">
        <v>0</v>
      </c>
      <c r="K53" s="98">
        <v>0</v>
      </c>
      <c r="L53" s="98">
        <v>0</v>
      </c>
      <c r="M53" s="98">
        <v>0</v>
      </c>
      <c r="N53" s="98">
        <v>0</v>
      </c>
      <c r="O53" s="117">
        <f t="shared" si="3"/>
        <v>610395</v>
      </c>
      <c r="P53" s="98">
        <v>610395</v>
      </c>
      <c r="Q53" s="98">
        <v>0</v>
      </c>
      <c r="R53" s="98">
        <v>0</v>
      </c>
      <c r="S53" s="98">
        <v>0</v>
      </c>
      <c r="T53" s="98">
        <v>0</v>
      </c>
      <c r="U53" s="178">
        <v>16700</v>
      </c>
      <c r="V53" s="559"/>
      <c r="W53" s="560"/>
      <c r="X53" s="559"/>
    </row>
    <row r="54" spans="1:30" ht="23.25" customHeight="1">
      <c r="A54" s="118">
        <v>45</v>
      </c>
      <c r="B54" s="119" t="s">
        <v>778</v>
      </c>
      <c r="C54" s="117">
        <f t="shared" ref="C54" si="6">SUM(D54:H54)-O54+P54</f>
        <v>0</v>
      </c>
      <c r="D54" s="98">
        <v>0</v>
      </c>
      <c r="E54" s="98">
        <v>0</v>
      </c>
      <c r="F54" s="98">
        <v>0</v>
      </c>
      <c r="G54" s="98">
        <v>0</v>
      </c>
      <c r="H54" s="98">
        <v>0</v>
      </c>
      <c r="I54" s="117">
        <f t="shared" ref="I54" si="7">SUM(J54:N54)</f>
        <v>0</v>
      </c>
      <c r="J54" s="98">
        <v>0</v>
      </c>
      <c r="K54" s="98">
        <v>0</v>
      </c>
      <c r="L54" s="98">
        <v>0</v>
      </c>
      <c r="M54" s="98">
        <v>0</v>
      </c>
      <c r="N54" s="98">
        <v>0</v>
      </c>
      <c r="O54" s="117">
        <f t="shared" ref="O54" si="8">SUM(P54:T54)</f>
        <v>0</v>
      </c>
      <c r="P54" s="98">
        <v>0</v>
      </c>
      <c r="Q54" s="98">
        <v>0</v>
      </c>
      <c r="R54" s="98">
        <v>0</v>
      </c>
      <c r="S54" s="98">
        <v>0</v>
      </c>
      <c r="T54" s="98">
        <v>0</v>
      </c>
      <c r="U54" s="178">
        <v>16800</v>
      </c>
      <c r="V54" s="559"/>
      <c r="W54" s="560"/>
      <c r="X54" s="559"/>
    </row>
    <row r="55" spans="1:30" ht="23.25" customHeight="1">
      <c r="A55" s="118">
        <v>46</v>
      </c>
      <c r="B55" s="119" t="s">
        <v>275</v>
      </c>
      <c r="C55" s="117">
        <f t="shared" si="2"/>
        <v>0</v>
      </c>
      <c r="D55" s="98">
        <v>0</v>
      </c>
      <c r="E55" s="98">
        <v>0</v>
      </c>
      <c r="F55" s="98">
        <v>0</v>
      </c>
      <c r="G55" s="98">
        <v>0</v>
      </c>
      <c r="H55" s="98">
        <v>0</v>
      </c>
      <c r="I55" s="117">
        <f t="shared" si="4"/>
        <v>0</v>
      </c>
      <c r="J55" s="98">
        <v>0</v>
      </c>
      <c r="K55" s="98">
        <v>0</v>
      </c>
      <c r="L55" s="98">
        <v>0</v>
      </c>
      <c r="M55" s="98">
        <v>0</v>
      </c>
      <c r="N55" s="98">
        <v>0</v>
      </c>
      <c r="O55" s="117">
        <f t="shared" si="3"/>
        <v>70004</v>
      </c>
      <c r="P55" s="98">
        <v>70004</v>
      </c>
      <c r="Q55" s="98">
        <v>0</v>
      </c>
      <c r="R55" s="98">
        <v>0</v>
      </c>
      <c r="S55" s="98">
        <v>0</v>
      </c>
      <c r="T55" s="98">
        <v>0</v>
      </c>
      <c r="U55" s="178">
        <v>16900</v>
      </c>
      <c r="V55" s="559"/>
      <c r="W55" s="560"/>
      <c r="X55" s="559"/>
    </row>
    <row r="56" spans="1:30" ht="23.25" customHeight="1">
      <c r="A56" s="118">
        <v>47</v>
      </c>
      <c r="B56" s="119" t="s">
        <v>777</v>
      </c>
      <c r="C56" s="117">
        <f t="shared" si="2"/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117">
        <f t="shared" si="4"/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117">
        <f t="shared" si="3"/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178">
        <v>17100</v>
      </c>
      <c r="V56" s="559"/>
      <c r="W56" s="560"/>
      <c r="X56" s="559"/>
    </row>
    <row r="57" spans="1:30" ht="23.25" customHeight="1">
      <c r="A57" s="118">
        <v>48</v>
      </c>
      <c r="B57" s="119" t="s">
        <v>276</v>
      </c>
      <c r="C57" s="117">
        <f t="shared" si="2"/>
        <v>3240020</v>
      </c>
      <c r="D57" s="98">
        <v>3240020</v>
      </c>
      <c r="E57" s="98">
        <v>0</v>
      </c>
      <c r="F57" s="98">
        <v>0</v>
      </c>
      <c r="G57" s="98">
        <v>0</v>
      </c>
      <c r="H57" s="98">
        <v>0</v>
      </c>
      <c r="I57" s="117">
        <f t="shared" si="4"/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117">
        <f t="shared" si="3"/>
        <v>43</v>
      </c>
      <c r="P57" s="98">
        <v>43</v>
      </c>
      <c r="Q57" s="98">
        <v>0</v>
      </c>
      <c r="R57" s="98">
        <v>0</v>
      </c>
      <c r="S57" s="98">
        <v>0</v>
      </c>
      <c r="T57" s="98">
        <v>0</v>
      </c>
      <c r="U57" s="178">
        <v>17300</v>
      </c>
      <c r="V57" s="559"/>
      <c r="W57" s="560"/>
      <c r="X57" s="559"/>
    </row>
    <row r="58" spans="1:30" ht="35.25" customHeight="1">
      <c r="A58" s="118">
        <v>49</v>
      </c>
      <c r="B58" s="119" t="s">
        <v>776</v>
      </c>
      <c r="C58" s="117">
        <f t="shared" si="2"/>
        <v>116506428</v>
      </c>
      <c r="D58" s="98">
        <v>116506428</v>
      </c>
      <c r="E58" s="98">
        <v>0</v>
      </c>
      <c r="F58" s="98">
        <v>0</v>
      </c>
      <c r="G58" s="98">
        <v>0</v>
      </c>
      <c r="H58" s="98">
        <v>0</v>
      </c>
      <c r="I58" s="117">
        <f t="shared" si="4"/>
        <v>0</v>
      </c>
      <c r="J58" s="98">
        <v>0</v>
      </c>
      <c r="K58" s="98">
        <v>0</v>
      </c>
      <c r="L58" s="98">
        <v>0</v>
      </c>
      <c r="M58" s="98">
        <v>0</v>
      </c>
      <c r="N58" s="98">
        <v>0</v>
      </c>
      <c r="O58" s="117">
        <f t="shared" si="3"/>
        <v>333153</v>
      </c>
      <c r="P58" s="98">
        <v>333153</v>
      </c>
      <c r="Q58" s="98">
        <v>0</v>
      </c>
      <c r="R58" s="98">
        <v>0</v>
      </c>
      <c r="S58" s="98">
        <v>0</v>
      </c>
      <c r="T58" s="98">
        <v>0</v>
      </c>
      <c r="U58" s="178">
        <v>17400</v>
      </c>
      <c r="V58" s="559"/>
      <c r="W58" s="560"/>
      <c r="X58" s="559"/>
      <c r="Y58" s="348"/>
      <c r="Z58" s="348"/>
      <c r="AA58" s="348"/>
      <c r="AB58" s="348"/>
      <c r="AC58" s="348"/>
      <c r="AD58" s="348"/>
    </row>
    <row r="59" spans="1:30" ht="23.25" customHeight="1">
      <c r="A59" s="118" t="s">
        <v>188</v>
      </c>
      <c r="B59" s="119" t="s">
        <v>767</v>
      </c>
      <c r="C59" s="117">
        <f>SUM(D59:H59)-O59</f>
        <v>102193771</v>
      </c>
      <c r="D59" s="98">
        <v>102193771</v>
      </c>
      <c r="E59" s="98">
        <v>0</v>
      </c>
      <c r="F59" s="98">
        <v>0</v>
      </c>
      <c r="G59" s="98">
        <v>0</v>
      </c>
      <c r="H59" s="98">
        <v>0</v>
      </c>
      <c r="I59" s="117">
        <f t="shared" si="4"/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117">
        <f t="shared" si="3"/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178">
        <v>17700</v>
      </c>
      <c r="V59" s="559"/>
      <c r="W59" s="560"/>
      <c r="X59" s="559"/>
    </row>
    <row r="60" spans="1:30" s="348" customFormat="1" ht="23.25" customHeight="1">
      <c r="A60" s="345" t="s">
        <v>192</v>
      </c>
      <c r="B60" s="119" t="s">
        <v>277</v>
      </c>
      <c r="C60" s="117">
        <f t="shared" si="2"/>
        <v>386667109</v>
      </c>
      <c r="D60" s="98">
        <v>386741499</v>
      </c>
      <c r="E60" s="98">
        <v>0</v>
      </c>
      <c r="F60" s="98">
        <v>0</v>
      </c>
      <c r="G60" s="98">
        <v>0</v>
      </c>
      <c r="H60" s="98">
        <v>0</v>
      </c>
      <c r="I60" s="117">
        <f t="shared" si="4"/>
        <v>0</v>
      </c>
      <c r="J60" s="98">
        <v>0</v>
      </c>
      <c r="K60" s="98">
        <v>0</v>
      </c>
      <c r="L60" s="98">
        <v>0</v>
      </c>
      <c r="M60" s="98">
        <v>0</v>
      </c>
      <c r="N60" s="98">
        <v>0</v>
      </c>
      <c r="O60" s="117">
        <f t="shared" si="3"/>
        <v>5186331</v>
      </c>
      <c r="P60" s="98">
        <v>5111941</v>
      </c>
      <c r="Q60" s="98">
        <v>74390</v>
      </c>
      <c r="R60" s="98">
        <v>0</v>
      </c>
      <c r="S60" s="98">
        <v>0</v>
      </c>
      <c r="T60" s="98">
        <v>0</v>
      </c>
      <c r="U60" s="178">
        <v>19900</v>
      </c>
      <c r="V60" s="559"/>
      <c r="W60" s="560"/>
      <c r="X60" s="559"/>
      <c r="Y60" s="10"/>
      <c r="Z60" s="10"/>
      <c r="AA60" s="10"/>
      <c r="AB60" s="10"/>
      <c r="AC60" s="10"/>
      <c r="AD60" s="10"/>
    </row>
    <row r="61" spans="1:30" s="348" customFormat="1" ht="15" customHeight="1">
      <c r="A61" s="345"/>
      <c r="B61" s="119"/>
      <c r="C61" s="117"/>
      <c r="D61" s="117"/>
      <c r="E61" s="118"/>
      <c r="F61" s="118"/>
      <c r="G61" s="118"/>
      <c r="H61" s="118"/>
      <c r="I61" s="117"/>
      <c r="J61" s="98"/>
      <c r="K61" s="98"/>
      <c r="L61" s="98"/>
      <c r="M61" s="98"/>
      <c r="N61" s="98"/>
      <c r="O61" s="117"/>
      <c r="P61" s="100"/>
      <c r="Q61" s="100"/>
      <c r="R61" s="100"/>
      <c r="S61" s="100"/>
      <c r="T61" s="100"/>
      <c r="U61" s="143"/>
      <c r="V61" s="346"/>
      <c r="W61" s="10"/>
      <c r="X61" s="10"/>
      <c r="Y61" s="10"/>
      <c r="Z61" s="10"/>
      <c r="AA61" s="10"/>
      <c r="AB61" s="10"/>
      <c r="AC61" s="10"/>
      <c r="AD61" s="10"/>
    </row>
    <row r="62" spans="1:30" s="10" customFormat="1" ht="23.25" customHeight="1">
      <c r="A62" s="144"/>
      <c r="B62" s="343" t="s">
        <v>278</v>
      </c>
      <c r="C62" s="145">
        <f t="shared" ref="C62:H62" si="9">SUM(C63:C65)</f>
        <v>1765758312</v>
      </c>
      <c r="D62" s="145">
        <f t="shared" si="9"/>
        <v>1762424825</v>
      </c>
      <c r="E62" s="145">
        <f t="shared" si="9"/>
        <v>1381401</v>
      </c>
      <c r="F62" s="145">
        <f t="shared" si="9"/>
        <v>509771</v>
      </c>
      <c r="G62" s="145">
        <f t="shared" si="9"/>
        <v>613853</v>
      </c>
      <c r="H62" s="145">
        <f t="shared" si="9"/>
        <v>828462</v>
      </c>
      <c r="I62" s="145">
        <f t="shared" ref="I62:I63" si="10">SUM(J62:N62)</f>
        <v>0</v>
      </c>
      <c r="J62" s="145">
        <f>SUM(J63:J65)</f>
        <v>0</v>
      </c>
      <c r="K62" s="145">
        <f t="shared" ref="K62:L62" si="11">SUM(K63:K65)</f>
        <v>0</v>
      </c>
      <c r="L62" s="145">
        <f t="shared" si="11"/>
        <v>0</v>
      </c>
      <c r="M62" s="145">
        <f t="shared" ref="M62:T62" si="12">SUM(M63:M65)</f>
        <v>0</v>
      </c>
      <c r="N62" s="145">
        <f t="shared" si="12"/>
        <v>0</v>
      </c>
      <c r="O62" s="145">
        <f t="shared" si="12"/>
        <v>0</v>
      </c>
      <c r="P62" s="145">
        <f t="shared" si="12"/>
        <v>0</v>
      </c>
      <c r="Q62" s="145">
        <f t="shared" si="12"/>
        <v>0</v>
      </c>
      <c r="R62" s="145">
        <f t="shared" si="12"/>
        <v>0</v>
      </c>
      <c r="S62" s="145">
        <f t="shared" si="12"/>
        <v>0</v>
      </c>
      <c r="T62" s="145">
        <f t="shared" si="12"/>
        <v>0</v>
      </c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ht="23.25" customHeight="1">
      <c r="A63" s="345" t="s">
        <v>2</v>
      </c>
      <c r="B63" s="119" t="s">
        <v>279</v>
      </c>
      <c r="C63" s="117">
        <f t="shared" ref="C63" si="13">SUM(D63:H63)-O63+P63</f>
        <v>714520714</v>
      </c>
      <c r="D63" s="98">
        <v>714520714</v>
      </c>
      <c r="E63" s="99">
        <v>0</v>
      </c>
      <c r="F63" s="99">
        <v>0</v>
      </c>
      <c r="G63" s="99">
        <v>0</v>
      </c>
      <c r="H63" s="99">
        <v>0</v>
      </c>
      <c r="I63" s="117">
        <f t="shared" si="10"/>
        <v>0</v>
      </c>
      <c r="J63" s="100"/>
      <c r="K63" s="100"/>
      <c r="L63" s="100"/>
      <c r="M63" s="100"/>
      <c r="N63" s="100"/>
      <c r="O63" s="117">
        <f t="shared" ref="O63" si="14">SUM(P63:T63)</f>
        <v>0</v>
      </c>
      <c r="P63" s="98"/>
      <c r="Q63" s="100"/>
      <c r="R63" s="100"/>
      <c r="S63" s="100"/>
      <c r="T63" s="100"/>
      <c r="U63" s="143" t="s">
        <v>199</v>
      </c>
    </row>
    <row r="64" spans="1:30" ht="23.25" customHeight="1">
      <c r="A64" s="345" t="s">
        <v>5</v>
      </c>
      <c r="B64" s="119" t="s">
        <v>280</v>
      </c>
      <c r="C64" s="117">
        <f>SUM(D64:H64)-O64+P64</f>
        <v>326918043</v>
      </c>
      <c r="D64" s="98">
        <v>326918043</v>
      </c>
      <c r="E64" s="99">
        <v>0</v>
      </c>
      <c r="F64" s="99">
        <v>0</v>
      </c>
      <c r="G64" s="99">
        <v>0</v>
      </c>
      <c r="H64" s="99">
        <v>0</v>
      </c>
      <c r="I64" s="117">
        <f>SUM(J64:N64)</f>
        <v>0</v>
      </c>
      <c r="J64" s="100"/>
      <c r="K64" s="100"/>
      <c r="L64" s="100"/>
      <c r="M64" s="100"/>
      <c r="N64" s="100"/>
      <c r="O64" s="117">
        <f>SUM(P64:T64)</f>
        <v>0</v>
      </c>
      <c r="P64" s="98"/>
      <c r="Q64" s="100"/>
      <c r="R64" s="100"/>
      <c r="S64" s="100"/>
      <c r="T64" s="100"/>
      <c r="U64" s="11">
        <v>90993</v>
      </c>
    </row>
    <row r="65" spans="1:33" ht="23.25" customHeight="1">
      <c r="A65" s="345" t="s">
        <v>6</v>
      </c>
      <c r="B65" s="119" t="s">
        <v>281</v>
      </c>
      <c r="C65" s="117">
        <f t="shared" ref="C65" si="15">SUM(D65:H65)-O65+P65</f>
        <v>724319555</v>
      </c>
      <c r="D65" s="98">
        <v>720986068</v>
      </c>
      <c r="E65" s="99">
        <v>1381401</v>
      </c>
      <c r="F65" s="99">
        <v>509771</v>
      </c>
      <c r="G65" s="99">
        <v>613853</v>
      </c>
      <c r="H65" s="99">
        <v>828462</v>
      </c>
      <c r="I65" s="117">
        <f>SUM(J65:N65)</f>
        <v>0</v>
      </c>
      <c r="J65" s="100"/>
      <c r="K65" s="100"/>
      <c r="L65" s="100"/>
      <c r="M65" s="100"/>
      <c r="N65" s="100"/>
      <c r="O65" s="117">
        <f>SUM(P65:T65)</f>
        <v>0</v>
      </c>
      <c r="P65" s="98"/>
      <c r="Q65" s="100"/>
      <c r="R65" s="100"/>
      <c r="S65" s="100"/>
      <c r="T65" s="100"/>
      <c r="U65" s="11">
        <v>91809</v>
      </c>
    </row>
    <row r="67" spans="1:33" s="269" customFormat="1" ht="15" customHeight="1">
      <c r="A67" s="34"/>
      <c r="B67" s="198" t="s">
        <v>788</v>
      </c>
      <c r="C67" s="34"/>
      <c r="D67" s="34"/>
      <c r="E67" s="34"/>
      <c r="F67" s="349"/>
      <c r="G67" s="349"/>
      <c r="H67" s="349"/>
      <c r="I67" s="349"/>
      <c r="J67" s="349"/>
      <c r="K67" s="349"/>
      <c r="L67" s="349"/>
      <c r="M67" s="349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 spans="1:33" s="269" customFormat="1" ht="11.25" customHeight="1">
      <c r="A68" s="34"/>
      <c r="B68" s="198"/>
      <c r="C68" s="34"/>
      <c r="D68" s="34"/>
      <c r="E68" s="34"/>
      <c r="F68" s="349"/>
      <c r="G68" s="349"/>
      <c r="H68" s="349"/>
      <c r="I68" s="349"/>
      <c r="J68" s="349"/>
      <c r="K68" s="349"/>
      <c r="L68" s="349"/>
      <c r="M68" s="349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 spans="1:33" s="269" customFormat="1" ht="15" customHeight="1">
      <c r="A69" s="34"/>
      <c r="B69" s="198" t="s">
        <v>789</v>
      </c>
      <c r="C69" s="34"/>
      <c r="D69" s="34"/>
      <c r="E69" s="34"/>
      <c r="F69" s="349"/>
      <c r="G69" s="349"/>
      <c r="H69" s="349"/>
      <c r="I69" s="349"/>
      <c r="J69" s="349"/>
      <c r="K69" s="349"/>
      <c r="L69" s="349"/>
      <c r="M69" s="349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 spans="1:33" s="269" customFormat="1" ht="15" customHeight="1">
      <c r="A70" s="34"/>
      <c r="B70" s="239"/>
      <c r="C70" s="34"/>
      <c r="D70" s="34"/>
      <c r="E70" s="34"/>
      <c r="F70" s="349"/>
      <c r="G70" s="349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34"/>
      <c r="AF70" s="34"/>
      <c r="AG70" s="34"/>
    </row>
    <row r="73" spans="1:33">
      <c r="C73" s="88">
        <f>+[8]Balance!$C$47</f>
        <v>16083550327</v>
      </c>
      <c r="D73" s="88"/>
    </row>
  </sheetData>
  <sheetProtection password="CACA" sheet="1" objects="1" scenarios="1"/>
  <mergeCells count="18">
    <mergeCell ref="K5:K7"/>
    <mergeCell ref="Q3:R3"/>
    <mergeCell ref="O6:O7"/>
    <mergeCell ref="P6:T6"/>
    <mergeCell ref="A1:R1"/>
    <mergeCell ref="S1:T1"/>
    <mergeCell ref="A4:A7"/>
    <mergeCell ref="B4:B7"/>
    <mergeCell ref="C4:C7"/>
    <mergeCell ref="D4:H6"/>
    <mergeCell ref="I4:N4"/>
    <mergeCell ref="O4:T4"/>
    <mergeCell ref="I5:I7"/>
    <mergeCell ref="J5:J7"/>
    <mergeCell ref="L5:L7"/>
    <mergeCell ref="M5:M7"/>
    <mergeCell ref="N5:N7"/>
    <mergeCell ref="O5:T5"/>
  </mergeCells>
  <conditionalFormatting sqref="C9">
    <cfRule type="cellIs" dxfId="354" priority="3" operator="notEqual">
      <formula>$C$73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U62 U66 C66 R66:T66 R62:T62 Q66 D62:H62 I49:I53 D66:H66 D61:H61 I17:I18 I15:I16 I12:I14 I19:I35" unlockedFormula="1"/>
    <ignoredError sqref="T61 R65:T65 R63:T64 Q63:Q64 Q65 O49:O53 Q62 O17:O18 O12:O16 O19:O35" formulaRange="1" unlockedFormula="1"/>
    <ignoredError sqref="O36:O48 O10:O11" formulaRange="1"/>
    <ignoredError sqref="I60 I54:I58 I61 I65:N65 I59 I66:J66 L66:P66 I62 I64:N64 J62:N62 I63:N63 K66" formula="1" unlockedFormula="1"/>
    <ignoredError sqref="R61:S61 Q61 O54:O58 P62 O59 O65 O60 O61:P61 O63:O64 O62" formula="1" formulaRange="1" unlockedFormula="1"/>
    <ignoredError sqref="C60:C61 C54:C58" formula="1"/>
    <ignoredError sqref="A10:B10 A15:B15 A11 A12 A13 A14 B17:B25 A16 B28:B32 B35:B39 B41:B45 B51:B53 B55 B57 B59:B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AD93"/>
  <sheetViews>
    <sheetView view="pageBreakPreview" zoomScale="85" zoomScaleSheetLayoutView="85" workbookViewId="0">
      <pane xSplit="2" ySplit="4" topLeftCell="C62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G27" sqref="G27"/>
    </sheetView>
  </sheetViews>
  <sheetFormatPr defaultRowHeight="15" customHeight="1"/>
  <cols>
    <col min="1" max="1" width="5.7109375" style="243" customWidth="1"/>
    <col min="2" max="2" width="80.28515625" style="34" customWidth="1"/>
    <col min="3" max="3" width="16.85546875" style="34" customWidth="1"/>
    <col min="4" max="4" width="17.7109375" style="34" customWidth="1"/>
    <col min="5" max="5" width="16.85546875" style="34" customWidth="1"/>
    <col min="6" max="6" width="7.42578125" style="34" customWidth="1"/>
    <col min="7" max="7" width="12.140625" style="568" customWidth="1"/>
    <col min="8" max="10" width="7.42578125" style="34" customWidth="1"/>
    <col min="11" max="16384" width="9.140625" style="34"/>
  </cols>
  <sheetData>
    <row r="1" spans="1:7" ht="18.75" customHeight="1">
      <c r="A1" s="695" t="s">
        <v>283</v>
      </c>
      <c r="B1" s="695"/>
      <c r="C1" s="695"/>
      <c r="D1" s="695"/>
      <c r="E1" s="202" t="s">
        <v>284</v>
      </c>
    </row>
    <row r="2" spans="1:7" ht="7.5" customHeight="1">
      <c r="A2" s="235"/>
      <c r="B2" s="562"/>
      <c r="C2" s="202"/>
      <c r="D2" s="202"/>
      <c r="E2" s="202"/>
    </row>
    <row r="3" spans="1:7" ht="15" customHeight="1">
      <c r="A3" s="236"/>
      <c r="B3" s="234" t="str">
        <f>+'Asset quality'!B3</f>
        <v>"Алоқабанк"</v>
      </c>
      <c r="D3" s="535">
        <f>+'Asset quality'!Q3</f>
        <v>44926</v>
      </c>
      <c r="E3" s="350" t="str">
        <f>+'Asset quality'!T3</f>
        <v>минг. сўмда</v>
      </c>
    </row>
    <row r="4" spans="1:7" ht="42" customHeight="1">
      <c r="A4" s="116" t="s">
        <v>62</v>
      </c>
      <c r="B4" s="116" t="s">
        <v>285</v>
      </c>
      <c r="C4" s="116" t="s">
        <v>235</v>
      </c>
      <c r="D4" s="116" t="s">
        <v>787</v>
      </c>
      <c r="E4" s="116" t="s">
        <v>287</v>
      </c>
    </row>
    <row r="5" spans="1:7" ht="15" customHeight="1">
      <c r="A5" s="351" t="s">
        <v>288</v>
      </c>
      <c r="B5" s="352" t="s">
        <v>289</v>
      </c>
      <c r="C5" s="116"/>
      <c r="D5" s="116"/>
      <c r="E5" s="116"/>
    </row>
    <row r="6" spans="1:7" ht="15" customHeight="1">
      <c r="A6" s="237" t="s">
        <v>290</v>
      </c>
      <c r="B6" s="353" t="s">
        <v>291</v>
      </c>
      <c r="C6" s="188">
        <f>+D6+E6</f>
        <v>2942603</v>
      </c>
      <c r="D6" s="187">
        <v>2942603</v>
      </c>
      <c r="E6" s="187">
        <v>0</v>
      </c>
    </row>
    <row r="7" spans="1:7" ht="15" customHeight="1">
      <c r="A7" s="237" t="s">
        <v>292</v>
      </c>
      <c r="B7" s="353" t="s">
        <v>293</v>
      </c>
      <c r="C7" s="188">
        <f t="shared" ref="C7:C14" si="0">+D7+E7</f>
        <v>35017192</v>
      </c>
      <c r="D7" s="187">
        <v>23808640</v>
      </c>
      <c r="E7" s="187">
        <v>11208552</v>
      </c>
    </row>
    <row r="8" spans="1:7" ht="25.5">
      <c r="A8" s="237" t="s">
        <v>294</v>
      </c>
      <c r="B8" s="354" t="s">
        <v>309</v>
      </c>
      <c r="C8" s="188">
        <f t="shared" si="0"/>
        <v>0</v>
      </c>
      <c r="D8" s="187">
        <v>0</v>
      </c>
      <c r="E8" s="187">
        <v>0</v>
      </c>
    </row>
    <row r="9" spans="1:7" ht="15" customHeight="1">
      <c r="A9" s="237" t="s">
        <v>295</v>
      </c>
      <c r="B9" s="354" t="s">
        <v>296</v>
      </c>
      <c r="C9" s="188">
        <f t="shared" ref="C9" si="1">+D9+E9</f>
        <v>78271877</v>
      </c>
      <c r="D9" s="187">
        <v>78271877</v>
      </c>
      <c r="E9" s="187">
        <v>0</v>
      </c>
    </row>
    <row r="10" spans="1:7" ht="15" customHeight="1">
      <c r="A10" s="355" t="s">
        <v>297</v>
      </c>
      <c r="B10" s="356" t="s">
        <v>298</v>
      </c>
      <c r="C10" s="188">
        <f t="shared" si="0"/>
        <v>0</v>
      </c>
      <c r="D10" s="187">
        <v>0</v>
      </c>
      <c r="E10" s="187">
        <v>0</v>
      </c>
    </row>
    <row r="11" spans="1:7" ht="25.5">
      <c r="A11" s="355" t="s">
        <v>299</v>
      </c>
      <c r="B11" s="356" t="s">
        <v>300</v>
      </c>
      <c r="C11" s="188">
        <f t="shared" si="0"/>
        <v>32724282</v>
      </c>
      <c r="D11" s="187">
        <v>430129</v>
      </c>
      <c r="E11" s="187">
        <v>32294153</v>
      </c>
    </row>
    <row r="12" spans="1:7" ht="15" customHeight="1">
      <c r="A12" s="355" t="s">
        <v>301</v>
      </c>
      <c r="B12" s="357" t="s">
        <v>302</v>
      </c>
      <c r="C12" s="188">
        <f t="shared" si="0"/>
        <v>1350593006</v>
      </c>
      <c r="D12" s="187">
        <v>1101699297</v>
      </c>
      <c r="E12" s="187">
        <v>248893709</v>
      </c>
    </row>
    <row r="13" spans="1:7" ht="15" customHeight="1">
      <c r="A13" s="358" t="s">
        <v>303</v>
      </c>
      <c r="B13" s="359" t="s">
        <v>304</v>
      </c>
      <c r="C13" s="188">
        <f t="shared" si="0"/>
        <v>0</v>
      </c>
      <c r="D13" s="187">
        <v>0</v>
      </c>
      <c r="E13" s="187">
        <v>0</v>
      </c>
    </row>
    <row r="14" spans="1:7" ht="15" customHeight="1">
      <c r="A14" s="358" t="s">
        <v>305</v>
      </c>
      <c r="B14" s="360" t="s">
        <v>306</v>
      </c>
      <c r="C14" s="188">
        <f t="shared" si="0"/>
        <v>0</v>
      </c>
      <c r="D14" s="187">
        <v>0</v>
      </c>
      <c r="E14" s="187">
        <v>0</v>
      </c>
    </row>
    <row r="15" spans="1:7" ht="15" customHeight="1">
      <c r="A15" s="351" t="s">
        <v>307</v>
      </c>
      <c r="B15" s="361" t="s">
        <v>308</v>
      </c>
      <c r="C15" s="121">
        <f>SUM(C6:C14)</f>
        <v>1499548960</v>
      </c>
      <c r="D15" s="121">
        <f>SUM(D6:D14)</f>
        <v>1207152546</v>
      </c>
      <c r="E15" s="121">
        <f>SUM(E6:E14)</f>
        <v>292396414</v>
      </c>
      <c r="G15" s="569">
        <f>+'Analysis of Interest'!C42</f>
        <v>1499548960</v>
      </c>
    </row>
    <row r="16" spans="1:7" ht="7.5" customHeight="1">
      <c r="A16" s="351"/>
      <c r="B16" s="352"/>
      <c r="C16" s="362"/>
      <c r="D16" s="362"/>
      <c r="E16" s="362"/>
    </row>
    <row r="17" spans="1:7" ht="15" customHeight="1">
      <c r="A17" s="351" t="s">
        <v>310</v>
      </c>
      <c r="B17" s="352" t="s">
        <v>311</v>
      </c>
      <c r="C17" s="116"/>
      <c r="D17" s="116"/>
      <c r="E17" s="116"/>
    </row>
    <row r="18" spans="1:7" ht="15" customHeight="1">
      <c r="A18" s="564" t="s">
        <v>312</v>
      </c>
      <c r="B18" s="363" t="s">
        <v>313</v>
      </c>
      <c r="C18" s="188">
        <f t="shared" ref="C18:C21" si="2">+D18+E18</f>
        <v>48765563</v>
      </c>
      <c r="D18" s="187">
        <v>48589613</v>
      </c>
      <c r="E18" s="187">
        <v>175950</v>
      </c>
    </row>
    <row r="19" spans="1:7" ht="15" customHeight="1">
      <c r="A19" s="564" t="s">
        <v>292</v>
      </c>
      <c r="B19" s="363" t="s">
        <v>314</v>
      </c>
      <c r="C19" s="188">
        <f t="shared" si="2"/>
        <v>620827484</v>
      </c>
      <c r="D19" s="187">
        <v>571233446</v>
      </c>
      <c r="E19" s="187">
        <v>49594038</v>
      </c>
    </row>
    <row r="20" spans="1:7" ht="15" customHeight="1">
      <c r="A20" s="564" t="s">
        <v>294</v>
      </c>
      <c r="B20" s="363" t="s">
        <v>315</v>
      </c>
      <c r="C20" s="188">
        <f t="shared" si="2"/>
        <v>0</v>
      </c>
      <c r="D20" s="187">
        <v>0</v>
      </c>
      <c r="E20" s="187">
        <v>0</v>
      </c>
    </row>
    <row r="21" spans="1:7" ht="15" customHeight="1">
      <c r="A21" s="564" t="s">
        <v>295</v>
      </c>
      <c r="B21" s="363" t="s">
        <v>316</v>
      </c>
      <c r="C21" s="188">
        <f t="shared" si="2"/>
        <v>205321997</v>
      </c>
      <c r="D21" s="187">
        <v>167185641</v>
      </c>
      <c r="E21" s="187">
        <v>38136356</v>
      </c>
    </row>
    <row r="22" spans="1:7" s="239" customFormat="1" ht="15" customHeight="1">
      <c r="A22" s="238" t="s">
        <v>297</v>
      </c>
      <c r="B22" s="364" t="s">
        <v>317</v>
      </c>
      <c r="C22" s="121">
        <f>SUM(C18:C21)</f>
        <v>874915044</v>
      </c>
      <c r="D22" s="121">
        <f>SUM(D18:D21)</f>
        <v>787008700</v>
      </c>
      <c r="E22" s="121">
        <f>SUM(E18:E21)</f>
        <v>87906344</v>
      </c>
      <c r="G22" s="570"/>
    </row>
    <row r="23" spans="1:7" ht="15.75" customHeight="1">
      <c r="A23" s="564" t="s">
        <v>299</v>
      </c>
      <c r="B23" s="363" t="s">
        <v>318</v>
      </c>
      <c r="C23" s="188">
        <f t="shared" ref="C23:C25" si="3">+D23+E23</f>
        <v>111568844</v>
      </c>
      <c r="D23" s="187">
        <v>34207037</v>
      </c>
      <c r="E23" s="187">
        <v>77361807</v>
      </c>
    </row>
    <row r="24" spans="1:7" ht="15.75" customHeight="1">
      <c r="A24" s="365" t="s">
        <v>301</v>
      </c>
      <c r="B24" s="366" t="s">
        <v>319</v>
      </c>
      <c r="C24" s="188">
        <f t="shared" si="3"/>
        <v>4306189</v>
      </c>
      <c r="D24" s="187">
        <v>4306189</v>
      </c>
      <c r="E24" s="187">
        <v>0</v>
      </c>
    </row>
    <row r="25" spans="1:7" ht="15.75" customHeight="1">
      <c r="A25" s="365" t="s">
        <v>303</v>
      </c>
      <c r="B25" s="366" t="s">
        <v>320</v>
      </c>
      <c r="C25" s="188">
        <f t="shared" si="3"/>
        <v>3046025</v>
      </c>
      <c r="D25" s="187">
        <v>2780978</v>
      </c>
      <c r="E25" s="187">
        <v>265047</v>
      </c>
    </row>
    <row r="26" spans="1:7" ht="15" customHeight="1">
      <c r="A26" s="367" t="s">
        <v>305</v>
      </c>
      <c r="B26" s="368" t="s">
        <v>321</v>
      </c>
      <c r="C26" s="121">
        <f>SUM(C23:C25)</f>
        <v>118921058</v>
      </c>
      <c r="D26" s="121">
        <f>SUM(D23:D25)</f>
        <v>41294204</v>
      </c>
      <c r="E26" s="121">
        <f>SUM(E23:E25)</f>
        <v>77626854</v>
      </c>
    </row>
    <row r="27" spans="1:7" ht="15" customHeight="1">
      <c r="A27" s="367" t="s">
        <v>307</v>
      </c>
      <c r="B27" s="368" t="s">
        <v>322</v>
      </c>
      <c r="C27" s="121">
        <f>C26+C22</f>
        <v>993836102</v>
      </c>
      <c r="D27" s="121">
        <f>D26+D22</f>
        <v>828302904</v>
      </c>
      <c r="E27" s="121">
        <f>E26+E22</f>
        <v>165533198</v>
      </c>
      <c r="G27" s="569">
        <f>+'Analysis of Interest'!C72</f>
        <v>993836102</v>
      </c>
    </row>
    <row r="28" spans="1:7" ht="7.5" customHeight="1">
      <c r="A28" s="564"/>
      <c r="B28" s="363"/>
      <c r="C28" s="362"/>
      <c r="D28" s="362"/>
      <c r="E28" s="362"/>
    </row>
    <row r="29" spans="1:7" s="239" customFormat="1" ht="25.5">
      <c r="A29" s="565" t="s">
        <v>92</v>
      </c>
      <c r="B29" s="369" t="s">
        <v>323</v>
      </c>
      <c r="C29" s="121">
        <f>C15-C27</f>
        <v>505712858</v>
      </c>
      <c r="D29" s="121">
        <f>D15-D27</f>
        <v>378849642</v>
      </c>
      <c r="E29" s="121">
        <f>E15-E27</f>
        <v>126863216</v>
      </c>
      <c r="G29" s="570"/>
    </row>
    <row r="30" spans="1:7" ht="15.75" customHeight="1">
      <c r="A30" s="566" t="s">
        <v>312</v>
      </c>
      <c r="B30" s="370" t="s">
        <v>324</v>
      </c>
      <c r="C30" s="188">
        <f t="shared" ref="C30:C33" si="4">+D30+E30</f>
        <v>137589226</v>
      </c>
      <c r="D30" s="187">
        <v>99910588</v>
      </c>
      <c r="E30" s="187">
        <v>37678638</v>
      </c>
    </row>
    <row r="31" spans="1:7" ht="15.75" customHeight="1">
      <c r="A31" s="365" t="s">
        <v>292</v>
      </c>
      <c r="B31" s="366" t="s">
        <v>325</v>
      </c>
      <c r="C31" s="188">
        <f t="shared" si="4"/>
        <v>0</v>
      </c>
      <c r="D31" s="187">
        <v>0</v>
      </c>
      <c r="E31" s="187">
        <v>0</v>
      </c>
    </row>
    <row r="32" spans="1:7" ht="15.75" customHeight="1">
      <c r="A32" s="365" t="s">
        <v>294</v>
      </c>
      <c r="B32" s="366" t="s">
        <v>326</v>
      </c>
      <c r="C32" s="188">
        <f t="shared" si="4"/>
        <v>0</v>
      </c>
      <c r="D32" s="187">
        <v>0</v>
      </c>
      <c r="E32" s="187">
        <v>0</v>
      </c>
    </row>
    <row r="33" spans="1:8" ht="15.75" customHeight="1">
      <c r="A33" s="365" t="s">
        <v>295</v>
      </c>
      <c r="B33" s="366" t="s">
        <v>327</v>
      </c>
      <c r="C33" s="188">
        <f t="shared" si="4"/>
        <v>14868801</v>
      </c>
      <c r="D33" s="187">
        <v>14373590</v>
      </c>
      <c r="E33" s="187">
        <v>495211</v>
      </c>
    </row>
    <row r="34" spans="1:8" ht="12.75">
      <c r="A34" s="238" t="s">
        <v>297</v>
      </c>
      <c r="B34" s="371" t="s">
        <v>328</v>
      </c>
      <c r="C34" s="121">
        <f>C29-C30-C31-C32-C33</f>
        <v>353254831</v>
      </c>
      <c r="D34" s="121">
        <f>D29-D30-D31-D32-D33</f>
        <v>264565464</v>
      </c>
      <c r="E34" s="121">
        <f>E29-E30-E31-E32-E33</f>
        <v>88689367</v>
      </c>
    </row>
    <row r="35" spans="1:8" ht="7.5" customHeight="1">
      <c r="A35" s="564"/>
      <c r="B35" s="363"/>
      <c r="C35" s="362"/>
      <c r="D35" s="362"/>
      <c r="E35" s="362"/>
    </row>
    <row r="36" spans="1:8" ht="15" customHeight="1">
      <c r="A36" s="238" t="s">
        <v>329</v>
      </c>
      <c r="B36" s="364" t="s">
        <v>330</v>
      </c>
      <c r="C36" s="116"/>
      <c r="D36" s="116"/>
      <c r="E36" s="116"/>
    </row>
    <row r="37" spans="1:8" ht="15" customHeight="1">
      <c r="A37" s="564" t="s">
        <v>312</v>
      </c>
      <c r="B37" s="620" t="s">
        <v>793</v>
      </c>
      <c r="C37" s="188">
        <f t="shared" ref="C37:C41" si="5">+D37+E37</f>
        <v>446108089</v>
      </c>
      <c r="D37" s="187">
        <v>404630749</v>
      </c>
      <c r="E37" s="187">
        <v>41477340</v>
      </c>
      <c r="H37" s="616"/>
    </row>
    <row r="38" spans="1:8" ht="15" customHeight="1">
      <c r="A38" s="564" t="s">
        <v>292</v>
      </c>
      <c r="B38" s="363" t="s">
        <v>331</v>
      </c>
      <c r="C38" s="188">
        <f t="shared" si="5"/>
        <v>171995099</v>
      </c>
      <c r="D38" s="187">
        <v>9336874</v>
      </c>
      <c r="E38" s="187">
        <v>162658225</v>
      </c>
    </row>
    <row r="39" spans="1:8" ht="15" customHeight="1">
      <c r="A39" s="564" t="s">
        <v>294</v>
      </c>
      <c r="B39" s="363" t="s">
        <v>332</v>
      </c>
      <c r="C39" s="188">
        <f t="shared" si="5"/>
        <v>0</v>
      </c>
      <c r="D39" s="187">
        <v>0</v>
      </c>
      <c r="E39" s="187">
        <v>0</v>
      </c>
    </row>
    <row r="40" spans="1:8" ht="15" customHeight="1">
      <c r="A40" s="564" t="s">
        <v>295</v>
      </c>
      <c r="B40" s="363" t="s">
        <v>333</v>
      </c>
      <c r="C40" s="188">
        <f t="shared" si="5"/>
        <v>991923</v>
      </c>
      <c r="D40" s="187">
        <v>991923</v>
      </c>
      <c r="E40" s="187">
        <v>0</v>
      </c>
    </row>
    <row r="41" spans="1:8" ht="15" customHeight="1">
      <c r="A41" s="564" t="s">
        <v>297</v>
      </c>
      <c r="B41" s="363" t="s">
        <v>334</v>
      </c>
      <c r="C41" s="188">
        <f t="shared" si="5"/>
        <v>217039358</v>
      </c>
      <c r="D41" s="187">
        <v>198451661</v>
      </c>
      <c r="E41" s="187">
        <v>18587697</v>
      </c>
    </row>
    <row r="42" spans="1:8" ht="15" customHeight="1">
      <c r="A42" s="564"/>
      <c r="B42" s="372" t="s">
        <v>335</v>
      </c>
      <c r="C42" s="188"/>
      <c r="D42" s="187"/>
      <c r="E42" s="187"/>
    </row>
    <row r="43" spans="1:8" ht="15" customHeight="1">
      <c r="A43" s="564" t="s">
        <v>336</v>
      </c>
      <c r="B43" s="363" t="s">
        <v>337</v>
      </c>
      <c r="C43" s="188">
        <f>+D43+E43</f>
        <v>-60626184</v>
      </c>
      <c r="D43" s="187">
        <v>-22651092</v>
      </c>
      <c r="E43" s="187">
        <v>-37975092</v>
      </c>
    </row>
    <row r="44" spans="1:8" ht="15" customHeight="1">
      <c r="A44" s="564" t="s">
        <v>338</v>
      </c>
      <c r="B44" s="363" t="s">
        <v>339</v>
      </c>
      <c r="C44" s="188">
        <f>+D44+E44</f>
        <v>60626187</v>
      </c>
      <c r="D44" s="187">
        <v>22651095</v>
      </c>
      <c r="E44" s="187">
        <v>37975092</v>
      </c>
    </row>
    <row r="45" spans="1:8" ht="15" customHeight="1">
      <c r="A45" s="238" t="s">
        <v>299</v>
      </c>
      <c r="B45" s="364" t="s">
        <v>340</v>
      </c>
      <c r="C45" s="121">
        <f>SUM(C37:C41)</f>
        <v>836134469</v>
      </c>
      <c r="D45" s="121">
        <f>SUM(D37:D41)</f>
        <v>613411207</v>
      </c>
      <c r="E45" s="121">
        <f>SUM(E37:E41)</f>
        <v>222723262</v>
      </c>
    </row>
    <row r="46" spans="1:8" ht="7.5" customHeight="1">
      <c r="A46" s="564"/>
      <c r="B46" s="363"/>
      <c r="C46" s="362"/>
      <c r="D46" s="362"/>
      <c r="E46" s="362"/>
    </row>
    <row r="47" spans="1:8" ht="15" customHeight="1">
      <c r="A47" s="238" t="s">
        <v>341</v>
      </c>
      <c r="B47" s="364" t="s">
        <v>342</v>
      </c>
      <c r="C47" s="116"/>
      <c r="D47" s="116"/>
      <c r="E47" s="116"/>
    </row>
    <row r="48" spans="1:8" ht="15" customHeight="1">
      <c r="A48" s="564" t="s">
        <v>312</v>
      </c>
      <c r="B48" s="620" t="s">
        <v>794</v>
      </c>
      <c r="C48" s="188">
        <f t="shared" ref="C48:C52" si="6">+D48+E48</f>
        <v>293093102</v>
      </c>
      <c r="D48" s="187">
        <v>278905900</v>
      </c>
      <c r="E48" s="187">
        <v>14187202</v>
      </c>
    </row>
    <row r="49" spans="1:5" ht="15" customHeight="1">
      <c r="A49" s="564" t="s">
        <v>292</v>
      </c>
      <c r="B49" s="363" t="s">
        <v>343</v>
      </c>
      <c r="C49" s="188">
        <f t="shared" si="6"/>
        <v>103862191</v>
      </c>
      <c r="D49" s="187">
        <v>4020106</v>
      </c>
      <c r="E49" s="187">
        <v>99842085</v>
      </c>
    </row>
    <row r="50" spans="1:5" ht="15" customHeight="1">
      <c r="A50" s="564" t="s">
        <v>294</v>
      </c>
      <c r="B50" s="363" t="s">
        <v>344</v>
      </c>
      <c r="C50" s="188">
        <f t="shared" si="6"/>
        <v>17463</v>
      </c>
      <c r="D50" s="187">
        <v>17463</v>
      </c>
      <c r="E50" s="187">
        <v>0</v>
      </c>
    </row>
    <row r="51" spans="1:5" ht="15" customHeight="1">
      <c r="A51" s="564" t="s">
        <v>295</v>
      </c>
      <c r="B51" s="363" t="s">
        <v>345</v>
      </c>
      <c r="C51" s="188">
        <f t="shared" si="6"/>
        <v>0</v>
      </c>
      <c r="D51" s="187">
        <v>0</v>
      </c>
      <c r="E51" s="187">
        <v>0</v>
      </c>
    </row>
    <row r="52" spans="1:5" ht="15" customHeight="1">
      <c r="A52" s="564" t="s">
        <v>297</v>
      </c>
      <c r="B52" s="363" t="s">
        <v>346</v>
      </c>
      <c r="C52" s="188">
        <f t="shared" si="6"/>
        <v>2043060</v>
      </c>
      <c r="D52" s="187">
        <v>2043006</v>
      </c>
      <c r="E52" s="187">
        <v>54</v>
      </c>
    </row>
    <row r="53" spans="1:5" ht="15" customHeight="1">
      <c r="A53" s="238" t="s">
        <v>299</v>
      </c>
      <c r="B53" s="364" t="s">
        <v>347</v>
      </c>
      <c r="C53" s="121">
        <f>SUM(C48:C52)</f>
        <v>399015816</v>
      </c>
      <c r="D53" s="121">
        <f>SUM(D48:D52)</f>
        <v>284986475</v>
      </c>
      <c r="E53" s="121">
        <f>SUM(E48:E52)</f>
        <v>114029341</v>
      </c>
    </row>
    <row r="54" spans="1:5" ht="7.5" customHeight="1">
      <c r="A54" s="238"/>
      <c r="B54" s="364"/>
      <c r="C54" s="373"/>
      <c r="D54" s="373"/>
      <c r="E54" s="373"/>
    </row>
    <row r="55" spans="1:5" ht="15" customHeight="1">
      <c r="A55" s="238" t="s">
        <v>348</v>
      </c>
      <c r="B55" s="364" t="s">
        <v>349</v>
      </c>
      <c r="C55" s="121">
        <f>C34+C45-C53</f>
        <v>790373484</v>
      </c>
      <c r="D55" s="121">
        <f>D34+D45-D53</f>
        <v>592990196</v>
      </c>
      <c r="E55" s="121">
        <f>E34+E45-E53</f>
        <v>197383288</v>
      </c>
    </row>
    <row r="56" spans="1:5" ht="7.5" customHeight="1">
      <c r="A56" s="238"/>
      <c r="B56" s="364"/>
      <c r="C56" s="374"/>
      <c r="D56" s="374"/>
      <c r="E56" s="374"/>
    </row>
    <row r="57" spans="1:5" ht="15" customHeight="1">
      <c r="A57" s="238" t="s">
        <v>350</v>
      </c>
      <c r="B57" s="364" t="s">
        <v>351</v>
      </c>
      <c r="C57" s="116"/>
      <c r="D57" s="116"/>
      <c r="E57" s="116"/>
    </row>
    <row r="58" spans="1:5" ht="15" customHeight="1">
      <c r="A58" s="564" t="s">
        <v>312</v>
      </c>
      <c r="B58" s="363" t="s">
        <v>352</v>
      </c>
      <c r="C58" s="187">
        <v>309002064</v>
      </c>
      <c r="D58" s="187">
        <v>309002064</v>
      </c>
      <c r="E58" s="240"/>
    </row>
    <row r="59" spans="1:5" ht="15" customHeight="1">
      <c r="A59" s="375" t="s">
        <v>353</v>
      </c>
      <c r="B59" s="363" t="s">
        <v>354</v>
      </c>
      <c r="C59" s="187">
        <v>19014934</v>
      </c>
      <c r="D59" s="187">
        <v>19014934</v>
      </c>
      <c r="E59" s="240"/>
    </row>
    <row r="60" spans="1:5" ht="15" customHeight="1">
      <c r="A60" s="564" t="s">
        <v>292</v>
      </c>
      <c r="B60" s="363" t="s">
        <v>355</v>
      </c>
      <c r="C60" s="187">
        <v>33966126</v>
      </c>
      <c r="D60" s="187">
        <v>33966126</v>
      </c>
      <c r="E60" s="240"/>
    </row>
    <row r="61" spans="1:5" ht="15" customHeight="1">
      <c r="A61" s="564" t="s">
        <v>294</v>
      </c>
      <c r="B61" s="363" t="s">
        <v>356</v>
      </c>
      <c r="C61" s="187">
        <v>5029490</v>
      </c>
      <c r="D61" s="187">
        <v>5029490</v>
      </c>
      <c r="E61" s="240"/>
    </row>
    <row r="62" spans="1:5" ht="15" customHeight="1">
      <c r="A62" s="564" t="s">
        <v>295</v>
      </c>
      <c r="B62" s="363" t="s">
        <v>357</v>
      </c>
      <c r="C62" s="187">
        <v>24954796</v>
      </c>
      <c r="D62" s="187">
        <v>24954796</v>
      </c>
      <c r="E62" s="240"/>
    </row>
    <row r="63" spans="1:5" ht="15" customHeight="1">
      <c r="A63" s="564" t="s">
        <v>297</v>
      </c>
      <c r="B63" s="363" t="s">
        <v>358</v>
      </c>
      <c r="C63" s="187">
        <v>51581734</v>
      </c>
      <c r="D63" s="187">
        <v>51581734</v>
      </c>
      <c r="E63" s="240"/>
    </row>
    <row r="64" spans="1:5" ht="15" customHeight="1">
      <c r="A64" s="564" t="s">
        <v>299</v>
      </c>
      <c r="B64" s="363" t="s">
        <v>359</v>
      </c>
      <c r="C64" s="187">
        <v>34862349</v>
      </c>
      <c r="D64" s="187">
        <v>34862349</v>
      </c>
      <c r="E64" s="240"/>
    </row>
    <row r="65" spans="1:30" ht="15" customHeight="1">
      <c r="A65" s="564" t="s">
        <v>301</v>
      </c>
      <c r="B65" s="363" t="s">
        <v>360</v>
      </c>
      <c r="C65" s="187">
        <v>780394</v>
      </c>
      <c r="D65" s="187">
        <v>780394</v>
      </c>
      <c r="E65" s="240"/>
    </row>
    <row r="66" spans="1:30" ht="15" customHeight="1">
      <c r="A66" s="564" t="s">
        <v>303</v>
      </c>
      <c r="B66" s="363" t="s">
        <v>361</v>
      </c>
      <c r="C66" s="187">
        <v>14577068</v>
      </c>
      <c r="D66" s="187">
        <v>14577068</v>
      </c>
      <c r="E66" s="240"/>
    </row>
    <row r="67" spans="1:30" ht="15" customHeight="1">
      <c r="A67" s="564" t="s">
        <v>305</v>
      </c>
      <c r="B67" s="363" t="s">
        <v>362</v>
      </c>
      <c r="C67" s="187">
        <v>347551</v>
      </c>
      <c r="D67" s="187">
        <v>347551</v>
      </c>
      <c r="E67" s="240"/>
    </row>
    <row r="68" spans="1:30" ht="15" customHeight="1">
      <c r="A68" s="564" t="s">
        <v>307</v>
      </c>
      <c r="B68" s="363" t="s">
        <v>363</v>
      </c>
      <c r="C68" s="187">
        <v>13432936</v>
      </c>
      <c r="D68" s="187">
        <v>13432936</v>
      </c>
      <c r="E68" s="240"/>
    </row>
    <row r="69" spans="1:30" ht="15" customHeight="1">
      <c r="A69" s="351" t="s">
        <v>364</v>
      </c>
      <c r="B69" s="352" t="s">
        <v>365</v>
      </c>
      <c r="C69" s="121">
        <f>SUM(C58:C68)-C59</f>
        <v>488534508</v>
      </c>
      <c r="D69" s="121">
        <f>SUM(D58:D68)-D59</f>
        <v>488534508</v>
      </c>
      <c r="E69" s="240"/>
      <c r="G69" s="571"/>
    </row>
    <row r="70" spans="1:30" ht="7.5" customHeight="1">
      <c r="A70" s="237" t="s">
        <v>9</v>
      </c>
      <c r="B70" s="353" t="s">
        <v>9</v>
      </c>
      <c r="C70" s="362"/>
      <c r="D70" s="362"/>
      <c r="E70" s="362"/>
    </row>
    <row r="71" spans="1:30" ht="15" customHeight="1">
      <c r="A71" s="351" t="s">
        <v>366</v>
      </c>
      <c r="B71" s="352" t="s">
        <v>367</v>
      </c>
      <c r="C71" s="121">
        <f>C55-C69</f>
        <v>301838976</v>
      </c>
      <c r="D71" s="121">
        <f>D55-D69</f>
        <v>104455688</v>
      </c>
      <c r="E71" s="121">
        <f>+E55-(C69-D69)</f>
        <v>197383288</v>
      </c>
      <c r="G71" s="571"/>
    </row>
    <row r="72" spans="1:30" ht="15" customHeight="1">
      <c r="A72" s="237" t="s">
        <v>312</v>
      </c>
      <c r="B72" s="353" t="s">
        <v>368</v>
      </c>
      <c r="C72" s="188">
        <f>+D72+E72</f>
        <v>73444538</v>
      </c>
      <c r="D72" s="187">
        <v>73444538</v>
      </c>
      <c r="E72" s="187"/>
    </row>
    <row r="73" spans="1:30" ht="7.5" customHeight="1">
      <c r="A73" s="237"/>
      <c r="B73" s="353"/>
      <c r="C73" s="373"/>
      <c r="D73" s="373"/>
      <c r="E73" s="373"/>
    </row>
    <row r="74" spans="1:30" ht="15" customHeight="1">
      <c r="A74" s="351" t="s">
        <v>369</v>
      </c>
      <c r="B74" s="352" t="s">
        <v>370</v>
      </c>
      <c r="C74" s="121">
        <f>C71-C72</f>
        <v>228394438</v>
      </c>
      <c r="D74" s="121">
        <f>D71-D72</f>
        <v>31011150</v>
      </c>
      <c r="E74" s="121">
        <f>E71-E72</f>
        <v>197383288</v>
      </c>
      <c r="G74" s="571"/>
    </row>
    <row r="75" spans="1:30" ht="15" customHeight="1">
      <c r="A75" s="237" t="s">
        <v>312</v>
      </c>
      <c r="B75" s="353" t="s">
        <v>371</v>
      </c>
      <c r="C75" s="188">
        <f t="shared" ref="C75:C76" si="7">+D75+E75</f>
        <v>0</v>
      </c>
      <c r="D75" s="187">
        <v>0</v>
      </c>
      <c r="E75" s="187">
        <v>0</v>
      </c>
    </row>
    <row r="76" spans="1:30" ht="15" customHeight="1">
      <c r="A76" s="237" t="s">
        <v>292</v>
      </c>
      <c r="B76" s="353" t="s">
        <v>372</v>
      </c>
      <c r="C76" s="188">
        <f t="shared" si="7"/>
        <v>0</v>
      </c>
      <c r="D76" s="187">
        <v>0</v>
      </c>
      <c r="E76" s="187">
        <v>0</v>
      </c>
    </row>
    <row r="77" spans="1:30" ht="7.5" customHeight="1">
      <c r="A77" s="351"/>
      <c r="B77" s="352"/>
      <c r="C77" s="362"/>
      <c r="D77" s="362"/>
      <c r="E77" s="362"/>
    </row>
    <row r="78" spans="1:30" ht="15" customHeight="1">
      <c r="A78" s="351" t="s">
        <v>373</v>
      </c>
      <c r="B78" s="352" t="s">
        <v>374</v>
      </c>
      <c r="C78" s="121">
        <f>C74+C75+C76</f>
        <v>228394438</v>
      </c>
      <c r="D78" s="121">
        <f>D74+D75+D76</f>
        <v>31011150</v>
      </c>
      <c r="E78" s="121">
        <f>E74+E75+E76</f>
        <v>197383288</v>
      </c>
      <c r="G78" s="571"/>
    </row>
    <row r="79" spans="1:30" ht="15" customHeight="1">
      <c r="A79" s="34"/>
    </row>
    <row r="80" spans="1:30" s="269" customFormat="1" ht="19.5" customHeight="1">
      <c r="A80" s="34"/>
      <c r="B80" s="239" t="s">
        <v>788</v>
      </c>
      <c r="C80" s="34"/>
      <c r="D80" s="34"/>
      <c r="E80" s="34"/>
      <c r="F80" s="349"/>
      <c r="G80" s="349"/>
      <c r="H80" s="349"/>
      <c r="I80" s="349"/>
      <c r="J80" s="349"/>
      <c r="K80" s="349"/>
      <c r="L80" s="349"/>
      <c r="M80" s="349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</row>
    <row r="81" spans="1:30" s="269" customFormat="1" ht="12.75" customHeight="1">
      <c r="A81" s="34"/>
      <c r="B81" s="239"/>
      <c r="C81" s="34"/>
      <c r="D81" s="34"/>
      <c r="E81" s="34"/>
      <c r="F81" s="349"/>
      <c r="G81" s="349"/>
      <c r="H81" s="349"/>
      <c r="I81" s="349"/>
      <c r="J81" s="349"/>
      <c r="K81" s="349"/>
      <c r="L81" s="349"/>
      <c r="M81" s="349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</row>
    <row r="82" spans="1:30" s="269" customFormat="1" ht="19.5" customHeight="1">
      <c r="A82" s="34"/>
      <c r="B82" s="239" t="s">
        <v>789</v>
      </c>
      <c r="C82" s="34"/>
      <c r="D82" s="34"/>
      <c r="E82" s="34"/>
      <c r="F82" s="349"/>
      <c r="G82" s="349"/>
      <c r="H82" s="349"/>
      <c r="I82" s="349"/>
      <c r="J82" s="349"/>
      <c r="K82" s="349"/>
      <c r="L82" s="349"/>
      <c r="M82" s="349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</row>
    <row r="83" spans="1:30" ht="15" customHeight="1">
      <c r="A83" s="34"/>
    </row>
    <row r="84" spans="1:30" ht="15" customHeight="1">
      <c r="A84" s="34"/>
    </row>
    <row r="85" spans="1:30" ht="15" customHeight="1">
      <c r="A85" s="34"/>
    </row>
    <row r="86" spans="1:30" ht="15" customHeight="1">
      <c r="A86" s="34"/>
    </row>
    <row r="87" spans="1:30" ht="15" customHeight="1">
      <c r="A87" s="34"/>
    </row>
    <row r="88" spans="1:30" ht="15" customHeight="1">
      <c r="A88" s="241"/>
    </row>
    <row r="89" spans="1:30" ht="15" customHeight="1">
      <c r="A89" s="241"/>
    </row>
    <row r="93" spans="1:30" ht="15" customHeight="1">
      <c r="A93" s="242"/>
    </row>
  </sheetData>
  <sheetProtection password="CACA" sheet="1" objects="1" scenarios="1"/>
  <mergeCells count="1">
    <mergeCell ref="A1:D1"/>
  </mergeCells>
  <phoneticPr fontId="15" type="noConversion"/>
  <conditionalFormatting sqref="G15">
    <cfRule type="cellIs" dxfId="353" priority="42" operator="notEqual">
      <formula>$G$15</formula>
    </cfRule>
  </conditionalFormatting>
  <conditionalFormatting sqref="C15">
    <cfRule type="cellIs" dxfId="352" priority="2" operator="notEqual">
      <formula>$G$15</formula>
    </cfRule>
  </conditionalFormatting>
  <conditionalFormatting sqref="C27">
    <cfRule type="cellIs" dxfId="351" priority="1" operator="notEqual">
      <formula>$G$27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5:F76 F17 F47 F58:F68 C58:D68 C30:F33 F29 C23:F25 C72:F72 C48:F52 C18:F21 C37:F44 C6:E14 F5:F14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7:F27" xr:uid="{00000000-0002-0000-0100-000001000000}"/>
    <dataValidation allowBlank="1" showInputMessage="1" showErrorMessage="1" prompt="Значение должно равняться итого процентных доходов (см.следующий лист)" sqref="C15:F15" xr:uid="{00000000-0002-0000-0100-000002000000}"/>
    <dataValidation type="whole" operator="greaterThanOrEqual" allowBlank="1" showInputMessage="1" showErrorMessage="1" sqref="E58:E68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9" orientation="portrait" r:id="rId1"/>
  <headerFooter alignWithMargins="0"/>
  <ignoredErrors>
    <ignoredError sqref="C6:C8 C86:C92 C10:C21" unlockedFormula="1"/>
    <ignoredError sqref="C22:C34 C54:C57 C69:C71 C73:C79 C45:C52 C37:C41 C83:C85" formula="1" unlockedFormula="1"/>
    <ignoredError sqref="C35:C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AD98"/>
  <sheetViews>
    <sheetView view="pageBreakPreview" zoomScale="115" zoomScaleSheetLayoutView="115" workbookViewId="0">
      <pane xSplit="2" ySplit="4" topLeftCell="C35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C9" sqref="C9"/>
    </sheetView>
  </sheetViews>
  <sheetFormatPr defaultRowHeight="12.75"/>
  <cols>
    <col min="1" max="1" width="7.140625" style="530" customWidth="1"/>
    <col min="2" max="2" width="82.140625" style="273" customWidth="1"/>
    <col min="3" max="3" width="19" style="273" customWidth="1"/>
    <col min="4" max="10" width="6.42578125" style="273" customWidth="1"/>
    <col min="11" max="16384" width="9.140625" style="273"/>
  </cols>
  <sheetData>
    <row r="1" spans="1:20" s="16" customFormat="1" ht="21" customHeight="1">
      <c r="A1" s="4"/>
      <c r="B1" s="383" t="s">
        <v>376</v>
      </c>
      <c r="C1" s="17" t="s">
        <v>375</v>
      </c>
      <c r="D1" s="384"/>
      <c r="E1" s="384"/>
      <c r="F1" s="384"/>
      <c r="G1" s="384"/>
      <c r="H1" s="384"/>
    </row>
    <row r="2" spans="1:20" ht="9" customHeight="1">
      <c r="A2" s="4"/>
      <c r="B2" s="3"/>
      <c r="C2" s="17"/>
      <c r="D2" s="385"/>
      <c r="E2" s="385"/>
      <c r="F2" s="385"/>
      <c r="G2" s="385"/>
      <c r="H2" s="385"/>
    </row>
    <row r="3" spans="1:20" ht="15">
      <c r="A3" s="522"/>
      <c r="B3" s="92" t="str">
        <f>+'Asset quality'!B3</f>
        <v>"Алоқабанк"</v>
      </c>
      <c r="C3" s="325">
        <f>+'Asset quality'!Q3</f>
        <v>44926</v>
      </c>
      <c r="D3" s="385"/>
      <c r="E3" s="385"/>
      <c r="F3" s="385"/>
      <c r="G3" s="385"/>
      <c r="H3" s="385"/>
    </row>
    <row r="4" spans="1:20" ht="24" customHeight="1">
      <c r="A4" s="116" t="s">
        <v>62</v>
      </c>
      <c r="B4" s="116" t="s">
        <v>285</v>
      </c>
      <c r="C4" s="116" t="str">
        <f>+'Asset quality'!T3</f>
        <v>минг. сўмда</v>
      </c>
      <c r="D4" s="385"/>
      <c r="E4" s="385"/>
      <c r="F4" s="385"/>
      <c r="G4" s="385"/>
      <c r="H4" s="385"/>
    </row>
    <row r="5" spans="1:20">
      <c r="A5" s="523" t="s">
        <v>288</v>
      </c>
      <c r="B5" s="386" t="s">
        <v>377</v>
      </c>
      <c r="C5" s="116"/>
      <c r="D5" s="385"/>
      <c r="E5" s="385"/>
      <c r="F5" s="385"/>
      <c r="G5" s="385"/>
      <c r="H5" s="385"/>
    </row>
    <row r="6" spans="1:20">
      <c r="A6" s="524" t="s">
        <v>290</v>
      </c>
      <c r="B6" s="672" t="s">
        <v>251</v>
      </c>
      <c r="C6" s="387">
        <v>0</v>
      </c>
      <c r="D6" s="385"/>
      <c r="E6" s="385"/>
      <c r="F6" s="385"/>
      <c r="G6" s="385"/>
      <c r="H6" s="385"/>
    </row>
    <row r="7" spans="1:20">
      <c r="A7" s="524" t="s">
        <v>292</v>
      </c>
      <c r="B7" s="672" t="s">
        <v>804</v>
      </c>
      <c r="C7" s="387">
        <v>4902574</v>
      </c>
      <c r="D7" s="385"/>
      <c r="E7" s="385"/>
      <c r="F7" s="385"/>
      <c r="G7" s="385"/>
      <c r="H7" s="385"/>
    </row>
    <row r="8" spans="1:20">
      <c r="A8" s="525" t="s">
        <v>294</v>
      </c>
      <c r="B8" s="672" t="s">
        <v>805</v>
      </c>
      <c r="C8" s="387">
        <v>0</v>
      </c>
      <c r="D8" s="385"/>
      <c r="E8" s="385"/>
      <c r="F8" s="385"/>
      <c r="G8" s="385"/>
      <c r="H8" s="385"/>
    </row>
    <row r="9" spans="1:20">
      <c r="A9" s="525" t="s">
        <v>295</v>
      </c>
      <c r="B9" s="672" t="s">
        <v>806</v>
      </c>
      <c r="C9" s="387">
        <v>402413805</v>
      </c>
      <c r="D9" s="385"/>
      <c r="E9" s="385"/>
      <c r="F9" s="385"/>
      <c r="G9" s="385"/>
      <c r="H9" s="385"/>
    </row>
    <row r="10" spans="1:20">
      <c r="A10" s="526" t="s">
        <v>297</v>
      </c>
      <c r="B10" s="673" t="s">
        <v>807</v>
      </c>
      <c r="C10" s="387">
        <v>128206755</v>
      </c>
      <c r="D10" s="385"/>
      <c r="E10" s="385"/>
      <c r="F10" s="385"/>
      <c r="G10" s="385"/>
      <c r="H10" s="385"/>
    </row>
    <row r="11" spans="1:20">
      <c r="A11" s="526" t="s">
        <v>299</v>
      </c>
      <c r="B11" s="673" t="s">
        <v>808</v>
      </c>
      <c r="C11" s="387">
        <v>31676973</v>
      </c>
      <c r="D11" s="385"/>
      <c r="E11" s="385"/>
      <c r="F11" s="385"/>
      <c r="G11" s="385"/>
      <c r="H11" s="385"/>
    </row>
    <row r="12" spans="1:20" ht="15.75" customHeight="1">
      <c r="A12" s="525" t="s">
        <v>301</v>
      </c>
      <c r="B12" s="673" t="s">
        <v>809</v>
      </c>
      <c r="C12" s="387">
        <v>745299035</v>
      </c>
      <c r="D12" s="385"/>
      <c r="E12" s="385"/>
      <c r="F12" s="385"/>
      <c r="G12" s="385"/>
      <c r="H12" s="385"/>
    </row>
    <row r="13" spans="1:20">
      <c r="A13" s="525" t="s">
        <v>303</v>
      </c>
      <c r="B13" s="672" t="s">
        <v>810</v>
      </c>
      <c r="C13" s="387">
        <v>38093864</v>
      </c>
      <c r="D13" s="385"/>
      <c r="E13" s="385"/>
      <c r="F13" s="385"/>
      <c r="G13" s="385"/>
      <c r="H13" s="385"/>
    </row>
    <row r="14" spans="1:20">
      <c r="A14" s="527" t="s">
        <v>305</v>
      </c>
      <c r="B14" s="390" t="s">
        <v>378</v>
      </c>
      <c r="C14" s="582">
        <f>SUM(C6:C13)</f>
        <v>1350593006</v>
      </c>
      <c r="D14" s="385"/>
      <c r="E14" s="385"/>
      <c r="F14" s="385"/>
      <c r="G14" s="385"/>
      <c r="H14" s="385"/>
    </row>
    <row r="15" spans="1:20" s="394" customFormat="1" ht="7.5" customHeight="1">
      <c r="A15" s="9"/>
      <c r="B15" s="391"/>
      <c r="C15" s="392"/>
      <c r="D15" s="393"/>
      <c r="E15" s="393"/>
      <c r="F15" s="393"/>
      <c r="G15" s="393"/>
      <c r="H15" s="393"/>
      <c r="I15" s="393"/>
      <c r="J15" s="393"/>
      <c r="K15" s="393"/>
      <c r="L15" s="393"/>
      <c r="M15" s="393"/>
      <c r="N15" s="393"/>
      <c r="O15" s="393"/>
      <c r="P15" s="393"/>
      <c r="Q15" s="393"/>
      <c r="R15" s="393"/>
      <c r="S15" s="393"/>
      <c r="T15" s="393"/>
    </row>
    <row r="16" spans="1:20">
      <c r="A16" s="527" t="s">
        <v>310</v>
      </c>
      <c r="B16" s="390" t="s">
        <v>379</v>
      </c>
      <c r="C16" s="116"/>
      <c r="D16" s="385"/>
      <c r="E16" s="385"/>
      <c r="F16" s="385"/>
      <c r="G16" s="385"/>
      <c r="H16" s="385"/>
    </row>
    <row r="17" spans="1:20">
      <c r="A17" s="528" t="s">
        <v>290</v>
      </c>
      <c r="B17" s="395" t="s">
        <v>291</v>
      </c>
      <c r="C17" s="387">
        <v>2942603</v>
      </c>
      <c r="D17" s="385"/>
      <c r="E17" s="385"/>
      <c r="F17" s="385"/>
      <c r="G17" s="385"/>
      <c r="H17" s="385"/>
    </row>
    <row r="18" spans="1:20">
      <c r="A18" s="528" t="s">
        <v>292</v>
      </c>
      <c r="B18" s="395" t="s">
        <v>293</v>
      </c>
      <c r="C18" s="387">
        <v>35017192</v>
      </c>
      <c r="D18" s="385"/>
      <c r="E18" s="385"/>
      <c r="F18" s="385"/>
      <c r="G18" s="385"/>
      <c r="H18" s="385"/>
    </row>
    <row r="19" spans="1:20">
      <c r="A19" s="527"/>
      <c r="B19" s="390" t="s">
        <v>380</v>
      </c>
      <c r="C19" s="582">
        <f>SUM(C17:C18)</f>
        <v>37959795</v>
      </c>
      <c r="D19" s="385"/>
      <c r="E19" s="385"/>
      <c r="F19" s="385"/>
      <c r="G19" s="385"/>
      <c r="H19" s="385"/>
    </row>
    <row r="20" spans="1:20" s="394" customFormat="1" ht="7.5" customHeight="1">
      <c r="A20" s="9"/>
      <c r="B20" s="391"/>
      <c r="C20" s="392"/>
      <c r="D20" s="393"/>
      <c r="E20" s="393"/>
      <c r="F20" s="393"/>
      <c r="G20" s="393"/>
      <c r="H20" s="393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</row>
    <row r="21" spans="1:20" ht="25.5">
      <c r="A21" s="529" t="s">
        <v>92</v>
      </c>
      <c r="B21" s="396" t="s">
        <v>381</v>
      </c>
      <c r="C21" s="116"/>
      <c r="D21" s="385"/>
      <c r="E21" s="385"/>
      <c r="F21" s="385"/>
      <c r="G21" s="385"/>
      <c r="H21" s="385"/>
    </row>
    <row r="22" spans="1:20">
      <c r="A22" s="526" t="s">
        <v>290</v>
      </c>
      <c r="B22" s="395" t="s">
        <v>382</v>
      </c>
      <c r="C22" s="387">
        <v>20969737</v>
      </c>
      <c r="D22" s="385"/>
      <c r="E22" s="385"/>
      <c r="F22" s="385"/>
      <c r="G22" s="385"/>
      <c r="H22" s="385"/>
    </row>
    <row r="23" spans="1:20">
      <c r="A23" s="525" t="s">
        <v>292</v>
      </c>
      <c r="B23" s="395" t="s">
        <v>383</v>
      </c>
      <c r="C23" s="387">
        <v>57302140</v>
      </c>
      <c r="D23" s="385"/>
      <c r="E23" s="385"/>
      <c r="F23" s="385"/>
      <c r="G23" s="385"/>
      <c r="H23" s="385"/>
    </row>
    <row r="24" spans="1:20">
      <c r="A24" s="525" t="s">
        <v>294</v>
      </c>
      <c r="B24" s="395" t="s">
        <v>384</v>
      </c>
      <c r="C24" s="387">
        <v>0</v>
      </c>
      <c r="D24" s="385"/>
      <c r="E24" s="385"/>
      <c r="F24" s="385"/>
      <c r="G24" s="385"/>
      <c r="H24" s="385"/>
    </row>
    <row r="25" spans="1:20">
      <c r="A25" s="525" t="s">
        <v>295</v>
      </c>
      <c r="B25" s="395" t="s">
        <v>385</v>
      </c>
      <c r="C25" s="387">
        <v>0</v>
      </c>
      <c r="D25" s="385"/>
      <c r="E25" s="385"/>
      <c r="F25" s="385"/>
      <c r="G25" s="385"/>
      <c r="H25" s="385"/>
    </row>
    <row r="26" spans="1:20">
      <c r="A26" s="525" t="s">
        <v>297</v>
      </c>
      <c r="B26" s="395" t="s">
        <v>386</v>
      </c>
      <c r="C26" s="387"/>
      <c r="D26" s="385"/>
      <c r="E26" s="385"/>
      <c r="F26" s="385"/>
      <c r="G26" s="385"/>
      <c r="H26" s="385"/>
    </row>
    <row r="27" spans="1:20">
      <c r="A27" s="525" t="s">
        <v>299</v>
      </c>
      <c r="B27" s="395" t="s">
        <v>387</v>
      </c>
      <c r="C27" s="387">
        <v>0</v>
      </c>
      <c r="D27" s="385"/>
      <c r="E27" s="385"/>
      <c r="F27" s="385"/>
      <c r="G27" s="385"/>
      <c r="H27" s="385"/>
    </row>
    <row r="28" spans="1:20">
      <c r="A28" s="525" t="s">
        <v>301</v>
      </c>
      <c r="B28" s="390" t="s">
        <v>388</v>
      </c>
      <c r="C28" s="582">
        <f>SUM(C22:C27)</f>
        <v>78271877</v>
      </c>
      <c r="D28" s="385"/>
      <c r="E28" s="385"/>
      <c r="F28" s="385"/>
      <c r="G28" s="385"/>
      <c r="H28" s="385"/>
    </row>
    <row r="29" spans="1:20" s="394" customFormat="1" ht="7.5" customHeight="1">
      <c r="A29" s="9"/>
      <c r="B29" s="391"/>
      <c r="C29" s="392"/>
      <c r="D29" s="393"/>
      <c r="E29" s="393"/>
      <c r="F29" s="393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</row>
    <row r="30" spans="1:20">
      <c r="A30" s="527" t="s">
        <v>329</v>
      </c>
      <c r="B30" s="390" t="s">
        <v>389</v>
      </c>
      <c r="C30" s="116"/>
      <c r="D30" s="385"/>
      <c r="E30" s="385"/>
      <c r="F30" s="385"/>
      <c r="G30" s="385"/>
      <c r="H30" s="385"/>
    </row>
    <row r="31" spans="1:20">
      <c r="A31" s="525" t="s">
        <v>290</v>
      </c>
      <c r="B31" s="388" t="s">
        <v>382</v>
      </c>
      <c r="C31" s="387"/>
      <c r="D31" s="385"/>
      <c r="E31" s="385"/>
      <c r="F31" s="385"/>
      <c r="G31" s="385"/>
      <c r="H31" s="385"/>
    </row>
    <row r="32" spans="1:20" ht="25.5">
      <c r="A32" s="526" t="s">
        <v>292</v>
      </c>
      <c r="B32" s="389" t="s">
        <v>390</v>
      </c>
      <c r="C32" s="387">
        <v>0</v>
      </c>
      <c r="D32" s="385"/>
      <c r="E32" s="385"/>
      <c r="F32" s="385"/>
      <c r="G32" s="385"/>
      <c r="H32" s="385"/>
    </row>
    <row r="33" spans="1:20" ht="25.5">
      <c r="A33" s="526" t="s">
        <v>294</v>
      </c>
      <c r="B33" s="389" t="s">
        <v>391</v>
      </c>
      <c r="C33" s="387">
        <v>0</v>
      </c>
      <c r="D33" s="385"/>
      <c r="E33" s="385"/>
      <c r="F33" s="385"/>
      <c r="G33" s="385"/>
      <c r="H33" s="385"/>
    </row>
    <row r="34" spans="1:20">
      <c r="A34" s="525" t="s">
        <v>295</v>
      </c>
      <c r="B34" s="388" t="s">
        <v>392</v>
      </c>
      <c r="C34" s="387">
        <v>0</v>
      </c>
      <c r="D34" s="385"/>
      <c r="E34" s="385"/>
      <c r="F34" s="385"/>
      <c r="G34" s="385"/>
      <c r="H34" s="385"/>
    </row>
    <row r="35" spans="1:20">
      <c r="A35" s="525" t="s">
        <v>297</v>
      </c>
      <c r="B35" s="388" t="s">
        <v>387</v>
      </c>
      <c r="C35" s="387">
        <v>0</v>
      </c>
      <c r="D35" s="385"/>
      <c r="E35" s="385"/>
      <c r="F35" s="385"/>
      <c r="G35" s="385"/>
      <c r="H35" s="385"/>
    </row>
    <row r="36" spans="1:20">
      <c r="A36" s="525" t="s">
        <v>299</v>
      </c>
      <c r="B36" s="390" t="s">
        <v>393</v>
      </c>
      <c r="C36" s="582">
        <f>SUM(C31:C35)</f>
        <v>0</v>
      </c>
      <c r="D36" s="385"/>
      <c r="E36" s="385"/>
      <c r="F36" s="385"/>
      <c r="G36" s="385"/>
      <c r="H36" s="385"/>
    </row>
    <row r="37" spans="1:20" s="394" customFormat="1" ht="7.5" customHeight="1">
      <c r="A37" s="9"/>
      <c r="B37" s="391"/>
      <c r="C37" s="392"/>
      <c r="D37" s="393"/>
      <c r="E37" s="393"/>
      <c r="F37" s="393"/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</row>
    <row r="38" spans="1:20">
      <c r="A38" s="527" t="s">
        <v>341</v>
      </c>
      <c r="B38" s="390" t="s">
        <v>394</v>
      </c>
      <c r="C38" s="116"/>
      <c r="D38" s="385"/>
      <c r="E38" s="385"/>
      <c r="F38" s="385"/>
      <c r="G38" s="385"/>
      <c r="H38" s="385"/>
    </row>
    <row r="39" spans="1:20">
      <c r="A39" s="525" t="s">
        <v>290</v>
      </c>
      <c r="B39" s="397" t="s">
        <v>395</v>
      </c>
      <c r="C39" s="387"/>
      <c r="D39" s="385"/>
      <c r="E39" s="385"/>
      <c r="F39" s="385"/>
      <c r="G39" s="385"/>
      <c r="H39" s="385"/>
    </row>
    <row r="40" spans="1:20">
      <c r="A40" s="525" t="s">
        <v>292</v>
      </c>
      <c r="B40" s="397" t="s">
        <v>306</v>
      </c>
      <c r="C40" s="387">
        <v>32724282</v>
      </c>
      <c r="D40" s="385"/>
      <c r="E40" s="385"/>
      <c r="F40" s="385"/>
      <c r="G40" s="385"/>
      <c r="H40" s="385"/>
    </row>
    <row r="41" spans="1:20" s="394" customFormat="1" ht="7.5" customHeight="1">
      <c r="A41" s="9"/>
      <c r="B41" s="391"/>
      <c r="C41" s="392"/>
      <c r="D41" s="393"/>
      <c r="E41" s="393"/>
      <c r="F41" s="393"/>
      <c r="G41" s="393"/>
      <c r="H41" s="393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</row>
    <row r="42" spans="1:20">
      <c r="A42" s="527" t="s">
        <v>348</v>
      </c>
      <c r="B42" s="390" t="s">
        <v>396</v>
      </c>
      <c r="C42" s="582">
        <f>C14+C19+C28+C36+C39+C40</f>
        <v>1499548960</v>
      </c>
      <c r="D42" s="385"/>
      <c r="E42" s="385"/>
      <c r="F42" s="385"/>
      <c r="G42" s="385"/>
      <c r="H42" s="385"/>
    </row>
    <row r="43" spans="1:20" s="394" customFormat="1" ht="7.5" customHeight="1">
      <c r="A43" s="9"/>
      <c r="B43" s="391"/>
      <c r="C43" s="392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</row>
    <row r="44" spans="1:20">
      <c r="A44" s="527" t="s">
        <v>350</v>
      </c>
      <c r="B44" s="390" t="s">
        <v>397</v>
      </c>
      <c r="C44" s="116"/>
      <c r="D44" s="385"/>
      <c r="E44" s="385"/>
      <c r="F44" s="385"/>
      <c r="G44" s="385"/>
      <c r="H44" s="385"/>
    </row>
    <row r="45" spans="1:20">
      <c r="A45" s="527" t="s">
        <v>398</v>
      </c>
      <c r="B45" s="390" t="s">
        <v>399</v>
      </c>
      <c r="C45" s="387"/>
      <c r="D45" s="385"/>
      <c r="E45" s="385"/>
      <c r="F45" s="385"/>
      <c r="G45" s="385"/>
      <c r="H45" s="385"/>
    </row>
    <row r="46" spans="1:20">
      <c r="A46" s="525" t="s">
        <v>290</v>
      </c>
      <c r="B46" s="395" t="s">
        <v>400</v>
      </c>
      <c r="C46" s="387">
        <v>4442173</v>
      </c>
      <c r="D46" s="385"/>
      <c r="E46" s="385"/>
      <c r="F46" s="385"/>
      <c r="G46" s="385"/>
      <c r="H46" s="385"/>
    </row>
    <row r="47" spans="1:20">
      <c r="A47" s="525" t="s">
        <v>292</v>
      </c>
      <c r="B47" s="395" t="s">
        <v>401</v>
      </c>
      <c r="C47" s="387">
        <v>3949</v>
      </c>
      <c r="D47" s="385"/>
      <c r="E47" s="385"/>
      <c r="F47" s="385"/>
      <c r="G47" s="385"/>
      <c r="H47" s="385"/>
    </row>
    <row r="48" spans="1:20">
      <c r="A48" s="525" t="s">
        <v>294</v>
      </c>
      <c r="B48" s="395" t="s">
        <v>402</v>
      </c>
      <c r="C48" s="387">
        <v>42549155</v>
      </c>
      <c r="D48" s="385"/>
      <c r="E48" s="385"/>
      <c r="F48" s="385"/>
      <c r="G48" s="385"/>
      <c r="H48" s="385"/>
    </row>
    <row r="49" spans="1:20">
      <c r="A49" s="525" t="s">
        <v>295</v>
      </c>
      <c r="B49" s="388" t="s">
        <v>403</v>
      </c>
      <c r="C49" s="387">
        <v>1421606</v>
      </c>
      <c r="D49" s="385"/>
      <c r="E49" s="385"/>
      <c r="F49" s="385"/>
      <c r="G49" s="385"/>
      <c r="H49" s="385"/>
    </row>
    <row r="50" spans="1:20">
      <c r="A50" s="525" t="s">
        <v>297</v>
      </c>
      <c r="B50" s="388" t="s">
        <v>404</v>
      </c>
      <c r="C50" s="387">
        <v>16159</v>
      </c>
      <c r="D50" s="385"/>
      <c r="E50" s="385"/>
      <c r="F50" s="385"/>
      <c r="G50" s="385"/>
      <c r="H50" s="385"/>
    </row>
    <row r="51" spans="1:20">
      <c r="A51" s="525" t="s">
        <v>299</v>
      </c>
      <c r="B51" s="388" t="s">
        <v>405</v>
      </c>
      <c r="C51" s="387">
        <v>332521</v>
      </c>
      <c r="D51" s="385"/>
      <c r="E51" s="385"/>
      <c r="F51" s="385"/>
      <c r="G51" s="385"/>
      <c r="H51" s="385"/>
    </row>
    <row r="52" spans="1:20">
      <c r="A52" s="583" t="s">
        <v>301</v>
      </c>
      <c r="B52" s="584" t="s">
        <v>406</v>
      </c>
      <c r="C52" s="582">
        <f>SUM(C46:C51)</f>
        <v>48765563</v>
      </c>
      <c r="D52" s="385"/>
      <c r="E52" s="385"/>
      <c r="F52" s="385"/>
      <c r="G52" s="385"/>
      <c r="H52" s="385"/>
    </row>
    <row r="53" spans="1:20" s="394" customFormat="1" ht="7.5" customHeight="1">
      <c r="A53" s="9"/>
      <c r="B53" s="391"/>
      <c r="C53" s="392"/>
      <c r="D53" s="393"/>
      <c r="E53" s="393"/>
      <c r="F53" s="393"/>
      <c r="G53" s="393"/>
      <c r="H53" s="393"/>
      <c r="I53" s="393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</row>
    <row r="54" spans="1:20">
      <c r="A54" s="527" t="s">
        <v>407</v>
      </c>
      <c r="B54" s="390" t="s">
        <v>408</v>
      </c>
      <c r="C54" s="116"/>
      <c r="D54" s="385"/>
      <c r="E54" s="385"/>
      <c r="F54" s="385"/>
      <c r="G54" s="385"/>
      <c r="H54" s="385"/>
    </row>
    <row r="55" spans="1:20">
      <c r="A55" s="525" t="s">
        <v>290</v>
      </c>
      <c r="B55" s="395" t="s">
        <v>400</v>
      </c>
      <c r="C55" s="387">
        <v>320945323</v>
      </c>
      <c r="D55" s="385"/>
      <c r="E55" s="385"/>
      <c r="F55" s="385"/>
      <c r="G55" s="385"/>
      <c r="H55" s="385"/>
    </row>
    <row r="56" spans="1:20">
      <c r="A56" s="525" t="s">
        <v>292</v>
      </c>
      <c r="B56" s="395" t="s">
        <v>401</v>
      </c>
      <c r="C56" s="387">
        <v>134791245</v>
      </c>
      <c r="D56" s="385"/>
      <c r="E56" s="385"/>
      <c r="F56" s="385"/>
      <c r="G56" s="385"/>
      <c r="H56" s="385"/>
    </row>
    <row r="57" spans="1:20">
      <c r="A57" s="525" t="s">
        <v>294</v>
      </c>
      <c r="B57" s="395" t="s">
        <v>402</v>
      </c>
      <c r="C57" s="387">
        <v>38035412</v>
      </c>
      <c r="D57" s="385"/>
      <c r="E57" s="385"/>
      <c r="F57" s="385"/>
      <c r="G57" s="385"/>
      <c r="H57" s="385"/>
    </row>
    <row r="58" spans="1:20">
      <c r="A58" s="525" t="s">
        <v>295</v>
      </c>
      <c r="B58" s="388" t="s">
        <v>403</v>
      </c>
      <c r="C58" s="387">
        <v>1111836</v>
      </c>
      <c r="D58" s="385"/>
      <c r="E58" s="385"/>
      <c r="F58" s="385"/>
      <c r="G58" s="385"/>
      <c r="H58" s="385"/>
    </row>
    <row r="59" spans="1:20">
      <c r="A59" s="525" t="s">
        <v>297</v>
      </c>
      <c r="B59" s="395" t="s">
        <v>404</v>
      </c>
      <c r="C59" s="387">
        <v>79777409</v>
      </c>
      <c r="D59" s="385"/>
      <c r="E59" s="385"/>
      <c r="F59" s="385"/>
      <c r="G59" s="385"/>
      <c r="H59" s="385"/>
    </row>
    <row r="60" spans="1:20">
      <c r="A60" s="525" t="s">
        <v>299</v>
      </c>
      <c r="B60" s="395" t="s">
        <v>405</v>
      </c>
      <c r="C60" s="387">
        <v>46166259</v>
      </c>
      <c r="D60" s="385"/>
      <c r="E60" s="385"/>
      <c r="F60" s="385"/>
      <c r="G60" s="385"/>
      <c r="H60" s="385"/>
    </row>
    <row r="61" spans="1:20" ht="13.5" customHeight="1">
      <c r="A61" s="583" t="s">
        <v>301</v>
      </c>
      <c r="B61" s="386" t="s">
        <v>409</v>
      </c>
      <c r="C61" s="582">
        <f>SUM(C55:C60)</f>
        <v>620827484</v>
      </c>
      <c r="D61" s="385"/>
      <c r="E61" s="385"/>
      <c r="F61" s="385"/>
      <c r="G61" s="385"/>
      <c r="H61" s="385"/>
    </row>
    <row r="62" spans="1:20" s="394" customFormat="1" ht="7.5" customHeight="1">
      <c r="A62" s="9"/>
      <c r="B62" s="391"/>
      <c r="C62" s="392"/>
      <c r="D62" s="393"/>
      <c r="E62" s="393"/>
      <c r="F62" s="393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393"/>
      <c r="S62" s="393"/>
      <c r="T62" s="393"/>
    </row>
    <row r="63" spans="1:20">
      <c r="A63" s="527" t="s">
        <v>410</v>
      </c>
      <c r="B63" s="390" t="s">
        <v>411</v>
      </c>
      <c r="C63" s="582">
        <f>C52+C61</f>
        <v>669593047</v>
      </c>
      <c r="D63" s="385"/>
      <c r="E63" s="385"/>
      <c r="F63" s="385"/>
      <c r="G63" s="385"/>
      <c r="H63" s="385"/>
    </row>
    <row r="64" spans="1:20" s="394" customFormat="1" ht="7.5" customHeight="1">
      <c r="A64" s="9"/>
      <c r="B64" s="391"/>
      <c r="C64" s="392"/>
      <c r="D64" s="393"/>
      <c r="E64" s="393"/>
      <c r="F64" s="393"/>
      <c r="G64" s="393"/>
      <c r="H64" s="393"/>
      <c r="I64" s="393"/>
      <c r="J64" s="393"/>
      <c r="K64" s="393"/>
      <c r="L64" s="393"/>
      <c r="M64" s="393"/>
      <c r="N64" s="393"/>
      <c r="O64" s="393"/>
      <c r="P64" s="393"/>
      <c r="Q64" s="393"/>
      <c r="R64" s="393"/>
      <c r="S64" s="393"/>
      <c r="T64" s="393"/>
    </row>
    <row r="65" spans="1:30">
      <c r="A65" s="527" t="s">
        <v>366</v>
      </c>
      <c r="B65" s="390" t="s">
        <v>412</v>
      </c>
      <c r="C65" s="116"/>
      <c r="D65" s="385"/>
      <c r="E65" s="385"/>
      <c r="F65" s="385"/>
      <c r="G65" s="385"/>
      <c r="H65" s="385"/>
    </row>
    <row r="66" spans="1:30">
      <c r="A66" s="528" t="s">
        <v>312</v>
      </c>
      <c r="B66" s="395" t="s">
        <v>413</v>
      </c>
      <c r="C66" s="387">
        <v>0</v>
      </c>
      <c r="D66" s="385"/>
      <c r="E66" s="385"/>
      <c r="F66" s="385"/>
      <c r="G66" s="385"/>
      <c r="H66" s="385"/>
    </row>
    <row r="67" spans="1:30">
      <c r="A67" s="528" t="s">
        <v>292</v>
      </c>
      <c r="B67" s="397" t="s">
        <v>318</v>
      </c>
      <c r="C67" s="387">
        <v>111568845</v>
      </c>
      <c r="D67" s="385"/>
      <c r="E67" s="385"/>
      <c r="F67" s="385"/>
      <c r="G67" s="385"/>
      <c r="H67" s="385"/>
    </row>
    <row r="68" spans="1:30">
      <c r="A68" s="528" t="s">
        <v>294</v>
      </c>
      <c r="B68" s="397" t="s">
        <v>319</v>
      </c>
      <c r="C68" s="387">
        <v>4306189</v>
      </c>
      <c r="D68" s="385"/>
      <c r="E68" s="385"/>
      <c r="F68" s="385"/>
      <c r="G68" s="385"/>
      <c r="H68" s="385"/>
    </row>
    <row r="69" spans="1:30">
      <c r="A69" s="528" t="s">
        <v>295</v>
      </c>
      <c r="B69" s="397" t="s">
        <v>320</v>
      </c>
      <c r="C69" s="387">
        <v>208368021</v>
      </c>
      <c r="D69" s="385"/>
      <c r="E69" s="385"/>
      <c r="F69" s="385"/>
      <c r="G69" s="385"/>
      <c r="H69" s="385"/>
    </row>
    <row r="70" spans="1:30">
      <c r="A70" s="527" t="s">
        <v>297</v>
      </c>
      <c r="B70" s="398" t="s">
        <v>414</v>
      </c>
      <c r="C70" s="582">
        <f>SUM(C66:C69)</f>
        <v>324243055</v>
      </c>
      <c r="D70" s="385"/>
      <c r="E70" s="385"/>
      <c r="F70" s="385"/>
      <c r="G70" s="385"/>
      <c r="H70" s="385"/>
    </row>
    <row r="71" spans="1:30" s="394" customFormat="1" ht="7.5" customHeight="1">
      <c r="A71" s="9"/>
      <c r="B71" s="391"/>
      <c r="C71" s="585"/>
      <c r="D71" s="393"/>
      <c r="E71" s="393"/>
      <c r="F71" s="393"/>
      <c r="G71" s="393"/>
      <c r="H71" s="393"/>
      <c r="I71" s="393"/>
      <c r="J71" s="393"/>
      <c r="K71" s="393"/>
      <c r="L71" s="393"/>
      <c r="M71" s="393"/>
      <c r="N71" s="393"/>
      <c r="O71" s="393"/>
      <c r="P71" s="393"/>
      <c r="Q71" s="393"/>
      <c r="R71" s="393"/>
      <c r="S71" s="393"/>
      <c r="T71" s="393"/>
    </row>
    <row r="72" spans="1:30">
      <c r="A72" s="527" t="s">
        <v>369</v>
      </c>
      <c r="B72" s="390" t="s">
        <v>415</v>
      </c>
      <c r="C72" s="582">
        <f>C63+C70</f>
        <v>993836102</v>
      </c>
      <c r="D72" s="385"/>
      <c r="E72" s="385"/>
      <c r="F72" s="385"/>
      <c r="G72" s="385"/>
      <c r="H72" s="385"/>
    </row>
    <row r="73" spans="1:30">
      <c r="D73" s="385"/>
      <c r="E73" s="385"/>
      <c r="F73" s="385"/>
      <c r="G73" s="385"/>
      <c r="H73" s="385"/>
    </row>
    <row r="74" spans="1:30" s="269" customFormat="1" ht="15" customHeight="1">
      <c r="A74" s="34"/>
      <c r="B74" s="239" t="s">
        <v>788</v>
      </c>
      <c r="C74" s="34"/>
      <c r="D74" s="34"/>
      <c r="E74" s="34"/>
      <c r="F74" s="349"/>
      <c r="G74" s="349"/>
      <c r="H74" s="349"/>
      <c r="I74" s="349"/>
      <c r="J74" s="349"/>
      <c r="K74" s="349"/>
      <c r="L74" s="349"/>
      <c r="M74" s="349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</row>
    <row r="75" spans="1:30" s="269" customFormat="1" ht="11.25" customHeight="1">
      <c r="A75" s="34"/>
      <c r="B75" s="239"/>
      <c r="C75" s="34"/>
      <c r="D75" s="34"/>
      <c r="E75" s="34"/>
      <c r="F75" s="349"/>
      <c r="G75" s="349"/>
      <c r="H75" s="349"/>
      <c r="I75" s="349"/>
      <c r="J75" s="349"/>
      <c r="K75" s="349"/>
      <c r="L75" s="349"/>
      <c r="M75" s="349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</row>
    <row r="76" spans="1:30" s="269" customFormat="1" ht="15" customHeight="1">
      <c r="A76" s="34"/>
      <c r="B76" s="239" t="s">
        <v>789</v>
      </c>
      <c r="C76" s="34"/>
      <c r="D76" s="34"/>
      <c r="E76" s="34"/>
      <c r="F76" s="349"/>
      <c r="G76" s="349"/>
      <c r="H76" s="349"/>
      <c r="I76" s="349"/>
      <c r="J76" s="349"/>
      <c r="K76" s="349"/>
      <c r="L76" s="349"/>
      <c r="M76" s="349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 spans="1:30">
      <c r="D77" s="385"/>
      <c r="E77" s="385"/>
      <c r="F77" s="385"/>
      <c r="G77" s="385"/>
      <c r="H77" s="385"/>
    </row>
    <row r="78" spans="1:30">
      <c r="A78" s="531"/>
      <c r="D78" s="385"/>
      <c r="E78" s="385"/>
      <c r="F78" s="385"/>
      <c r="G78" s="385"/>
      <c r="H78" s="385"/>
    </row>
    <row r="79" spans="1:30">
      <c r="A79" s="532"/>
      <c r="D79" s="385"/>
      <c r="E79" s="385"/>
      <c r="F79" s="385"/>
      <c r="G79" s="385"/>
      <c r="H79" s="385"/>
    </row>
    <row r="80" spans="1:30">
      <c r="D80" s="385"/>
      <c r="E80" s="385"/>
      <c r="F80" s="385"/>
      <c r="G80" s="385"/>
      <c r="H80" s="385"/>
    </row>
    <row r="81" spans="4:8">
      <c r="D81" s="385"/>
      <c r="E81" s="385"/>
      <c r="F81" s="385"/>
      <c r="G81" s="385"/>
      <c r="H81" s="385"/>
    </row>
    <row r="82" spans="4:8">
      <c r="D82" s="385"/>
      <c r="E82" s="385"/>
      <c r="F82" s="385"/>
      <c r="G82" s="385"/>
      <c r="H82" s="385"/>
    </row>
    <row r="83" spans="4:8">
      <c r="D83" s="385"/>
      <c r="E83" s="385"/>
      <c r="F83" s="385"/>
      <c r="G83" s="385"/>
      <c r="H83" s="385"/>
    </row>
    <row r="84" spans="4:8">
      <c r="D84" s="385"/>
      <c r="E84" s="385"/>
      <c r="F84" s="385"/>
      <c r="G84" s="385"/>
      <c r="H84" s="385"/>
    </row>
    <row r="85" spans="4:8">
      <c r="D85" s="385"/>
      <c r="E85" s="385"/>
      <c r="F85" s="385"/>
      <c r="G85" s="385"/>
      <c r="H85" s="385"/>
    </row>
    <row r="86" spans="4:8">
      <c r="D86" s="385"/>
      <c r="E86" s="385"/>
      <c r="F86" s="385"/>
      <c r="G86" s="385"/>
      <c r="H86" s="385"/>
    </row>
    <row r="87" spans="4:8">
      <c r="D87" s="385"/>
      <c r="E87" s="385"/>
      <c r="F87" s="385"/>
      <c r="G87" s="385"/>
      <c r="H87" s="385"/>
    </row>
    <row r="88" spans="4:8">
      <c r="D88" s="385"/>
      <c r="E88" s="385"/>
      <c r="F88" s="385"/>
      <c r="G88" s="385"/>
      <c r="H88" s="385"/>
    </row>
    <row r="89" spans="4:8">
      <c r="D89" s="385"/>
      <c r="E89" s="385"/>
      <c r="F89" s="385"/>
      <c r="G89" s="385"/>
      <c r="H89" s="385"/>
    </row>
    <row r="90" spans="4:8">
      <c r="D90" s="385"/>
      <c r="E90" s="385"/>
      <c r="F90" s="385"/>
      <c r="G90" s="385"/>
      <c r="H90" s="385"/>
    </row>
    <row r="91" spans="4:8">
      <c r="D91" s="385"/>
      <c r="E91" s="385"/>
      <c r="F91" s="385"/>
      <c r="G91" s="385"/>
      <c r="H91" s="385"/>
    </row>
    <row r="92" spans="4:8">
      <c r="D92" s="385"/>
      <c r="E92" s="385"/>
      <c r="F92" s="385"/>
      <c r="G92" s="385"/>
      <c r="H92" s="385"/>
    </row>
    <row r="93" spans="4:8">
      <c r="D93" s="385"/>
      <c r="E93" s="385"/>
      <c r="F93" s="385"/>
      <c r="G93" s="385"/>
      <c r="H93" s="385"/>
    </row>
    <row r="94" spans="4:8">
      <c r="D94" s="385"/>
      <c r="E94" s="385"/>
      <c r="F94" s="385"/>
      <c r="G94" s="385"/>
      <c r="H94" s="385"/>
    </row>
    <row r="95" spans="4:8">
      <c r="D95" s="385"/>
      <c r="E95" s="385"/>
      <c r="F95" s="385"/>
      <c r="G95" s="385"/>
      <c r="H95" s="385"/>
    </row>
    <row r="96" spans="4:8">
      <c r="D96" s="385"/>
      <c r="E96" s="385"/>
      <c r="F96" s="385"/>
      <c r="G96" s="385"/>
      <c r="H96" s="385"/>
    </row>
    <row r="97" spans="4:8">
      <c r="D97" s="385"/>
      <c r="E97" s="385"/>
      <c r="F97" s="385"/>
      <c r="G97" s="385"/>
      <c r="H97" s="385"/>
    </row>
    <row r="98" spans="4:8">
      <c r="D98" s="385"/>
      <c r="E98" s="385"/>
      <c r="F98" s="385"/>
      <c r="G98" s="385"/>
      <c r="H98" s="385"/>
    </row>
  </sheetData>
  <sheetProtection password="CACA" sheet="1" objects="1" scenarios="1"/>
  <phoneticPr fontId="15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:C13 C46:C51 C39:C40 C31:C35 C22:C27 C17:C18 C55:C60 C66:C69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>
    <pageSetUpPr fitToPage="1"/>
  </sheetPr>
  <dimension ref="A1:AD28"/>
  <sheetViews>
    <sheetView view="pageBreakPreview" zoomScale="70" zoomScaleSheetLayoutView="70" workbookViewId="0">
      <selection activeCell="C10" sqref="C10"/>
    </sheetView>
  </sheetViews>
  <sheetFormatPr defaultRowHeight="12.75"/>
  <cols>
    <col min="1" max="1" width="5.85546875" style="268" customWidth="1"/>
    <col min="2" max="2" width="89.42578125" style="269" customWidth="1"/>
    <col min="3" max="3" width="27.42578125" style="269" customWidth="1"/>
    <col min="4" max="5" width="15.7109375" style="269" customWidth="1"/>
    <col min="6" max="8" width="9.140625" style="269"/>
    <col min="9" max="9" width="10.28515625" style="269" bestFit="1" customWidth="1"/>
    <col min="10" max="16384" width="9.140625" style="269"/>
  </cols>
  <sheetData>
    <row r="1" spans="1:30" ht="15.75">
      <c r="A1" s="696" t="s">
        <v>416</v>
      </c>
      <c r="B1" s="696"/>
      <c r="C1" s="193" t="s">
        <v>417</v>
      </c>
    </row>
    <row r="2" spans="1:30" ht="8.25" customHeight="1">
      <c r="A2" s="263"/>
      <c r="B2" s="263"/>
      <c r="C2" s="193"/>
    </row>
    <row r="3" spans="1:30" ht="15.75">
      <c r="A3" s="264"/>
      <c r="B3" s="265" t="str">
        <f>+'Asset quality'!B3</f>
        <v>"Алоқабанк"</v>
      </c>
      <c r="C3" s="325">
        <f>+'Asset quality'!Q3</f>
        <v>44926</v>
      </c>
    </row>
    <row r="4" spans="1:30" s="276" customFormat="1" ht="33.75" customHeight="1">
      <c r="A4" s="292" t="s">
        <v>62</v>
      </c>
      <c r="B4" s="292" t="s">
        <v>285</v>
      </c>
      <c r="C4" s="292" t="str">
        <f>+'Asset quality'!T3</f>
        <v>минг. сўмда</v>
      </c>
    </row>
    <row r="5" spans="1:30" ht="18.75" customHeight="1">
      <c r="A5" s="400" t="s">
        <v>148</v>
      </c>
      <c r="B5" s="401" t="s">
        <v>418</v>
      </c>
      <c r="C5" s="402">
        <v>1673505943</v>
      </c>
    </row>
    <row r="6" spans="1:30" ht="18.75" customHeight="1">
      <c r="A6" s="403" t="s">
        <v>149</v>
      </c>
      <c r="B6" s="404" t="s">
        <v>419</v>
      </c>
      <c r="C6" s="402">
        <v>0</v>
      </c>
    </row>
    <row r="7" spans="1:30" ht="18.75" customHeight="1">
      <c r="A7" s="403" t="s">
        <v>160</v>
      </c>
      <c r="B7" s="405" t="s">
        <v>420</v>
      </c>
      <c r="C7" s="373">
        <f>SUM(C5:C6)</f>
        <v>1673505943</v>
      </c>
    </row>
    <row r="8" spans="1:30" ht="18.75" customHeight="1">
      <c r="A8" s="403" t="s">
        <v>150</v>
      </c>
      <c r="B8" s="405" t="s">
        <v>421</v>
      </c>
      <c r="C8" s="373">
        <f>+'Income '!C78</f>
        <v>228394438</v>
      </c>
      <c r="D8" s="408">
        <f>+[8]Balance!$C$77</f>
        <v>228394438</v>
      </c>
      <c r="E8" s="597">
        <f>+C8-D8</f>
        <v>0</v>
      </c>
    </row>
    <row r="9" spans="1:30" ht="18.75" customHeight="1">
      <c r="A9" s="403" t="s">
        <v>151</v>
      </c>
      <c r="B9" s="404" t="s">
        <v>422</v>
      </c>
      <c r="C9" s="406"/>
      <c r="D9" s="276"/>
    </row>
    <row r="10" spans="1:30" ht="18.75" customHeight="1">
      <c r="A10" s="403" t="s">
        <v>161</v>
      </c>
      <c r="B10" s="405" t="s">
        <v>423</v>
      </c>
      <c r="C10" s="406">
        <v>-222222</v>
      </c>
      <c r="D10" s="276"/>
      <c r="I10" s="277"/>
    </row>
    <row r="11" spans="1:30" ht="18.75" customHeight="1">
      <c r="A11" s="403" t="s">
        <v>152</v>
      </c>
      <c r="B11" s="405" t="s">
        <v>424</v>
      </c>
      <c r="C11" s="407">
        <v>0</v>
      </c>
      <c r="D11" s="276"/>
    </row>
    <row r="12" spans="1:30" ht="18.75" customHeight="1">
      <c r="A12" s="403" t="s">
        <v>159</v>
      </c>
      <c r="B12" s="405" t="s">
        <v>425</v>
      </c>
      <c r="C12" s="406"/>
      <c r="D12" s="276"/>
    </row>
    <row r="13" spans="1:30" ht="18.75" customHeight="1">
      <c r="A13" s="403" t="s">
        <v>153</v>
      </c>
      <c r="B13" s="405" t="s">
        <v>426</v>
      </c>
      <c r="C13" s="406">
        <v>-106344499</v>
      </c>
      <c r="D13" s="276"/>
    </row>
    <row r="14" spans="1:30" ht="18.75" customHeight="1">
      <c r="A14" s="403" t="s">
        <v>154</v>
      </c>
      <c r="B14" s="405" t="s">
        <v>427</v>
      </c>
      <c r="C14" s="373">
        <f>C7+SUM(C8:C10)-SUM(C11:C12)+C13</f>
        <v>1795333660</v>
      </c>
      <c r="D14" s="408">
        <f>+[8]Balance!$C$78</f>
        <v>1795333660</v>
      </c>
      <c r="E14" s="597">
        <f>+C14-D14</f>
        <v>0</v>
      </c>
      <c r="I14" s="408"/>
    </row>
    <row r="15" spans="1:30">
      <c r="A15" s="247"/>
      <c r="B15" s="34"/>
      <c r="C15" s="34"/>
    </row>
    <row r="16" spans="1:30" ht="15" customHeight="1">
      <c r="A16" s="34"/>
      <c r="B16" s="239" t="s">
        <v>788</v>
      </c>
      <c r="C16" s="34"/>
      <c r="D16" s="34"/>
      <c r="E16" s="34"/>
      <c r="F16" s="349"/>
      <c r="G16" s="349"/>
      <c r="H16" s="349"/>
      <c r="I16" s="349"/>
      <c r="J16" s="349"/>
      <c r="K16" s="349"/>
      <c r="L16" s="349"/>
      <c r="M16" s="349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spans="1:30" ht="11.25" customHeight="1">
      <c r="A17" s="34"/>
      <c r="B17" s="239"/>
      <c r="C17" s="34"/>
      <c r="D17" s="34"/>
      <c r="E17" s="34"/>
      <c r="F17" s="349"/>
      <c r="G17" s="349"/>
      <c r="H17" s="349"/>
      <c r="I17" s="349"/>
      <c r="J17" s="349"/>
      <c r="K17" s="349"/>
      <c r="L17" s="349"/>
      <c r="M17" s="349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spans="1:30" ht="15" customHeight="1">
      <c r="A18" s="34"/>
      <c r="B18" s="239" t="s">
        <v>789</v>
      </c>
      <c r="C18" s="34"/>
      <c r="D18" s="34"/>
      <c r="E18" s="34"/>
      <c r="F18" s="349"/>
      <c r="G18" s="349"/>
      <c r="H18" s="349"/>
      <c r="I18" s="349"/>
      <c r="J18" s="349"/>
      <c r="K18" s="349"/>
      <c r="L18" s="349"/>
      <c r="M18" s="349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20" spans="1:30" ht="12.75" customHeight="1">
      <c r="A20" s="266"/>
    </row>
    <row r="21" spans="1:30">
      <c r="A21" s="267"/>
    </row>
    <row r="27" spans="1:30" ht="12.75" customHeight="1"/>
    <row r="28" spans="1:30" ht="12.75" customHeight="1"/>
  </sheetData>
  <sheetProtection password="CACA" sheet="1" objects="1" scenarios="1"/>
  <mergeCells count="1">
    <mergeCell ref="A1:B1"/>
  </mergeCells>
  <phoneticPr fontId="15" type="noConversion"/>
  <conditionalFormatting sqref="C14">
    <cfRule type="cellIs" dxfId="350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D95"/>
  <sheetViews>
    <sheetView view="pageBreakPreview" zoomScale="25" zoomScaleNormal="40" zoomScaleSheetLayoutView="25" workbookViewId="0">
      <pane xSplit="3" ySplit="8" topLeftCell="D9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I63" sqref="I63"/>
    </sheetView>
  </sheetViews>
  <sheetFormatPr defaultRowHeight="12.75"/>
  <cols>
    <col min="1" max="1" width="7" style="269" customWidth="1"/>
    <col min="2" max="2" width="57.5703125" style="269" customWidth="1"/>
    <col min="3" max="3" width="18.42578125" style="269" customWidth="1"/>
    <col min="4" max="9" width="17.140625" style="269" customWidth="1"/>
    <col min="10" max="10" width="13.7109375" style="269" customWidth="1"/>
    <col min="11" max="11" width="17" style="269" customWidth="1"/>
    <col min="12" max="12" width="25.28515625" style="269" bestFit="1" customWidth="1"/>
    <col min="13" max="13" width="16.85546875" style="269" customWidth="1"/>
    <col min="14" max="25" width="17.140625" style="269" customWidth="1"/>
    <col min="26" max="16384" width="9.140625" style="269"/>
  </cols>
  <sheetData>
    <row r="1" spans="1:28" s="251" customFormat="1" ht="31.5" customHeight="1">
      <c r="A1" s="248" t="s">
        <v>714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9" t="s">
        <v>713</v>
      </c>
      <c r="X1" s="250"/>
      <c r="Y1" s="249"/>
    </row>
    <row r="2" spans="1:28" ht="9" customHeight="1">
      <c r="A2" s="250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0"/>
      <c r="X2" s="252"/>
      <c r="Y2" s="252"/>
    </row>
    <row r="3" spans="1:28" s="34" customFormat="1" ht="15.75">
      <c r="A3" s="310"/>
      <c r="B3" s="253" t="str">
        <f>+'Asset quality'!B3</f>
        <v>"Алоқабанк"</v>
      </c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706">
        <f>+'Asset quality'!Q3</f>
        <v>44926</v>
      </c>
      <c r="U3" s="706"/>
      <c r="V3" s="254"/>
      <c r="W3" s="254"/>
      <c r="X3" s="409" t="str">
        <f>+'Asset quality'!T3</f>
        <v>минг. сўмда</v>
      </c>
      <c r="Y3" s="286"/>
    </row>
    <row r="4" spans="1:28" s="255" customFormat="1" ht="32.25" customHeight="1">
      <c r="A4" s="698" t="s">
        <v>62</v>
      </c>
      <c r="B4" s="698" t="s">
        <v>715</v>
      </c>
      <c r="C4" s="701" t="s">
        <v>716</v>
      </c>
      <c r="D4" s="704" t="s">
        <v>335</v>
      </c>
      <c r="E4" s="705"/>
      <c r="F4" s="697" t="s">
        <v>720</v>
      </c>
      <c r="G4" s="697"/>
      <c r="H4" s="697"/>
      <c r="I4" s="697"/>
      <c r="J4" s="709" t="s">
        <v>335</v>
      </c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709"/>
      <c r="Y4" s="709"/>
    </row>
    <row r="5" spans="1:28" s="255" customFormat="1" ht="18" customHeight="1">
      <c r="A5" s="699"/>
      <c r="B5" s="699"/>
      <c r="C5" s="702"/>
      <c r="D5" s="701" t="s">
        <v>286</v>
      </c>
      <c r="E5" s="701" t="s">
        <v>287</v>
      </c>
      <c r="F5" s="697" t="s">
        <v>721</v>
      </c>
      <c r="G5" s="697" t="s">
        <v>335</v>
      </c>
      <c r="H5" s="697"/>
      <c r="I5" s="697"/>
      <c r="J5" s="708" t="s">
        <v>724</v>
      </c>
      <c r="K5" s="708" t="s">
        <v>725</v>
      </c>
      <c r="L5" s="534" t="s">
        <v>335</v>
      </c>
      <c r="M5" s="710" t="s">
        <v>727</v>
      </c>
      <c r="N5" s="710" t="s">
        <v>728</v>
      </c>
      <c r="O5" s="710" t="s">
        <v>729</v>
      </c>
      <c r="P5" s="709" t="s">
        <v>335</v>
      </c>
      <c r="Q5" s="709"/>
      <c r="R5" s="707" t="s">
        <v>732</v>
      </c>
      <c r="S5" s="707" t="s">
        <v>733</v>
      </c>
      <c r="T5" s="707" t="s">
        <v>734</v>
      </c>
      <c r="U5" s="707" t="s">
        <v>735</v>
      </c>
      <c r="V5" s="707" t="s">
        <v>736</v>
      </c>
      <c r="W5" s="707" t="s">
        <v>737</v>
      </c>
      <c r="X5" s="707" t="s">
        <v>738</v>
      </c>
      <c r="Y5" s="707" t="s">
        <v>739</v>
      </c>
    </row>
    <row r="6" spans="1:28" s="255" customFormat="1" ht="102" customHeight="1">
      <c r="A6" s="700"/>
      <c r="B6" s="700"/>
      <c r="C6" s="703"/>
      <c r="D6" s="703"/>
      <c r="E6" s="703"/>
      <c r="F6" s="697"/>
      <c r="G6" s="533" t="s">
        <v>659</v>
      </c>
      <c r="H6" s="533" t="s">
        <v>661</v>
      </c>
      <c r="I6" s="533" t="s">
        <v>663</v>
      </c>
      <c r="J6" s="708"/>
      <c r="K6" s="708"/>
      <c r="L6" s="533" t="s">
        <v>726</v>
      </c>
      <c r="M6" s="711"/>
      <c r="N6" s="711"/>
      <c r="O6" s="711"/>
      <c r="P6" s="533" t="s">
        <v>730</v>
      </c>
      <c r="Q6" s="533" t="s">
        <v>731</v>
      </c>
      <c r="R6" s="707"/>
      <c r="S6" s="707"/>
      <c r="T6" s="707"/>
      <c r="U6" s="707"/>
      <c r="V6" s="707"/>
      <c r="W6" s="707"/>
      <c r="X6" s="707"/>
      <c r="Y6" s="707"/>
      <c r="AA6" s="256"/>
      <c r="AB6" s="257"/>
    </row>
    <row r="7" spans="1:28" s="259" customFormat="1" ht="15">
      <c r="A7" s="258" t="s">
        <v>66</v>
      </c>
      <c r="B7" s="410" t="s">
        <v>67</v>
      </c>
      <c r="C7" s="410" t="s">
        <v>37</v>
      </c>
      <c r="D7" s="411" t="s">
        <v>182</v>
      </c>
      <c r="E7" s="411" t="s">
        <v>183</v>
      </c>
      <c r="F7" s="411" t="s">
        <v>38</v>
      </c>
      <c r="G7" s="411" t="s">
        <v>722</v>
      </c>
      <c r="H7" s="412" t="s">
        <v>723</v>
      </c>
      <c r="I7" s="412" t="s">
        <v>740</v>
      </c>
      <c r="J7" s="412" t="s">
        <v>39</v>
      </c>
      <c r="K7" s="412" t="s">
        <v>63</v>
      </c>
      <c r="L7" s="410" t="s">
        <v>741</v>
      </c>
      <c r="M7" s="412" t="s">
        <v>64</v>
      </c>
      <c r="N7" s="412" t="s">
        <v>65</v>
      </c>
      <c r="O7" s="412" t="s">
        <v>68</v>
      </c>
      <c r="P7" s="410" t="s">
        <v>167</v>
      </c>
      <c r="Q7" s="410" t="s">
        <v>742</v>
      </c>
      <c r="R7" s="412" t="s">
        <v>69</v>
      </c>
      <c r="S7" s="412" t="s">
        <v>70</v>
      </c>
      <c r="T7" s="412" t="s">
        <v>71</v>
      </c>
      <c r="U7" s="412" t="s">
        <v>72</v>
      </c>
      <c r="V7" s="412" t="s">
        <v>73</v>
      </c>
      <c r="W7" s="412" t="s">
        <v>74</v>
      </c>
      <c r="X7" s="412" t="s">
        <v>75</v>
      </c>
      <c r="Y7" s="413" t="s">
        <v>76</v>
      </c>
    </row>
    <row r="8" spans="1:28" s="255" customFormat="1" ht="15.75" customHeight="1">
      <c r="A8" s="538"/>
      <c r="B8" s="539" t="s">
        <v>471</v>
      </c>
      <c r="C8" s="540"/>
      <c r="D8" s="540"/>
      <c r="E8" s="540"/>
      <c r="F8" s="540"/>
      <c r="G8" s="540"/>
      <c r="H8" s="540"/>
      <c r="I8" s="540"/>
      <c r="J8" s="540"/>
      <c r="K8" s="540"/>
      <c r="L8" s="540"/>
      <c r="M8" s="540"/>
      <c r="N8" s="540"/>
      <c r="O8" s="540"/>
      <c r="P8" s="540"/>
      <c r="Q8" s="540"/>
      <c r="R8" s="540"/>
      <c r="S8" s="540"/>
      <c r="T8" s="540"/>
      <c r="U8" s="540"/>
      <c r="V8" s="540"/>
      <c r="W8" s="540"/>
      <c r="X8" s="540"/>
      <c r="Y8" s="540"/>
      <c r="AA8" s="257"/>
    </row>
    <row r="9" spans="1:28" s="255" customFormat="1" ht="15.75" customHeight="1">
      <c r="A9" s="541">
        <v>10</v>
      </c>
      <c r="B9" s="542" t="s">
        <v>672</v>
      </c>
      <c r="C9" s="543">
        <f t="shared" ref="C9:C10" si="0">SUM(J9:Y9)-L9-P9-Q9</f>
        <v>66483813</v>
      </c>
      <c r="D9" s="544">
        <v>58423933</v>
      </c>
      <c r="E9" s="544">
        <v>8059880</v>
      </c>
      <c r="F9" s="543">
        <f>+G9+H9+I9</f>
        <v>0</v>
      </c>
      <c r="G9" s="544"/>
      <c r="H9" s="544"/>
      <c r="I9" s="544"/>
      <c r="J9" s="544">
        <v>0</v>
      </c>
      <c r="K9" s="544">
        <v>0</v>
      </c>
      <c r="L9" s="544">
        <v>0</v>
      </c>
      <c r="M9" s="544">
        <v>8233107</v>
      </c>
      <c r="N9" s="544">
        <v>0</v>
      </c>
      <c r="O9" s="543">
        <f t="shared" ref="O9:O13" si="1">+P9+Q9</f>
        <v>52232459</v>
      </c>
      <c r="P9" s="544">
        <v>1946804</v>
      </c>
      <c r="Q9" s="544">
        <v>50285655</v>
      </c>
      <c r="R9" s="544">
        <v>0</v>
      </c>
      <c r="S9" s="544">
        <v>0</v>
      </c>
      <c r="T9" s="544">
        <v>0</v>
      </c>
      <c r="U9" s="544">
        <v>0</v>
      </c>
      <c r="V9" s="544">
        <v>0</v>
      </c>
      <c r="W9" s="544">
        <v>3823110</v>
      </c>
      <c r="X9" s="544">
        <v>0</v>
      </c>
      <c r="Y9" s="544">
        <v>2195137</v>
      </c>
      <c r="AB9" s="260"/>
    </row>
    <row r="10" spans="1:28" s="261" customFormat="1" ht="15.75" customHeight="1">
      <c r="A10" s="545">
        <f t="shared" ref="A10:A66" si="2">A9+10</f>
        <v>20</v>
      </c>
      <c r="B10" s="542" t="s">
        <v>403</v>
      </c>
      <c r="C10" s="543">
        <f t="shared" si="0"/>
        <v>140690337</v>
      </c>
      <c r="D10" s="544">
        <v>95525</v>
      </c>
      <c r="E10" s="544">
        <v>140594812</v>
      </c>
      <c r="F10" s="543">
        <f t="shared" ref="F10:F14" si="3">+G10+H10+I10</f>
        <v>0</v>
      </c>
      <c r="G10" s="544"/>
      <c r="H10" s="544"/>
      <c r="I10" s="544">
        <v>0</v>
      </c>
      <c r="J10" s="544">
        <v>0</v>
      </c>
      <c r="K10" s="544">
        <v>0</v>
      </c>
      <c r="L10" s="544">
        <v>0</v>
      </c>
      <c r="M10" s="544">
        <v>1461627</v>
      </c>
      <c r="N10" s="544">
        <v>0</v>
      </c>
      <c r="O10" s="543">
        <f t="shared" si="1"/>
        <v>83408855</v>
      </c>
      <c r="P10" s="544">
        <v>5708329</v>
      </c>
      <c r="Q10" s="544">
        <v>77700526</v>
      </c>
      <c r="R10" s="544">
        <v>0</v>
      </c>
      <c r="S10" s="544">
        <v>0</v>
      </c>
      <c r="T10" s="544">
        <v>0</v>
      </c>
      <c r="U10" s="544">
        <v>0</v>
      </c>
      <c r="V10" s="544">
        <v>55819855</v>
      </c>
      <c r="W10" s="544">
        <v>0</v>
      </c>
      <c r="X10" s="544">
        <v>0</v>
      </c>
      <c r="Y10" s="544">
        <v>0</v>
      </c>
      <c r="AB10" s="260"/>
    </row>
    <row r="11" spans="1:28" s="261" customFormat="1" ht="15.75" customHeight="1">
      <c r="A11" s="545">
        <f t="shared" si="2"/>
        <v>30</v>
      </c>
      <c r="B11" s="542" t="s">
        <v>404</v>
      </c>
      <c r="C11" s="543">
        <f>SUM(J11:Y11)-L11-P11-Q11</f>
        <v>1962079023</v>
      </c>
      <c r="D11" s="544">
        <v>580176572</v>
      </c>
      <c r="E11" s="544">
        <v>1381902451</v>
      </c>
      <c r="F11" s="543">
        <f t="shared" si="3"/>
        <v>63304584</v>
      </c>
      <c r="G11" s="544">
        <v>19324688</v>
      </c>
      <c r="H11" s="544">
        <v>38341982</v>
      </c>
      <c r="I11" s="544">
        <v>5637914</v>
      </c>
      <c r="J11" s="544">
        <v>51040000</v>
      </c>
      <c r="K11" s="544">
        <v>0</v>
      </c>
      <c r="L11" s="544">
        <v>0</v>
      </c>
      <c r="M11" s="544">
        <v>12651577</v>
      </c>
      <c r="N11" s="544">
        <v>0</v>
      </c>
      <c r="O11" s="543">
        <f t="shared" si="1"/>
        <v>1757072231</v>
      </c>
      <c r="P11" s="544">
        <v>136576719</v>
      </c>
      <c r="Q11" s="544">
        <v>1620495512</v>
      </c>
      <c r="R11" s="544">
        <v>0</v>
      </c>
      <c r="S11" s="544">
        <v>0</v>
      </c>
      <c r="T11" s="544">
        <v>0</v>
      </c>
      <c r="U11" s="544">
        <v>0</v>
      </c>
      <c r="V11" s="544">
        <v>106587570</v>
      </c>
      <c r="W11" s="544">
        <v>7482740</v>
      </c>
      <c r="X11" s="544">
        <v>0</v>
      </c>
      <c r="Y11" s="544">
        <v>27244905</v>
      </c>
      <c r="AB11" s="260"/>
    </row>
    <row r="12" spans="1:28" s="261" customFormat="1" ht="15.75" customHeight="1">
      <c r="A12" s="545">
        <f t="shared" si="2"/>
        <v>40</v>
      </c>
      <c r="B12" s="542" t="s">
        <v>400</v>
      </c>
      <c r="C12" s="543">
        <f t="shared" ref="C12:C13" si="4">SUM(J12:Y12)-L12-P12-Q12</f>
        <v>0</v>
      </c>
      <c r="D12" s="544"/>
      <c r="E12" s="544"/>
      <c r="F12" s="543">
        <f t="shared" si="3"/>
        <v>0</v>
      </c>
      <c r="G12" s="544"/>
      <c r="H12" s="544">
        <v>0</v>
      </c>
      <c r="I12" s="544">
        <v>0</v>
      </c>
      <c r="J12" s="544">
        <v>0</v>
      </c>
      <c r="K12" s="544">
        <v>0</v>
      </c>
      <c r="L12" s="544">
        <v>0</v>
      </c>
      <c r="M12" s="544">
        <v>0</v>
      </c>
      <c r="N12" s="544">
        <v>0</v>
      </c>
      <c r="O12" s="543">
        <f t="shared" si="1"/>
        <v>0</v>
      </c>
      <c r="P12" s="544">
        <v>0</v>
      </c>
      <c r="Q12" s="544">
        <v>0</v>
      </c>
      <c r="R12" s="544">
        <v>0</v>
      </c>
      <c r="S12" s="544">
        <v>0</v>
      </c>
      <c r="T12" s="544">
        <v>0</v>
      </c>
      <c r="U12" s="544">
        <v>0</v>
      </c>
      <c r="V12" s="544">
        <v>0</v>
      </c>
      <c r="W12" s="544">
        <v>0</v>
      </c>
      <c r="X12" s="544">
        <v>0</v>
      </c>
      <c r="Y12" s="544">
        <v>0</v>
      </c>
      <c r="AB12" s="260"/>
    </row>
    <row r="13" spans="1:28" s="261" customFormat="1" ht="15.75" customHeight="1">
      <c r="A13" s="545">
        <f>A12+10</f>
        <v>50</v>
      </c>
      <c r="B13" s="542" t="s">
        <v>677</v>
      </c>
      <c r="C13" s="543">
        <f t="shared" si="4"/>
        <v>4435633</v>
      </c>
      <c r="D13" s="544">
        <v>4435633</v>
      </c>
      <c r="E13" s="544">
        <v>0</v>
      </c>
      <c r="F13" s="543">
        <f t="shared" si="3"/>
        <v>0</v>
      </c>
      <c r="G13" s="544"/>
      <c r="H13" s="544"/>
      <c r="I13" s="544"/>
      <c r="J13" s="544">
        <v>0</v>
      </c>
      <c r="K13" s="544">
        <v>0</v>
      </c>
      <c r="L13" s="544">
        <v>0</v>
      </c>
      <c r="M13" s="544">
        <v>1592662</v>
      </c>
      <c r="N13" s="544">
        <v>0</v>
      </c>
      <c r="O13" s="543">
        <f t="shared" si="1"/>
        <v>2824172</v>
      </c>
      <c r="P13" s="544">
        <v>220032</v>
      </c>
      <c r="Q13" s="544">
        <v>2604140</v>
      </c>
      <c r="R13" s="544">
        <v>0</v>
      </c>
      <c r="S13" s="544">
        <v>0</v>
      </c>
      <c r="T13" s="544">
        <v>0</v>
      </c>
      <c r="U13" s="544">
        <v>0</v>
      </c>
      <c r="V13" s="544">
        <v>18799</v>
      </c>
      <c r="W13" s="544">
        <v>0</v>
      </c>
      <c r="X13" s="544">
        <v>0</v>
      </c>
      <c r="Y13" s="544">
        <v>0</v>
      </c>
      <c r="AB13" s="260"/>
    </row>
    <row r="14" spans="1:28" s="607" customFormat="1" ht="15.75" customHeight="1">
      <c r="A14" s="605">
        <f>A13+10</f>
        <v>60</v>
      </c>
      <c r="B14" s="605" t="s">
        <v>235</v>
      </c>
      <c r="C14" s="606">
        <f t="shared" ref="C14" si="5">SUM(J14:Y14)-L14-P14-Q14</f>
        <v>2173688806</v>
      </c>
      <c r="D14" s="606">
        <f>SUM(D9:D13)</f>
        <v>643131663</v>
      </c>
      <c r="E14" s="606">
        <f>SUM(E9:E13)</f>
        <v>1530557143</v>
      </c>
      <c r="F14" s="606">
        <f t="shared" si="3"/>
        <v>63304584</v>
      </c>
      <c r="G14" s="606">
        <f t="shared" ref="G14" si="6">SUM(G9:G13)</f>
        <v>19324688</v>
      </c>
      <c r="H14" s="606">
        <f t="shared" ref="H14:Y14" si="7">SUM(H9:H13)</f>
        <v>38341982</v>
      </c>
      <c r="I14" s="606">
        <f t="shared" si="7"/>
        <v>5637914</v>
      </c>
      <c r="J14" s="606">
        <f t="shared" si="7"/>
        <v>51040000</v>
      </c>
      <c r="K14" s="606">
        <f t="shared" si="7"/>
        <v>0</v>
      </c>
      <c r="L14" s="606">
        <f t="shared" si="7"/>
        <v>0</v>
      </c>
      <c r="M14" s="606">
        <f t="shared" si="7"/>
        <v>23938973</v>
      </c>
      <c r="N14" s="606">
        <f t="shared" si="7"/>
        <v>0</v>
      </c>
      <c r="O14" s="606">
        <f t="shared" si="7"/>
        <v>1895537717</v>
      </c>
      <c r="P14" s="606">
        <f t="shared" si="7"/>
        <v>144451884</v>
      </c>
      <c r="Q14" s="606">
        <f t="shared" si="7"/>
        <v>1751085833</v>
      </c>
      <c r="R14" s="606">
        <f t="shared" si="7"/>
        <v>0</v>
      </c>
      <c r="S14" s="606">
        <f t="shared" si="7"/>
        <v>0</v>
      </c>
      <c r="T14" s="606">
        <f t="shared" si="7"/>
        <v>0</v>
      </c>
      <c r="U14" s="606">
        <f t="shared" si="7"/>
        <v>0</v>
      </c>
      <c r="V14" s="606">
        <f t="shared" si="7"/>
        <v>162426224</v>
      </c>
      <c r="W14" s="606">
        <f t="shared" si="7"/>
        <v>11305850</v>
      </c>
      <c r="X14" s="606">
        <f t="shared" si="7"/>
        <v>0</v>
      </c>
      <c r="Y14" s="606">
        <f t="shared" si="7"/>
        <v>29440042</v>
      </c>
      <c r="AA14" s="608"/>
      <c r="AB14" s="609"/>
    </row>
    <row r="15" spans="1:28" s="261" customFormat="1" ht="15.75" customHeight="1">
      <c r="A15" s="546"/>
      <c r="B15" s="539" t="s">
        <v>472</v>
      </c>
      <c r="C15" s="547"/>
      <c r="D15" s="547"/>
      <c r="E15" s="547"/>
      <c r="F15" s="547"/>
      <c r="G15" s="548"/>
      <c r="H15" s="547"/>
      <c r="I15" s="547"/>
      <c r="J15" s="547"/>
      <c r="K15" s="547"/>
      <c r="L15" s="547"/>
      <c r="M15" s="547"/>
      <c r="N15" s="547"/>
      <c r="O15" s="547"/>
      <c r="P15" s="547"/>
      <c r="Q15" s="547"/>
      <c r="R15" s="547"/>
      <c r="S15" s="547"/>
      <c r="T15" s="547"/>
      <c r="U15" s="547"/>
      <c r="V15" s="547"/>
      <c r="W15" s="547"/>
      <c r="X15" s="547"/>
      <c r="Y15" s="547"/>
      <c r="AA15" s="262"/>
      <c r="AB15" s="260"/>
    </row>
    <row r="16" spans="1:28" s="261" customFormat="1" ht="15.75" customHeight="1">
      <c r="A16" s="541">
        <v>70</v>
      </c>
      <c r="B16" s="542" t="s">
        <v>672</v>
      </c>
      <c r="C16" s="543">
        <f t="shared" ref="C16:C22" si="8">SUM(J16:Y16)-L16-P16-Q16</f>
        <v>0</v>
      </c>
      <c r="D16" s="544"/>
      <c r="E16" s="544"/>
      <c r="F16" s="543">
        <f t="shared" ref="F16:F22" si="9">+G16+H16+I16</f>
        <v>0</v>
      </c>
      <c r="G16" s="544"/>
      <c r="H16" s="544"/>
      <c r="I16" s="544"/>
      <c r="J16" s="544">
        <v>0</v>
      </c>
      <c r="K16" s="544">
        <v>0</v>
      </c>
      <c r="L16" s="544">
        <v>0</v>
      </c>
      <c r="M16" s="544">
        <v>0</v>
      </c>
      <c r="N16" s="544">
        <v>0</v>
      </c>
      <c r="O16" s="543">
        <f t="shared" ref="O16:O20" si="10">+P16+Q16</f>
        <v>0</v>
      </c>
      <c r="P16" s="544">
        <v>0</v>
      </c>
      <c r="Q16" s="544">
        <v>0</v>
      </c>
      <c r="R16" s="544">
        <v>0</v>
      </c>
      <c r="S16" s="544">
        <v>0</v>
      </c>
      <c r="T16" s="544">
        <v>0</v>
      </c>
      <c r="U16" s="544">
        <v>0</v>
      </c>
      <c r="V16" s="544">
        <v>0</v>
      </c>
      <c r="W16" s="544">
        <v>0</v>
      </c>
      <c r="X16" s="544">
        <v>0</v>
      </c>
      <c r="Y16" s="544">
        <v>0</v>
      </c>
      <c r="AB16" s="260"/>
    </row>
    <row r="17" spans="1:28" s="255" customFormat="1" ht="15.75" customHeight="1">
      <c r="A17" s="545">
        <f t="shared" si="2"/>
        <v>80</v>
      </c>
      <c r="B17" s="542" t="s">
        <v>403</v>
      </c>
      <c r="C17" s="543">
        <f t="shared" si="8"/>
        <v>0</v>
      </c>
      <c r="D17" s="544"/>
      <c r="E17" s="544"/>
      <c r="F17" s="543">
        <f t="shared" si="9"/>
        <v>0</v>
      </c>
      <c r="G17" s="544"/>
      <c r="H17" s="544"/>
      <c r="I17" s="544"/>
      <c r="J17" s="544">
        <v>0</v>
      </c>
      <c r="K17" s="544">
        <v>0</v>
      </c>
      <c r="L17" s="544">
        <v>0</v>
      </c>
      <c r="M17" s="544">
        <v>0</v>
      </c>
      <c r="N17" s="544">
        <v>0</v>
      </c>
      <c r="O17" s="543">
        <f t="shared" si="10"/>
        <v>0</v>
      </c>
      <c r="P17" s="544">
        <v>0</v>
      </c>
      <c r="Q17" s="544">
        <v>0</v>
      </c>
      <c r="R17" s="544">
        <v>0</v>
      </c>
      <c r="S17" s="544">
        <v>0</v>
      </c>
      <c r="T17" s="544">
        <v>0</v>
      </c>
      <c r="U17" s="544">
        <v>0</v>
      </c>
      <c r="V17" s="544">
        <v>0</v>
      </c>
      <c r="W17" s="544">
        <v>0</v>
      </c>
      <c r="X17" s="544">
        <v>0</v>
      </c>
      <c r="Y17" s="544">
        <v>0</v>
      </c>
      <c r="AB17" s="260"/>
    </row>
    <row r="18" spans="1:28" s="255" customFormat="1" ht="15.75" customHeight="1">
      <c r="A18" s="545">
        <f t="shared" si="2"/>
        <v>90</v>
      </c>
      <c r="B18" s="542" t="s">
        <v>404</v>
      </c>
      <c r="C18" s="543">
        <f t="shared" si="8"/>
        <v>119000311</v>
      </c>
      <c r="D18" s="544">
        <v>27719556</v>
      </c>
      <c r="E18" s="544">
        <v>91280755</v>
      </c>
      <c r="F18" s="543">
        <f t="shared" si="9"/>
        <v>4025906</v>
      </c>
      <c r="G18" s="544"/>
      <c r="H18" s="544">
        <v>2545216</v>
      </c>
      <c r="I18" s="544">
        <v>1480690</v>
      </c>
      <c r="J18" s="544">
        <v>1896881</v>
      </c>
      <c r="K18" s="544">
        <v>0</v>
      </c>
      <c r="L18" s="544">
        <v>0</v>
      </c>
      <c r="M18" s="544">
        <v>9247642</v>
      </c>
      <c r="N18" s="544">
        <v>0</v>
      </c>
      <c r="O18" s="543">
        <f t="shared" si="10"/>
        <v>89933390</v>
      </c>
      <c r="P18" s="544">
        <v>3084159</v>
      </c>
      <c r="Q18" s="544">
        <v>86849231</v>
      </c>
      <c r="R18" s="544">
        <v>0</v>
      </c>
      <c r="S18" s="544">
        <v>0</v>
      </c>
      <c r="T18" s="544">
        <v>0</v>
      </c>
      <c r="U18" s="544">
        <v>0</v>
      </c>
      <c r="V18" s="544">
        <v>16864674</v>
      </c>
      <c r="W18" s="544">
        <v>1057724</v>
      </c>
      <c r="X18" s="544">
        <v>0</v>
      </c>
      <c r="Y18" s="544">
        <v>0</v>
      </c>
      <c r="AB18" s="260"/>
    </row>
    <row r="19" spans="1:28" s="255" customFormat="1" ht="15.75" customHeight="1">
      <c r="A19" s="545">
        <f>A18+10</f>
        <v>100</v>
      </c>
      <c r="B19" s="542" t="s">
        <v>673</v>
      </c>
      <c r="C19" s="543">
        <f t="shared" si="8"/>
        <v>29599367</v>
      </c>
      <c r="D19" s="544">
        <v>3736421</v>
      </c>
      <c r="E19" s="544">
        <v>25862946</v>
      </c>
      <c r="F19" s="543">
        <f t="shared" si="9"/>
        <v>0</v>
      </c>
      <c r="G19" s="544"/>
      <c r="H19" s="544"/>
      <c r="I19" s="544"/>
      <c r="J19" s="544">
        <v>0</v>
      </c>
      <c r="K19" s="544">
        <v>0</v>
      </c>
      <c r="L19" s="544">
        <v>0</v>
      </c>
      <c r="M19" s="544">
        <v>476602</v>
      </c>
      <c r="N19" s="544">
        <v>0</v>
      </c>
      <c r="O19" s="543">
        <f t="shared" si="10"/>
        <v>29122765</v>
      </c>
      <c r="P19" s="544">
        <v>253333</v>
      </c>
      <c r="Q19" s="544">
        <v>28869432</v>
      </c>
      <c r="R19" s="544">
        <v>0</v>
      </c>
      <c r="S19" s="544">
        <v>0</v>
      </c>
      <c r="T19" s="544">
        <v>0</v>
      </c>
      <c r="U19" s="544">
        <v>0</v>
      </c>
      <c r="V19" s="544">
        <v>0</v>
      </c>
      <c r="W19" s="544">
        <v>0</v>
      </c>
      <c r="X19" s="544">
        <v>0</v>
      </c>
      <c r="Y19" s="544">
        <v>0</v>
      </c>
      <c r="AB19" s="260"/>
    </row>
    <row r="20" spans="1:28" s="255" customFormat="1" ht="15.75" customHeight="1">
      <c r="A20" s="545">
        <f t="shared" si="2"/>
        <v>110</v>
      </c>
      <c r="B20" s="542" t="s">
        <v>400</v>
      </c>
      <c r="C20" s="543">
        <f t="shared" si="8"/>
        <v>0</v>
      </c>
      <c r="D20" s="544"/>
      <c r="E20" s="544"/>
      <c r="F20" s="543">
        <f t="shared" si="9"/>
        <v>0</v>
      </c>
      <c r="G20" s="544"/>
      <c r="H20" s="544"/>
      <c r="I20" s="544"/>
      <c r="J20" s="544">
        <v>0</v>
      </c>
      <c r="K20" s="544">
        <v>0</v>
      </c>
      <c r="L20" s="544">
        <v>0</v>
      </c>
      <c r="M20" s="544">
        <v>0</v>
      </c>
      <c r="N20" s="544">
        <v>0</v>
      </c>
      <c r="O20" s="543">
        <f t="shared" si="10"/>
        <v>0</v>
      </c>
      <c r="P20" s="544">
        <v>0</v>
      </c>
      <c r="Q20" s="544">
        <v>0</v>
      </c>
      <c r="R20" s="544">
        <v>0</v>
      </c>
      <c r="S20" s="544">
        <v>0</v>
      </c>
      <c r="T20" s="544">
        <v>0</v>
      </c>
      <c r="U20" s="544">
        <v>0</v>
      </c>
      <c r="V20" s="544">
        <v>0</v>
      </c>
      <c r="W20" s="544">
        <v>0</v>
      </c>
      <c r="X20" s="544">
        <v>0</v>
      </c>
      <c r="Y20" s="544">
        <v>0</v>
      </c>
      <c r="AB20" s="260"/>
    </row>
    <row r="21" spans="1:28" s="255" customFormat="1" ht="15.75" customHeight="1">
      <c r="A21" s="545">
        <f>A20+10</f>
        <v>120</v>
      </c>
      <c r="B21" s="542" t="s">
        <v>677</v>
      </c>
      <c r="C21" s="543">
        <f t="shared" si="8"/>
        <v>494958</v>
      </c>
      <c r="D21" s="544">
        <v>494958</v>
      </c>
      <c r="E21" s="544">
        <v>0</v>
      </c>
      <c r="F21" s="543">
        <f t="shared" si="9"/>
        <v>0</v>
      </c>
      <c r="G21" s="544"/>
      <c r="H21" s="544"/>
      <c r="I21" s="544"/>
      <c r="J21" s="544">
        <v>0</v>
      </c>
      <c r="K21" s="544">
        <v>0</v>
      </c>
      <c r="L21" s="544">
        <v>0</v>
      </c>
      <c r="M21" s="544">
        <v>335472</v>
      </c>
      <c r="N21" s="544">
        <v>0</v>
      </c>
      <c r="O21" s="543">
        <f>+P21+Q21</f>
        <v>74638</v>
      </c>
      <c r="P21" s="544">
        <v>0</v>
      </c>
      <c r="Q21" s="544">
        <v>74638</v>
      </c>
      <c r="R21" s="544">
        <v>0</v>
      </c>
      <c r="S21" s="544">
        <v>0</v>
      </c>
      <c r="T21" s="544">
        <v>0</v>
      </c>
      <c r="U21" s="544">
        <v>0</v>
      </c>
      <c r="V21" s="544">
        <v>84848</v>
      </c>
      <c r="W21" s="544">
        <v>0</v>
      </c>
      <c r="X21" s="544">
        <v>0</v>
      </c>
      <c r="Y21" s="544">
        <v>0</v>
      </c>
      <c r="AB21" s="260"/>
    </row>
    <row r="22" spans="1:28" s="607" customFormat="1" ht="15.75" customHeight="1">
      <c r="A22" s="605">
        <f>A21+10</f>
        <v>130</v>
      </c>
      <c r="B22" s="605" t="s">
        <v>235</v>
      </c>
      <c r="C22" s="606">
        <f t="shared" si="8"/>
        <v>149094636</v>
      </c>
      <c r="D22" s="606">
        <f>SUM(D16:D21)</f>
        <v>31950935</v>
      </c>
      <c r="E22" s="606">
        <f>SUM(E16:E21)</f>
        <v>117143701</v>
      </c>
      <c r="F22" s="606">
        <f t="shared" si="9"/>
        <v>4025906</v>
      </c>
      <c r="G22" s="606">
        <f t="shared" ref="G22:I22" si="11">SUM(G17:G21)</f>
        <v>0</v>
      </c>
      <c r="H22" s="606">
        <f t="shared" si="11"/>
        <v>2545216</v>
      </c>
      <c r="I22" s="606">
        <f t="shared" si="11"/>
        <v>1480690</v>
      </c>
      <c r="J22" s="606">
        <f t="shared" ref="J22:Y22" si="12">SUM(J16:J21)</f>
        <v>1896881</v>
      </c>
      <c r="K22" s="606">
        <f t="shared" si="12"/>
        <v>0</v>
      </c>
      <c r="L22" s="606">
        <f t="shared" si="12"/>
        <v>0</v>
      </c>
      <c r="M22" s="606">
        <f t="shared" si="12"/>
        <v>10059716</v>
      </c>
      <c r="N22" s="606">
        <f t="shared" si="12"/>
        <v>0</v>
      </c>
      <c r="O22" s="606">
        <f t="shared" si="12"/>
        <v>119130793</v>
      </c>
      <c r="P22" s="606">
        <f t="shared" si="12"/>
        <v>3337492</v>
      </c>
      <c r="Q22" s="606">
        <f t="shared" si="12"/>
        <v>115793301</v>
      </c>
      <c r="R22" s="606">
        <f t="shared" si="12"/>
        <v>0</v>
      </c>
      <c r="S22" s="606">
        <f t="shared" si="12"/>
        <v>0</v>
      </c>
      <c r="T22" s="606">
        <f t="shared" si="12"/>
        <v>0</v>
      </c>
      <c r="U22" s="606">
        <f t="shared" si="12"/>
        <v>0</v>
      </c>
      <c r="V22" s="606">
        <f t="shared" si="12"/>
        <v>16949522</v>
      </c>
      <c r="W22" s="606">
        <f t="shared" si="12"/>
        <v>1057724</v>
      </c>
      <c r="X22" s="606">
        <f t="shared" si="12"/>
        <v>0</v>
      </c>
      <c r="Y22" s="606">
        <f t="shared" si="12"/>
        <v>0</v>
      </c>
      <c r="AA22" s="608"/>
      <c r="AB22" s="609"/>
    </row>
    <row r="23" spans="1:28" s="255" customFormat="1" ht="15.75" customHeight="1">
      <c r="A23" s="546"/>
      <c r="B23" s="539" t="s">
        <v>473</v>
      </c>
      <c r="C23" s="547"/>
      <c r="D23" s="547"/>
      <c r="E23" s="547"/>
      <c r="F23" s="547"/>
      <c r="G23" s="548"/>
      <c r="H23" s="547"/>
      <c r="I23" s="547"/>
      <c r="J23" s="547"/>
      <c r="K23" s="547"/>
      <c r="L23" s="547"/>
      <c r="M23" s="547"/>
      <c r="N23" s="547"/>
      <c r="O23" s="547"/>
      <c r="P23" s="547"/>
      <c r="Q23" s="547"/>
      <c r="R23" s="547"/>
      <c r="S23" s="547"/>
      <c r="T23" s="547"/>
      <c r="U23" s="547"/>
      <c r="V23" s="547"/>
      <c r="W23" s="547"/>
      <c r="X23" s="547"/>
      <c r="Y23" s="547"/>
      <c r="AA23" s="257"/>
      <c r="AB23" s="260"/>
    </row>
    <row r="24" spans="1:28" s="255" customFormat="1" ht="15.75" customHeight="1">
      <c r="A24" s="541">
        <v>140</v>
      </c>
      <c r="B24" s="542" t="s">
        <v>672</v>
      </c>
      <c r="C24" s="543">
        <f t="shared" ref="C24:C29" si="13">SUM(J24:Y24)-L24-P24-Q24</f>
        <v>546028864</v>
      </c>
      <c r="D24" s="544">
        <v>534859531</v>
      </c>
      <c r="E24" s="544">
        <v>11169333</v>
      </c>
      <c r="F24" s="543">
        <f>+G24+H24+I24</f>
        <v>0</v>
      </c>
      <c r="G24" s="544"/>
      <c r="H24" s="544"/>
      <c r="I24" s="544"/>
      <c r="J24" s="544">
        <v>198333333</v>
      </c>
      <c r="K24" s="544">
        <v>0</v>
      </c>
      <c r="L24" s="544">
        <v>0</v>
      </c>
      <c r="M24" s="544">
        <v>0</v>
      </c>
      <c r="N24" s="544">
        <v>0</v>
      </c>
      <c r="O24" s="543">
        <f t="shared" ref="O24:O28" si="14">+P24+Q24</f>
        <v>105069335</v>
      </c>
      <c r="P24" s="544">
        <v>0</v>
      </c>
      <c r="Q24" s="544">
        <v>105069335</v>
      </c>
      <c r="R24" s="544">
        <v>0</v>
      </c>
      <c r="S24" s="544">
        <v>0</v>
      </c>
      <c r="T24" s="544">
        <v>0</v>
      </c>
      <c r="U24" s="544">
        <v>0</v>
      </c>
      <c r="V24" s="544">
        <v>242626196</v>
      </c>
      <c r="W24" s="544">
        <v>0</v>
      </c>
      <c r="X24" s="544">
        <v>0</v>
      </c>
      <c r="Y24" s="544">
        <v>0</v>
      </c>
      <c r="AB24" s="260"/>
    </row>
    <row r="25" spans="1:28" s="255" customFormat="1" ht="15.75" customHeight="1">
      <c r="A25" s="545">
        <f t="shared" si="2"/>
        <v>150</v>
      </c>
      <c r="B25" s="542" t="s">
        <v>403</v>
      </c>
      <c r="C25" s="543">
        <f t="shared" si="13"/>
        <v>0</v>
      </c>
      <c r="D25" s="544"/>
      <c r="E25" s="544"/>
      <c r="F25" s="543">
        <f t="shared" ref="F25:F29" si="15">+G25+H25+I25</f>
        <v>0</v>
      </c>
      <c r="G25" s="544"/>
      <c r="H25" s="544"/>
      <c r="I25" s="544"/>
      <c r="J25" s="544">
        <v>0</v>
      </c>
      <c r="K25" s="544">
        <v>0</v>
      </c>
      <c r="L25" s="544">
        <v>0</v>
      </c>
      <c r="M25" s="544">
        <v>0</v>
      </c>
      <c r="N25" s="544">
        <v>0</v>
      </c>
      <c r="O25" s="543">
        <f t="shared" si="14"/>
        <v>0</v>
      </c>
      <c r="P25" s="544">
        <v>0</v>
      </c>
      <c r="Q25" s="544">
        <v>0</v>
      </c>
      <c r="R25" s="544">
        <v>0</v>
      </c>
      <c r="S25" s="544">
        <v>0</v>
      </c>
      <c r="T25" s="544">
        <v>0</v>
      </c>
      <c r="U25" s="544">
        <v>0</v>
      </c>
      <c r="V25" s="544">
        <v>0</v>
      </c>
      <c r="W25" s="544">
        <v>0</v>
      </c>
      <c r="X25" s="544">
        <v>0</v>
      </c>
      <c r="Y25" s="544">
        <v>0</v>
      </c>
      <c r="AB25" s="260"/>
    </row>
    <row r="26" spans="1:28" s="255" customFormat="1" ht="15.75" customHeight="1">
      <c r="A26" s="545">
        <f t="shared" si="2"/>
        <v>160</v>
      </c>
      <c r="B26" s="542" t="s">
        <v>404</v>
      </c>
      <c r="C26" s="543">
        <f t="shared" si="13"/>
        <v>108990895</v>
      </c>
      <c r="D26" s="544">
        <v>97237671</v>
      </c>
      <c r="E26" s="544">
        <v>11753224</v>
      </c>
      <c r="F26" s="543">
        <f t="shared" si="15"/>
        <v>10062890</v>
      </c>
      <c r="G26" s="544">
        <v>3672445</v>
      </c>
      <c r="H26" s="544">
        <v>566519</v>
      </c>
      <c r="I26" s="544">
        <v>5823926</v>
      </c>
      <c r="J26" s="544">
        <v>24052849</v>
      </c>
      <c r="K26" s="544">
        <v>0</v>
      </c>
      <c r="L26" s="544">
        <v>0</v>
      </c>
      <c r="M26" s="544">
        <v>44862001</v>
      </c>
      <c r="N26" s="544">
        <v>0</v>
      </c>
      <c r="O26" s="543">
        <f t="shared" si="14"/>
        <v>39641347</v>
      </c>
      <c r="P26" s="544">
        <v>7666824</v>
      </c>
      <c r="Q26" s="544">
        <v>31974523</v>
      </c>
      <c r="R26" s="544">
        <v>0</v>
      </c>
      <c r="S26" s="544">
        <v>0</v>
      </c>
      <c r="T26" s="544">
        <v>0</v>
      </c>
      <c r="U26" s="544">
        <v>0</v>
      </c>
      <c r="V26" s="544">
        <v>0</v>
      </c>
      <c r="W26" s="544">
        <v>434698</v>
      </c>
      <c r="X26" s="544">
        <v>0</v>
      </c>
      <c r="Y26" s="544">
        <v>0</v>
      </c>
      <c r="AB26" s="260"/>
    </row>
    <row r="27" spans="1:28" s="255" customFormat="1" ht="15.75" customHeight="1">
      <c r="A27" s="545">
        <f t="shared" si="2"/>
        <v>170</v>
      </c>
      <c r="B27" s="542" t="s">
        <v>400</v>
      </c>
      <c r="C27" s="543">
        <f t="shared" si="13"/>
        <v>0</v>
      </c>
      <c r="D27" s="544"/>
      <c r="E27" s="544"/>
      <c r="F27" s="543">
        <f t="shared" si="15"/>
        <v>0</v>
      </c>
      <c r="G27" s="544"/>
      <c r="H27" s="544"/>
      <c r="I27" s="544"/>
      <c r="J27" s="544">
        <v>0</v>
      </c>
      <c r="K27" s="544">
        <v>0</v>
      </c>
      <c r="L27" s="544">
        <v>0</v>
      </c>
      <c r="M27" s="544">
        <v>0</v>
      </c>
      <c r="N27" s="544">
        <v>0</v>
      </c>
      <c r="O27" s="543">
        <f t="shared" si="14"/>
        <v>0</v>
      </c>
      <c r="P27" s="544">
        <v>0</v>
      </c>
      <c r="Q27" s="544">
        <v>0</v>
      </c>
      <c r="R27" s="544">
        <v>0</v>
      </c>
      <c r="S27" s="544">
        <v>0</v>
      </c>
      <c r="T27" s="544">
        <v>0</v>
      </c>
      <c r="U27" s="544">
        <v>0</v>
      </c>
      <c r="V27" s="544">
        <v>0</v>
      </c>
      <c r="W27" s="544">
        <v>0</v>
      </c>
      <c r="X27" s="544">
        <v>0</v>
      </c>
      <c r="Y27" s="544">
        <v>0</v>
      </c>
      <c r="AB27" s="260"/>
    </row>
    <row r="28" spans="1:28" s="255" customFormat="1" ht="15.75" customHeight="1">
      <c r="A28" s="545">
        <f>A27+10</f>
        <v>180</v>
      </c>
      <c r="B28" s="549" t="s">
        <v>677</v>
      </c>
      <c r="C28" s="543">
        <f t="shared" si="13"/>
        <v>19448230</v>
      </c>
      <c r="D28" s="544">
        <v>19448230</v>
      </c>
      <c r="E28" s="544">
        <v>0</v>
      </c>
      <c r="F28" s="543">
        <f t="shared" si="15"/>
        <v>0</v>
      </c>
      <c r="G28" s="544"/>
      <c r="H28" s="544"/>
      <c r="I28" s="544"/>
      <c r="J28" s="544">
        <v>0</v>
      </c>
      <c r="K28" s="544">
        <v>0</v>
      </c>
      <c r="L28" s="544">
        <v>0</v>
      </c>
      <c r="M28" s="544">
        <v>18458230</v>
      </c>
      <c r="N28" s="544">
        <v>0</v>
      </c>
      <c r="O28" s="543">
        <f t="shared" si="14"/>
        <v>990000</v>
      </c>
      <c r="P28" s="544">
        <v>500000</v>
      </c>
      <c r="Q28" s="544">
        <v>490000</v>
      </c>
      <c r="R28" s="544">
        <v>0</v>
      </c>
      <c r="S28" s="544">
        <v>0</v>
      </c>
      <c r="T28" s="544">
        <v>0</v>
      </c>
      <c r="U28" s="544">
        <v>0</v>
      </c>
      <c r="V28" s="544">
        <v>0</v>
      </c>
      <c r="W28" s="544">
        <v>0</v>
      </c>
      <c r="X28" s="544">
        <v>0</v>
      </c>
      <c r="Y28" s="544">
        <v>0</v>
      </c>
      <c r="AB28" s="260"/>
    </row>
    <row r="29" spans="1:28" s="607" customFormat="1" ht="15.75" customHeight="1">
      <c r="A29" s="605">
        <f>A28+10</f>
        <v>190</v>
      </c>
      <c r="B29" s="605" t="s">
        <v>235</v>
      </c>
      <c r="C29" s="606">
        <f t="shared" si="13"/>
        <v>674467989</v>
      </c>
      <c r="D29" s="606">
        <f>SUM(D24:D28)</f>
        <v>651545432</v>
      </c>
      <c r="E29" s="606">
        <f>SUM(E24:E28)</f>
        <v>22922557</v>
      </c>
      <c r="F29" s="606">
        <f t="shared" si="15"/>
        <v>10062890</v>
      </c>
      <c r="G29" s="606">
        <f t="shared" ref="G29:I29" si="16">SUM(G24:G28)</f>
        <v>3672445</v>
      </c>
      <c r="H29" s="606">
        <f t="shared" si="16"/>
        <v>566519</v>
      </c>
      <c r="I29" s="606">
        <f t="shared" si="16"/>
        <v>5823926</v>
      </c>
      <c r="J29" s="606">
        <f t="shared" ref="J29:Y29" si="17">SUM(J24:J28)</f>
        <v>222386182</v>
      </c>
      <c r="K29" s="606">
        <f t="shared" si="17"/>
        <v>0</v>
      </c>
      <c r="L29" s="606">
        <f t="shared" si="17"/>
        <v>0</v>
      </c>
      <c r="M29" s="606">
        <f t="shared" si="17"/>
        <v>63320231</v>
      </c>
      <c r="N29" s="606">
        <f t="shared" si="17"/>
        <v>0</v>
      </c>
      <c r="O29" s="606">
        <f t="shared" si="17"/>
        <v>145700682</v>
      </c>
      <c r="P29" s="606">
        <f t="shared" si="17"/>
        <v>8166824</v>
      </c>
      <c r="Q29" s="606">
        <f t="shared" si="17"/>
        <v>137533858</v>
      </c>
      <c r="R29" s="606">
        <f t="shared" si="17"/>
        <v>0</v>
      </c>
      <c r="S29" s="606">
        <f t="shared" si="17"/>
        <v>0</v>
      </c>
      <c r="T29" s="606">
        <f t="shared" si="17"/>
        <v>0</v>
      </c>
      <c r="U29" s="606">
        <f t="shared" si="17"/>
        <v>0</v>
      </c>
      <c r="V29" s="606">
        <f t="shared" si="17"/>
        <v>242626196</v>
      </c>
      <c r="W29" s="606">
        <f t="shared" si="17"/>
        <v>434698</v>
      </c>
      <c r="X29" s="606">
        <f t="shared" si="17"/>
        <v>0</v>
      </c>
      <c r="Y29" s="606">
        <f t="shared" si="17"/>
        <v>0</v>
      </c>
      <c r="AA29" s="608"/>
      <c r="AB29" s="609"/>
    </row>
    <row r="30" spans="1:28" s="255" customFormat="1" ht="15.75" customHeight="1">
      <c r="A30" s="546"/>
      <c r="B30" s="539" t="s">
        <v>474</v>
      </c>
      <c r="C30" s="547"/>
      <c r="D30" s="547"/>
      <c r="E30" s="547"/>
      <c r="F30" s="547"/>
      <c r="G30" s="548"/>
      <c r="H30" s="547"/>
      <c r="I30" s="547"/>
      <c r="J30" s="547"/>
      <c r="K30" s="547"/>
      <c r="L30" s="547"/>
      <c r="M30" s="547"/>
      <c r="N30" s="547"/>
      <c r="O30" s="547"/>
      <c r="P30" s="547"/>
      <c r="Q30" s="547"/>
      <c r="R30" s="547"/>
      <c r="S30" s="547"/>
      <c r="T30" s="547"/>
      <c r="U30" s="547"/>
      <c r="V30" s="547"/>
      <c r="W30" s="547"/>
      <c r="X30" s="547"/>
      <c r="Y30" s="547"/>
      <c r="AB30" s="260"/>
    </row>
    <row r="31" spans="1:28" s="255" customFormat="1" ht="15.75" customHeight="1">
      <c r="A31" s="541">
        <v>200</v>
      </c>
      <c r="B31" s="542" t="s">
        <v>672</v>
      </c>
      <c r="C31" s="543">
        <f t="shared" ref="C31:C36" si="18">SUM(J31:Y31)-L31-P31-Q31</f>
        <v>24326</v>
      </c>
      <c r="D31" s="544">
        <v>24326</v>
      </c>
      <c r="E31" s="544">
        <v>0</v>
      </c>
      <c r="F31" s="543">
        <f>+G31+H31+I31</f>
        <v>0</v>
      </c>
      <c r="G31" s="544"/>
      <c r="H31" s="544"/>
      <c r="I31" s="544"/>
      <c r="J31" s="544">
        <v>0</v>
      </c>
      <c r="K31" s="544">
        <v>0</v>
      </c>
      <c r="L31" s="544">
        <v>0</v>
      </c>
      <c r="M31" s="544">
        <v>24326</v>
      </c>
      <c r="N31" s="544">
        <v>0</v>
      </c>
      <c r="O31" s="543">
        <f t="shared" ref="O31:O35" si="19">+P31+Q31</f>
        <v>0</v>
      </c>
      <c r="P31" s="544">
        <v>0</v>
      </c>
      <c r="Q31" s="544">
        <v>0</v>
      </c>
      <c r="R31" s="544">
        <v>0</v>
      </c>
      <c r="S31" s="544">
        <v>0</v>
      </c>
      <c r="T31" s="544">
        <v>0</v>
      </c>
      <c r="U31" s="544">
        <v>0</v>
      </c>
      <c r="V31" s="544">
        <v>0</v>
      </c>
      <c r="W31" s="544">
        <v>0</v>
      </c>
      <c r="X31" s="544">
        <v>0</v>
      </c>
      <c r="Y31" s="544">
        <v>0</v>
      </c>
      <c r="AB31" s="260"/>
    </row>
    <row r="32" spans="1:28" s="255" customFormat="1" ht="15.75" customHeight="1">
      <c r="A32" s="545">
        <f t="shared" si="2"/>
        <v>210</v>
      </c>
      <c r="B32" s="542" t="s">
        <v>403</v>
      </c>
      <c r="C32" s="543">
        <f t="shared" si="18"/>
        <v>40748465</v>
      </c>
      <c r="D32" s="544"/>
      <c r="E32" s="544">
        <v>40748465</v>
      </c>
      <c r="F32" s="543">
        <f t="shared" ref="F32:F36" si="20">+G32+H32+I32</f>
        <v>0</v>
      </c>
      <c r="G32" s="544"/>
      <c r="H32" s="544"/>
      <c r="I32" s="544"/>
      <c r="J32" s="544">
        <v>0</v>
      </c>
      <c r="K32" s="544">
        <v>0</v>
      </c>
      <c r="L32" s="544">
        <v>0</v>
      </c>
      <c r="M32" s="544">
        <v>19160000</v>
      </c>
      <c r="N32" s="544">
        <v>0</v>
      </c>
      <c r="O32" s="543">
        <f t="shared" si="19"/>
        <v>18250000</v>
      </c>
      <c r="P32" s="544">
        <v>0</v>
      </c>
      <c r="Q32" s="544">
        <v>18250000</v>
      </c>
      <c r="R32" s="544">
        <v>3338465</v>
      </c>
      <c r="S32" s="544">
        <v>0</v>
      </c>
      <c r="T32" s="544">
        <v>0</v>
      </c>
      <c r="U32" s="544">
        <v>0</v>
      </c>
      <c r="V32" s="544">
        <v>0</v>
      </c>
      <c r="W32" s="544">
        <v>0</v>
      </c>
      <c r="X32" s="544">
        <v>0</v>
      </c>
      <c r="Y32" s="544">
        <v>0</v>
      </c>
      <c r="AB32" s="260"/>
    </row>
    <row r="33" spans="1:28" s="255" customFormat="1" ht="15.75" customHeight="1">
      <c r="A33" s="545">
        <f t="shared" si="2"/>
        <v>220</v>
      </c>
      <c r="B33" s="542" t="s">
        <v>404</v>
      </c>
      <c r="C33" s="543">
        <f t="shared" si="18"/>
        <v>709059563</v>
      </c>
      <c r="D33" s="544">
        <v>190848333</v>
      </c>
      <c r="E33" s="544">
        <v>518211230</v>
      </c>
      <c r="F33" s="543">
        <f t="shared" si="20"/>
        <v>14538564</v>
      </c>
      <c r="G33" s="544">
        <v>11075909</v>
      </c>
      <c r="H33" s="544">
        <v>3462655</v>
      </c>
      <c r="I33" s="544">
        <v>0</v>
      </c>
      <c r="J33" s="544">
        <v>155540</v>
      </c>
      <c r="K33" s="544">
        <v>0</v>
      </c>
      <c r="L33" s="544">
        <v>0</v>
      </c>
      <c r="M33" s="544">
        <v>49622097</v>
      </c>
      <c r="N33" s="544">
        <v>0</v>
      </c>
      <c r="O33" s="543">
        <f t="shared" si="19"/>
        <v>554248484</v>
      </c>
      <c r="P33" s="544">
        <v>22254037</v>
      </c>
      <c r="Q33" s="544">
        <v>531994447</v>
      </c>
      <c r="R33" s="544">
        <v>0</v>
      </c>
      <c r="S33" s="544">
        <v>0</v>
      </c>
      <c r="T33" s="544">
        <v>0</v>
      </c>
      <c r="U33" s="544">
        <v>0</v>
      </c>
      <c r="V33" s="544">
        <v>101028919</v>
      </c>
      <c r="W33" s="544">
        <v>4000000</v>
      </c>
      <c r="X33" s="544">
        <v>0</v>
      </c>
      <c r="Y33" s="544">
        <v>4523</v>
      </c>
      <c r="AB33" s="260"/>
    </row>
    <row r="34" spans="1:28" s="255" customFormat="1" ht="15.75" customHeight="1">
      <c r="A34" s="545">
        <f t="shared" si="2"/>
        <v>230</v>
      </c>
      <c r="B34" s="542" t="s">
        <v>400</v>
      </c>
      <c r="C34" s="543">
        <f t="shared" si="18"/>
        <v>1418946</v>
      </c>
      <c r="D34" s="544">
        <v>1418946</v>
      </c>
      <c r="E34" s="544">
        <v>0</v>
      </c>
      <c r="F34" s="543">
        <f t="shared" si="20"/>
        <v>0</v>
      </c>
      <c r="G34" s="544"/>
      <c r="H34" s="544"/>
      <c r="I34" s="544"/>
      <c r="J34" s="544">
        <v>0</v>
      </c>
      <c r="K34" s="544">
        <v>0</v>
      </c>
      <c r="L34" s="544">
        <v>0</v>
      </c>
      <c r="M34" s="544">
        <v>1090000</v>
      </c>
      <c r="N34" s="544">
        <v>0</v>
      </c>
      <c r="O34" s="543">
        <f t="shared" si="19"/>
        <v>328946</v>
      </c>
      <c r="P34" s="544">
        <v>0</v>
      </c>
      <c r="Q34" s="544">
        <v>328946</v>
      </c>
      <c r="R34" s="544">
        <v>0</v>
      </c>
      <c r="S34" s="544">
        <v>0</v>
      </c>
      <c r="T34" s="544">
        <v>0</v>
      </c>
      <c r="U34" s="544">
        <v>0</v>
      </c>
      <c r="V34" s="544">
        <v>0</v>
      </c>
      <c r="W34" s="544">
        <v>0</v>
      </c>
      <c r="X34" s="544">
        <v>0</v>
      </c>
      <c r="Y34" s="544">
        <v>0</v>
      </c>
      <c r="AB34" s="260"/>
    </row>
    <row r="35" spans="1:28" s="255" customFormat="1" ht="15.75" customHeight="1">
      <c r="A35" s="545">
        <f>A34+10</f>
        <v>240</v>
      </c>
      <c r="B35" s="542" t="s">
        <v>677</v>
      </c>
      <c r="C35" s="543">
        <f t="shared" si="18"/>
        <v>177709</v>
      </c>
      <c r="D35" s="544">
        <v>177709</v>
      </c>
      <c r="E35" s="544">
        <v>0</v>
      </c>
      <c r="F35" s="543">
        <f t="shared" si="20"/>
        <v>0</v>
      </c>
      <c r="G35" s="544"/>
      <c r="H35" s="544"/>
      <c r="I35" s="544"/>
      <c r="J35" s="544">
        <v>0</v>
      </c>
      <c r="K35" s="544">
        <v>0</v>
      </c>
      <c r="L35" s="544">
        <v>0</v>
      </c>
      <c r="M35" s="544">
        <v>177709</v>
      </c>
      <c r="N35" s="544">
        <v>0</v>
      </c>
      <c r="O35" s="543">
        <f t="shared" si="19"/>
        <v>0</v>
      </c>
      <c r="P35" s="544">
        <v>0</v>
      </c>
      <c r="Q35" s="544">
        <v>0</v>
      </c>
      <c r="R35" s="544">
        <v>0</v>
      </c>
      <c r="S35" s="544">
        <v>0</v>
      </c>
      <c r="T35" s="544">
        <v>0</v>
      </c>
      <c r="U35" s="544">
        <v>0</v>
      </c>
      <c r="V35" s="544">
        <v>0</v>
      </c>
      <c r="W35" s="544">
        <v>0</v>
      </c>
      <c r="X35" s="544">
        <v>0</v>
      </c>
      <c r="Y35" s="544">
        <v>0</v>
      </c>
      <c r="AB35" s="260"/>
    </row>
    <row r="36" spans="1:28" s="607" customFormat="1" ht="15.75" customHeight="1">
      <c r="A36" s="605">
        <f>A35+10</f>
        <v>250</v>
      </c>
      <c r="B36" s="605" t="s">
        <v>235</v>
      </c>
      <c r="C36" s="606">
        <f t="shared" si="18"/>
        <v>751429009</v>
      </c>
      <c r="D36" s="606">
        <f>SUM(D31:D35)</f>
        <v>192469314</v>
      </c>
      <c r="E36" s="606">
        <f>SUM(E31:E35)</f>
        <v>558959695</v>
      </c>
      <c r="F36" s="606">
        <f t="shared" si="20"/>
        <v>14538564</v>
      </c>
      <c r="G36" s="606">
        <f t="shared" ref="G36:I36" si="21">SUM(G31:G35)</f>
        <v>11075909</v>
      </c>
      <c r="H36" s="606">
        <f t="shared" si="21"/>
        <v>3462655</v>
      </c>
      <c r="I36" s="606">
        <f t="shared" si="21"/>
        <v>0</v>
      </c>
      <c r="J36" s="606">
        <f t="shared" ref="J36:Y36" si="22">SUM(J31:J35)</f>
        <v>155540</v>
      </c>
      <c r="K36" s="606">
        <f t="shared" si="22"/>
        <v>0</v>
      </c>
      <c r="L36" s="606">
        <f t="shared" si="22"/>
        <v>0</v>
      </c>
      <c r="M36" s="606">
        <f t="shared" si="22"/>
        <v>70074132</v>
      </c>
      <c r="N36" s="606">
        <f t="shared" si="22"/>
        <v>0</v>
      </c>
      <c r="O36" s="606">
        <f t="shared" si="22"/>
        <v>572827430</v>
      </c>
      <c r="P36" s="606">
        <f t="shared" si="22"/>
        <v>22254037</v>
      </c>
      <c r="Q36" s="606">
        <f t="shared" si="22"/>
        <v>550573393</v>
      </c>
      <c r="R36" s="606">
        <f t="shared" si="22"/>
        <v>3338465</v>
      </c>
      <c r="S36" s="606">
        <f t="shared" si="22"/>
        <v>0</v>
      </c>
      <c r="T36" s="606">
        <f t="shared" si="22"/>
        <v>0</v>
      </c>
      <c r="U36" s="606">
        <f t="shared" si="22"/>
        <v>0</v>
      </c>
      <c r="V36" s="606">
        <f t="shared" si="22"/>
        <v>101028919</v>
      </c>
      <c r="W36" s="606">
        <f t="shared" si="22"/>
        <v>4000000</v>
      </c>
      <c r="X36" s="606">
        <f t="shared" si="22"/>
        <v>0</v>
      </c>
      <c r="Y36" s="606">
        <f t="shared" si="22"/>
        <v>4523</v>
      </c>
      <c r="AA36" s="608"/>
      <c r="AB36" s="609"/>
    </row>
    <row r="37" spans="1:28" s="255" customFormat="1" ht="15.75" customHeight="1">
      <c r="A37" s="546"/>
      <c r="B37" s="539" t="s">
        <v>475</v>
      </c>
      <c r="C37" s="547"/>
      <c r="D37" s="547"/>
      <c r="E37" s="547"/>
      <c r="F37" s="547"/>
      <c r="G37" s="548"/>
      <c r="H37" s="547"/>
      <c r="I37" s="547"/>
      <c r="J37" s="547"/>
      <c r="K37" s="547"/>
      <c r="L37" s="547"/>
      <c r="M37" s="547"/>
      <c r="N37" s="547"/>
      <c r="O37" s="547"/>
      <c r="P37" s="547"/>
      <c r="Q37" s="547"/>
      <c r="R37" s="547"/>
      <c r="S37" s="547"/>
      <c r="T37" s="547"/>
      <c r="U37" s="547"/>
      <c r="V37" s="547"/>
      <c r="W37" s="547"/>
      <c r="X37" s="547"/>
      <c r="Y37" s="547"/>
      <c r="AB37" s="260"/>
    </row>
    <row r="38" spans="1:28" s="255" customFormat="1" ht="15.75" customHeight="1">
      <c r="A38" s="541">
        <v>260</v>
      </c>
      <c r="B38" s="542" t="s">
        <v>672</v>
      </c>
      <c r="C38" s="543">
        <f t="shared" ref="C38:C42" si="23">SUM(J38:Y38)-L38-P38-Q38</f>
        <v>3573327</v>
      </c>
      <c r="D38" s="544">
        <v>3573327</v>
      </c>
      <c r="E38" s="544">
        <v>0</v>
      </c>
      <c r="F38" s="543">
        <f>+G38+H38+I38</f>
        <v>3200000</v>
      </c>
      <c r="G38" s="544">
        <v>0</v>
      </c>
      <c r="H38" s="544">
        <v>3200000</v>
      </c>
      <c r="I38" s="544">
        <v>0</v>
      </c>
      <c r="J38" s="544">
        <v>0</v>
      </c>
      <c r="K38" s="544">
        <v>0</v>
      </c>
      <c r="L38" s="544">
        <v>0</v>
      </c>
      <c r="M38" s="544">
        <v>39994</v>
      </c>
      <c r="N38" s="544">
        <v>0</v>
      </c>
      <c r="O38" s="543">
        <f t="shared" ref="O38:O42" si="24">+P38+Q38</f>
        <v>3533333</v>
      </c>
      <c r="P38" s="544">
        <v>0</v>
      </c>
      <c r="Q38" s="544">
        <v>3533333</v>
      </c>
      <c r="R38" s="544">
        <v>0</v>
      </c>
      <c r="S38" s="544">
        <v>0</v>
      </c>
      <c r="T38" s="544">
        <v>0</v>
      </c>
      <c r="U38" s="544">
        <v>0</v>
      </c>
      <c r="V38" s="544">
        <v>0</v>
      </c>
      <c r="W38" s="544">
        <v>0</v>
      </c>
      <c r="X38" s="544">
        <v>0</v>
      </c>
      <c r="Y38" s="544">
        <v>0</v>
      </c>
      <c r="AB38" s="260"/>
    </row>
    <row r="39" spans="1:28" s="255" customFormat="1" ht="15.75" customHeight="1">
      <c r="A39" s="545">
        <f t="shared" si="2"/>
        <v>270</v>
      </c>
      <c r="B39" s="542" t="s">
        <v>403</v>
      </c>
      <c r="C39" s="543">
        <f t="shared" si="23"/>
        <v>0</v>
      </c>
      <c r="D39" s="544">
        <v>0</v>
      </c>
      <c r="E39" s="544">
        <v>0</v>
      </c>
      <c r="F39" s="543">
        <f t="shared" ref="F39:F43" si="25">+G39+H39+I39</f>
        <v>0</v>
      </c>
      <c r="G39" s="544">
        <v>0</v>
      </c>
      <c r="H39" s="544">
        <v>0</v>
      </c>
      <c r="I39" s="544">
        <v>0</v>
      </c>
      <c r="J39" s="544">
        <v>0</v>
      </c>
      <c r="K39" s="544">
        <v>0</v>
      </c>
      <c r="L39" s="544">
        <v>0</v>
      </c>
      <c r="M39" s="544">
        <v>0</v>
      </c>
      <c r="N39" s="544">
        <v>0</v>
      </c>
      <c r="O39" s="543">
        <f t="shared" si="24"/>
        <v>0</v>
      </c>
      <c r="P39" s="544">
        <v>0</v>
      </c>
      <c r="Q39" s="544">
        <v>0</v>
      </c>
      <c r="R39" s="544">
        <v>0</v>
      </c>
      <c r="S39" s="544">
        <v>0</v>
      </c>
      <c r="T39" s="544">
        <v>0</v>
      </c>
      <c r="U39" s="544">
        <v>0</v>
      </c>
      <c r="V39" s="544">
        <v>0</v>
      </c>
      <c r="W39" s="544">
        <v>0</v>
      </c>
      <c r="X39" s="544">
        <v>0</v>
      </c>
      <c r="Y39" s="544">
        <v>0</v>
      </c>
      <c r="AB39" s="260"/>
    </row>
    <row r="40" spans="1:28" s="255" customFormat="1" ht="15.75" customHeight="1">
      <c r="A40" s="545">
        <f t="shared" si="2"/>
        <v>280</v>
      </c>
      <c r="B40" s="542" t="s">
        <v>404</v>
      </c>
      <c r="C40" s="543">
        <f t="shared" si="23"/>
        <v>476177875</v>
      </c>
      <c r="D40" s="544">
        <v>314702871</v>
      </c>
      <c r="E40" s="544">
        <v>161475004</v>
      </c>
      <c r="F40" s="543">
        <f t="shared" si="25"/>
        <v>13178244</v>
      </c>
      <c r="G40" s="544">
        <v>1673193</v>
      </c>
      <c r="H40" s="544">
        <v>4890451</v>
      </c>
      <c r="I40" s="544">
        <v>6614600</v>
      </c>
      <c r="J40" s="544">
        <v>280000</v>
      </c>
      <c r="K40" s="544">
        <v>0</v>
      </c>
      <c r="L40" s="544">
        <v>0</v>
      </c>
      <c r="M40" s="544">
        <v>16700732</v>
      </c>
      <c r="N40" s="544">
        <v>0</v>
      </c>
      <c r="O40" s="543">
        <f t="shared" si="24"/>
        <v>409290999</v>
      </c>
      <c r="P40" s="544">
        <v>13185833</v>
      </c>
      <c r="Q40" s="544">
        <v>396105166</v>
      </c>
      <c r="R40" s="544">
        <v>0</v>
      </c>
      <c r="S40" s="544">
        <v>0</v>
      </c>
      <c r="T40" s="544">
        <v>0</v>
      </c>
      <c r="U40" s="544">
        <v>0</v>
      </c>
      <c r="V40" s="544">
        <v>47062760</v>
      </c>
      <c r="W40" s="544">
        <v>2843384</v>
      </c>
      <c r="X40" s="544">
        <v>0</v>
      </c>
      <c r="Y40" s="544">
        <v>0</v>
      </c>
      <c r="AB40" s="260"/>
    </row>
    <row r="41" spans="1:28" s="255" customFormat="1" ht="15.75" customHeight="1">
      <c r="A41" s="545">
        <f t="shared" si="2"/>
        <v>290</v>
      </c>
      <c r="B41" s="542" t="s">
        <v>400</v>
      </c>
      <c r="C41" s="543">
        <f t="shared" si="23"/>
        <v>161511</v>
      </c>
      <c r="D41" s="544">
        <v>161511</v>
      </c>
      <c r="E41" s="544">
        <v>0</v>
      </c>
      <c r="F41" s="543">
        <f t="shared" si="25"/>
        <v>0</v>
      </c>
      <c r="G41" s="544">
        <v>0</v>
      </c>
      <c r="H41" s="544">
        <v>0</v>
      </c>
      <c r="I41" s="544">
        <v>0</v>
      </c>
      <c r="J41" s="544">
        <v>0</v>
      </c>
      <c r="K41" s="544">
        <v>0</v>
      </c>
      <c r="L41" s="544">
        <v>0</v>
      </c>
      <c r="M41" s="544">
        <v>161511</v>
      </c>
      <c r="N41" s="544">
        <v>0</v>
      </c>
      <c r="O41" s="543">
        <f t="shared" si="24"/>
        <v>0</v>
      </c>
      <c r="P41" s="544">
        <v>0</v>
      </c>
      <c r="Q41" s="544">
        <v>0</v>
      </c>
      <c r="R41" s="544">
        <v>0</v>
      </c>
      <c r="S41" s="544">
        <v>0</v>
      </c>
      <c r="T41" s="544">
        <v>0</v>
      </c>
      <c r="U41" s="544">
        <v>0</v>
      </c>
      <c r="V41" s="544">
        <v>0</v>
      </c>
      <c r="W41" s="544">
        <v>0</v>
      </c>
      <c r="X41" s="544">
        <v>0</v>
      </c>
      <c r="Y41" s="544">
        <v>0</v>
      </c>
      <c r="AB41" s="260"/>
    </row>
    <row r="42" spans="1:28" s="255" customFormat="1" ht="15.75" customHeight="1">
      <c r="A42" s="545">
        <f>A41+10</f>
        <v>300</v>
      </c>
      <c r="B42" s="542" t="s">
        <v>677</v>
      </c>
      <c r="C42" s="543">
        <f t="shared" si="23"/>
        <v>11632476</v>
      </c>
      <c r="D42" s="544">
        <v>11632476</v>
      </c>
      <c r="E42" s="544">
        <v>0</v>
      </c>
      <c r="F42" s="543">
        <f t="shared" si="25"/>
        <v>628275</v>
      </c>
      <c r="G42" s="544">
        <v>0</v>
      </c>
      <c r="H42" s="544">
        <v>628275</v>
      </c>
      <c r="I42" s="544">
        <v>0</v>
      </c>
      <c r="J42" s="544">
        <v>26208</v>
      </c>
      <c r="K42" s="544">
        <v>0</v>
      </c>
      <c r="L42" s="544">
        <v>0</v>
      </c>
      <c r="M42" s="544">
        <v>5809378</v>
      </c>
      <c r="N42" s="544">
        <v>0</v>
      </c>
      <c r="O42" s="543">
        <f t="shared" si="24"/>
        <v>5796890</v>
      </c>
      <c r="P42" s="544">
        <v>414355</v>
      </c>
      <c r="Q42" s="544">
        <v>5382535</v>
      </c>
      <c r="R42" s="544">
        <v>0</v>
      </c>
      <c r="S42" s="544">
        <v>0</v>
      </c>
      <c r="T42" s="544">
        <v>0</v>
      </c>
      <c r="U42" s="544">
        <v>0</v>
      </c>
      <c r="V42" s="544">
        <v>0</v>
      </c>
      <c r="W42" s="544">
        <v>0</v>
      </c>
      <c r="X42" s="544">
        <v>0</v>
      </c>
      <c r="Y42" s="544">
        <v>0</v>
      </c>
      <c r="AB42" s="260"/>
    </row>
    <row r="43" spans="1:28" s="607" customFormat="1" ht="15.75" customHeight="1">
      <c r="A43" s="605">
        <f>A42+10</f>
        <v>310</v>
      </c>
      <c r="B43" s="605" t="s">
        <v>235</v>
      </c>
      <c r="C43" s="606">
        <f t="shared" ref="C43" si="26">SUM(J43:Y43)-L43-P43-Q43</f>
        <v>491545189</v>
      </c>
      <c r="D43" s="606">
        <f>SUM(D38:D42)</f>
        <v>330070185</v>
      </c>
      <c r="E43" s="606">
        <f>SUM(E38:E42)</f>
        <v>161475004</v>
      </c>
      <c r="F43" s="606">
        <f t="shared" si="25"/>
        <v>17006519</v>
      </c>
      <c r="G43" s="606">
        <f t="shared" ref="G43:I43" si="27">SUM(G38:G42)</f>
        <v>1673193</v>
      </c>
      <c r="H43" s="606">
        <f t="shared" si="27"/>
        <v>8718726</v>
      </c>
      <c r="I43" s="606">
        <f t="shared" si="27"/>
        <v>6614600</v>
      </c>
      <c r="J43" s="606">
        <f t="shared" ref="J43:Y43" si="28">SUM(J38:J42)</f>
        <v>306208</v>
      </c>
      <c r="K43" s="606">
        <f t="shared" si="28"/>
        <v>0</v>
      </c>
      <c r="L43" s="606">
        <f t="shared" si="28"/>
        <v>0</v>
      </c>
      <c r="M43" s="606">
        <f t="shared" si="28"/>
        <v>22711615</v>
      </c>
      <c r="N43" s="606">
        <f t="shared" si="28"/>
        <v>0</v>
      </c>
      <c r="O43" s="606">
        <f t="shared" si="28"/>
        <v>418621222</v>
      </c>
      <c r="P43" s="606">
        <f t="shared" si="28"/>
        <v>13600188</v>
      </c>
      <c r="Q43" s="606">
        <f t="shared" si="28"/>
        <v>405021034</v>
      </c>
      <c r="R43" s="606">
        <f t="shared" si="28"/>
        <v>0</v>
      </c>
      <c r="S43" s="606">
        <f t="shared" si="28"/>
        <v>0</v>
      </c>
      <c r="T43" s="606">
        <f t="shared" si="28"/>
        <v>0</v>
      </c>
      <c r="U43" s="606">
        <f t="shared" si="28"/>
        <v>0</v>
      </c>
      <c r="V43" s="606">
        <f t="shared" si="28"/>
        <v>47062760</v>
      </c>
      <c r="W43" s="606">
        <f t="shared" si="28"/>
        <v>2843384</v>
      </c>
      <c r="X43" s="606">
        <f t="shared" si="28"/>
        <v>0</v>
      </c>
      <c r="Y43" s="606">
        <f t="shared" si="28"/>
        <v>0</v>
      </c>
      <c r="AA43" s="608"/>
      <c r="AB43" s="609"/>
    </row>
    <row r="44" spans="1:28" s="255" customFormat="1" ht="15.75" customHeight="1">
      <c r="A44" s="546"/>
      <c r="B44" s="539" t="s">
        <v>476</v>
      </c>
      <c r="C44" s="547"/>
      <c r="D44" s="547"/>
      <c r="E44" s="547"/>
      <c r="F44" s="547"/>
      <c r="G44" s="548"/>
      <c r="H44" s="547"/>
      <c r="I44" s="547"/>
      <c r="J44" s="547"/>
      <c r="K44" s="547"/>
      <c r="L44" s="547"/>
      <c r="M44" s="547"/>
      <c r="N44" s="547"/>
      <c r="O44" s="547"/>
      <c r="P44" s="547"/>
      <c r="Q44" s="547"/>
      <c r="R44" s="547"/>
      <c r="S44" s="547"/>
      <c r="T44" s="547"/>
      <c r="U44" s="547"/>
      <c r="V44" s="547"/>
      <c r="W44" s="547"/>
      <c r="X44" s="547"/>
      <c r="Y44" s="547"/>
      <c r="AB44" s="260"/>
    </row>
    <row r="45" spans="1:28" s="255" customFormat="1" ht="15.75" customHeight="1">
      <c r="A45" s="541">
        <v>320</v>
      </c>
      <c r="B45" s="542" t="s">
        <v>672</v>
      </c>
      <c r="C45" s="543">
        <f t="shared" ref="C45:C50" si="29">SUM(J45:Y45)-L45-P45-Q45</f>
        <v>3187856</v>
      </c>
      <c r="D45" s="544">
        <v>3187856</v>
      </c>
      <c r="E45" s="544">
        <v>0</v>
      </c>
      <c r="F45" s="543">
        <f>+G45+H45+I45</f>
        <v>0</v>
      </c>
      <c r="G45" s="544">
        <v>0</v>
      </c>
      <c r="H45" s="544">
        <v>0</v>
      </c>
      <c r="I45" s="544">
        <v>0</v>
      </c>
      <c r="J45" s="544">
        <v>0</v>
      </c>
      <c r="K45" s="544">
        <v>0</v>
      </c>
      <c r="L45" s="544">
        <v>0</v>
      </c>
      <c r="M45" s="544">
        <v>3187856</v>
      </c>
      <c r="N45" s="544">
        <v>0</v>
      </c>
      <c r="O45" s="543">
        <f t="shared" ref="O45:O49" si="30">+P45+Q45</f>
        <v>0</v>
      </c>
      <c r="P45" s="544">
        <v>0</v>
      </c>
      <c r="Q45" s="544">
        <v>0</v>
      </c>
      <c r="R45" s="544">
        <v>0</v>
      </c>
      <c r="S45" s="544">
        <v>0</v>
      </c>
      <c r="T45" s="544">
        <v>0</v>
      </c>
      <c r="U45" s="544">
        <v>0</v>
      </c>
      <c r="V45" s="544">
        <v>0</v>
      </c>
      <c r="W45" s="544">
        <v>0</v>
      </c>
      <c r="X45" s="544">
        <v>0</v>
      </c>
      <c r="Y45" s="544">
        <v>0</v>
      </c>
      <c r="AB45" s="260"/>
    </row>
    <row r="46" spans="1:28" s="255" customFormat="1" ht="15.75" customHeight="1">
      <c r="A46" s="545">
        <f t="shared" si="2"/>
        <v>330</v>
      </c>
      <c r="B46" s="542" t="s">
        <v>403</v>
      </c>
      <c r="C46" s="543">
        <f t="shared" si="29"/>
        <v>0</v>
      </c>
      <c r="D46" s="544"/>
      <c r="E46" s="544"/>
      <c r="F46" s="543">
        <f t="shared" ref="F46:F50" si="31">+G46+H46+I46</f>
        <v>0</v>
      </c>
      <c r="G46" s="544">
        <v>0</v>
      </c>
      <c r="H46" s="544">
        <v>0</v>
      </c>
      <c r="I46" s="544">
        <v>0</v>
      </c>
      <c r="J46" s="544">
        <v>0</v>
      </c>
      <c r="K46" s="544">
        <v>0</v>
      </c>
      <c r="L46" s="544">
        <v>0</v>
      </c>
      <c r="M46" s="544">
        <v>0</v>
      </c>
      <c r="N46" s="544">
        <v>0</v>
      </c>
      <c r="O46" s="543">
        <f t="shared" si="30"/>
        <v>0</v>
      </c>
      <c r="P46" s="544">
        <v>0</v>
      </c>
      <c r="Q46" s="544">
        <v>0</v>
      </c>
      <c r="R46" s="544">
        <v>0</v>
      </c>
      <c r="S46" s="544">
        <v>0</v>
      </c>
      <c r="T46" s="544">
        <v>0</v>
      </c>
      <c r="U46" s="544">
        <v>0</v>
      </c>
      <c r="V46" s="544">
        <v>0</v>
      </c>
      <c r="W46" s="544">
        <v>0</v>
      </c>
      <c r="X46" s="544">
        <v>0</v>
      </c>
      <c r="Y46" s="544">
        <v>0</v>
      </c>
      <c r="AB46" s="260"/>
    </row>
    <row r="47" spans="1:28" s="255" customFormat="1" ht="15.75" customHeight="1">
      <c r="A47" s="545">
        <f t="shared" si="2"/>
        <v>340</v>
      </c>
      <c r="B47" s="542" t="s">
        <v>404</v>
      </c>
      <c r="C47" s="543">
        <f t="shared" si="29"/>
        <v>19817007</v>
      </c>
      <c r="D47" s="544">
        <v>18883903</v>
      </c>
      <c r="E47" s="544">
        <v>933104</v>
      </c>
      <c r="F47" s="543">
        <f t="shared" si="31"/>
        <v>711907</v>
      </c>
      <c r="G47" s="544">
        <v>711907</v>
      </c>
      <c r="H47" s="544">
        <v>0</v>
      </c>
      <c r="I47" s="544">
        <v>0</v>
      </c>
      <c r="J47" s="544">
        <v>0</v>
      </c>
      <c r="K47" s="544">
        <v>0</v>
      </c>
      <c r="L47" s="544">
        <v>0</v>
      </c>
      <c r="M47" s="544">
        <v>9678960</v>
      </c>
      <c r="N47" s="544">
        <v>0</v>
      </c>
      <c r="O47" s="543">
        <f t="shared" si="30"/>
        <v>9436337</v>
      </c>
      <c r="P47" s="544">
        <v>0</v>
      </c>
      <c r="Q47" s="544">
        <v>9436337</v>
      </c>
      <c r="R47" s="544">
        <v>0</v>
      </c>
      <c r="S47" s="544">
        <v>0</v>
      </c>
      <c r="T47" s="544">
        <v>0</v>
      </c>
      <c r="U47" s="544">
        <v>0</v>
      </c>
      <c r="V47" s="544">
        <v>701710</v>
      </c>
      <c r="W47" s="544">
        <v>0</v>
      </c>
      <c r="X47" s="544">
        <v>0</v>
      </c>
      <c r="Y47" s="544">
        <v>0</v>
      </c>
      <c r="AB47" s="260"/>
    </row>
    <row r="48" spans="1:28" s="255" customFormat="1" ht="15.75" customHeight="1">
      <c r="A48" s="545">
        <f t="shared" si="2"/>
        <v>350</v>
      </c>
      <c r="B48" s="542" t="s">
        <v>400</v>
      </c>
      <c r="C48" s="543">
        <f t="shared" si="29"/>
        <v>0</v>
      </c>
      <c r="D48" s="544"/>
      <c r="E48" s="544"/>
      <c r="F48" s="543">
        <f t="shared" si="31"/>
        <v>0</v>
      </c>
      <c r="G48" s="544">
        <v>0</v>
      </c>
      <c r="H48" s="544">
        <v>0</v>
      </c>
      <c r="I48" s="544">
        <v>0</v>
      </c>
      <c r="J48" s="544">
        <v>0</v>
      </c>
      <c r="K48" s="544">
        <v>0</v>
      </c>
      <c r="L48" s="544">
        <v>0</v>
      </c>
      <c r="M48" s="544">
        <v>0</v>
      </c>
      <c r="N48" s="544">
        <v>0</v>
      </c>
      <c r="O48" s="543">
        <f t="shared" si="30"/>
        <v>0</v>
      </c>
      <c r="P48" s="544">
        <v>0</v>
      </c>
      <c r="Q48" s="544">
        <v>0</v>
      </c>
      <c r="R48" s="544">
        <v>0</v>
      </c>
      <c r="S48" s="544">
        <v>0</v>
      </c>
      <c r="T48" s="544">
        <v>0</v>
      </c>
      <c r="U48" s="544">
        <v>0</v>
      </c>
      <c r="V48" s="544">
        <v>0</v>
      </c>
      <c r="W48" s="544">
        <v>0</v>
      </c>
      <c r="X48" s="544">
        <v>0</v>
      </c>
      <c r="Y48" s="544">
        <v>0</v>
      </c>
      <c r="AB48" s="260"/>
    </row>
    <row r="49" spans="1:28" s="255" customFormat="1" ht="15.75" customHeight="1">
      <c r="A49" s="545">
        <f>A48+10</f>
        <v>360</v>
      </c>
      <c r="B49" s="542" t="s">
        <v>677</v>
      </c>
      <c r="C49" s="543">
        <f t="shared" si="29"/>
        <v>76332</v>
      </c>
      <c r="D49" s="544">
        <v>76332</v>
      </c>
      <c r="E49" s="544">
        <v>0</v>
      </c>
      <c r="F49" s="543">
        <f t="shared" si="31"/>
        <v>0</v>
      </c>
      <c r="G49" s="544">
        <v>0</v>
      </c>
      <c r="H49" s="544">
        <v>0</v>
      </c>
      <c r="I49" s="544">
        <v>0</v>
      </c>
      <c r="J49" s="544">
        <v>0</v>
      </c>
      <c r="K49" s="544">
        <v>0</v>
      </c>
      <c r="L49" s="544">
        <v>0</v>
      </c>
      <c r="M49" s="544">
        <v>2532</v>
      </c>
      <c r="N49" s="544">
        <v>0</v>
      </c>
      <c r="O49" s="543">
        <f t="shared" si="30"/>
        <v>73800</v>
      </c>
      <c r="P49" s="544">
        <v>0</v>
      </c>
      <c r="Q49" s="544">
        <v>73800</v>
      </c>
      <c r="R49" s="544">
        <v>0</v>
      </c>
      <c r="S49" s="544">
        <v>0</v>
      </c>
      <c r="T49" s="544">
        <v>0</v>
      </c>
      <c r="U49" s="544">
        <v>0</v>
      </c>
      <c r="V49" s="544">
        <v>0</v>
      </c>
      <c r="W49" s="544">
        <v>0</v>
      </c>
      <c r="X49" s="544">
        <v>0</v>
      </c>
      <c r="Y49" s="544">
        <v>0</v>
      </c>
      <c r="AB49" s="260"/>
    </row>
    <row r="50" spans="1:28" s="607" customFormat="1" ht="15.75" customHeight="1">
      <c r="A50" s="605">
        <f>A49+10</f>
        <v>370</v>
      </c>
      <c r="B50" s="605" t="s">
        <v>235</v>
      </c>
      <c r="C50" s="606">
        <f t="shared" si="29"/>
        <v>23081195</v>
      </c>
      <c r="D50" s="606">
        <f>SUM(D45:D49)</f>
        <v>22148091</v>
      </c>
      <c r="E50" s="606">
        <f>SUM(E45:E49)</f>
        <v>933104</v>
      </c>
      <c r="F50" s="606">
        <f t="shared" si="31"/>
        <v>711907</v>
      </c>
      <c r="G50" s="606">
        <f t="shared" ref="G50:I50" si="32">SUM(G45:G49)</f>
        <v>711907</v>
      </c>
      <c r="H50" s="606">
        <f t="shared" si="32"/>
        <v>0</v>
      </c>
      <c r="I50" s="606">
        <f t="shared" si="32"/>
        <v>0</v>
      </c>
      <c r="J50" s="606">
        <f t="shared" ref="J50:Y50" si="33">SUM(J45:J49)</f>
        <v>0</v>
      </c>
      <c r="K50" s="606">
        <f t="shared" si="33"/>
        <v>0</v>
      </c>
      <c r="L50" s="606">
        <f t="shared" si="33"/>
        <v>0</v>
      </c>
      <c r="M50" s="606">
        <f t="shared" si="33"/>
        <v>12869348</v>
      </c>
      <c r="N50" s="606">
        <f t="shared" si="33"/>
        <v>0</v>
      </c>
      <c r="O50" s="606">
        <f t="shared" si="33"/>
        <v>9510137</v>
      </c>
      <c r="P50" s="606">
        <f t="shared" si="33"/>
        <v>0</v>
      </c>
      <c r="Q50" s="606">
        <f t="shared" si="33"/>
        <v>9510137</v>
      </c>
      <c r="R50" s="606">
        <f t="shared" si="33"/>
        <v>0</v>
      </c>
      <c r="S50" s="606">
        <f t="shared" si="33"/>
        <v>0</v>
      </c>
      <c r="T50" s="606">
        <f t="shared" si="33"/>
        <v>0</v>
      </c>
      <c r="U50" s="606">
        <f t="shared" si="33"/>
        <v>0</v>
      </c>
      <c r="V50" s="606">
        <f t="shared" si="33"/>
        <v>701710</v>
      </c>
      <c r="W50" s="606">
        <f t="shared" si="33"/>
        <v>0</v>
      </c>
      <c r="X50" s="606">
        <f t="shared" si="33"/>
        <v>0</v>
      </c>
      <c r="Y50" s="606">
        <f t="shared" si="33"/>
        <v>0</v>
      </c>
      <c r="AA50" s="608"/>
      <c r="AB50" s="609"/>
    </row>
    <row r="51" spans="1:28" s="255" customFormat="1" ht="15.75" customHeight="1">
      <c r="A51" s="546"/>
      <c r="B51" s="539" t="s">
        <v>477</v>
      </c>
      <c r="C51" s="547"/>
      <c r="D51" s="547"/>
      <c r="E51" s="547"/>
      <c r="F51" s="547"/>
      <c r="G51" s="548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AB51" s="260"/>
    </row>
    <row r="52" spans="1:28" s="255" customFormat="1" ht="15.75" customHeight="1">
      <c r="A52" s="541">
        <v>380</v>
      </c>
      <c r="B52" s="542" t="s">
        <v>672</v>
      </c>
      <c r="C52" s="543">
        <f t="shared" ref="C52:C57" si="34">SUM(J52:Y52)-L52-P52-Q52</f>
        <v>0</v>
      </c>
      <c r="D52" s="544"/>
      <c r="E52" s="544"/>
      <c r="F52" s="543">
        <f t="shared" ref="F52" si="35">+G52+H52+I52</f>
        <v>0</v>
      </c>
      <c r="G52" s="544">
        <v>0</v>
      </c>
      <c r="H52" s="544">
        <v>0</v>
      </c>
      <c r="I52" s="544">
        <v>0</v>
      </c>
      <c r="J52" s="544">
        <v>0</v>
      </c>
      <c r="K52" s="544">
        <v>0</v>
      </c>
      <c r="L52" s="544">
        <v>0</v>
      </c>
      <c r="M52" s="544">
        <v>0</v>
      </c>
      <c r="N52" s="544">
        <v>0</v>
      </c>
      <c r="O52" s="543">
        <f t="shared" ref="O52:O57" si="36">+P52+Q52</f>
        <v>0</v>
      </c>
      <c r="P52" s="544">
        <v>0</v>
      </c>
      <c r="Q52" s="544">
        <v>0</v>
      </c>
      <c r="R52" s="544">
        <v>0</v>
      </c>
      <c r="S52" s="544">
        <v>0</v>
      </c>
      <c r="T52" s="544">
        <v>0</v>
      </c>
      <c r="U52" s="544">
        <v>0</v>
      </c>
      <c r="V52" s="544">
        <v>0</v>
      </c>
      <c r="W52" s="544">
        <v>0</v>
      </c>
      <c r="X52" s="544">
        <v>0</v>
      </c>
      <c r="Y52" s="544">
        <v>0</v>
      </c>
      <c r="AB52" s="260"/>
    </row>
    <row r="53" spans="1:28" s="255" customFormat="1" ht="15.75" customHeight="1">
      <c r="A53" s="545">
        <f t="shared" si="2"/>
        <v>390</v>
      </c>
      <c r="B53" s="542" t="s">
        <v>403</v>
      </c>
      <c r="C53" s="543">
        <f t="shared" si="34"/>
        <v>0</v>
      </c>
      <c r="D53" s="544"/>
      <c r="E53" s="544"/>
      <c r="F53" s="543">
        <f>+G53+H53+I53</f>
        <v>0</v>
      </c>
      <c r="G53" s="544">
        <v>0</v>
      </c>
      <c r="H53" s="544">
        <v>0</v>
      </c>
      <c r="I53" s="544">
        <v>0</v>
      </c>
      <c r="J53" s="544">
        <v>0</v>
      </c>
      <c r="K53" s="544">
        <v>0</v>
      </c>
      <c r="L53" s="544">
        <v>0</v>
      </c>
      <c r="M53" s="544">
        <v>0</v>
      </c>
      <c r="N53" s="544">
        <v>0</v>
      </c>
      <c r="O53" s="543">
        <f t="shared" si="36"/>
        <v>0</v>
      </c>
      <c r="P53" s="544">
        <v>0</v>
      </c>
      <c r="Q53" s="544">
        <v>0</v>
      </c>
      <c r="R53" s="544">
        <v>0</v>
      </c>
      <c r="S53" s="544">
        <v>0</v>
      </c>
      <c r="T53" s="544">
        <v>0</v>
      </c>
      <c r="U53" s="544">
        <v>0</v>
      </c>
      <c r="V53" s="544">
        <v>0</v>
      </c>
      <c r="W53" s="544">
        <v>0</v>
      </c>
      <c r="X53" s="544">
        <v>0</v>
      </c>
      <c r="Y53" s="544">
        <v>0</v>
      </c>
      <c r="AB53" s="260"/>
    </row>
    <row r="54" spans="1:28" s="255" customFormat="1" ht="15.75" customHeight="1">
      <c r="A54" s="545">
        <f t="shared" si="2"/>
        <v>400</v>
      </c>
      <c r="B54" s="542" t="s">
        <v>404</v>
      </c>
      <c r="C54" s="543">
        <f t="shared" si="34"/>
        <v>43336492</v>
      </c>
      <c r="D54" s="544">
        <v>40979145</v>
      </c>
      <c r="E54" s="544">
        <v>2357347</v>
      </c>
      <c r="F54" s="543">
        <f t="shared" ref="F54:F58" si="37">+G54+H54+I54</f>
        <v>1229915</v>
      </c>
      <c r="G54" s="544">
        <v>0</v>
      </c>
      <c r="H54" s="544">
        <v>3606</v>
      </c>
      <c r="I54" s="544">
        <v>1226309</v>
      </c>
      <c r="J54" s="544">
        <v>0</v>
      </c>
      <c r="K54" s="544">
        <v>0</v>
      </c>
      <c r="L54" s="544">
        <v>0</v>
      </c>
      <c r="M54" s="544">
        <v>223995</v>
      </c>
      <c r="N54" s="544">
        <v>0</v>
      </c>
      <c r="O54" s="543">
        <f t="shared" si="36"/>
        <v>40371236</v>
      </c>
      <c r="P54" s="544">
        <v>6149982</v>
      </c>
      <c r="Q54" s="544">
        <v>34221254</v>
      </c>
      <c r="R54" s="544">
        <v>0</v>
      </c>
      <c r="S54" s="544">
        <v>0</v>
      </c>
      <c r="T54" s="544">
        <v>0</v>
      </c>
      <c r="U54" s="544">
        <v>0</v>
      </c>
      <c r="V54" s="544">
        <v>101820</v>
      </c>
      <c r="W54" s="544">
        <v>2169132</v>
      </c>
      <c r="X54" s="544">
        <v>0</v>
      </c>
      <c r="Y54" s="544">
        <v>470309</v>
      </c>
      <c r="AB54" s="260"/>
    </row>
    <row r="55" spans="1:28" s="255" customFormat="1" ht="15.75" customHeight="1">
      <c r="A55" s="545">
        <f t="shared" si="2"/>
        <v>410</v>
      </c>
      <c r="B55" s="542" t="s">
        <v>400</v>
      </c>
      <c r="C55" s="543">
        <f t="shared" si="34"/>
        <v>0</v>
      </c>
      <c r="D55" s="544"/>
      <c r="E55" s="544"/>
      <c r="F55" s="543">
        <f t="shared" si="37"/>
        <v>0</v>
      </c>
      <c r="G55" s="544">
        <v>0</v>
      </c>
      <c r="H55" s="544">
        <v>0</v>
      </c>
      <c r="I55" s="544">
        <v>0</v>
      </c>
      <c r="J55" s="544">
        <v>0</v>
      </c>
      <c r="K55" s="544">
        <v>0</v>
      </c>
      <c r="L55" s="544">
        <v>0</v>
      </c>
      <c r="M55" s="544">
        <v>0</v>
      </c>
      <c r="N55" s="544">
        <v>0</v>
      </c>
      <c r="O55" s="543">
        <f t="shared" si="36"/>
        <v>0</v>
      </c>
      <c r="P55" s="544">
        <v>0</v>
      </c>
      <c r="Q55" s="544">
        <v>0</v>
      </c>
      <c r="R55" s="544">
        <v>0</v>
      </c>
      <c r="S55" s="544">
        <v>0</v>
      </c>
      <c r="T55" s="544">
        <v>0</v>
      </c>
      <c r="U55" s="544">
        <v>0</v>
      </c>
      <c r="V55" s="544">
        <v>0</v>
      </c>
      <c r="W55" s="544">
        <v>0</v>
      </c>
      <c r="X55" s="544">
        <v>0</v>
      </c>
      <c r="Y55" s="544">
        <v>0</v>
      </c>
      <c r="AB55" s="260"/>
    </row>
    <row r="56" spans="1:28" s="255" customFormat="1" ht="15.75" customHeight="1">
      <c r="A56" s="545">
        <v>485</v>
      </c>
      <c r="B56" s="542" t="s">
        <v>675</v>
      </c>
      <c r="C56" s="543">
        <f t="shared" ref="C56" si="38">SUM(J56:Y56)-L56-P56-Q56</f>
        <v>209505</v>
      </c>
      <c r="D56" s="544">
        <v>209505</v>
      </c>
      <c r="E56" s="544">
        <v>0</v>
      </c>
      <c r="F56" s="543">
        <f t="shared" si="37"/>
        <v>209505</v>
      </c>
      <c r="G56" s="544">
        <v>0</v>
      </c>
      <c r="H56" s="544">
        <v>6755</v>
      </c>
      <c r="I56" s="544">
        <v>202750</v>
      </c>
      <c r="J56" s="544">
        <v>0</v>
      </c>
      <c r="K56" s="544"/>
      <c r="L56" s="544">
        <v>0</v>
      </c>
      <c r="M56" s="544">
        <v>0</v>
      </c>
      <c r="N56" s="544">
        <v>0</v>
      </c>
      <c r="O56" s="543">
        <f t="shared" si="36"/>
        <v>0</v>
      </c>
      <c r="P56" s="544">
        <v>0</v>
      </c>
      <c r="Q56" s="544">
        <v>0</v>
      </c>
      <c r="R56" s="544">
        <v>0</v>
      </c>
      <c r="S56" s="544">
        <v>0</v>
      </c>
      <c r="T56" s="544">
        <v>0</v>
      </c>
      <c r="U56" s="544">
        <v>0</v>
      </c>
      <c r="V56" s="544">
        <v>134000</v>
      </c>
      <c r="W56" s="544">
        <v>75505</v>
      </c>
      <c r="X56" s="544">
        <v>0</v>
      </c>
      <c r="Y56" s="544">
        <v>0</v>
      </c>
      <c r="AB56" s="260"/>
    </row>
    <row r="57" spans="1:28" s="255" customFormat="1" ht="15.75" customHeight="1">
      <c r="A57" s="545">
        <f>A55+10</f>
        <v>420</v>
      </c>
      <c r="B57" s="542" t="s">
        <v>677</v>
      </c>
      <c r="C57" s="543">
        <f t="shared" si="34"/>
        <v>0</v>
      </c>
      <c r="D57" s="544"/>
      <c r="E57" s="544"/>
      <c r="F57" s="543">
        <f t="shared" si="37"/>
        <v>0</v>
      </c>
      <c r="G57" s="544">
        <v>0</v>
      </c>
      <c r="H57" s="544">
        <v>0</v>
      </c>
      <c r="I57" s="544">
        <v>0</v>
      </c>
      <c r="J57" s="544">
        <v>0</v>
      </c>
      <c r="K57" s="544">
        <v>0</v>
      </c>
      <c r="L57" s="544">
        <v>0</v>
      </c>
      <c r="M57" s="544">
        <v>0</v>
      </c>
      <c r="N57" s="544">
        <v>0</v>
      </c>
      <c r="O57" s="543">
        <f t="shared" si="36"/>
        <v>0</v>
      </c>
      <c r="P57" s="544">
        <v>0</v>
      </c>
      <c r="Q57" s="544">
        <v>0</v>
      </c>
      <c r="R57" s="544">
        <v>0</v>
      </c>
      <c r="S57" s="544">
        <v>0</v>
      </c>
      <c r="T57" s="544">
        <v>0</v>
      </c>
      <c r="U57" s="544">
        <v>0</v>
      </c>
      <c r="V57" s="544">
        <v>0</v>
      </c>
      <c r="W57" s="544">
        <v>0</v>
      </c>
      <c r="X57" s="544">
        <v>0</v>
      </c>
      <c r="Y57" s="544">
        <v>0</v>
      </c>
      <c r="AB57" s="260"/>
    </row>
    <row r="58" spans="1:28" s="607" customFormat="1" ht="15.75" customHeight="1">
      <c r="A58" s="605">
        <f>A57+10</f>
        <v>430</v>
      </c>
      <c r="B58" s="605" t="s">
        <v>235</v>
      </c>
      <c r="C58" s="606">
        <f t="shared" ref="C58:C71" si="39">SUM(J58:Y58)-L58-P58-Q58</f>
        <v>43545997</v>
      </c>
      <c r="D58" s="606">
        <f>SUM(D52:D57)</f>
        <v>41188650</v>
      </c>
      <c r="E58" s="606">
        <f>SUM(E52:E57)</f>
        <v>2357347</v>
      </c>
      <c r="F58" s="606">
        <f t="shared" si="37"/>
        <v>1439420</v>
      </c>
      <c r="G58" s="606">
        <f t="shared" ref="G58:I58" si="40">SUM(G53:G57)</f>
        <v>0</v>
      </c>
      <c r="H58" s="606">
        <f t="shared" si="40"/>
        <v>10361</v>
      </c>
      <c r="I58" s="606">
        <f t="shared" si="40"/>
        <v>1429059</v>
      </c>
      <c r="J58" s="606">
        <f t="shared" ref="J58:Y58" si="41">SUM(J52:J57)</f>
        <v>0</v>
      </c>
      <c r="K58" s="606">
        <f t="shared" si="41"/>
        <v>0</v>
      </c>
      <c r="L58" s="606">
        <f t="shared" si="41"/>
        <v>0</v>
      </c>
      <c r="M58" s="606">
        <f t="shared" si="41"/>
        <v>223995</v>
      </c>
      <c r="N58" s="606">
        <f t="shared" si="41"/>
        <v>0</v>
      </c>
      <c r="O58" s="606">
        <f t="shared" si="41"/>
        <v>40371236</v>
      </c>
      <c r="P58" s="606">
        <f t="shared" si="41"/>
        <v>6149982</v>
      </c>
      <c r="Q58" s="606">
        <f t="shared" si="41"/>
        <v>34221254</v>
      </c>
      <c r="R58" s="606">
        <f t="shared" si="41"/>
        <v>0</v>
      </c>
      <c r="S58" s="606">
        <f t="shared" si="41"/>
        <v>0</v>
      </c>
      <c r="T58" s="606">
        <f t="shared" si="41"/>
        <v>0</v>
      </c>
      <c r="U58" s="606">
        <f t="shared" si="41"/>
        <v>0</v>
      </c>
      <c r="V58" s="606">
        <f t="shared" si="41"/>
        <v>235820</v>
      </c>
      <c r="W58" s="606">
        <f t="shared" si="41"/>
        <v>2244637</v>
      </c>
      <c r="X58" s="606">
        <f t="shared" si="41"/>
        <v>0</v>
      </c>
      <c r="Y58" s="606">
        <f t="shared" si="41"/>
        <v>470309</v>
      </c>
      <c r="AA58" s="608"/>
      <c r="AB58" s="609"/>
    </row>
    <row r="59" spans="1:28" s="255" customFormat="1" ht="15.75" customHeight="1">
      <c r="A59" s="546"/>
      <c r="B59" s="539" t="s">
        <v>478</v>
      </c>
      <c r="C59" s="547"/>
      <c r="D59" s="550"/>
      <c r="E59" s="550"/>
      <c r="F59" s="547"/>
      <c r="G59" s="551"/>
      <c r="H59" s="550"/>
      <c r="I59" s="550"/>
      <c r="J59" s="550"/>
      <c r="K59" s="550"/>
      <c r="L59" s="550"/>
      <c r="M59" s="550"/>
      <c r="N59" s="550"/>
      <c r="O59" s="547"/>
      <c r="P59" s="550"/>
      <c r="Q59" s="550"/>
      <c r="R59" s="550"/>
      <c r="S59" s="550"/>
      <c r="T59" s="550"/>
      <c r="U59" s="550"/>
      <c r="V59" s="550"/>
      <c r="W59" s="550"/>
      <c r="X59" s="550"/>
      <c r="Y59" s="550"/>
      <c r="AB59" s="260"/>
    </row>
    <row r="60" spans="1:28" s="255" customFormat="1" ht="15.75" customHeight="1">
      <c r="A60" s="541">
        <v>440</v>
      </c>
      <c r="B60" s="542" t="s">
        <v>672</v>
      </c>
      <c r="C60" s="543">
        <f t="shared" si="39"/>
        <v>375321432</v>
      </c>
      <c r="D60" s="544">
        <v>15052597</v>
      </c>
      <c r="E60" s="544">
        <v>360268835</v>
      </c>
      <c r="F60" s="543">
        <f t="shared" ref="F60:F65" si="42">+G60+H60+I60</f>
        <v>13337197</v>
      </c>
      <c r="G60" s="544">
        <v>13337197</v>
      </c>
      <c r="H60" s="544"/>
      <c r="I60" s="544"/>
      <c r="J60" s="544">
        <v>0</v>
      </c>
      <c r="K60" s="544">
        <v>0</v>
      </c>
      <c r="L60" s="544">
        <v>0</v>
      </c>
      <c r="M60" s="544">
        <v>1715400</v>
      </c>
      <c r="N60" s="544">
        <v>0</v>
      </c>
      <c r="O60" s="543">
        <f t="shared" ref="O60:O71" si="43">+P60+Q60</f>
        <v>0</v>
      </c>
      <c r="P60" s="544">
        <v>0</v>
      </c>
      <c r="Q60" s="544">
        <v>0</v>
      </c>
      <c r="R60" s="544">
        <v>0</v>
      </c>
      <c r="S60" s="544">
        <v>0</v>
      </c>
      <c r="T60" s="544">
        <v>0</v>
      </c>
      <c r="U60" s="544">
        <v>0</v>
      </c>
      <c r="V60" s="544">
        <v>32319887</v>
      </c>
      <c r="W60" s="544">
        <v>0</v>
      </c>
      <c r="X60" s="544">
        <v>0</v>
      </c>
      <c r="Y60" s="544">
        <v>341286145</v>
      </c>
      <c r="AB60" s="260"/>
    </row>
    <row r="61" spans="1:28" s="255" customFormat="1" ht="15.75" customHeight="1">
      <c r="A61" s="545">
        <f t="shared" si="2"/>
        <v>450</v>
      </c>
      <c r="B61" s="542" t="s">
        <v>403</v>
      </c>
      <c r="C61" s="543">
        <f t="shared" si="39"/>
        <v>5000000</v>
      </c>
      <c r="D61" s="544">
        <v>5000000</v>
      </c>
      <c r="E61" s="544">
        <v>0</v>
      </c>
      <c r="F61" s="543">
        <f t="shared" si="42"/>
        <v>0</v>
      </c>
      <c r="G61" s="544"/>
      <c r="H61" s="544"/>
      <c r="I61" s="544"/>
      <c r="J61" s="544">
        <v>0</v>
      </c>
      <c r="K61" s="544"/>
      <c r="L61" s="544"/>
      <c r="M61" s="544">
        <v>0</v>
      </c>
      <c r="N61" s="544">
        <v>0</v>
      </c>
      <c r="O61" s="543">
        <f t="shared" si="43"/>
        <v>5000000</v>
      </c>
      <c r="P61" s="544">
        <v>0</v>
      </c>
      <c r="Q61" s="544">
        <v>5000000</v>
      </c>
      <c r="R61" s="544">
        <v>0</v>
      </c>
      <c r="S61" s="544">
        <v>0</v>
      </c>
      <c r="T61" s="544">
        <v>0</v>
      </c>
      <c r="U61" s="544">
        <v>0</v>
      </c>
      <c r="V61" s="544">
        <v>0</v>
      </c>
      <c r="W61" s="544">
        <v>0</v>
      </c>
      <c r="X61" s="544">
        <v>0</v>
      </c>
      <c r="Y61" s="544">
        <v>0</v>
      </c>
      <c r="AB61" s="260"/>
    </row>
    <row r="62" spans="1:28" s="255" customFormat="1" ht="15.75" customHeight="1">
      <c r="A62" s="545">
        <f t="shared" si="2"/>
        <v>460</v>
      </c>
      <c r="B62" s="542" t="s">
        <v>404</v>
      </c>
      <c r="C62" s="543">
        <f t="shared" si="39"/>
        <v>1918567880</v>
      </c>
      <c r="D62" s="544">
        <v>1198444009</v>
      </c>
      <c r="E62" s="544">
        <v>720123871</v>
      </c>
      <c r="F62" s="543">
        <f t="shared" si="42"/>
        <v>21630580</v>
      </c>
      <c r="G62" s="544">
        <v>7160983</v>
      </c>
      <c r="H62" s="544">
        <v>10858148</v>
      </c>
      <c r="I62" s="544">
        <v>3611449</v>
      </c>
      <c r="J62" s="544">
        <v>101823332</v>
      </c>
      <c r="K62" s="544"/>
      <c r="L62" s="544"/>
      <c r="M62" s="544">
        <v>155579290</v>
      </c>
      <c r="N62" s="544">
        <v>0</v>
      </c>
      <c r="O62" s="543">
        <f t="shared" si="43"/>
        <v>1386660617</v>
      </c>
      <c r="P62" s="544">
        <v>49955796</v>
      </c>
      <c r="Q62" s="544">
        <v>1336704821</v>
      </c>
      <c r="R62" s="544">
        <v>0</v>
      </c>
      <c r="S62" s="544">
        <v>0</v>
      </c>
      <c r="T62" s="544">
        <v>0</v>
      </c>
      <c r="U62" s="544">
        <v>0</v>
      </c>
      <c r="V62" s="544">
        <v>210746999</v>
      </c>
      <c r="W62" s="544">
        <v>49405310</v>
      </c>
      <c r="X62" s="544">
        <v>0</v>
      </c>
      <c r="Y62" s="544">
        <v>14352332</v>
      </c>
      <c r="AB62" s="260"/>
    </row>
    <row r="63" spans="1:28" s="255" customFormat="1" ht="15.75" customHeight="1">
      <c r="A63" s="545">
        <f t="shared" si="2"/>
        <v>470</v>
      </c>
      <c r="B63" s="542" t="s">
        <v>669</v>
      </c>
      <c r="C63" s="543">
        <f t="shared" si="39"/>
        <v>0</v>
      </c>
      <c r="D63" s="544"/>
      <c r="E63" s="544">
        <v>0</v>
      </c>
      <c r="F63" s="543">
        <f t="shared" si="42"/>
        <v>0</v>
      </c>
      <c r="G63" s="544"/>
      <c r="H63" s="544"/>
      <c r="I63" s="544"/>
      <c r="J63" s="544">
        <v>0</v>
      </c>
      <c r="K63" s="544"/>
      <c r="L63" s="544"/>
      <c r="M63" s="544"/>
      <c r="N63" s="544">
        <v>0</v>
      </c>
      <c r="O63" s="543">
        <f t="shared" si="43"/>
        <v>0</v>
      </c>
      <c r="P63" s="544">
        <v>0</v>
      </c>
      <c r="Q63" s="544"/>
      <c r="R63" s="544">
        <v>0</v>
      </c>
      <c r="S63" s="544">
        <v>0</v>
      </c>
      <c r="T63" s="544">
        <v>0</v>
      </c>
      <c r="U63" s="544">
        <v>0</v>
      </c>
      <c r="V63" s="544">
        <v>0</v>
      </c>
      <c r="W63" s="544"/>
      <c r="X63" s="544">
        <v>0</v>
      </c>
      <c r="Y63" s="544">
        <v>0</v>
      </c>
      <c r="AB63" s="260"/>
    </row>
    <row r="64" spans="1:28" s="255" customFormat="1" ht="15.75" customHeight="1">
      <c r="A64" s="545">
        <f t="shared" si="2"/>
        <v>480</v>
      </c>
      <c r="B64" s="542" t="s">
        <v>671</v>
      </c>
      <c r="C64" s="543">
        <f t="shared" si="39"/>
        <v>0</v>
      </c>
      <c r="D64" s="544"/>
      <c r="E64" s="544"/>
      <c r="F64" s="543">
        <f t="shared" si="42"/>
        <v>0</v>
      </c>
      <c r="G64" s="544"/>
      <c r="H64" s="544"/>
      <c r="I64" s="544"/>
      <c r="J64" s="544"/>
      <c r="K64" s="544"/>
      <c r="L64" s="544"/>
      <c r="M64" s="544"/>
      <c r="N64" s="544">
        <v>0</v>
      </c>
      <c r="O64" s="543">
        <f t="shared" si="43"/>
        <v>0</v>
      </c>
      <c r="P64" s="544"/>
      <c r="Q64" s="544"/>
      <c r="R64" s="544">
        <v>0</v>
      </c>
      <c r="S64" s="544">
        <v>0</v>
      </c>
      <c r="T64" s="544">
        <v>0</v>
      </c>
      <c r="U64" s="544">
        <v>0</v>
      </c>
      <c r="V64" s="544"/>
      <c r="W64" s="544"/>
      <c r="X64" s="544"/>
      <c r="Y64" s="544"/>
      <c r="AB64" s="260"/>
    </row>
    <row r="65" spans="1:28" s="255" customFormat="1" ht="15.75" customHeight="1">
      <c r="A65" s="545">
        <f t="shared" si="2"/>
        <v>490</v>
      </c>
      <c r="B65" s="542" t="s">
        <v>400</v>
      </c>
      <c r="C65" s="543">
        <f t="shared" si="39"/>
        <v>1378289</v>
      </c>
      <c r="D65" s="544">
        <v>380909</v>
      </c>
      <c r="E65" s="544">
        <v>997380</v>
      </c>
      <c r="F65" s="543">
        <f t="shared" si="42"/>
        <v>0</v>
      </c>
      <c r="G65" s="544"/>
      <c r="H65" s="544"/>
      <c r="I65" s="544"/>
      <c r="J65" s="544">
        <v>0</v>
      </c>
      <c r="K65" s="544">
        <v>0</v>
      </c>
      <c r="L65" s="544">
        <v>0</v>
      </c>
      <c r="M65" s="544">
        <v>380909</v>
      </c>
      <c r="N65" s="544">
        <v>0</v>
      </c>
      <c r="O65" s="543">
        <f t="shared" si="43"/>
        <v>0</v>
      </c>
      <c r="P65" s="544">
        <v>0</v>
      </c>
      <c r="Q65" s="544">
        <v>0</v>
      </c>
      <c r="R65" s="544">
        <v>0</v>
      </c>
      <c r="S65" s="544">
        <v>0</v>
      </c>
      <c r="T65" s="544">
        <v>0</v>
      </c>
      <c r="U65" s="544">
        <v>0</v>
      </c>
      <c r="V65" s="544">
        <v>997380</v>
      </c>
      <c r="W65" s="544">
        <v>0</v>
      </c>
      <c r="X65" s="544">
        <v>0</v>
      </c>
      <c r="Y65" s="544">
        <v>0</v>
      </c>
      <c r="AB65" s="260"/>
    </row>
    <row r="66" spans="1:28" s="255" customFormat="1" ht="15.75" customHeight="1">
      <c r="A66" s="545">
        <f t="shared" si="2"/>
        <v>500</v>
      </c>
      <c r="B66" s="542" t="s">
        <v>719</v>
      </c>
      <c r="C66" s="543">
        <f t="shared" si="39"/>
        <v>6153800</v>
      </c>
      <c r="D66" s="544">
        <v>6153800</v>
      </c>
      <c r="E66" s="544">
        <v>0</v>
      </c>
      <c r="F66" s="543">
        <f t="shared" ref="F66:F71" si="44">+G66+H66+I66</f>
        <v>0</v>
      </c>
      <c r="G66" s="544"/>
      <c r="H66" s="544"/>
      <c r="I66" s="544"/>
      <c r="J66" s="544">
        <v>0</v>
      </c>
      <c r="K66" s="544">
        <v>0</v>
      </c>
      <c r="L66" s="544">
        <v>0</v>
      </c>
      <c r="M66" s="544">
        <v>0</v>
      </c>
      <c r="N66" s="544">
        <v>0</v>
      </c>
      <c r="O66" s="543">
        <f t="shared" si="43"/>
        <v>6153800</v>
      </c>
      <c r="P66" s="544">
        <v>0</v>
      </c>
      <c r="Q66" s="544">
        <v>6153800</v>
      </c>
      <c r="R66" s="544">
        <v>0</v>
      </c>
      <c r="S66" s="544">
        <v>0</v>
      </c>
      <c r="T66" s="544">
        <v>0</v>
      </c>
      <c r="U66" s="544">
        <v>0</v>
      </c>
      <c r="V66" s="544">
        <v>0</v>
      </c>
      <c r="W66" s="544">
        <v>0</v>
      </c>
      <c r="X66" s="544">
        <v>0</v>
      </c>
      <c r="Y66" s="544">
        <v>0</v>
      </c>
      <c r="AB66" s="260"/>
    </row>
    <row r="67" spans="1:28" s="255" customFormat="1" ht="15.75" customHeight="1">
      <c r="A67" s="545">
        <f t="shared" ref="A67:A85" si="45">A66+10</f>
        <v>510</v>
      </c>
      <c r="B67" s="542" t="s">
        <v>675</v>
      </c>
      <c r="C67" s="543">
        <f t="shared" si="39"/>
        <v>19081199</v>
      </c>
      <c r="D67" s="544">
        <v>6560605</v>
      </c>
      <c r="E67" s="544">
        <v>12520594</v>
      </c>
      <c r="F67" s="543">
        <f t="shared" si="44"/>
        <v>0</v>
      </c>
      <c r="G67" s="544"/>
      <c r="H67" s="544"/>
      <c r="I67" s="544"/>
      <c r="J67" s="544">
        <v>0</v>
      </c>
      <c r="K67" s="544">
        <v>0</v>
      </c>
      <c r="L67" s="544">
        <v>0</v>
      </c>
      <c r="M67" s="544">
        <v>324672</v>
      </c>
      <c r="N67" s="544">
        <v>0</v>
      </c>
      <c r="O67" s="543">
        <f t="shared" si="43"/>
        <v>18356527</v>
      </c>
      <c r="P67" s="544">
        <v>0</v>
      </c>
      <c r="Q67" s="544">
        <v>18356527</v>
      </c>
      <c r="R67" s="544">
        <v>0</v>
      </c>
      <c r="S67" s="544">
        <v>0</v>
      </c>
      <c r="T67" s="544">
        <v>0</v>
      </c>
      <c r="U67" s="544">
        <v>0</v>
      </c>
      <c r="V67" s="544">
        <v>400000</v>
      </c>
      <c r="W67" s="544">
        <v>0</v>
      </c>
      <c r="X67" s="544">
        <v>0</v>
      </c>
      <c r="Y67" s="544">
        <v>0</v>
      </c>
      <c r="AB67" s="260"/>
    </row>
    <row r="68" spans="1:28" s="255" customFormat="1" ht="15.75" customHeight="1">
      <c r="A68" s="545">
        <f t="shared" si="45"/>
        <v>520</v>
      </c>
      <c r="B68" s="542" t="s">
        <v>676</v>
      </c>
      <c r="C68" s="543">
        <f t="shared" si="39"/>
        <v>0</v>
      </c>
      <c r="D68" s="544">
        <v>0</v>
      </c>
      <c r="E68" s="544">
        <v>0</v>
      </c>
      <c r="F68" s="543">
        <f t="shared" si="44"/>
        <v>0</v>
      </c>
      <c r="G68" s="544"/>
      <c r="H68" s="544"/>
      <c r="I68" s="544"/>
      <c r="J68" s="544">
        <v>0</v>
      </c>
      <c r="K68" s="544">
        <v>0</v>
      </c>
      <c r="L68" s="544">
        <v>0</v>
      </c>
      <c r="M68" s="544">
        <v>0</v>
      </c>
      <c r="N68" s="544">
        <v>0</v>
      </c>
      <c r="O68" s="543">
        <f t="shared" si="43"/>
        <v>0</v>
      </c>
      <c r="P68" s="544">
        <v>0</v>
      </c>
      <c r="Q68" s="544">
        <v>0</v>
      </c>
      <c r="R68" s="544">
        <v>0</v>
      </c>
      <c r="S68" s="544">
        <v>0</v>
      </c>
      <c r="T68" s="544">
        <v>0</v>
      </c>
      <c r="U68" s="544">
        <v>0</v>
      </c>
      <c r="V68" s="544">
        <v>0</v>
      </c>
      <c r="W68" s="544">
        <v>0</v>
      </c>
      <c r="X68" s="544">
        <v>0</v>
      </c>
      <c r="Y68" s="544">
        <v>0</v>
      </c>
      <c r="AB68" s="260"/>
    </row>
    <row r="69" spans="1:28" s="255" customFormat="1" ht="15.75" customHeight="1">
      <c r="A69" s="545">
        <f>A68+10</f>
        <v>530</v>
      </c>
      <c r="B69" s="542" t="s">
        <v>677</v>
      </c>
      <c r="C69" s="543">
        <f t="shared" si="39"/>
        <v>133039734</v>
      </c>
      <c r="D69" s="544">
        <v>101458059</v>
      </c>
      <c r="E69" s="544">
        <v>31581675</v>
      </c>
      <c r="F69" s="543">
        <f t="shared" si="44"/>
        <v>0</v>
      </c>
      <c r="G69" s="544">
        <v>0</v>
      </c>
      <c r="H69" s="544">
        <v>0</v>
      </c>
      <c r="I69" s="544">
        <v>0</v>
      </c>
      <c r="J69" s="544">
        <v>0</v>
      </c>
      <c r="K69" s="544">
        <v>0</v>
      </c>
      <c r="L69" s="544">
        <v>0</v>
      </c>
      <c r="M69" s="544">
        <v>96866770</v>
      </c>
      <c r="N69" s="544">
        <v>0</v>
      </c>
      <c r="O69" s="543">
        <f t="shared" si="43"/>
        <v>4092636</v>
      </c>
      <c r="P69" s="544">
        <v>0</v>
      </c>
      <c r="Q69" s="544">
        <v>4092636</v>
      </c>
      <c r="R69" s="544">
        <v>0</v>
      </c>
      <c r="S69" s="544">
        <v>0</v>
      </c>
      <c r="T69" s="544">
        <v>0</v>
      </c>
      <c r="U69" s="544">
        <v>0</v>
      </c>
      <c r="V69" s="544">
        <v>31596222</v>
      </c>
      <c r="W69" s="544">
        <v>484106</v>
      </c>
      <c r="X69" s="544">
        <v>0</v>
      </c>
      <c r="Y69" s="544">
        <v>0</v>
      </c>
      <c r="AB69" s="260"/>
    </row>
    <row r="70" spans="1:28" s="607" customFormat="1" ht="15.75" customHeight="1">
      <c r="A70" s="605">
        <f>A69+10</f>
        <v>540</v>
      </c>
      <c r="B70" s="605" t="s">
        <v>235</v>
      </c>
      <c r="C70" s="606">
        <f t="shared" si="39"/>
        <v>2458542334</v>
      </c>
      <c r="D70" s="606">
        <f>SUM(D60:D69)</f>
        <v>1333049979</v>
      </c>
      <c r="E70" s="606">
        <f>SUM(E60:E69)</f>
        <v>1125492355</v>
      </c>
      <c r="F70" s="606">
        <f t="shared" si="44"/>
        <v>34967777</v>
      </c>
      <c r="G70" s="606">
        <f>SUM(G60:G69)</f>
        <v>20498180</v>
      </c>
      <c r="H70" s="606">
        <f>SUM(H60:H69)</f>
        <v>10858148</v>
      </c>
      <c r="I70" s="606">
        <f>SUM(I60:I69)</f>
        <v>3611449</v>
      </c>
      <c r="J70" s="606">
        <f t="shared" ref="J70:Y70" si="46">SUM(J60:J69)</f>
        <v>101823332</v>
      </c>
      <c r="K70" s="606">
        <f t="shared" si="46"/>
        <v>0</v>
      </c>
      <c r="L70" s="606">
        <f t="shared" si="46"/>
        <v>0</v>
      </c>
      <c r="M70" s="606">
        <f t="shared" si="46"/>
        <v>254867041</v>
      </c>
      <c r="N70" s="606">
        <f t="shared" si="46"/>
        <v>0</v>
      </c>
      <c r="O70" s="606">
        <f t="shared" si="46"/>
        <v>1420263580</v>
      </c>
      <c r="P70" s="606">
        <f t="shared" si="46"/>
        <v>49955796</v>
      </c>
      <c r="Q70" s="606">
        <f t="shared" si="46"/>
        <v>1370307784</v>
      </c>
      <c r="R70" s="606">
        <f t="shared" si="46"/>
        <v>0</v>
      </c>
      <c r="S70" s="606">
        <f t="shared" si="46"/>
        <v>0</v>
      </c>
      <c r="T70" s="606">
        <f t="shared" si="46"/>
        <v>0</v>
      </c>
      <c r="U70" s="606">
        <f t="shared" si="46"/>
        <v>0</v>
      </c>
      <c r="V70" s="606">
        <f t="shared" si="46"/>
        <v>276060488</v>
      </c>
      <c r="W70" s="606">
        <f t="shared" si="46"/>
        <v>49889416</v>
      </c>
      <c r="X70" s="606">
        <f t="shared" si="46"/>
        <v>0</v>
      </c>
      <c r="Y70" s="606">
        <f t="shared" si="46"/>
        <v>355638477</v>
      </c>
      <c r="AA70" s="608"/>
      <c r="AB70" s="609"/>
    </row>
    <row r="71" spans="1:28" s="255" customFormat="1" ht="17.25" customHeight="1">
      <c r="A71" s="541">
        <v>550</v>
      </c>
      <c r="B71" s="552" t="s">
        <v>717</v>
      </c>
      <c r="C71" s="543">
        <f t="shared" si="39"/>
        <v>2396481791</v>
      </c>
      <c r="D71" s="544">
        <v>2396481791</v>
      </c>
      <c r="E71" s="544"/>
      <c r="F71" s="543">
        <f t="shared" si="44"/>
        <v>39794879</v>
      </c>
      <c r="G71" s="544">
        <v>12736796</v>
      </c>
      <c r="H71" s="544">
        <v>15789713</v>
      </c>
      <c r="I71" s="544">
        <v>11268370</v>
      </c>
      <c r="J71" s="544">
        <v>309766720</v>
      </c>
      <c r="K71" s="544">
        <v>0</v>
      </c>
      <c r="L71" s="544">
        <v>0</v>
      </c>
      <c r="M71" s="544">
        <v>353315726</v>
      </c>
      <c r="N71" s="544">
        <v>0</v>
      </c>
      <c r="O71" s="543">
        <f t="shared" si="43"/>
        <v>518912105</v>
      </c>
      <c r="P71" s="544">
        <v>478805223</v>
      </c>
      <c r="Q71" s="544">
        <v>40106882</v>
      </c>
      <c r="R71" s="544">
        <v>0</v>
      </c>
      <c r="S71" s="544">
        <v>0</v>
      </c>
      <c r="T71" s="544">
        <v>0</v>
      </c>
      <c r="U71" s="544">
        <v>0</v>
      </c>
      <c r="V71" s="544">
        <v>522403748</v>
      </c>
      <c r="W71" s="544">
        <v>692083492</v>
      </c>
      <c r="X71" s="544">
        <v>0</v>
      </c>
      <c r="Y71" s="544">
        <v>0</v>
      </c>
    </row>
    <row r="72" spans="1:28" s="255" customFormat="1" ht="15.75" customHeight="1">
      <c r="A72" s="546"/>
      <c r="B72" s="539" t="s">
        <v>718</v>
      </c>
      <c r="C72" s="547"/>
      <c r="D72" s="547"/>
      <c r="E72" s="547"/>
      <c r="F72" s="547"/>
      <c r="G72" s="548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AB72" s="260"/>
    </row>
    <row r="73" spans="1:28" s="255" customFormat="1" ht="15.75" customHeight="1">
      <c r="A73" s="541">
        <f>A71+10</f>
        <v>560</v>
      </c>
      <c r="B73" s="542" t="s">
        <v>401</v>
      </c>
      <c r="C73" s="543">
        <f t="shared" ref="C73:C85" si="47">SUM(J73:Y73)-L73-P73-Q73</f>
        <v>2396481791</v>
      </c>
      <c r="D73" s="543">
        <f t="shared" ref="D73:Y73" si="48">+D71</f>
        <v>2396481791</v>
      </c>
      <c r="E73" s="543">
        <f t="shared" ref="E73" si="49">+E71</f>
        <v>0</v>
      </c>
      <c r="F73" s="543">
        <f t="shared" si="48"/>
        <v>39794879</v>
      </c>
      <c r="G73" s="543">
        <f t="shared" ref="G73" si="50">+G71</f>
        <v>12736796</v>
      </c>
      <c r="H73" s="543">
        <f t="shared" si="48"/>
        <v>15789713</v>
      </c>
      <c r="I73" s="543">
        <f t="shared" si="48"/>
        <v>11268370</v>
      </c>
      <c r="J73" s="543">
        <f t="shared" si="48"/>
        <v>309766720</v>
      </c>
      <c r="K73" s="543">
        <f t="shared" si="48"/>
        <v>0</v>
      </c>
      <c r="L73" s="543">
        <f t="shared" si="48"/>
        <v>0</v>
      </c>
      <c r="M73" s="543">
        <f t="shared" si="48"/>
        <v>353315726</v>
      </c>
      <c r="N73" s="543">
        <f t="shared" si="48"/>
        <v>0</v>
      </c>
      <c r="O73" s="543">
        <f t="shared" si="48"/>
        <v>518912105</v>
      </c>
      <c r="P73" s="543">
        <f t="shared" si="48"/>
        <v>478805223</v>
      </c>
      <c r="Q73" s="543">
        <f t="shared" si="48"/>
        <v>40106882</v>
      </c>
      <c r="R73" s="543">
        <f t="shared" si="48"/>
        <v>0</v>
      </c>
      <c r="S73" s="543">
        <f t="shared" si="48"/>
        <v>0</v>
      </c>
      <c r="T73" s="543">
        <f t="shared" si="48"/>
        <v>0</v>
      </c>
      <c r="U73" s="543">
        <f t="shared" si="48"/>
        <v>0</v>
      </c>
      <c r="V73" s="543">
        <f t="shared" si="48"/>
        <v>522403748</v>
      </c>
      <c r="W73" s="543">
        <f t="shared" si="48"/>
        <v>692083492</v>
      </c>
      <c r="X73" s="543">
        <f t="shared" si="48"/>
        <v>0</v>
      </c>
      <c r="Y73" s="543">
        <f t="shared" si="48"/>
        <v>0</v>
      </c>
      <c r="AB73" s="260"/>
    </row>
    <row r="74" spans="1:28" s="255" customFormat="1" ht="15.75" customHeight="1">
      <c r="A74" s="541">
        <f t="shared" si="45"/>
        <v>570</v>
      </c>
      <c r="B74" s="542" t="s">
        <v>672</v>
      </c>
      <c r="C74" s="543">
        <f t="shared" si="47"/>
        <v>994619618</v>
      </c>
      <c r="D74" s="543">
        <f t="shared" ref="D74:F76" si="51">D9+D16+D24+D31+D38+D45+D52+D60</f>
        <v>615121570</v>
      </c>
      <c r="E74" s="543">
        <f t="shared" si="51"/>
        <v>379498048</v>
      </c>
      <c r="F74" s="543">
        <f t="shared" si="51"/>
        <v>16537197</v>
      </c>
      <c r="G74" s="543">
        <f t="shared" ref="G74" si="52">G9+G16+G24+G31+G38+G45+G52+G60</f>
        <v>13337197</v>
      </c>
      <c r="H74" s="543">
        <f t="shared" ref="H74:Y74" si="53">H9+H16+H24+H31+H38+H45+H52+H60</f>
        <v>3200000</v>
      </c>
      <c r="I74" s="543">
        <f t="shared" si="53"/>
        <v>0</v>
      </c>
      <c r="J74" s="543">
        <f t="shared" si="53"/>
        <v>198333333</v>
      </c>
      <c r="K74" s="543">
        <f t="shared" si="53"/>
        <v>0</v>
      </c>
      <c r="L74" s="543">
        <f t="shared" si="53"/>
        <v>0</v>
      </c>
      <c r="M74" s="543">
        <f t="shared" si="53"/>
        <v>13200683</v>
      </c>
      <c r="N74" s="543">
        <f t="shared" si="53"/>
        <v>0</v>
      </c>
      <c r="O74" s="543">
        <f t="shared" si="53"/>
        <v>160835127</v>
      </c>
      <c r="P74" s="543">
        <f t="shared" si="53"/>
        <v>1946804</v>
      </c>
      <c r="Q74" s="543">
        <f t="shared" si="53"/>
        <v>158888323</v>
      </c>
      <c r="R74" s="543">
        <f t="shared" si="53"/>
        <v>0</v>
      </c>
      <c r="S74" s="543">
        <f t="shared" si="53"/>
        <v>0</v>
      </c>
      <c r="T74" s="543">
        <f t="shared" si="53"/>
        <v>0</v>
      </c>
      <c r="U74" s="543">
        <f t="shared" si="53"/>
        <v>0</v>
      </c>
      <c r="V74" s="543">
        <f t="shared" si="53"/>
        <v>274946083</v>
      </c>
      <c r="W74" s="543">
        <f t="shared" si="53"/>
        <v>3823110</v>
      </c>
      <c r="X74" s="543">
        <f t="shared" si="53"/>
        <v>0</v>
      </c>
      <c r="Y74" s="543">
        <f t="shared" si="53"/>
        <v>343481282</v>
      </c>
      <c r="AB74" s="260"/>
    </row>
    <row r="75" spans="1:28" s="255" customFormat="1" ht="15.75" customHeight="1">
      <c r="A75" s="545">
        <f t="shared" si="45"/>
        <v>580</v>
      </c>
      <c r="B75" s="542" t="s">
        <v>403</v>
      </c>
      <c r="C75" s="543">
        <f t="shared" si="47"/>
        <v>186438802</v>
      </c>
      <c r="D75" s="543">
        <f t="shared" si="51"/>
        <v>5095525</v>
      </c>
      <c r="E75" s="543">
        <f t="shared" si="51"/>
        <v>181343277</v>
      </c>
      <c r="F75" s="543">
        <f t="shared" si="51"/>
        <v>0</v>
      </c>
      <c r="G75" s="543">
        <f t="shared" ref="G75" si="54">G10+G17+G25+G32+G39+G46+G53+G61</f>
        <v>0</v>
      </c>
      <c r="H75" s="543">
        <f t="shared" ref="H75:Y75" si="55">H10+H17+H25+H32+H39+H46+H53+H61</f>
        <v>0</v>
      </c>
      <c r="I75" s="543">
        <f t="shared" si="55"/>
        <v>0</v>
      </c>
      <c r="J75" s="543">
        <f t="shared" si="55"/>
        <v>0</v>
      </c>
      <c r="K75" s="543">
        <f t="shared" si="55"/>
        <v>0</v>
      </c>
      <c r="L75" s="543">
        <f t="shared" si="55"/>
        <v>0</v>
      </c>
      <c r="M75" s="543">
        <f t="shared" si="55"/>
        <v>20621627</v>
      </c>
      <c r="N75" s="543">
        <f t="shared" si="55"/>
        <v>0</v>
      </c>
      <c r="O75" s="543">
        <f t="shared" si="55"/>
        <v>106658855</v>
      </c>
      <c r="P75" s="543">
        <f t="shared" si="55"/>
        <v>5708329</v>
      </c>
      <c r="Q75" s="543">
        <f t="shared" si="55"/>
        <v>100950526</v>
      </c>
      <c r="R75" s="543">
        <f t="shared" si="55"/>
        <v>3338465</v>
      </c>
      <c r="S75" s="543">
        <f t="shared" si="55"/>
        <v>0</v>
      </c>
      <c r="T75" s="543">
        <f t="shared" si="55"/>
        <v>0</v>
      </c>
      <c r="U75" s="543">
        <f t="shared" si="55"/>
        <v>0</v>
      </c>
      <c r="V75" s="543">
        <f t="shared" si="55"/>
        <v>55819855</v>
      </c>
      <c r="W75" s="543">
        <f t="shared" si="55"/>
        <v>0</v>
      </c>
      <c r="X75" s="543">
        <f t="shared" si="55"/>
        <v>0</v>
      </c>
      <c r="Y75" s="543">
        <f t="shared" si="55"/>
        <v>0</v>
      </c>
      <c r="AB75" s="260"/>
    </row>
    <row r="76" spans="1:28" s="255" customFormat="1" ht="15.75" customHeight="1">
      <c r="A76" s="545">
        <f t="shared" si="45"/>
        <v>590</v>
      </c>
      <c r="B76" s="542" t="s">
        <v>404</v>
      </c>
      <c r="C76" s="543">
        <f t="shared" si="47"/>
        <v>5357029046</v>
      </c>
      <c r="D76" s="543">
        <f t="shared" si="51"/>
        <v>2468992060</v>
      </c>
      <c r="E76" s="543">
        <f t="shared" si="51"/>
        <v>2888036986</v>
      </c>
      <c r="F76" s="543">
        <f t="shared" si="51"/>
        <v>128682590</v>
      </c>
      <c r="G76" s="543">
        <f t="shared" ref="G76" si="56">G11+G18+G26+G33+G40+G47+G54+G62</f>
        <v>43619125</v>
      </c>
      <c r="H76" s="543">
        <f t="shared" ref="H76:Y76" si="57">H11+H18+H26+H33+H40+H47+H54+H62</f>
        <v>60668577</v>
      </c>
      <c r="I76" s="543">
        <f t="shared" si="57"/>
        <v>24394888</v>
      </c>
      <c r="J76" s="543">
        <f t="shared" si="57"/>
        <v>179248602</v>
      </c>
      <c r="K76" s="543">
        <f t="shared" si="57"/>
        <v>0</v>
      </c>
      <c r="L76" s="543">
        <f t="shared" si="57"/>
        <v>0</v>
      </c>
      <c r="M76" s="543">
        <f t="shared" si="57"/>
        <v>298566294</v>
      </c>
      <c r="N76" s="543">
        <f t="shared" si="57"/>
        <v>0</v>
      </c>
      <c r="O76" s="543">
        <f t="shared" si="57"/>
        <v>4286654641</v>
      </c>
      <c r="P76" s="543">
        <f t="shared" si="57"/>
        <v>238873350</v>
      </c>
      <c r="Q76" s="543">
        <f t="shared" si="57"/>
        <v>4047781291</v>
      </c>
      <c r="R76" s="543">
        <f t="shared" si="57"/>
        <v>0</v>
      </c>
      <c r="S76" s="543">
        <f t="shared" si="57"/>
        <v>0</v>
      </c>
      <c r="T76" s="543">
        <f t="shared" si="57"/>
        <v>0</v>
      </c>
      <c r="U76" s="543">
        <f t="shared" si="57"/>
        <v>0</v>
      </c>
      <c r="V76" s="543">
        <f t="shared" si="57"/>
        <v>483094452</v>
      </c>
      <c r="W76" s="543">
        <f t="shared" si="57"/>
        <v>67392988</v>
      </c>
      <c r="X76" s="543">
        <f t="shared" si="57"/>
        <v>0</v>
      </c>
      <c r="Y76" s="543">
        <f t="shared" si="57"/>
        <v>42072069</v>
      </c>
      <c r="AB76" s="260"/>
    </row>
    <row r="77" spans="1:28" s="255" customFormat="1" ht="15.75" customHeight="1">
      <c r="A77" s="545">
        <f t="shared" si="45"/>
        <v>600</v>
      </c>
      <c r="B77" s="542" t="s">
        <v>673</v>
      </c>
      <c r="C77" s="543">
        <f t="shared" si="47"/>
        <v>29599367</v>
      </c>
      <c r="D77" s="543">
        <f>D19</f>
        <v>3736421</v>
      </c>
      <c r="E77" s="543">
        <f>E19</f>
        <v>25862946</v>
      </c>
      <c r="F77" s="543">
        <f>F19</f>
        <v>0</v>
      </c>
      <c r="G77" s="543">
        <f t="shared" ref="G77" si="58">G19</f>
        <v>0</v>
      </c>
      <c r="H77" s="543">
        <f t="shared" ref="H77:Y77" si="59">H19</f>
        <v>0</v>
      </c>
      <c r="I77" s="543">
        <f t="shared" si="59"/>
        <v>0</v>
      </c>
      <c r="J77" s="543">
        <f t="shared" si="59"/>
        <v>0</v>
      </c>
      <c r="K77" s="543">
        <f t="shared" si="59"/>
        <v>0</v>
      </c>
      <c r="L77" s="543">
        <f t="shared" si="59"/>
        <v>0</v>
      </c>
      <c r="M77" s="543">
        <f t="shared" si="59"/>
        <v>476602</v>
      </c>
      <c r="N77" s="543">
        <f t="shared" si="59"/>
        <v>0</v>
      </c>
      <c r="O77" s="543">
        <f t="shared" si="59"/>
        <v>29122765</v>
      </c>
      <c r="P77" s="543">
        <f t="shared" si="59"/>
        <v>253333</v>
      </c>
      <c r="Q77" s="543">
        <f t="shared" si="59"/>
        <v>28869432</v>
      </c>
      <c r="R77" s="543">
        <f t="shared" si="59"/>
        <v>0</v>
      </c>
      <c r="S77" s="543">
        <f t="shared" si="59"/>
        <v>0</v>
      </c>
      <c r="T77" s="543">
        <f t="shared" si="59"/>
        <v>0</v>
      </c>
      <c r="U77" s="543">
        <f t="shared" si="59"/>
        <v>0</v>
      </c>
      <c r="V77" s="543">
        <f t="shared" si="59"/>
        <v>0</v>
      </c>
      <c r="W77" s="543">
        <f t="shared" si="59"/>
        <v>0</v>
      </c>
      <c r="X77" s="543">
        <f t="shared" si="59"/>
        <v>0</v>
      </c>
      <c r="Y77" s="543">
        <f t="shared" si="59"/>
        <v>0</v>
      </c>
      <c r="AB77" s="260"/>
    </row>
    <row r="78" spans="1:28" s="255" customFormat="1" ht="15.75" customHeight="1">
      <c r="A78" s="545">
        <f t="shared" si="45"/>
        <v>610</v>
      </c>
      <c r="B78" s="542" t="s">
        <v>671</v>
      </c>
      <c r="C78" s="543">
        <f t="shared" si="47"/>
        <v>0</v>
      </c>
      <c r="D78" s="543">
        <f t="shared" ref="D78:Y78" si="60">D64</f>
        <v>0</v>
      </c>
      <c r="E78" s="543">
        <f t="shared" ref="E78" si="61">E64</f>
        <v>0</v>
      </c>
      <c r="F78" s="543">
        <f t="shared" si="60"/>
        <v>0</v>
      </c>
      <c r="G78" s="543">
        <f t="shared" ref="G78" si="62">G64</f>
        <v>0</v>
      </c>
      <c r="H78" s="543">
        <f t="shared" si="60"/>
        <v>0</v>
      </c>
      <c r="I78" s="543">
        <f t="shared" si="60"/>
        <v>0</v>
      </c>
      <c r="J78" s="543">
        <f t="shared" si="60"/>
        <v>0</v>
      </c>
      <c r="K78" s="543">
        <f t="shared" si="60"/>
        <v>0</v>
      </c>
      <c r="L78" s="543">
        <f t="shared" si="60"/>
        <v>0</v>
      </c>
      <c r="M78" s="543">
        <f t="shared" si="60"/>
        <v>0</v>
      </c>
      <c r="N78" s="543">
        <f t="shared" si="60"/>
        <v>0</v>
      </c>
      <c r="O78" s="543">
        <f t="shared" si="60"/>
        <v>0</v>
      </c>
      <c r="P78" s="543">
        <f t="shared" si="60"/>
        <v>0</v>
      </c>
      <c r="Q78" s="543">
        <f t="shared" si="60"/>
        <v>0</v>
      </c>
      <c r="R78" s="543">
        <f t="shared" si="60"/>
        <v>0</v>
      </c>
      <c r="S78" s="543">
        <f t="shared" si="60"/>
        <v>0</v>
      </c>
      <c r="T78" s="543">
        <f t="shared" si="60"/>
        <v>0</v>
      </c>
      <c r="U78" s="543">
        <f t="shared" si="60"/>
        <v>0</v>
      </c>
      <c r="V78" s="543">
        <f t="shared" si="60"/>
        <v>0</v>
      </c>
      <c r="W78" s="543">
        <f t="shared" si="60"/>
        <v>0</v>
      </c>
      <c r="X78" s="543">
        <f t="shared" si="60"/>
        <v>0</v>
      </c>
      <c r="Y78" s="543">
        <f t="shared" si="60"/>
        <v>0</v>
      </c>
      <c r="AB78" s="260"/>
    </row>
    <row r="79" spans="1:28" s="255" customFormat="1" ht="15.75" customHeight="1">
      <c r="A79" s="545">
        <f t="shared" si="45"/>
        <v>620</v>
      </c>
      <c r="B79" s="542" t="s">
        <v>669</v>
      </c>
      <c r="C79" s="543">
        <f t="shared" si="47"/>
        <v>0</v>
      </c>
      <c r="D79" s="543">
        <f t="shared" ref="D79:Y79" si="63">D63</f>
        <v>0</v>
      </c>
      <c r="E79" s="543">
        <f t="shared" ref="E79" si="64">E63</f>
        <v>0</v>
      </c>
      <c r="F79" s="543">
        <f t="shared" si="63"/>
        <v>0</v>
      </c>
      <c r="G79" s="543">
        <f t="shared" ref="G79" si="65">G63</f>
        <v>0</v>
      </c>
      <c r="H79" s="543">
        <f t="shared" si="63"/>
        <v>0</v>
      </c>
      <c r="I79" s="543">
        <f t="shared" si="63"/>
        <v>0</v>
      </c>
      <c r="J79" s="543">
        <f t="shared" si="63"/>
        <v>0</v>
      </c>
      <c r="K79" s="543">
        <f t="shared" si="63"/>
        <v>0</v>
      </c>
      <c r="L79" s="543">
        <f t="shared" si="63"/>
        <v>0</v>
      </c>
      <c r="M79" s="543">
        <f t="shared" si="63"/>
        <v>0</v>
      </c>
      <c r="N79" s="543">
        <f t="shared" si="63"/>
        <v>0</v>
      </c>
      <c r="O79" s="543">
        <f t="shared" si="63"/>
        <v>0</v>
      </c>
      <c r="P79" s="543">
        <f t="shared" si="63"/>
        <v>0</v>
      </c>
      <c r="Q79" s="543">
        <f t="shared" si="63"/>
        <v>0</v>
      </c>
      <c r="R79" s="543">
        <f t="shared" si="63"/>
        <v>0</v>
      </c>
      <c r="S79" s="543">
        <f t="shared" si="63"/>
        <v>0</v>
      </c>
      <c r="T79" s="543">
        <f t="shared" si="63"/>
        <v>0</v>
      </c>
      <c r="U79" s="543">
        <f t="shared" si="63"/>
        <v>0</v>
      </c>
      <c r="V79" s="543">
        <f t="shared" si="63"/>
        <v>0</v>
      </c>
      <c r="W79" s="543">
        <f t="shared" si="63"/>
        <v>0</v>
      </c>
      <c r="X79" s="543">
        <f t="shared" si="63"/>
        <v>0</v>
      </c>
      <c r="Y79" s="543">
        <f t="shared" si="63"/>
        <v>0</v>
      </c>
      <c r="AB79" s="260"/>
    </row>
    <row r="80" spans="1:28" s="255" customFormat="1" ht="15.75" customHeight="1">
      <c r="A80" s="545">
        <f t="shared" si="45"/>
        <v>630</v>
      </c>
      <c r="B80" s="542" t="s">
        <v>400</v>
      </c>
      <c r="C80" s="543">
        <f t="shared" si="47"/>
        <v>2958746</v>
      </c>
      <c r="D80" s="543">
        <f>D12+D20+D27+D34+D41+D48+D55+D65</f>
        <v>1961366</v>
      </c>
      <c r="E80" s="543">
        <f>E12+E20+E27+E34+E41+E48+E55+E65</f>
        <v>997380</v>
      </c>
      <c r="F80" s="543">
        <f>F12+F20+F27+F34+F41+F48+F55+F65</f>
        <v>0</v>
      </c>
      <c r="G80" s="543">
        <f t="shared" ref="G80" si="66">G12+G20+G27+G34+G41+G48+G55+G65</f>
        <v>0</v>
      </c>
      <c r="H80" s="543">
        <f t="shared" ref="H80:Y80" si="67">H12+H20+H27+H34+H41+H48+H55+H65</f>
        <v>0</v>
      </c>
      <c r="I80" s="543">
        <f t="shared" si="67"/>
        <v>0</v>
      </c>
      <c r="J80" s="543">
        <f t="shared" si="67"/>
        <v>0</v>
      </c>
      <c r="K80" s="543">
        <f t="shared" si="67"/>
        <v>0</v>
      </c>
      <c r="L80" s="543">
        <f t="shared" si="67"/>
        <v>0</v>
      </c>
      <c r="M80" s="543">
        <f t="shared" si="67"/>
        <v>1632420</v>
      </c>
      <c r="N80" s="543">
        <f t="shared" si="67"/>
        <v>0</v>
      </c>
      <c r="O80" s="543">
        <f t="shared" si="67"/>
        <v>328946</v>
      </c>
      <c r="P80" s="543">
        <f t="shared" si="67"/>
        <v>0</v>
      </c>
      <c r="Q80" s="543">
        <f t="shared" si="67"/>
        <v>328946</v>
      </c>
      <c r="R80" s="543">
        <f t="shared" si="67"/>
        <v>0</v>
      </c>
      <c r="S80" s="543">
        <f t="shared" si="67"/>
        <v>0</v>
      </c>
      <c r="T80" s="543">
        <f t="shared" si="67"/>
        <v>0</v>
      </c>
      <c r="U80" s="543">
        <f t="shared" si="67"/>
        <v>0</v>
      </c>
      <c r="V80" s="543">
        <f t="shared" si="67"/>
        <v>997380</v>
      </c>
      <c r="W80" s="543">
        <f t="shared" si="67"/>
        <v>0</v>
      </c>
      <c r="X80" s="543">
        <f t="shared" si="67"/>
        <v>0</v>
      </c>
      <c r="Y80" s="543">
        <f t="shared" si="67"/>
        <v>0</v>
      </c>
      <c r="AB80" s="260"/>
    </row>
    <row r="81" spans="1:30" s="255" customFormat="1" ht="15.75" customHeight="1">
      <c r="A81" s="545">
        <f t="shared" si="45"/>
        <v>640</v>
      </c>
      <c r="B81" s="542" t="s">
        <v>719</v>
      </c>
      <c r="C81" s="543">
        <f t="shared" si="47"/>
        <v>6153800</v>
      </c>
      <c r="D81" s="543">
        <f t="shared" ref="D81:Y81" si="68">D66</f>
        <v>6153800</v>
      </c>
      <c r="E81" s="543">
        <f t="shared" ref="E81" si="69">E66</f>
        <v>0</v>
      </c>
      <c r="F81" s="543">
        <f t="shared" si="68"/>
        <v>0</v>
      </c>
      <c r="G81" s="543">
        <f t="shared" ref="G81" si="70">G66</f>
        <v>0</v>
      </c>
      <c r="H81" s="543">
        <f t="shared" si="68"/>
        <v>0</v>
      </c>
      <c r="I81" s="543">
        <f t="shared" si="68"/>
        <v>0</v>
      </c>
      <c r="J81" s="543">
        <f t="shared" si="68"/>
        <v>0</v>
      </c>
      <c r="K81" s="543">
        <f t="shared" si="68"/>
        <v>0</v>
      </c>
      <c r="L81" s="543">
        <f t="shared" si="68"/>
        <v>0</v>
      </c>
      <c r="M81" s="543">
        <f t="shared" si="68"/>
        <v>0</v>
      </c>
      <c r="N81" s="543">
        <f t="shared" si="68"/>
        <v>0</v>
      </c>
      <c r="O81" s="543">
        <f t="shared" si="68"/>
        <v>6153800</v>
      </c>
      <c r="P81" s="543">
        <f t="shared" si="68"/>
        <v>0</v>
      </c>
      <c r="Q81" s="543">
        <f t="shared" si="68"/>
        <v>6153800</v>
      </c>
      <c r="R81" s="543">
        <f t="shared" si="68"/>
        <v>0</v>
      </c>
      <c r="S81" s="543">
        <f t="shared" si="68"/>
        <v>0</v>
      </c>
      <c r="T81" s="543">
        <f t="shared" si="68"/>
        <v>0</v>
      </c>
      <c r="U81" s="543">
        <f t="shared" si="68"/>
        <v>0</v>
      </c>
      <c r="V81" s="543">
        <f t="shared" si="68"/>
        <v>0</v>
      </c>
      <c r="W81" s="543">
        <f t="shared" si="68"/>
        <v>0</v>
      </c>
      <c r="X81" s="543">
        <f t="shared" si="68"/>
        <v>0</v>
      </c>
      <c r="Y81" s="543">
        <f t="shared" si="68"/>
        <v>0</v>
      </c>
      <c r="AB81" s="260"/>
    </row>
    <row r="82" spans="1:30" s="255" customFormat="1" ht="15.75" customHeight="1">
      <c r="A82" s="545">
        <f t="shared" si="45"/>
        <v>650</v>
      </c>
      <c r="B82" s="542" t="s">
        <v>675</v>
      </c>
      <c r="C82" s="543">
        <f>SUM(J82:Y82)-L82-P82-Q82</f>
        <v>19290704</v>
      </c>
      <c r="D82" s="543">
        <f>+D56+D67</f>
        <v>6770110</v>
      </c>
      <c r="E82" s="543">
        <f>+E56+E67</f>
        <v>12520594</v>
      </c>
      <c r="F82" s="543">
        <f>+F56+F67</f>
        <v>209505</v>
      </c>
      <c r="G82" s="543">
        <f t="shared" ref="G82" si="71">+G56+G67</f>
        <v>0</v>
      </c>
      <c r="H82" s="543">
        <f t="shared" ref="H82:Y82" si="72">+H56+H67</f>
        <v>6755</v>
      </c>
      <c r="I82" s="543">
        <f t="shared" si="72"/>
        <v>202750</v>
      </c>
      <c r="J82" s="543">
        <f t="shared" si="72"/>
        <v>0</v>
      </c>
      <c r="K82" s="543">
        <f t="shared" si="72"/>
        <v>0</v>
      </c>
      <c r="L82" s="543">
        <f t="shared" si="72"/>
        <v>0</v>
      </c>
      <c r="M82" s="543">
        <f t="shared" si="72"/>
        <v>324672</v>
      </c>
      <c r="N82" s="543">
        <f t="shared" si="72"/>
        <v>0</v>
      </c>
      <c r="O82" s="543">
        <f t="shared" si="72"/>
        <v>18356527</v>
      </c>
      <c r="P82" s="543">
        <f t="shared" si="72"/>
        <v>0</v>
      </c>
      <c r="Q82" s="543">
        <f t="shared" si="72"/>
        <v>18356527</v>
      </c>
      <c r="R82" s="543">
        <f t="shared" si="72"/>
        <v>0</v>
      </c>
      <c r="S82" s="543">
        <f t="shared" si="72"/>
        <v>0</v>
      </c>
      <c r="T82" s="543">
        <f t="shared" si="72"/>
        <v>0</v>
      </c>
      <c r="U82" s="543">
        <f t="shared" si="72"/>
        <v>0</v>
      </c>
      <c r="V82" s="543">
        <f t="shared" si="72"/>
        <v>534000</v>
      </c>
      <c r="W82" s="543">
        <f t="shared" si="72"/>
        <v>75505</v>
      </c>
      <c r="X82" s="543">
        <f t="shared" si="72"/>
        <v>0</v>
      </c>
      <c r="Y82" s="543">
        <f t="shared" si="72"/>
        <v>0</v>
      </c>
      <c r="AB82" s="260"/>
    </row>
    <row r="83" spans="1:30" s="255" customFormat="1" ht="15.75" customHeight="1">
      <c r="A83" s="545">
        <f t="shared" si="45"/>
        <v>660</v>
      </c>
      <c r="B83" s="542" t="s">
        <v>676</v>
      </c>
      <c r="C83" s="543">
        <f t="shared" si="47"/>
        <v>0</v>
      </c>
      <c r="D83" s="543">
        <f t="shared" ref="D83:Y83" si="73">D68</f>
        <v>0</v>
      </c>
      <c r="E83" s="543">
        <f t="shared" ref="E83" si="74">E68</f>
        <v>0</v>
      </c>
      <c r="F83" s="543">
        <f t="shared" si="73"/>
        <v>0</v>
      </c>
      <c r="G83" s="543">
        <f t="shared" ref="G83" si="75">G68</f>
        <v>0</v>
      </c>
      <c r="H83" s="543">
        <f t="shared" si="73"/>
        <v>0</v>
      </c>
      <c r="I83" s="543">
        <f t="shared" si="73"/>
        <v>0</v>
      </c>
      <c r="J83" s="543">
        <f t="shared" si="73"/>
        <v>0</v>
      </c>
      <c r="K83" s="543">
        <f t="shared" si="73"/>
        <v>0</v>
      </c>
      <c r="L83" s="543">
        <f t="shared" si="73"/>
        <v>0</v>
      </c>
      <c r="M83" s="543">
        <f t="shared" si="73"/>
        <v>0</v>
      </c>
      <c r="N83" s="543">
        <f t="shared" si="73"/>
        <v>0</v>
      </c>
      <c r="O83" s="543">
        <f t="shared" si="73"/>
        <v>0</v>
      </c>
      <c r="P83" s="543">
        <f t="shared" si="73"/>
        <v>0</v>
      </c>
      <c r="Q83" s="543">
        <f t="shared" si="73"/>
        <v>0</v>
      </c>
      <c r="R83" s="543">
        <f t="shared" si="73"/>
        <v>0</v>
      </c>
      <c r="S83" s="543">
        <f t="shared" si="73"/>
        <v>0</v>
      </c>
      <c r="T83" s="543">
        <f t="shared" si="73"/>
        <v>0</v>
      </c>
      <c r="U83" s="543">
        <f t="shared" si="73"/>
        <v>0</v>
      </c>
      <c r="V83" s="543">
        <f t="shared" si="73"/>
        <v>0</v>
      </c>
      <c r="W83" s="543">
        <f t="shared" si="73"/>
        <v>0</v>
      </c>
      <c r="X83" s="543">
        <f t="shared" si="73"/>
        <v>0</v>
      </c>
      <c r="Y83" s="543">
        <f t="shared" si="73"/>
        <v>0</v>
      </c>
      <c r="AB83" s="260"/>
    </row>
    <row r="84" spans="1:30" s="255" customFormat="1" ht="15.75" customHeight="1">
      <c r="A84" s="545">
        <f>A83+10</f>
        <v>670</v>
      </c>
      <c r="B84" s="542" t="s">
        <v>677</v>
      </c>
      <c r="C84" s="543">
        <f t="shared" si="47"/>
        <v>169305072</v>
      </c>
      <c r="D84" s="543">
        <f>D13+D21+D28+D35+D42+D49+D57+D69</f>
        <v>137723397</v>
      </c>
      <c r="E84" s="543">
        <f>E13+E21+E28+E35+E42+E49+E57+E69</f>
        <v>31581675</v>
      </c>
      <c r="F84" s="543">
        <f>F13+F21+F28+F35+F42+F49+F57+F69</f>
        <v>628275</v>
      </c>
      <c r="G84" s="543">
        <f t="shared" ref="G84" si="76">G13+G21+G28+G35+G42+G49+G57+G69</f>
        <v>0</v>
      </c>
      <c r="H84" s="543">
        <f t="shared" ref="H84:Y84" si="77">H13+H21+H28+H35+H42+H49+H57+H69</f>
        <v>628275</v>
      </c>
      <c r="I84" s="543">
        <f t="shared" si="77"/>
        <v>0</v>
      </c>
      <c r="J84" s="543">
        <f t="shared" si="77"/>
        <v>26208</v>
      </c>
      <c r="K84" s="543">
        <f t="shared" si="77"/>
        <v>0</v>
      </c>
      <c r="L84" s="543">
        <f t="shared" si="77"/>
        <v>0</v>
      </c>
      <c r="M84" s="543">
        <f t="shared" si="77"/>
        <v>123242753</v>
      </c>
      <c r="N84" s="543">
        <f t="shared" si="77"/>
        <v>0</v>
      </c>
      <c r="O84" s="543">
        <f t="shared" si="77"/>
        <v>13852136</v>
      </c>
      <c r="P84" s="543">
        <f t="shared" si="77"/>
        <v>1134387</v>
      </c>
      <c r="Q84" s="543">
        <f t="shared" si="77"/>
        <v>12717749</v>
      </c>
      <c r="R84" s="543">
        <f t="shared" si="77"/>
        <v>0</v>
      </c>
      <c r="S84" s="543">
        <f t="shared" si="77"/>
        <v>0</v>
      </c>
      <c r="T84" s="543">
        <f t="shared" si="77"/>
        <v>0</v>
      </c>
      <c r="U84" s="543">
        <f t="shared" si="77"/>
        <v>0</v>
      </c>
      <c r="V84" s="543">
        <f t="shared" si="77"/>
        <v>31699869</v>
      </c>
      <c r="W84" s="543">
        <f t="shared" si="77"/>
        <v>484106</v>
      </c>
      <c r="X84" s="543">
        <f t="shared" si="77"/>
        <v>0</v>
      </c>
      <c r="Y84" s="543">
        <f t="shared" si="77"/>
        <v>0</v>
      </c>
      <c r="AB84" s="260"/>
    </row>
    <row r="85" spans="1:30" s="607" customFormat="1" ht="15.75" customHeight="1">
      <c r="A85" s="605">
        <f t="shared" si="45"/>
        <v>680</v>
      </c>
      <c r="B85" s="605" t="s">
        <v>678</v>
      </c>
      <c r="C85" s="606">
        <f t="shared" si="47"/>
        <v>9161876946</v>
      </c>
      <c r="D85" s="606">
        <f>SUM(D73:D84)</f>
        <v>5642036040</v>
      </c>
      <c r="E85" s="606">
        <f>SUM(E73:E84)</f>
        <v>3519840906</v>
      </c>
      <c r="F85" s="606">
        <f>SUM(F73:F84)</f>
        <v>185852446</v>
      </c>
      <c r="G85" s="606">
        <f t="shared" ref="G85" si="78">SUM(G73:G84)</f>
        <v>69693118</v>
      </c>
      <c r="H85" s="606">
        <f t="shared" ref="H85:Y85" si="79">SUM(H73:H84)</f>
        <v>80293320</v>
      </c>
      <c r="I85" s="606">
        <f t="shared" si="79"/>
        <v>35866008</v>
      </c>
      <c r="J85" s="606">
        <f t="shared" si="79"/>
        <v>687374863</v>
      </c>
      <c r="K85" s="606">
        <f t="shared" si="79"/>
        <v>0</v>
      </c>
      <c r="L85" s="606">
        <f t="shared" si="79"/>
        <v>0</v>
      </c>
      <c r="M85" s="606">
        <f t="shared" si="79"/>
        <v>811380777</v>
      </c>
      <c r="N85" s="606">
        <f t="shared" si="79"/>
        <v>0</v>
      </c>
      <c r="O85" s="606">
        <f t="shared" si="79"/>
        <v>5140874902</v>
      </c>
      <c r="P85" s="606">
        <f t="shared" si="79"/>
        <v>726721426</v>
      </c>
      <c r="Q85" s="606">
        <f t="shared" si="79"/>
        <v>4414153476</v>
      </c>
      <c r="R85" s="606">
        <f t="shared" si="79"/>
        <v>3338465</v>
      </c>
      <c r="S85" s="606">
        <f t="shared" si="79"/>
        <v>0</v>
      </c>
      <c r="T85" s="606">
        <f t="shared" si="79"/>
        <v>0</v>
      </c>
      <c r="U85" s="606">
        <f t="shared" si="79"/>
        <v>0</v>
      </c>
      <c r="V85" s="606">
        <f t="shared" si="79"/>
        <v>1369495387</v>
      </c>
      <c r="W85" s="606">
        <f t="shared" si="79"/>
        <v>763859201</v>
      </c>
      <c r="X85" s="606">
        <f t="shared" si="79"/>
        <v>0</v>
      </c>
      <c r="Y85" s="606">
        <f t="shared" si="79"/>
        <v>385553351</v>
      </c>
      <c r="AA85" s="608"/>
      <c r="AB85" s="609"/>
    </row>
    <row r="86" spans="1:30" ht="19.5" customHeight="1">
      <c r="A86" s="277"/>
      <c r="B86" s="277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</row>
    <row r="87" spans="1:30" ht="15.75" customHeight="1">
      <c r="A87" s="34"/>
      <c r="B87" s="593" t="s">
        <v>788</v>
      </c>
      <c r="C87" s="34"/>
      <c r="D87" s="34"/>
      <c r="E87" s="34"/>
      <c r="F87" s="349"/>
      <c r="G87" s="349"/>
      <c r="H87" s="349"/>
      <c r="I87" s="349"/>
      <c r="J87" s="349"/>
      <c r="K87" s="349"/>
      <c r="L87" s="349"/>
      <c r="M87" s="349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</row>
    <row r="88" spans="1:30" ht="15.75" customHeight="1">
      <c r="A88" s="34"/>
      <c r="B88" s="593"/>
      <c r="C88" s="34"/>
      <c r="D88" s="34"/>
      <c r="E88" s="34"/>
      <c r="F88" s="349"/>
      <c r="G88" s="349"/>
      <c r="H88" s="349"/>
      <c r="I88" s="349"/>
      <c r="J88" s="349"/>
      <c r="K88" s="349"/>
      <c r="L88" s="349"/>
      <c r="M88" s="349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</row>
    <row r="89" spans="1:30" ht="15.75" customHeight="1">
      <c r="A89" s="34"/>
      <c r="B89" s="593" t="s">
        <v>789</v>
      </c>
      <c r="C89" s="34"/>
      <c r="D89" s="34"/>
      <c r="E89" s="34"/>
      <c r="F89" s="349"/>
      <c r="G89" s="349"/>
      <c r="H89" s="349"/>
      <c r="I89" s="349"/>
      <c r="J89" s="349"/>
      <c r="K89" s="349"/>
      <c r="L89" s="349"/>
      <c r="M89" s="349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</row>
    <row r="90" spans="1:30">
      <c r="B90" s="239"/>
      <c r="C90" s="277"/>
    </row>
    <row r="91" spans="1:30">
      <c r="C91" s="277"/>
    </row>
    <row r="92" spans="1:30">
      <c r="C92" s="277">
        <f>+[8]Balance!C25</f>
        <v>9161876946</v>
      </c>
      <c r="D92" s="277">
        <f>+[8]Balance!D25</f>
        <v>5642036040</v>
      </c>
      <c r="E92" s="277">
        <f>+[8]Balance!E25</f>
        <v>3519840906</v>
      </c>
      <c r="F92" s="277">
        <f>+'Asset Classification'!M31+'Asset Classification'!Q31+'Asset Classification'!U31</f>
        <v>185852446</v>
      </c>
      <c r="G92" s="277">
        <f>+'Asset Classification'!M31</f>
        <v>69693118</v>
      </c>
      <c r="H92" s="277">
        <f>+'Asset Classification'!Q31</f>
        <v>80293320</v>
      </c>
      <c r="I92" s="277">
        <f>+'Asset Classification'!U31</f>
        <v>35866008</v>
      </c>
      <c r="J92" s="277">
        <f>+'[9]Calculation of Risk Weighted As'!$C$24+'[9]Calculation of Risk Weighted As'!$D$24</f>
        <v>687374863</v>
      </c>
      <c r="K92" s="277"/>
    </row>
    <row r="93" spans="1:30">
      <c r="C93" s="277">
        <f t="shared" ref="C93:J93" si="80">+C85-C92</f>
        <v>0</v>
      </c>
      <c r="D93" s="277">
        <f t="shared" si="80"/>
        <v>0</v>
      </c>
      <c r="E93" s="277">
        <f t="shared" si="80"/>
        <v>0</v>
      </c>
      <c r="F93" s="277">
        <f t="shared" si="80"/>
        <v>0</v>
      </c>
      <c r="G93" s="277">
        <f t="shared" si="80"/>
        <v>0</v>
      </c>
      <c r="H93" s="277">
        <f t="shared" si="80"/>
        <v>0</v>
      </c>
      <c r="I93" s="277">
        <f t="shared" si="80"/>
        <v>0</v>
      </c>
      <c r="J93" s="277">
        <f t="shared" si="80"/>
        <v>0</v>
      </c>
    </row>
    <row r="94" spans="1:30">
      <c r="C94" s="277"/>
    </row>
    <row r="95" spans="1:30">
      <c r="C95" s="277"/>
    </row>
  </sheetData>
  <sheetProtection password="CACA" sheet="1" objects="1" scenarios="1"/>
  <mergeCells count="25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F5:F6"/>
    <mergeCell ref="F4:I4"/>
    <mergeCell ref="G5:I5"/>
    <mergeCell ref="A4:A6"/>
    <mergeCell ref="B4:B6"/>
    <mergeCell ref="C4:C6"/>
    <mergeCell ref="D4:E4"/>
    <mergeCell ref="D5:D6"/>
    <mergeCell ref="E5:E6"/>
  </mergeCells>
  <phoneticPr fontId="25" type="noConversion"/>
  <conditionalFormatting sqref="C9">
    <cfRule type="cellIs" dxfId="349" priority="23" operator="notEqual">
      <formula>D9+E9</formula>
    </cfRule>
  </conditionalFormatting>
  <conditionalFormatting sqref="C10:C13">
    <cfRule type="cellIs" dxfId="348" priority="20" operator="notEqual">
      <formula>D10+E10</formula>
    </cfRule>
  </conditionalFormatting>
  <conditionalFormatting sqref="C16">
    <cfRule type="cellIs" dxfId="347" priority="19" operator="notEqual">
      <formula>D16+E16</formula>
    </cfRule>
  </conditionalFormatting>
  <conditionalFormatting sqref="C17:C20">
    <cfRule type="cellIs" dxfId="346" priority="18" operator="notEqual">
      <formula>D17+E17</formula>
    </cfRule>
  </conditionalFormatting>
  <conditionalFormatting sqref="C21">
    <cfRule type="cellIs" dxfId="345" priority="17" operator="notEqual">
      <formula>D21+E21</formula>
    </cfRule>
  </conditionalFormatting>
  <conditionalFormatting sqref="C24:C28">
    <cfRule type="cellIs" dxfId="344" priority="16" operator="notEqual">
      <formula>D24+E24</formula>
    </cfRule>
  </conditionalFormatting>
  <conditionalFormatting sqref="C31:C35">
    <cfRule type="cellIs" dxfId="343" priority="15" operator="notEqual">
      <formula>D31+E31</formula>
    </cfRule>
  </conditionalFormatting>
  <conditionalFormatting sqref="C38:C42">
    <cfRule type="cellIs" dxfId="342" priority="14" operator="notEqual">
      <formula>D38+E38</formula>
    </cfRule>
  </conditionalFormatting>
  <conditionalFormatting sqref="C45:C49">
    <cfRule type="cellIs" dxfId="341" priority="13" operator="notEqual">
      <formula>D45+E45</formula>
    </cfRule>
  </conditionalFormatting>
  <conditionalFormatting sqref="C52:C57">
    <cfRule type="cellIs" dxfId="340" priority="12" operator="notEqual">
      <formula>D52+E52</formula>
    </cfRule>
  </conditionalFormatting>
  <conditionalFormatting sqref="C60:C69">
    <cfRule type="cellIs" dxfId="339" priority="11" operator="notEqual">
      <formula>D60+E60</formula>
    </cfRule>
  </conditionalFormatting>
  <conditionalFormatting sqref="C73:C84">
    <cfRule type="cellIs" dxfId="338" priority="10" operator="notEqual">
      <formula>D73+E73</formula>
    </cfRule>
  </conditionalFormatting>
  <conditionalFormatting sqref="C71">
    <cfRule type="cellIs" dxfId="337" priority="9" operator="notEqual">
      <formula>D71+E71</formula>
    </cfRule>
  </conditionalFormatting>
  <conditionalFormatting sqref="J85">
    <cfRule type="cellIs" dxfId="336" priority="8" operator="lessThan">
      <formula>$J$92</formula>
    </cfRule>
  </conditionalFormatting>
  <conditionalFormatting sqref="C85">
    <cfRule type="cellIs" dxfId="335" priority="7" operator="notEqual">
      <formula>C92</formula>
    </cfRule>
  </conditionalFormatting>
  <conditionalFormatting sqref="D85">
    <cfRule type="cellIs" dxfId="334" priority="6" operator="notEqual">
      <formula>D92</formula>
    </cfRule>
  </conditionalFormatting>
  <conditionalFormatting sqref="E85">
    <cfRule type="cellIs" dxfId="333" priority="5" operator="notEqual">
      <formula>E92</formula>
    </cfRule>
  </conditionalFormatting>
  <conditionalFormatting sqref="F85">
    <cfRule type="cellIs" dxfId="332" priority="4" operator="notEqual">
      <formula>F92</formula>
    </cfRule>
  </conditionalFormatting>
  <conditionalFormatting sqref="G85">
    <cfRule type="cellIs" dxfId="331" priority="3" operator="notEqual">
      <formula>G92</formula>
    </cfRule>
  </conditionalFormatting>
  <conditionalFormatting sqref="H85">
    <cfRule type="cellIs" dxfId="330" priority="2" operator="notEqual">
      <formula>H92</formula>
    </cfRule>
  </conditionalFormatting>
  <conditionalFormatting sqref="I85">
    <cfRule type="cellIs" dxfId="329" priority="1" operator="notEqual">
      <formula>I92</formula>
    </cfRule>
  </conditionalFormatting>
  <dataValidations disablePrompts="1"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85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1" orientation="landscape" r:id="rId1"/>
  <headerFooter alignWithMargins="0"/>
  <ignoredErrors>
    <ignoredError sqref="E86 C58:D58 C86:D86 M86:Y86 M15:Y15 C72:D72 C74:D85 D73 M59:Y59 M72:Y72 M14:Y14 M23:Y23 M22:Y22 M30:Y30 M29:Y29 M37:Y37 M36:Y36 M44:Y44 M43:Y43 M51:Y51 M50:Y50 M58:Y58 O53:O54 O66 O60 O52 M74:Y85 M73:Y73 C70:D70 C60:C69 O17:O20 O16 O21 O24:O28 O31:O35 O38:O42 O45:O49 O65 O61:O64 M70:Y70 O69 O56 O57 O68 O67 J70:L70 H73:L73 H74:L85 J58:L58 J50:L50 F51:L51 J43:L43 F44:L44 J36:L36 F37:L37 J29:L29 F30:L30 J22:L22 F23:L23 H14:L14 F73 F74:F85 F72:L72 F59:L59 F15:L15 I86:L86 F86:H86 F14:G14 F21 G73 F62 G74:G85 F24:F28 F22:I22 F31:F35 F29:I29 F38:F42 F36:I36 F45:F49 F43:I43 F52 F50:I50 F58:I58 F55 F53:F54 F67 F66 F60 F18:F20 F65 F61 F70 F69 F57 F56 F63:F64 F68 E82 C56:C57 C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AD42"/>
  <sheetViews>
    <sheetView view="pageBreakPreview" zoomScale="40" zoomScaleNormal="71" zoomScaleSheetLayoutView="40" workbookViewId="0">
      <pane xSplit="4" ySplit="8" topLeftCell="E9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J34" sqref="J34"/>
    </sheetView>
  </sheetViews>
  <sheetFormatPr defaultRowHeight="15"/>
  <cols>
    <col min="1" max="1" width="5" style="6" customWidth="1"/>
    <col min="2" max="2" width="48.140625" style="6" customWidth="1"/>
    <col min="3" max="3" width="19.140625" style="6" customWidth="1"/>
    <col min="4" max="4" width="7.140625" style="6" customWidth="1"/>
    <col min="5" max="5" width="21.85546875" style="6" customWidth="1"/>
    <col min="6" max="6" width="8.5703125" style="6" customWidth="1"/>
    <col min="7" max="7" width="21.85546875" style="6" customWidth="1"/>
    <col min="8" max="8" width="7.140625" style="6" customWidth="1"/>
    <col min="9" max="10" width="17.28515625" style="6" customWidth="1"/>
    <col min="11" max="11" width="8.7109375" style="6" customWidth="1"/>
    <col min="12" max="23" width="15" style="6" customWidth="1"/>
    <col min="24" max="25" width="13.140625" style="6" customWidth="1"/>
    <col min="26" max="26" width="14.28515625" style="290" bestFit="1" customWidth="1"/>
    <col min="27" max="16384" width="9.140625" style="6"/>
  </cols>
  <sheetData>
    <row r="1" spans="1:26" s="160" customFormat="1" ht="36.75" customHeight="1">
      <c r="A1" s="156" t="s">
        <v>697</v>
      </c>
      <c r="B1" s="157"/>
      <c r="C1" s="157"/>
      <c r="D1" s="157"/>
      <c r="E1" s="157"/>
      <c r="F1" s="157"/>
      <c r="G1" s="157"/>
      <c r="H1" s="157"/>
      <c r="I1" s="156"/>
      <c r="J1" s="156"/>
      <c r="K1" s="156"/>
      <c r="L1" s="156"/>
      <c r="M1" s="156"/>
      <c r="N1" s="156"/>
      <c r="O1" s="156"/>
      <c r="P1" s="156"/>
      <c r="Q1" s="156"/>
      <c r="R1" s="157"/>
      <c r="S1" s="157"/>
      <c r="T1" s="157"/>
      <c r="U1" s="157"/>
      <c r="V1" s="158"/>
      <c r="W1" s="159"/>
      <c r="X1" s="414" t="s">
        <v>698</v>
      </c>
      <c r="Y1" s="157"/>
    </row>
    <row r="2" spans="1:26" s="23" customFormat="1" ht="18">
      <c r="A2" s="154"/>
      <c r="B2" s="24"/>
      <c r="C2" s="24"/>
      <c r="D2" s="24"/>
      <c r="E2" s="24"/>
      <c r="F2" s="24"/>
      <c r="G2" s="24"/>
      <c r="H2" s="24"/>
      <c r="I2" s="5"/>
      <c r="J2" s="5"/>
      <c r="K2" s="5"/>
      <c r="L2" s="24"/>
      <c r="M2" s="24"/>
      <c r="N2" s="24"/>
      <c r="O2" s="24"/>
      <c r="P2" s="24"/>
      <c r="Q2" s="24"/>
      <c r="R2" s="24"/>
      <c r="S2" s="24"/>
      <c r="T2" s="155"/>
      <c r="U2" s="24"/>
      <c r="V2" s="24"/>
      <c r="W2" s="24"/>
      <c r="X2" s="24"/>
    </row>
    <row r="3" spans="1:26" ht="18">
      <c r="A3" s="151"/>
      <c r="B3" s="232" t="str">
        <f>+'Asset quality'!B3</f>
        <v>"Алоқабанк"</v>
      </c>
      <c r="C3" s="7"/>
      <c r="D3" s="152"/>
      <c r="E3" s="152"/>
      <c r="F3" s="152"/>
      <c r="G3" s="152"/>
      <c r="H3" s="152"/>
      <c r="I3" s="152"/>
      <c r="J3" s="153"/>
      <c r="K3" s="153"/>
      <c r="L3" s="153"/>
      <c r="M3" s="152"/>
      <c r="N3" s="152"/>
      <c r="O3" s="152"/>
      <c r="P3" s="152"/>
      <c r="Q3" s="152"/>
      <c r="R3" s="152"/>
      <c r="S3" s="152"/>
      <c r="T3" s="715">
        <f>+'Asset quality'!Q3</f>
        <v>44926</v>
      </c>
      <c r="U3" s="715"/>
      <c r="V3" s="7"/>
      <c r="W3" s="7"/>
      <c r="X3" s="415" t="str">
        <f>+'Asset quality'!T3</f>
        <v>минг. сўмда</v>
      </c>
      <c r="Z3" s="6"/>
    </row>
    <row r="4" spans="1:26" ht="30" customHeight="1">
      <c r="A4" s="720" t="s">
        <v>62</v>
      </c>
      <c r="B4" s="720" t="s">
        <v>285</v>
      </c>
      <c r="C4" s="720" t="s">
        <v>699</v>
      </c>
      <c r="D4" s="720" t="s">
        <v>77</v>
      </c>
      <c r="E4" s="720" t="s">
        <v>700</v>
      </c>
      <c r="F4" s="720" t="s">
        <v>77</v>
      </c>
      <c r="G4" s="720" t="s">
        <v>701</v>
      </c>
      <c r="H4" s="720" t="s">
        <v>77</v>
      </c>
      <c r="I4" s="716" t="s">
        <v>702</v>
      </c>
      <c r="J4" s="717"/>
      <c r="K4" s="720" t="s">
        <v>77</v>
      </c>
      <c r="L4" s="712" t="s">
        <v>703</v>
      </c>
      <c r="M4" s="714"/>
      <c r="N4" s="714"/>
      <c r="O4" s="714"/>
      <c r="P4" s="714"/>
      <c r="Q4" s="714"/>
      <c r="R4" s="714"/>
      <c r="S4" s="714"/>
      <c r="T4" s="714"/>
      <c r="U4" s="714"/>
      <c r="V4" s="714"/>
      <c r="W4" s="714"/>
      <c r="X4" s="714"/>
      <c r="Y4" s="713"/>
    </row>
    <row r="5" spans="1:26" ht="25.5" customHeight="1">
      <c r="A5" s="721"/>
      <c r="B5" s="721"/>
      <c r="C5" s="721"/>
      <c r="D5" s="721"/>
      <c r="E5" s="721"/>
      <c r="F5" s="721"/>
      <c r="G5" s="721"/>
      <c r="H5" s="721"/>
      <c r="I5" s="718"/>
      <c r="J5" s="719"/>
      <c r="K5" s="721"/>
      <c r="L5" s="712" t="s">
        <v>704</v>
      </c>
      <c r="M5" s="713"/>
      <c r="N5" s="712" t="s">
        <v>705</v>
      </c>
      <c r="O5" s="713"/>
      <c r="P5" s="712" t="s">
        <v>706</v>
      </c>
      <c r="Q5" s="713"/>
      <c r="R5" s="712" t="s">
        <v>548</v>
      </c>
      <c r="S5" s="713"/>
      <c r="T5" s="712" t="s">
        <v>549</v>
      </c>
      <c r="U5" s="713"/>
      <c r="V5" s="712" t="s">
        <v>550</v>
      </c>
      <c r="W5" s="713"/>
      <c r="X5" s="712" t="s">
        <v>551</v>
      </c>
      <c r="Y5" s="713"/>
    </row>
    <row r="6" spans="1:26" ht="47.25">
      <c r="A6" s="722"/>
      <c r="B6" s="722"/>
      <c r="C6" s="722"/>
      <c r="D6" s="722"/>
      <c r="E6" s="722"/>
      <c r="F6" s="722"/>
      <c r="G6" s="722"/>
      <c r="H6" s="722"/>
      <c r="I6" s="115" t="s">
        <v>707</v>
      </c>
      <c r="J6" s="115" t="s">
        <v>708</v>
      </c>
      <c r="K6" s="722"/>
      <c r="L6" s="115" t="s">
        <v>707</v>
      </c>
      <c r="M6" s="115" t="s">
        <v>708</v>
      </c>
      <c r="N6" s="115" t="s">
        <v>707</v>
      </c>
      <c r="O6" s="115" t="s">
        <v>708</v>
      </c>
      <c r="P6" s="115" t="s">
        <v>707</v>
      </c>
      <c r="Q6" s="115" t="s">
        <v>708</v>
      </c>
      <c r="R6" s="115" t="s">
        <v>707</v>
      </c>
      <c r="S6" s="115" t="s">
        <v>708</v>
      </c>
      <c r="T6" s="115" t="s">
        <v>707</v>
      </c>
      <c r="U6" s="115" t="s">
        <v>708</v>
      </c>
      <c r="V6" s="115" t="s">
        <v>707</v>
      </c>
      <c r="W6" s="115" t="s">
        <v>708</v>
      </c>
      <c r="X6" s="115" t="s">
        <v>707</v>
      </c>
      <c r="Y6" s="115" t="s">
        <v>708</v>
      </c>
    </row>
    <row r="7" spans="1:26" ht="15.75">
      <c r="A7" s="115"/>
      <c r="B7" s="115" t="s">
        <v>67</v>
      </c>
      <c r="C7" s="115" t="s">
        <v>37</v>
      </c>
      <c r="D7" s="115" t="s">
        <v>38</v>
      </c>
      <c r="E7" s="115" t="s">
        <v>39</v>
      </c>
      <c r="F7" s="115" t="s">
        <v>63</v>
      </c>
      <c r="G7" s="115" t="s">
        <v>64</v>
      </c>
      <c r="H7" s="115" t="s">
        <v>65</v>
      </c>
      <c r="I7" s="115" t="s">
        <v>68</v>
      </c>
      <c r="J7" s="115" t="s">
        <v>167</v>
      </c>
      <c r="K7" s="115" t="s">
        <v>69</v>
      </c>
      <c r="L7" s="115" t="s">
        <v>70</v>
      </c>
      <c r="M7" s="115" t="s">
        <v>166</v>
      </c>
      <c r="N7" s="115" t="s">
        <v>71</v>
      </c>
      <c r="O7" s="115" t="s">
        <v>168</v>
      </c>
      <c r="P7" s="115" t="s">
        <v>72</v>
      </c>
      <c r="Q7" s="115" t="s">
        <v>169</v>
      </c>
      <c r="R7" s="115" t="s">
        <v>73</v>
      </c>
      <c r="S7" s="115" t="s">
        <v>170</v>
      </c>
      <c r="T7" s="115" t="s">
        <v>74</v>
      </c>
      <c r="U7" s="115" t="s">
        <v>171</v>
      </c>
      <c r="V7" s="115" t="s">
        <v>75</v>
      </c>
      <c r="W7" s="115" t="s">
        <v>172</v>
      </c>
      <c r="X7" s="115" t="s">
        <v>76</v>
      </c>
      <c r="Y7" s="115" t="s">
        <v>173</v>
      </c>
    </row>
    <row r="8" spans="1:26" s="25" customFormat="1" ht="27.75" customHeight="1">
      <c r="A8" s="115"/>
      <c r="B8" s="115" t="s">
        <v>668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291"/>
    </row>
    <row r="9" spans="1:26" s="25" customFormat="1" ht="26.25" customHeight="1">
      <c r="A9" s="416">
        <v>1</v>
      </c>
      <c r="B9" s="417" t="s">
        <v>669</v>
      </c>
      <c r="C9" s="29">
        <f>+'Loans Receivable'!C79</f>
        <v>0</v>
      </c>
      <c r="D9" s="107">
        <f t="shared" ref="D9:D20" si="0">IF(C$22=0,"",C9/C$22)</f>
        <v>0</v>
      </c>
      <c r="E9" s="28">
        <v>0</v>
      </c>
      <c r="F9" s="107">
        <f t="shared" ref="F9:F20" si="1">IF(E$22=0,"",E9/E$22)</f>
        <v>0</v>
      </c>
      <c r="G9" s="28">
        <v>0</v>
      </c>
      <c r="H9" s="107">
        <f t="shared" ref="H9:H20" si="2">IF($G$22=0,"",G9/$G$22)</f>
        <v>0</v>
      </c>
      <c r="I9" s="29">
        <f t="shared" ref="I9:J20" si="3">+L9+N9+P9+R9+T9+V9+X9</f>
        <v>0</v>
      </c>
      <c r="J9" s="29">
        <f>+M9+O9+T9+S9+U9+W9+Y9</f>
        <v>0</v>
      </c>
      <c r="K9" s="107">
        <f t="shared" ref="K9:K20" si="4">IF($Z$22=0,"",Z9/$Z$22)</f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93">
        <f>+I9+J9</f>
        <v>0</v>
      </c>
    </row>
    <row r="10" spans="1:26" s="25" customFormat="1" ht="26.25" customHeight="1">
      <c r="A10" s="416">
        <v>2</v>
      </c>
      <c r="B10" s="417" t="s">
        <v>671</v>
      </c>
      <c r="C10" s="29">
        <f>+'Loans Receivable'!C78</f>
        <v>0</v>
      </c>
      <c r="D10" s="107">
        <f t="shared" si="0"/>
        <v>0</v>
      </c>
      <c r="E10" s="28">
        <v>0</v>
      </c>
      <c r="F10" s="107">
        <f t="shared" si="1"/>
        <v>0</v>
      </c>
      <c r="G10" s="28">
        <v>0</v>
      </c>
      <c r="H10" s="107">
        <f t="shared" si="2"/>
        <v>0</v>
      </c>
      <c r="I10" s="29">
        <f t="shared" si="3"/>
        <v>0</v>
      </c>
      <c r="J10" s="29">
        <f t="shared" si="3"/>
        <v>0</v>
      </c>
      <c r="K10" s="107">
        <f t="shared" si="4"/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93">
        <f t="shared" ref="Z10:Z35" si="5">+I10+J10</f>
        <v>0</v>
      </c>
    </row>
    <row r="11" spans="1:26" s="25" customFormat="1" ht="26.25" customHeight="1">
      <c r="A11" s="416">
        <v>3</v>
      </c>
      <c r="B11" s="417" t="s">
        <v>400</v>
      </c>
      <c r="C11" s="29">
        <f>+'Loans Receivable'!C80</f>
        <v>2958746</v>
      </c>
      <c r="D11" s="107">
        <f t="shared" si="0"/>
        <v>3.2294103243678295E-4</v>
      </c>
      <c r="E11" s="28">
        <v>0</v>
      </c>
      <c r="F11" s="107">
        <f t="shared" si="1"/>
        <v>0</v>
      </c>
      <c r="G11" s="28">
        <v>0</v>
      </c>
      <c r="H11" s="107">
        <f t="shared" si="2"/>
        <v>0</v>
      </c>
      <c r="I11" s="29">
        <f t="shared" si="3"/>
        <v>0</v>
      </c>
      <c r="J11" s="29">
        <f t="shared" si="3"/>
        <v>0</v>
      </c>
      <c r="K11" s="107">
        <f t="shared" si="4"/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93">
        <f t="shared" si="5"/>
        <v>0</v>
      </c>
    </row>
    <row r="12" spans="1:26" s="25" customFormat="1" ht="26.25" customHeight="1">
      <c r="A12" s="416">
        <v>4</v>
      </c>
      <c r="B12" s="417" t="s">
        <v>401</v>
      </c>
      <c r="C12" s="29">
        <f>+'Loans Receivable'!C73</f>
        <v>2396481791</v>
      </c>
      <c r="D12" s="107">
        <f t="shared" si="0"/>
        <v>0.26157105199347652</v>
      </c>
      <c r="E12" s="28">
        <v>0</v>
      </c>
      <c r="F12" s="107">
        <f t="shared" si="1"/>
        <v>0</v>
      </c>
      <c r="G12" s="28">
        <v>5190262</v>
      </c>
      <c r="H12" s="107">
        <f t="shared" si="2"/>
        <v>2.8016062725003104E-2</v>
      </c>
      <c r="I12" s="29">
        <f t="shared" si="3"/>
        <v>10640116</v>
      </c>
      <c r="J12" s="29">
        <f t="shared" si="3"/>
        <v>5240528</v>
      </c>
      <c r="K12" s="107">
        <f t="shared" si="4"/>
        <v>0.24733996114210047</v>
      </c>
      <c r="L12" s="28">
        <v>1210845</v>
      </c>
      <c r="M12" s="28">
        <v>1227883</v>
      </c>
      <c r="N12" s="28">
        <v>736051</v>
      </c>
      <c r="O12" s="28">
        <v>186401</v>
      </c>
      <c r="P12" s="28">
        <v>589461</v>
      </c>
      <c r="Q12" s="28">
        <v>138392</v>
      </c>
      <c r="R12" s="28">
        <v>1663296</v>
      </c>
      <c r="S12" s="28">
        <v>827048</v>
      </c>
      <c r="T12" s="28">
        <v>2633733</v>
      </c>
      <c r="U12" s="28">
        <v>853414</v>
      </c>
      <c r="V12" s="28">
        <v>3570406</v>
      </c>
      <c r="W12" s="28">
        <v>1421939</v>
      </c>
      <c r="X12" s="28">
        <v>236324</v>
      </c>
      <c r="Y12" s="28">
        <v>585451</v>
      </c>
      <c r="Z12" s="293">
        <f t="shared" si="5"/>
        <v>15880644</v>
      </c>
    </row>
    <row r="13" spans="1:26" s="25" customFormat="1" ht="26.25" customHeight="1">
      <c r="A13" s="416">
        <v>5</v>
      </c>
      <c r="B13" s="417" t="s">
        <v>402</v>
      </c>
      <c r="C13" s="29">
        <f>+'Loans Receivable'!C74</f>
        <v>994619618</v>
      </c>
      <c r="D13" s="107">
        <f t="shared" si="0"/>
        <v>0.10856068291052989</v>
      </c>
      <c r="E13" s="28">
        <v>0</v>
      </c>
      <c r="F13" s="107">
        <f t="shared" si="1"/>
        <v>0</v>
      </c>
      <c r="G13" s="28">
        <v>3200000</v>
      </c>
      <c r="H13" s="107">
        <f t="shared" si="2"/>
        <v>1.727300100072211E-2</v>
      </c>
      <c r="I13" s="29">
        <f t="shared" si="3"/>
        <v>5285655</v>
      </c>
      <c r="J13" s="29">
        <f t="shared" si="3"/>
        <v>2029302</v>
      </c>
      <c r="K13" s="107">
        <f t="shared" si="4"/>
        <v>0.11392996279849456</v>
      </c>
      <c r="L13" s="28">
        <v>5285655</v>
      </c>
      <c r="M13" s="28">
        <v>1396053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633249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93">
        <f t="shared" si="5"/>
        <v>7314957</v>
      </c>
    </row>
    <row r="14" spans="1:26" s="25" customFormat="1" ht="26.25" customHeight="1">
      <c r="A14" s="416">
        <v>6</v>
      </c>
      <c r="B14" s="418" t="s">
        <v>403</v>
      </c>
      <c r="C14" s="29">
        <f>+'Loans Receivable'!C75</f>
        <v>186438802</v>
      </c>
      <c r="D14" s="107">
        <f t="shared" si="0"/>
        <v>2.0349411272260937E-2</v>
      </c>
      <c r="E14" s="28">
        <v>0</v>
      </c>
      <c r="F14" s="107">
        <f t="shared" si="1"/>
        <v>0</v>
      </c>
      <c r="G14" s="28">
        <v>0</v>
      </c>
      <c r="H14" s="107">
        <f t="shared" si="2"/>
        <v>0</v>
      </c>
      <c r="I14" s="29">
        <f t="shared" si="3"/>
        <v>0</v>
      </c>
      <c r="J14" s="29">
        <f t="shared" si="3"/>
        <v>0</v>
      </c>
      <c r="K14" s="107">
        <f t="shared" si="4"/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93">
        <f t="shared" si="5"/>
        <v>0</v>
      </c>
    </row>
    <row r="15" spans="1:26" s="25" customFormat="1" ht="26.25" customHeight="1">
      <c r="A15" s="416">
        <v>7</v>
      </c>
      <c r="B15" s="418" t="s">
        <v>404</v>
      </c>
      <c r="C15" s="29">
        <f>+'Loans Receivable'!C76</f>
        <v>5357029046</v>
      </c>
      <c r="D15" s="107">
        <f t="shared" si="0"/>
        <v>0.58470868770386997</v>
      </c>
      <c r="E15" s="28">
        <v>46465274</v>
      </c>
      <c r="F15" s="107">
        <f t="shared" si="1"/>
        <v>1</v>
      </c>
      <c r="G15" s="28">
        <v>175196859</v>
      </c>
      <c r="H15" s="107">
        <f t="shared" si="2"/>
        <v>0.94567985025949064</v>
      </c>
      <c r="I15" s="29">
        <f t="shared" si="3"/>
        <v>14577022</v>
      </c>
      <c r="J15" s="29">
        <f t="shared" si="3"/>
        <v>26404143</v>
      </c>
      <c r="K15" s="107">
        <f t="shared" si="4"/>
        <v>0.63827888583473114</v>
      </c>
      <c r="L15" s="28">
        <v>533049</v>
      </c>
      <c r="M15" s="28">
        <v>5841055</v>
      </c>
      <c r="N15" s="28">
        <v>4805135</v>
      </c>
      <c r="O15" s="28">
        <v>997328</v>
      </c>
      <c r="P15" s="28">
        <v>728044</v>
      </c>
      <c r="Q15" s="28">
        <v>822815</v>
      </c>
      <c r="R15" s="28">
        <v>7954237</v>
      </c>
      <c r="S15" s="28">
        <v>15112755</v>
      </c>
      <c r="T15" s="28">
        <v>157281</v>
      </c>
      <c r="U15" s="28">
        <v>3251712</v>
      </c>
      <c r="V15" s="28">
        <v>367666</v>
      </c>
      <c r="W15" s="28">
        <v>61906</v>
      </c>
      <c r="X15" s="28">
        <v>31610</v>
      </c>
      <c r="Y15" s="28">
        <v>316572</v>
      </c>
      <c r="Z15" s="293">
        <f t="shared" si="5"/>
        <v>40981165</v>
      </c>
    </row>
    <row r="16" spans="1:26" s="25" customFormat="1" ht="26.25" customHeight="1">
      <c r="A16" s="416">
        <v>8</v>
      </c>
      <c r="B16" s="418" t="s">
        <v>709</v>
      </c>
      <c r="C16" s="29">
        <f>+'Loans Receivable'!C77</f>
        <v>29599367</v>
      </c>
      <c r="D16" s="107">
        <f t="shared" si="0"/>
        <v>3.2307099488956617E-3</v>
      </c>
      <c r="E16" s="28">
        <v>0</v>
      </c>
      <c r="F16" s="107">
        <f t="shared" si="1"/>
        <v>0</v>
      </c>
      <c r="G16" s="28">
        <v>0</v>
      </c>
      <c r="H16" s="107">
        <f t="shared" si="2"/>
        <v>0</v>
      </c>
      <c r="I16" s="29">
        <f t="shared" si="3"/>
        <v>0</v>
      </c>
      <c r="J16" s="29">
        <f t="shared" si="3"/>
        <v>0</v>
      </c>
      <c r="K16" s="107">
        <f t="shared" si="4"/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93">
        <f t="shared" si="5"/>
        <v>0</v>
      </c>
    </row>
    <row r="17" spans="1:26" s="25" customFormat="1" ht="26.25" customHeight="1">
      <c r="A17" s="416">
        <v>9</v>
      </c>
      <c r="B17" s="419" t="s">
        <v>710</v>
      </c>
      <c r="C17" s="29">
        <f>+'Loans Receivable'!C81</f>
        <v>6153800</v>
      </c>
      <c r="D17" s="107">
        <f t="shared" si="0"/>
        <v>6.7167459640316365E-4</v>
      </c>
      <c r="E17" s="28">
        <v>0</v>
      </c>
      <c r="F17" s="107">
        <f t="shared" si="1"/>
        <v>0</v>
      </c>
      <c r="G17" s="28">
        <v>0</v>
      </c>
      <c r="H17" s="107">
        <f t="shared" si="2"/>
        <v>0</v>
      </c>
      <c r="I17" s="29">
        <f t="shared" si="3"/>
        <v>0</v>
      </c>
      <c r="J17" s="29">
        <f t="shared" si="3"/>
        <v>0</v>
      </c>
      <c r="K17" s="107">
        <f t="shared" si="4"/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93">
        <f t="shared" si="5"/>
        <v>0</v>
      </c>
    </row>
    <row r="18" spans="1:26" s="25" customFormat="1" ht="38.25" customHeight="1">
      <c r="A18" s="416">
        <v>10</v>
      </c>
      <c r="B18" s="419" t="s">
        <v>675</v>
      </c>
      <c r="C18" s="29">
        <f>+'Loans Receivable'!C82</f>
        <v>19290704</v>
      </c>
      <c r="D18" s="107">
        <f t="shared" si="0"/>
        <v>2.1055406128786922E-3</v>
      </c>
      <c r="E18" s="28">
        <v>0</v>
      </c>
      <c r="F18" s="107">
        <f t="shared" si="1"/>
        <v>0</v>
      </c>
      <c r="G18" s="28">
        <v>0</v>
      </c>
      <c r="H18" s="107">
        <f t="shared" si="2"/>
        <v>0</v>
      </c>
      <c r="I18" s="29">
        <f t="shared" si="3"/>
        <v>21118</v>
      </c>
      <c r="J18" s="29">
        <f t="shared" si="3"/>
        <v>7851</v>
      </c>
      <c r="K18" s="107">
        <f t="shared" si="4"/>
        <v>4.5119022467385506E-4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21118</v>
      </c>
      <c r="W18" s="28">
        <v>7851</v>
      </c>
      <c r="X18" s="28">
        <v>0</v>
      </c>
      <c r="Y18" s="28">
        <v>0</v>
      </c>
      <c r="Z18" s="293">
        <f t="shared" si="5"/>
        <v>28969</v>
      </c>
    </row>
    <row r="19" spans="1:26" s="25" customFormat="1" ht="26.25" customHeight="1">
      <c r="A19" s="416">
        <v>11</v>
      </c>
      <c r="B19" s="419" t="s">
        <v>676</v>
      </c>
      <c r="C19" s="29">
        <f>+'Loans Receivable'!C83</f>
        <v>0</v>
      </c>
      <c r="D19" s="107">
        <f t="shared" si="0"/>
        <v>0</v>
      </c>
      <c r="E19" s="28">
        <v>0</v>
      </c>
      <c r="F19" s="107">
        <f t="shared" si="1"/>
        <v>0</v>
      </c>
      <c r="G19" s="28">
        <v>0</v>
      </c>
      <c r="H19" s="107">
        <f t="shared" si="2"/>
        <v>0</v>
      </c>
      <c r="I19" s="29">
        <f t="shared" si="3"/>
        <v>0</v>
      </c>
      <c r="J19" s="29">
        <f t="shared" si="3"/>
        <v>0</v>
      </c>
      <c r="K19" s="107">
        <f t="shared" si="4"/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93">
        <f t="shared" si="5"/>
        <v>0</v>
      </c>
    </row>
    <row r="20" spans="1:26" s="25" customFormat="1" ht="26.25" customHeight="1">
      <c r="A20" s="416">
        <v>12</v>
      </c>
      <c r="B20" s="419" t="s">
        <v>677</v>
      </c>
      <c r="C20" s="29">
        <f>+'Loans Receivable'!C84</f>
        <v>169305072</v>
      </c>
      <c r="D20" s="107">
        <f t="shared" si="0"/>
        <v>1.8479299929248363E-2</v>
      </c>
      <c r="E20" s="28">
        <v>0</v>
      </c>
      <c r="F20" s="107">
        <f t="shared" si="1"/>
        <v>0</v>
      </c>
      <c r="G20" s="28">
        <v>1673101</v>
      </c>
      <c r="H20" s="107">
        <f t="shared" si="2"/>
        <v>9.0310860147841121E-3</v>
      </c>
      <c r="I20" s="29">
        <f t="shared" si="3"/>
        <v>0</v>
      </c>
      <c r="J20" s="29">
        <f t="shared" si="3"/>
        <v>0</v>
      </c>
      <c r="K20" s="107">
        <f t="shared" si="4"/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93">
        <f t="shared" si="5"/>
        <v>0</v>
      </c>
    </row>
    <row r="21" spans="1:26" s="25" customFormat="1" ht="18.75" customHeight="1">
      <c r="A21" s="26"/>
      <c r="B21" s="27"/>
      <c r="C21" s="29"/>
      <c r="D21" s="107"/>
      <c r="E21" s="106"/>
      <c r="F21" s="107"/>
      <c r="G21" s="106"/>
      <c r="H21" s="107"/>
      <c r="I21" s="29"/>
      <c r="J21" s="107"/>
      <c r="K21" s="10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93">
        <f>+I21+J21</f>
        <v>0</v>
      </c>
    </row>
    <row r="22" spans="1:26" s="25" customFormat="1" ht="27.75" customHeight="1">
      <c r="A22" s="115">
        <v>13</v>
      </c>
      <c r="B22" s="115" t="s">
        <v>678</v>
      </c>
      <c r="C22" s="610">
        <f>SUM(C9:C20)</f>
        <v>9161876946</v>
      </c>
      <c r="D22" s="611">
        <f>IF(C$22=0,"",C22/C$22)</f>
        <v>1</v>
      </c>
      <c r="E22" s="610">
        <f>SUM(E9:E20)</f>
        <v>46465274</v>
      </c>
      <c r="F22" s="611">
        <f>IF(E$22=0,"",E22/E$22)</f>
        <v>1</v>
      </c>
      <c r="G22" s="610">
        <f>SUM(G9:G20)</f>
        <v>185260222</v>
      </c>
      <c r="H22" s="611">
        <f>IF($G$22=0,"",G22/$G$22)</f>
        <v>1</v>
      </c>
      <c r="I22" s="610">
        <f>SUM(I9:I20)</f>
        <v>30523911</v>
      </c>
      <c r="J22" s="610">
        <f>SUM(J9:J20)</f>
        <v>33681824</v>
      </c>
      <c r="K22" s="611">
        <f>IF($Z$22=0,"",Z22/$Z$22)</f>
        <v>1</v>
      </c>
      <c r="L22" s="610">
        <f t="shared" ref="L22:Y22" si="6">SUM(L9:L20)</f>
        <v>7029549</v>
      </c>
      <c r="M22" s="610">
        <f t="shared" si="6"/>
        <v>8464991</v>
      </c>
      <c r="N22" s="610">
        <f t="shared" si="6"/>
        <v>5541186</v>
      </c>
      <c r="O22" s="610">
        <f t="shared" si="6"/>
        <v>1183729</v>
      </c>
      <c r="P22" s="610">
        <f t="shared" si="6"/>
        <v>1317505</v>
      </c>
      <c r="Q22" s="610">
        <f t="shared" si="6"/>
        <v>961207</v>
      </c>
      <c r="R22" s="610">
        <f t="shared" si="6"/>
        <v>9617533</v>
      </c>
      <c r="S22" s="610">
        <f t="shared" si="6"/>
        <v>16573052</v>
      </c>
      <c r="T22" s="610">
        <f t="shared" si="6"/>
        <v>2791014</v>
      </c>
      <c r="U22" s="610">
        <f t="shared" si="6"/>
        <v>4105126</v>
      </c>
      <c r="V22" s="610">
        <f t="shared" si="6"/>
        <v>3959190</v>
      </c>
      <c r="W22" s="610">
        <f t="shared" si="6"/>
        <v>1491696</v>
      </c>
      <c r="X22" s="610">
        <f t="shared" si="6"/>
        <v>267934</v>
      </c>
      <c r="Y22" s="610">
        <f t="shared" si="6"/>
        <v>902023</v>
      </c>
      <c r="Z22" s="293">
        <f t="shared" si="5"/>
        <v>64205735</v>
      </c>
    </row>
    <row r="23" spans="1:26" s="25" customFormat="1" ht="18.75" customHeight="1">
      <c r="A23" s="416"/>
      <c r="B23" s="417"/>
      <c r="C23" s="29"/>
      <c r="D23" s="612"/>
      <c r="E23" s="106"/>
      <c r="F23" s="107"/>
      <c r="G23" s="106"/>
      <c r="H23" s="612"/>
      <c r="I23" s="29"/>
      <c r="J23" s="107"/>
      <c r="K23" s="612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93">
        <f t="shared" si="5"/>
        <v>0</v>
      </c>
    </row>
    <row r="24" spans="1:26" s="25" customFormat="1" ht="27.75" customHeight="1">
      <c r="A24" s="115"/>
      <c r="B24" s="115" t="s">
        <v>679</v>
      </c>
      <c r="C24" s="420"/>
      <c r="D24" s="420"/>
      <c r="E24" s="420"/>
      <c r="F24" s="420"/>
      <c r="G24" s="420"/>
      <c r="H24" s="420"/>
      <c r="I24" s="420"/>
      <c r="J24" s="420"/>
      <c r="K24" s="420"/>
      <c r="L24" s="420"/>
      <c r="M24" s="420"/>
      <c r="N24" s="420"/>
      <c r="O24" s="420"/>
      <c r="P24" s="420"/>
      <c r="Q24" s="420"/>
      <c r="R24" s="420"/>
      <c r="S24" s="420"/>
      <c r="T24" s="420"/>
      <c r="U24" s="420"/>
      <c r="V24" s="420"/>
      <c r="W24" s="420"/>
      <c r="X24" s="420"/>
      <c r="Y24" s="420"/>
      <c r="Z24" s="291">
        <f t="shared" si="5"/>
        <v>0</v>
      </c>
    </row>
    <row r="25" spans="1:26" s="25" customFormat="1" ht="26.25" customHeight="1">
      <c r="A25" s="26">
        <v>14</v>
      </c>
      <c r="B25" s="536" t="s">
        <v>471</v>
      </c>
      <c r="C25" s="29">
        <f>+'Loans Receivable'!C14</f>
        <v>2173688806</v>
      </c>
      <c r="D25" s="107">
        <f t="shared" ref="D25:D32" si="7">IF(C$35=0,"",C25/C$35)</f>
        <v>0.23725365651729416</v>
      </c>
      <c r="E25" s="28">
        <v>18009870</v>
      </c>
      <c r="F25" s="107">
        <f t="shared" ref="F25:F33" si="8">IF($E$35=0,"",E25/$E$35)</f>
        <v>0.38759848914266598</v>
      </c>
      <c r="G25" s="28">
        <v>70535823</v>
      </c>
      <c r="H25" s="107">
        <f t="shared" ref="H25:H33" si="9">IF($G$35=0,"",G25/$G$35)</f>
        <v>0.38073916914554923</v>
      </c>
      <c r="I25" s="29">
        <f t="shared" ref="I25:J32" si="10">+L25+N25+P25+R25+T25+V25+X25</f>
        <v>9999452</v>
      </c>
      <c r="J25" s="29">
        <f t="shared" si="10"/>
        <v>12984846</v>
      </c>
      <c r="K25" s="107">
        <f t="shared" ref="K25:K33" si="11">IF($Z$35=0,"",Z25/$Z$35)</f>
        <v>0.35797889394148358</v>
      </c>
      <c r="L25" s="28">
        <v>5305049</v>
      </c>
      <c r="M25" s="28">
        <v>3597193</v>
      </c>
      <c r="N25" s="28">
        <v>4426933</v>
      </c>
      <c r="O25" s="28">
        <v>292521</v>
      </c>
      <c r="P25" s="28">
        <v>0</v>
      </c>
      <c r="Q25" s="28">
        <v>663595</v>
      </c>
      <c r="R25" s="28">
        <v>0</v>
      </c>
      <c r="S25" s="28">
        <v>6053693</v>
      </c>
      <c r="T25" s="28">
        <v>79644</v>
      </c>
      <c r="U25" s="28">
        <v>2001842</v>
      </c>
      <c r="V25" s="28">
        <v>187826</v>
      </c>
      <c r="W25" s="28">
        <v>59430</v>
      </c>
      <c r="X25" s="28">
        <v>0</v>
      </c>
      <c r="Y25" s="28">
        <v>316572</v>
      </c>
      <c r="Z25" s="293">
        <f t="shared" si="5"/>
        <v>22984298</v>
      </c>
    </row>
    <row r="26" spans="1:26" s="25" customFormat="1" ht="26.25" customHeight="1">
      <c r="A26" s="26">
        <v>15</v>
      </c>
      <c r="B26" s="536" t="s">
        <v>472</v>
      </c>
      <c r="C26" s="29">
        <f>+'Loans Receivable'!C22</f>
        <v>149094636</v>
      </c>
      <c r="D26" s="107">
        <f t="shared" si="7"/>
        <v>1.6273372462734668E-2</v>
      </c>
      <c r="E26" s="28">
        <v>0</v>
      </c>
      <c r="F26" s="107">
        <f t="shared" si="8"/>
        <v>0</v>
      </c>
      <c r="G26" s="28">
        <v>8552802</v>
      </c>
      <c r="H26" s="107">
        <f t="shared" si="9"/>
        <v>4.6166424220305639E-2</v>
      </c>
      <c r="I26" s="29">
        <f t="shared" si="10"/>
        <v>48224</v>
      </c>
      <c r="J26" s="29">
        <f t="shared" si="10"/>
        <v>910673</v>
      </c>
      <c r="K26" s="107">
        <f t="shared" si="11"/>
        <v>1.4934756217649404E-2</v>
      </c>
      <c r="L26" s="28">
        <v>0</v>
      </c>
      <c r="M26" s="28">
        <v>251378</v>
      </c>
      <c r="N26" s="28">
        <v>0</v>
      </c>
      <c r="O26" s="28">
        <v>0</v>
      </c>
      <c r="P26" s="28">
        <v>48224</v>
      </c>
      <c r="Q26" s="28">
        <v>2752</v>
      </c>
      <c r="R26" s="28">
        <v>0</v>
      </c>
      <c r="S26" s="28">
        <v>656543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93">
        <f t="shared" si="5"/>
        <v>958897</v>
      </c>
    </row>
    <row r="27" spans="1:26" s="25" customFormat="1" ht="26.25" customHeight="1">
      <c r="A27" s="26">
        <v>16</v>
      </c>
      <c r="B27" s="536" t="s">
        <v>473</v>
      </c>
      <c r="C27" s="29">
        <f>+'Loans Receivable'!C29</f>
        <v>674467989</v>
      </c>
      <c r="D27" s="107">
        <f t="shared" si="7"/>
        <v>7.361679194943424E-2</v>
      </c>
      <c r="E27" s="28">
        <v>0</v>
      </c>
      <c r="F27" s="107">
        <f t="shared" si="8"/>
        <v>0</v>
      </c>
      <c r="G27" s="28">
        <v>11712353</v>
      </c>
      <c r="H27" s="107">
        <f t="shared" si="9"/>
        <v>6.3221089090565813E-2</v>
      </c>
      <c r="I27" s="29">
        <f t="shared" si="10"/>
        <v>166751</v>
      </c>
      <c r="J27" s="29">
        <f t="shared" si="10"/>
        <v>415593</v>
      </c>
      <c r="K27" s="107">
        <f t="shared" si="11"/>
        <v>9.069968593927006E-3</v>
      </c>
      <c r="L27" s="28">
        <v>0</v>
      </c>
      <c r="M27" s="28">
        <v>0</v>
      </c>
      <c r="N27" s="28">
        <v>0</v>
      </c>
      <c r="O27" s="28">
        <v>0</v>
      </c>
      <c r="P27" s="28">
        <v>89114</v>
      </c>
      <c r="Q27" s="28">
        <v>34043</v>
      </c>
      <c r="R27" s="28">
        <v>0</v>
      </c>
      <c r="S27" s="28">
        <v>363034</v>
      </c>
      <c r="T27" s="28">
        <v>77637</v>
      </c>
      <c r="U27" s="28">
        <v>18516</v>
      </c>
      <c r="V27" s="28">
        <v>0</v>
      </c>
      <c r="W27" s="28">
        <v>0</v>
      </c>
      <c r="X27" s="28">
        <v>0</v>
      </c>
      <c r="Y27" s="28">
        <v>0</v>
      </c>
      <c r="Z27" s="293">
        <f t="shared" si="5"/>
        <v>582344</v>
      </c>
    </row>
    <row r="28" spans="1:26" s="25" customFormat="1" ht="26.25" customHeight="1">
      <c r="A28" s="26">
        <v>17</v>
      </c>
      <c r="B28" s="536" t="s">
        <v>474</v>
      </c>
      <c r="C28" s="29">
        <f>+'Loans Receivable'!C36</f>
        <v>751429009</v>
      </c>
      <c r="D28" s="107">
        <f t="shared" si="7"/>
        <v>8.2016928783142817E-2</v>
      </c>
      <c r="E28" s="28">
        <v>0</v>
      </c>
      <c r="F28" s="107">
        <f t="shared" si="8"/>
        <v>0</v>
      </c>
      <c r="G28" s="28">
        <v>30616875</v>
      </c>
      <c r="H28" s="107">
        <f t="shared" si="9"/>
        <v>0.1652641601606199</v>
      </c>
      <c r="I28" s="29">
        <f t="shared" si="10"/>
        <v>75851</v>
      </c>
      <c r="J28" s="29">
        <f t="shared" si="10"/>
        <v>1322592</v>
      </c>
      <c r="K28" s="107">
        <f t="shared" si="11"/>
        <v>2.1780655575393694E-2</v>
      </c>
      <c r="L28" s="28">
        <v>0</v>
      </c>
      <c r="M28" s="28">
        <v>93498</v>
      </c>
      <c r="N28" s="28">
        <v>75851</v>
      </c>
      <c r="O28" s="28">
        <v>294645</v>
      </c>
      <c r="P28" s="28">
        <v>0</v>
      </c>
      <c r="Q28" s="28">
        <v>0</v>
      </c>
      <c r="R28" s="28">
        <v>0</v>
      </c>
      <c r="S28" s="28">
        <v>867140</v>
      </c>
      <c r="T28" s="28">
        <v>0</v>
      </c>
      <c r="U28" s="28">
        <v>67309</v>
      </c>
      <c r="V28" s="28">
        <v>0</v>
      </c>
      <c r="W28" s="28">
        <v>0</v>
      </c>
      <c r="X28" s="28">
        <v>0</v>
      </c>
      <c r="Y28" s="28">
        <v>0</v>
      </c>
      <c r="Z28" s="293">
        <f t="shared" si="5"/>
        <v>1398443</v>
      </c>
    </row>
    <row r="29" spans="1:26" s="25" customFormat="1" ht="26.25" customHeight="1">
      <c r="A29" s="26">
        <v>18</v>
      </c>
      <c r="B29" s="537" t="s">
        <v>711</v>
      </c>
      <c r="C29" s="29">
        <f>+'Loans Receivable'!C43</f>
        <v>491545189</v>
      </c>
      <c r="D29" s="107">
        <f t="shared" si="7"/>
        <v>5.365114505435533E-2</v>
      </c>
      <c r="E29" s="28">
        <v>28455404</v>
      </c>
      <c r="F29" s="107">
        <f t="shared" si="8"/>
        <v>0.61240151085733396</v>
      </c>
      <c r="G29" s="28">
        <v>16686787</v>
      </c>
      <c r="H29" s="107">
        <f t="shared" si="9"/>
        <v>9.007215267182396E-2</v>
      </c>
      <c r="I29" s="29">
        <f t="shared" si="10"/>
        <v>8317001</v>
      </c>
      <c r="J29" s="29">
        <f t="shared" si="10"/>
        <v>5940257</v>
      </c>
      <c r="K29" s="107">
        <f t="shared" si="11"/>
        <v>0.22205583348590277</v>
      </c>
      <c r="L29" s="28">
        <v>436322</v>
      </c>
      <c r="M29" s="28">
        <v>1415135</v>
      </c>
      <c r="N29" s="28">
        <v>264769</v>
      </c>
      <c r="O29" s="28">
        <v>26334</v>
      </c>
      <c r="P29" s="28">
        <v>199308</v>
      </c>
      <c r="Q29" s="28">
        <v>4368</v>
      </c>
      <c r="R29" s="28">
        <v>7416602</v>
      </c>
      <c r="S29" s="28">
        <v>4482529</v>
      </c>
      <c r="T29" s="28">
        <v>0</v>
      </c>
      <c r="U29" s="28">
        <v>11891</v>
      </c>
      <c r="V29" s="28">
        <v>0</v>
      </c>
      <c r="W29" s="28">
        <v>0</v>
      </c>
      <c r="X29" s="28">
        <v>0</v>
      </c>
      <c r="Y29" s="28">
        <v>0</v>
      </c>
      <c r="Z29" s="293">
        <f t="shared" si="5"/>
        <v>14257258</v>
      </c>
    </row>
    <row r="30" spans="1:26" s="25" customFormat="1" ht="38.25" customHeight="1">
      <c r="A30" s="26">
        <v>19</v>
      </c>
      <c r="B30" s="537" t="s">
        <v>476</v>
      </c>
      <c r="C30" s="29">
        <f>+'Loans Receivable'!C50</f>
        <v>23081195</v>
      </c>
      <c r="D30" s="107">
        <f t="shared" si="7"/>
        <v>2.5192648991074979E-3</v>
      </c>
      <c r="E30" s="28">
        <v>0</v>
      </c>
      <c r="F30" s="107">
        <f t="shared" si="8"/>
        <v>0</v>
      </c>
      <c r="G30" s="28">
        <v>5572780</v>
      </c>
      <c r="H30" s="107">
        <f t="shared" si="9"/>
        <v>3.0080823286501298E-2</v>
      </c>
      <c r="I30" s="29">
        <f t="shared" si="10"/>
        <v>0</v>
      </c>
      <c r="J30" s="29">
        <f t="shared" si="10"/>
        <v>455710</v>
      </c>
      <c r="K30" s="107">
        <f t="shared" si="11"/>
        <v>7.0976525695095613E-3</v>
      </c>
      <c r="L30" s="28">
        <v>0</v>
      </c>
      <c r="M30" s="28">
        <v>415928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39782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93">
        <f t="shared" si="5"/>
        <v>455710</v>
      </c>
    </row>
    <row r="31" spans="1:26" s="25" customFormat="1" ht="26.25" customHeight="1">
      <c r="A31" s="26">
        <v>20</v>
      </c>
      <c r="B31" s="536" t="s">
        <v>712</v>
      </c>
      <c r="C31" s="29">
        <f>+'Loans Receivable'!C58</f>
        <v>43545997</v>
      </c>
      <c r="D31" s="107">
        <f t="shared" si="7"/>
        <v>4.7529558906607913E-3</v>
      </c>
      <c r="E31" s="28">
        <v>0</v>
      </c>
      <c r="F31" s="107">
        <f t="shared" si="8"/>
        <v>0</v>
      </c>
      <c r="G31" s="28">
        <v>4987689</v>
      </c>
      <c r="H31" s="107">
        <f t="shared" si="9"/>
        <v>2.6922611590090829E-2</v>
      </c>
      <c r="I31" s="29">
        <f t="shared" si="10"/>
        <v>232568</v>
      </c>
      <c r="J31" s="29">
        <f t="shared" si="10"/>
        <v>330948</v>
      </c>
      <c r="K31" s="107">
        <f t="shared" si="11"/>
        <v>8.7767237615144506E-3</v>
      </c>
      <c r="L31" s="28">
        <v>0</v>
      </c>
      <c r="M31" s="28">
        <v>0</v>
      </c>
      <c r="N31" s="28">
        <v>0</v>
      </c>
      <c r="O31" s="28">
        <v>320621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200958</v>
      </c>
      <c r="W31" s="28">
        <v>10327</v>
      </c>
      <c r="X31" s="28">
        <v>31610</v>
      </c>
      <c r="Y31" s="28">
        <v>0</v>
      </c>
      <c r="Z31" s="293">
        <f t="shared" si="5"/>
        <v>563516</v>
      </c>
    </row>
    <row r="32" spans="1:26" s="25" customFormat="1" ht="26.25" customHeight="1">
      <c r="A32" s="26">
        <v>21</v>
      </c>
      <c r="B32" s="536" t="s">
        <v>478</v>
      </c>
      <c r="C32" s="29">
        <f>+'Loans Receivable'!C70</f>
        <v>2458542334</v>
      </c>
      <c r="D32" s="107">
        <f t="shared" si="7"/>
        <v>0.26834483244979396</v>
      </c>
      <c r="E32" s="28">
        <v>0</v>
      </c>
      <c r="F32" s="107">
        <f t="shared" si="8"/>
        <v>0</v>
      </c>
      <c r="G32" s="28">
        <v>31404851</v>
      </c>
      <c r="H32" s="107">
        <f t="shared" si="9"/>
        <v>0.16951750710954022</v>
      </c>
      <c r="I32" s="29">
        <f t="shared" si="10"/>
        <v>1043948</v>
      </c>
      <c r="J32" s="29">
        <f t="shared" si="10"/>
        <v>6080677</v>
      </c>
      <c r="K32" s="107">
        <f t="shared" si="11"/>
        <v>0.11096555471251907</v>
      </c>
      <c r="L32" s="28">
        <v>77333</v>
      </c>
      <c r="M32" s="28">
        <v>1463976</v>
      </c>
      <c r="N32" s="28">
        <v>37582</v>
      </c>
      <c r="O32" s="28">
        <v>63207</v>
      </c>
      <c r="P32" s="28">
        <v>391398</v>
      </c>
      <c r="Q32" s="28">
        <v>118057</v>
      </c>
      <c r="R32" s="28">
        <v>537635</v>
      </c>
      <c r="S32" s="28">
        <v>3283283</v>
      </c>
      <c r="T32" s="28">
        <v>0</v>
      </c>
      <c r="U32" s="28">
        <v>1152154</v>
      </c>
      <c r="V32" s="28">
        <v>0</v>
      </c>
      <c r="W32" s="28">
        <v>0</v>
      </c>
      <c r="X32" s="28">
        <v>0</v>
      </c>
      <c r="Y32" s="28">
        <v>0</v>
      </c>
      <c r="Z32" s="293">
        <f t="shared" si="5"/>
        <v>7124625</v>
      </c>
    </row>
    <row r="33" spans="1:30" s="25" customFormat="1" ht="26.25" customHeight="1">
      <c r="A33" s="26">
        <v>22</v>
      </c>
      <c r="B33" s="536" t="s">
        <v>401</v>
      </c>
      <c r="C33" s="29">
        <f>+'Loans Receivable'!C71</f>
        <v>2396481791</v>
      </c>
      <c r="D33" s="107">
        <f t="shared" ref="D33" si="12">IF(C$35=0,"",C33/C$35)</f>
        <v>0.26157105199347652</v>
      </c>
      <c r="E33" s="28">
        <v>0</v>
      </c>
      <c r="F33" s="107">
        <f t="shared" si="8"/>
        <v>0</v>
      </c>
      <c r="G33" s="28">
        <v>5190262</v>
      </c>
      <c r="H33" s="107">
        <f t="shared" si="9"/>
        <v>2.8016062725003104E-2</v>
      </c>
      <c r="I33" s="29">
        <f t="shared" ref="I33" si="13">+L33+N33+P33+R33+T33+V33+X33</f>
        <v>10640116</v>
      </c>
      <c r="J33" s="29">
        <f t="shared" ref="J33" si="14">+M33+O33+Q33+S33+U33+W33+Y33</f>
        <v>5240528</v>
      </c>
      <c r="K33" s="107">
        <f t="shared" si="11"/>
        <v>0.24733996114210047</v>
      </c>
      <c r="L33" s="28">
        <v>1210845</v>
      </c>
      <c r="M33" s="28">
        <v>1227883</v>
      </c>
      <c r="N33" s="28">
        <v>736051</v>
      </c>
      <c r="O33" s="28">
        <v>186401</v>
      </c>
      <c r="P33" s="28">
        <v>589461</v>
      </c>
      <c r="Q33" s="28">
        <v>138392</v>
      </c>
      <c r="R33" s="28">
        <v>1663296</v>
      </c>
      <c r="S33" s="28">
        <v>827048</v>
      </c>
      <c r="T33" s="28">
        <v>2633733</v>
      </c>
      <c r="U33" s="28">
        <v>853414</v>
      </c>
      <c r="V33" s="28">
        <v>3570406</v>
      </c>
      <c r="W33" s="28">
        <v>1421939</v>
      </c>
      <c r="X33" s="28">
        <v>236324</v>
      </c>
      <c r="Y33" s="28">
        <v>585451</v>
      </c>
      <c r="Z33" s="293">
        <f t="shared" si="5"/>
        <v>15880644</v>
      </c>
    </row>
    <row r="34" spans="1:30" s="25" customFormat="1" ht="18.75" customHeight="1">
      <c r="A34" s="26"/>
      <c r="B34" s="27"/>
      <c r="C34" s="29"/>
      <c r="D34" s="107"/>
      <c r="E34" s="106"/>
      <c r="F34" s="107"/>
      <c r="G34" s="106"/>
      <c r="H34" s="107"/>
      <c r="I34" s="29"/>
      <c r="J34" s="107"/>
      <c r="K34" s="10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93">
        <f t="shared" si="5"/>
        <v>0</v>
      </c>
    </row>
    <row r="35" spans="1:30" s="25" customFormat="1" ht="27.75" customHeight="1">
      <c r="A35" s="420">
        <v>23</v>
      </c>
      <c r="B35" s="420" t="s">
        <v>678</v>
      </c>
      <c r="C35" s="610">
        <f>SUM(C25:C33)</f>
        <v>9161876946</v>
      </c>
      <c r="D35" s="611">
        <f>IF(C$35=0,"",C35/C$35)</f>
        <v>1</v>
      </c>
      <c r="E35" s="610">
        <f>SUM(E25:E33)</f>
        <v>46465274</v>
      </c>
      <c r="F35" s="611">
        <f>IF($E$35=0,"",E35/$E$35)</f>
        <v>1</v>
      </c>
      <c r="G35" s="610">
        <f>SUM(G25:G33)</f>
        <v>185260222</v>
      </c>
      <c r="H35" s="611">
        <f>IF($G$35=0,"",G35/$G$35)</f>
        <v>1</v>
      </c>
      <c r="I35" s="610">
        <f>SUM(I25:I33)</f>
        <v>30523911</v>
      </c>
      <c r="J35" s="610">
        <f>SUM(J25:J33)</f>
        <v>33681824</v>
      </c>
      <c r="K35" s="611">
        <f>IF($Z$35=0,"",Z35/$Z$35)</f>
        <v>1</v>
      </c>
      <c r="L35" s="610">
        <f t="shared" ref="L35:Y35" si="15">SUM(L25:L33)</f>
        <v>7029549</v>
      </c>
      <c r="M35" s="610">
        <f t="shared" si="15"/>
        <v>8464991</v>
      </c>
      <c r="N35" s="610">
        <f t="shared" si="15"/>
        <v>5541186</v>
      </c>
      <c r="O35" s="610">
        <f t="shared" si="15"/>
        <v>1183729</v>
      </c>
      <c r="P35" s="610">
        <f t="shared" si="15"/>
        <v>1317505</v>
      </c>
      <c r="Q35" s="610">
        <f t="shared" si="15"/>
        <v>961207</v>
      </c>
      <c r="R35" s="610">
        <f t="shared" si="15"/>
        <v>9617533</v>
      </c>
      <c r="S35" s="610">
        <f t="shared" si="15"/>
        <v>16573052</v>
      </c>
      <c r="T35" s="610">
        <f t="shared" si="15"/>
        <v>2791014</v>
      </c>
      <c r="U35" s="610">
        <f t="shared" si="15"/>
        <v>4105126</v>
      </c>
      <c r="V35" s="610">
        <f t="shared" si="15"/>
        <v>3959190</v>
      </c>
      <c r="W35" s="610">
        <f t="shared" si="15"/>
        <v>1491696</v>
      </c>
      <c r="X35" s="610">
        <f t="shared" si="15"/>
        <v>267934</v>
      </c>
      <c r="Y35" s="610">
        <f t="shared" si="15"/>
        <v>902023</v>
      </c>
      <c r="Z35" s="293">
        <f t="shared" si="5"/>
        <v>64205735</v>
      </c>
    </row>
    <row r="36" spans="1:30" ht="22.5" customHeight="1">
      <c r="A36" s="30"/>
    </row>
    <row r="37" spans="1:30" s="269" customFormat="1" ht="18.75" customHeight="1">
      <c r="A37" s="34"/>
      <c r="B37" s="198" t="s">
        <v>788</v>
      </c>
      <c r="C37" s="34"/>
      <c r="D37" s="34"/>
      <c r="E37" s="34"/>
      <c r="F37" s="349"/>
      <c r="G37" s="349"/>
      <c r="H37" s="349"/>
      <c r="I37" s="349"/>
      <c r="J37" s="349"/>
      <c r="K37" s="349"/>
      <c r="L37" s="349"/>
      <c r="M37" s="349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spans="1:30" s="269" customFormat="1" ht="18.75" customHeight="1">
      <c r="A38" s="34"/>
      <c r="B38" s="198"/>
      <c r="C38" s="34"/>
      <c r="D38" s="34"/>
      <c r="E38" s="34"/>
      <c r="F38" s="349"/>
      <c r="G38" s="349"/>
      <c r="H38" s="349"/>
      <c r="I38" s="349"/>
      <c r="J38" s="349"/>
      <c r="K38" s="349"/>
      <c r="L38" s="349"/>
      <c r="M38" s="349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spans="1:30" s="269" customFormat="1" ht="18.75" customHeight="1">
      <c r="A39" s="34"/>
      <c r="B39" s="198" t="s">
        <v>789</v>
      </c>
      <c r="C39" s="34"/>
      <c r="D39" s="34"/>
      <c r="E39" s="34"/>
      <c r="F39" s="349"/>
      <c r="G39" s="349"/>
      <c r="H39" s="349"/>
      <c r="I39" s="349"/>
      <c r="J39" s="349"/>
      <c r="K39" s="349"/>
      <c r="L39" s="349"/>
      <c r="M39" s="349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spans="1:30" ht="15.75">
      <c r="A40" s="30"/>
      <c r="B40" s="31"/>
    </row>
    <row r="42" spans="1:30">
      <c r="G42" s="617">
        <f>+'[8]Bank Assets Analysis'!$S$31</f>
        <v>157663830</v>
      </c>
    </row>
  </sheetData>
  <sheetProtection password="CACA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15" type="noConversion"/>
  <conditionalFormatting sqref="G35">
    <cfRule type="cellIs" dxfId="328" priority="736" operator="lessThan">
      <formula>$G$42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3 N20:T20 E25:E33 U25:Y34 L26:T34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7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J87"/>
  <sheetViews>
    <sheetView view="pageBreakPreview" zoomScale="25" zoomScaleNormal="62" zoomScaleSheetLayoutView="25" workbookViewId="0">
      <selection activeCell="H82" sqref="H82"/>
    </sheetView>
  </sheetViews>
  <sheetFormatPr defaultColWidth="9.42578125" defaultRowHeight="12.75"/>
  <cols>
    <col min="1" max="1" width="5" style="273" customWidth="1"/>
    <col min="2" max="2" width="47.42578125" style="273" customWidth="1"/>
    <col min="3" max="4" width="21.28515625" style="273" customWidth="1"/>
    <col min="5" max="7" width="18.7109375" style="273" customWidth="1"/>
    <col min="8" max="8" width="17" style="273" customWidth="1"/>
    <col min="9" max="11" width="18" style="273" customWidth="1"/>
    <col min="12" max="12" width="17" style="273" customWidth="1"/>
    <col min="13" max="14" width="14.7109375" style="273" customWidth="1"/>
    <col min="15" max="15" width="13.7109375" style="273" customWidth="1"/>
    <col min="16" max="16" width="17" style="273" customWidth="1"/>
    <col min="17" max="19" width="14.7109375" style="273" customWidth="1"/>
    <col min="20" max="20" width="17" style="273" customWidth="1"/>
    <col min="21" max="21" width="18" style="273" customWidth="1"/>
    <col min="22" max="22" width="17" style="273" customWidth="1"/>
    <col min="23" max="23" width="14.42578125" style="273" customWidth="1"/>
    <col min="24" max="24" width="12.42578125" style="273" customWidth="1"/>
    <col min="25" max="25" width="17" style="273" bestFit="1" customWidth="1"/>
    <col min="26" max="28" width="14.7109375" style="273" customWidth="1"/>
    <col min="29" max="29" width="19.140625" style="290" customWidth="1"/>
    <col min="30" max="30" width="14.7109375" style="290" customWidth="1"/>
    <col min="31" max="36" width="9.42578125" style="290"/>
    <col min="37" max="16384" width="9.42578125" style="273"/>
  </cols>
  <sheetData>
    <row r="1" spans="1:36" ht="21" customHeight="1">
      <c r="A1" s="421" t="s">
        <v>652</v>
      </c>
      <c r="B1" s="422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X1" s="271"/>
      <c r="Y1" s="271"/>
      <c r="Z1" s="423" t="s">
        <v>653</v>
      </c>
      <c r="AA1" s="271"/>
    </row>
    <row r="2" spans="1:36" ht="12.75" customHeight="1">
      <c r="A2" s="421"/>
      <c r="B2" s="422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X2" s="271"/>
      <c r="Y2" s="271"/>
      <c r="Z2" s="423"/>
      <c r="AA2" s="271"/>
    </row>
    <row r="3" spans="1:36" ht="15.75">
      <c r="A3" s="424"/>
      <c r="B3" s="96" t="str">
        <f>+'Asset quality'!B3</f>
        <v>"Алоқабанк"</v>
      </c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715">
        <f>+'Asset quality'!Q3</f>
        <v>44926</v>
      </c>
      <c r="V3" s="715"/>
      <c r="W3" s="95"/>
      <c r="X3" s="424"/>
      <c r="Y3" s="424"/>
      <c r="AA3" s="272"/>
      <c r="AB3" s="425" t="str">
        <f>+'Asset quality'!T3</f>
        <v>минг. сўмда</v>
      </c>
    </row>
    <row r="4" spans="1:36" ht="125.25" customHeight="1">
      <c r="A4" s="426" t="s">
        <v>62</v>
      </c>
      <c r="B4" s="427" t="s">
        <v>285</v>
      </c>
      <c r="C4" s="428" t="s">
        <v>654</v>
      </c>
      <c r="D4" s="428" t="s">
        <v>655</v>
      </c>
      <c r="E4" s="428" t="s">
        <v>656</v>
      </c>
      <c r="F4" s="428" t="s">
        <v>655</v>
      </c>
      <c r="G4" s="428" t="s">
        <v>790</v>
      </c>
      <c r="H4" s="428" t="s">
        <v>655</v>
      </c>
      <c r="I4" s="428" t="s">
        <v>657</v>
      </c>
      <c r="J4" s="428" t="s">
        <v>655</v>
      </c>
      <c r="K4" s="428" t="s">
        <v>658</v>
      </c>
      <c r="L4" s="428" t="s">
        <v>655</v>
      </c>
      <c r="M4" s="428" t="s">
        <v>659</v>
      </c>
      <c r="N4" s="428" t="s">
        <v>655</v>
      </c>
      <c r="O4" s="428" t="s">
        <v>660</v>
      </c>
      <c r="P4" s="428" t="s">
        <v>655</v>
      </c>
      <c r="Q4" s="428" t="s">
        <v>661</v>
      </c>
      <c r="R4" s="428" t="s">
        <v>655</v>
      </c>
      <c r="S4" s="428" t="s">
        <v>662</v>
      </c>
      <c r="T4" s="428" t="s">
        <v>655</v>
      </c>
      <c r="U4" s="428" t="s">
        <v>663</v>
      </c>
      <c r="V4" s="428" t="s">
        <v>655</v>
      </c>
      <c r="W4" s="428" t="s">
        <v>664</v>
      </c>
      <c r="X4" s="428" t="s">
        <v>655</v>
      </c>
      <c r="Y4" s="428" t="s">
        <v>665</v>
      </c>
      <c r="Z4" s="428" t="s">
        <v>655</v>
      </c>
      <c r="AA4" s="428" t="s">
        <v>666</v>
      </c>
      <c r="AB4" s="428" t="s">
        <v>667</v>
      </c>
    </row>
    <row r="5" spans="1:36" s="16" customFormat="1" ht="25.5">
      <c r="A5" s="15" t="s">
        <v>67</v>
      </c>
      <c r="B5" s="15" t="s">
        <v>37</v>
      </c>
      <c r="C5" s="15" t="s">
        <v>38</v>
      </c>
      <c r="D5" s="15" t="s">
        <v>743</v>
      </c>
      <c r="E5" s="15" t="s">
        <v>39</v>
      </c>
      <c r="F5" s="15" t="s">
        <v>744</v>
      </c>
      <c r="G5" s="15" t="s">
        <v>63</v>
      </c>
      <c r="H5" s="15" t="s">
        <v>745</v>
      </c>
      <c r="I5" s="15" t="s">
        <v>64</v>
      </c>
      <c r="J5" s="15" t="s">
        <v>746</v>
      </c>
      <c r="K5" s="15" t="s">
        <v>65</v>
      </c>
      <c r="L5" s="15" t="s">
        <v>747</v>
      </c>
      <c r="M5" s="15" t="s">
        <v>68</v>
      </c>
      <c r="N5" s="15" t="s">
        <v>748</v>
      </c>
      <c r="O5" s="15" t="s">
        <v>69</v>
      </c>
      <c r="P5" s="15" t="s">
        <v>749</v>
      </c>
      <c r="Q5" s="15" t="s">
        <v>70</v>
      </c>
      <c r="R5" s="15" t="s">
        <v>750</v>
      </c>
      <c r="S5" s="15" t="s">
        <v>71</v>
      </c>
      <c r="T5" s="15" t="s">
        <v>751</v>
      </c>
      <c r="U5" s="15" t="s">
        <v>72</v>
      </c>
      <c r="V5" s="15" t="s">
        <v>752</v>
      </c>
      <c r="W5" s="15" t="s">
        <v>73</v>
      </c>
      <c r="X5" s="15" t="s">
        <v>753</v>
      </c>
      <c r="Y5" s="15" t="s">
        <v>32</v>
      </c>
      <c r="Z5" s="15" t="s">
        <v>754</v>
      </c>
      <c r="AA5" s="15" t="s">
        <v>156</v>
      </c>
      <c r="AB5" s="15" t="s">
        <v>157</v>
      </c>
      <c r="AC5" s="291"/>
      <c r="AD5" s="291"/>
      <c r="AE5" s="291"/>
      <c r="AF5" s="291"/>
      <c r="AG5" s="291"/>
      <c r="AH5" s="291"/>
      <c r="AI5" s="291"/>
      <c r="AJ5" s="291"/>
    </row>
    <row r="6" spans="1:36" s="628" customFormat="1" ht="27.75" customHeight="1">
      <c r="A6" s="626"/>
      <c r="B6" s="626" t="s">
        <v>668</v>
      </c>
      <c r="C6" s="626"/>
      <c r="D6" s="626"/>
      <c r="E6" s="626"/>
      <c r="F6" s="626"/>
      <c r="G6" s="626"/>
      <c r="H6" s="626"/>
      <c r="I6" s="626"/>
      <c r="J6" s="626"/>
      <c r="K6" s="626"/>
      <c r="L6" s="626"/>
      <c r="M6" s="626"/>
      <c r="N6" s="626"/>
      <c r="O6" s="626"/>
      <c r="P6" s="626"/>
      <c r="Q6" s="626"/>
      <c r="R6" s="626"/>
      <c r="S6" s="626"/>
      <c r="T6" s="626"/>
      <c r="U6" s="626"/>
      <c r="V6" s="626"/>
      <c r="W6" s="626"/>
      <c r="X6" s="626"/>
      <c r="Y6" s="626"/>
      <c r="Z6" s="626"/>
      <c r="AA6" s="626"/>
      <c r="AB6" s="626"/>
    </row>
    <row r="7" spans="1:36" s="16" customFormat="1" ht="23.25" customHeight="1">
      <c r="A7" s="432">
        <v>1</v>
      </c>
      <c r="B7" s="429" t="s">
        <v>669</v>
      </c>
      <c r="C7" s="602">
        <f t="shared" ref="C7:C30" si="0">E7+I7+M7+Q7+U7</f>
        <v>0</v>
      </c>
      <c r="D7" s="600">
        <f>F7+J7+N7+R7+V7</f>
        <v>0</v>
      </c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>
        <f t="shared" ref="Y7:Y30" si="1">+W7+S7+O7+K7</f>
        <v>0</v>
      </c>
      <c r="Z7" s="600">
        <f t="shared" ref="Z7:Z30" si="2">+X7+T7+P7+L7</f>
        <v>0</v>
      </c>
      <c r="AA7" s="18"/>
      <c r="AB7" s="18"/>
      <c r="AC7" s="293">
        <f>+'Aging Analysis'!C9</f>
        <v>0</v>
      </c>
      <c r="AD7" s="291"/>
      <c r="AE7" s="291"/>
      <c r="AF7" s="291"/>
      <c r="AG7" s="291"/>
      <c r="AH7" s="291"/>
      <c r="AI7" s="291"/>
      <c r="AJ7" s="291"/>
    </row>
    <row r="8" spans="1:36" s="16" customFormat="1" ht="14.25" customHeight="1">
      <c r="A8" s="432"/>
      <c r="B8" s="430" t="s">
        <v>670</v>
      </c>
      <c r="C8" s="602">
        <f t="shared" si="0"/>
        <v>0</v>
      </c>
      <c r="D8" s="600">
        <f t="shared" ref="D8:D30" si="3">F8+J8+N8+R8+V8</f>
        <v>0</v>
      </c>
      <c r="E8" s="603"/>
      <c r="F8" s="601"/>
      <c r="G8" s="603"/>
      <c r="H8" s="601"/>
      <c r="I8" s="603"/>
      <c r="J8" s="601"/>
      <c r="K8" s="603"/>
      <c r="L8" s="601"/>
      <c r="M8" s="603"/>
      <c r="N8" s="601"/>
      <c r="O8" s="603"/>
      <c r="P8" s="601"/>
      <c r="Q8" s="603"/>
      <c r="R8" s="601"/>
      <c r="S8" s="603"/>
      <c r="T8" s="601"/>
      <c r="U8" s="603"/>
      <c r="V8" s="601"/>
      <c r="W8" s="603"/>
      <c r="X8" s="601"/>
      <c r="Y8" s="599">
        <f t="shared" si="1"/>
        <v>0</v>
      </c>
      <c r="Z8" s="600">
        <f t="shared" si="2"/>
        <v>0</v>
      </c>
      <c r="AA8" s="18"/>
      <c r="AB8" s="18"/>
      <c r="AD8" s="291"/>
      <c r="AE8" s="291"/>
      <c r="AF8" s="291"/>
      <c r="AG8" s="291"/>
      <c r="AH8" s="291"/>
      <c r="AI8" s="291"/>
      <c r="AJ8" s="291"/>
    </row>
    <row r="9" spans="1:36" s="16" customFormat="1" ht="23.25" customHeight="1">
      <c r="A9" s="432">
        <v>2</v>
      </c>
      <c r="B9" s="429" t="s">
        <v>671</v>
      </c>
      <c r="C9" s="602">
        <f t="shared" si="0"/>
        <v>0</v>
      </c>
      <c r="D9" s="600">
        <f t="shared" si="3"/>
        <v>0</v>
      </c>
      <c r="E9" s="603"/>
      <c r="F9" s="601"/>
      <c r="G9" s="603"/>
      <c r="H9" s="601"/>
      <c r="I9" s="603"/>
      <c r="J9" s="601"/>
      <c r="K9" s="603"/>
      <c r="L9" s="601"/>
      <c r="M9" s="603"/>
      <c r="N9" s="601"/>
      <c r="O9" s="603"/>
      <c r="P9" s="601"/>
      <c r="Q9" s="603"/>
      <c r="R9" s="601"/>
      <c r="S9" s="603"/>
      <c r="T9" s="601"/>
      <c r="U9" s="603"/>
      <c r="V9" s="601"/>
      <c r="W9" s="603"/>
      <c r="X9" s="601"/>
      <c r="Y9" s="599">
        <f t="shared" si="1"/>
        <v>0</v>
      </c>
      <c r="Z9" s="600">
        <f t="shared" si="2"/>
        <v>0</v>
      </c>
      <c r="AA9" s="18"/>
      <c r="AB9" s="18"/>
      <c r="AC9" s="293">
        <f>+'Aging Analysis'!C10</f>
        <v>0</v>
      </c>
      <c r="AD9" s="291"/>
      <c r="AE9" s="291"/>
      <c r="AF9" s="291"/>
      <c r="AG9" s="291"/>
      <c r="AH9" s="291"/>
      <c r="AI9" s="291"/>
      <c r="AJ9" s="291"/>
    </row>
    <row r="10" spans="1:36" s="16" customFormat="1" ht="14.25" customHeight="1">
      <c r="A10" s="432"/>
      <c r="B10" s="430" t="s">
        <v>670</v>
      </c>
      <c r="C10" s="602">
        <f t="shared" si="0"/>
        <v>0</v>
      </c>
      <c r="D10" s="600">
        <f t="shared" si="3"/>
        <v>0</v>
      </c>
      <c r="E10" s="603"/>
      <c r="F10" s="601"/>
      <c r="G10" s="603"/>
      <c r="H10" s="601"/>
      <c r="I10" s="603"/>
      <c r="J10" s="601"/>
      <c r="K10" s="603"/>
      <c r="L10" s="601"/>
      <c r="M10" s="603"/>
      <c r="N10" s="601"/>
      <c r="O10" s="603"/>
      <c r="P10" s="601"/>
      <c r="Q10" s="603"/>
      <c r="R10" s="601"/>
      <c r="S10" s="603"/>
      <c r="T10" s="601"/>
      <c r="U10" s="603"/>
      <c r="V10" s="601"/>
      <c r="W10" s="603"/>
      <c r="X10" s="601"/>
      <c r="Y10" s="599">
        <f t="shared" si="1"/>
        <v>0</v>
      </c>
      <c r="Z10" s="600">
        <f t="shared" si="2"/>
        <v>0</v>
      </c>
      <c r="AA10" s="18"/>
      <c r="AB10" s="18"/>
      <c r="AD10" s="291"/>
      <c r="AE10" s="291"/>
      <c r="AF10" s="291"/>
      <c r="AG10" s="291"/>
      <c r="AH10" s="291"/>
      <c r="AI10" s="291"/>
      <c r="AJ10" s="291"/>
    </row>
    <row r="11" spans="1:36" s="16" customFormat="1" ht="23.25" customHeight="1">
      <c r="A11" s="432">
        <v>3</v>
      </c>
      <c r="B11" s="429" t="s">
        <v>400</v>
      </c>
      <c r="C11" s="602">
        <f t="shared" si="0"/>
        <v>2958746</v>
      </c>
      <c r="D11" s="600">
        <f t="shared" si="3"/>
        <v>997380</v>
      </c>
      <c r="E11" s="603">
        <v>2958746</v>
      </c>
      <c r="F11" s="601">
        <v>997380</v>
      </c>
      <c r="G11" s="603"/>
      <c r="H11" s="601"/>
      <c r="I11" s="603"/>
      <c r="J11" s="601"/>
      <c r="K11" s="603"/>
      <c r="L11" s="601"/>
      <c r="M11" s="603"/>
      <c r="N11" s="601"/>
      <c r="O11" s="603"/>
      <c r="P11" s="601"/>
      <c r="Q11" s="603"/>
      <c r="R11" s="601"/>
      <c r="S11" s="603"/>
      <c r="T11" s="601"/>
      <c r="U11" s="603"/>
      <c r="V11" s="601"/>
      <c r="W11" s="603"/>
      <c r="X11" s="601"/>
      <c r="Y11" s="599">
        <f t="shared" si="1"/>
        <v>0</v>
      </c>
      <c r="Z11" s="600">
        <f t="shared" si="2"/>
        <v>0</v>
      </c>
      <c r="AA11" s="18"/>
      <c r="AB11" s="18"/>
      <c r="AC11" s="293">
        <f>+'Aging Analysis'!C11</f>
        <v>2958746</v>
      </c>
      <c r="AD11" s="291"/>
      <c r="AE11" s="291"/>
      <c r="AF11" s="291"/>
      <c r="AG11" s="291"/>
      <c r="AH11" s="291"/>
      <c r="AI11" s="291"/>
      <c r="AJ11" s="291"/>
    </row>
    <row r="12" spans="1:36" s="16" customFormat="1" ht="14.25" customHeight="1">
      <c r="A12" s="432"/>
      <c r="B12" s="430" t="s">
        <v>670</v>
      </c>
      <c r="C12" s="602">
        <f t="shared" si="0"/>
        <v>0</v>
      </c>
      <c r="D12" s="600">
        <f t="shared" si="3"/>
        <v>0</v>
      </c>
      <c r="E12" s="603">
        <v>0</v>
      </c>
      <c r="F12" s="601">
        <v>0</v>
      </c>
      <c r="G12" s="603"/>
      <c r="H12" s="601"/>
      <c r="I12" s="603"/>
      <c r="J12" s="601"/>
      <c r="K12" s="603"/>
      <c r="L12" s="601"/>
      <c r="M12" s="603"/>
      <c r="N12" s="601"/>
      <c r="O12" s="603"/>
      <c r="P12" s="601"/>
      <c r="Q12" s="603"/>
      <c r="R12" s="601"/>
      <c r="S12" s="603"/>
      <c r="T12" s="601"/>
      <c r="U12" s="603"/>
      <c r="V12" s="601"/>
      <c r="W12" s="603"/>
      <c r="X12" s="601"/>
      <c r="Y12" s="599">
        <f t="shared" si="1"/>
        <v>0</v>
      </c>
      <c r="Z12" s="600">
        <f t="shared" si="2"/>
        <v>0</v>
      </c>
      <c r="AA12" s="18"/>
      <c r="AB12" s="18"/>
      <c r="AD12" s="291"/>
      <c r="AE12" s="291"/>
      <c r="AF12" s="291"/>
      <c r="AG12" s="291"/>
      <c r="AH12" s="291"/>
      <c r="AI12" s="291"/>
      <c r="AJ12" s="291"/>
    </row>
    <row r="13" spans="1:36" s="16" customFormat="1" ht="23.25" customHeight="1">
      <c r="A13" s="432">
        <v>4</v>
      </c>
      <c r="B13" s="429" t="s">
        <v>401</v>
      </c>
      <c r="C13" s="602">
        <f t="shared" si="0"/>
        <v>2396481791</v>
      </c>
      <c r="D13" s="600">
        <f t="shared" si="3"/>
        <v>0</v>
      </c>
      <c r="E13" s="603">
        <v>2336461440</v>
      </c>
      <c r="F13" s="601">
        <v>0</v>
      </c>
      <c r="G13" s="603">
        <v>12697556</v>
      </c>
      <c r="H13" s="601">
        <v>0</v>
      </c>
      <c r="I13" s="603">
        <v>20225474</v>
      </c>
      <c r="J13" s="601">
        <v>0</v>
      </c>
      <c r="K13" s="603">
        <v>2382390</v>
      </c>
      <c r="L13" s="601">
        <v>0</v>
      </c>
      <c r="M13" s="603">
        <v>12736796</v>
      </c>
      <c r="N13" s="601">
        <v>0</v>
      </c>
      <c r="O13" s="603">
        <v>2978649</v>
      </c>
      <c r="P13" s="601">
        <v>0</v>
      </c>
      <c r="Q13" s="603">
        <v>15789714</v>
      </c>
      <c r="R13" s="601">
        <v>0</v>
      </c>
      <c r="S13" s="603">
        <v>7968526</v>
      </c>
      <c r="T13" s="601">
        <v>0</v>
      </c>
      <c r="U13" s="603">
        <v>11268367</v>
      </c>
      <c r="V13" s="601">
        <v>0</v>
      </c>
      <c r="W13" s="603">
        <v>11229639</v>
      </c>
      <c r="X13" s="601">
        <v>0</v>
      </c>
      <c r="Y13" s="599">
        <f t="shared" si="1"/>
        <v>24559204</v>
      </c>
      <c r="Z13" s="600">
        <f t="shared" si="2"/>
        <v>0</v>
      </c>
      <c r="AA13" s="18"/>
      <c r="AB13" s="18"/>
      <c r="AC13" s="293">
        <f>+'Aging Analysis'!C12</f>
        <v>2396481791</v>
      </c>
      <c r="AD13" s="291"/>
      <c r="AE13" s="291"/>
      <c r="AF13" s="291"/>
      <c r="AG13" s="291"/>
      <c r="AH13" s="291"/>
      <c r="AI13" s="291"/>
      <c r="AJ13" s="291"/>
    </row>
    <row r="14" spans="1:36" s="16" customFormat="1" ht="14.25" customHeight="1">
      <c r="A14" s="432"/>
      <c r="B14" s="430" t="s">
        <v>670</v>
      </c>
      <c r="C14" s="602">
        <f t="shared" si="0"/>
        <v>0</v>
      </c>
      <c r="D14" s="600">
        <f t="shared" si="3"/>
        <v>0</v>
      </c>
      <c r="E14" s="603">
        <v>0</v>
      </c>
      <c r="F14" s="601">
        <v>0</v>
      </c>
      <c r="G14" s="603"/>
      <c r="H14" s="601"/>
      <c r="I14" s="603">
        <v>0</v>
      </c>
      <c r="J14" s="601">
        <v>0</v>
      </c>
      <c r="K14" s="603">
        <v>0</v>
      </c>
      <c r="L14" s="601">
        <v>0</v>
      </c>
      <c r="M14" s="603">
        <v>0</v>
      </c>
      <c r="N14" s="601">
        <v>0</v>
      </c>
      <c r="O14" s="603">
        <v>0</v>
      </c>
      <c r="P14" s="601">
        <v>0</v>
      </c>
      <c r="Q14" s="603">
        <v>0</v>
      </c>
      <c r="R14" s="601">
        <v>0</v>
      </c>
      <c r="S14" s="603">
        <v>0</v>
      </c>
      <c r="T14" s="601">
        <v>0</v>
      </c>
      <c r="U14" s="603">
        <v>0</v>
      </c>
      <c r="V14" s="601">
        <v>0</v>
      </c>
      <c r="W14" s="603">
        <v>0</v>
      </c>
      <c r="X14" s="601">
        <v>0</v>
      </c>
      <c r="Y14" s="599">
        <f t="shared" si="1"/>
        <v>0</v>
      </c>
      <c r="Z14" s="600">
        <f t="shared" si="2"/>
        <v>0</v>
      </c>
      <c r="AA14" s="18"/>
      <c r="AB14" s="18"/>
      <c r="AD14" s="291"/>
      <c r="AE14" s="291"/>
      <c r="AF14" s="291"/>
      <c r="AG14" s="291"/>
      <c r="AH14" s="291"/>
      <c r="AI14" s="291"/>
      <c r="AJ14" s="291"/>
    </row>
    <row r="15" spans="1:36" s="16" customFormat="1" ht="23.25" customHeight="1">
      <c r="A15" s="432">
        <v>5</v>
      </c>
      <c r="B15" s="429" t="s">
        <v>672</v>
      </c>
      <c r="C15" s="602">
        <f t="shared" si="0"/>
        <v>994619618</v>
      </c>
      <c r="D15" s="600">
        <f t="shared" si="3"/>
        <v>379498048</v>
      </c>
      <c r="E15" s="603">
        <v>978082421</v>
      </c>
      <c r="F15" s="601">
        <v>379498048</v>
      </c>
      <c r="G15" s="603">
        <v>10066301</v>
      </c>
      <c r="H15" s="601">
        <v>4138533</v>
      </c>
      <c r="I15" s="603">
        <v>0</v>
      </c>
      <c r="J15" s="601">
        <v>0</v>
      </c>
      <c r="K15" s="603">
        <v>0</v>
      </c>
      <c r="L15" s="601">
        <v>0</v>
      </c>
      <c r="M15" s="603">
        <v>13337197</v>
      </c>
      <c r="N15" s="601">
        <v>0</v>
      </c>
      <c r="O15" s="603">
        <v>0</v>
      </c>
      <c r="P15" s="601">
        <v>0</v>
      </c>
      <c r="Q15" s="603">
        <v>3200000</v>
      </c>
      <c r="R15" s="601">
        <v>0</v>
      </c>
      <c r="S15" s="603">
        <v>0</v>
      </c>
      <c r="T15" s="601">
        <v>0</v>
      </c>
      <c r="U15" s="603">
        <v>0</v>
      </c>
      <c r="V15" s="601">
        <v>0</v>
      </c>
      <c r="W15" s="603">
        <v>0</v>
      </c>
      <c r="X15" s="601">
        <v>0</v>
      </c>
      <c r="Y15" s="599">
        <f t="shared" si="1"/>
        <v>0</v>
      </c>
      <c r="Z15" s="600">
        <f t="shared" si="2"/>
        <v>0</v>
      </c>
      <c r="AA15" s="18"/>
      <c r="AB15" s="18"/>
      <c r="AC15" s="293">
        <f>+'Aging Analysis'!C13</f>
        <v>994619618</v>
      </c>
      <c r="AD15" s="291"/>
      <c r="AE15" s="291"/>
      <c r="AF15" s="291"/>
      <c r="AG15" s="291"/>
      <c r="AH15" s="291"/>
      <c r="AI15" s="291"/>
      <c r="AJ15" s="291"/>
    </row>
    <row r="16" spans="1:36" s="16" customFormat="1" ht="14.25" customHeight="1">
      <c r="A16" s="432"/>
      <c r="B16" s="430" t="s">
        <v>670</v>
      </c>
      <c r="C16" s="602">
        <f t="shared" si="0"/>
        <v>0</v>
      </c>
      <c r="D16" s="600">
        <f t="shared" si="3"/>
        <v>0</v>
      </c>
      <c r="E16" s="603">
        <v>0</v>
      </c>
      <c r="F16" s="601">
        <v>0</v>
      </c>
      <c r="G16" s="603"/>
      <c r="H16" s="601"/>
      <c r="I16" s="603">
        <v>0</v>
      </c>
      <c r="J16" s="601">
        <v>0</v>
      </c>
      <c r="K16" s="603">
        <v>0</v>
      </c>
      <c r="L16" s="601">
        <v>0</v>
      </c>
      <c r="M16" s="603">
        <v>0</v>
      </c>
      <c r="N16" s="601">
        <v>0</v>
      </c>
      <c r="O16" s="603">
        <v>0</v>
      </c>
      <c r="P16" s="601">
        <v>0</v>
      </c>
      <c r="Q16" s="603">
        <v>0</v>
      </c>
      <c r="R16" s="601">
        <v>0</v>
      </c>
      <c r="S16" s="603">
        <v>0</v>
      </c>
      <c r="T16" s="601">
        <v>0</v>
      </c>
      <c r="U16" s="603">
        <v>0</v>
      </c>
      <c r="V16" s="601">
        <v>0</v>
      </c>
      <c r="W16" s="603">
        <v>0</v>
      </c>
      <c r="X16" s="601">
        <v>0</v>
      </c>
      <c r="Y16" s="599">
        <f t="shared" si="1"/>
        <v>0</v>
      </c>
      <c r="Z16" s="600">
        <f t="shared" si="2"/>
        <v>0</v>
      </c>
      <c r="AA16" s="18"/>
      <c r="AB16" s="18"/>
      <c r="AD16" s="291"/>
      <c r="AE16" s="291"/>
      <c r="AF16" s="291"/>
      <c r="AG16" s="291"/>
      <c r="AH16" s="291"/>
      <c r="AI16" s="291"/>
      <c r="AJ16" s="291"/>
    </row>
    <row r="17" spans="1:36" s="16" customFormat="1" ht="23.25" customHeight="1">
      <c r="A17" s="432">
        <v>6</v>
      </c>
      <c r="B17" s="429" t="s">
        <v>403</v>
      </c>
      <c r="C17" s="602">
        <f t="shared" si="0"/>
        <v>186438802</v>
      </c>
      <c r="D17" s="600">
        <f t="shared" si="3"/>
        <v>181343277</v>
      </c>
      <c r="E17" s="603">
        <v>186438802</v>
      </c>
      <c r="F17" s="601">
        <v>181343277</v>
      </c>
      <c r="G17" s="603">
        <v>2445711</v>
      </c>
      <c r="H17" s="601">
        <v>1780667</v>
      </c>
      <c r="I17" s="603">
        <v>0</v>
      </c>
      <c r="J17" s="601">
        <v>0</v>
      </c>
      <c r="K17" s="603">
        <v>0</v>
      </c>
      <c r="L17" s="601">
        <v>0</v>
      </c>
      <c r="M17" s="603">
        <v>0</v>
      </c>
      <c r="N17" s="601">
        <v>0</v>
      </c>
      <c r="O17" s="603">
        <v>0</v>
      </c>
      <c r="P17" s="601">
        <v>0</v>
      </c>
      <c r="Q17" s="603">
        <v>0</v>
      </c>
      <c r="R17" s="601">
        <v>0</v>
      </c>
      <c r="S17" s="603">
        <v>0</v>
      </c>
      <c r="T17" s="601">
        <v>0</v>
      </c>
      <c r="U17" s="603">
        <v>0</v>
      </c>
      <c r="V17" s="601">
        <v>0</v>
      </c>
      <c r="W17" s="603">
        <v>0</v>
      </c>
      <c r="X17" s="601">
        <v>0</v>
      </c>
      <c r="Y17" s="599">
        <f t="shared" si="1"/>
        <v>0</v>
      </c>
      <c r="Z17" s="600">
        <f t="shared" si="2"/>
        <v>0</v>
      </c>
      <c r="AA17" s="18"/>
      <c r="AB17" s="18"/>
      <c r="AC17" s="293">
        <f>+'Aging Analysis'!C14</f>
        <v>186438802</v>
      </c>
      <c r="AD17" s="291"/>
      <c r="AE17" s="291"/>
      <c r="AF17" s="291"/>
      <c r="AG17" s="291"/>
      <c r="AH17" s="291"/>
      <c r="AI17" s="291"/>
      <c r="AJ17" s="291"/>
    </row>
    <row r="18" spans="1:36" s="16" customFormat="1" ht="14.25" customHeight="1">
      <c r="A18" s="432"/>
      <c r="B18" s="430" t="s">
        <v>670</v>
      </c>
      <c r="C18" s="602">
        <f t="shared" si="0"/>
        <v>0</v>
      </c>
      <c r="D18" s="600">
        <f t="shared" si="3"/>
        <v>0</v>
      </c>
      <c r="E18" s="603">
        <v>0</v>
      </c>
      <c r="F18" s="601">
        <v>0</v>
      </c>
      <c r="G18" s="603"/>
      <c r="H18" s="601"/>
      <c r="I18" s="603">
        <v>0</v>
      </c>
      <c r="J18" s="601">
        <v>0</v>
      </c>
      <c r="K18" s="603">
        <v>0</v>
      </c>
      <c r="L18" s="601">
        <v>0</v>
      </c>
      <c r="M18" s="603">
        <v>0</v>
      </c>
      <c r="N18" s="601">
        <v>0</v>
      </c>
      <c r="O18" s="603">
        <v>0</v>
      </c>
      <c r="P18" s="601">
        <v>0</v>
      </c>
      <c r="Q18" s="603">
        <v>0</v>
      </c>
      <c r="R18" s="601">
        <v>0</v>
      </c>
      <c r="S18" s="603">
        <v>0</v>
      </c>
      <c r="T18" s="601">
        <v>0</v>
      </c>
      <c r="U18" s="603">
        <v>0</v>
      </c>
      <c r="V18" s="601">
        <v>0</v>
      </c>
      <c r="W18" s="603">
        <v>0</v>
      </c>
      <c r="X18" s="601">
        <v>0</v>
      </c>
      <c r="Y18" s="599">
        <f t="shared" si="1"/>
        <v>0</v>
      </c>
      <c r="Z18" s="600">
        <f t="shared" si="2"/>
        <v>0</v>
      </c>
      <c r="AA18" s="18"/>
      <c r="AB18" s="18"/>
      <c r="AD18" s="291"/>
      <c r="AE18" s="291"/>
      <c r="AF18" s="291"/>
      <c r="AG18" s="291"/>
      <c r="AH18" s="291"/>
      <c r="AI18" s="291"/>
      <c r="AJ18" s="291"/>
    </row>
    <row r="19" spans="1:36" s="16" customFormat="1" ht="23.25" customHeight="1">
      <c r="A19" s="432">
        <v>7</v>
      </c>
      <c r="B19" s="429" t="s">
        <v>404</v>
      </c>
      <c r="C19" s="602">
        <f t="shared" si="0"/>
        <v>5357029046</v>
      </c>
      <c r="D19" s="600">
        <f t="shared" si="3"/>
        <v>2888036985</v>
      </c>
      <c r="E19" s="603">
        <v>5147221808</v>
      </c>
      <c r="F19" s="601">
        <v>2832254258</v>
      </c>
      <c r="G19" s="603">
        <v>42933735</v>
      </c>
      <c r="H19" s="601">
        <v>25023580</v>
      </c>
      <c r="I19" s="603">
        <v>81124646</v>
      </c>
      <c r="J19" s="601">
        <v>10347115</v>
      </c>
      <c r="K19" s="603">
        <v>8815108</v>
      </c>
      <c r="L19" s="601">
        <v>2672938</v>
      </c>
      <c r="M19" s="603">
        <v>43619125</v>
      </c>
      <c r="N19" s="601">
        <v>17976299</v>
      </c>
      <c r="O19" s="603">
        <v>6997051</v>
      </c>
      <c r="P19" s="601">
        <v>1942842</v>
      </c>
      <c r="Q19" s="603">
        <v>60668576</v>
      </c>
      <c r="R19" s="601">
        <v>25674905</v>
      </c>
      <c r="S19" s="603">
        <v>8737985</v>
      </c>
      <c r="T19" s="601">
        <v>1844064</v>
      </c>
      <c r="U19" s="603">
        <v>24394891</v>
      </c>
      <c r="V19" s="601">
        <v>1784408</v>
      </c>
      <c r="W19" s="603">
        <v>7461836</v>
      </c>
      <c r="X19" s="601">
        <v>18596</v>
      </c>
      <c r="Y19" s="599">
        <f t="shared" si="1"/>
        <v>32011980</v>
      </c>
      <c r="Z19" s="600">
        <f t="shared" si="2"/>
        <v>6478440</v>
      </c>
      <c r="AA19" s="18"/>
      <c r="AB19" s="18"/>
      <c r="AC19" s="293">
        <f>+'Aging Analysis'!C15</f>
        <v>5357029046</v>
      </c>
      <c r="AD19" s="291"/>
      <c r="AE19" s="291"/>
      <c r="AF19" s="291"/>
      <c r="AG19" s="291"/>
      <c r="AH19" s="291"/>
      <c r="AI19" s="291"/>
      <c r="AJ19" s="291"/>
    </row>
    <row r="20" spans="1:36" s="16" customFormat="1" ht="14.25" customHeight="1">
      <c r="A20" s="432"/>
      <c r="B20" s="430" t="s">
        <v>670</v>
      </c>
      <c r="C20" s="602">
        <f t="shared" si="0"/>
        <v>0</v>
      </c>
      <c r="D20" s="600">
        <f t="shared" si="3"/>
        <v>0</v>
      </c>
      <c r="E20" s="603">
        <v>0</v>
      </c>
      <c r="F20" s="601">
        <v>0</v>
      </c>
      <c r="G20" s="603"/>
      <c r="H20" s="601"/>
      <c r="I20" s="603">
        <v>0</v>
      </c>
      <c r="J20" s="601">
        <v>0</v>
      </c>
      <c r="K20" s="603">
        <v>0</v>
      </c>
      <c r="L20" s="601">
        <v>0</v>
      </c>
      <c r="M20" s="603">
        <v>0</v>
      </c>
      <c r="N20" s="601">
        <v>0</v>
      </c>
      <c r="O20" s="603">
        <v>0</v>
      </c>
      <c r="P20" s="601">
        <v>0</v>
      </c>
      <c r="Q20" s="603">
        <v>0</v>
      </c>
      <c r="R20" s="601">
        <v>0</v>
      </c>
      <c r="S20" s="603">
        <v>0</v>
      </c>
      <c r="T20" s="601">
        <v>0</v>
      </c>
      <c r="U20" s="603">
        <v>0</v>
      </c>
      <c r="V20" s="601">
        <v>0</v>
      </c>
      <c r="W20" s="603">
        <v>0</v>
      </c>
      <c r="X20" s="601">
        <v>0</v>
      </c>
      <c r="Y20" s="599">
        <f t="shared" si="1"/>
        <v>0</v>
      </c>
      <c r="Z20" s="600">
        <f t="shared" si="2"/>
        <v>0</v>
      </c>
      <c r="AA20" s="18"/>
      <c r="AB20" s="18"/>
      <c r="AD20" s="291"/>
      <c r="AE20" s="291"/>
      <c r="AF20" s="291"/>
      <c r="AG20" s="291"/>
      <c r="AH20" s="291"/>
      <c r="AI20" s="291"/>
      <c r="AJ20" s="291"/>
    </row>
    <row r="21" spans="1:36" s="16" customFormat="1" ht="23.25" customHeight="1">
      <c r="A21" s="432">
        <v>8</v>
      </c>
      <c r="B21" s="429" t="s">
        <v>673</v>
      </c>
      <c r="C21" s="602">
        <f t="shared" si="0"/>
        <v>29599367</v>
      </c>
      <c r="D21" s="600">
        <f t="shared" si="3"/>
        <v>25862946</v>
      </c>
      <c r="E21" s="603">
        <v>29599367</v>
      </c>
      <c r="F21" s="601">
        <v>25862946</v>
      </c>
      <c r="G21" s="603">
        <v>295735</v>
      </c>
      <c r="H21" s="601">
        <v>0</v>
      </c>
      <c r="I21" s="603">
        <v>0</v>
      </c>
      <c r="J21" s="601">
        <v>0</v>
      </c>
      <c r="K21" s="603">
        <v>0</v>
      </c>
      <c r="L21" s="601">
        <v>0</v>
      </c>
      <c r="M21" s="603">
        <v>0</v>
      </c>
      <c r="N21" s="601">
        <v>0</v>
      </c>
      <c r="O21" s="603">
        <v>0</v>
      </c>
      <c r="P21" s="601">
        <v>0</v>
      </c>
      <c r="Q21" s="603">
        <v>0</v>
      </c>
      <c r="R21" s="601">
        <v>0</v>
      </c>
      <c r="S21" s="603">
        <v>0</v>
      </c>
      <c r="T21" s="601">
        <v>0</v>
      </c>
      <c r="U21" s="603">
        <v>0</v>
      </c>
      <c r="V21" s="601">
        <v>0</v>
      </c>
      <c r="W21" s="603">
        <v>0</v>
      </c>
      <c r="X21" s="601">
        <v>0</v>
      </c>
      <c r="Y21" s="599">
        <f t="shared" si="1"/>
        <v>0</v>
      </c>
      <c r="Z21" s="600">
        <f t="shared" si="2"/>
        <v>0</v>
      </c>
      <c r="AA21" s="18"/>
      <c r="AB21" s="18"/>
      <c r="AC21" s="293">
        <f>+'Aging Analysis'!C16</f>
        <v>29599367</v>
      </c>
      <c r="AD21" s="291"/>
      <c r="AE21" s="291"/>
      <c r="AF21" s="291"/>
      <c r="AG21" s="291"/>
      <c r="AH21" s="291"/>
      <c r="AI21" s="291"/>
      <c r="AJ21" s="291"/>
    </row>
    <row r="22" spans="1:36" s="16" customFormat="1" ht="14.25" customHeight="1">
      <c r="A22" s="432"/>
      <c r="B22" s="430" t="s">
        <v>670</v>
      </c>
      <c r="C22" s="602">
        <f t="shared" si="0"/>
        <v>0</v>
      </c>
      <c r="D22" s="600">
        <f t="shared" si="3"/>
        <v>0</v>
      </c>
      <c r="E22" s="603">
        <v>0</v>
      </c>
      <c r="F22" s="601">
        <v>0</v>
      </c>
      <c r="G22" s="603"/>
      <c r="H22" s="601"/>
      <c r="I22" s="603">
        <v>0</v>
      </c>
      <c r="J22" s="601">
        <v>0</v>
      </c>
      <c r="K22" s="603">
        <v>0</v>
      </c>
      <c r="L22" s="601">
        <v>0</v>
      </c>
      <c r="M22" s="603">
        <v>0</v>
      </c>
      <c r="N22" s="601">
        <v>0</v>
      </c>
      <c r="O22" s="603">
        <v>0</v>
      </c>
      <c r="P22" s="601">
        <v>0</v>
      </c>
      <c r="Q22" s="603">
        <v>0</v>
      </c>
      <c r="R22" s="601">
        <v>0</v>
      </c>
      <c r="S22" s="603">
        <v>0</v>
      </c>
      <c r="T22" s="601">
        <v>0</v>
      </c>
      <c r="U22" s="603">
        <v>0</v>
      </c>
      <c r="V22" s="601">
        <v>0</v>
      </c>
      <c r="W22" s="603">
        <v>0</v>
      </c>
      <c r="X22" s="601">
        <v>0</v>
      </c>
      <c r="Y22" s="599">
        <f t="shared" si="1"/>
        <v>0</v>
      </c>
      <c r="Z22" s="600">
        <f t="shared" si="2"/>
        <v>0</v>
      </c>
      <c r="AA22" s="18"/>
      <c r="AB22" s="18"/>
      <c r="AD22" s="291"/>
      <c r="AE22" s="291"/>
      <c r="AF22" s="291"/>
      <c r="AG22" s="291"/>
      <c r="AH22" s="291"/>
      <c r="AI22" s="291"/>
      <c r="AJ22" s="291"/>
    </row>
    <row r="23" spans="1:36" s="16" customFormat="1" ht="23.25" customHeight="1">
      <c r="A23" s="432">
        <v>9</v>
      </c>
      <c r="B23" s="429" t="s">
        <v>674</v>
      </c>
      <c r="C23" s="602">
        <f t="shared" si="0"/>
        <v>6153800</v>
      </c>
      <c r="D23" s="600">
        <f t="shared" si="3"/>
        <v>0</v>
      </c>
      <c r="E23" s="603">
        <v>6153800</v>
      </c>
      <c r="F23" s="601">
        <v>0</v>
      </c>
      <c r="G23" s="603">
        <v>605938</v>
      </c>
      <c r="H23" s="601">
        <v>0</v>
      </c>
      <c r="I23" s="603">
        <v>0</v>
      </c>
      <c r="J23" s="601">
        <v>0</v>
      </c>
      <c r="K23" s="603">
        <v>0</v>
      </c>
      <c r="L23" s="601">
        <v>0</v>
      </c>
      <c r="M23" s="603">
        <v>0</v>
      </c>
      <c r="N23" s="601">
        <v>0</v>
      </c>
      <c r="O23" s="603">
        <v>0</v>
      </c>
      <c r="P23" s="601">
        <v>0</v>
      </c>
      <c r="Q23" s="603">
        <v>0</v>
      </c>
      <c r="R23" s="601">
        <v>0</v>
      </c>
      <c r="S23" s="603">
        <v>0</v>
      </c>
      <c r="T23" s="601">
        <v>0</v>
      </c>
      <c r="U23" s="603">
        <v>0</v>
      </c>
      <c r="V23" s="601">
        <v>0</v>
      </c>
      <c r="W23" s="603">
        <v>0</v>
      </c>
      <c r="X23" s="601">
        <v>0</v>
      </c>
      <c r="Y23" s="599">
        <f t="shared" si="1"/>
        <v>0</v>
      </c>
      <c r="Z23" s="600">
        <f t="shared" si="2"/>
        <v>0</v>
      </c>
      <c r="AA23" s="18"/>
      <c r="AB23" s="18"/>
      <c r="AC23" s="293">
        <f>+'Aging Analysis'!C17</f>
        <v>6153800</v>
      </c>
      <c r="AD23" s="291"/>
      <c r="AE23" s="291"/>
      <c r="AF23" s="291"/>
      <c r="AG23" s="291"/>
      <c r="AH23" s="291"/>
      <c r="AI23" s="291"/>
      <c r="AJ23" s="291"/>
    </row>
    <row r="24" spans="1:36" s="16" customFormat="1" ht="14.25" customHeight="1">
      <c r="A24" s="432"/>
      <c r="B24" s="430" t="s">
        <v>670</v>
      </c>
      <c r="C24" s="602">
        <f t="shared" si="0"/>
        <v>0</v>
      </c>
      <c r="D24" s="600">
        <f t="shared" si="3"/>
        <v>0</v>
      </c>
      <c r="E24" s="603">
        <v>0</v>
      </c>
      <c r="F24" s="601">
        <v>0</v>
      </c>
      <c r="G24" s="603"/>
      <c r="H24" s="601"/>
      <c r="I24" s="603">
        <v>0</v>
      </c>
      <c r="J24" s="601">
        <v>0</v>
      </c>
      <c r="K24" s="603">
        <v>0</v>
      </c>
      <c r="L24" s="601">
        <v>0</v>
      </c>
      <c r="M24" s="603">
        <v>0</v>
      </c>
      <c r="N24" s="601">
        <v>0</v>
      </c>
      <c r="O24" s="603">
        <v>0</v>
      </c>
      <c r="P24" s="601">
        <v>0</v>
      </c>
      <c r="Q24" s="603">
        <v>0</v>
      </c>
      <c r="R24" s="601">
        <v>0</v>
      </c>
      <c r="S24" s="603">
        <v>0</v>
      </c>
      <c r="T24" s="601">
        <v>0</v>
      </c>
      <c r="U24" s="603">
        <v>0</v>
      </c>
      <c r="V24" s="601">
        <v>0</v>
      </c>
      <c r="W24" s="603">
        <v>0</v>
      </c>
      <c r="X24" s="601">
        <v>0</v>
      </c>
      <c r="Y24" s="599">
        <f t="shared" si="1"/>
        <v>0</v>
      </c>
      <c r="Z24" s="600">
        <f t="shared" si="2"/>
        <v>0</v>
      </c>
      <c r="AA24" s="18"/>
      <c r="AB24" s="18"/>
      <c r="AD24" s="291"/>
      <c r="AE24" s="291"/>
      <c r="AF24" s="291"/>
      <c r="AG24" s="291"/>
      <c r="AH24" s="291"/>
      <c r="AI24" s="291"/>
      <c r="AJ24" s="291"/>
    </row>
    <row r="25" spans="1:36" s="16" customFormat="1" ht="23.25" customHeight="1">
      <c r="A25" s="432">
        <v>10</v>
      </c>
      <c r="B25" s="429" t="s">
        <v>675</v>
      </c>
      <c r="C25" s="602">
        <f t="shared" si="0"/>
        <v>19290704</v>
      </c>
      <c r="D25" s="600">
        <f t="shared" si="3"/>
        <v>12520594</v>
      </c>
      <c r="E25" s="603">
        <v>19081199</v>
      </c>
      <c r="F25" s="601">
        <v>12520594</v>
      </c>
      <c r="G25" s="603">
        <v>159695</v>
      </c>
      <c r="H25" s="601">
        <v>0</v>
      </c>
      <c r="I25" s="603">
        <v>0</v>
      </c>
      <c r="J25" s="601">
        <v>0</v>
      </c>
      <c r="K25" s="603">
        <v>0</v>
      </c>
      <c r="L25" s="601">
        <v>0</v>
      </c>
      <c r="M25" s="603">
        <v>0</v>
      </c>
      <c r="N25" s="601">
        <v>0</v>
      </c>
      <c r="O25" s="603">
        <v>0</v>
      </c>
      <c r="P25" s="601">
        <v>0</v>
      </c>
      <c r="Q25" s="603">
        <v>6755</v>
      </c>
      <c r="R25" s="601">
        <v>0</v>
      </c>
      <c r="S25" s="603">
        <v>0</v>
      </c>
      <c r="T25" s="601">
        <v>0</v>
      </c>
      <c r="U25" s="603">
        <v>202750</v>
      </c>
      <c r="V25" s="601">
        <v>0</v>
      </c>
      <c r="W25" s="603">
        <v>0</v>
      </c>
      <c r="X25" s="601">
        <v>0</v>
      </c>
      <c r="Y25" s="599">
        <f t="shared" si="1"/>
        <v>0</v>
      </c>
      <c r="Z25" s="600">
        <f t="shared" si="2"/>
        <v>0</v>
      </c>
      <c r="AA25" s="18"/>
      <c r="AB25" s="18"/>
      <c r="AC25" s="293">
        <f>+'Aging Analysis'!C18</f>
        <v>19290704</v>
      </c>
      <c r="AD25" s="291"/>
      <c r="AE25" s="291"/>
      <c r="AF25" s="291"/>
      <c r="AG25" s="291"/>
      <c r="AH25" s="291"/>
      <c r="AI25" s="291"/>
      <c r="AJ25" s="291"/>
    </row>
    <row r="26" spans="1:36" s="16" customFormat="1" ht="14.25" customHeight="1">
      <c r="A26" s="432"/>
      <c r="B26" s="430" t="s">
        <v>670</v>
      </c>
      <c r="C26" s="602">
        <f t="shared" si="0"/>
        <v>0</v>
      </c>
      <c r="D26" s="600">
        <f t="shared" si="3"/>
        <v>0</v>
      </c>
      <c r="E26" s="603">
        <v>0</v>
      </c>
      <c r="F26" s="601">
        <v>0</v>
      </c>
      <c r="G26" s="603"/>
      <c r="H26" s="601"/>
      <c r="I26" s="603">
        <v>0</v>
      </c>
      <c r="J26" s="601">
        <v>0</v>
      </c>
      <c r="K26" s="603">
        <v>0</v>
      </c>
      <c r="L26" s="601">
        <v>0</v>
      </c>
      <c r="M26" s="603">
        <v>0</v>
      </c>
      <c r="N26" s="601">
        <v>0</v>
      </c>
      <c r="O26" s="603">
        <v>0</v>
      </c>
      <c r="P26" s="601">
        <v>0</v>
      </c>
      <c r="Q26" s="603">
        <v>0</v>
      </c>
      <c r="R26" s="601">
        <v>0</v>
      </c>
      <c r="S26" s="603">
        <v>0</v>
      </c>
      <c r="T26" s="601">
        <v>0</v>
      </c>
      <c r="U26" s="603">
        <v>0</v>
      </c>
      <c r="V26" s="601">
        <v>0</v>
      </c>
      <c r="W26" s="603">
        <v>0</v>
      </c>
      <c r="X26" s="601">
        <v>0</v>
      </c>
      <c r="Y26" s="599">
        <f t="shared" si="1"/>
        <v>0</v>
      </c>
      <c r="Z26" s="600">
        <f t="shared" si="2"/>
        <v>0</v>
      </c>
      <c r="AA26" s="18"/>
      <c r="AB26" s="18"/>
      <c r="AD26" s="291"/>
      <c r="AE26" s="291"/>
      <c r="AF26" s="291"/>
      <c r="AG26" s="291"/>
      <c r="AH26" s="291"/>
      <c r="AI26" s="291"/>
      <c r="AJ26" s="291"/>
    </row>
    <row r="27" spans="1:36" s="16" customFormat="1" ht="23.25" customHeight="1">
      <c r="A27" s="432">
        <v>11</v>
      </c>
      <c r="B27" s="429" t="s">
        <v>676</v>
      </c>
      <c r="C27" s="602">
        <f t="shared" si="0"/>
        <v>0</v>
      </c>
      <c r="D27" s="600">
        <f t="shared" si="3"/>
        <v>0</v>
      </c>
      <c r="E27" s="603">
        <v>0</v>
      </c>
      <c r="F27" s="601">
        <v>0</v>
      </c>
      <c r="G27" s="603">
        <v>0</v>
      </c>
      <c r="H27" s="601">
        <v>0</v>
      </c>
      <c r="I27" s="603">
        <v>0</v>
      </c>
      <c r="J27" s="601">
        <v>0</v>
      </c>
      <c r="K27" s="603">
        <v>0</v>
      </c>
      <c r="L27" s="601">
        <v>0</v>
      </c>
      <c r="M27" s="603">
        <v>0</v>
      </c>
      <c r="N27" s="601">
        <v>0</v>
      </c>
      <c r="O27" s="603">
        <v>0</v>
      </c>
      <c r="P27" s="601">
        <v>0</v>
      </c>
      <c r="Q27" s="603">
        <v>0</v>
      </c>
      <c r="R27" s="601">
        <v>0</v>
      </c>
      <c r="S27" s="603">
        <v>0</v>
      </c>
      <c r="T27" s="601">
        <v>0</v>
      </c>
      <c r="U27" s="603">
        <v>0</v>
      </c>
      <c r="V27" s="601">
        <v>0</v>
      </c>
      <c r="W27" s="603">
        <v>0</v>
      </c>
      <c r="X27" s="601">
        <v>0</v>
      </c>
      <c r="Y27" s="599">
        <f t="shared" si="1"/>
        <v>0</v>
      </c>
      <c r="Z27" s="600">
        <f t="shared" si="2"/>
        <v>0</v>
      </c>
      <c r="AA27" s="18"/>
      <c r="AB27" s="18"/>
      <c r="AC27" s="293">
        <f>+'Aging Analysis'!C19</f>
        <v>0</v>
      </c>
      <c r="AD27" s="291"/>
      <c r="AE27" s="291"/>
      <c r="AF27" s="291"/>
      <c r="AG27" s="291"/>
      <c r="AH27" s="291"/>
      <c r="AI27" s="291"/>
      <c r="AJ27" s="291"/>
    </row>
    <row r="28" spans="1:36" s="16" customFormat="1" ht="14.25" customHeight="1">
      <c r="A28" s="432"/>
      <c r="B28" s="430" t="s">
        <v>670</v>
      </c>
      <c r="C28" s="602">
        <f t="shared" si="0"/>
        <v>0</v>
      </c>
      <c r="D28" s="600">
        <f t="shared" si="3"/>
        <v>0</v>
      </c>
      <c r="E28" s="603">
        <v>0</v>
      </c>
      <c r="F28" s="601">
        <v>0</v>
      </c>
      <c r="G28" s="603"/>
      <c r="H28" s="601"/>
      <c r="I28" s="603">
        <v>0</v>
      </c>
      <c r="J28" s="601">
        <v>0</v>
      </c>
      <c r="K28" s="603">
        <v>0</v>
      </c>
      <c r="L28" s="601">
        <v>0</v>
      </c>
      <c r="M28" s="603">
        <v>0</v>
      </c>
      <c r="N28" s="601">
        <v>0</v>
      </c>
      <c r="O28" s="603">
        <v>0</v>
      </c>
      <c r="P28" s="601">
        <v>0</v>
      </c>
      <c r="Q28" s="603">
        <v>0</v>
      </c>
      <c r="R28" s="601">
        <v>0</v>
      </c>
      <c r="S28" s="603">
        <v>0</v>
      </c>
      <c r="T28" s="601">
        <v>0</v>
      </c>
      <c r="U28" s="603">
        <v>0</v>
      </c>
      <c r="V28" s="601">
        <v>0</v>
      </c>
      <c r="W28" s="603">
        <v>0</v>
      </c>
      <c r="X28" s="601">
        <v>0</v>
      </c>
      <c r="Y28" s="599">
        <f t="shared" si="1"/>
        <v>0</v>
      </c>
      <c r="Z28" s="600">
        <f t="shared" si="2"/>
        <v>0</v>
      </c>
      <c r="AA28" s="18"/>
      <c r="AB28" s="18"/>
      <c r="AD28" s="291"/>
      <c r="AE28" s="291"/>
      <c r="AF28" s="291"/>
      <c r="AG28" s="291"/>
      <c r="AH28" s="291"/>
      <c r="AI28" s="291"/>
      <c r="AJ28" s="291"/>
    </row>
    <row r="29" spans="1:36" s="16" customFormat="1" ht="23.25" customHeight="1">
      <c r="A29" s="432">
        <v>12</v>
      </c>
      <c r="B29" s="429" t="s">
        <v>677</v>
      </c>
      <c r="C29" s="602">
        <f t="shared" si="0"/>
        <v>169305072</v>
      </c>
      <c r="D29" s="600">
        <f t="shared" si="3"/>
        <v>31581676</v>
      </c>
      <c r="E29" s="603">
        <v>168676797</v>
      </c>
      <c r="F29" s="601">
        <v>31581676</v>
      </c>
      <c r="G29" s="603">
        <v>789847</v>
      </c>
      <c r="H29" s="601">
        <v>0</v>
      </c>
      <c r="I29" s="603">
        <v>0</v>
      </c>
      <c r="J29" s="601">
        <v>0</v>
      </c>
      <c r="K29" s="603">
        <v>27500</v>
      </c>
      <c r="L29" s="601">
        <v>0</v>
      </c>
      <c r="M29" s="603">
        <v>0</v>
      </c>
      <c r="N29" s="601">
        <v>0</v>
      </c>
      <c r="O29" s="603">
        <v>0</v>
      </c>
      <c r="P29" s="601">
        <v>0</v>
      </c>
      <c r="Q29" s="603">
        <v>628275</v>
      </c>
      <c r="R29" s="601">
        <v>0</v>
      </c>
      <c r="S29" s="603">
        <v>314138</v>
      </c>
      <c r="T29" s="601">
        <v>0</v>
      </c>
      <c r="U29" s="603">
        <v>0</v>
      </c>
      <c r="V29" s="601">
        <v>0</v>
      </c>
      <c r="W29" s="603">
        <v>0</v>
      </c>
      <c r="X29" s="601">
        <v>0</v>
      </c>
      <c r="Y29" s="599">
        <f t="shared" si="1"/>
        <v>341638</v>
      </c>
      <c r="Z29" s="600">
        <f t="shared" si="2"/>
        <v>0</v>
      </c>
      <c r="AA29" s="18"/>
      <c r="AB29" s="18"/>
      <c r="AC29" s="293">
        <f>+'Aging Analysis'!C20</f>
        <v>169305072</v>
      </c>
      <c r="AD29" s="291"/>
      <c r="AE29" s="291"/>
      <c r="AF29" s="291"/>
      <c r="AG29" s="291"/>
      <c r="AH29" s="291"/>
      <c r="AI29" s="291"/>
      <c r="AJ29" s="291"/>
    </row>
    <row r="30" spans="1:36" s="16" customFormat="1" ht="14.25" customHeight="1">
      <c r="A30" s="432"/>
      <c r="B30" s="430" t="s">
        <v>670</v>
      </c>
      <c r="C30" s="602">
        <f t="shared" si="0"/>
        <v>0</v>
      </c>
      <c r="D30" s="600">
        <f t="shared" si="3"/>
        <v>0</v>
      </c>
      <c r="E30" s="603"/>
      <c r="F30" s="600"/>
      <c r="G30" s="603"/>
      <c r="H30" s="600"/>
      <c r="I30" s="603"/>
      <c r="J30" s="600"/>
      <c r="K30" s="603"/>
      <c r="L30" s="600"/>
      <c r="M30" s="603"/>
      <c r="N30" s="600"/>
      <c r="O30" s="603"/>
      <c r="P30" s="600"/>
      <c r="Q30" s="603"/>
      <c r="R30" s="600"/>
      <c r="S30" s="603"/>
      <c r="T30" s="600"/>
      <c r="U30" s="603"/>
      <c r="V30" s="600"/>
      <c r="W30" s="603"/>
      <c r="X30" s="600"/>
      <c r="Y30" s="599">
        <f t="shared" si="1"/>
        <v>0</v>
      </c>
      <c r="Z30" s="600">
        <f t="shared" si="2"/>
        <v>0</v>
      </c>
      <c r="AA30" s="18"/>
      <c r="AB30" s="18"/>
      <c r="AC30" s="291"/>
      <c r="AD30" s="291"/>
      <c r="AE30" s="291"/>
      <c r="AF30" s="291"/>
      <c r="AG30" s="291"/>
      <c r="AH30" s="291"/>
      <c r="AI30" s="291"/>
      <c r="AJ30" s="291"/>
    </row>
    <row r="31" spans="1:36" s="628" customFormat="1" ht="28.5" customHeight="1">
      <c r="A31" s="626">
        <v>13</v>
      </c>
      <c r="B31" s="626" t="s">
        <v>678</v>
      </c>
      <c r="C31" s="626">
        <f t="shared" ref="C31:AB31" si="4">+C7+C9+C11+C13+C15+C17+C19+C21+C23+C25+C27+C29</f>
        <v>9161876946</v>
      </c>
      <c r="D31" s="626">
        <f t="shared" si="4"/>
        <v>3519840906</v>
      </c>
      <c r="E31" s="626">
        <f t="shared" si="4"/>
        <v>8874674380</v>
      </c>
      <c r="F31" s="626">
        <f t="shared" si="4"/>
        <v>3464058179</v>
      </c>
      <c r="G31" s="626">
        <f t="shared" si="4"/>
        <v>69994518</v>
      </c>
      <c r="H31" s="626">
        <f t="shared" si="4"/>
        <v>30942780</v>
      </c>
      <c r="I31" s="626">
        <f t="shared" si="4"/>
        <v>101350120</v>
      </c>
      <c r="J31" s="626">
        <f t="shared" si="4"/>
        <v>10347115</v>
      </c>
      <c r="K31" s="626">
        <f t="shared" si="4"/>
        <v>11224998</v>
      </c>
      <c r="L31" s="626">
        <f t="shared" si="4"/>
        <v>2672938</v>
      </c>
      <c r="M31" s="626">
        <f t="shared" si="4"/>
        <v>69693118</v>
      </c>
      <c r="N31" s="626">
        <f t="shared" si="4"/>
        <v>17976299</v>
      </c>
      <c r="O31" s="626">
        <f t="shared" si="4"/>
        <v>9975700</v>
      </c>
      <c r="P31" s="626">
        <f t="shared" si="4"/>
        <v>1942842</v>
      </c>
      <c r="Q31" s="626">
        <f t="shared" si="4"/>
        <v>80293320</v>
      </c>
      <c r="R31" s="626">
        <f t="shared" si="4"/>
        <v>25674905</v>
      </c>
      <c r="S31" s="626">
        <f t="shared" si="4"/>
        <v>17020649</v>
      </c>
      <c r="T31" s="626">
        <f t="shared" si="4"/>
        <v>1844064</v>
      </c>
      <c r="U31" s="626">
        <f t="shared" si="4"/>
        <v>35866008</v>
      </c>
      <c r="V31" s="626">
        <f t="shared" si="4"/>
        <v>1784408</v>
      </c>
      <c r="W31" s="626">
        <f t="shared" si="4"/>
        <v>18691475</v>
      </c>
      <c r="X31" s="626">
        <f t="shared" si="4"/>
        <v>18596</v>
      </c>
      <c r="Y31" s="626">
        <f t="shared" si="4"/>
        <v>56912822</v>
      </c>
      <c r="Z31" s="626">
        <f t="shared" si="4"/>
        <v>6478440</v>
      </c>
      <c r="AA31" s="626">
        <f>+AA7+AA9+AA11+AA13+AA15+AA17+AA19+AA21+AA23+AA25+AA27+AA29</f>
        <v>0</v>
      </c>
      <c r="AB31" s="626">
        <f t="shared" si="4"/>
        <v>0</v>
      </c>
      <c r="AC31" s="627">
        <f>+'Loans Receivable'!C85</f>
        <v>9161876946</v>
      </c>
    </row>
    <row r="32" spans="1:36" s="16" customFormat="1" ht="13.5" customHeight="1">
      <c r="A32" s="432"/>
      <c r="B32" s="433" t="s">
        <v>670</v>
      </c>
      <c r="C32" s="21">
        <f t="shared" ref="C32:Z32" si="5">+C8+C10+C12+C14+C16+C18+C20+C22+C24+C26+C28+C30</f>
        <v>0</v>
      </c>
      <c r="D32" s="122">
        <f t="shared" si="5"/>
        <v>0</v>
      </c>
      <c r="E32" s="21">
        <f t="shared" si="5"/>
        <v>0</v>
      </c>
      <c r="F32" s="21">
        <f t="shared" si="5"/>
        <v>0</v>
      </c>
      <c r="G32" s="21">
        <f t="shared" si="5"/>
        <v>0</v>
      </c>
      <c r="H32" s="21">
        <f t="shared" si="5"/>
        <v>0</v>
      </c>
      <c r="I32" s="21">
        <f t="shared" si="5"/>
        <v>0</v>
      </c>
      <c r="J32" s="21">
        <f t="shared" si="5"/>
        <v>0</v>
      </c>
      <c r="K32" s="21">
        <f t="shared" si="5"/>
        <v>0</v>
      </c>
      <c r="L32" s="21">
        <f t="shared" si="5"/>
        <v>0</v>
      </c>
      <c r="M32" s="21">
        <f t="shared" si="5"/>
        <v>0</v>
      </c>
      <c r="N32" s="21">
        <f t="shared" si="5"/>
        <v>0</v>
      </c>
      <c r="O32" s="21">
        <f t="shared" si="5"/>
        <v>0</v>
      </c>
      <c r="P32" s="21">
        <f t="shared" si="5"/>
        <v>0</v>
      </c>
      <c r="Q32" s="21">
        <f t="shared" si="5"/>
        <v>0</v>
      </c>
      <c r="R32" s="21">
        <f t="shared" si="5"/>
        <v>0</v>
      </c>
      <c r="S32" s="21">
        <f t="shared" si="5"/>
        <v>0</v>
      </c>
      <c r="T32" s="21">
        <f t="shared" si="5"/>
        <v>0</v>
      </c>
      <c r="U32" s="21">
        <f t="shared" si="5"/>
        <v>0</v>
      </c>
      <c r="V32" s="21">
        <f t="shared" si="5"/>
        <v>0</v>
      </c>
      <c r="W32" s="21">
        <f t="shared" si="5"/>
        <v>0</v>
      </c>
      <c r="X32" s="21">
        <f t="shared" si="5"/>
        <v>0</v>
      </c>
      <c r="Y32" s="21">
        <f t="shared" si="5"/>
        <v>0</v>
      </c>
      <c r="Z32" s="21">
        <f t="shared" si="5"/>
        <v>0</v>
      </c>
      <c r="AA32" s="21"/>
      <c r="AB32" s="21"/>
      <c r="AC32" s="291"/>
      <c r="AD32" s="291"/>
      <c r="AE32" s="291"/>
      <c r="AF32" s="291"/>
      <c r="AG32" s="291"/>
      <c r="AH32" s="291"/>
      <c r="AI32" s="291"/>
      <c r="AJ32" s="291"/>
    </row>
    <row r="33" spans="1:36" s="628" customFormat="1" ht="27.75" customHeight="1">
      <c r="A33" s="626"/>
      <c r="B33" s="626" t="s">
        <v>679</v>
      </c>
      <c r="C33" s="626"/>
      <c r="D33" s="626"/>
      <c r="E33" s="626"/>
      <c r="F33" s="626"/>
      <c r="G33" s="626"/>
      <c r="H33" s="626"/>
      <c r="I33" s="626"/>
      <c r="J33" s="626"/>
      <c r="K33" s="626"/>
      <c r="L33" s="626"/>
      <c r="M33" s="626"/>
      <c r="N33" s="626"/>
      <c r="O33" s="626"/>
      <c r="P33" s="626"/>
      <c r="Q33" s="626"/>
      <c r="R33" s="626"/>
      <c r="S33" s="626"/>
      <c r="T33" s="626"/>
      <c r="U33" s="626"/>
      <c r="V33" s="626"/>
      <c r="W33" s="626"/>
      <c r="X33" s="626"/>
      <c r="Y33" s="626"/>
      <c r="Z33" s="626"/>
      <c r="AA33" s="626"/>
      <c r="AB33" s="626"/>
    </row>
    <row r="34" spans="1:36" s="16" customFormat="1" ht="7.5" customHeight="1">
      <c r="A34" s="15"/>
      <c r="B34" s="15"/>
      <c r="C34" s="15"/>
      <c r="D34" s="598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291"/>
      <c r="AD34" s="291"/>
      <c r="AE34" s="291"/>
      <c r="AF34" s="291"/>
      <c r="AG34" s="291"/>
      <c r="AH34" s="291"/>
      <c r="AI34" s="291"/>
      <c r="AJ34" s="291"/>
    </row>
    <row r="35" spans="1:36" s="16" customFormat="1" ht="23.25" customHeight="1">
      <c r="A35" s="432">
        <v>14</v>
      </c>
      <c r="B35" s="434" t="s">
        <v>471</v>
      </c>
      <c r="C35" s="602">
        <f t="shared" ref="C35:D50" si="6">E35+I35+M35+Q35+U35</f>
        <v>2173688806</v>
      </c>
      <c r="D35" s="170">
        <f t="shared" si="6"/>
        <v>1530557143</v>
      </c>
      <c r="E35" s="22">
        <v>2090011230</v>
      </c>
      <c r="F35" s="604">
        <v>1488615592</v>
      </c>
      <c r="G35" s="22">
        <v>24786549</v>
      </c>
      <c r="H35" s="604">
        <v>23909097</v>
      </c>
      <c r="I35" s="22">
        <v>20372992</v>
      </c>
      <c r="J35" s="604">
        <v>3620368</v>
      </c>
      <c r="K35" s="22">
        <v>1398811</v>
      </c>
      <c r="L35" s="604">
        <v>698110</v>
      </c>
      <c r="M35" s="22">
        <v>19324689</v>
      </c>
      <c r="N35" s="604">
        <v>12592349</v>
      </c>
      <c r="O35" s="22">
        <v>2331357</v>
      </c>
      <c r="P35" s="604">
        <v>596854</v>
      </c>
      <c r="Q35" s="22">
        <v>38341982</v>
      </c>
      <c r="R35" s="604">
        <v>23963022</v>
      </c>
      <c r="S35" s="22">
        <v>1131482</v>
      </c>
      <c r="T35" s="604">
        <v>988123</v>
      </c>
      <c r="U35" s="22">
        <v>5637913</v>
      </c>
      <c r="V35" s="604">
        <v>1765812</v>
      </c>
      <c r="W35" s="22">
        <v>654895</v>
      </c>
      <c r="X35" s="604">
        <v>0</v>
      </c>
      <c r="Y35" s="169">
        <f>+W35+S35+O35+K35</f>
        <v>5516545</v>
      </c>
      <c r="Z35" s="170">
        <f>+X35+T35+P35+L35</f>
        <v>2283087</v>
      </c>
      <c r="AA35" s="18"/>
      <c r="AB35" s="18"/>
      <c r="AC35" s="293">
        <f>+'Aging Analysis'!C25</f>
        <v>2173688806</v>
      </c>
      <c r="AD35" s="291"/>
      <c r="AE35" s="291"/>
      <c r="AF35" s="291"/>
      <c r="AG35" s="291"/>
      <c r="AH35" s="291"/>
      <c r="AI35" s="291"/>
      <c r="AJ35" s="291"/>
    </row>
    <row r="36" spans="1:36" s="16" customFormat="1" ht="14.25" customHeight="1">
      <c r="A36" s="432"/>
      <c r="B36" s="433" t="s">
        <v>670</v>
      </c>
      <c r="C36" s="602">
        <f t="shared" si="6"/>
        <v>0</v>
      </c>
      <c r="D36" s="170">
        <f t="shared" si="6"/>
        <v>0</v>
      </c>
      <c r="E36" s="22">
        <v>0</v>
      </c>
      <c r="F36" s="604">
        <v>0</v>
      </c>
      <c r="G36" s="22"/>
      <c r="H36" s="604"/>
      <c r="I36" s="22">
        <v>0</v>
      </c>
      <c r="J36" s="604">
        <v>0</v>
      </c>
      <c r="K36" s="22">
        <v>0</v>
      </c>
      <c r="L36" s="604">
        <v>0</v>
      </c>
      <c r="M36" s="22">
        <v>0</v>
      </c>
      <c r="N36" s="604">
        <v>0</v>
      </c>
      <c r="O36" s="22">
        <v>0</v>
      </c>
      <c r="P36" s="604">
        <v>0</v>
      </c>
      <c r="Q36" s="22">
        <v>0</v>
      </c>
      <c r="R36" s="604">
        <v>0</v>
      </c>
      <c r="S36" s="22">
        <v>0</v>
      </c>
      <c r="T36" s="604">
        <v>0</v>
      </c>
      <c r="U36" s="22">
        <v>0</v>
      </c>
      <c r="V36" s="604">
        <v>0</v>
      </c>
      <c r="W36" s="22">
        <v>0</v>
      </c>
      <c r="X36" s="604">
        <v>0</v>
      </c>
      <c r="Y36" s="431">
        <f t="shared" ref="Y36:Y50" si="7">+W36+S36+O36+K36</f>
        <v>0</v>
      </c>
      <c r="Z36" s="170">
        <f t="shared" ref="Z36:Z50" si="8">+X36+T36+P36+L36</f>
        <v>0</v>
      </c>
      <c r="AA36" s="18"/>
      <c r="AB36" s="18"/>
      <c r="AD36" s="291"/>
      <c r="AE36" s="291"/>
      <c r="AF36" s="291"/>
      <c r="AG36" s="291"/>
      <c r="AH36" s="291"/>
      <c r="AI36" s="291"/>
      <c r="AJ36" s="291"/>
    </row>
    <row r="37" spans="1:36" s="16" customFormat="1" ht="23.25" customHeight="1">
      <c r="A37" s="432">
        <v>15</v>
      </c>
      <c r="B37" s="434" t="s">
        <v>472</v>
      </c>
      <c r="C37" s="602">
        <f t="shared" si="6"/>
        <v>149094636</v>
      </c>
      <c r="D37" s="170">
        <f t="shared" si="6"/>
        <v>117143702</v>
      </c>
      <c r="E37" s="22">
        <v>137631358</v>
      </c>
      <c r="F37" s="604">
        <v>108705072</v>
      </c>
      <c r="G37" s="22">
        <v>1788154</v>
      </c>
      <c r="H37" s="604">
        <v>1075960</v>
      </c>
      <c r="I37" s="22">
        <v>7437372</v>
      </c>
      <c r="J37" s="604">
        <v>6726747</v>
      </c>
      <c r="K37" s="22">
        <v>2045890</v>
      </c>
      <c r="L37" s="604">
        <v>1974828</v>
      </c>
      <c r="M37" s="22">
        <v>0</v>
      </c>
      <c r="N37" s="604">
        <v>0</v>
      </c>
      <c r="O37" s="22">
        <v>0</v>
      </c>
      <c r="P37" s="604">
        <v>0</v>
      </c>
      <c r="Q37" s="22">
        <v>2545216</v>
      </c>
      <c r="R37" s="604">
        <v>1711883</v>
      </c>
      <c r="S37" s="22">
        <v>1272608</v>
      </c>
      <c r="T37" s="604">
        <v>855941</v>
      </c>
      <c r="U37" s="22">
        <v>1480690</v>
      </c>
      <c r="V37" s="604">
        <v>0</v>
      </c>
      <c r="W37" s="22">
        <v>1480690</v>
      </c>
      <c r="X37" s="604">
        <v>0</v>
      </c>
      <c r="Y37" s="169">
        <f t="shared" si="7"/>
        <v>4799188</v>
      </c>
      <c r="Z37" s="170">
        <f t="shared" si="8"/>
        <v>2830769</v>
      </c>
      <c r="AA37" s="18"/>
      <c r="AB37" s="18"/>
      <c r="AC37" s="293">
        <f>+'Aging Analysis'!C26</f>
        <v>149094636</v>
      </c>
      <c r="AD37" s="291"/>
      <c r="AE37" s="291"/>
      <c r="AF37" s="291"/>
      <c r="AG37" s="291"/>
      <c r="AH37" s="291"/>
      <c r="AI37" s="291"/>
      <c r="AJ37" s="291"/>
    </row>
    <row r="38" spans="1:36" s="16" customFormat="1" ht="14.25" customHeight="1">
      <c r="A38" s="432"/>
      <c r="B38" s="433" t="s">
        <v>670</v>
      </c>
      <c r="C38" s="602">
        <f t="shared" si="6"/>
        <v>0</v>
      </c>
      <c r="D38" s="170">
        <f t="shared" si="6"/>
        <v>0</v>
      </c>
      <c r="E38" s="22">
        <v>0</v>
      </c>
      <c r="F38" s="604">
        <v>0</v>
      </c>
      <c r="G38" s="22"/>
      <c r="H38" s="604"/>
      <c r="I38" s="22">
        <v>0</v>
      </c>
      <c r="J38" s="604">
        <v>0</v>
      </c>
      <c r="K38" s="22">
        <v>0</v>
      </c>
      <c r="L38" s="604">
        <v>0</v>
      </c>
      <c r="M38" s="22">
        <v>0</v>
      </c>
      <c r="N38" s="604">
        <v>0</v>
      </c>
      <c r="O38" s="22">
        <v>0</v>
      </c>
      <c r="P38" s="604">
        <v>0</v>
      </c>
      <c r="Q38" s="22">
        <v>0</v>
      </c>
      <c r="R38" s="604">
        <v>0</v>
      </c>
      <c r="S38" s="22">
        <v>0</v>
      </c>
      <c r="T38" s="604">
        <v>0</v>
      </c>
      <c r="U38" s="22">
        <v>0</v>
      </c>
      <c r="V38" s="604">
        <v>0</v>
      </c>
      <c r="W38" s="22">
        <v>0</v>
      </c>
      <c r="X38" s="604">
        <v>0</v>
      </c>
      <c r="Y38" s="431">
        <f t="shared" si="7"/>
        <v>0</v>
      </c>
      <c r="Z38" s="170">
        <f t="shared" si="8"/>
        <v>0</v>
      </c>
      <c r="AA38" s="18"/>
      <c r="AB38" s="18"/>
      <c r="AD38" s="291"/>
      <c r="AE38" s="291"/>
      <c r="AF38" s="291"/>
      <c r="AG38" s="291"/>
      <c r="AH38" s="291"/>
      <c r="AI38" s="291"/>
      <c r="AJ38" s="291"/>
    </row>
    <row r="39" spans="1:36" s="16" customFormat="1" ht="23.25" customHeight="1">
      <c r="A39" s="432">
        <v>16</v>
      </c>
      <c r="B39" s="434" t="s">
        <v>473</v>
      </c>
      <c r="C39" s="602">
        <f t="shared" si="6"/>
        <v>674467989</v>
      </c>
      <c r="D39" s="170">
        <f t="shared" si="6"/>
        <v>22922557</v>
      </c>
      <c r="E39" s="22">
        <v>662593985</v>
      </c>
      <c r="F39" s="604">
        <v>22922557</v>
      </c>
      <c r="G39" s="22">
        <v>7608843</v>
      </c>
      <c r="H39" s="604">
        <v>441090</v>
      </c>
      <c r="I39" s="22">
        <v>1811114</v>
      </c>
      <c r="J39" s="604">
        <v>0</v>
      </c>
      <c r="K39" s="22">
        <v>208611</v>
      </c>
      <c r="L39" s="604">
        <v>0</v>
      </c>
      <c r="M39" s="22">
        <v>3672445</v>
      </c>
      <c r="N39" s="604">
        <v>0</v>
      </c>
      <c r="O39" s="22">
        <v>918111</v>
      </c>
      <c r="P39" s="604">
        <v>0</v>
      </c>
      <c r="Q39" s="22">
        <v>566519</v>
      </c>
      <c r="R39" s="604">
        <v>0</v>
      </c>
      <c r="S39" s="22">
        <v>283260</v>
      </c>
      <c r="T39" s="604">
        <v>0</v>
      </c>
      <c r="U39" s="22">
        <v>5823926</v>
      </c>
      <c r="V39" s="604">
        <v>0</v>
      </c>
      <c r="W39" s="22">
        <v>85110</v>
      </c>
      <c r="X39" s="604">
        <v>0</v>
      </c>
      <c r="Y39" s="169">
        <f t="shared" si="7"/>
        <v>1495092</v>
      </c>
      <c r="Z39" s="170">
        <f t="shared" si="8"/>
        <v>0</v>
      </c>
      <c r="AA39" s="18"/>
      <c r="AB39" s="18"/>
      <c r="AC39" s="293">
        <f>+'Aging Analysis'!C27</f>
        <v>674467989</v>
      </c>
      <c r="AD39" s="291"/>
      <c r="AE39" s="291"/>
      <c r="AF39" s="291"/>
      <c r="AG39" s="291"/>
      <c r="AH39" s="291"/>
      <c r="AI39" s="291"/>
      <c r="AJ39" s="291"/>
    </row>
    <row r="40" spans="1:36" s="16" customFormat="1" ht="14.25" customHeight="1">
      <c r="A40" s="432"/>
      <c r="B40" s="433" t="s">
        <v>670</v>
      </c>
      <c r="C40" s="602">
        <f t="shared" si="6"/>
        <v>0</v>
      </c>
      <c r="D40" s="170">
        <f t="shared" si="6"/>
        <v>0</v>
      </c>
      <c r="E40" s="22">
        <v>0</v>
      </c>
      <c r="F40" s="604">
        <v>0</v>
      </c>
      <c r="G40" s="22"/>
      <c r="H40" s="604"/>
      <c r="I40" s="22">
        <v>0</v>
      </c>
      <c r="J40" s="604">
        <v>0</v>
      </c>
      <c r="K40" s="22">
        <v>0</v>
      </c>
      <c r="L40" s="604">
        <v>0</v>
      </c>
      <c r="M40" s="22">
        <v>0</v>
      </c>
      <c r="N40" s="604">
        <v>0</v>
      </c>
      <c r="O40" s="22">
        <v>0</v>
      </c>
      <c r="P40" s="604">
        <v>0</v>
      </c>
      <c r="Q40" s="22">
        <v>0</v>
      </c>
      <c r="R40" s="604">
        <v>0</v>
      </c>
      <c r="S40" s="22">
        <v>0</v>
      </c>
      <c r="T40" s="604">
        <v>0</v>
      </c>
      <c r="U40" s="22">
        <v>0</v>
      </c>
      <c r="V40" s="604">
        <v>0</v>
      </c>
      <c r="W40" s="22">
        <v>0</v>
      </c>
      <c r="X40" s="604">
        <v>0</v>
      </c>
      <c r="Y40" s="431">
        <f t="shared" si="7"/>
        <v>0</v>
      </c>
      <c r="Z40" s="170">
        <f t="shared" si="8"/>
        <v>0</v>
      </c>
      <c r="AA40" s="18"/>
      <c r="AB40" s="18"/>
      <c r="AD40" s="291"/>
      <c r="AE40" s="291"/>
      <c r="AF40" s="291"/>
      <c r="AG40" s="291"/>
      <c r="AH40" s="291"/>
      <c r="AI40" s="291"/>
      <c r="AJ40" s="291"/>
    </row>
    <row r="41" spans="1:36" s="16" customFormat="1" ht="23.25" customHeight="1">
      <c r="A41" s="432">
        <v>17</v>
      </c>
      <c r="B41" s="434" t="s">
        <v>474</v>
      </c>
      <c r="C41" s="602">
        <f t="shared" si="6"/>
        <v>751429009</v>
      </c>
      <c r="D41" s="170">
        <f t="shared" si="6"/>
        <v>558959694</v>
      </c>
      <c r="E41" s="22">
        <v>736672543</v>
      </c>
      <c r="F41" s="604">
        <v>558959694</v>
      </c>
      <c r="G41" s="22">
        <v>4663987</v>
      </c>
      <c r="H41" s="604">
        <v>720559</v>
      </c>
      <c r="I41" s="22">
        <v>217901</v>
      </c>
      <c r="J41" s="604">
        <v>0</v>
      </c>
      <c r="K41" s="22">
        <v>23675</v>
      </c>
      <c r="L41" s="604">
        <v>0</v>
      </c>
      <c r="M41" s="22">
        <v>11075909</v>
      </c>
      <c r="N41" s="604">
        <v>0</v>
      </c>
      <c r="O41" s="22">
        <v>1552944</v>
      </c>
      <c r="P41" s="604">
        <v>0</v>
      </c>
      <c r="Q41" s="22">
        <v>3462656</v>
      </c>
      <c r="R41" s="604">
        <v>0</v>
      </c>
      <c r="S41" s="22">
        <v>131328</v>
      </c>
      <c r="T41" s="604">
        <v>0</v>
      </c>
      <c r="U41" s="22">
        <v>0</v>
      </c>
      <c r="V41" s="604">
        <v>0</v>
      </c>
      <c r="W41" s="22">
        <v>0</v>
      </c>
      <c r="X41" s="604">
        <v>0</v>
      </c>
      <c r="Y41" s="169">
        <f t="shared" si="7"/>
        <v>1707947</v>
      </c>
      <c r="Z41" s="170">
        <f t="shared" si="8"/>
        <v>0</v>
      </c>
      <c r="AA41" s="18"/>
      <c r="AB41" s="18"/>
      <c r="AC41" s="293">
        <f>+'Aging Analysis'!C28</f>
        <v>751429009</v>
      </c>
      <c r="AD41" s="291"/>
      <c r="AE41" s="291"/>
      <c r="AF41" s="291"/>
      <c r="AG41" s="291"/>
      <c r="AH41" s="291"/>
      <c r="AI41" s="291"/>
      <c r="AJ41" s="291"/>
    </row>
    <row r="42" spans="1:36" s="16" customFormat="1" ht="14.25" customHeight="1">
      <c r="A42" s="432"/>
      <c r="B42" s="433" t="s">
        <v>670</v>
      </c>
      <c r="C42" s="602">
        <f t="shared" si="6"/>
        <v>0</v>
      </c>
      <c r="D42" s="170">
        <f t="shared" si="6"/>
        <v>0</v>
      </c>
      <c r="E42" s="22">
        <v>0</v>
      </c>
      <c r="F42" s="604">
        <v>0</v>
      </c>
      <c r="G42" s="22"/>
      <c r="H42" s="604"/>
      <c r="I42" s="22">
        <v>0</v>
      </c>
      <c r="J42" s="604">
        <v>0</v>
      </c>
      <c r="K42" s="22">
        <v>0</v>
      </c>
      <c r="L42" s="604">
        <v>0</v>
      </c>
      <c r="M42" s="22">
        <v>0</v>
      </c>
      <c r="N42" s="604">
        <v>0</v>
      </c>
      <c r="O42" s="22">
        <v>0</v>
      </c>
      <c r="P42" s="604">
        <v>0</v>
      </c>
      <c r="Q42" s="22">
        <v>0</v>
      </c>
      <c r="R42" s="604">
        <v>0</v>
      </c>
      <c r="S42" s="22">
        <v>0</v>
      </c>
      <c r="T42" s="604">
        <v>0</v>
      </c>
      <c r="U42" s="22">
        <v>0</v>
      </c>
      <c r="V42" s="604">
        <v>0</v>
      </c>
      <c r="W42" s="22">
        <v>0</v>
      </c>
      <c r="X42" s="604">
        <v>0</v>
      </c>
      <c r="Y42" s="431">
        <f t="shared" si="7"/>
        <v>0</v>
      </c>
      <c r="Z42" s="170">
        <f t="shared" si="8"/>
        <v>0</v>
      </c>
      <c r="AA42" s="18"/>
      <c r="AB42" s="18"/>
      <c r="AD42" s="291"/>
      <c r="AE42" s="291"/>
      <c r="AF42" s="291"/>
      <c r="AG42" s="291"/>
      <c r="AH42" s="291"/>
      <c r="AI42" s="291"/>
      <c r="AJ42" s="291"/>
    </row>
    <row r="43" spans="1:36" s="16" customFormat="1" ht="23.25" customHeight="1">
      <c r="A43" s="432">
        <v>18</v>
      </c>
      <c r="B43" s="434" t="s">
        <v>475</v>
      </c>
      <c r="C43" s="602">
        <f t="shared" si="6"/>
        <v>491545189</v>
      </c>
      <c r="D43" s="170">
        <f t="shared" si="6"/>
        <v>161475004</v>
      </c>
      <c r="E43" s="22">
        <v>448549588</v>
      </c>
      <c r="F43" s="604">
        <v>161456408</v>
      </c>
      <c r="G43" s="22">
        <v>5113718</v>
      </c>
      <c r="H43" s="604">
        <v>2641780</v>
      </c>
      <c r="I43" s="22">
        <v>25989082</v>
      </c>
      <c r="J43" s="604">
        <v>0</v>
      </c>
      <c r="K43" s="22">
        <v>3635255</v>
      </c>
      <c r="L43" s="604">
        <v>0</v>
      </c>
      <c r="M43" s="22">
        <v>1673193</v>
      </c>
      <c r="N43" s="604">
        <v>0</v>
      </c>
      <c r="O43" s="22">
        <v>218298</v>
      </c>
      <c r="P43" s="604">
        <v>0</v>
      </c>
      <c r="Q43" s="22">
        <v>8718726</v>
      </c>
      <c r="R43" s="604">
        <v>0</v>
      </c>
      <c r="S43" s="22">
        <v>2824370</v>
      </c>
      <c r="T43" s="604">
        <v>0</v>
      </c>
      <c r="U43" s="22">
        <v>6614600</v>
      </c>
      <c r="V43" s="604">
        <v>18596</v>
      </c>
      <c r="W43" s="22">
        <v>1437100</v>
      </c>
      <c r="X43" s="604">
        <v>18596</v>
      </c>
      <c r="Y43" s="169">
        <f t="shared" si="7"/>
        <v>8115023</v>
      </c>
      <c r="Z43" s="170">
        <f t="shared" si="8"/>
        <v>18596</v>
      </c>
      <c r="AA43" s="18"/>
      <c r="AB43" s="18"/>
      <c r="AC43" s="293">
        <f>+'Aging Analysis'!C29</f>
        <v>491545189</v>
      </c>
      <c r="AD43" s="291"/>
      <c r="AE43" s="291"/>
      <c r="AF43" s="291"/>
      <c r="AG43" s="291"/>
      <c r="AH43" s="291"/>
      <c r="AI43" s="291"/>
      <c r="AJ43" s="291"/>
    </row>
    <row r="44" spans="1:36" s="16" customFormat="1" ht="14.25" customHeight="1">
      <c r="A44" s="432"/>
      <c r="B44" s="433" t="s">
        <v>670</v>
      </c>
      <c r="C44" s="602">
        <f t="shared" si="6"/>
        <v>0</v>
      </c>
      <c r="D44" s="170">
        <f t="shared" si="6"/>
        <v>0</v>
      </c>
      <c r="E44" s="22">
        <v>0</v>
      </c>
      <c r="F44" s="604">
        <v>0</v>
      </c>
      <c r="G44" s="22"/>
      <c r="H44" s="604"/>
      <c r="I44" s="22">
        <v>0</v>
      </c>
      <c r="J44" s="604">
        <v>0</v>
      </c>
      <c r="K44" s="22">
        <v>0</v>
      </c>
      <c r="L44" s="604">
        <v>0</v>
      </c>
      <c r="M44" s="22">
        <v>0</v>
      </c>
      <c r="N44" s="604">
        <v>0</v>
      </c>
      <c r="O44" s="22">
        <v>0</v>
      </c>
      <c r="P44" s="604">
        <v>0</v>
      </c>
      <c r="Q44" s="22">
        <v>0</v>
      </c>
      <c r="R44" s="604">
        <v>0</v>
      </c>
      <c r="S44" s="22">
        <v>0</v>
      </c>
      <c r="T44" s="604">
        <v>0</v>
      </c>
      <c r="U44" s="22">
        <v>0</v>
      </c>
      <c r="V44" s="604">
        <v>0</v>
      </c>
      <c r="W44" s="22">
        <v>0</v>
      </c>
      <c r="X44" s="604">
        <v>0</v>
      </c>
      <c r="Y44" s="431">
        <f t="shared" si="7"/>
        <v>0</v>
      </c>
      <c r="Z44" s="170">
        <f t="shared" si="8"/>
        <v>0</v>
      </c>
      <c r="AA44" s="18"/>
      <c r="AB44" s="18"/>
      <c r="AD44" s="291"/>
      <c r="AE44" s="291"/>
      <c r="AF44" s="291"/>
      <c r="AG44" s="291"/>
      <c r="AH44" s="291"/>
      <c r="AI44" s="291"/>
      <c r="AJ44" s="291"/>
    </row>
    <row r="45" spans="1:36" s="16" customFormat="1" ht="23.25" customHeight="1">
      <c r="A45" s="432">
        <v>19</v>
      </c>
      <c r="B45" s="434" t="s">
        <v>476</v>
      </c>
      <c r="C45" s="602">
        <f t="shared" si="6"/>
        <v>23081195</v>
      </c>
      <c r="D45" s="170">
        <f t="shared" si="6"/>
        <v>933104</v>
      </c>
      <c r="E45" s="22">
        <v>17508415</v>
      </c>
      <c r="F45" s="604">
        <v>933104</v>
      </c>
      <c r="G45" s="22">
        <v>355490</v>
      </c>
      <c r="H45" s="604">
        <v>49337</v>
      </c>
      <c r="I45" s="22">
        <v>4860873</v>
      </c>
      <c r="J45" s="604">
        <v>0</v>
      </c>
      <c r="K45" s="22">
        <v>486087</v>
      </c>
      <c r="L45" s="604">
        <v>0</v>
      </c>
      <c r="M45" s="22">
        <v>711907</v>
      </c>
      <c r="N45" s="604">
        <v>0</v>
      </c>
      <c r="O45" s="22">
        <v>187977</v>
      </c>
      <c r="P45" s="604">
        <v>0</v>
      </c>
      <c r="Q45" s="22">
        <v>0</v>
      </c>
      <c r="R45" s="604">
        <v>0</v>
      </c>
      <c r="S45" s="22">
        <v>0</v>
      </c>
      <c r="T45" s="604">
        <v>0</v>
      </c>
      <c r="U45" s="22">
        <v>0</v>
      </c>
      <c r="V45" s="604">
        <v>0</v>
      </c>
      <c r="W45" s="22">
        <v>0</v>
      </c>
      <c r="X45" s="604">
        <v>0</v>
      </c>
      <c r="Y45" s="169">
        <f t="shared" si="7"/>
        <v>674064</v>
      </c>
      <c r="Z45" s="170">
        <f t="shared" si="8"/>
        <v>0</v>
      </c>
      <c r="AA45" s="18"/>
      <c r="AB45" s="18"/>
      <c r="AC45" s="293">
        <f>+'Aging Analysis'!C30</f>
        <v>23081195</v>
      </c>
      <c r="AD45" s="291"/>
      <c r="AE45" s="291"/>
      <c r="AF45" s="291"/>
      <c r="AG45" s="291"/>
      <c r="AH45" s="291"/>
      <c r="AI45" s="291"/>
      <c r="AJ45" s="291"/>
    </row>
    <row r="46" spans="1:36" s="16" customFormat="1" ht="14.25" customHeight="1">
      <c r="A46" s="432"/>
      <c r="B46" s="433" t="s">
        <v>670</v>
      </c>
      <c r="C46" s="602">
        <f t="shared" si="6"/>
        <v>0</v>
      </c>
      <c r="D46" s="170">
        <f t="shared" si="6"/>
        <v>0</v>
      </c>
      <c r="E46" s="22">
        <v>0</v>
      </c>
      <c r="F46" s="604">
        <v>0</v>
      </c>
      <c r="G46" s="22"/>
      <c r="H46" s="604"/>
      <c r="I46" s="22">
        <v>0</v>
      </c>
      <c r="J46" s="604">
        <v>0</v>
      </c>
      <c r="K46" s="22">
        <v>0</v>
      </c>
      <c r="L46" s="604">
        <v>0</v>
      </c>
      <c r="M46" s="22">
        <v>0</v>
      </c>
      <c r="N46" s="604">
        <v>0</v>
      </c>
      <c r="O46" s="22">
        <v>0</v>
      </c>
      <c r="P46" s="604">
        <v>0</v>
      </c>
      <c r="Q46" s="22">
        <v>0</v>
      </c>
      <c r="R46" s="604">
        <v>0</v>
      </c>
      <c r="S46" s="22">
        <v>0</v>
      </c>
      <c r="T46" s="604">
        <v>0</v>
      </c>
      <c r="U46" s="22">
        <v>0</v>
      </c>
      <c r="V46" s="604">
        <v>0</v>
      </c>
      <c r="W46" s="22">
        <v>0</v>
      </c>
      <c r="X46" s="604">
        <v>0</v>
      </c>
      <c r="Y46" s="431">
        <f t="shared" si="7"/>
        <v>0</v>
      </c>
      <c r="Z46" s="170">
        <f t="shared" si="8"/>
        <v>0</v>
      </c>
      <c r="AA46" s="18"/>
      <c r="AB46" s="18"/>
      <c r="AD46" s="291"/>
      <c r="AE46" s="291"/>
      <c r="AF46" s="291"/>
      <c r="AG46" s="291"/>
      <c r="AH46" s="291"/>
      <c r="AI46" s="291"/>
      <c r="AJ46" s="291"/>
    </row>
    <row r="47" spans="1:36" s="16" customFormat="1" ht="23.25" customHeight="1">
      <c r="A47" s="432">
        <v>20</v>
      </c>
      <c r="B47" s="434" t="s">
        <v>477</v>
      </c>
      <c r="C47" s="602">
        <f t="shared" si="6"/>
        <v>43545997</v>
      </c>
      <c r="D47" s="170">
        <f t="shared" si="6"/>
        <v>2357347</v>
      </c>
      <c r="E47" s="22">
        <v>37706576</v>
      </c>
      <c r="F47" s="604">
        <v>2357347</v>
      </c>
      <c r="G47" s="22">
        <v>418912</v>
      </c>
      <c r="H47" s="604">
        <v>0</v>
      </c>
      <c r="I47" s="22">
        <v>4400000</v>
      </c>
      <c r="J47" s="604">
        <v>0</v>
      </c>
      <c r="K47" s="22">
        <v>440000</v>
      </c>
      <c r="L47" s="604">
        <v>0</v>
      </c>
      <c r="M47" s="22">
        <v>0</v>
      </c>
      <c r="N47" s="604">
        <v>0</v>
      </c>
      <c r="O47" s="22">
        <v>0</v>
      </c>
      <c r="P47" s="604">
        <v>0</v>
      </c>
      <c r="Q47" s="22">
        <v>10362</v>
      </c>
      <c r="R47" s="604">
        <v>0</v>
      </c>
      <c r="S47" s="22">
        <v>0</v>
      </c>
      <c r="T47" s="604">
        <v>0</v>
      </c>
      <c r="U47" s="22">
        <v>1429059</v>
      </c>
      <c r="V47" s="604">
        <v>0</v>
      </c>
      <c r="W47" s="22">
        <v>192591</v>
      </c>
      <c r="X47" s="604">
        <v>0</v>
      </c>
      <c r="Y47" s="169">
        <f t="shared" si="7"/>
        <v>632591</v>
      </c>
      <c r="Z47" s="170">
        <f t="shared" si="8"/>
        <v>0</v>
      </c>
      <c r="AA47" s="18"/>
      <c r="AB47" s="18"/>
      <c r="AC47" s="293">
        <f>+'Aging Analysis'!C31</f>
        <v>43545997</v>
      </c>
      <c r="AD47" s="291"/>
      <c r="AE47" s="291"/>
      <c r="AF47" s="291"/>
      <c r="AG47" s="291"/>
      <c r="AH47" s="291"/>
      <c r="AI47" s="291"/>
      <c r="AJ47" s="291"/>
    </row>
    <row r="48" spans="1:36" s="16" customFormat="1" ht="14.25" customHeight="1">
      <c r="A48" s="432"/>
      <c r="B48" s="433" t="s">
        <v>670</v>
      </c>
      <c r="C48" s="602">
        <f t="shared" si="6"/>
        <v>0</v>
      </c>
      <c r="D48" s="170">
        <f t="shared" si="6"/>
        <v>0</v>
      </c>
      <c r="E48" s="22">
        <v>0</v>
      </c>
      <c r="F48" s="604">
        <v>0</v>
      </c>
      <c r="G48" s="22"/>
      <c r="H48" s="604"/>
      <c r="I48" s="22">
        <v>0</v>
      </c>
      <c r="J48" s="604">
        <v>0</v>
      </c>
      <c r="K48" s="22">
        <v>0</v>
      </c>
      <c r="L48" s="604">
        <v>0</v>
      </c>
      <c r="M48" s="22">
        <v>0</v>
      </c>
      <c r="N48" s="604">
        <v>0</v>
      </c>
      <c r="O48" s="22">
        <v>0</v>
      </c>
      <c r="P48" s="604">
        <v>0</v>
      </c>
      <c r="Q48" s="22">
        <v>0</v>
      </c>
      <c r="R48" s="604">
        <v>0</v>
      </c>
      <c r="S48" s="22">
        <v>0</v>
      </c>
      <c r="T48" s="604">
        <v>0</v>
      </c>
      <c r="U48" s="22">
        <v>0</v>
      </c>
      <c r="V48" s="604">
        <v>0</v>
      </c>
      <c r="W48" s="22">
        <v>0</v>
      </c>
      <c r="X48" s="604">
        <v>0</v>
      </c>
      <c r="Y48" s="431">
        <f t="shared" si="7"/>
        <v>0</v>
      </c>
      <c r="Z48" s="170">
        <f t="shared" si="8"/>
        <v>0</v>
      </c>
      <c r="AA48" s="18"/>
      <c r="AB48" s="18"/>
      <c r="AD48" s="291"/>
      <c r="AE48" s="291"/>
      <c r="AF48" s="291"/>
      <c r="AG48" s="291"/>
      <c r="AH48" s="291"/>
      <c r="AI48" s="291"/>
      <c r="AJ48" s="291"/>
    </row>
    <row r="49" spans="1:36" s="16" customFormat="1" ht="23.25" customHeight="1">
      <c r="A49" s="432">
        <v>21</v>
      </c>
      <c r="B49" s="434" t="s">
        <v>478</v>
      </c>
      <c r="C49" s="602">
        <f t="shared" si="6"/>
        <v>2458542334</v>
      </c>
      <c r="D49" s="170">
        <f t="shared" si="6"/>
        <v>1125492355</v>
      </c>
      <c r="E49" s="22">
        <v>2407539245</v>
      </c>
      <c r="F49" s="604">
        <v>1120108405</v>
      </c>
      <c r="G49" s="22">
        <v>12561309</v>
      </c>
      <c r="H49" s="604">
        <v>2104957</v>
      </c>
      <c r="I49" s="22">
        <v>16035312</v>
      </c>
      <c r="J49" s="604">
        <v>0</v>
      </c>
      <c r="K49" s="22">
        <v>604279</v>
      </c>
      <c r="L49" s="604">
        <v>0</v>
      </c>
      <c r="M49" s="22">
        <v>20498179</v>
      </c>
      <c r="N49" s="604">
        <v>5383950</v>
      </c>
      <c r="O49" s="22">
        <v>1788364</v>
      </c>
      <c r="P49" s="604">
        <v>1345988</v>
      </c>
      <c r="Q49" s="22">
        <v>10858145</v>
      </c>
      <c r="R49" s="604">
        <v>0</v>
      </c>
      <c r="S49" s="22">
        <v>3409075</v>
      </c>
      <c r="T49" s="604">
        <v>0</v>
      </c>
      <c r="U49" s="22">
        <v>3611453</v>
      </c>
      <c r="V49" s="604">
        <v>0</v>
      </c>
      <c r="W49" s="22">
        <v>3611450</v>
      </c>
      <c r="X49" s="604">
        <v>0</v>
      </c>
      <c r="Y49" s="169">
        <f t="shared" si="7"/>
        <v>9413168</v>
      </c>
      <c r="Z49" s="170">
        <f t="shared" si="8"/>
        <v>1345988</v>
      </c>
      <c r="AA49" s="18"/>
      <c r="AB49" s="18"/>
      <c r="AC49" s="293">
        <f>+'Aging Analysis'!C32</f>
        <v>2458542334</v>
      </c>
      <c r="AD49" s="291"/>
      <c r="AE49" s="291"/>
      <c r="AF49" s="291"/>
      <c r="AG49" s="291"/>
      <c r="AH49" s="291"/>
      <c r="AI49" s="291"/>
      <c r="AJ49" s="291"/>
    </row>
    <row r="50" spans="1:36" s="16" customFormat="1" ht="14.25" customHeight="1">
      <c r="A50" s="432"/>
      <c r="B50" s="433" t="s">
        <v>670</v>
      </c>
      <c r="C50" s="602">
        <f t="shared" si="6"/>
        <v>0</v>
      </c>
      <c r="D50" s="170">
        <f t="shared" si="6"/>
        <v>0</v>
      </c>
      <c r="E50" s="22">
        <v>0</v>
      </c>
      <c r="F50" s="604">
        <v>0</v>
      </c>
      <c r="G50" s="22"/>
      <c r="H50" s="604"/>
      <c r="I50" s="22"/>
      <c r="J50" s="604"/>
      <c r="K50" s="22"/>
      <c r="L50" s="604"/>
      <c r="M50" s="22"/>
      <c r="N50" s="604"/>
      <c r="O50" s="22"/>
      <c r="P50" s="604"/>
      <c r="Q50" s="22"/>
      <c r="R50" s="604"/>
      <c r="S50" s="22"/>
      <c r="T50" s="604"/>
      <c r="U50" s="22"/>
      <c r="V50" s="604"/>
      <c r="W50" s="22"/>
      <c r="X50" s="604"/>
      <c r="Y50" s="431">
        <f t="shared" si="7"/>
        <v>0</v>
      </c>
      <c r="Z50" s="170">
        <f t="shared" si="8"/>
        <v>0</v>
      </c>
      <c r="AA50" s="18"/>
      <c r="AB50" s="18"/>
      <c r="AC50" s="291"/>
      <c r="AD50" s="291"/>
      <c r="AE50" s="291"/>
      <c r="AF50" s="291"/>
      <c r="AG50" s="291"/>
      <c r="AH50" s="291"/>
      <c r="AI50" s="291"/>
      <c r="AJ50" s="291"/>
    </row>
    <row r="51" spans="1:36" s="16" customFormat="1" ht="23.25" customHeight="1">
      <c r="A51" s="432">
        <v>22</v>
      </c>
      <c r="B51" s="434" t="s">
        <v>401</v>
      </c>
      <c r="C51" s="602">
        <f t="shared" ref="C51:C54" si="9">E51+I51+M51+Q51+U51</f>
        <v>2396481791</v>
      </c>
      <c r="D51" s="170">
        <f t="shared" ref="D51:D52" si="10">F51+J51+N51+R51+V51</f>
        <v>0</v>
      </c>
      <c r="E51" s="22">
        <v>2336461440</v>
      </c>
      <c r="F51" s="604">
        <v>0</v>
      </c>
      <c r="G51" s="22">
        <v>12697556</v>
      </c>
      <c r="H51" s="604">
        <v>0</v>
      </c>
      <c r="I51" s="22">
        <v>20225474</v>
      </c>
      <c r="J51" s="604">
        <v>0</v>
      </c>
      <c r="K51" s="22">
        <v>2382390</v>
      </c>
      <c r="L51" s="604">
        <v>0</v>
      </c>
      <c r="M51" s="22">
        <v>12736796</v>
      </c>
      <c r="N51" s="604">
        <v>0</v>
      </c>
      <c r="O51" s="22">
        <v>2978649</v>
      </c>
      <c r="P51" s="604">
        <v>0</v>
      </c>
      <c r="Q51" s="22">
        <v>15789714</v>
      </c>
      <c r="R51" s="604">
        <v>0</v>
      </c>
      <c r="S51" s="22">
        <v>7968526</v>
      </c>
      <c r="T51" s="604">
        <v>0</v>
      </c>
      <c r="U51" s="22">
        <v>11268367</v>
      </c>
      <c r="V51" s="604">
        <v>0</v>
      </c>
      <c r="W51" s="22">
        <v>11229639</v>
      </c>
      <c r="X51" s="604">
        <v>0</v>
      </c>
      <c r="Y51" s="431">
        <f t="shared" ref="Y51:Y52" si="11">+W51+S51+O51+K51</f>
        <v>24559204</v>
      </c>
      <c r="Z51" s="170">
        <f t="shared" ref="Z51:Z52" si="12">+X51+T51+P51+L51</f>
        <v>0</v>
      </c>
      <c r="AA51" s="18"/>
      <c r="AB51" s="18"/>
      <c r="AC51" s="293">
        <f>+'Aging Analysis'!C33</f>
        <v>2396481791</v>
      </c>
      <c r="AD51" s="291"/>
      <c r="AE51" s="291"/>
      <c r="AF51" s="291"/>
      <c r="AG51" s="291"/>
      <c r="AH51" s="291"/>
      <c r="AI51" s="291"/>
      <c r="AJ51" s="291"/>
    </row>
    <row r="52" spans="1:36" s="16" customFormat="1" ht="14.25" customHeight="1">
      <c r="A52" s="432"/>
      <c r="B52" s="433" t="s">
        <v>670</v>
      </c>
      <c r="C52" s="602">
        <f t="shared" si="9"/>
        <v>0</v>
      </c>
      <c r="D52" s="170">
        <f t="shared" si="10"/>
        <v>0</v>
      </c>
      <c r="E52" s="22"/>
      <c r="F52" s="170"/>
      <c r="G52" s="22"/>
      <c r="H52" s="170"/>
      <c r="I52" s="22"/>
      <c r="J52" s="170"/>
      <c r="K52" s="22"/>
      <c r="L52" s="170"/>
      <c r="M52" s="22"/>
      <c r="N52" s="170"/>
      <c r="O52" s="22"/>
      <c r="P52" s="170"/>
      <c r="Q52" s="22"/>
      <c r="R52" s="170"/>
      <c r="S52" s="22"/>
      <c r="T52" s="170"/>
      <c r="U52" s="22"/>
      <c r="V52" s="170"/>
      <c r="W52" s="22"/>
      <c r="X52" s="170"/>
      <c r="Y52" s="431">
        <f t="shared" si="11"/>
        <v>0</v>
      </c>
      <c r="Z52" s="170">
        <f t="shared" si="12"/>
        <v>0</v>
      </c>
      <c r="AA52" s="18"/>
      <c r="AB52" s="18"/>
      <c r="AC52" s="291"/>
      <c r="AD52" s="291"/>
      <c r="AE52" s="291"/>
      <c r="AF52" s="291"/>
      <c r="AG52" s="291"/>
      <c r="AH52" s="291"/>
      <c r="AI52" s="291"/>
      <c r="AJ52" s="291"/>
    </row>
    <row r="53" spans="1:36" s="628" customFormat="1" ht="28.5" customHeight="1">
      <c r="A53" s="626">
        <v>23</v>
      </c>
      <c r="B53" s="626" t="s">
        <v>678</v>
      </c>
      <c r="C53" s="626">
        <f>+C35+C37+C39+C41+C43+C45+C47+C49+C51</f>
        <v>9161876946</v>
      </c>
      <c r="D53" s="626">
        <f t="shared" ref="D53:AB53" si="13">+D35+D37+D39+D41+D43+D45+D47+D49+D51</f>
        <v>3519840906</v>
      </c>
      <c r="E53" s="626">
        <f t="shared" si="13"/>
        <v>8874674380</v>
      </c>
      <c r="F53" s="626">
        <f t="shared" si="13"/>
        <v>3464058179</v>
      </c>
      <c r="G53" s="626">
        <f t="shared" si="13"/>
        <v>69994518</v>
      </c>
      <c r="H53" s="626">
        <f t="shared" si="13"/>
        <v>30942780</v>
      </c>
      <c r="I53" s="626">
        <f t="shared" si="13"/>
        <v>101350120</v>
      </c>
      <c r="J53" s="626">
        <f t="shared" si="13"/>
        <v>10347115</v>
      </c>
      <c r="K53" s="626">
        <f t="shared" si="13"/>
        <v>11224998</v>
      </c>
      <c r="L53" s="626">
        <f t="shared" si="13"/>
        <v>2672938</v>
      </c>
      <c r="M53" s="626">
        <f t="shared" si="13"/>
        <v>69693118</v>
      </c>
      <c r="N53" s="626">
        <f t="shared" si="13"/>
        <v>17976299</v>
      </c>
      <c r="O53" s="626">
        <f t="shared" si="13"/>
        <v>9975700</v>
      </c>
      <c r="P53" s="626">
        <f t="shared" si="13"/>
        <v>1942842</v>
      </c>
      <c r="Q53" s="626">
        <f t="shared" si="13"/>
        <v>80293320</v>
      </c>
      <c r="R53" s="626">
        <f t="shared" si="13"/>
        <v>25674905</v>
      </c>
      <c r="S53" s="626">
        <f t="shared" si="13"/>
        <v>17020649</v>
      </c>
      <c r="T53" s="626">
        <f t="shared" si="13"/>
        <v>1844064</v>
      </c>
      <c r="U53" s="626">
        <f t="shared" si="13"/>
        <v>35866008</v>
      </c>
      <c r="V53" s="626">
        <f t="shared" si="13"/>
        <v>1784408</v>
      </c>
      <c r="W53" s="626">
        <f t="shared" si="13"/>
        <v>18691475</v>
      </c>
      <c r="X53" s="626">
        <f t="shared" si="13"/>
        <v>18596</v>
      </c>
      <c r="Y53" s="626">
        <f t="shared" si="13"/>
        <v>56912822</v>
      </c>
      <c r="Z53" s="626">
        <f t="shared" si="13"/>
        <v>6478440</v>
      </c>
      <c r="AA53" s="626">
        <f t="shared" si="13"/>
        <v>0</v>
      </c>
      <c r="AB53" s="626">
        <f t="shared" si="13"/>
        <v>0</v>
      </c>
      <c r="AC53" s="627">
        <f>+'Aging Analysis'!C35</f>
        <v>9161876946</v>
      </c>
    </row>
    <row r="54" spans="1:36" s="16" customFormat="1" ht="23.25" customHeight="1">
      <c r="A54" s="432"/>
      <c r="B54" s="433" t="s">
        <v>670</v>
      </c>
      <c r="C54" s="553">
        <f t="shared" si="9"/>
        <v>0</v>
      </c>
      <c r="D54" s="122">
        <f t="shared" ref="D54:AB54" si="14">+D36+D38+D40+D42+D44+D46+D48+D50+D52</f>
        <v>0</v>
      </c>
      <c r="E54" s="22">
        <v>0</v>
      </c>
      <c r="F54" s="22">
        <v>0</v>
      </c>
      <c r="G54" s="22">
        <f t="shared" si="14"/>
        <v>0</v>
      </c>
      <c r="H54" s="22">
        <f t="shared" si="14"/>
        <v>0</v>
      </c>
      <c r="I54" s="22">
        <f t="shared" si="14"/>
        <v>0</v>
      </c>
      <c r="J54" s="22">
        <f t="shared" si="14"/>
        <v>0</v>
      </c>
      <c r="K54" s="22">
        <f t="shared" si="14"/>
        <v>0</v>
      </c>
      <c r="L54" s="22">
        <f t="shared" si="14"/>
        <v>0</v>
      </c>
      <c r="M54" s="22">
        <f t="shared" si="14"/>
        <v>0</v>
      </c>
      <c r="N54" s="22">
        <f t="shared" si="14"/>
        <v>0</v>
      </c>
      <c r="O54" s="22">
        <f t="shared" si="14"/>
        <v>0</v>
      </c>
      <c r="P54" s="22">
        <f t="shared" si="14"/>
        <v>0</v>
      </c>
      <c r="Q54" s="22">
        <f t="shared" si="14"/>
        <v>0</v>
      </c>
      <c r="R54" s="22">
        <f t="shared" si="14"/>
        <v>0</v>
      </c>
      <c r="S54" s="22">
        <f t="shared" si="14"/>
        <v>0</v>
      </c>
      <c r="T54" s="22">
        <f t="shared" si="14"/>
        <v>0</v>
      </c>
      <c r="U54" s="22">
        <f t="shared" si="14"/>
        <v>0</v>
      </c>
      <c r="V54" s="22">
        <f t="shared" si="14"/>
        <v>0</v>
      </c>
      <c r="W54" s="22">
        <f t="shared" si="14"/>
        <v>0</v>
      </c>
      <c r="X54" s="22">
        <f t="shared" si="14"/>
        <v>0</v>
      </c>
      <c r="Y54" s="21">
        <f t="shared" si="14"/>
        <v>0</v>
      </c>
      <c r="Z54" s="21">
        <f t="shared" si="14"/>
        <v>0</v>
      </c>
      <c r="AA54" s="21">
        <f t="shared" si="14"/>
        <v>0</v>
      </c>
      <c r="AB54" s="21">
        <f t="shared" si="14"/>
        <v>0</v>
      </c>
      <c r="AC54" s="291"/>
      <c r="AD54" s="291"/>
      <c r="AE54" s="291"/>
      <c r="AF54" s="291"/>
      <c r="AG54" s="291"/>
      <c r="AH54" s="291"/>
      <c r="AI54" s="291"/>
      <c r="AJ54" s="291"/>
    </row>
    <row r="55" spans="1:36" s="628" customFormat="1" ht="27.75" customHeight="1">
      <c r="A55" s="626"/>
      <c r="B55" s="626" t="s">
        <v>680</v>
      </c>
      <c r="C55" s="626"/>
      <c r="D55" s="626"/>
      <c r="E55" s="626"/>
      <c r="F55" s="626"/>
      <c r="G55" s="626"/>
      <c r="H55" s="626"/>
      <c r="I55" s="626"/>
      <c r="J55" s="626"/>
      <c r="K55" s="626"/>
      <c r="L55" s="626"/>
      <c r="M55" s="626"/>
      <c r="N55" s="626"/>
      <c r="O55" s="626"/>
      <c r="P55" s="626"/>
      <c r="Q55" s="626"/>
      <c r="R55" s="626"/>
      <c r="S55" s="626"/>
      <c r="T55" s="626"/>
      <c r="U55" s="626"/>
      <c r="V55" s="626"/>
      <c r="W55" s="626"/>
      <c r="X55" s="626"/>
      <c r="Y55" s="626"/>
      <c r="Z55" s="626"/>
      <c r="AA55" s="626"/>
      <c r="AB55" s="626"/>
    </row>
    <row r="56" spans="1:36" s="16" customFormat="1" ht="7.5" customHeight="1">
      <c r="A56" s="15"/>
      <c r="B56" s="15"/>
      <c r="C56" s="15"/>
      <c r="D56" s="598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291"/>
      <c r="AD56" s="291"/>
      <c r="AE56" s="291"/>
      <c r="AF56" s="291"/>
      <c r="AG56" s="291"/>
      <c r="AH56" s="291"/>
      <c r="AI56" s="291"/>
      <c r="AJ56" s="291"/>
    </row>
    <row r="57" spans="1:36" s="177" customFormat="1" ht="21.75" customHeight="1">
      <c r="A57" s="432">
        <v>24</v>
      </c>
      <c r="B57" s="434" t="s">
        <v>681</v>
      </c>
      <c r="C57" s="602">
        <f t="shared" ref="C57:D73" si="15">E57+I57+M57+Q57+U57</f>
        <v>272678155</v>
      </c>
      <c r="D57" s="600">
        <f t="shared" si="15"/>
        <v>24685321</v>
      </c>
      <c r="E57" s="603">
        <v>258292651</v>
      </c>
      <c r="F57" s="601">
        <v>24685321</v>
      </c>
      <c r="G57" s="603">
        <v>1930477</v>
      </c>
      <c r="H57" s="601">
        <v>246112</v>
      </c>
      <c r="I57" s="603">
        <v>3165601</v>
      </c>
      <c r="J57" s="601">
        <v>0</v>
      </c>
      <c r="K57" s="603">
        <v>333349</v>
      </c>
      <c r="L57" s="601">
        <v>0</v>
      </c>
      <c r="M57" s="603">
        <v>1801916</v>
      </c>
      <c r="N57" s="601">
        <v>0</v>
      </c>
      <c r="O57" s="603">
        <v>436148</v>
      </c>
      <c r="P57" s="601">
        <v>0</v>
      </c>
      <c r="Q57" s="603">
        <v>1675998</v>
      </c>
      <c r="R57" s="601">
        <v>0</v>
      </c>
      <c r="S57" s="603">
        <v>891027</v>
      </c>
      <c r="T57" s="601">
        <v>0</v>
      </c>
      <c r="U57" s="603">
        <v>7741989</v>
      </c>
      <c r="V57" s="601">
        <v>0</v>
      </c>
      <c r="W57" s="603">
        <v>2472869</v>
      </c>
      <c r="X57" s="601">
        <v>0</v>
      </c>
      <c r="Y57" s="169">
        <f>+W57+S57+O57+K57</f>
        <v>4133393</v>
      </c>
      <c r="Z57" s="600">
        <f>+X57+T57+P57+L57</f>
        <v>0</v>
      </c>
      <c r="AA57" s="18"/>
      <c r="AB57" s="18"/>
      <c r="AC57" s="294"/>
      <c r="AD57" s="294"/>
      <c r="AE57" s="294"/>
      <c r="AF57" s="294"/>
      <c r="AG57" s="294"/>
      <c r="AH57" s="294"/>
      <c r="AI57" s="294"/>
      <c r="AJ57" s="294"/>
    </row>
    <row r="58" spans="1:36" s="177" customFormat="1" ht="21.75" customHeight="1">
      <c r="A58" s="432">
        <v>25</v>
      </c>
      <c r="B58" s="434" t="s">
        <v>682</v>
      </c>
      <c r="C58" s="602">
        <f t="shared" si="15"/>
        <v>641474437</v>
      </c>
      <c r="D58" s="600">
        <f t="shared" si="15"/>
        <v>453036332</v>
      </c>
      <c r="E58" s="603">
        <v>600856557</v>
      </c>
      <c r="F58" s="601">
        <v>431049556</v>
      </c>
      <c r="G58" s="603">
        <v>4232210</v>
      </c>
      <c r="H58" s="601">
        <v>4758298</v>
      </c>
      <c r="I58" s="603">
        <v>2340467</v>
      </c>
      <c r="J58" s="601">
        <v>0</v>
      </c>
      <c r="K58" s="603">
        <v>279911</v>
      </c>
      <c r="L58" s="601">
        <v>0</v>
      </c>
      <c r="M58" s="603">
        <v>4232083</v>
      </c>
      <c r="N58" s="601">
        <v>0</v>
      </c>
      <c r="O58" s="603">
        <v>1061553</v>
      </c>
      <c r="P58" s="601">
        <v>0</v>
      </c>
      <c r="Q58" s="603">
        <v>33193121</v>
      </c>
      <c r="R58" s="601">
        <v>21986776</v>
      </c>
      <c r="S58" s="603">
        <v>1177101</v>
      </c>
      <c r="T58" s="601">
        <v>0</v>
      </c>
      <c r="U58" s="603">
        <v>852209</v>
      </c>
      <c r="V58" s="601">
        <v>0</v>
      </c>
      <c r="W58" s="603">
        <v>852609</v>
      </c>
      <c r="X58" s="601">
        <v>0</v>
      </c>
      <c r="Y58" s="169">
        <f t="shared" ref="Y58:Z70" si="16">+W58+S58+O58+K58</f>
        <v>3371174</v>
      </c>
      <c r="Z58" s="600">
        <f t="shared" si="16"/>
        <v>0</v>
      </c>
      <c r="AA58" s="18"/>
      <c r="AB58" s="18"/>
      <c r="AC58" s="294"/>
      <c r="AD58" s="294"/>
      <c r="AE58" s="294"/>
      <c r="AF58" s="294"/>
      <c r="AG58" s="294"/>
      <c r="AH58" s="294"/>
      <c r="AI58" s="294"/>
      <c r="AJ58" s="294"/>
    </row>
    <row r="59" spans="1:36" s="177" customFormat="1" ht="21.75" customHeight="1">
      <c r="A59" s="432">
        <v>26</v>
      </c>
      <c r="B59" s="434" t="s">
        <v>683</v>
      </c>
      <c r="C59" s="602">
        <f t="shared" si="15"/>
        <v>489317510</v>
      </c>
      <c r="D59" s="600">
        <f t="shared" si="15"/>
        <v>235333555</v>
      </c>
      <c r="E59" s="603">
        <v>477012428</v>
      </c>
      <c r="F59" s="601">
        <v>235333555</v>
      </c>
      <c r="G59" s="603">
        <v>3405678</v>
      </c>
      <c r="H59" s="601">
        <v>3387906</v>
      </c>
      <c r="I59" s="603">
        <v>5005168</v>
      </c>
      <c r="J59" s="601">
        <v>0</v>
      </c>
      <c r="K59" s="603">
        <v>503112</v>
      </c>
      <c r="L59" s="601">
        <v>0</v>
      </c>
      <c r="M59" s="603">
        <v>986951</v>
      </c>
      <c r="N59" s="601">
        <v>0</v>
      </c>
      <c r="O59" s="603">
        <v>178998</v>
      </c>
      <c r="P59" s="601">
        <v>0</v>
      </c>
      <c r="Q59" s="603">
        <v>5848309</v>
      </c>
      <c r="R59" s="601">
        <v>0</v>
      </c>
      <c r="S59" s="603">
        <v>1295718</v>
      </c>
      <c r="T59" s="601">
        <v>0</v>
      </c>
      <c r="U59" s="603">
        <v>464654</v>
      </c>
      <c r="V59" s="601">
        <v>0</v>
      </c>
      <c r="W59" s="603">
        <v>432342</v>
      </c>
      <c r="X59" s="601">
        <v>0</v>
      </c>
      <c r="Y59" s="169">
        <f t="shared" si="16"/>
        <v>2410170</v>
      </c>
      <c r="Z59" s="600">
        <f t="shared" si="16"/>
        <v>0</v>
      </c>
      <c r="AA59" s="18"/>
      <c r="AB59" s="18"/>
      <c r="AC59" s="294"/>
      <c r="AD59" s="294"/>
      <c r="AE59" s="294"/>
      <c r="AF59" s="294"/>
      <c r="AG59" s="294"/>
      <c r="AH59" s="294"/>
      <c r="AI59" s="294"/>
      <c r="AJ59" s="294"/>
    </row>
    <row r="60" spans="1:36" s="177" customFormat="1" ht="21.75" customHeight="1">
      <c r="A60" s="432">
        <v>27</v>
      </c>
      <c r="B60" s="434" t="s">
        <v>684</v>
      </c>
      <c r="C60" s="602">
        <f t="shared" si="15"/>
        <v>427794357</v>
      </c>
      <c r="D60" s="600">
        <f t="shared" si="15"/>
        <v>198016728</v>
      </c>
      <c r="E60" s="603">
        <v>408224716</v>
      </c>
      <c r="F60" s="601">
        <v>196040482</v>
      </c>
      <c r="G60" s="603">
        <v>3669591</v>
      </c>
      <c r="H60" s="601">
        <v>2089735</v>
      </c>
      <c r="I60" s="603">
        <v>5960600</v>
      </c>
      <c r="J60" s="601">
        <v>0</v>
      </c>
      <c r="K60" s="603">
        <v>708365</v>
      </c>
      <c r="L60" s="601">
        <v>0</v>
      </c>
      <c r="M60" s="603">
        <v>1745755</v>
      </c>
      <c r="N60" s="601">
        <v>0</v>
      </c>
      <c r="O60" s="603">
        <v>431418</v>
      </c>
      <c r="P60" s="601">
        <v>0</v>
      </c>
      <c r="Q60" s="603">
        <v>9400243</v>
      </c>
      <c r="R60" s="601">
        <v>1976246</v>
      </c>
      <c r="S60" s="603">
        <v>4722933</v>
      </c>
      <c r="T60" s="601">
        <v>988123</v>
      </c>
      <c r="U60" s="603">
        <v>2463043</v>
      </c>
      <c r="V60" s="601">
        <v>0</v>
      </c>
      <c r="W60" s="603">
        <v>2380044</v>
      </c>
      <c r="X60" s="601">
        <v>0</v>
      </c>
      <c r="Y60" s="169">
        <f t="shared" si="16"/>
        <v>8242760</v>
      </c>
      <c r="Z60" s="600">
        <f t="shared" si="16"/>
        <v>988123</v>
      </c>
      <c r="AA60" s="18"/>
      <c r="AB60" s="18"/>
      <c r="AC60" s="294"/>
      <c r="AD60" s="294"/>
      <c r="AE60" s="294"/>
      <c r="AF60" s="294"/>
      <c r="AG60" s="294"/>
      <c r="AH60" s="294"/>
      <c r="AI60" s="294"/>
      <c r="AJ60" s="294"/>
    </row>
    <row r="61" spans="1:36" s="177" customFormat="1" ht="21.75" customHeight="1">
      <c r="A61" s="432">
        <v>28</v>
      </c>
      <c r="B61" s="434" t="s">
        <v>685</v>
      </c>
      <c r="C61" s="602">
        <f t="shared" si="15"/>
        <v>369440084</v>
      </c>
      <c r="D61" s="600">
        <f t="shared" si="15"/>
        <v>93367673</v>
      </c>
      <c r="E61" s="603">
        <v>364754491</v>
      </c>
      <c r="F61" s="601">
        <v>93367673</v>
      </c>
      <c r="G61" s="603">
        <v>3377953</v>
      </c>
      <c r="H61" s="601">
        <v>549196</v>
      </c>
      <c r="I61" s="603">
        <v>1617371</v>
      </c>
      <c r="J61" s="601">
        <v>0</v>
      </c>
      <c r="K61" s="603">
        <v>178972</v>
      </c>
      <c r="L61" s="601">
        <v>0</v>
      </c>
      <c r="M61" s="603">
        <v>2286038</v>
      </c>
      <c r="N61" s="601">
        <v>0</v>
      </c>
      <c r="O61" s="603">
        <v>334738</v>
      </c>
      <c r="P61" s="601">
        <v>0</v>
      </c>
      <c r="Q61" s="603">
        <v>307140</v>
      </c>
      <c r="R61" s="601">
        <v>0</v>
      </c>
      <c r="S61" s="603">
        <v>153570</v>
      </c>
      <c r="T61" s="601">
        <v>0</v>
      </c>
      <c r="U61" s="603">
        <v>475044</v>
      </c>
      <c r="V61" s="601">
        <v>0</v>
      </c>
      <c r="W61" s="603">
        <v>477464</v>
      </c>
      <c r="X61" s="601">
        <v>0</v>
      </c>
      <c r="Y61" s="169">
        <f t="shared" si="16"/>
        <v>1144744</v>
      </c>
      <c r="Z61" s="600">
        <f t="shared" si="16"/>
        <v>0</v>
      </c>
      <c r="AA61" s="18"/>
      <c r="AB61" s="18"/>
      <c r="AC61" s="294"/>
      <c r="AD61" s="294"/>
      <c r="AE61" s="294"/>
      <c r="AF61" s="294"/>
      <c r="AG61" s="294"/>
      <c r="AH61" s="294"/>
      <c r="AI61" s="294"/>
      <c r="AJ61" s="294"/>
    </row>
    <row r="62" spans="1:36" s="177" customFormat="1" ht="21.75" customHeight="1">
      <c r="A62" s="432">
        <v>29</v>
      </c>
      <c r="B62" s="434" t="s">
        <v>686</v>
      </c>
      <c r="C62" s="602">
        <f t="shared" si="15"/>
        <v>832551164</v>
      </c>
      <c r="D62" s="600">
        <f t="shared" si="15"/>
        <v>365794646</v>
      </c>
      <c r="E62" s="603">
        <v>825741896</v>
      </c>
      <c r="F62" s="601">
        <v>363407228</v>
      </c>
      <c r="G62" s="603">
        <v>6017581</v>
      </c>
      <c r="H62" s="601">
        <v>3573595</v>
      </c>
      <c r="I62" s="603">
        <v>1262870</v>
      </c>
      <c r="J62" s="601">
        <v>0</v>
      </c>
      <c r="K62" s="603">
        <v>136098</v>
      </c>
      <c r="L62" s="601">
        <v>0</v>
      </c>
      <c r="M62" s="603">
        <v>4789824</v>
      </c>
      <c r="N62" s="601">
        <v>2387418</v>
      </c>
      <c r="O62" s="603">
        <v>1159163</v>
      </c>
      <c r="P62" s="601">
        <v>596855</v>
      </c>
      <c r="Q62" s="603">
        <v>311735</v>
      </c>
      <c r="R62" s="601">
        <v>0</v>
      </c>
      <c r="S62" s="603">
        <v>154996</v>
      </c>
      <c r="T62" s="601">
        <v>0</v>
      </c>
      <c r="U62" s="603">
        <v>444839</v>
      </c>
      <c r="V62" s="601">
        <v>0</v>
      </c>
      <c r="W62" s="603">
        <v>444839</v>
      </c>
      <c r="X62" s="601">
        <v>0</v>
      </c>
      <c r="Y62" s="169">
        <f t="shared" si="16"/>
        <v>1895096</v>
      </c>
      <c r="Z62" s="600">
        <f t="shared" si="16"/>
        <v>596855</v>
      </c>
      <c r="AA62" s="18"/>
      <c r="AB62" s="18"/>
      <c r="AC62" s="294"/>
      <c r="AD62" s="294"/>
      <c r="AE62" s="294"/>
      <c r="AF62" s="294"/>
      <c r="AG62" s="294"/>
      <c r="AH62" s="294"/>
      <c r="AI62" s="294"/>
      <c r="AJ62" s="294"/>
    </row>
    <row r="63" spans="1:36" s="177" customFormat="1" ht="21.75" customHeight="1">
      <c r="A63" s="432">
        <v>30</v>
      </c>
      <c r="B63" s="434" t="s">
        <v>687</v>
      </c>
      <c r="C63" s="602">
        <f t="shared" si="15"/>
        <v>793300483</v>
      </c>
      <c r="D63" s="600">
        <f t="shared" si="15"/>
        <v>528002029</v>
      </c>
      <c r="E63" s="603">
        <v>765636655</v>
      </c>
      <c r="F63" s="601">
        <v>528002029</v>
      </c>
      <c r="G63" s="603">
        <v>4021951</v>
      </c>
      <c r="H63" s="601">
        <v>4521947</v>
      </c>
      <c r="I63" s="603">
        <v>23344059</v>
      </c>
      <c r="J63" s="601">
        <v>0</v>
      </c>
      <c r="K63" s="603">
        <v>2207500</v>
      </c>
      <c r="L63" s="601">
        <v>0</v>
      </c>
      <c r="M63" s="603">
        <v>2951267</v>
      </c>
      <c r="N63" s="601">
        <v>0</v>
      </c>
      <c r="O63" s="603">
        <v>702706</v>
      </c>
      <c r="P63" s="601">
        <v>0</v>
      </c>
      <c r="Q63" s="603">
        <v>925548</v>
      </c>
      <c r="R63" s="601">
        <v>0</v>
      </c>
      <c r="S63" s="603">
        <v>462296</v>
      </c>
      <c r="T63" s="601">
        <v>0</v>
      </c>
      <c r="U63" s="603">
        <v>442954</v>
      </c>
      <c r="V63" s="601">
        <v>0</v>
      </c>
      <c r="W63" s="603">
        <v>444479</v>
      </c>
      <c r="X63" s="601">
        <v>0</v>
      </c>
      <c r="Y63" s="169">
        <f t="shared" si="16"/>
        <v>3816981</v>
      </c>
      <c r="Z63" s="600">
        <f t="shared" si="16"/>
        <v>0</v>
      </c>
      <c r="AA63" s="18"/>
      <c r="AB63" s="18"/>
      <c r="AC63" s="294"/>
      <c r="AD63" s="294"/>
      <c r="AE63" s="294"/>
      <c r="AF63" s="294"/>
      <c r="AG63" s="294"/>
      <c r="AH63" s="294"/>
      <c r="AI63" s="294"/>
      <c r="AJ63" s="294"/>
    </row>
    <row r="64" spans="1:36" s="177" customFormat="1" ht="21.75" customHeight="1">
      <c r="A64" s="432">
        <v>31</v>
      </c>
      <c r="B64" s="434" t="s">
        <v>688</v>
      </c>
      <c r="C64" s="602">
        <f t="shared" si="15"/>
        <v>555842998</v>
      </c>
      <c r="D64" s="600">
        <f t="shared" si="15"/>
        <v>297104107</v>
      </c>
      <c r="E64" s="603">
        <v>524740370</v>
      </c>
      <c r="F64" s="601">
        <v>281931910</v>
      </c>
      <c r="G64" s="603">
        <v>4651771</v>
      </c>
      <c r="H64" s="601">
        <v>2813643</v>
      </c>
      <c r="I64" s="603">
        <v>14829785</v>
      </c>
      <c r="J64" s="601">
        <v>3255383</v>
      </c>
      <c r="K64" s="603">
        <v>1804445</v>
      </c>
      <c r="L64" s="601">
        <v>1627692</v>
      </c>
      <c r="M64" s="603">
        <v>10727587</v>
      </c>
      <c r="N64" s="601">
        <v>10204931</v>
      </c>
      <c r="O64" s="603">
        <v>107912</v>
      </c>
      <c r="P64" s="601">
        <v>0</v>
      </c>
      <c r="Q64" s="603">
        <v>3862528</v>
      </c>
      <c r="R64" s="601">
        <v>1711883</v>
      </c>
      <c r="S64" s="603">
        <v>1931264</v>
      </c>
      <c r="T64" s="601">
        <v>855941</v>
      </c>
      <c r="U64" s="603">
        <v>1682728</v>
      </c>
      <c r="V64" s="601">
        <v>0</v>
      </c>
      <c r="W64" s="603">
        <v>669415</v>
      </c>
      <c r="X64" s="601">
        <v>0</v>
      </c>
      <c r="Y64" s="169">
        <f t="shared" si="16"/>
        <v>4513036</v>
      </c>
      <c r="Z64" s="600">
        <f t="shared" si="16"/>
        <v>2483633</v>
      </c>
      <c r="AA64" s="18"/>
      <c r="AB64" s="18"/>
      <c r="AC64" s="294"/>
      <c r="AD64" s="294"/>
      <c r="AE64" s="294"/>
      <c r="AF64" s="294"/>
      <c r="AG64" s="294"/>
      <c r="AH64" s="294"/>
      <c r="AI64" s="294"/>
      <c r="AJ64" s="294"/>
    </row>
    <row r="65" spans="1:36" s="177" customFormat="1" ht="21.75" customHeight="1">
      <c r="A65" s="432">
        <v>32</v>
      </c>
      <c r="B65" s="434" t="s">
        <v>689</v>
      </c>
      <c r="C65" s="602">
        <f t="shared" si="15"/>
        <v>491393708</v>
      </c>
      <c r="D65" s="600">
        <f t="shared" si="15"/>
        <v>53615200</v>
      </c>
      <c r="E65" s="603">
        <v>455679219</v>
      </c>
      <c r="F65" s="601">
        <v>49494193</v>
      </c>
      <c r="G65" s="603">
        <v>2906582</v>
      </c>
      <c r="H65" s="601">
        <v>514275</v>
      </c>
      <c r="I65" s="603">
        <v>6491711</v>
      </c>
      <c r="J65" s="601">
        <v>1927733</v>
      </c>
      <c r="K65" s="603">
        <v>731990</v>
      </c>
      <c r="L65" s="601">
        <v>192773</v>
      </c>
      <c r="M65" s="603">
        <v>17821715</v>
      </c>
      <c r="N65" s="601">
        <v>2174678</v>
      </c>
      <c r="O65" s="603">
        <v>3247618</v>
      </c>
      <c r="P65" s="601">
        <v>543669</v>
      </c>
      <c r="Q65" s="603">
        <v>7327902</v>
      </c>
      <c r="R65" s="601">
        <v>0</v>
      </c>
      <c r="S65" s="603">
        <v>2065256</v>
      </c>
      <c r="T65" s="601">
        <v>0</v>
      </c>
      <c r="U65" s="603">
        <v>4073161</v>
      </c>
      <c r="V65" s="601">
        <v>18596</v>
      </c>
      <c r="W65" s="603">
        <v>4007437</v>
      </c>
      <c r="X65" s="601">
        <v>18596</v>
      </c>
      <c r="Y65" s="169">
        <f t="shared" si="16"/>
        <v>10052301</v>
      </c>
      <c r="Z65" s="600">
        <f t="shared" si="16"/>
        <v>755038</v>
      </c>
      <c r="AA65" s="18"/>
      <c r="AB65" s="18"/>
      <c r="AC65" s="294"/>
      <c r="AD65" s="294"/>
      <c r="AE65" s="294"/>
      <c r="AF65" s="294"/>
      <c r="AG65" s="294"/>
      <c r="AH65" s="294"/>
      <c r="AI65" s="294"/>
      <c r="AJ65" s="294"/>
    </row>
    <row r="66" spans="1:36" s="177" customFormat="1" ht="21.75" customHeight="1">
      <c r="A66" s="432">
        <v>33</v>
      </c>
      <c r="B66" s="434" t="s">
        <v>690</v>
      </c>
      <c r="C66" s="602">
        <f t="shared" si="15"/>
        <v>130441274</v>
      </c>
      <c r="D66" s="600">
        <f t="shared" si="15"/>
        <v>88265910</v>
      </c>
      <c r="E66" s="603">
        <v>125853101</v>
      </c>
      <c r="F66" s="601">
        <v>88265910</v>
      </c>
      <c r="G66" s="603">
        <v>339142</v>
      </c>
      <c r="H66" s="601">
        <v>882659</v>
      </c>
      <c r="I66" s="603">
        <v>75518</v>
      </c>
      <c r="J66" s="601">
        <v>0</v>
      </c>
      <c r="K66" s="603">
        <v>9596</v>
      </c>
      <c r="L66" s="601">
        <v>0</v>
      </c>
      <c r="M66" s="603">
        <v>58759</v>
      </c>
      <c r="N66" s="601">
        <v>0</v>
      </c>
      <c r="O66" s="603">
        <v>13385</v>
      </c>
      <c r="P66" s="601">
        <v>0</v>
      </c>
      <c r="Q66" s="603">
        <v>4100257</v>
      </c>
      <c r="R66" s="601">
        <v>0</v>
      </c>
      <c r="S66" s="603">
        <v>50735</v>
      </c>
      <c r="T66" s="601">
        <v>0</v>
      </c>
      <c r="U66" s="603">
        <v>353639</v>
      </c>
      <c r="V66" s="601">
        <v>0</v>
      </c>
      <c r="W66" s="603">
        <v>353638</v>
      </c>
      <c r="X66" s="601">
        <v>0</v>
      </c>
      <c r="Y66" s="169">
        <f t="shared" si="16"/>
        <v>427354</v>
      </c>
      <c r="Z66" s="600">
        <f t="shared" si="16"/>
        <v>0</v>
      </c>
      <c r="AA66" s="18"/>
      <c r="AB66" s="18"/>
      <c r="AC66" s="294"/>
      <c r="AD66" s="294"/>
      <c r="AE66" s="294"/>
      <c r="AF66" s="294"/>
      <c r="AG66" s="294"/>
      <c r="AH66" s="294"/>
      <c r="AI66" s="294"/>
      <c r="AJ66" s="294"/>
    </row>
    <row r="67" spans="1:36" s="177" customFormat="1" ht="21.75" customHeight="1">
      <c r="A67" s="432">
        <v>34</v>
      </c>
      <c r="B67" s="434" t="s">
        <v>691</v>
      </c>
      <c r="C67" s="602">
        <f>E67+I67+M67+Q67+U67</f>
        <v>2243836368</v>
      </c>
      <c r="D67" s="600">
        <f t="shared" si="15"/>
        <v>662571624</v>
      </c>
      <c r="E67" s="603">
        <v>2198255796</v>
      </c>
      <c r="F67" s="601">
        <v>659953360</v>
      </c>
      <c r="G67" s="603">
        <v>24828071</v>
      </c>
      <c r="H67" s="601">
        <v>2481068</v>
      </c>
      <c r="I67" s="603">
        <v>10900526</v>
      </c>
      <c r="J67" s="601">
        <v>852452</v>
      </c>
      <c r="K67" s="603">
        <v>2200204</v>
      </c>
      <c r="L67" s="601"/>
      <c r="M67" s="603">
        <v>15617412</v>
      </c>
      <c r="N67" s="601">
        <v>0</v>
      </c>
      <c r="O67" s="603">
        <v>410211</v>
      </c>
      <c r="P67" s="601">
        <v>0</v>
      </c>
      <c r="Q67" s="603">
        <v>12784494</v>
      </c>
      <c r="R67" s="601">
        <v>0</v>
      </c>
      <c r="S67" s="603">
        <v>3905033</v>
      </c>
      <c r="T67" s="601">
        <v>0</v>
      </c>
      <c r="U67" s="603">
        <v>6278140</v>
      </c>
      <c r="V67" s="601">
        <v>1765812</v>
      </c>
      <c r="W67" s="603">
        <v>4536391</v>
      </c>
      <c r="X67" s="601">
        <v>0</v>
      </c>
      <c r="Y67" s="169">
        <f>+W67+S67+O67+K67</f>
        <v>11051839</v>
      </c>
      <c r="Z67" s="600">
        <f>+X67+T67+P67+L67</f>
        <v>0</v>
      </c>
      <c r="AA67" s="18"/>
      <c r="AB67" s="18"/>
      <c r="AC67" s="294"/>
      <c r="AD67" s="294"/>
      <c r="AE67" s="294"/>
      <c r="AF67" s="294"/>
      <c r="AG67" s="294"/>
      <c r="AH67" s="294"/>
      <c r="AI67" s="294"/>
      <c r="AJ67" s="294"/>
    </row>
    <row r="68" spans="1:36" s="177" customFormat="1" ht="21.75" customHeight="1">
      <c r="A68" s="432">
        <v>35</v>
      </c>
      <c r="B68" s="434" t="s">
        <v>692</v>
      </c>
      <c r="C68" s="602">
        <f t="shared" si="15"/>
        <v>504738103</v>
      </c>
      <c r="D68" s="600">
        <f t="shared" si="15"/>
        <v>149497573</v>
      </c>
      <c r="E68" s="603">
        <v>468470724</v>
      </c>
      <c r="F68" s="601">
        <v>149497573</v>
      </c>
      <c r="G68" s="603">
        <v>450793</v>
      </c>
      <c r="H68" s="601">
        <v>1494976</v>
      </c>
      <c r="I68" s="603">
        <v>22009347</v>
      </c>
      <c r="J68" s="601"/>
      <c r="K68" s="603">
        <v>1357412</v>
      </c>
      <c r="L68" s="601">
        <v>85245</v>
      </c>
      <c r="M68" s="603">
        <v>3388601</v>
      </c>
      <c r="N68" s="601">
        <v>0</v>
      </c>
      <c r="O68" s="603">
        <v>1070803</v>
      </c>
      <c r="P68" s="601">
        <v>0</v>
      </c>
      <c r="Q68" s="603">
        <v>383068</v>
      </c>
      <c r="R68" s="601">
        <v>0</v>
      </c>
      <c r="S68" s="603">
        <v>124232</v>
      </c>
      <c r="T68" s="601">
        <v>0</v>
      </c>
      <c r="U68" s="603">
        <v>10486363</v>
      </c>
      <c r="V68" s="601"/>
      <c r="W68" s="603">
        <v>1512033</v>
      </c>
      <c r="X68" s="601">
        <v>0</v>
      </c>
      <c r="Y68" s="169">
        <f t="shared" si="16"/>
        <v>4064480</v>
      </c>
      <c r="Z68" s="600">
        <f t="shared" si="16"/>
        <v>85245</v>
      </c>
      <c r="AA68" s="18"/>
      <c r="AB68" s="18"/>
      <c r="AC68" s="294"/>
      <c r="AD68" s="294"/>
      <c r="AE68" s="294"/>
      <c r="AF68" s="294"/>
      <c r="AG68" s="294"/>
      <c r="AH68" s="294"/>
      <c r="AI68" s="294"/>
      <c r="AJ68" s="294"/>
    </row>
    <row r="69" spans="1:36" s="177" customFormat="1" ht="21.75" customHeight="1">
      <c r="A69" s="432">
        <v>36</v>
      </c>
      <c r="B69" s="434" t="s">
        <v>693</v>
      </c>
      <c r="C69" s="602">
        <f t="shared" si="15"/>
        <v>1052700939</v>
      </c>
      <c r="D69" s="600">
        <f t="shared" si="15"/>
        <v>275383411</v>
      </c>
      <c r="E69" s="603">
        <v>1048369136</v>
      </c>
      <c r="F69" s="601">
        <v>271333956</v>
      </c>
      <c r="G69" s="603">
        <v>7526993</v>
      </c>
      <c r="H69" s="601">
        <v>2762281</v>
      </c>
      <c r="I69" s="603">
        <v>843100</v>
      </c>
      <c r="J69" s="601">
        <v>840183</v>
      </c>
      <c r="K69" s="603">
        <v>423622</v>
      </c>
      <c r="L69" s="601">
        <v>420092</v>
      </c>
      <c r="M69" s="603">
        <v>3274203</v>
      </c>
      <c r="N69" s="601">
        <v>3209272</v>
      </c>
      <c r="O69" s="603">
        <v>818295</v>
      </c>
      <c r="P69" s="601">
        <v>802318</v>
      </c>
      <c r="Q69" s="603">
        <v>157869</v>
      </c>
      <c r="R69" s="601">
        <v>0</v>
      </c>
      <c r="S69" s="603">
        <v>78934</v>
      </c>
      <c r="T69" s="601">
        <v>0</v>
      </c>
      <c r="U69" s="603">
        <v>56631</v>
      </c>
      <c r="V69" s="601">
        <v>0</v>
      </c>
      <c r="W69" s="603">
        <v>56631</v>
      </c>
      <c r="X69" s="601">
        <v>0</v>
      </c>
      <c r="Y69" s="169">
        <f t="shared" si="16"/>
        <v>1377482</v>
      </c>
      <c r="Z69" s="600">
        <f t="shared" si="16"/>
        <v>1222410</v>
      </c>
      <c r="AA69" s="18"/>
      <c r="AB69" s="18"/>
      <c r="AC69" s="294"/>
      <c r="AD69" s="294"/>
      <c r="AE69" s="294"/>
      <c r="AF69" s="294"/>
      <c r="AG69" s="294"/>
      <c r="AH69" s="294"/>
      <c r="AI69" s="294"/>
      <c r="AJ69" s="294"/>
    </row>
    <row r="70" spans="1:36" s="177" customFormat="1" ht="21.75" customHeight="1">
      <c r="A70" s="432">
        <v>37</v>
      </c>
      <c r="B70" s="434" t="s">
        <v>694</v>
      </c>
      <c r="C70" s="602">
        <f t="shared" si="15"/>
        <v>356367366</v>
      </c>
      <c r="D70" s="600">
        <f t="shared" si="15"/>
        <v>95166797</v>
      </c>
      <c r="E70" s="603">
        <v>352786640</v>
      </c>
      <c r="F70" s="601">
        <v>91695433</v>
      </c>
      <c r="G70" s="603">
        <v>2635725</v>
      </c>
      <c r="H70" s="601">
        <v>867089</v>
      </c>
      <c r="I70" s="603">
        <v>3503997</v>
      </c>
      <c r="J70" s="601">
        <v>3471364</v>
      </c>
      <c r="K70" s="603">
        <v>350422</v>
      </c>
      <c r="L70" s="601">
        <v>347136</v>
      </c>
      <c r="M70" s="603">
        <v>11007</v>
      </c>
      <c r="N70" s="601">
        <v>0</v>
      </c>
      <c r="O70" s="603">
        <v>2752</v>
      </c>
      <c r="P70" s="601">
        <v>0</v>
      </c>
      <c r="Q70" s="603">
        <v>15108</v>
      </c>
      <c r="R70" s="601">
        <v>0</v>
      </c>
      <c r="S70" s="603">
        <v>7554</v>
      </c>
      <c r="T70" s="601">
        <v>0</v>
      </c>
      <c r="U70" s="603">
        <v>50614</v>
      </c>
      <c r="V70" s="601">
        <v>0</v>
      </c>
      <c r="W70" s="603">
        <v>51284</v>
      </c>
      <c r="X70" s="601">
        <v>0</v>
      </c>
      <c r="Y70" s="169">
        <f t="shared" si="16"/>
        <v>412012</v>
      </c>
      <c r="Z70" s="600">
        <f t="shared" si="16"/>
        <v>347136</v>
      </c>
      <c r="AA70" s="18"/>
      <c r="AB70" s="18"/>
      <c r="AC70" s="294"/>
      <c r="AD70" s="294"/>
      <c r="AE70" s="294"/>
      <c r="AF70" s="294"/>
      <c r="AG70" s="294"/>
      <c r="AH70" s="294"/>
      <c r="AI70" s="294"/>
      <c r="AJ70" s="294"/>
    </row>
    <row r="71" spans="1:36" s="628" customFormat="1" ht="28.5" customHeight="1">
      <c r="A71" s="626">
        <v>38</v>
      </c>
      <c r="B71" s="626" t="s">
        <v>678</v>
      </c>
      <c r="C71" s="626">
        <f t="shared" ref="C71:AB71" si="17">SUM(C57:C70)</f>
        <v>9161876946</v>
      </c>
      <c r="D71" s="626">
        <f t="shared" si="17"/>
        <v>3519840906</v>
      </c>
      <c r="E71" s="626">
        <f t="shared" si="17"/>
        <v>8874674380</v>
      </c>
      <c r="F71" s="626">
        <f t="shared" si="17"/>
        <v>3464058179</v>
      </c>
      <c r="G71" s="626">
        <f t="shared" si="17"/>
        <v>69994518</v>
      </c>
      <c r="H71" s="626">
        <f t="shared" si="17"/>
        <v>30942780</v>
      </c>
      <c r="I71" s="626">
        <f t="shared" si="17"/>
        <v>101350120</v>
      </c>
      <c r="J71" s="626">
        <f t="shared" si="17"/>
        <v>10347115</v>
      </c>
      <c r="K71" s="626">
        <f t="shared" si="17"/>
        <v>11224998</v>
      </c>
      <c r="L71" s="626">
        <f t="shared" si="17"/>
        <v>2672938</v>
      </c>
      <c r="M71" s="626">
        <f t="shared" si="17"/>
        <v>69693118</v>
      </c>
      <c r="N71" s="626">
        <f t="shared" si="17"/>
        <v>17976299</v>
      </c>
      <c r="O71" s="626">
        <f t="shared" si="17"/>
        <v>9975700</v>
      </c>
      <c r="P71" s="626">
        <f t="shared" si="17"/>
        <v>1942842</v>
      </c>
      <c r="Q71" s="626">
        <f t="shared" si="17"/>
        <v>80293320</v>
      </c>
      <c r="R71" s="626">
        <f t="shared" si="17"/>
        <v>25674905</v>
      </c>
      <c r="S71" s="626">
        <f t="shared" si="17"/>
        <v>17020649</v>
      </c>
      <c r="T71" s="626">
        <f t="shared" si="17"/>
        <v>1844064</v>
      </c>
      <c r="U71" s="626">
        <f t="shared" si="17"/>
        <v>35866008</v>
      </c>
      <c r="V71" s="626">
        <f t="shared" si="17"/>
        <v>1784408</v>
      </c>
      <c r="W71" s="626">
        <f t="shared" si="17"/>
        <v>18691475</v>
      </c>
      <c r="X71" s="626">
        <f t="shared" si="17"/>
        <v>18596</v>
      </c>
      <c r="Y71" s="626">
        <f t="shared" si="17"/>
        <v>56912822</v>
      </c>
      <c r="Z71" s="626">
        <f t="shared" si="17"/>
        <v>6478440</v>
      </c>
      <c r="AA71" s="626">
        <f t="shared" si="17"/>
        <v>0</v>
      </c>
      <c r="AB71" s="626">
        <f t="shared" si="17"/>
        <v>0</v>
      </c>
      <c r="AC71" s="627">
        <f>+'Loans Receivable'!C85</f>
        <v>9161876946</v>
      </c>
    </row>
    <row r="72" spans="1:36" s="177" customFormat="1" ht="21.75" customHeight="1">
      <c r="A72" s="432">
        <v>39</v>
      </c>
      <c r="B72" s="434" t="s">
        <v>695</v>
      </c>
      <c r="C72" s="602">
        <f t="shared" ref="C72" si="18">E72+I72+M72+Q72+U72</f>
        <v>4692740166</v>
      </c>
      <c r="D72" s="600">
        <f t="shared" si="15"/>
        <v>1524124096</v>
      </c>
      <c r="E72" s="603">
        <v>4589723999</v>
      </c>
      <c r="F72" s="601">
        <v>1506482532</v>
      </c>
      <c r="G72" s="603">
        <v>32199253</v>
      </c>
      <c r="H72" s="601"/>
      <c r="I72" s="603">
        <v>10614105</v>
      </c>
      <c r="J72" s="601">
        <v>902749</v>
      </c>
      <c r="K72" s="603">
        <v>588956</v>
      </c>
      <c r="L72" s="601"/>
      <c r="M72" s="603">
        <v>14298432</v>
      </c>
      <c r="N72" s="601">
        <v>964827</v>
      </c>
      <c r="O72" s="603">
        <v>1397397</v>
      </c>
      <c r="P72" s="601"/>
      <c r="Q72" s="603">
        <v>60151042</v>
      </c>
      <c r="R72" s="601">
        <v>14215877</v>
      </c>
      <c r="S72" s="603">
        <v>5434903</v>
      </c>
      <c r="T72" s="601"/>
      <c r="U72" s="603">
        <v>17952588</v>
      </c>
      <c r="V72" s="601">
        <v>1558111</v>
      </c>
      <c r="W72" s="603">
        <v>7048653</v>
      </c>
      <c r="X72" s="601"/>
      <c r="Y72" s="169">
        <f t="shared" ref="Y72:Z72" si="19">+W72+S72+O72+K72</f>
        <v>14469909</v>
      </c>
      <c r="Z72" s="600">
        <f t="shared" si="19"/>
        <v>0</v>
      </c>
      <c r="AA72" s="18"/>
      <c r="AB72" s="18"/>
      <c r="AC72" s="294"/>
      <c r="AD72" s="294"/>
      <c r="AE72" s="294"/>
      <c r="AF72" s="294"/>
      <c r="AG72" s="294"/>
      <c r="AH72" s="294"/>
      <c r="AI72" s="294"/>
      <c r="AJ72" s="294"/>
    </row>
    <row r="73" spans="1:36" s="177" customFormat="1" ht="21.75" customHeight="1">
      <c r="A73" s="432"/>
      <c r="B73" s="434" t="s">
        <v>670</v>
      </c>
      <c r="C73" s="602">
        <f t="shared" ref="C73" si="20">E73+I73+M73+Q73+U73</f>
        <v>0</v>
      </c>
      <c r="D73" s="600">
        <f t="shared" si="15"/>
        <v>0</v>
      </c>
      <c r="E73" s="603"/>
      <c r="F73" s="601"/>
      <c r="G73" s="603"/>
      <c r="H73" s="601"/>
      <c r="I73" s="603"/>
      <c r="J73" s="601"/>
      <c r="K73" s="603"/>
      <c r="L73" s="601"/>
      <c r="M73" s="603"/>
      <c r="N73" s="601"/>
      <c r="O73" s="603"/>
      <c r="P73" s="601"/>
      <c r="Q73" s="603"/>
      <c r="R73" s="601"/>
      <c r="S73" s="603"/>
      <c r="T73" s="601"/>
      <c r="U73" s="603"/>
      <c r="V73" s="601"/>
      <c r="W73" s="603"/>
      <c r="X73" s="601"/>
      <c r="Y73" s="169">
        <f t="shared" ref="Y73" si="21">+W73+S73+O73+K73</f>
        <v>0</v>
      </c>
      <c r="Z73" s="600">
        <f t="shared" ref="Z73" si="22">+X73+T73+P73+L73</f>
        <v>0</v>
      </c>
      <c r="AA73" s="18"/>
      <c r="AB73" s="18"/>
      <c r="AC73" s="294"/>
      <c r="AD73" s="294"/>
      <c r="AE73" s="294"/>
      <c r="AF73" s="294"/>
      <c r="AG73" s="294"/>
      <c r="AH73" s="294"/>
      <c r="AI73" s="294"/>
      <c r="AJ73" s="294"/>
    </row>
    <row r="74" spans="1:36" s="628" customFormat="1" ht="28.5" customHeight="1">
      <c r="A74" s="626">
        <v>40</v>
      </c>
      <c r="B74" s="626" t="s">
        <v>696</v>
      </c>
      <c r="C74" s="626">
        <f t="shared" ref="C74:AB74" si="23">+C53+C72</f>
        <v>13854617112</v>
      </c>
      <c r="D74" s="626">
        <f t="shared" si="23"/>
        <v>5043965002</v>
      </c>
      <c r="E74" s="626">
        <f t="shared" si="23"/>
        <v>13464398379</v>
      </c>
      <c r="F74" s="626">
        <f t="shared" si="23"/>
        <v>4970540711</v>
      </c>
      <c r="G74" s="626">
        <f>+G53+G72</f>
        <v>102193771</v>
      </c>
      <c r="H74" s="626">
        <f>+H53+H72</f>
        <v>30942780</v>
      </c>
      <c r="I74" s="626">
        <f t="shared" si="23"/>
        <v>111964225</v>
      </c>
      <c r="J74" s="626">
        <f t="shared" si="23"/>
        <v>11249864</v>
      </c>
      <c r="K74" s="626">
        <f t="shared" si="23"/>
        <v>11813954</v>
      </c>
      <c r="L74" s="626">
        <f t="shared" si="23"/>
        <v>2672938</v>
      </c>
      <c r="M74" s="626">
        <f t="shared" si="23"/>
        <v>83991550</v>
      </c>
      <c r="N74" s="626">
        <f t="shared" si="23"/>
        <v>18941126</v>
      </c>
      <c r="O74" s="626">
        <f t="shared" si="23"/>
        <v>11373097</v>
      </c>
      <c r="P74" s="626">
        <f t="shared" si="23"/>
        <v>1942842</v>
      </c>
      <c r="Q74" s="626">
        <f t="shared" si="23"/>
        <v>140444362</v>
      </c>
      <c r="R74" s="626">
        <f t="shared" si="23"/>
        <v>39890782</v>
      </c>
      <c r="S74" s="626">
        <f t="shared" si="23"/>
        <v>22455552</v>
      </c>
      <c r="T74" s="626">
        <f t="shared" si="23"/>
        <v>1844064</v>
      </c>
      <c r="U74" s="626">
        <f t="shared" si="23"/>
        <v>53818596</v>
      </c>
      <c r="V74" s="626">
        <f t="shared" si="23"/>
        <v>3342519</v>
      </c>
      <c r="W74" s="626">
        <f t="shared" si="23"/>
        <v>25740128</v>
      </c>
      <c r="X74" s="626">
        <f t="shared" si="23"/>
        <v>18596</v>
      </c>
      <c r="Y74" s="626">
        <f t="shared" si="23"/>
        <v>71382731</v>
      </c>
      <c r="Z74" s="626">
        <f t="shared" si="23"/>
        <v>6478440</v>
      </c>
      <c r="AA74" s="626">
        <f t="shared" si="23"/>
        <v>0</v>
      </c>
      <c r="AB74" s="626">
        <f t="shared" si="23"/>
        <v>0</v>
      </c>
    </row>
    <row r="75" spans="1:36">
      <c r="Y75" s="435"/>
    </row>
    <row r="76" spans="1:36" s="269" customFormat="1" ht="15" customHeight="1">
      <c r="A76" s="34"/>
      <c r="B76" s="239" t="s">
        <v>788</v>
      </c>
      <c r="C76" s="34"/>
      <c r="D76" s="34"/>
      <c r="E76" s="34"/>
      <c r="F76" s="349"/>
      <c r="G76" s="349"/>
      <c r="H76" s="349"/>
      <c r="I76" s="349"/>
      <c r="J76" s="349"/>
      <c r="K76" s="349"/>
      <c r="L76" s="349"/>
      <c r="M76" s="349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 spans="1:36" s="269" customFormat="1" ht="11.25" customHeight="1">
      <c r="A77" s="34"/>
      <c r="B77" s="239"/>
      <c r="C77" s="34"/>
      <c r="D77" s="34"/>
      <c r="E77" s="34"/>
      <c r="F77" s="349"/>
      <c r="G77" s="349"/>
      <c r="H77" s="349"/>
      <c r="I77" s="349"/>
      <c r="J77" s="349"/>
      <c r="K77" s="349"/>
      <c r="L77" s="349"/>
      <c r="M77" s="349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</row>
    <row r="78" spans="1:36" s="269" customFormat="1" ht="15" customHeight="1">
      <c r="A78" s="34"/>
      <c r="B78" s="239" t="s">
        <v>789</v>
      </c>
      <c r="C78" s="34"/>
      <c r="D78" s="34"/>
      <c r="E78" s="34"/>
      <c r="F78" s="349"/>
      <c r="G78" s="349"/>
      <c r="H78" s="349"/>
      <c r="I78" s="349"/>
      <c r="J78" s="349"/>
      <c r="K78" s="349"/>
      <c r="L78" s="349"/>
      <c r="M78" s="349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</row>
    <row r="79" spans="1:36">
      <c r="B79" s="399"/>
    </row>
    <row r="80" spans="1:36">
      <c r="E80" s="424">
        <f>SUM('Asset quality'!D20:D46)+'Asset quality'!D16</f>
        <v>8874674380</v>
      </c>
      <c r="F80" s="424"/>
      <c r="G80" s="424">
        <f>SUM('Asset quality'!P20:P46)+'Asset quality'!P16</f>
        <v>69994518</v>
      </c>
      <c r="H80" s="424"/>
      <c r="I80" s="424">
        <f>SUM('Asset quality'!E20:E46)+'Asset quality'!E16</f>
        <v>101350120</v>
      </c>
      <c r="K80" s="424">
        <f>SUM('Asset quality'!Q20:Q46)+'Asset quality'!Q16</f>
        <v>11224998</v>
      </c>
      <c r="L80" s="424"/>
      <c r="M80" s="424">
        <f>SUM('Asset quality'!F20:F46)+'Asset quality'!F16</f>
        <v>69693118</v>
      </c>
      <c r="O80" s="424">
        <f>SUM('Asset quality'!R20:R46)+'Asset quality'!R16</f>
        <v>9975700</v>
      </c>
      <c r="P80" s="424"/>
      <c r="Q80" s="424">
        <f>SUM('Asset quality'!G20:G46)+'Asset quality'!G16</f>
        <v>80293320</v>
      </c>
      <c r="S80" s="424">
        <f>SUM('Asset quality'!S20:S46)+'Asset quality'!S16</f>
        <v>17020649</v>
      </c>
      <c r="T80" s="424"/>
      <c r="U80" s="424">
        <f>SUM('Asset quality'!H20:H46)+'Asset quality'!H16</f>
        <v>35866008</v>
      </c>
      <c r="W80" s="424">
        <f>SUM('Asset quality'!T20:T46)+'Asset quality'!T16</f>
        <v>18691475</v>
      </c>
      <c r="Y80" s="424">
        <f>+W80+S80+O80+K80</f>
        <v>56912822</v>
      </c>
    </row>
    <row r="81" spans="5:36">
      <c r="E81" s="424"/>
      <c r="G81" s="424">
        <f>+'Asset quality'!P9+'Asset quality'!P62</f>
        <v>102193771</v>
      </c>
      <c r="I81" s="424"/>
      <c r="K81" s="424">
        <f>+'Asset quality'!Q9+'Asset quality'!Q62</f>
        <v>11813954</v>
      </c>
      <c r="M81" s="424"/>
      <c r="O81" s="424">
        <f>+'Asset quality'!R9+'Asset quality'!R62</f>
        <v>11373097</v>
      </c>
      <c r="S81" s="424">
        <f>+'Asset quality'!S9+'Asset quality'!S62</f>
        <v>22455552</v>
      </c>
      <c r="U81" s="424"/>
      <c r="W81" s="424">
        <f>+'Asset quality'!T9+'Asset quality'!T62</f>
        <v>25740128</v>
      </c>
      <c r="Y81" s="424">
        <f>+W81+S81+O81+K81</f>
        <v>71382731</v>
      </c>
    </row>
    <row r="82" spans="5:36">
      <c r="E82" s="436">
        <f>+E80-E53</f>
        <v>0</v>
      </c>
      <c r="F82" s="436"/>
      <c r="G82" s="436">
        <f>+G80-G53</f>
        <v>0</v>
      </c>
      <c r="I82" s="436">
        <f>+I80-I53</f>
        <v>0</v>
      </c>
      <c r="K82" s="436">
        <f>+K80-K53</f>
        <v>0</v>
      </c>
      <c r="M82" s="436">
        <f>+M80-M53</f>
        <v>0</v>
      </c>
      <c r="O82" s="436">
        <f>+O80-O53</f>
        <v>0</v>
      </c>
      <c r="Q82" s="436">
        <f>+Q80-Q53</f>
        <v>0</v>
      </c>
      <c r="S82" s="436">
        <f>+S80-S53</f>
        <v>0</v>
      </c>
      <c r="U82" s="436">
        <f>+U80-U53</f>
        <v>0</v>
      </c>
      <c r="W82" s="436">
        <f>+W80-W53</f>
        <v>0</v>
      </c>
      <c r="Y82" s="436">
        <f>+Y80-Y53</f>
        <v>0</v>
      </c>
    </row>
    <row r="83" spans="5:36">
      <c r="E83" s="437"/>
      <c r="F83" s="436"/>
      <c r="G83" s="621">
        <f>+G81-G74</f>
        <v>0</v>
      </c>
      <c r="I83" s="436"/>
      <c r="K83" s="436">
        <f>+K81-K74</f>
        <v>0</v>
      </c>
      <c r="M83" s="436"/>
      <c r="O83" s="436">
        <f>+O81-O74</f>
        <v>0</v>
      </c>
      <c r="Q83" s="436"/>
      <c r="S83" s="436">
        <f>+S81-S74</f>
        <v>0</v>
      </c>
      <c r="U83" s="436"/>
      <c r="W83" s="436">
        <f>+W81-W74</f>
        <v>0</v>
      </c>
      <c r="Y83" s="436">
        <f>+Y81-Y74</f>
        <v>0</v>
      </c>
    </row>
    <row r="84" spans="5:36">
      <c r="AC84" s="273"/>
      <c r="AD84" s="273"/>
      <c r="AE84" s="273"/>
      <c r="AF84" s="273"/>
      <c r="AG84" s="273"/>
      <c r="AH84" s="273"/>
      <c r="AI84" s="273"/>
      <c r="AJ84" s="273"/>
    </row>
    <row r="87" spans="5:36" ht="79.5" customHeight="1"/>
  </sheetData>
  <sheetProtection password="CACA" sheet="1" objects="1" scenarios="1"/>
  <mergeCells count="1">
    <mergeCell ref="U3:V3"/>
  </mergeCells>
  <phoneticPr fontId="15" type="noConversion"/>
  <conditionalFormatting sqref="D31">
    <cfRule type="cellIs" dxfId="327" priority="178" operator="notEqual">
      <formula>$D$53</formula>
    </cfRule>
  </conditionalFormatting>
  <conditionalFormatting sqref="E31">
    <cfRule type="cellIs" dxfId="326" priority="177" operator="notEqual">
      <formula>$E$53</formula>
    </cfRule>
  </conditionalFormatting>
  <conditionalFormatting sqref="F31">
    <cfRule type="cellIs" dxfId="325" priority="176" operator="notEqual">
      <formula>$F$53</formula>
    </cfRule>
  </conditionalFormatting>
  <conditionalFormatting sqref="G31">
    <cfRule type="cellIs" dxfId="324" priority="175" operator="notEqual">
      <formula>$G$53</formula>
    </cfRule>
  </conditionalFormatting>
  <conditionalFormatting sqref="H31">
    <cfRule type="cellIs" dxfId="323" priority="174" operator="notEqual">
      <formula>$H$53</formula>
    </cfRule>
  </conditionalFormatting>
  <conditionalFormatting sqref="I31">
    <cfRule type="cellIs" dxfId="322" priority="173" operator="notEqual">
      <formula>$I$53</formula>
    </cfRule>
  </conditionalFormatting>
  <conditionalFormatting sqref="J31">
    <cfRule type="cellIs" dxfId="321" priority="171" operator="notEqual">
      <formula>$J$53</formula>
    </cfRule>
  </conditionalFormatting>
  <conditionalFormatting sqref="K31">
    <cfRule type="cellIs" dxfId="320" priority="170" operator="notEqual">
      <formula>$K$53</formula>
    </cfRule>
  </conditionalFormatting>
  <conditionalFormatting sqref="L31">
    <cfRule type="cellIs" dxfId="319" priority="169" operator="notEqual">
      <formula>$L$53</formula>
    </cfRule>
  </conditionalFormatting>
  <conditionalFormatting sqref="M31">
    <cfRule type="cellIs" dxfId="318" priority="167" operator="notEqual">
      <formula>$M$53</formula>
    </cfRule>
  </conditionalFormatting>
  <conditionalFormatting sqref="N31">
    <cfRule type="cellIs" dxfId="317" priority="166" operator="notEqual">
      <formula>$N$53</formula>
    </cfRule>
  </conditionalFormatting>
  <conditionalFormatting sqref="O31">
    <cfRule type="cellIs" dxfId="316" priority="165" operator="notEqual">
      <formula>$O$53</formula>
    </cfRule>
  </conditionalFormatting>
  <conditionalFormatting sqref="P31">
    <cfRule type="cellIs" dxfId="315" priority="164" operator="notEqual">
      <formula>$P$53</formula>
    </cfRule>
  </conditionalFormatting>
  <conditionalFormatting sqref="Q31">
    <cfRule type="cellIs" dxfId="314" priority="162" operator="notEqual">
      <formula>$Q$53</formula>
    </cfRule>
  </conditionalFormatting>
  <conditionalFormatting sqref="R31">
    <cfRule type="cellIs" dxfId="313" priority="161" operator="notEqual">
      <formula>$R$53</formula>
    </cfRule>
  </conditionalFormatting>
  <conditionalFormatting sqref="S31">
    <cfRule type="cellIs" dxfId="312" priority="160" operator="notEqual">
      <formula>$S$53</formula>
    </cfRule>
  </conditionalFormatting>
  <conditionalFormatting sqref="T31">
    <cfRule type="cellIs" dxfId="311" priority="159" operator="notEqual">
      <formula>$T$53</formula>
    </cfRule>
  </conditionalFormatting>
  <conditionalFormatting sqref="U31">
    <cfRule type="cellIs" dxfId="310" priority="158" operator="notEqual">
      <formula>$U$53</formula>
    </cfRule>
  </conditionalFormatting>
  <conditionalFormatting sqref="V31">
    <cfRule type="cellIs" dxfId="309" priority="157" operator="notEqual">
      <formula>$V$53</formula>
    </cfRule>
  </conditionalFormatting>
  <conditionalFormatting sqref="W31">
    <cfRule type="cellIs" dxfId="308" priority="156" operator="notEqual">
      <formula>$W$53</formula>
    </cfRule>
  </conditionalFormatting>
  <conditionalFormatting sqref="X31">
    <cfRule type="cellIs" dxfId="307" priority="155" operator="notEqual">
      <formula>$X$53</formula>
    </cfRule>
  </conditionalFormatting>
  <conditionalFormatting sqref="Y31">
    <cfRule type="cellIs" dxfId="306" priority="154" operator="notEqual">
      <formula>$Y$53</formula>
    </cfRule>
  </conditionalFormatting>
  <conditionalFormatting sqref="D32">
    <cfRule type="cellIs" dxfId="305" priority="151" operator="notEqual">
      <formula>$D$54</formula>
    </cfRule>
  </conditionalFormatting>
  <conditionalFormatting sqref="I32">
    <cfRule type="cellIs" dxfId="304" priority="141" operator="notEqual">
      <formula>$I$54</formula>
    </cfRule>
  </conditionalFormatting>
  <conditionalFormatting sqref="J32">
    <cfRule type="cellIs" dxfId="303" priority="140" operator="notEqual">
      <formula>$J$54</formula>
    </cfRule>
  </conditionalFormatting>
  <conditionalFormatting sqref="K32">
    <cfRule type="cellIs" dxfId="302" priority="139" operator="notEqual">
      <formula>$K$54</formula>
    </cfRule>
  </conditionalFormatting>
  <conditionalFormatting sqref="L32">
    <cfRule type="cellIs" dxfId="301" priority="138" operator="notEqual">
      <formula>$L$54</formula>
    </cfRule>
  </conditionalFormatting>
  <conditionalFormatting sqref="M32">
    <cfRule type="cellIs" dxfId="300" priority="137" operator="notEqual">
      <formula>$M$54</formula>
    </cfRule>
  </conditionalFormatting>
  <conditionalFormatting sqref="N32">
    <cfRule type="cellIs" dxfId="299" priority="136" operator="notEqual">
      <formula>$N$54</formula>
    </cfRule>
  </conditionalFormatting>
  <conditionalFormatting sqref="O32">
    <cfRule type="cellIs" dxfId="298" priority="135" operator="notEqual">
      <formula>$O$54</formula>
    </cfRule>
  </conditionalFormatting>
  <conditionalFormatting sqref="P32">
    <cfRule type="cellIs" dxfId="297" priority="134" operator="notEqual">
      <formula>$P$54</formula>
    </cfRule>
  </conditionalFormatting>
  <conditionalFormatting sqref="Q32">
    <cfRule type="cellIs" dxfId="296" priority="133" operator="notEqual">
      <formula>$Q$54</formula>
    </cfRule>
  </conditionalFormatting>
  <conditionalFormatting sqref="R32">
    <cfRule type="cellIs" dxfId="295" priority="132" operator="notEqual">
      <formula>$R$54</formula>
    </cfRule>
  </conditionalFormatting>
  <conditionalFormatting sqref="S32">
    <cfRule type="cellIs" dxfId="294" priority="131" operator="notEqual">
      <formula>$S$54</formula>
    </cfRule>
  </conditionalFormatting>
  <conditionalFormatting sqref="T32">
    <cfRule type="cellIs" dxfId="293" priority="130" operator="notEqual">
      <formula>$T$54</formula>
    </cfRule>
  </conditionalFormatting>
  <conditionalFormatting sqref="U32">
    <cfRule type="cellIs" dxfId="292" priority="129" operator="notEqual">
      <formula>$U$54</formula>
    </cfRule>
  </conditionalFormatting>
  <conditionalFormatting sqref="V32">
    <cfRule type="cellIs" dxfId="291" priority="128" operator="notEqual">
      <formula>$V$54</formula>
    </cfRule>
  </conditionalFormatting>
  <conditionalFormatting sqref="W32">
    <cfRule type="cellIs" dxfId="290" priority="127" operator="notEqual">
      <formula>$W$54</formula>
    </cfRule>
  </conditionalFormatting>
  <conditionalFormatting sqref="X32">
    <cfRule type="cellIs" dxfId="289" priority="126" operator="notEqual">
      <formula>$X$54</formula>
    </cfRule>
  </conditionalFormatting>
  <conditionalFormatting sqref="Y32">
    <cfRule type="cellIs" dxfId="288" priority="125" operator="notEqual">
      <formula>$Y$54</formula>
    </cfRule>
  </conditionalFormatting>
  <conditionalFormatting sqref="Z32:AB32">
    <cfRule type="cellIs" dxfId="287" priority="124" operator="notEqual">
      <formula>$Z$54</formula>
    </cfRule>
  </conditionalFormatting>
  <conditionalFormatting sqref="E32">
    <cfRule type="cellIs" dxfId="286" priority="123" operator="notEqual">
      <formula>$E$54</formula>
    </cfRule>
  </conditionalFormatting>
  <conditionalFormatting sqref="F32">
    <cfRule type="cellIs" dxfId="285" priority="122" operator="notEqual">
      <formula>$F$54</formula>
    </cfRule>
  </conditionalFormatting>
  <conditionalFormatting sqref="G32">
    <cfRule type="cellIs" dxfId="284" priority="121" operator="notEqual">
      <formula>$G$54</formula>
    </cfRule>
  </conditionalFormatting>
  <conditionalFormatting sqref="H32">
    <cfRule type="cellIs" dxfId="283" priority="119" operator="notEqual">
      <formula>$H$50</formula>
    </cfRule>
  </conditionalFormatting>
  <conditionalFormatting sqref="G74">
    <cfRule type="cellIs" dxfId="282" priority="51" operator="notEqual">
      <formula>$G$81</formula>
    </cfRule>
    <cfRule type="cellIs" dxfId="281" priority="116" operator="notEqual">
      <formula>$G$81</formula>
    </cfRule>
  </conditionalFormatting>
  <conditionalFormatting sqref="K74">
    <cfRule type="cellIs" dxfId="280" priority="50" operator="notEqual">
      <formula>$K$81</formula>
    </cfRule>
    <cfRule type="cellIs" dxfId="279" priority="114" operator="notEqual">
      <formula>$K$81</formula>
    </cfRule>
  </conditionalFormatting>
  <conditionalFormatting sqref="S74">
    <cfRule type="cellIs" dxfId="278" priority="48" operator="notEqual">
      <formula>$S$81</formula>
    </cfRule>
    <cfRule type="cellIs" dxfId="277" priority="110" operator="notEqual">
      <formula>$S$81</formula>
    </cfRule>
  </conditionalFormatting>
  <conditionalFormatting sqref="W74">
    <cfRule type="cellIs" dxfId="276" priority="47" operator="notEqual">
      <formula>$W$81</formula>
    </cfRule>
    <cfRule type="cellIs" dxfId="275" priority="108" operator="notEqual">
      <formula>$W$81</formula>
    </cfRule>
  </conditionalFormatting>
  <conditionalFormatting sqref="Y74">
    <cfRule type="cellIs" dxfId="274" priority="46" operator="notEqual">
      <formula>$Y$81</formula>
    </cfRule>
    <cfRule type="cellIs" dxfId="273" priority="105" operator="notEqual">
      <formula>$Y$81</formula>
    </cfRule>
  </conditionalFormatting>
  <conditionalFormatting sqref="O74">
    <cfRule type="cellIs" dxfId="272" priority="49" operator="notEqual">
      <formula>$O$81</formula>
    </cfRule>
    <cfRule type="cellIs" dxfId="271" priority="103" operator="notEqual">
      <formula>$O$81</formula>
    </cfRule>
  </conditionalFormatting>
  <conditionalFormatting sqref="G71">
    <cfRule type="cellIs" dxfId="270" priority="45" operator="notEqual">
      <formula>$G$80</formula>
    </cfRule>
    <cfRule type="cellIs" dxfId="269" priority="78" operator="notEqual">
      <formula>$G$31</formula>
    </cfRule>
  </conditionalFormatting>
  <conditionalFormatting sqref="K71">
    <cfRule type="cellIs" dxfId="268" priority="43" operator="notEqual">
      <formula>$K$80</formula>
    </cfRule>
    <cfRule type="cellIs" dxfId="267" priority="77" operator="notEqual">
      <formula>$K$31</formula>
    </cfRule>
  </conditionalFormatting>
  <conditionalFormatting sqref="S71">
    <cfRule type="cellIs" dxfId="266" priority="39" operator="notEqual">
      <formula>$S$80</formula>
    </cfRule>
    <cfRule type="cellIs" dxfId="265" priority="76" operator="notEqual">
      <formula>$S$31</formula>
    </cfRule>
  </conditionalFormatting>
  <conditionalFormatting sqref="W71">
    <cfRule type="cellIs" dxfId="264" priority="37" operator="notEqual">
      <formula>$W$80</formula>
    </cfRule>
    <cfRule type="cellIs" dxfId="263" priority="75" operator="notEqual">
      <formula>$W$31</formula>
    </cfRule>
  </conditionalFormatting>
  <conditionalFormatting sqref="Y71">
    <cfRule type="cellIs" dxfId="262" priority="36" operator="notEqual">
      <formula>$Y$80</formula>
    </cfRule>
    <cfRule type="cellIs" dxfId="261" priority="74" operator="notEqual">
      <formula>$Y$31</formula>
    </cfRule>
  </conditionalFormatting>
  <conditionalFormatting sqref="O71">
    <cfRule type="cellIs" dxfId="260" priority="41" operator="notEqual">
      <formula>$O$80</formula>
    </cfRule>
    <cfRule type="cellIs" dxfId="259" priority="73" operator="notEqual">
      <formula>$O$31</formula>
    </cfRule>
  </conditionalFormatting>
  <conditionalFormatting sqref="E71">
    <cfRule type="cellIs" dxfId="258" priority="35" operator="notEqual">
      <formula>$E$80</formula>
    </cfRule>
    <cfRule type="cellIs" dxfId="257" priority="72" operator="notEqual">
      <formula>$E$31</formula>
    </cfRule>
  </conditionalFormatting>
  <conditionalFormatting sqref="M71">
    <cfRule type="cellIs" dxfId="256" priority="42" operator="notEqual">
      <formula>$M$80</formula>
    </cfRule>
    <cfRule type="cellIs" dxfId="255" priority="70" operator="notEqual">
      <formula>$M$31</formula>
    </cfRule>
  </conditionalFormatting>
  <conditionalFormatting sqref="Q71">
    <cfRule type="cellIs" dxfId="254" priority="40" operator="notEqual">
      <formula>$Q$80</formula>
    </cfRule>
    <cfRule type="cellIs" dxfId="253" priority="69" operator="notEqual">
      <formula>$Q$31</formula>
    </cfRule>
  </conditionalFormatting>
  <conditionalFormatting sqref="U71">
    <cfRule type="cellIs" dxfId="252" priority="38" operator="notEqual">
      <formula>$U$80</formula>
    </cfRule>
    <cfRule type="cellIs" dxfId="251" priority="68" operator="notEqual">
      <formula>$U$31</formula>
    </cfRule>
  </conditionalFormatting>
  <conditionalFormatting sqref="H53">
    <cfRule type="cellIs" dxfId="250" priority="67" operator="notEqual">
      <formula>H71</formula>
    </cfRule>
  </conditionalFormatting>
  <conditionalFormatting sqref="J71">
    <cfRule type="cellIs" dxfId="249" priority="66" operator="notEqual">
      <formula>$J$31</formula>
    </cfRule>
  </conditionalFormatting>
  <conditionalFormatting sqref="I71">
    <cfRule type="cellIs" dxfId="248" priority="44" operator="notEqual">
      <formula>$I$80</formula>
    </cfRule>
  </conditionalFormatting>
  <conditionalFormatting sqref="G53">
    <cfRule type="cellIs" dxfId="247" priority="572" operator="notEqual">
      <formula>$G$71</formula>
    </cfRule>
  </conditionalFormatting>
  <conditionalFormatting sqref="K53">
    <cfRule type="cellIs" dxfId="246" priority="573" operator="notEqual">
      <formula>$K$71</formula>
    </cfRule>
  </conditionalFormatting>
  <conditionalFormatting sqref="S53">
    <cfRule type="cellIs" dxfId="245" priority="574" operator="notEqual">
      <formula>$S$71</formula>
    </cfRule>
  </conditionalFormatting>
  <conditionalFormatting sqref="W53">
    <cfRule type="cellIs" dxfId="244" priority="575" operator="notEqual">
      <formula>$W$71</formula>
    </cfRule>
  </conditionalFormatting>
  <conditionalFormatting sqref="Y53">
    <cfRule type="cellIs" dxfId="243" priority="576" operator="notEqual">
      <formula>$Y$71</formula>
    </cfRule>
  </conditionalFormatting>
  <conditionalFormatting sqref="O53">
    <cfRule type="cellIs" dxfId="242" priority="577" operator="notEqual">
      <formula>$O$71</formula>
    </cfRule>
  </conditionalFormatting>
  <conditionalFormatting sqref="E53">
    <cfRule type="cellIs" dxfId="241" priority="578" operator="notEqual">
      <formula>$E$71</formula>
    </cfRule>
  </conditionalFormatting>
  <conditionalFormatting sqref="M53">
    <cfRule type="cellIs" dxfId="240" priority="579" operator="notEqual">
      <formula>$M$71</formula>
    </cfRule>
  </conditionalFormatting>
  <conditionalFormatting sqref="Q53">
    <cfRule type="cellIs" dxfId="239" priority="580" operator="notEqual">
      <formula>$Q$71</formula>
    </cfRule>
  </conditionalFormatting>
  <conditionalFormatting sqref="U53">
    <cfRule type="cellIs" dxfId="238" priority="581" operator="notEqual">
      <formula>$U$71</formula>
    </cfRule>
  </conditionalFormatting>
  <conditionalFormatting sqref="D53">
    <cfRule type="cellIs" dxfId="237" priority="582" operator="notEqual">
      <formula>$D$71</formula>
    </cfRule>
  </conditionalFormatting>
  <conditionalFormatting sqref="F53">
    <cfRule type="cellIs" dxfId="236" priority="583" operator="notEqual">
      <formula>$F$71</formula>
    </cfRule>
  </conditionalFormatting>
  <conditionalFormatting sqref="I53">
    <cfRule type="cellIs" dxfId="235" priority="584" operator="notEqual">
      <formula>$I$71</formula>
    </cfRule>
  </conditionalFormatting>
  <conditionalFormatting sqref="J53">
    <cfRule type="cellIs" dxfId="234" priority="585" operator="notEqual">
      <formula>$J$71</formula>
    </cfRule>
  </conditionalFormatting>
  <conditionalFormatting sqref="L53">
    <cfRule type="cellIs" dxfId="233" priority="586" operator="notEqual">
      <formula>$L$71</formula>
    </cfRule>
  </conditionalFormatting>
  <conditionalFormatting sqref="N53">
    <cfRule type="cellIs" dxfId="232" priority="587" operator="notEqual">
      <formula>$N$71</formula>
    </cfRule>
  </conditionalFormatting>
  <conditionalFormatting sqref="P53">
    <cfRule type="cellIs" dxfId="231" priority="588" operator="notEqual">
      <formula>$P$71</formula>
    </cfRule>
  </conditionalFormatting>
  <conditionalFormatting sqref="R53">
    <cfRule type="cellIs" dxfId="230" priority="589" operator="notEqual">
      <formula>$R$71</formula>
    </cfRule>
  </conditionalFormatting>
  <conditionalFormatting sqref="T53">
    <cfRule type="cellIs" dxfId="229" priority="590" operator="notEqual">
      <formula>$T$71</formula>
    </cfRule>
  </conditionalFormatting>
  <conditionalFormatting sqref="V53">
    <cfRule type="cellIs" dxfId="228" priority="591" operator="notEqual">
      <formula>$V$71</formula>
    </cfRule>
  </conditionalFormatting>
  <conditionalFormatting sqref="X53">
    <cfRule type="cellIs" dxfId="227" priority="592" operator="notEqual">
      <formula>$X$71</formula>
    </cfRule>
  </conditionalFormatting>
  <conditionalFormatting sqref="AB53">
    <cfRule type="cellIs" dxfId="226" priority="593" operator="notEqual">
      <formula>$AB$71</formula>
    </cfRule>
  </conditionalFormatting>
  <conditionalFormatting sqref="C7">
    <cfRule type="cellIs" dxfId="225" priority="33" operator="notEqual">
      <formula>AC7</formula>
    </cfRule>
  </conditionalFormatting>
  <conditionalFormatting sqref="AA31">
    <cfRule type="cellIs" dxfId="224" priority="13" operator="notEqual">
      <formula>$AA$53</formula>
    </cfRule>
  </conditionalFormatting>
  <conditionalFormatting sqref="Z53">
    <cfRule type="cellIs" dxfId="223" priority="12" operator="notEqual">
      <formula>$Z$71</formula>
    </cfRule>
  </conditionalFormatting>
  <conditionalFormatting sqref="AA53">
    <cfRule type="cellIs" dxfId="222" priority="11" operator="notEqual">
      <formula>$AA$71</formula>
    </cfRule>
  </conditionalFormatting>
  <conditionalFormatting sqref="AB31">
    <cfRule type="cellIs" dxfId="221" priority="10" operator="notEqual">
      <formula>$AB$53</formula>
    </cfRule>
  </conditionalFormatting>
  <conditionalFormatting sqref="C31">
    <cfRule type="cellIs" dxfId="220" priority="3" operator="notEqual">
      <formula>AC31</formula>
    </cfRule>
  </conditionalFormatting>
  <conditionalFormatting sqref="C53">
    <cfRule type="cellIs" dxfId="219" priority="2" operator="notEqual">
      <formula>AC53</formula>
    </cfRule>
  </conditionalFormatting>
  <conditionalFormatting sqref="C71">
    <cfRule type="cellIs" dxfId="218" priority="1" operator="notEqual">
      <formula>AC71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72:X72 R49:R51 P49:P51 N49:N51 L49:L51 J49:J51 H49:H51 F49:F51 I44:I52 O44:O52 Q44:Q52 W29 F47 H47 J47 L47 N47 P47 R47 T47 V47 M29 I29 O29 Q29 S29 U29 K29 G29 S44:S52 U44:U52 K44:K52 G44:G52 W44:W52 M44:M52 E44:E52 X49:X50 F70 H70 J70 L70 N70 P70 R70 T70 V70 M57:M63 W57:W63 G57:G63 K57:K63 U57:U63 S57:S63 Q57:Q63 O57:O63 I57:I63 E57:E63 M35:M42 W35:W42 G35:G42 K35:K42 U35:U42 S35:S42 Q35:Q42 O35:O42 I35:I42 E35:E42 V49:V51 W65:W70 G65:G70 K65:K70 U65:U70 S65:S70 Q65:Q70 O65:O70 I65:I70 E65:E70 M65:M70 T49:T51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3 E73 G73 I73 K73 M73 O73 Q73 S73 U73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30" orientation="landscape" r:id="rId1"/>
  <headerFooter alignWithMargins="0"/>
  <ignoredErrors>
    <ignoredError sqref="C71:AC71 C74:AC77 C72:D72 Y72:Z72 AC72 C73:Z73 AC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>
    <pageSetUpPr fitToPage="1"/>
  </sheetPr>
  <dimension ref="A1:BC87"/>
  <sheetViews>
    <sheetView view="pageBreakPreview" zoomScale="40" zoomScaleNormal="62" zoomScaleSheetLayoutView="40" workbookViewId="0">
      <pane xSplit="2" ySplit="6" topLeftCell="C43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H72" sqref="H72"/>
    </sheetView>
  </sheetViews>
  <sheetFormatPr defaultColWidth="9.42578125" defaultRowHeight="12.75"/>
  <cols>
    <col min="1" max="1" width="5" style="269" customWidth="1"/>
    <col min="2" max="2" width="47.42578125" style="269" customWidth="1"/>
    <col min="3" max="3" width="17.28515625" style="269" customWidth="1"/>
    <col min="4" max="4" width="16.85546875" style="269" customWidth="1"/>
    <col min="5" max="6" width="18.28515625" style="269" customWidth="1"/>
    <col min="7" max="8" width="15.42578125" style="269" customWidth="1"/>
    <col min="9" max="9" width="12.28515625" style="269" customWidth="1"/>
    <col min="10" max="11" width="18.28515625" style="269" customWidth="1"/>
    <col min="12" max="13" width="15.42578125" style="269" customWidth="1"/>
    <col min="14" max="14" width="13.28515625" style="269" customWidth="1"/>
    <col min="15" max="16" width="15.42578125" style="269" customWidth="1"/>
    <col min="17" max="17" width="14.28515625" style="269" customWidth="1"/>
    <col min="18" max="19" width="18.28515625" style="269" customWidth="1"/>
    <col min="20" max="21" width="15.42578125" style="269" customWidth="1"/>
    <col min="22" max="22" width="13.7109375" style="269" customWidth="1"/>
    <col min="23" max="24" width="15.42578125" style="269" customWidth="1"/>
    <col min="25" max="25" width="12.7109375" style="269" customWidth="1"/>
    <col min="26" max="27" width="18.28515625" style="269" customWidth="1"/>
    <col min="28" max="29" width="15.42578125" style="269" customWidth="1"/>
    <col min="30" max="30" width="13.7109375" style="269" customWidth="1"/>
    <col min="31" max="32" width="15.42578125" style="269" customWidth="1"/>
    <col min="33" max="33" width="13.7109375" style="269" customWidth="1"/>
    <col min="34" max="35" width="18.28515625" style="269" customWidth="1"/>
    <col min="36" max="37" width="15.42578125" style="269" customWidth="1"/>
    <col min="38" max="38" width="13.7109375" style="269" customWidth="1"/>
    <col min="39" max="40" width="15.42578125" style="269" customWidth="1"/>
    <col min="41" max="41" width="14.42578125" style="269" customWidth="1"/>
    <col min="42" max="43" width="15.42578125" style="269" customWidth="1"/>
    <col min="44" max="44" width="17.140625" style="269" customWidth="1"/>
    <col min="45" max="46" width="15.42578125" style="269" customWidth="1"/>
    <col min="47" max="47" width="14.42578125" style="269" customWidth="1"/>
    <col min="48" max="48" width="15.5703125" style="649" customWidth="1"/>
    <col min="49" max="49" width="14.7109375" style="649" customWidth="1"/>
    <col min="50" max="55" width="9.42578125" style="649"/>
    <col min="56" max="16384" width="9.42578125" style="269"/>
  </cols>
  <sheetData>
    <row r="1" spans="1:55" ht="21" customHeight="1">
      <c r="A1" s="647" t="s">
        <v>811</v>
      </c>
      <c r="B1" s="279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/>
      <c r="W1" s="648"/>
      <c r="X1" s="648"/>
      <c r="Y1" s="648"/>
      <c r="Z1" s="648"/>
      <c r="AA1" s="648"/>
      <c r="AB1" s="648"/>
      <c r="AC1" s="648"/>
      <c r="AD1" s="648"/>
      <c r="AE1" s="648"/>
      <c r="AF1" s="648"/>
      <c r="AG1" s="648"/>
      <c r="AH1" s="648"/>
      <c r="AI1" s="648"/>
      <c r="AK1" s="648"/>
      <c r="AL1" s="648"/>
      <c r="AM1" s="648"/>
      <c r="AN1" s="648"/>
      <c r="AO1" s="648"/>
      <c r="AP1" s="648"/>
      <c r="AQ1" s="648"/>
      <c r="AR1" s="648"/>
      <c r="AS1" s="438"/>
      <c r="AT1" s="438" t="s">
        <v>803</v>
      </c>
      <c r="AU1" s="438"/>
    </row>
    <row r="2" spans="1:55" ht="12.75" customHeight="1">
      <c r="A2" s="647"/>
      <c r="B2" s="279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8"/>
      <c r="X2" s="648"/>
      <c r="Y2" s="648"/>
      <c r="Z2" s="648"/>
      <c r="AA2" s="648"/>
      <c r="AB2" s="648"/>
      <c r="AC2" s="648"/>
      <c r="AD2" s="648"/>
      <c r="AE2" s="648"/>
      <c r="AF2" s="648"/>
      <c r="AG2" s="648"/>
      <c r="AH2" s="648"/>
      <c r="AI2" s="648"/>
      <c r="AK2" s="648"/>
      <c r="AL2" s="648"/>
      <c r="AM2" s="648"/>
      <c r="AN2" s="648"/>
      <c r="AO2" s="648"/>
      <c r="AP2" s="648"/>
      <c r="AQ2" s="648"/>
      <c r="AR2" s="648"/>
      <c r="AS2" s="438"/>
      <c r="AT2" s="438"/>
      <c r="AU2" s="438"/>
    </row>
    <row r="3" spans="1:55" ht="15.75">
      <c r="A3" s="277"/>
      <c r="B3" s="311" t="str">
        <f>+'Asset quality'!B3</f>
        <v>"Алоқабанк"</v>
      </c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723">
        <f>+'Asset quality'!Q3</f>
        <v>44926</v>
      </c>
      <c r="AI3" s="723"/>
      <c r="AJ3" s="650"/>
      <c r="AK3" s="277"/>
      <c r="AL3" s="277"/>
      <c r="AM3" s="277"/>
      <c r="AN3" s="277"/>
      <c r="AO3" s="277"/>
      <c r="AP3" s="277"/>
      <c r="AQ3" s="277"/>
      <c r="AR3" s="277"/>
      <c r="AT3" s="651"/>
      <c r="AU3" s="651" t="str">
        <f>+'Asset quality'!T3</f>
        <v>минг. сўмда</v>
      </c>
    </row>
    <row r="4" spans="1:55" s="33" customFormat="1" ht="51" customHeight="1">
      <c r="A4" s="724" t="s">
        <v>62</v>
      </c>
      <c r="B4" s="726" t="s">
        <v>285</v>
      </c>
      <c r="C4" s="728" t="s">
        <v>654</v>
      </c>
      <c r="D4" s="728" t="s">
        <v>655</v>
      </c>
      <c r="E4" s="728" t="s">
        <v>656</v>
      </c>
      <c r="F4" s="728" t="s">
        <v>655</v>
      </c>
      <c r="G4" s="730" t="s">
        <v>796</v>
      </c>
      <c r="H4" s="731"/>
      <c r="I4" s="731"/>
      <c r="J4" s="728" t="s">
        <v>657</v>
      </c>
      <c r="K4" s="728" t="s">
        <v>655</v>
      </c>
      <c r="L4" s="730" t="s">
        <v>797</v>
      </c>
      <c r="M4" s="731"/>
      <c r="N4" s="731"/>
      <c r="O4" s="730" t="s">
        <v>655</v>
      </c>
      <c r="P4" s="731"/>
      <c r="Q4" s="731"/>
      <c r="R4" s="728" t="s">
        <v>659</v>
      </c>
      <c r="S4" s="728" t="s">
        <v>655</v>
      </c>
      <c r="T4" s="730" t="s">
        <v>798</v>
      </c>
      <c r="U4" s="731"/>
      <c r="V4" s="731"/>
      <c r="W4" s="730" t="s">
        <v>655</v>
      </c>
      <c r="X4" s="731"/>
      <c r="Y4" s="731"/>
      <c r="Z4" s="728" t="s">
        <v>661</v>
      </c>
      <c r="AA4" s="728" t="s">
        <v>655</v>
      </c>
      <c r="AB4" s="730" t="s">
        <v>799</v>
      </c>
      <c r="AC4" s="731"/>
      <c r="AD4" s="731"/>
      <c r="AE4" s="730" t="s">
        <v>655</v>
      </c>
      <c r="AF4" s="731"/>
      <c r="AG4" s="731"/>
      <c r="AH4" s="728" t="s">
        <v>663</v>
      </c>
      <c r="AI4" s="728" t="s">
        <v>655</v>
      </c>
      <c r="AJ4" s="730" t="s">
        <v>800</v>
      </c>
      <c r="AK4" s="731"/>
      <c r="AL4" s="731"/>
      <c r="AM4" s="730" t="s">
        <v>655</v>
      </c>
      <c r="AN4" s="731"/>
      <c r="AO4" s="731"/>
      <c r="AP4" s="730" t="s">
        <v>665</v>
      </c>
      <c r="AQ4" s="731"/>
      <c r="AR4" s="731"/>
      <c r="AS4" s="730" t="s">
        <v>655</v>
      </c>
      <c r="AT4" s="731"/>
      <c r="AU4" s="731"/>
      <c r="AV4" s="214"/>
      <c r="AW4" s="214"/>
      <c r="AX4" s="214"/>
      <c r="AY4" s="214"/>
      <c r="AZ4" s="214"/>
      <c r="BA4" s="214"/>
      <c r="BB4" s="214"/>
      <c r="BC4" s="214"/>
    </row>
    <row r="5" spans="1:55" s="33" customFormat="1" ht="51" customHeight="1">
      <c r="A5" s="725"/>
      <c r="B5" s="727"/>
      <c r="C5" s="729"/>
      <c r="D5" s="729"/>
      <c r="E5" s="729"/>
      <c r="F5" s="729"/>
      <c r="G5" s="652" t="s">
        <v>801</v>
      </c>
      <c r="H5" s="652" t="s">
        <v>802</v>
      </c>
      <c r="I5" s="652" t="s">
        <v>468</v>
      </c>
      <c r="J5" s="729"/>
      <c r="K5" s="729"/>
      <c r="L5" s="652" t="s">
        <v>801</v>
      </c>
      <c r="M5" s="652" t="s">
        <v>802</v>
      </c>
      <c r="N5" s="652" t="s">
        <v>468</v>
      </c>
      <c r="O5" s="652" t="s">
        <v>801</v>
      </c>
      <c r="P5" s="652" t="s">
        <v>802</v>
      </c>
      <c r="Q5" s="652" t="s">
        <v>468</v>
      </c>
      <c r="R5" s="729"/>
      <c r="S5" s="729"/>
      <c r="T5" s="652" t="s">
        <v>801</v>
      </c>
      <c r="U5" s="652" t="s">
        <v>802</v>
      </c>
      <c r="V5" s="652" t="s">
        <v>468</v>
      </c>
      <c r="W5" s="652" t="s">
        <v>801</v>
      </c>
      <c r="X5" s="652" t="s">
        <v>802</v>
      </c>
      <c r="Y5" s="652" t="s">
        <v>468</v>
      </c>
      <c r="Z5" s="729"/>
      <c r="AA5" s="729"/>
      <c r="AB5" s="652" t="s">
        <v>801</v>
      </c>
      <c r="AC5" s="652" t="s">
        <v>802</v>
      </c>
      <c r="AD5" s="652" t="s">
        <v>468</v>
      </c>
      <c r="AE5" s="652" t="s">
        <v>801</v>
      </c>
      <c r="AF5" s="652" t="s">
        <v>802</v>
      </c>
      <c r="AG5" s="652" t="s">
        <v>468</v>
      </c>
      <c r="AH5" s="729"/>
      <c r="AI5" s="729"/>
      <c r="AJ5" s="652" t="s">
        <v>801</v>
      </c>
      <c r="AK5" s="652" t="s">
        <v>802</v>
      </c>
      <c r="AL5" s="652" t="s">
        <v>468</v>
      </c>
      <c r="AM5" s="652" t="s">
        <v>801</v>
      </c>
      <c r="AN5" s="652" t="s">
        <v>802</v>
      </c>
      <c r="AO5" s="652" t="s">
        <v>468</v>
      </c>
      <c r="AP5" s="652" t="s">
        <v>801</v>
      </c>
      <c r="AQ5" s="652" t="s">
        <v>802</v>
      </c>
      <c r="AR5" s="652" t="s">
        <v>468</v>
      </c>
      <c r="AS5" s="652" t="s">
        <v>801</v>
      </c>
      <c r="AT5" s="652" t="s">
        <v>802</v>
      </c>
      <c r="AU5" s="652" t="s">
        <v>468</v>
      </c>
      <c r="AV5" s="214"/>
      <c r="AW5" s="214"/>
      <c r="AX5" s="214"/>
      <c r="AY5" s="214"/>
      <c r="AZ5" s="214"/>
      <c r="BA5" s="214"/>
      <c r="BB5" s="214"/>
      <c r="BC5" s="214"/>
    </row>
    <row r="6" spans="1:55" s="653" customFormat="1" ht="27.75" customHeight="1">
      <c r="A6" s="626"/>
      <c r="B6" s="626" t="s">
        <v>668</v>
      </c>
      <c r="C6" s="626"/>
      <c r="D6" s="626"/>
      <c r="E6" s="626"/>
      <c r="F6" s="626"/>
      <c r="G6" s="626"/>
      <c r="H6" s="626"/>
      <c r="I6" s="626"/>
      <c r="J6" s="626"/>
      <c r="K6" s="626"/>
      <c r="L6" s="626"/>
      <c r="M6" s="626"/>
      <c r="N6" s="626"/>
      <c r="O6" s="626"/>
      <c r="P6" s="626"/>
      <c r="Q6" s="626"/>
      <c r="R6" s="626"/>
      <c r="S6" s="626"/>
      <c r="T6" s="626"/>
      <c r="U6" s="626"/>
      <c r="V6" s="626"/>
      <c r="W6" s="626"/>
      <c r="X6" s="626"/>
      <c r="Y6" s="626"/>
      <c r="Z6" s="626"/>
      <c r="AA6" s="626"/>
      <c r="AB6" s="626"/>
      <c r="AC6" s="626"/>
      <c r="AD6" s="626"/>
      <c r="AE6" s="626"/>
      <c r="AF6" s="626"/>
      <c r="AG6" s="626"/>
      <c r="AH6" s="626"/>
      <c r="AI6" s="626"/>
      <c r="AJ6" s="626"/>
      <c r="AK6" s="626"/>
      <c r="AL6" s="626"/>
      <c r="AM6" s="626"/>
      <c r="AN6" s="626"/>
      <c r="AO6" s="626"/>
      <c r="AP6" s="626"/>
      <c r="AQ6" s="626"/>
      <c r="AR6" s="626"/>
      <c r="AS6" s="626"/>
      <c r="AT6" s="626"/>
      <c r="AU6" s="626"/>
    </row>
    <row r="7" spans="1:55" s="276" customFormat="1" ht="23.25" customHeight="1">
      <c r="A7" s="654">
        <v>1</v>
      </c>
      <c r="B7" s="169" t="s">
        <v>669</v>
      </c>
      <c r="C7" s="655">
        <f>+'Asset Classification'!C7</f>
        <v>0</v>
      </c>
      <c r="D7" s="656">
        <f>+'Asset Classification'!D7</f>
        <v>0</v>
      </c>
      <c r="E7" s="656">
        <f>+'Asset Classification'!E7</f>
        <v>0</v>
      </c>
      <c r="F7" s="656">
        <f>+'Asset Classification'!F7</f>
        <v>0</v>
      </c>
      <c r="G7" s="656">
        <f>+'Asset Classification'!G7</f>
        <v>0</v>
      </c>
      <c r="H7" s="656">
        <f>+E7*1%</f>
        <v>0</v>
      </c>
      <c r="I7" s="656">
        <f>+G7-H7</f>
        <v>0</v>
      </c>
      <c r="J7" s="656">
        <f>+'Asset Classification'!I7</f>
        <v>0</v>
      </c>
      <c r="K7" s="656">
        <f>+'Asset Classification'!J7</f>
        <v>0</v>
      </c>
      <c r="L7" s="656">
        <f>+'Asset Classification'!K7</f>
        <v>0</v>
      </c>
      <c r="M7" s="656">
        <f>+J7*10%</f>
        <v>0</v>
      </c>
      <c r="N7" s="656">
        <f>+L7-M7</f>
        <v>0</v>
      </c>
      <c r="O7" s="656">
        <f>+'Asset Classification'!L7</f>
        <v>0</v>
      </c>
      <c r="P7" s="656">
        <f>+K7*10%</f>
        <v>0</v>
      </c>
      <c r="Q7" s="656">
        <f>+O7-P7</f>
        <v>0</v>
      </c>
      <c r="R7" s="656">
        <f>+'Asset Classification'!M7</f>
        <v>0</v>
      </c>
      <c r="S7" s="656">
        <f>+'Asset Classification'!N7</f>
        <v>0</v>
      </c>
      <c r="T7" s="656">
        <f>+'Asset Classification'!O7</f>
        <v>0</v>
      </c>
      <c r="U7" s="656">
        <f>+R7*25%</f>
        <v>0</v>
      </c>
      <c r="V7" s="656">
        <f>+T7-U7</f>
        <v>0</v>
      </c>
      <c r="W7" s="656">
        <f>+'Asset Classification'!P7</f>
        <v>0</v>
      </c>
      <c r="X7" s="656">
        <f>+S7*25%</f>
        <v>0</v>
      </c>
      <c r="Y7" s="656">
        <f>+W7-X7</f>
        <v>0</v>
      </c>
      <c r="Z7" s="656">
        <f>+'Asset Classification'!Q7</f>
        <v>0</v>
      </c>
      <c r="AA7" s="656">
        <f>+'Asset Classification'!R7</f>
        <v>0</v>
      </c>
      <c r="AB7" s="656">
        <f>+'Asset Classification'!S7</f>
        <v>0</v>
      </c>
      <c r="AC7" s="656">
        <f>+Z7*50%</f>
        <v>0</v>
      </c>
      <c r="AD7" s="656">
        <f>+AB7-AC7</f>
        <v>0</v>
      </c>
      <c r="AE7" s="656">
        <f>+'Asset Classification'!T7</f>
        <v>0</v>
      </c>
      <c r="AF7" s="656">
        <f>+AA7*50%</f>
        <v>0</v>
      </c>
      <c r="AG7" s="656">
        <f>+AE7-AF7</f>
        <v>0</v>
      </c>
      <c r="AH7" s="656">
        <f>+'Asset Classification'!U7</f>
        <v>0</v>
      </c>
      <c r="AI7" s="656">
        <f>+'Asset Classification'!V7</f>
        <v>0</v>
      </c>
      <c r="AJ7" s="656">
        <f>+'Asset Classification'!W7</f>
        <v>0</v>
      </c>
      <c r="AK7" s="656">
        <f>+AH7*100%</f>
        <v>0</v>
      </c>
      <c r="AL7" s="656">
        <f>+AJ7-AK7</f>
        <v>0</v>
      </c>
      <c r="AM7" s="656">
        <f>+'Asset Classification'!X7</f>
        <v>0</v>
      </c>
      <c r="AN7" s="656">
        <f>+AI7*100%</f>
        <v>0</v>
      </c>
      <c r="AO7" s="656">
        <f>+AM7-AN7</f>
        <v>0</v>
      </c>
      <c r="AP7" s="643">
        <f>+L7+T7+AB7+AJ7</f>
        <v>0</v>
      </c>
      <c r="AQ7" s="643">
        <f>+M7+U7+AC7+AK7</f>
        <v>0</v>
      </c>
      <c r="AR7" s="643">
        <f>+AP7-AQ7</f>
        <v>0</v>
      </c>
      <c r="AS7" s="656">
        <f t="shared" ref="AS7:AT30" si="0">+O7+W7+AE7+AM7</f>
        <v>0</v>
      </c>
      <c r="AT7" s="656">
        <f t="shared" si="0"/>
        <v>0</v>
      </c>
      <c r="AU7" s="656">
        <f>+AS7-AT7</f>
        <v>0</v>
      </c>
      <c r="AV7" s="657">
        <f>+'Aging Analysis'!C9</f>
        <v>0</v>
      </c>
      <c r="AW7" s="658"/>
      <c r="AX7" s="658"/>
      <c r="AY7" s="658"/>
      <c r="AZ7" s="658"/>
      <c r="BA7" s="658"/>
      <c r="BB7" s="658"/>
      <c r="BC7" s="658"/>
    </row>
    <row r="8" spans="1:55" s="276" customFormat="1" ht="14.25" customHeight="1">
      <c r="A8" s="654"/>
      <c r="B8" s="659" t="s">
        <v>670</v>
      </c>
      <c r="C8" s="655">
        <f>+'Asset Classification'!C8</f>
        <v>0</v>
      </c>
      <c r="D8" s="656">
        <f>+'Asset Classification'!D8</f>
        <v>0</v>
      </c>
      <c r="E8" s="660">
        <f>+'Asset Classification'!E8</f>
        <v>0</v>
      </c>
      <c r="F8" s="656">
        <f>+'Asset Classification'!F8</f>
        <v>0</v>
      </c>
      <c r="G8" s="660">
        <f>+'Asset Classification'!G8</f>
        <v>0</v>
      </c>
      <c r="H8" s="656">
        <f t="shared" ref="H8:H30" si="1">+E8*1%</f>
        <v>0</v>
      </c>
      <c r="I8" s="656">
        <f t="shared" ref="I8:I30" si="2">+G8-H8</f>
        <v>0</v>
      </c>
      <c r="J8" s="660">
        <f>+'Asset Classification'!I8</f>
        <v>0</v>
      </c>
      <c r="K8" s="656">
        <f>+'Asset Classification'!J8</f>
        <v>0</v>
      </c>
      <c r="L8" s="660">
        <f>+'Asset Classification'!K8</f>
        <v>0</v>
      </c>
      <c r="M8" s="656">
        <f t="shared" ref="M8:M30" si="3">+J8*10%</f>
        <v>0</v>
      </c>
      <c r="N8" s="656">
        <f t="shared" ref="N8:N30" si="4">+L8-M8</f>
        <v>0</v>
      </c>
      <c r="O8" s="656">
        <f>+'Asset Classification'!L8</f>
        <v>0</v>
      </c>
      <c r="P8" s="656">
        <f t="shared" ref="P8:P30" si="5">+K8*10%</f>
        <v>0</v>
      </c>
      <c r="Q8" s="656">
        <f t="shared" ref="Q8:Q30" si="6">+O8-P8</f>
        <v>0</v>
      </c>
      <c r="R8" s="660">
        <f>+'Asset Classification'!M8</f>
        <v>0</v>
      </c>
      <c r="S8" s="656">
        <f>+'Asset Classification'!N8</f>
        <v>0</v>
      </c>
      <c r="T8" s="660">
        <f>+'Asset Classification'!O8</f>
        <v>0</v>
      </c>
      <c r="U8" s="656">
        <f t="shared" ref="U8:U30" si="7">+R8*25%</f>
        <v>0</v>
      </c>
      <c r="V8" s="656">
        <f t="shared" ref="V8:V30" si="8">+T8-U8</f>
        <v>0</v>
      </c>
      <c r="W8" s="656">
        <f>+'Asset Classification'!P8</f>
        <v>0</v>
      </c>
      <c r="X8" s="656">
        <f t="shared" ref="X8:X30" si="9">+S8*25%</f>
        <v>0</v>
      </c>
      <c r="Y8" s="656">
        <f t="shared" ref="Y8:Y30" si="10">+W8-X8</f>
        <v>0</v>
      </c>
      <c r="Z8" s="660">
        <f>+'Asset Classification'!Q8</f>
        <v>0</v>
      </c>
      <c r="AA8" s="656">
        <f>+'Asset Classification'!R8</f>
        <v>0</v>
      </c>
      <c r="AB8" s="660">
        <f>+'Asset Classification'!S8</f>
        <v>0</v>
      </c>
      <c r="AC8" s="656">
        <f t="shared" ref="AC8:AC30" si="11">+Z8*50%</f>
        <v>0</v>
      </c>
      <c r="AD8" s="656">
        <f t="shared" ref="AD8:AD30" si="12">+AB8-AC8</f>
        <v>0</v>
      </c>
      <c r="AE8" s="656">
        <f>+'Asset Classification'!T8</f>
        <v>0</v>
      </c>
      <c r="AF8" s="656">
        <f t="shared" ref="AF8:AF30" si="13">+AA8*50%</f>
        <v>0</v>
      </c>
      <c r="AG8" s="656">
        <f t="shared" ref="AG8:AG30" si="14">+AE8-AF8</f>
        <v>0</v>
      </c>
      <c r="AH8" s="660">
        <f>+'Asset Classification'!U8</f>
        <v>0</v>
      </c>
      <c r="AI8" s="656">
        <f>+'Asset Classification'!V8</f>
        <v>0</v>
      </c>
      <c r="AJ8" s="660">
        <f>+'Asset Classification'!W8</f>
        <v>0</v>
      </c>
      <c r="AK8" s="656">
        <f t="shared" ref="AK8:AK30" si="15">+AH8*100%</f>
        <v>0</v>
      </c>
      <c r="AL8" s="656">
        <f t="shared" ref="AL8:AL30" si="16">+AJ8-AK8</f>
        <v>0</v>
      </c>
      <c r="AM8" s="656">
        <f>+'Asset Classification'!X8</f>
        <v>0</v>
      </c>
      <c r="AN8" s="656">
        <f t="shared" ref="AN8:AN30" si="17">+AI8*100%</f>
        <v>0</v>
      </c>
      <c r="AO8" s="656">
        <f t="shared" ref="AO8:AO30" si="18">+AM8-AN8</f>
        <v>0</v>
      </c>
      <c r="AP8" s="643">
        <f t="shared" ref="AP8:AQ30" si="19">+L8+T8+AB8+AJ8</f>
        <v>0</v>
      </c>
      <c r="AQ8" s="643">
        <f t="shared" si="19"/>
        <v>0</v>
      </c>
      <c r="AR8" s="643">
        <f t="shared" ref="AR8:AR30" si="20">+AP8-AQ8</f>
        <v>0</v>
      </c>
      <c r="AS8" s="656">
        <f t="shared" si="0"/>
        <v>0</v>
      </c>
      <c r="AT8" s="656">
        <f t="shared" si="0"/>
        <v>0</v>
      </c>
      <c r="AU8" s="656">
        <f t="shared" ref="AU8:AU30" si="21">+AS8-AT8</f>
        <v>0</v>
      </c>
      <c r="AW8" s="658"/>
      <c r="AX8" s="658"/>
      <c r="AY8" s="658"/>
      <c r="AZ8" s="658"/>
      <c r="BA8" s="658"/>
      <c r="BB8" s="658"/>
      <c r="BC8" s="658"/>
    </row>
    <row r="9" spans="1:55" s="276" customFormat="1" ht="23.25" customHeight="1">
      <c r="A9" s="654">
        <v>2</v>
      </c>
      <c r="B9" s="169" t="s">
        <v>671</v>
      </c>
      <c r="C9" s="655">
        <f>+'Asset Classification'!C9</f>
        <v>0</v>
      </c>
      <c r="D9" s="656">
        <f>+'Asset Classification'!D9</f>
        <v>0</v>
      </c>
      <c r="E9" s="661">
        <f>+'Asset Classification'!E9</f>
        <v>0</v>
      </c>
      <c r="F9" s="662">
        <f>+'Asset Classification'!F9</f>
        <v>0</v>
      </c>
      <c r="G9" s="661">
        <f>+'Asset Classification'!G9</f>
        <v>0</v>
      </c>
      <c r="H9" s="656">
        <f t="shared" si="1"/>
        <v>0</v>
      </c>
      <c r="I9" s="656">
        <f t="shared" si="2"/>
        <v>0</v>
      </c>
      <c r="J9" s="661">
        <f>+'Asset Classification'!I9</f>
        <v>0</v>
      </c>
      <c r="K9" s="662">
        <f>+'Asset Classification'!J9</f>
        <v>0</v>
      </c>
      <c r="L9" s="661">
        <f>+'Asset Classification'!K9</f>
        <v>0</v>
      </c>
      <c r="M9" s="656">
        <f t="shared" si="3"/>
        <v>0</v>
      </c>
      <c r="N9" s="656">
        <f t="shared" si="4"/>
        <v>0</v>
      </c>
      <c r="O9" s="662">
        <f>+'Asset Classification'!L9</f>
        <v>0</v>
      </c>
      <c r="P9" s="656">
        <f t="shared" si="5"/>
        <v>0</v>
      </c>
      <c r="Q9" s="656">
        <f t="shared" si="6"/>
        <v>0</v>
      </c>
      <c r="R9" s="661">
        <f>+'Asset Classification'!M9</f>
        <v>0</v>
      </c>
      <c r="S9" s="662">
        <f>+'Asset Classification'!N9</f>
        <v>0</v>
      </c>
      <c r="T9" s="661">
        <f>+'Asset Classification'!O9</f>
        <v>0</v>
      </c>
      <c r="U9" s="656">
        <f t="shared" si="7"/>
        <v>0</v>
      </c>
      <c r="V9" s="656">
        <f t="shared" si="8"/>
        <v>0</v>
      </c>
      <c r="W9" s="662">
        <f>+'Asset Classification'!P9</f>
        <v>0</v>
      </c>
      <c r="X9" s="656">
        <f t="shared" si="9"/>
        <v>0</v>
      </c>
      <c r="Y9" s="656">
        <f t="shared" si="10"/>
        <v>0</v>
      </c>
      <c r="Z9" s="661">
        <f>+'Asset Classification'!Q9</f>
        <v>0</v>
      </c>
      <c r="AA9" s="662">
        <f>+'Asset Classification'!R9</f>
        <v>0</v>
      </c>
      <c r="AB9" s="661">
        <f>+'Asset Classification'!S9</f>
        <v>0</v>
      </c>
      <c r="AC9" s="656">
        <f t="shared" si="11"/>
        <v>0</v>
      </c>
      <c r="AD9" s="656">
        <f t="shared" si="12"/>
        <v>0</v>
      </c>
      <c r="AE9" s="662">
        <f>+'Asset Classification'!T9</f>
        <v>0</v>
      </c>
      <c r="AF9" s="656">
        <f t="shared" si="13"/>
        <v>0</v>
      </c>
      <c r="AG9" s="656">
        <f t="shared" si="14"/>
        <v>0</v>
      </c>
      <c r="AH9" s="661">
        <f>+'Asset Classification'!U9</f>
        <v>0</v>
      </c>
      <c r="AI9" s="662">
        <f>+'Asset Classification'!V9</f>
        <v>0</v>
      </c>
      <c r="AJ9" s="661">
        <f>+'Asset Classification'!W9</f>
        <v>0</v>
      </c>
      <c r="AK9" s="656">
        <f t="shared" si="15"/>
        <v>0</v>
      </c>
      <c r="AL9" s="656">
        <f t="shared" si="16"/>
        <v>0</v>
      </c>
      <c r="AM9" s="662">
        <f>+'Asset Classification'!X9</f>
        <v>0</v>
      </c>
      <c r="AN9" s="656">
        <f t="shared" si="17"/>
        <v>0</v>
      </c>
      <c r="AO9" s="656">
        <f t="shared" si="18"/>
        <v>0</v>
      </c>
      <c r="AP9" s="643">
        <f t="shared" si="19"/>
        <v>0</v>
      </c>
      <c r="AQ9" s="643">
        <f t="shared" si="19"/>
        <v>0</v>
      </c>
      <c r="AR9" s="643">
        <f t="shared" si="20"/>
        <v>0</v>
      </c>
      <c r="AS9" s="656">
        <f t="shared" si="0"/>
        <v>0</v>
      </c>
      <c r="AT9" s="656">
        <f t="shared" si="0"/>
        <v>0</v>
      </c>
      <c r="AU9" s="656">
        <f t="shared" si="21"/>
        <v>0</v>
      </c>
      <c r="AV9" s="657">
        <f>+'Aging Analysis'!C10</f>
        <v>0</v>
      </c>
      <c r="AW9" s="658"/>
      <c r="AX9" s="658"/>
      <c r="AY9" s="658"/>
      <c r="AZ9" s="658"/>
      <c r="BA9" s="658"/>
      <c r="BB9" s="658"/>
      <c r="BC9" s="658"/>
    </row>
    <row r="10" spans="1:55" s="276" customFormat="1" ht="14.25" customHeight="1">
      <c r="A10" s="654"/>
      <c r="B10" s="659" t="s">
        <v>670</v>
      </c>
      <c r="C10" s="655">
        <f>+'Asset Classification'!C10</f>
        <v>0</v>
      </c>
      <c r="D10" s="656">
        <f>+'Asset Classification'!D10</f>
        <v>0</v>
      </c>
      <c r="E10" s="661">
        <f>+'Asset Classification'!E10</f>
        <v>0</v>
      </c>
      <c r="F10" s="662">
        <f>+'Asset Classification'!F10</f>
        <v>0</v>
      </c>
      <c r="G10" s="661">
        <f>+'Asset Classification'!G10</f>
        <v>0</v>
      </c>
      <c r="H10" s="656">
        <f t="shared" si="1"/>
        <v>0</v>
      </c>
      <c r="I10" s="656">
        <f t="shared" si="2"/>
        <v>0</v>
      </c>
      <c r="J10" s="661">
        <f>+'Asset Classification'!I10</f>
        <v>0</v>
      </c>
      <c r="K10" s="662">
        <f>+'Asset Classification'!J10</f>
        <v>0</v>
      </c>
      <c r="L10" s="661">
        <f>+'Asset Classification'!K10</f>
        <v>0</v>
      </c>
      <c r="M10" s="656">
        <f t="shared" si="3"/>
        <v>0</v>
      </c>
      <c r="N10" s="656">
        <f t="shared" si="4"/>
        <v>0</v>
      </c>
      <c r="O10" s="662">
        <f>+'Asset Classification'!L10</f>
        <v>0</v>
      </c>
      <c r="P10" s="656">
        <f t="shared" si="5"/>
        <v>0</v>
      </c>
      <c r="Q10" s="656">
        <f t="shared" si="6"/>
        <v>0</v>
      </c>
      <c r="R10" s="661">
        <f>+'Asset Classification'!M10</f>
        <v>0</v>
      </c>
      <c r="S10" s="662">
        <f>+'Asset Classification'!N10</f>
        <v>0</v>
      </c>
      <c r="T10" s="661">
        <f>+'Asset Classification'!O10</f>
        <v>0</v>
      </c>
      <c r="U10" s="656">
        <f t="shared" si="7"/>
        <v>0</v>
      </c>
      <c r="V10" s="656">
        <f t="shared" si="8"/>
        <v>0</v>
      </c>
      <c r="W10" s="662">
        <f>+'Asset Classification'!P10</f>
        <v>0</v>
      </c>
      <c r="X10" s="656">
        <f t="shared" si="9"/>
        <v>0</v>
      </c>
      <c r="Y10" s="656">
        <f t="shared" si="10"/>
        <v>0</v>
      </c>
      <c r="Z10" s="661">
        <f>+'Asset Classification'!Q10</f>
        <v>0</v>
      </c>
      <c r="AA10" s="662">
        <f>+'Asset Classification'!R10</f>
        <v>0</v>
      </c>
      <c r="AB10" s="661">
        <f>+'Asset Classification'!S10</f>
        <v>0</v>
      </c>
      <c r="AC10" s="656">
        <f t="shared" si="11"/>
        <v>0</v>
      </c>
      <c r="AD10" s="656">
        <f t="shared" si="12"/>
        <v>0</v>
      </c>
      <c r="AE10" s="662">
        <f>+'Asset Classification'!T10</f>
        <v>0</v>
      </c>
      <c r="AF10" s="656">
        <f t="shared" si="13"/>
        <v>0</v>
      </c>
      <c r="AG10" s="656">
        <f t="shared" si="14"/>
        <v>0</v>
      </c>
      <c r="AH10" s="661">
        <f>+'Asset Classification'!U10</f>
        <v>0</v>
      </c>
      <c r="AI10" s="662">
        <f>+'Asset Classification'!V10</f>
        <v>0</v>
      </c>
      <c r="AJ10" s="661">
        <f>+'Asset Classification'!W10</f>
        <v>0</v>
      </c>
      <c r="AK10" s="656">
        <f t="shared" si="15"/>
        <v>0</v>
      </c>
      <c r="AL10" s="656">
        <f t="shared" si="16"/>
        <v>0</v>
      </c>
      <c r="AM10" s="662">
        <f>+'Asset Classification'!X10</f>
        <v>0</v>
      </c>
      <c r="AN10" s="656">
        <f t="shared" si="17"/>
        <v>0</v>
      </c>
      <c r="AO10" s="656">
        <f t="shared" si="18"/>
        <v>0</v>
      </c>
      <c r="AP10" s="643">
        <f t="shared" si="19"/>
        <v>0</v>
      </c>
      <c r="AQ10" s="643">
        <f t="shared" si="19"/>
        <v>0</v>
      </c>
      <c r="AR10" s="643">
        <f t="shared" si="20"/>
        <v>0</v>
      </c>
      <c r="AS10" s="656">
        <f t="shared" si="0"/>
        <v>0</v>
      </c>
      <c r="AT10" s="656">
        <f t="shared" si="0"/>
        <v>0</v>
      </c>
      <c r="AU10" s="656">
        <f t="shared" si="21"/>
        <v>0</v>
      </c>
      <c r="AW10" s="658"/>
      <c r="AX10" s="658"/>
      <c r="AY10" s="658"/>
      <c r="AZ10" s="658"/>
      <c r="BA10" s="658"/>
      <c r="BB10" s="658"/>
      <c r="BC10" s="658"/>
    </row>
    <row r="11" spans="1:55" s="276" customFormat="1" ht="23.25" customHeight="1">
      <c r="A11" s="654">
        <v>3</v>
      </c>
      <c r="B11" s="169" t="s">
        <v>400</v>
      </c>
      <c r="C11" s="655">
        <f>+'Asset Classification'!C11</f>
        <v>2958746</v>
      </c>
      <c r="D11" s="656">
        <f>+'Asset Classification'!D11</f>
        <v>997380</v>
      </c>
      <c r="E11" s="661">
        <f>+'Asset Classification'!E11</f>
        <v>2958746</v>
      </c>
      <c r="F11" s="662">
        <f>+'Asset Classification'!F11</f>
        <v>997380</v>
      </c>
      <c r="G11" s="661">
        <f>+'Asset Classification'!G11</f>
        <v>0</v>
      </c>
      <c r="H11" s="656">
        <f t="shared" si="1"/>
        <v>29587.46</v>
      </c>
      <c r="I11" s="656">
        <f t="shared" si="2"/>
        <v>-29587.46</v>
      </c>
      <c r="J11" s="661">
        <f>+'Asset Classification'!I11</f>
        <v>0</v>
      </c>
      <c r="K11" s="662">
        <f>+'Asset Classification'!J11</f>
        <v>0</v>
      </c>
      <c r="L11" s="661">
        <f>+'Asset Classification'!K11</f>
        <v>0</v>
      </c>
      <c r="M11" s="656">
        <f t="shared" si="3"/>
        <v>0</v>
      </c>
      <c r="N11" s="656">
        <f t="shared" si="4"/>
        <v>0</v>
      </c>
      <c r="O11" s="662">
        <f>+'Asset Classification'!L11</f>
        <v>0</v>
      </c>
      <c r="P11" s="656">
        <f t="shared" si="5"/>
        <v>0</v>
      </c>
      <c r="Q11" s="656">
        <f t="shared" si="6"/>
        <v>0</v>
      </c>
      <c r="R11" s="661">
        <f>+'Asset Classification'!M11</f>
        <v>0</v>
      </c>
      <c r="S11" s="662">
        <f>+'Asset Classification'!N11</f>
        <v>0</v>
      </c>
      <c r="T11" s="661">
        <f>+'Asset Classification'!O11</f>
        <v>0</v>
      </c>
      <c r="U11" s="656">
        <f t="shared" si="7"/>
        <v>0</v>
      </c>
      <c r="V11" s="656">
        <f t="shared" si="8"/>
        <v>0</v>
      </c>
      <c r="W11" s="662">
        <f>+'Asset Classification'!P11</f>
        <v>0</v>
      </c>
      <c r="X11" s="656">
        <f t="shared" si="9"/>
        <v>0</v>
      </c>
      <c r="Y11" s="656">
        <f t="shared" si="10"/>
        <v>0</v>
      </c>
      <c r="Z11" s="661">
        <f>+'Asset Classification'!Q11</f>
        <v>0</v>
      </c>
      <c r="AA11" s="662">
        <f>+'Asset Classification'!R11</f>
        <v>0</v>
      </c>
      <c r="AB11" s="661">
        <f>+'Asset Classification'!S11</f>
        <v>0</v>
      </c>
      <c r="AC11" s="656">
        <f t="shared" si="11"/>
        <v>0</v>
      </c>
      <c r="AD11" s="656">
        <f t="shared" si="12"/>
        <v>0</v>
      </c>
      <c r="AE11" s="662">
        <f>+'Asset Classification'!T11</f>
        <v>0</v>
      </c>
      <c r="AF11" s="656">
        <f t="shared" si="13"/>
        <v>0</v>
      </c>
      <c r="AG11" s="656">
        <f t="shared" si="14"/>
        <v>0</v>
      </c>
      <c r="AH11" s="661">
        <f>+'Asset Classification'!U11</f>
        <v>0</v>
      </c>
      <c r="AI11" s="662">
        <f>+'Asset Classification'!V11</f>
        <v>0</v>
      </c>
      <c r="AJ11" s="661">
        <f>+'Asset Classification'!W11</f>
        <v>0</v>
      </c>
      <c r="AK11" s="656">
        <f t="shared" si="15"/>
        <v>0</v>
      </c>
      <c r="AL11" s="656">
        <f t="shared" si="16"/>
        <v>0</v>
      </c>
      <c r="AM11" s="662">
        <f>+'Asset Classification'!X11</f>
        <v>0</v>
      </c>
      <c r="AN11" s="656">
        <f t="shared" si="17"/>
        <v>0</v>
      </c>
      <c r="AO11" s="656">
        <f t="shared" si="18"/>
        <v>0</v>
      </c>
      <c r="AP11" s="643">
        <f t="shared" si="19"/>
        <v>0</v>
      </c>
      <c r="AQ11" s="643">
        <f t="shared" si="19"/>
        <v>0</v>
      </c>
      <c r="AR11" s="643">
        <f t="shared" si="20"/>
        <v>0</v>
      </c>
      <c r="AS11" s="656">
        <f t="shared" si="0"/>
        <v>0</v>
      </c>
      <c r="AT11" s="656">
        <f t="shared" si="0"/>
        <v>0</v>
      </c>
      <c r="AU11" s="656">
        <f t="shared" si="21"/>
        <v>0</v>
      </c>
      <c r="AV11" s="657">
        <f>+'Aging Analysis'!C11</f>
        <v>2958746</v>
      </c>
      <c r="AW11" s="658"/>
      <c r="AX11" s="658"/>
      <c r="AY11" s="658"/>
      <c r="AZ11" s="658"/>
      <c r="BA11" s="658"/>
      <c r="BB11" s="658"/>
      <c r="BC11" s="658"/>
    </row>
    <row r="12" spans="1:55" s="276" customFormat="1" ht="14.25" customHeight="1">
      <c r="A12" s="654"/>
      <c r="B12" s="659" t="s">
        <v>670</v>
      </c>
      <c r="C12" s="655">
        <f>+'Asset Classification'!C12</f>
        <v>0</v>
      </c>
      <c r="D12" s="656">
        <f>+'Asset Classification'!D12</f>
        <v>0</v>
      </c>
      <c r="E12" s="661">
        <f>+'Asset Classification'!E12</f>
        <v>0</v>
      </c>
      <c r="F12" s="662">
        <f>+'Asset Classification'!F12</f>
        <v>0</v>
      </c>
      <c r="G12" s="661">
        <f>+'Asset Classification'!G12</f>
        <v>0</v>
      </c>
      <c r="H12" s="656">
        <f t="shared" si="1"/>
        <v>0</v>
      </c>
      <c r="I12" s="656">
        <f t="shared" si="2"/>
        <v>0</v>
      </c>
      <c r="J12" s="661">
        <f>+'Asset Classification'!I12</f>
        <v>0</v>
      </c>
      <c r="K12" s="662">
        <f>+'Asset Classification'!J12</f>
        <v>0</v>
      </c>
      <c r="L12" s="661">
        <f>+'Asset Classification'!K12</f>
        <v>0</v>
      </c>
      <c r="M12" s="656">
        <f t="shared" si="3"/>
        <v>0</v>
      </c>
      <c r="N12" s="656">
        <f t="shared" si="4"/>
        <v>0</v>
      </c>
      <c r="O12" s="662">
        <f>+'Asset Classification'!L12</f>
        <v>0</v>
      </c>
      <c r="P12" s="656">
        <f t="shared" si="5"/>
        <v>0</v>
      </c>
      <c r="Q12" s="656">
        <f t="shared" si="6"/>
        <v>0</v>
      </c>
      <c r="R12" s="661">
        <f>+'Asset Classification'!M12</f>
        <v>0</v>
      </c>
      <c r="S12" s="662">
        <f>+'Asset Classification'!N12</f>
        <v>0</v>
      </c>
      <c r="T12" s="661">
        <f>+'Asset Classification'!O12</f>
        <v>0</v>
      </c>
      <c r="U12" s="656">
        <f t="shared" si="7"/>
        <v>0</v>
      </c>
      <c r="V12" s="656">
        <f t="shared" si="8"/>
        <v>0</v>
      </c>
      <c r="W12" s="662">
        <f>+'Asset Classification'!P12</f>
        <v>0</v>
      </c>
      <c r="X12" s="656">
        <f t="shared" si="9"/>
        <v>0</v>
      </c>
      <c r="Y12" s="656">
        <f t="shared" si="10"/>
        <v>0</v>
      </c>
      <c r="Z12" s="661">
        <f>+'Asset Classification'!Q12</f>
        <v>0</v>
      </c>
      <c r="AA12" s="662">
        <f>+'Asset Classification'!R12</f>
        <v>0</v>
      </c>
      <c r="AB12" s="661">
        <f>+'Asset Classification'!S12</f>
        <v>0</v>
      </c>
      <c r="AC12" s="656">
        <f t="shared" si="11"/>
        <v>0</v>
      </c>
      <c r="AD12" s="656">
        <f t="shared" si="12"/>
        <v>0</v>
      </c>
      <c r="AE12" s="662">
        <f>+'Asset Classification'!T12</f>
        <v>0</v>
      </c>
      <c r="AF12" s="656">
        <f t="shared" si="13"/>
        <v>0</v>
      </c>
      <c r="AG12" s="656">
        <f t="shared" si="14"/>
        <v>0</v>
      </c>
      <c r="AH12" s="661">
        <f>+'Asset Classification'!U12</f>
        <v>0</v>
      </c>
      <c r="AI12" s="662">
        <f>+'Asset Classification'!V12</f>
        <v>0</v>
      </c>
      <c r="AJ12" s="661">
        <f>+'Asset Classification'!W12</f>
        <v>0</v>
      </c>
      <c r="AK12" s="656">
        <f t="shared" si="15"/>
        <v>0</v>
      </c>
      <c r="AL12" s="656">
        <f t="shared" si="16"/>
        <v>0</v>
      </c>
      <c r="AM12" s="662">
        <f>+'Asset Classification'!X12</f>
        <v>0</v>
      </c>
      <c r="AN12" s="656">
        <f t="shared" si="17"/>
        <v>0</v>
      </c>
      <c r="AO12" s="656">
        <f t="shared" si="18"/>
        <v>0</v>
      </c>
      <c r="AP12" s="643">
        <f t="shared" si="19"/>
        <v>0</v>
      </c>
      <c r="AQ12" s="643">
        <f t="shared" si="19"/>
        <v>0</v>
      </c>
      <c r="AR12" s="643">
        <f t="shared" si="20"/>
        <v>0</v>
      </c>
      <c r="AS12" s="656">
        <f t="shared" si="0"/>
        <v>0</v>
      </c>
      <c r="AT12" s="656">
        <f t="shared" si="0"/>
        <v>0</v>
      </c>
      <c r="AU12" s="656">
        <f t="shared" si="21"/>
        <v>0</v>
      </c>
      <c r="AW12" s="658"/>
      <c r="AX12" s="658"/>
      <c r="AY12" s="658"/>
      <c r="AZ12" s="658"/>
      <c r="BA12" s="658"/>
      <c r="BB12" s="658"/>
      <c r="BC12" s="658"/>
    </row>
    <row r="13" spans="1:55" s="276" customFormat="1" ht="23.25" customHeight="1">
      <c r="A13" s="654">
        <v>4</v>
      </c>
      <c r="B13" s="169" t="s">
        <v>401</v>
      </c>
      <c r="C13" s="655">
        <f>+'Asset Classification'!C13</f>
        <v>2396481791</v>
      </c>
      <c r="D13" s="656">
        <f>+'Asset Classification'!D13</f>
        <v>0</v>
      </c>
      <c r="E13" s="661">
        <f>+'Asset Classification'!E13</f>
        <v>2336461440</v>
      </c>
      <c r="F13" s="662">
        <f>+'Asset Classification'!F13</f>
        <v>0</v>
      </c>
      <c r="G13" s="661">
        <f>+'Asset Classification'!G13</f>
        <v>12697556</v>
      </c>
      <c r="H13" s="656">
        <f t="shared" si="1"/>
        <v>23364614.400000002</v>
      </c>
      <c r="I13" s="656">
        <f t="shared" si="2"/>
        <v>-10667058.400000002</v>
      </c>
      <c r="J13" s="661">
        <f>+'Asset Classification'!I13</f>
        <v>20225474</v>
      </c>
      <c r="K13" s="662">
        <f>+'Asset Classification'!J13</f>
        <v>0</v>
      </c>
      <c r="L13" s="661">
        <f>+'Asset Classification'!K13</f>
        <v>2382390</v>
      </c>
      <c r="M13" s="656">
        <f t="shared" si="3"/>
        <v>2022547.4000000001</v>
      </c>
      <c r="N13" s="656">
        <f t="shared" si="4"/>
        <v>359842.59999999986</v>
      </c>
      <c r="O13" s="662">
        <f>+'Asset Classification'!L13</f>
        <v>0</v>
      </c>
      <c r="P13" s="656">
        <f t="shared" si="5"/>
        <v>0</v>
      </c>
      <c r="Q13" s="656">
        <f t="shared" si="6"/>
        <v>0</v>
      </c>
      <c r="R13" s="661">
        <f>+'Asset Classification'!M13</f>
        <v>12736796</v>
      </c>
      <c r="S13" s="662">
        <f>+'Asset Classification'!N13</f>
        <v>0</v>
      </c>
      <c r="T13" s="661">
        <f>+'Asset Classification'!O13</f>
        <v>2978649</v>
      </c>
      <c r="U13" s="656">
        <f t="shared" si="7"/>
        <v>3184199</v>
      </c>
      <c r="V13" s="656">
        <f t="shared" si="8"/>
        <v>-205550</v>
      </c>
      <c r="W13" s="662">
        <f>+'Asset Classification'!P13</f>
        <v>0</v>
      </c>
      <c r="X13" s="656">
        <f t="shared" si="9"/>
        <v>0</v>
      </c>
      <c r="Y13" s="656">
        <f t="shared" si="10"/>
        <v>0</v>
      </c>
      <c r="Z13" s="661">
        <f>+'Asset Classification'!Q13</f>
        <v>15789714</v>
      </c>
      <c r="AA13" s="662">
        <f>+'Asset Classification'!R13</f>
        <v>0</v>
      </c>
      <c r="AB13" s="661">
        <f>+'Asset Classification'!S13</f>
        <v>7968526</v>
      </c>
      <c r="AC13" s="656">
        <f t="shared" si="11"/>
        <v>7894857</v>
      </c>
      <c r="AD13" s="656">
        <f t="shared" si="12"/>
        <v>73669</v>
      </c>
      <c r="AE13" s="662">
        <f>+'Asset Classification'!T13</f>
        <v>0</v>
      </c>
      <c r="AF13" s="656">
        <f t="shared" si="13"/>
        <v>0</v>
      </c>
      <c r="AG13" s="656">
        <f t="shared" si="14"/>
        <v>0</v>
      </c>
      <c r="AH13" s="661">
        <f>+'Asset Classification'!U13</f>
        <v>11268367</v>
      </c>
      <c r="AI13" s="662">
        <f>+'Asset Classification'!V13</f>
        <v>0</v>
      </c>
      <c r="AJ13" s="661">
        <f>+'Asset Classification'!W13</f>
        <v>11229639</v>
      </c>
      <c r="AK13" s="656">
        <f t="shared" si="15"/>
        <v>11268367</v>
      </c>
      <c r="AL13" s="656">
        <f t="shared" si="16"/>
        <v>-38728</v>
      </c>
      <c r="AM13" s="662">
        <f>+'Asset Classification'!X13</f>
        <v>0</v>
      </c>
      <c r="AN13" s="656">
        <f t="shared" si="17"/>
        <v>0</v>
      </c>
      <c r="AO13" s="656">
        <f t="shared" si="18"/>
        <v>0</v>
      </c>
      <c r="AP13" s="643">
        <f t="shared" si="19"/>
        <v>24559204</v>
      </c>
      <c r="AQ13" s="643">
        <f t="shared" si="19"/>
        <v>24369970.399999999</v>
      </c>
      <c r="AR13" s="643">
        <f t="shared" si="20"/>
        <v>189233.60000000149</v>
      </c>
      <c r="AS13" s="656">
        <f t="shared" si="0"/>
        <v>0</v>
      </c>
      <c r="AT13" s="656">
        <f t="shared" si="0"/>
        <v>0</v>
      </c>
      <c r="AU13" s="656">
        <f t="shared" si="21"/>
        <v>0</v>
      </c>
      <c r="AV13" s="657">
        <f>+'Aging Analysis'!C12</f>
        <v>2396481791</v>
      </c>
      <c r="AW13" s="658"/>
      <c r="AX13" s="658"/>
      <c r="AY13" s="658"/>
      <c r="AZ13" s="658"/>
      <c r="BA13" s="658"/>
      <c r="BB13" s="658"/>
      <c r="BC13" s="658"/>
    </row>
    <row r="14" spans="1:55" s="276" customFormat="1" ht="14.25" customHeight="1">
      <c r="A14" s="654"/>
      <c r="B14" s="659" t="s">
        <v>670</v>
      </c>
      <c r="C14" s="655">
        <f>+'Asset Classification'!C14</f>
        <v>0</v>
      </c>
      <c r="D14" s="656">
        <f>+'Asset Classification'!D14</f>
        <v>0</v>
      </c>
      <c r="E14" s="661">
        <f>+'Asset Classification'!E14</f>
        <v>0</v>
      </c>
      <c r="F14" s="662">
        <f>+'Asset Classification'!F14</f>
        <v>0</v>
      </c>
      <c r="G14" s="661">
        <f>+'Asset Classification'!G14</f>
        <v>0</v>
      </c>
      <c r="H14" s="656">
        <f t="shared" si="1"/>
        <v>0</v>
      </c>
      <c r="I14" s="656">
        <f t="shared" si="2"/>
        <v>0</v>
      </c>
      <c r="J14" s="661">
        <f>+'Asset Classification'!I14</f>
        <v>0</v>
      </c>
      <c r="K14" s="662">
        <f>+'Asset Classification'!J14</f>
        <v>0</v>
      </c>
      <c r="L14" s="661">
        <f>+'Asset Classification'!K14</f>
        <v>0</v>
      </c>
      <c r="M14" s="656">
        <f t="shared" si="3"/>
        <v>0</v>
      </c>
      <c r="N14" s="656">
        <f t="shared" si="4"/>
        <v>0</v>
      </c>
      <c r="O14" s="662">
        <f>+'Asset Classification'!L14</f>
        <v>0</v>
      </c>
      <c r="P14" s="656">
        <f t="shared" si="5"/>
        <v>0</v>
      </c>
      <c r="Q14" s="656">
        <f t="shared" si="6"/>
        <v>0</v>
      </c>
      <c r="R14" s="661">
        <f>+'Asset Classification'!M14</f>
        <v>0</v>
      </c>
      <c r="S14" s="662">
        <f>+'Asset Classification'!N14</f>
        <v>0</v>
      </c>
      <c r="T14" s="661">
        <f>+'Asset Classification'!O14</f>
        <v>0</v>
      </c>
      <c r="U14" s="656">
        <f t="shared" si="7"/>
        <v>0</v>
      </c>
      <c r="V14" s="656">
        <f t="shared" si="8"/>
        <v>0</v>
      </c>
      <c r="W14" s="662">
        <f>+'Asset Classification'!P14</f>
        <v>0</v>
      </c>
      <c r="X14" s="656">
        <f t="shared" si="9"/>
        <v>0</v>
      </c>
      <c r="Y14" s="656">
        <f t="shared" si="10"/>
        <v>0</v>
      </c>
      <c r="Z14" s="661">
        <f>+'Asset Classification'!Q14</f>
        <v>0</v>
      </c>
      <c r="AA14" s="662">
        <f>+'Asset Classification'!R14</f>
        <v>0</v>
      </c>
      <c r="AB14" s="661">
        <f>+'Asset Classification'!S14</f>
        <v>0</v>
      </c>
      <c r="AC14" s="656">
        <f t="shared" si="11"/>
        <v>0</v>
      </c>
      <c r="AD14" s="656">
        <f t="shared" si="12"/>
        <v>0</v>
      </c>
      <c r="AE14" s="662">
        <f>+'Asset Classification'!T14</f>
        <v>0</v>
      </c>
      <c r="AF14" s="656">
        <f t="shared" si="13"/>
        <v>0</v>
      </c>
      <c r="AG14" s="656">
        <f t="shared" si="14"/>
        <v>0</v>
      </c>
      <c r="AH14" s="661">
        <f>+'Asset Classification'!U14</f>
        <v>0</v>
      </c>
      <c r="AI14" s="662">
        <f>+'Asset Classification'!V14</f>
        <v>0</v>
      </c>
      <c r="AJ14" s="661">
        <f>+'Asset Classification'!W14</f>
        <v>0</v>
      </c>
      <c r="AK14" s="656">
        <f t="shared" si="15"/>
        <v>0</v>
      </c>
      <c r="AL14" s="656">
        <f t="shared" si="16"/>
        <v>0</v>
      </c>
      <c r="AM14" s="662">
        <f>+'Asset Classification'!X14</f>
        <v>0</v>
      </c>
      <c r="AN14" s="656">
        <f t="shared" si="17"/>
        <v>0</v>
      </c>
      <c r="AO14" s="656">
        <f t="shared" si="18"/>
        <v>0</v>
      </c>
      <c r="AP14" s="643">
        <f t="shared" si="19"/>
        <v>0</v>
      </c>
      <c r="AQ14" s="643">
        <f t="shared" si="19"/>
        <v>0</v>
      </c>
      <c r="AR14" s="643">
        <f t="shared" si="20"/>
        <v>0</v>
      </c>
      <c r="AS14" s="656">
        <f t="shared" si="0"/>
        <v>0</v>
      </c>
      <c r="AT14" s="656">
        <f t="shared" si="0"/>
        <v>0</v>
      </c>
      <c r="AU14" s="656">
        <f t="shared" si="21"/>
        <v>0</v>
      </c>
      <c r="AW14" s="658"/>
      <c r="AX14" s="658"/>
      <c r="AY14" s="658"/>
      <c r="AZ14" s="658"/>
      <c r="BA14" s="658"/>
      <c r="BB14" s="658"/>
      <c r="BC14" s="658"/>
    </row>
    <row r="15" spans="1:55" s="276" customFormat="1" ht="23.25" customHeight="1">
      <c r="A15" s="654">
        <v>5</v>
      </c>
      <c r="B15" s="169" t="s">
        <v>672</v>
      </c>
      <c r="C15" s="655">
        <f>+'Asset Classification'!C15</f>
        <v>994619618</v>
      </c>
      <c r="D15" s="656">
        <f>+'Asset Classification'!D15</f>
        <v>379498048</v>
      </c>
      <c r="E15" s="661">
        <f>+'Asset Classification'!E15</f>
        <v>978082421</v>
      </c>
      <c r="F15" s="662">
        <f>+'Asset Classification'!F15</f>
        <v>379498048</v>
      </c>
      <c r="G15" s="661">
        <f>+'Asset Classification'!G15</f>
        <v>10066301</v>
      </c>
      <c r="H15" s="656">
        <f t="shared" si="1"/>
        <v>9780824.2100000009</v>
      </c>
      <c r="I15" s="656">
        <f t="shared" si="2"/>
        <v>285476.78999999911</v>
      </c>
      <c r="J15" s="661">
        <f>+'Asset Classification'!I15</f>
        <v>0</v>
      </c>
      <c r="K15" s="662">
        <f>+'Asset Classification'!J15</f>
        <v>0</v>
      </c>
      <c r="L15" s="661">
        <f>+'Asset Classification'!K15</f>
        <v>0</v>
      </c>
      <c r="M15" s="656">
        <f t="shared" si="3"/>
        <v>0</v>
      </c>
      <c r="N15" s="656">
        <f t="shared" si="4"/>
        <v>0</v>
      </c>
      <c r="O15" s="662">
        <f>+'Asset Classification'!L15</f>
        <v>0</v>
      </c>
      <c r="P15" s="656">
        <f t="shared" si="5"/>
        <v>0</v>
      </c>
      <c r="Q15" s="656">
        <f t="shared" si="6"/>
        <v>0</v>
      </c>
      <c r="R15" s="661">
        <f>+'Asset Classification'!M15</f>
        <v>13337197</v>
      </c>
      <c r="S15" s="662">
        <f>+'Asset Classification'!N15</f>
        <v>0</v>
      </c>
      <c r="T15" s="661">
        <f>+'Asset Classification'!O15</f>
        <v>0</v>
      </c>
      <c r="U15" s="656">
        <f t="shared" si="7"/>
        <v>3334299.25</v>
      </c>
      <c r="V15" s="656">
        <f t="shared" si="8"/>
        <v>-3334299.25</v>
      </c>
      <c r="W15" s="662">
        <f>+'Asset Classification'!P15</f>
        <v>0</v>
      </c>
      <c r="X15" s="656">
        <f t="shared" si="9"/>
        <v>0</v>
      </c>
      <c r="Y15" s="656">
        <f t="shared" si="10"/>
        <v>0</v>
      </c>
      <c r="Z15" s="661">
        <f>+'Asset Classification'!Q15</f>
        <v>3200000</v>
      </c>
      <c r="AA15" s="662">
        <f>+'Asset Classification'!R15</f>
        <v>0</v>
      </c>
      <c r="AB15" s="661">
        <f>+'Asset Classification'!S15</f>
        <v>0</v>
      </c>
      <c r="AC15" s="656">
        <f t="shared" si="11"/>
        <v>1600000</v>
      </c>
      <c r="AD15" s="656">
        <f t="shared" si="12"/>
        <v>-1600000</v>
      </c>
      <c r="AE15" s="662">
        <f>+'Asset Classification'!T15</f>
        <v>0</v>
      </c>
      <c r="AF15" s="656">
        <f t="shared" si="13"/>
        <v>0</v>
      </c>
      <c r="AG15" s="656">
        <f t="shared" si="14"/>
        <v>0</v>
      </c>
      <c r="AH15" s="661">
        <f>+'Asset Classification'!U15</f>
        <v>0</v>
      </c>
      <c r="AI15" s="662">
        <f>+'Asset Classification'!V15</f>
        <v>0</v>
      </c>
      <c r="AJ15" s="661">
        <f>+'Asset Classification'!W15</f>
        <v>0</v>
      </c>
      <c r="AK15" s="656">
        <f t="shared" si="15"/>
        <v>0</v>
      </c>
      <c r="AL15" s="656">
        <f t="shared" si="16"/>
        <v>0</v>
      </c>
      <c r="AM15" s="662">
        <f>+'Asset Classification'!X15</f>
        <v>0</v>
      </c>
      <c r="AN15" s="656">
        <f t="shared" si="17"/>
        <v>0</v>
      </c>
      <c r="AO15" s="656">
        <f t="shared" si="18"/>
        <v>0</v>
      </c>
      <c r="AP15" s="643">
        <f t="shared" si="19"/>
        <v>0</v>
      </c>
      <c r="AQ15" s="643">
        <f t="shared" si="19"/>
        <v>4934299.25</v>
      </c>
      <c r="AR15" s="643">
        <f t="shared" si="20"/>
        <v>-4934299.25</v>
      </c>
      <c r="AS15" s="656">
        <f t="shared" si="0"/>
        <v>0</v>
      </c>
      <c r="AT15" s="656">
        <f t="shared" si="0"/>
        <v>0</v>
      </c>
      <c r="AU15" s="656">
        <f t="shared" si="21"/>
        <v>0</v>
      </c>
      <c r="AV15" s="657">
        <f>+'Aging Analysis'!C13</f>
        <v>994619618</v>
      </c>
      <c r="AW15" s="658"/>
      <c r="AX15" s="658"/>
      <c r="AY15" s="658"/>
      <c r="AZ15" s="658"/>
      <c r="BA15" s="658"/>
      <c r="BB15" s="658"/>
      <c r="BC15" s="658"/>
    </row>
    <row r="16" spans="1:55" s="276" customFormat="1" ht="14.25" customHeight="1">
      <c r="A16" s="654"/>
      <c r="B16" s="659" t="s">
        <v>670</v>
      </c>
      <c r="C16" s="655">
        <f>+'Asset Classification'!C16</f>
        <v>0</v>
      </c>
      <c r="D16" s="656">
        <f>+'Asset Classification'!D16</f>
        <v>0</v>
      </c>
      <c r="E16" s="661">
        <f>+'Asset Classification'!E16</f>
        <v>0</v>
      </c>
      <c r="F16" s="662">
        <f>+'Asset Classification'!F16</f>
        <v>0</v>
      </c>
      <c r="G16" s="661">
        <f>+'Asset Classification'!G16</f>
        <v>0</v>
      </c>
      <c r="H16" s="656">
        <f t="shared" si="1"/>
        <v>0</v>
      </c>
      <c r="I16" s="656">
        <f t="shared" si="2"/>
        <v>0</v>
      </c>
      <c r="J16" s="661">
        <f>+'Asset Classification'!I16</f>
        <v>0</v>
      </c>
      <c r="K16" s="662">
        <f>+'Asset Classification'!J16</f>
        <v>0</v>
      </c>
      <c r="L16" s="661">
        <f>+'Asset Classification'!K16</f>
        <v>0</v>
      </c>
      <c r="M16" s="656">
        <f t="shared" si="3"/>
        <v>0</v>
      </c>
      <c r="N16" s="656">
        <f t="shared" si="4"/>
        <v>0</v>
      </c>
      <c r="O16" s="662">
        <f>+'Asset Classification'!L16</f>
        <v>0</v>
      </c>
      <c r="P16" s="656">
        <f t="shared" si="5"/>
        <v>0</v>
      </c>
      <c r="Q16" s="656">
        <f t="shared" si="6"/>
        <v>0</v>
      </c>
      <c r="R16" s="661">
        <f>+'Asset Classification'!M16</f>
        <v>0</v>
      </c>
      <c r="S16" s="662">
        <f>+'Asset Classification'!N16</f>
        <v>0</v>
      </c>
      <c r="T16" s="661">
        <f>+'Asset Classification'!O16</f>
        <v>0</v>
      </c>
      <c r="U16" s="656">
        <f t="shared" si="7"/>
        <v>0</v>
      </c>
      <c r="V16" s="656">
        <f t="shared" si="8"/>
        <v>0</v>
      </c>
      <c r="W16" s="662">
        <f>+'Asset Classification'!P16</f>
        <v>0</v>
      </c>
      <c r="X16" s="656">
        <f t="shared" si="9"/>
        <v>0</v>
      </c>
      <c r="Y16" s="656">
        <f t="shared" si="10"/>
        <v>0</v>
      </c>
      <c r="Z16" s="661">
        <f>+'Asset Classification'!Q16</f>
        <v>0</v>
      </c>
      <c r="AA16" s="662">
        <f>+'Asset Classification'!R16</f>
        <v>0</v>
      </c>
      <c r="AB16" s="661">
        <f>+'Asset Classification'!S16</f>
        <v>0</v>
      </c>
      <c r="AC16" s="656">
        <f t="shared" si="11"/>
        <v>0</v>
      </c>
      <c r="AD16" s="656">
        <f t="shared" si="12"/>
        <v>0</v>
      </c>
      <c r="AE16" s="662">
        <f>+'Asset Classification'!T16</f>
        <v>0</v>
      </c>
      <c r="AF16" s="656">
        <f t="shared" si="13"/>
        <v>0</v>
      </c>
      <c r="AG16" s="656">
        <f t="shared" si="14"/>
        <v>0</v>
      </c>
      <c r="AH16" s="661">
        <f>+'Asset Classification'!U16</f>
        <v>0</v>
      </c>
      <c r="AI16" s="662">
        <f>+'Asset Classification'!V16</f>
        <v>0</v>
      </c>
      <c r="AJ16" s="661">
        <f>+'Asset Classification'!W16</f>
        <v>0</v>
      </c>
      <c r="AK16" s="656">
        <f t="shared" si="15"/>
        <v>0</v>
      </c>
      <c r="AL16" s="656">
        <f t="shared" si="16"/>
        <v>0</v>
      </c>
      <c r="AM16" s="662">
        <f>+'Asset Classification'!X16</f>
        <v>0</v>
      </c>
      <c r="AN16" s="656">
        <f t="shared" si="17"/>
        <v>0</v>
      </c>
      <c r="AO16" s="656">
        <f t="shared" si="18"/>
        <v>0</v>
      </c>
      <c r="AP16" s="643">
        <f t="shared" si="19"/>
        <v>0</v>
      </c>
      <c r="AQ16" s="643">
        <f t="shared" si="19"/>
        <v>0</v>
      </c>
      <c r="AR16" s="643">
        <f t="shared" si="20"/>
        <v>0</v>
      </c>
      <c r="AS16" s="656">
        <f t="shared" si="0"/>
        <v>0</v>
      </c>
      <c r="AT16" s="656">
        <f t="shared" si="0"/>
        <v>0</v>
      </c>
      <c r="AU16" s="656">
        <f t="shared" si="21"/>
        <v>0</v>
      </c>
      <c r="AW16" s="658"/>
      <c r="AX16" s="658"/>
      <c r="AY16" s="658"/>
      <c r="AZ16" s="658"/>
      <c r="BA16" s="658"/>
      <c r="BB16" s="658"/>
      <c r="BC16" s="658"/>
    </row>
    <row r="17" spans="1:55" s="276" customFormat="1" ht="23.25" customHeight="1">
      <c r="A17" s="654">
        <v>6</v>
      </c>
      <c r="B17" s="169" t="s">
        <v>403</v>
      </c>
      <c r="C17" s="655">
        <f>+'Asset Classification'!C17</f>
        <v>186438802</v>
      </c>
      <c r="D17" s="656">
        <f>+'Asset Classification'!D17</f>
        <v>181343277</v>
      </c>
      <c r="E17" s="661">
        <f>+'Asset Classification'!E17</f>
        <v>186438802</v>
      </c>
      <c r="F17" s="662">
        <f>+'Asset Classification'!F17</f>
        <v>181343277</v>
      </c>
      <c r="G17" s="661">
        <f>+'Asset Classification'!G17</f>
        <v>2445711</v>
      </c>
      <c r="H17" s="656">
        <f t="shared" si="1"/>
        <v>1864388.02</v>
      </c>
      <c r="I17" s="656">
        <f t="shared" si="2"/>
        <v>581322.98</v>
      </c>
      <c r="J17" s="661">
        <f>+'Asset Classification'!I17</f>
        <v>0</v>
      </c>
      <c r="K17" s="662">
        <f>+'Asset Classification'!J17</f>
        <v>0</v>
      </c>
      <c r="L17" s="661">
        <f>+'Asset Classification'!K17</f>
        <v>0</v>
      </c>
      <c r="M17" s="656">
        <f t="shared" si="3"/>
        <v>0</v>
      </c>
      <c r="N17" s="656">
        <f t="shared" si="4"/>
        <v>0</v>
      </c>
      <c r="O17" s="662">
        <f>+'Asset Classification'!L17</f>
        <v>0</v>
      </c>
      <c r="P17" s="656">
        <f t="shared" si="5"/>
        <v>0</v>
      </c>
      <c r="Q17" s="656">
        <f t="shared" si="6"/>
        <v>0</v>
      </c>
      <c r="R17" s="661">
        <f>+'Asset Classification'!M17</f>
        <v>0</v>
      </c>
      <c r="S17" s="662">
        <f>+'Asset Classification'!N17</f>
        <v>0</v>
      </c>
      <c r="T17" s="661">
        <f>+'Asset Classification'!O17</f>
        <v>0</v>
      </c>
      <c r="U17" s="656">
        <f t="shared" si="7"/>
        <v>0</v>
      </c>
      <c r="V17" s="656">
        <f t="shared" si="8"/>
        <v>0</v>
      </c>
      <c r="W17" s="662">
        <f>+'Asset Classification'!P17</f>
        <v>0</v>
      </c>
      <c r="X17" s="656">
        <f t="shared" si="9"/>
        <v>0</v>
      </c>
      <c r="Y17" s="656">
        <f t="shared" si="10"/>
        <v>0</v>
      </c>
      <c r="Z17" s="661">
        <f>+'Asset Classification'!Q17</f>
        <v>0</v>
      </c>
      <c r="AA17" s="662">
        <f>+'Asset Classification'!R17</f>
        <v>0</v>
      </c>
      <c r="AB17" s="661">
        <f>+'Asset Classification'!S17</f>
        <v>0</v>
      </c>
      <c r="AC17" s="656">
        <f t="shared" si="11"/>
        <v>0</v>
      </c>
      <c r="AD17" s="656">
        <f t="shared" si="12"/>
        <v>0</v>
      </c>
      <c r="AE17" s="662">
        <f>+'Asset Classification'!T17</f>
        <v>0</v>
      </c>
      <c r="AF17" s="656">
        <f t="shared" si="13"/>
        <v>0</v>
      </c>
      <c r="AG17" s="656">
        <f t="shared" si="14"/>
        <v>0</v>
      </c>
      <c r="AH17" s="661">
        <f>+'Asset Classification'!U17</f>
        <v>0</v>
      </c>
      <c r="AI17" s="662">
        <f>+'Asset Classification'!V17</f>
        <v>0</v>
      </c>
      <c r="AJ17" s="661">
        <f>+'Asset Classification'!W17</f>
        <v>0</v>
      </c>
      <c r="AK17" s="656">
        <f t="shared" si="15"/>
        <v>0</v>
      </c>
      <c r="AL17" s="656">
        <f t="shared" si="16"/>
        <v>0</v>
      </c>
      <c r="AM17" s="662">
        <f>+'Asset Classification'!X17</f>
        <v>0</v>
      </c>
      <c r="AN17" s="656">
        <f t="shared" si="17"/>
        <v>0</v>
      </c>
      <c r="AO17" s="656">
        <f t="shared" si="18"/>
        <v>0</v>
      </c>
      <c r="AP17" s="643">
        <f t="shared" si="19"/>
        <v>0</v>
      </c>
      <c r="AQ17" s="643">
        <f t="shared" si="19"/>
        <v>0</v>
      </c>
      <c r="AR17" s="643">
        <f t="shared" si="20"/>
        <v>0</v>
      </c>
      <c r="AS17" s="656">
        <f t="shared" si="0"/>
        <v>0</v>
      </c>
      <c r="AT17" s="656">
        <f t="shared" si="0"/>
        <v>0</v>
      </c>
      <c r="AU17" s="656">
        <f t="shared" si="21"/>
        <v>0</v>
      </c>
      <c r="AV17" s="657">
        <f>+'Aging Analysis'!C14</f>
        <v>186438802</v>
      </c>
      <c r="AW17" s="658"/>
      <c r="AX17" s="658"/>
      <c r="AY17" s="658"/>
      <c r="AZ17" s="658"/>
      <c r="BA17" s="658"/>
      <c r="BB17" s="658"/>
      <c r="BC17" s="658"/>
    </row>
    <row r="18" spans="1:55" s="276" customFormat="1" ht="14.25" customHeight="1">
      <c r="A18" s="654"/>
      <c r="B18" s="659" t="s">
        <v>670</v>
      </c>
      <c r="C18" s="655">
        <f>+'Asset Classification'!C18</f>
        <v>0</v>
      </c>
      <c r="D18" s="656">
        <f>+'Asset Classification'!D18</f>
        <v>0</v>
      </c>
      <c r="E18" s="661">
        <f>+'Asset Classification'!E18</f>
        <v>0</v>
      </c>
      <c r="F18" s="662">
        <f>+'Asset Classification'!F18</f>
        <v>0</v>
      </c>
      <c r="G18" s="661">
        <f>+'Asset Classification'!G18</f>
        <v>0</v>
      </c>
      <c r="H18" s="656">
        <f t="shared" si="1"/>
        <v>0</v>
      </c>
      <c r="I18" s="656">
        <f t="shared" si="2"/>
        <v>0</v>
      </c>
      <c r="J18" s="661">
        <f>+'Asset Classification'!I18</f>
        <v>0</v>
      </c>
      <c r="K18" s="662">
        <f>+'Asset Classification'!J18</f>
        <v>0</v>
      </c>
      <c r="L18" s="661">
        <f>+'Asset Classification'!K18</f>
        <v>0</v>
      </c>
      <c r="M18" s="656">
        <f t="shared" si="3"/>
        <v>0</v>
      </c>
      <c r="N18" s="656">
        <f t="shared" si="4"/>
        <v>0</v>
      </c>
      <c r="O18" s="662">
        <f>+'Asset Classification'!L18</f>
        <v>0</v>
      </c>
      <c r="P18" s="656">
        <f t="shared" si="5"/>
        <v>0</v>
      </c>
      <c r="Q18" s="656">
        <f t="shared" si="6"/>
        <v>0</v>
      </c>
      <c r="R18" s="661">
        <f>+'Asset Classification'!M18</f>
        <v>0</v>
      </c>
      <c r="S18" s="662">
        <f>+'Asset Classification'!N18</f>
        <v>0</v>
      </c>
      <c r="T18" s="661">
        <f>+'Asset Classification'!O18</f>
        <v>0</v>
      </c>
      <c r="U18" s="656">
        <f t="shared" si="7"/>
        <v>0</v>
      </c>
      <c r="V18" s="656">
        <f t="shared" si="8"/>
        <v>0</v>
      </c>
      <c r="W18" s="662">
        <f>+'Asset Classification'!P18</f>
        <v>0</v>
      </c>
      <c r="X18" s="656">
        <f t="shared" si="9"/>
        <v>0</v>
      </c>
      <c r="Y18" s="656">
        <f t="shared" si="10"/>
        <v>0</v>
      </c>
      <c r="Z18" s="661">
        <f>+'Asset Classification'!Q18</f>
        <v>0</v>
      </c>
      <c r="AA18" s="662">
        <f>+'Asset Classification'!R18</f>
        <v>0</v>
      </c>
      <c r="AB18" s="661">
        <f>+'Asset Classification'!S18</f>
        <v>0</v>
      </c>
      <c r="AC18" s="656">
        <f t="shared" si="11"/>
        <v>0</v>
      </c>
      <c r="AD18" s="656">
        <f t="shared" si="12"/>
        <v>0</v>
      </c>
      <c r="AE18" s="662">
        <f>+'Asset Classification'!T18</f>
        <v>0</v>
      </c>
      <c r="AF18" s="656">
        <f t="shared" si="13"/>
        <v>0</v>
      </c>
      <c r="AG18" s="656">
        <f t="shared" si="14"/>
        <v>0</v>
      </c>
      <c r="AH18" s="661">
        <f>+'Asset Classification'!U18</f>
        <v>0</v>
      </c>
      <c r="AI18" s="662">
        <f>+'Asset Classification'!V18</f>
        <v>0</v>
      </c>
      <c r="AJ18" s="661">
        <f>+'Asset Classification'!W18</f>
        <v>0</v>
      </c>
      <c r="AK18" s="656">
        <f t="shared" si="15"/>
        <v>0</v>
      </c>
      <c r="AL18" s="656">
        <f t="shared" si="16"/>
        <v>0</v>
      </c>
      <c r="AM18" s="662">
        <f>+'Asset Classification'!X18</f>
        <v>0</v>
      </c>
      <c r="AN18" s="656">
        <f t="shared" si="17"/>
        <v>0</v>
      </c>
      <c r="AO18" s="656">
        <f t="shared" si="18"/>
        <v>0</v>
      </c>
      <c r="AP18" s="643">
        <f t="shared" si="19"/>
        <v>0</v>
      </c>
      <c r="AQ18" s="643">
        <f t="shared" si="19"/>
        <v>0</v>
      </c>
      <c r="AR18" s="643">
        <f t="shared" si="20"/>
        <v>0</v>
      </c>
      <c r="AS18" s="656">
        <f t="shared" si="0"/>
        <v>0</v>
      </c>
      <c r="AT18" s="656">
        <f t="shared" si="0"/>
        <v>0</v>
      </c>
      <c r="AU18" s="656">
        <f t="shared" si="21"/>
        <v>0</v>
      </c>
      <c r="AW18" s="658"/>
      <c r="AX18" s="658"/>
      <c r="AY18" s="658"/>
      <c r="AZ18" s="658"/>
      <c r="BA18" s="658"/>
      <c r="BB18" s="658"/>
      <c r="BC18" s="658"/>
    </row>
    <row r="19" spans="1:55" s="276" customFormat="1" ht="23.25" customHeight="1">
      <c r="A19" s="654">
        <v>7</v>
      </c>
      <c r="B19" s="169" t="s">
        <v>404</v>
      </c>
      <c r="C19" s="655">
        <f>+'Asset Classification'!C19</f>
        <v>5357029046</v>
      </c>
      <c r="D19" s="656">
        <f>+'Asset Classification'!D19</f>
        <v>2888036985</v>
      </c>
      <c r="E19" s="661">
        <f>+'Asset Classification'!E19</f>
        <v>5147221808</v>
      </c>
      <c r="F19" s="662">
        <f>+'Asset Classification'!F19</f>
        <v>2832254258</v>
      </c>
      <c r="G19" s="661">
        <f>+'Asset Classification'!G19</f>
        <v>42933735</v>
      </c>
      <c r="H19" s="656">
        <f t="shared" si="1"/>
        <v>51472218.079999998</v>
      </c>
      <c r="I19" s="656">
        <f t="shared" si="2"/>
        <v>-8538483.0799999982</v>
      </c>
      <c r="J19" s="661">
        <f>+'Asset Classification'!I19</f>
        <v>81124646</v>
      </c>
      <c r="K19" s="662">
        <f>+'Asset Classification'!J19</f>
        <v>10347115</v>
      </c>
      <c r="L19" s="661">
        <f>+'Asset Classification'!K19</f>
        <v>8815108</v>
      </c>
      <c r="M19" s="656">
        <f t="shared" si="3"/>
        <v>8112464.6000000006</v>
      </c>
      <c r="N19" s="656">
        <f t="shared" si="4"/>
        <v>702643.39999999944</v>
      </c>
      <c r="O19" s="662">
        <f>+'Asset Classification'!L19</f>
        <v>2672938</v>
      </c>
      <c r="P19" s="656">
        <f t="shared" si="5"/>
        <v>1034711.5</v>
      </c>
      <c r="Q19" s="656">
        <f t="shared" si="6"/>
        <v>1638226.5</v>
      </c>
      <c r="R19" s="661">
        <f>+'Asset Classification'!M19</f>
        <v>43619125</v>
      </c>
      <c r="S19" s="662">
        <f>+'Asset Classification'!N19</f>
        <v>17976299</v>
      </c>
      <c r="T19" s="661">
        <f>+'Asset Classification'!O19</f>
        <v>6997051</v>
      </c>
      <c r="U19" s="656">
        <f t="shared" si="7"/>
        <v>10904781.25</v>
      </c>
      <c r="V19" s="656">
        <f t="shared" si="8"/>
        <v>-3907730.25</v>
      </c>
      <c r="W19" s="662">
        <f>+'Asset Classification'!P19</f>
        <v>1942842</v>
      </c>
      <c r="X19" s="656">
        <f t="shared" si="9"/>
        <v>4494074.75</v>
      </c>
      <c r="Y19" s="656">
        <f t="shared" si="10"/>
        <v>-2551232.75</v>
      </c>
      <c r="Z19" s="661">
        <f>+'Asset Classification'!Q19</f>
        <v>60668576</v>
      </c>
      <c r="AA19" s="662">
        <f>+'Asset Classification'!R19</f>
        <v>25674905</v>
      </c>
      <c r="AB19" s="661">
        <f>+'Asset Classification'!S19</f>
        <v>8737985</v>
      </c>
      <c r="AC19" s="656">
        <f t="shared" si="11"/>
        <v>30334288</v>
      </c>
      <c r="AD19" s="656">
        <f t="shared" si="12"/>
        <v>-21596303</v>
      </c>
      <c r="AE19" s="662">
        <f>+'Asset Classification'!T19</f>
        <v>1844064</v>
      </c>
      <c r="AF19" s="656">
        <f t="shared" si="13"/>
        <v>12837452.5</v>
      </c>
      <c r="AG19" s="656">
        <f t="shared" si="14"/>
        <v>-10993388.5</v>
      </c>
      <c r="AH19" s="661">
        <f>+'Asset Classification'!U19</f>
        <v>24394891</v>
      </c>
      <c r="AI19" s="662">
        <f>+'Asset Classification'!V19</f>
        <v>1784408</v>
      </c>
      <c r="AJ19" s="661">
        <f>+'Asset Classification'!W19</f>
        <v>7461836</v>
      </c>
      <c r="AK19" s="656">
        <f t="shared" si="15"/>
        <v>24394891</v>
      </c>
      <c r="AL19" s="656">
        <f t="shared" si="16"/>
        <v>-16933055</v>
      </c>
      <c r="AM19" s="662">
        <f>+'Asset Classification'!X19</f>
        <v>18596</v>
      </c>
      <c r="AN19" s="656">
        <f t="shared" si="17"/>
        <v>1784408</v>
      </c>
      <c r="AO19" s="656">
        <f t="shared" si="18"/>
        <v>-1765812</v>
      </c>
      <c r="AP19" s="643">
        <f t="shared" si="19"/>
        <v>32011980</v>
      </c>
      <c r="AQ19" s="643">
        <f t="shared" si="19"/>
        <v>73746424.849999994</v>
      </c>
      <c r="AR19" s="643">
        <f t="shared" si="20"/>
        <v>-41734444.849999994</v>
      </c>
      <c r="AS19" s="656">
        <f t="shared" si="0"/>
        <v>6478440</v>
      </c>
      <c r="AT19" s="656">
        <f t="shared" si="0"/>
        <v>20150646.75</v>
      </c>
      <c r="AU19" s="656">
        <f t="shared" si="21"/>
        <v>-13672206.75</v>
      </c>
      <c r="AV19" s="657">
        <f>+'Aging Analysis'!C15</f>
        <v>5357029046</v>
      </c>
      <c r="AW19" s="658"/>
      <c r="AX19" s="658"/>
      <c r="AY19" s="658"/>
      <c r="AZ19" s="658"/>
      <c r="BA19" s="658"/>
      <c r="BB19" s="658"/>
      <c r="BC19" s="658"/>
    </row>
    <row r="20" spans="1:55" s="276" customFormat="1" ht="14.25" customHeight="1">
      <c r="A20" s="654"/>
      <c r="B20" s="659" t="s">
        <v>670</v>
      </c>
      <c r="C20" s="655">
        <f>+'Asset Classification'!C20</f>
        <v>0</v>
      </c>
      <c r="D20" s="656">
        <f>+'Asset Classification'!D20</f>
        <v>0</v>
      </c>
      <c r="E20" s="661">
        <f>+'Asset Classification'!E20</f>
        <v>0</v>
      </c>
      <c r="F20" s="662">
        <f>+'Asset Classification'!F20</f>
        <v>0</v>
      </c>
      <c r="G20" s="661">
        <f>+'Asset Classification'!G20</f>
        <v>0</v>
      </c>
      <c r="H20" s="656">
        <f t="shared" si="1"/>
        <v>0</v>
      </c>
      <c r="I20" s="656">
        <f t="shared" si="2"/>
        <v>0</v>
      </c>
      <c r="J20" s="661">
        <f>+'Asset Classification'!I20</f>
        <v>0</v>
      </c>
      <c r="K20" s="662">
        <f>+'Asset Classification'!J20</f>
        <v>0</v>
      </c>
      <c r="L20" s="661">
        <f>+'Asset Classification'!K20</f>
        <v>0</v>
      </c>
      <c r="M20" s="656">
        <f t="shared" si="3"/>
        <v>0</v>
      </c>
      <c r="N20" s="656">
        <f t="shared" si="4"/>
        <v>0</v>
      </c>
      <c r="O20" s="662">
        <f>+'Asset Classification'!L20</f>
        <v>0</v>
      </c>
      <c r="P20" s="656">
        <f t="shared" si="5"/>
        <v>0</v>
      </c>
      <c r="Q20" s="656">
        <f t="shared" si="6"/>
        <v>0</v>
      </c>
      <c r="R20" s="661">
        <f>+'Asset Classification'!M20</f>
        <v>0</v>
      </c>
      <c r="S20" s="662">
        <f>+'Asset Classification'!N20</f>
        <v>0</v>
      </c>
      <c r="T20" s="661">
        <f>+'Asset Classification'!O20</f>
        <v>0</v>
      </c>
      <c r="U20" s="656">
        <f t="shared" si="7"/>
        <v>0</v>
      </c>
      <c r="V20" s="656">
        <f t="shared" si="8"/>
        <v>0</v>
      </c>
      <c r="W20" s="662">
        <f>+'Asset Classification'!P20</f>
        <v>0</v>
      </c>
      <c r="X20" s="656">
        <f t="shared" si="9"/>
        <v>0</v>
      </c>
      <c r="Y20" s="656">
        <f t="shared" si="10"/>
        <v>0</v>
      </c>
      <c r="Z20" s="661">
        <f>+'Asset Classification'!Q20</f>
        <v>0</v>
      </c>
      <c r="AA20" s="662">
        <f>+'Asset Classification'!R20</f>
        <v>0</v>
      </c>
      <c r="AB20" s="661">
        <f>+'Asset Classification'!S20</f>
        <v>0</v>
      </c>
      <c r="AC20" s="656">
        <f t="shared" si="11"/>
        <v>0</v>
      </c>
      <c r="AD20" s="656">
        <f t="shared" si="12"/>
        <v>0</v>
      </c>
      <c r="AE20" s="662">
        <f>+'Asset Classification'!T20</f>
        <v>0</v>
      </c>
      <c r="AF20" s="656">
        <f t="shared" si="13"/>
        <v>0</v>
      </c>
      <c r="AG20" s="656">
        <f t="shared" si="14"/>
        <v>0</v>
      </c>
      <c r="AH20" s="661">
        <f>+'Asset Classification'!U20</f>
        <v>0</v>
      </c>
      <c r="AI20" s="662">
        <f>+'Asset Classification'!V20</f>
        <v>0</v>
      </c>
      <c r="AJ20" s="661">
        <f>+'Asset Classification'!W20</f>
        <v>0</v>
      </c>
      <c r="AK20" s="656">
        <f t="shared" si="15"/>
        <v>0</v>
      </c>
      <c r="AL20" s="656">
        <f t="shared" si="16"/>
        <v>0</v>
      </c>
      <c r="AM20" s="662">
        <f>+'Asset Classification'!X20</f>
        <v>0</v>
      </c>
      <c r="AN20" s="656">
        <f t="shared" si="17"/>
        <v>0</v>
      </c>
      <c r="AO20" s="656">
        <f t="shared" si="18"/>
        <v>0</v>
      </c>
      <c r="AP20" s="643">
        <f t="shared" si="19"/>
        <v>0</v>
      </c>
      <c r="AQ20" s="643">
        <f t="shared" si="19"/>
        <v>0</v>
      </c>
      <c r="AR20" s="643">
        <f t="shared" si="20"/>
        <v>0</v>
      </c>
      <c r="AS20" s="656">
        <f t="shared" si="0"/>
        <v>0</v>
      </c>
      <c r="AT20" s="656">
        <f t="shared" si="0"/>
        <v>0</v>
      </c>
      <c r="AU20" s="656">
        <f t="shared" si="21"/>
        <v>0</v>
      </c>
      <c r="AW20" s="658"/>
      <c r="AX20" s="658"/>
      <c r="AY20" s="658"/>
      <c r="AZ20" s="658"/>
      <c r="BA20" s="658"/>
      <c r="BB20" s="658"/>
      <c r="BC20" s="658"/>
    </row>
    <row r="21" spans="1:55" s="276" customFormat="1" ht="23.25" customHeight="1">
      <c r="A21" s="654">
        <v>8</v>
      </c>
      <c r="B21" s="169" t="s">
        <v>673</v>
      </c>
      <c r="C21" s="655">
        <f>+'Asset Classification'!C21</f>
        <v>29599367</v>
      </c>
      <c r="D21" s="656">
        <f>+'Asset Classification'!D21</f>
        <v>25862946</v>
      </c>
      <c r="E21" s="661">
        <f>+'Asset Classification'!E21</f>
        <v>29599367</v>
      </c>
      <c r="F21" s="662">
        <f>+'Asset Classification'!F21</f>
        <v>25862946</v>
      </c>
      <c r="G21" s="661">
        <f>+'Asset Classification'!G21</f>
        <v>295735</v>
      </c>
      <c r="H21" s="656">
        <f t="shared" si="1"/>
        <v>295993.67</v>
      </c>
      <c r="I21" s="656">
        <f t="shared" si="2"/>
        <v>-258.6699999999837</v>
      </c>
      <c r="J21" s="661">
        <f>+'Asset Classification'!I21</f>
        <v>0</v>
      </c>
      <c r="K21" s="662">
        <f>+'Asset Classification'!J21</f>
        <v>0</v>
      </c>
      <c r="L21" s="661">
        <f>+'Asset Classification'!K21</f>
        <v>0</v>
      </c>
      <c r="M21" s="656">
        <f t="shared" si="3"/>
        <v>0</v>
      </c>
      <c r="N21" s="656">
        <f t="shared" si="4"/>
        <v>0</v>
      </c>
      <c r="O21" s="662">
        <f>+'Asset Classification'!L21</f>
        <v>0</v>
      </c>
      <c r="P21" s="656">
        <f t="shared" si="5"/>
        <v>0</v>
      </c>
      <c r="Q21" s="656">
        <f t="shared" si="6"/>
        <v>0</v>
      </c>
      <c r="R21" s="661">
        <f>+'Asset Classification'!M21</f>
        <v>0</v>
      </c>
      <c r="S21" s="662">
        <f>+'Asset Classification'!N21</f>
        <v>0</v>
      </c>
      <c r="T21" s="661">
        <f>+'Asset Classification'!O21</f>
        <v>0</v>
      </c>
      <c r="U21" s="656">
        <f t="shared" si="7"/>
        <v>0</v>
      </c>
      <c r="V21" s="656">
        <f t="shared" si="8"/>
        <v>0</v>
      </c>
      <c r="W21" s="662">
        <f>+'Asset Classification'!P21</f>
        <v>0</v>
      </c>
      <c r="X21" s="656">
        <f t="shared" si="9"/>
        <v>0</v>
      </c>
      <c r="Y21" s="656">
        <f t="shared" si="10"/>
        <v>0</v>
      </c>
      <c r="Z21" s="661">
        <f>+'Asset Classification'!Q21</f>
        <v>0</v>
      </c>
      <c r="AA21" s="662">
        <f>+'Asset Classification'!R21</f>
        <v>0</v>
      </c>
      <c r="AB21" s="661">
        <f>+'Asset Classification'!S21</f>
        <v>0</v>
      </c>
      <c r="AC21" s="656">
        <f t="shared" si="11"/>
        <v>0</v>
      </c>
      <c r="AD21" s="656">
        <f t="shared" si="12"/>
        <v>0</v>
      </c>
      <c r="AE21" s="662">
        <f>+'Asset Classification'!T21</f>
        <v>0</v>
      </c>
      <c r="AF21" s="656">
        <f t="shared" si="13"/>
        <v>0</v>
      </c>
      <c r="AG21" s="656">
        <f t="shared" si="14"/>
        <v>0</v>
      </c>
      <c r="AH21" s="661">
        <f>+'Asset Classification'!U21</f>
        <v>0</v>
      </c>
      <c r="AI21" s="662">
        <f>+'Asset Classification'!V21</f>
        <v>0</v>
      </c>
      <c r="AJ21" s="661">
        <f>+'Asset Classification'!W21</f>
        <v>0</v>
      </c>
      <c r="AK21" s="656">
        <f t="shared" si="15"/>
        <v>0</v>
      </c>
      <c r="AL21" s="656">
        <f t="shared" si="16"/>
        <v>0</v>
      </c>
      <c r="AM21" s="662">
        <f>+'Asset Classification'!X21</f>
        <v>0</v>
      </c>
      <c r="AN21" s="656">
        <f t="shared" si="17"/>
        <v>0</v>
      </c>
      <c r="AO21" s="656">
        <f t="shared" si="18"/>
        <v>0</v>
      </c>
      <c r="AP21" s="643">
        <f t="shared" si="19"/>
        <v>0</v>
      </c>
      <c r="AQ21" s="643">
        <f t="shared" si="19"/>
        <v>0</v>
      </c>
      <c r="AR21" s="643">
        <f t="shared" si="20"/>
        <v>0</v>
      </c>
      <c r="AS21" s="656">
        <f t="shared" si="0"/>
        <v>0</v>
      </c>
      <c r="AT21" s="656">
        <f t="shared" si="0"/>
        <v>0</v>
      </c>
      <c r="AU21" s="656">
        <f t="shared" si="21"/>
        <v>0</v>
      </c>
      <c r="AV21" s="657">
        <f>+'Aging Analysis'!C16</f>
        <v>29599367</v>
      </c>
      <c r="AW21" s="658"/>
      <c r="AX21" s="658"/>
      <c r="AY21" s="658"/>
      <c r="AZ21" s="658"/>
      <c r="BA21" s="658"/>
      <c r="BB21" s="658"/>
      <c r="BC21" s="658"/>
    </row>
    <row r="22" spans="1:55" s="276" customFormat="1" ht="14.25" customHeight="1">
      <c r="A22" s="654"/>
      <c r="B22" s="659" t="s">
        <v>670</v>
      </c>
      <c r="C22" s="655">
        <f>+'Asset Classification'!C22</f>
        <v>0</v>
      </c>
      <c r="D22" s="656">
        <f>+'Asset Classification'!D22</f>
        <v>0</v>
      </c>
      <c r="E22" s="661">
        <f>+'Asset Classification'!E22</f>
        <v>0</v>
      </c>
      <c r="F22" s="662">
        <f>+'Asset Classification'!F22</f>
        <v>0</v>
      </c>
      <c r="G22" s="661">
        <f>+'Asset Classification'!G22</f>
        <v>0</v>
      </c>
      <c r="H22" s="656">
        <f t="shared" si="1"/>
        <v>0</v>
      </c>
      <c r="I22" s="656">
        <f t="shared" si="2"/>
        <v>0</v>
      </c>
      <c r="J22" s="661">
        <f>+'Asset Classification'!I22</f>
        <v>0</v>
      </c>
      <c r="K22" s="662">
        <f>+'Asset Classification'!J22</f>
        <v>0</v>
      </c>
      <c r="L22" s="661">
        <f>+'Asset Classification'!K22</f>
        <v>0</v>
      </c>
      <c r="M22" s="656">
        <f t="shared" si="3"/>
        <v>0</v>
      </c>
      <c r="N22" s="656">
        <f t="shared" si="4"/>
        <v>0</v>
      </c>
      <c r="O22" s="662">
        <f>+'Asset Classification'!L22</f>
        <v>0</v>
      </c>
      <c r="P22" s="656">
        <f t="shared" si="5"/>
        <v>0</v>
      </c>
      <c r="Q22" s="656">
        <f t="shared" si="6"/>
        <v>0</v>
      </c>
      <c r="R22" s="661">
        <f>+'Asset Classification'!M22</f>
        <v>0</v>
      </c>
      <c r="S22" s="662">
        <f>+'Asset Classification'!N22</f>
        <v>0</v>
      </c>
      <c r="T22" s="661">
        <f>+'Asset Classification'!O22</f>
        <v>0</v>
      </c>
      <c r="U22" s="656">
        <f t="shared" si="7"/>
        <v>0</v>
      </c>
      <c r="V22" s="656">
        <f t="shared" si="8"/>
        <v>0</v>
      </c>
      <c r="W22" s="662">
        <f>+'Asset Classification'!P22</f>
        <v>0</v>
      </c>
      <c r="X22" s="656">
        <f t="shared" si="9"/>
        <v>0</v>
      </c>
      <c r="Y22" s="656">
        <f t="shared" si="10"/>
        <v>0</v>
      </c>
      <c r="Z22" s="661">
        <f>+'Asset Classification'!Q22</f>
        <v>0</v>
      </c>
      <c r="AA22" s="662">
        <f>+'Asset Classification'!R22</f>
        <v>0</v>
      </c>
      <c r="AB22" s="661">
        <f>+'Asset Classification'!S22</f>
        <v>0</v>
      </c>
      <c r="AC22" s="656">
        <f t="shared" si="11"/>
        <v>0</v>
      </c>
      <c r="AD22" s="656">
        <f t="shared" si="12"/>
        <v>0</v>
      </c>
      <c r="AE22" s="662">
        <f>+'Asset Classification'!T22</f>
        <v>0</v>
      </c>
      <c r="AF22" s="656">
        <f t="shared" si="13"/>
        <v>0</v>
      </c>
      <c r="AG22" s="656">
        <f t="shared" si="14"/>
        <v>0</v>
      </c>
      <c r="AH22" s="661">
        <f>+'Asset Classification'!U22</f>
        <v>0</v>
      </c>
      <c r="AI22" s="662">
        <f>+'Asset Classification'!V22</f>
        <v>0</v>
      </c>
      <c r="AJ22" s="661">
        <f>+'Asset Classification'!W22</f>
        <v>0</v>
      </c>
      <c r="AK22" s="656">
        <f t="shared" si="15"/>
        <v>0</v>
      </c>
      <c r="AL22" s="656">
        <f t="shared" si="16"/>
        <v>0</v>
      </c>
      <c r="AM22" s="662">
        <f>+'Asset Classification'!X22</f>
        <v>0</v>
      </c>
      <c r="AN22" s="656">
        <f t="shared" si="17"/>
        <v>0</v>
      </c>
      <c r="AO22" s="656">
        <f t="shared" si="18"/>
        <v>0</v>
      </c>
      <c r="AP22" s="643">
        <f t="shared" si="19"/>
        <v>0</v>
      </c>
      <c r="AQ22" s="643">
        <f t="shared" si="19"/>
        <v>0</v>
      </c>
      <c r="AR22" s="643">
        <f t="shared" si="20"/>
        <v>0</v>
      </c>
      <c r="AS22" s="656">
        <f t="shared" si="0"/>
        <v>0</v>
      </c>
      <c r="AT22" s="656">
        <f t="shared" si="0"/>
        <v>0</v>
      </c>
      <c r="AU22" s="656">
        <f t="shared" si="21"/>
        <v>0</v>
      </c>
      <c r="AW22" s="658"/>
      <c r="AX22" s="658"/>
      <c r="AY22" s="658"/>
      <c r="AZ22" s="658"/>
      <c r="BA22" s="658"/>
      <c r="BB22" s="658"/>
      <c r="BC22" s="658"/>
    </row>
    <row r="23" spans="1:55" s="276" customFormat="1" ht="23.25" customHeight="1">
      <c r="A23" s="654">
        <v>9</v>
      </c>
      <c r="B23" s="169" t="s">
        <v>674</v>
      </c>
      <c r="C23" s="655">
        <f>+'Asset Classification'!C23</f>
        <v>6153800</v>
      </c>
      <c r="D23" s="656">
        <f>+'Asset Classification'!D23</f>
        <v>0</v>
      </c>
      <c r="E23" s="661">
        <f>+'Asset Classification'!E23</f>
        <v>6153800</v>
      </c>
      <c r="F23" s="662">
        <f>+'Asset Classification'!F23</f>
        <v>0</v>
      </c>
      <c r="G23" s="661">
        <f>+'Asset Classification'!G23</f>
        <v>605938</v>
      </c>
      <c r="H23" s="656">
        <f t="shared" si="1"/>
        <v>61538</v>
      </c>
      <c r="I23" s="656">
        <f t="shared" si="2"/>
        <v>544400</v>
      </c>
      <c r="J23" s="661">
        <f>+'Asset Classification'!I23</f>
        <v>0</v>
      </c>
      <c r="K23" s="662">
        <f>+'Asset Classification'!J23</f>
        <v>0</v>
      </c>
      <c r="L23" s="661">
        <f>+'Asset Classification'!K23</f>
        <v>0</v>
      </c>
      <c r="M23" s="656">
        <f t="shared" si="3"/>
        <v>0</v>
      </c>
      <c r="N23" s="656">
        <f t="shared" si="4"/>
        <v>0</v>
      </c>
      <c r="O23" s="662">
        <f>+'Asset Classification'!L23</f>
        <v>0</v>
      </c>
      <c r="P23" s="656">
        <f t="shared" si="5"/>
        <v>0</v>
      </c>
      <c r="Q23" s="656">
        <f t="shared" si="6"/>
        <v>0</v>
      </c>
      <c r="R23" s="661">
        <f>+'Asset Classification'!M23</f>
        <v>0</v>
      </c>
      <c r="S23" s="662">
        <f>+'Asset Classification'!N23</f>
        <v>0</v>
      </c>
      <c r="T23" s="661">
        <f>+'Asset Classification'!O23</f>
        <v>0</v>
      </c>
      <c r="U23" s="656">
        <f t="shared" si="7"/>
        <v>0</v>
      </c>
      <c r="V23" s="656">
        <f t="shared" si="8"/>
        <v>0</v>
      </c>
      <c r="W23" s="662">
        <f>+'Asset Classification'!P23</f>
        <v>0</v>
      </c>
      <c r="X23" s="656">
        <f t="shared" si="9"/>
        <v>0</v>
      </c>
      <c r="Y23" s="656">
        <f t="shared" si="10"/>
        <v>0</v>
      </c>
      <c r="Z23" s="661">
        <f>+'Asset Classification'!Q23</f>
        <v>0</v>
      </c>
      <c r="AA23" s="662">
        <f>+'Asset Classification'!R23</f>
        <v>0</v>
      </c>
      <c r="AB23" s="661">
        <f>+'Asset Classification'!S23</f>
        <v>0</v>
      </c>
      <c r="AC23" s="656">
        <f t="shared" si="11"/>
        <v>0</v>
      </c>
      <c r="AD23" s="656">
        <f t="shared" si="12"/>
        <v>0</v>
      </c>
      <c r="AE23" s="662">
        <f>+'Asset Classification'!T23</f>
        <v>0</v>
      </c>
      <c r="AF23" s="656">
        <f t="shared" si="13"/>
        <v>0</v>
      </c>
      <c r="AG23" s="656">
        <f t="shared" si="14"/>
        <v>0</v>
      </c>
      <c r="AH23" s="661">
        <f>+'Asset Classification'!U23</f>
        <v>0</v>
      </c>
      <c r="AI23" s="662">
        <f>+'Asset Classification'!V23</f>
        <v>0</v>
      </c>
      <c r="AJ23" s="661">
        <f>+'Asset Classification'!W23</f>
        <v>0</v>
      </c>
      <c r="AK23" s="656">
        <f t="shared" si="15"/>
        <v>0</v>
      </c>
      <c r="AL23" s="656">
        <f t="shared" si="16"/>
        <v>0</v>
      </c>
      <c r="AM23" s="662">
        <f>+'Asset Classification'!X23</f>
        <v>0</v>
      </c>
      <c r="AN23" s="656">
        <f t="shared" si="17"/>
        <v>0</v>
      </c>
      <c r="AO23" s="656">
        <f t="shared" si="18"/>
        <v>0</v>
      </c>
      <c r="AP23" s="643">
        <f t="shared" si="19"/>
        <v>0</v>
      </c>
      <c r="AQ23" s="643">
        <f t="shared" si="19"/>
        <v>0</v>
      </c>
      <c r="AR23" s="643">
        <f t="shared" si="20"/>
        <v>0</v>
      </c>
      <c r="AS23" s="656">
        <f t="shared" si="0"/>
        <v>0</v>
      </c>
      <c r="AT23" s="656">
        <f t="shared" si="0"/>
        <v>0</v>
      </c>
      <c r="AU23" s="656">
        <f t="shared" si="21"/>
        <v>0</v>
      </c>
      <c r="AV23" s="657">
        <f>+'Aging Analysis'!C17</f>
        <v>6153800</v>
      </c>
      <c r="AW23" s="658"/>
      <c r="AX23" s="658"/>
      <c r="AY23" s="658"/>
      <c r="AZ23" s="658"/>
      <c r="BA23" s="658"/>
      <c r="BB23" s="658"/>
      <c r="BC23" s="658"/>
    </row>
    <row r="24" spans="1:55" s="276" customFormat="1" ht="14.25" customHeight="1">
      <c r="A24" s="654"/>
      <c r="B24" s="659" t="s">
        <v>670</v>
      </c>
      <c r="C24" s="655">
        <f>+'Asset Classification'!C24</f>
        <v>0</v>
      </c>
      <c r="D24" s="656">
        <f>+'Asset Classification'!D24</f>
        <v>0</v>
      </c>
      <c r="E24" s="661">
        <f>+'Asset Classification'!E24</f>
        <v>0</v>
      </c>
      <c r="F24" s="662">
        <f>+'Asset Classification'!F24</f>
        <v>0</v>
      </c>
      <c r="G24" s="661">
        <f>+'Asset Classification'!G24</f>
        <v>0</v>
      </c>
      <c r="H24" s="656">
        <f t="shared" si="1"/>
        <v>0</v>
      </c>
      <c r="I24" s="656">
        <f t="shared" si="2"/>
        <v>0</v>
      </c>
      <c r="J24" s="661">
        <f>+'Asset Classification'!I24</f>
        <v>0</v>
      </c>
      <c r="K24" s="662">
        <f>+'Asset Classification'!J24</f>
        <v>0</v>
      </c>
      <c r="L24" s="661">
        <f>+'Asset Classification'!K24</f>
        <v>0</v>
      </c>
      <c r="M24" s="656">
        <f t="shared" si="3"/>
        <v>0</v>
      </c>
      <c r="N24" s="656">
        <f t="shared" si="4"/>
        <v>0</v>
      </c>
      <c r="O24" s="662">
        <f>+'Asset Classification'!L24</f>
        <v>0</v>
      </c>
      <c r="P24" s="656">
        <f t="shared" si="5"/>
        <v>0</v>
      </c>
      <c r="Q24" s="656">
        <f t="shared" si="6"/>
        <v>0</v>
      </c>
      <c r="R24" s="661">
        <f>+'Asset Classification'!M24</f>
        <v>0</v>
      </c>
      <c r="S24" s="662">
        <f>+'Asset Classification'!N24</f>
        <v>0</v>
      </c>
      <c r="T24" s="661">
        <f>+'Asset Classification'!O24</f>
        <v>0</v>
      </c>
      <c r="U24" s="656">
        <f t="shared" si="7"/>
        <v>0</v>
      </c>
      <c r="V24" s="656">
        <f t="shared" si="8"/>
        <v>0</v>
      </c>
      <c r="W24" s="662">
        <f>+'Asset Classification'!P24</f>
        <v>0</v>
      </c>
      <c r="X24" s="656">
        <f t="shared" si="9"/>
        <v>0</v>
      </c>
      <c r="Y24" s="656">
        <f t="shared" si="10"/>
        <v>0</v>
      </c>
      <c r="Z24" s="661">
        <f>+'Asset Classification'!Q24</f>
        <v>0</v>
      </c>
      <c r="AA24" s="662">
        <f>+'Asset Classification'!R24</f>
        <v>0</v>
      </c>
      <c r="AB24" s="661">
        <f>+'Asset Classification'!S24</f>
        <v>0</v>
      </c>
      <c r="AC24" s="656">
        <f t="shared" si="11"/>
        <v>0</v>
      </c>
      <c r="AD24" s="656">
        <f t="shared" si="12"/>
        <v>0</v>
      </c>
      <c r="AE24" s="662">
        <f>+'Asset Classification'!T24</f>
        <v>0</v>
      </c>
      <c r="AF24" s="656">
        <f t="shared" si="13"/>
        <v>0</v>
      </c>
      <c r="AG24" s="656">
        <f t="shared" si="14"/>
        <v>0</v>
      </c>
      <c r="AH24" s="661">
        <f>+'Asset Classification'!U24</f>
        <v>0</v>
      </c>
      <c r="AI24" s="662">
        <f>+'Asset Classification'!V24</f>
        <v>0</v>
      </c>
      <c r="AJ24" s="661">
        <f>+'Asset Classification'!W24</f>
        <v>0</v>
      </c>
      <c r="AK24" s="656">
        <f t="shared" si="15"/>
        <v>0</v>
      </c>
      <c r="AL24" s="656">
        <f t="shared" si="16"/>
        <v>0</v>
      </c>
      <c r="AM24" s="662">
        <f>+'Asset Classification'!X24</f>
        <v>0</v>
      </c>
      <c r="AN24" s="656">
        <f t="shared" si="17"/>
        <v>0</v>
      </c>
      <c r="AO24" s="656">
        <f t="shared" si="18"/>
        <v>0</v>
      </c>
      <c r="AP24" s="643">
        <f t="shared" si="19"/>
        <v>0</v>
      </c>
      <c r="AQ24" s="643">
        <f t="shared" si="19"/>
        <v>0</v>
      </c>
      <c r="AR24" s="643">
        <f t="shared" si="20"/>
        <v>0</v>
      </c>
      <c r="AS24" s="656">
        <f t="shared" si="0"/>
        <v>0</v>
      </c>
      <c r="AT24" s="656">
        <f t="shared" si="0"/>
        <v>0</v>
      </c>
      <c r="AU24" s="656">
        <f t="shared" si="21"/>
        <v>0</v>
      </c>
      <c r="AW24" s="658"/>
      <c r="AX24" s="658"/>
      <c r="AY24" s="658"/>
      <c r="AZ24" s="658"/>
      <c r="BA24" s="658"/>
      <c r="BB24" s="658"/>
      <c r="BC24" s="658"/>
    </row>
    <row r="25" spans="1:55" s="276" customFormat="1" ht="23.25" customHeight="1">
      <c r="A25" s="654">
        <v>10</v>
      </c>
      <c r="B25" s="169" t="s">
        <v>675</v>
      </c>
      <c r="C25" s="655">
        <f>+'Asset Classification'!C25</f>
        <v>19290704</v>
      </c>
      <c r="D25" s="656">
        <f>+'Asset Classification'!D25</f>
        <v>12520594</v>
      </c>
      <c r="E25" s="661">
        <f>+'Asset Classification'!E25</f>
        <v>19081199</v>
      </c>
      <c r="F25" s="662">
        <f>+'Asset Classification'!F25</f>
        <v>12520594</v>
      </c>
      <c r="G25" s="661">
        <f>+'Asset Classification'!G25</f>
        <v>159695</v>
      </c>
      <c r="H25" s="656">
        <f t="shared" si="1"/>
        <v>190811.99</v>
      </c>
      <c r="I25" s="656">
        <f t="shared" si="2"/>
        <v>-31116.989999999991</v>
      </c>
      <c r="J25" s="661">
        <f>+'Asset Classification'!I25</f>
        <v>0</v>
      </c>
      <c r="K25" s="662">
        <f>+'Asset Classification'!J25</f>
        <v>0</v>
      </c>
      <c r="L25" s="661">
        <f>+'Asset Classification'!K25</f>
        <v>0</v>
      </c>
      <c r="M25" s="656">
        <f t="shared" si="3"/>
        <v>0</v>
      </c>
      <c r="N25" s="656">
        <f t="shared" si="4"/>
        <v>0</v>
      </c>
      <c r="O25" s="662">
        <f>+'Asset Classification'!L25</f>
        <v>0</v>
      </c>
      <c r="P25" s="656">
        <f t="shared" si="5"/>
        <v>0</v>
      </c>
      <c r="Q25" s="656">
        <f t="shared" si="6"/>
        <v>0</v>
      </c>
      <c r="R25" s="661">
        <f>+'Asset Classification'!M25</f>
        <v>0</v>
      </c>
      <c r="S25" s="662">
        <f>+'Asset Classification'!N25</f>
        <v>0</v>
      </c>
      <c r="T25" s="661">
        <f>+'Asset Classification'!O25</f>
        <v>0</v>
      </c>
      <c r="U25" s="656">
        <f t="shared" si="7"/>
        <v>0</v>
      </c>
      <c r="V25" s="656">
        <f t="shared" si="8"/>
        <v>0</v>
      </c>
      <c r="W25" s="662">
        <f>+'Asset Classification'!P25</f>
        <v>0</v>
      </c>
      <c r="X25" s="656">
        <f t="shared" si="9"/>
        <v>0</v>
      </c>
      <c r="Y25" s="656">
        <f t="shared" si="10"/>
        <v>0</v>
      </c>
      <c r="Z25" s="661">
        <f>+'Asset Classification'!Q25</f>
        <v>6755</v>
      </c>
      <c r="AA25" s="662">
        <f>+'Asset Classification'!R25</f>
        <v>0</v>
      </c>
      <c r="AB25" s="661">
        <f>+'Asset Classification'!S25</f>
        <v>0</v>
      </c>
      <c r="AC25" s="656">
        <f t="shared" si="11"/>
        <v>3377.5</v>
      </c>
      <c r="AD25" s="656">
        <f t="shared" si="12"/>
        <v>-3377.5</v>
      </c>
      <c r="AE25" s="662">
        <f>+'Asset Classification'!T25</f>
        <v>0</v>
      </c>
      <c r="AF25" s="656">
        <f t="shared" si="13"/>
        <v>0</v>
      </c>
      <c r="AG25" s="656">
        <f t="shared" si="14"/>
        <v>0</v>
      </c>
      <c r="AH25" s="661">
        <f>+'Asset Classification'!U25</f>
        <v>202750</v>
      </c>
      <c r="AI25" s="662">
        <f>+'Asset Classification'!V25</f>
        <v>0</v>
      </c>
      <c r="AJ25" s="661">
        <f>+'Asset Classification'!W25</f>
        <v>0</v>
      </c>
      <c r="AK25" s="656">
        <f t="shared" si="15"/>
        <v>202750</v>
      </c>
      <c r="AL25" s="656">
        <f t="shared" si="16"/>
        <v>-202750</v>
      </c>
      <c r="AM25" s="662">
        <f>+'Asset Classification'!X25</f>
        <v>0</v>
      </c>
      <c r="AN25" s="656">
        <f t="shared" si="17"/>
        <v>0</v>
      </c>
      <c r="AO25" s="656">
        <f t="shared" si="18"/>
        <v>0</v>
      </c>
      <c r="AP25" s="643">
        <f t="shared" si="19"/>
        <v>0</v>
      </c>
      <c r="AQ25" s="643">
        <f t="shared" si="19"/>
        <v>206127.5</v>
      </c>
      <c r="AR25" s="643">
        <f t="shared" si="20"/>
        <v>-206127.5</v>
      </c>
      <c r="AS25" s="656">
        <f t="shared" si="0"/>
        <v>0</v>
      </c>
      <c r="AT25" s="656">
        <f t="shared" si="0"/>
        <v>0</v>
      </c>
      <c r="AU25" s="656">
        <f t="shared" si="21"/>
        <v>0</v>
      </c>
      <c r="AV25" s="657">
        <f>+'Aging Analysis'!C18</f>
        <v>19290704</v>
      </c>
      <c r="AW25" s="658"/>
      <c r="AX25" s="658"/>
      <c r="AY25" s="658"/>
      <c r="AZ25" s="658"/>
      <c r="BA25" s="658"/>
      <c r="BB25" s="658"/>
      <c r="BC25" s="658"/>
    </row>
    <row r="26" spans="1:55" s="276" customFormat="1" ht="14.25" customHeight="1">
      <c r="A26" s="654"/>
      <c r="B26" s="659" t="s">
        <v>670</v>
      </c>
      <c r="C26" s="655">
        <f>+'Asset Classification'!C26</f>
        <v>0</v>
      </c>
      <c r="D26" s="656">
        <f>+'Asset Classification'!D26</f>
        <v>0</v>
      </c>
      <c r="E26" s="661">
        <f>+'Asset Classification'!E26</f>
        <v>0</v>
      </c>
      <c r="F26" s="662">
        <f>+'Asset Classification'!F26</f>
        <v>0</v>
      </c>
      <c r="G26" s="661">
        <f>+'Asset Classification'!G26</f>
        <v>0</v>
      </c>
      <c r="H26" s="656">
        <f t="shared" si="1"/>
        <v>0</v>
      </c>
      <c r="I26" s="656">
        <f t="shared" si="2"/>
        <v>0</v>
      </c>
      <c r="J26" s="661">
        <f>+'Asset Classification'!I26</f>
        <v>0</v>
      </c>
      <c r="K26" s="662">
        <f>+'Asset Classification'!J26</f>
        <v>0</v>
      </c>
      <c r="L26" s="661">
        <f>+'Asset Classification'!K26</f>
        <v>0</v>
      </c>
      <c r="M26" s="656">
        <f t="shared" si="3"/>
        <v>0</v>
      </c>
      <c r="N26" s="656">
        <f t="shared" si="4"/>
        <v>0</v>
      </c>
      <c r="O26" s="662">
        <f>+'Asset Classification'!L26</f>
        <v>0</v>
      </c>
      <c r="P26" s="656">
        <f t="shared" si="5"/>
        <v>0</v>
      </c>
      <c r="Q26" s="656">
        <f t="shared" si="6"/>
        <v>0</v>
      </c>
      <c r="R26" s="661">
        <f>+'Asset Classification'!M26</f>
        <v>0</v>
      </c>
      <c r="S26" s="662">
        <f>+'Asset Classification'!N26</f>
        <v>0</v>
      </c>
      <c r="T26" s="661">
        <f>+'Asset Classification'!O26</f>
        <v>0</v>
      </c>
      <c r="U26" s="656">
        <f t="shared" si="7"/>
        <v>0</v>
      </c>
      <c r="V26" s="656">
        <f t="shared" si="8"/>
        <v>0</v>
      </c>
      <c r="W26" s="662">
        <f>+'Asset Classification'!P26</f>
        <v>0</v>
      </c>
      <c r="X26" s="656">
        <f t="shared" si="9"/>
        <v>0</v>
      </c>
      <c r="Y26" s="656">
        <f t="shared" si="10"/>
        <v>0</v>
      </c>
      <c r="Z26" s="661">
        <f>+'Asset Classification'!Q26</f>
        <v>0</v>
      </c>
      <c r="AA26" s="662">
        <f>+'Asset Classification'!R26</f>
        <v>0</v>
      </c>
      <c r="AB26" s="661">
        <f>+'Asset Classification'!S26</f>
        <v>0</v>
      </c>
      <c r="AC26" s="656">
        <f t="shared" si="11"/>
        <v>0</v>
      </c>
      <c r="AD26" s="656">
        <f t="shared" si="12"/>
        <v>0</v>
      </c>
      <c r="AE26" s="662">
        <f>+'Asset Classification'!T26</f>
        <v>0</v>
      </c>
      <c r="AF26" s="656">
        <f t="shared" si="13"/>
        <v>0</v>
      </c>
      <c r="AG26" s="656">
        <f t="shared" si="14"/>
        <v>0</v>
      </c>
      <c r="AH26" s="661">
        <f>+'Asset Classification'!U26</f>
        <v>0</v>
      </c>
      <c r="AI26" s="662">
        <f>+'Asset Classification'!V26</f>
        <v>0</v>
      </c>
      <c r="AJ26" s="661">
        <f>+'Asset Classification'!W26</f>
        <v>0</v>
      </c>
      <c r="AK26" s="656">
        <f t="shared" si="15"/>
        <v>0</v>
      </c>
      <c r="AL26" s="656">
        <f t="shared" si="16"/>
        <v>0</v>
      </c>
      <c r="AM26" s="662">
        <f>+'Asset Classification'!X26</f>
        <v>0</v>
      </c>
      <c r="AN26" s="656">
        <f t="shared" si="17"/>
        <v>0</v>
      </c>
      <c r="AO26" s="656">
        <f t="shared" si="18"/>
        <v>0</v>
      </c>
      <c r="AP26" s="643">
        <f t="shared" si="19"/>
        <v>0</v>
      </c>
      <c r="AQ26" s="643">
        <f t="shared" si="19"/>
        <v>0</v>
      </c>
      <c r="AR26" s="643">
        <f t="shared" si="20"/>
        <v>0</v>
      </c>
      <c r="AS26" s="656">
        <f t="shared" si="0"/>
        <v>0</v>
      </c>
      <c r="AT26" s="656">
        <f t="shared" si="0"/>
        <v>0</v>
      </c>
      <c r="AU26" s="656">
        <f t="shared" si="21"/>
        <v>0</v>
      </c>
      <c r="AW26" s="658"/>
      <c r="AX26" s="658"/>
      <c r="AY26" s="658"/>
      <c r="AZ26" s="658"/>
      <c r="BA26" s="658"/>
      <c r="BB26" s="658"/>
      <c r="BC26" s="658"/>
    </row>
    <row r="27" spans="1:55" s="276" customFormat="1" ht="23.25" customHeight="1">
      <c r="A27" s="654">
        <v>11</v>
      </c>
      <c r="B27" s="169" t="s">
        <v>676</v>
      </c>
      <c r="C27" s="655">
        <f>+'Asset Classification'!C27</f>
        <v>0</v>
      </c>
      <c r="D27" s="656">
        <f>+'Asset Classification'!D27</f>
        <v>0</v>
      </c>
      <c r="E27" s="661">
        <f>+'Asset Classification'!E27</f>
        <v>0</v>
      </c>
      <c r="F27" s="662">
        <f>+'Asset Classification'!F27</f>
        <v>0</v>
      </c>
      <c r="G27" s="661">
        <f>+'Asset Classification'!G27</f>
        <v>0</v>
      </c>
      <c r="H27" s="656">
        <f t="shared" si="1"/>
        <v>0</v>
      </c>
      <c r="I27" s="656">
        <f t="shared" si="2"/>
        <v>0</v>
      </c>
      <c r="J27" s="661">
        <f>+'Asset Classification'!I27</f>
        <v>0</v>
      </c>
      <c r="K27" s="662">
        <f>+'Asset Classification'!J27</f>
        <v>0</v>
      </c>
      <c r="L27" s="661">
        <f>+'Asset Classification'!K27</f>
        <v>0</v>
      </c>
      <c r="M27" s="656">
        <f t="shared" si="3"/>
        <v>0</v>
      </c>
      <c r="N27" s="656">
        <f t="shared" si="4"/>
        <v>0</v>
      </c>
      <c r="O27" s="662">
        <f>+'Asset Classification'!L27</f>
        <v>0</v>
      </c>
      <c r="P27" s="656">
        <f t="shared" si="5"/>
        <v>0</v>
      </c>
      <c r="Q27" s="656">
        <f t="shared" si="6"/>
        <v>0</v>
      </c>
      <c r="R27" s="661">
        <f>+'Asset Classification'!M27</f>
        <v>0</v>
      </c>
      <c r="S27" s="662">
        <f>+'Asset Classification'!N27</f>
        <v>0</v>
      </c>
      <c r="T27" s="661">
        <f>+'Asset Classification'!O27</f>
        <v>0</v>
      </c>
      <c r="U27" s="656">
        <f t="shared" si="7"/>
        <v>0</v>
      </c>
      <c r="V27" s="656">
        <f t="shared" si="8"/>
        <v>0</v>
      </c>
      <c r="W27" s="662">
        <f>+'Asset Classification'!P27</f>
        <v>0</v>
      </c>
      <c r="X27" s="656">
        <f t="shared" si="9"/>
        <v>0</v>
      </c>
      <c r="Y27" s="656">
        <f t="shared" si="10"/>
        <v>0</v>
      </c>
      <c r="Z27" s="661">
        <f>+'Asset Classification'!Q27</f>
        <v>0</v>
      </c>
      <c r="AA27" s="662">
        <f>+'Asset Classification'!R27</f>
        <v>0</v>
      </c>
      <c r="AB27" s="661">
        <f>+'Asset Classification'!S27</f>
        <v>0</v>
      </c>
      <c r="AC27" s="656">
        <f t="shared" si="11"/>
        <v>0</v>
      </c>
      <c r="AD27" s="656">
        <f t="shared" si="12"/>
        <v>0</v>
      </c>
      <c r="AE27" s="662">
        <f>+'Asset Classification'!T27</f>
        <v>0</v>
      </c>
      <c r="AF27" s="656">
        <f t="shared" si="13"/>
        <v>0</v>
      </c>
      <c r="AG27" s="656">
        <f t="shared" si="14"/>
        <v>0</v>
      </c>
      <c r="AH27" s="661">
        <f>+'Asset Classification'!U27</f>
        <v>0</v>
      </c>
      <c r="AI27" s="662">
        <f>+'Asset Classification'!V27</f>
        <v>0</v>
      </c>
      <c r="AJ27" s="661">
        <f>+'Asset Classification'!W27</f>
        <v>0</v>
      </c>
      <c r="AK27" s="656">
        <f t="shared" si="15"/>
        <v>0</v>
      </c>
      <c r="AL27" s="656">
        <f t="shared" si="16"/>
        <v>0</v>
      </c>
      <c r="AM27" s="662">
        <f>+'Asset Classification'!X27</f>
        <v>0</v>
      </c>
      <c r="AN27" s="656">
        <f t="shared" si="17"/>
        <v>0</v>
      </c>
      <c r="AO27" s="656">
        <f t="shared" si="18"/>
        <v>0</v>
      </c>
      <c r="AP27" s="643">
        <f t="shared" si="19"/>
        <v>0</v>
      </c>
      <c r="AQ27" s="643">
        <f t="shared" si="19"/>
        <v>0</v>
      </c>
      <c r="AR27" s="643">
        <f t="shared" si="20"/>
        <v>0</v>
      </c>
      <c r="AS27" s="656">
        <f t="shared" si="0"/>
        <v>0</v>
      </c>
      <c r="AT27" s="656">
        <f t="shared" si="0"/>
        <v>0</v>
      </c>
      <c r="AU27" s="656">
        <f t="shared" si="21"/>
        <v>0</v>
      </c>
      <c r="AV27" s="657">
        <f>+'Aging Analysis'!C19</f>
        <v>0</v>
      </c>
      <c r="AW27" s="658"/>
      <c r="AX27" s="658"/>
      <c r="AY27" s="658"/>
      <c r="AZ27" s="658"/>
      <c r="BA27" s="658"/>
      <c r="BB27" s="658"/>
      <c r="BC27" s="658"/>
    </row>
    <row r="28" spans="1:55" s="276" customFormat="1" ht="14.25" customHeight="1">
      <c r="A28" s="654"/>
      <c r="B28" s="659" t="s">
        <v>670</v>
      </c>
      <c r="C28" s="655">
        <f>+'Asset Classification'!C28</f>
        <v>0</v>
      </c>
      <c r="D28" s="656">
        <f>+'Asset Classification'!D28</f>
        <v>0</v>
      </c>
      <c r="E28" s="661">
        <f>+'Asset Classification'!E28</f>
        <v>0</v>
      </c>
      <c r="F28" s="662">
        <f>+'Asset Classification'!F28</f>
        <v>0</v>
      </c>
      <c r="G28" s="661">
        <f>+'Asset Classification'!G28</f>
        <v>0</v>
      </c>
      <c r="H28" s="656">
        <f t="shared" si="1"/>
        <v>0</v>
      </c>
      <c r="I28" s="656">
        <f t="shared" si="2"/>
        <v>0</v>
      </c>
      <c r="J28" s="661">
        <f>+'Asset Classification'!I28</f>
        <v>0</v>
      </c>
      <c r="K28" s="662">
        <f>+'Asset Classification'!J28</f>
        <v>0</v>
      </c>
      <c r="L28" s="661">
        <f>+'Asset Classification'!K28</f>
        <v>0</v>
      </c>
      <c r="M28" s="656">
        <f t="shared" si="3"/>
        <v>0</v>
      </c>
      <c r="N28" s="656">
        <f t="shared" si="4"/>
        <v>0</v>
      </c>
      <c r="O28" s="662">
        <f>+'Asset Classification'!L28</f>
        <v>0</v>
      </c>
      <c r="P28" s="656">
        <f t="shared" si="5"/>
        <v>0</v>
      </c>
      <c r="Q28" s="656">
        <f t="shared" si="6"/>
        <v>0</v>
      </c>
      <c r="R28" s="661">
        <f>+'Asset Classification'!M28</f>
        <v>0</v>
      </c>
      <c r="S28" s="662">
        <f>+'Asset Classification'!N28</f>
        <v>0</v>
      </c>
      <c r="T28" s="661">
        <f>+'Asset Classification'!O28</f>
        <v>0</v>
      </c>
      <c r="U28" s="656">
        <f t="shared" si="7"/>
        <v>0</v>
      </c>
      <c r="V28" s="656">
        <f t="shared" si="8"/>
        <v>0</v>
      </c>
      <c r="W28" s="662">
        <f>+'Asset Classification'!P28</f>
        <v>0</v>
      </c>
      <c r="X28" s="656">
        <f t="shared" si="9"/>
        <v>0</v>
      </c>
      <c r="Y28" s="656">
        <f t="shared" si="10"/>
        <v>0</v>
      </c>
      <c r="Z28" s="661">
        <f>+'Asset Classification'!Q28</f>
        <v>0</v>
      </c>
      <c r="AA28" s="662">
        <f>+'Asset Classification'!R28</f>
        <v>0</v>
      </c>
      <c r="AB28" s="661">
        <f>+'Asset Classification'!S28</f>
        <v>0</v>
      </c>
      <c r="AC28" s="656">
        <f t="shared" si="11"/>
        <v>0</v>
      </c>
      <c r="AD28" s="656">
        <f t="shared" si="12"/>
        <v>0</v>
      </c>
      <c r="AE28" s="662">
        <f>+'Asset Classification'!T28</f>
        <v>0</v>
      </c>
      <c r="AF28" s="656">
        <f t="shared" si="13"/>
        <v>0</v>
      </c>
      <c r="AG28" s="656">
        <f t="shared" si="14"/>
        <v>0</v>
      </c>
      <c r="AH28" s="661">
        <f>+'Asset Classification'!U28</f>
        <v>0</v>
      </c>
      <c r="AI28" s="662">
        <f>+'Asset Classification'!V28</f>
        <v>0</v>
      </c>
      <c r="AJ28" s="661">
        <f>+'Asset Classification'!W28</f>
        <v>0</v>
      </c>
      <c r="AK28" s="656">
        <f t="shared" si="15"/>
        <v>0</v>
      </c>
      <c r="AL28" s="656">
        <f t="shared" si="16"/>
        <v>0</v>
      </c>
      <c r="AM28" s="662">
        <f>+'Asset Classification'!X28</f>
        <v>0</v>
      </c>
      <c r="AN28" s="656">
        <f t="shared" si="17"/>
        <v>0</v>
      </c>
      <c r="AO28" s="656">
        <f t="shared" si="18"/>
        <v>0</v>
      </c>
      <c r="AP28" s="643">
        <f t="shared" si="19"/>
        <v>0</v>
      </c>
      <c r="AQ28" s="643">
        <f t="shared" si="19"/>
        <v>0</v>
      </c>
      <c r="AR28" s="643">
        <f t="shared" si="20"/>
        <v>0</v>
      </c>
      <c r="AS28" s="656">
        <f t="shared" si="0"/>
        <v>0</v>
      </c>
      <c r="AT28" s="656">
        <f t="shared" si="0"/>
        <v>0</v>
      </c>
      <c r="AU28" s="656">
        <f t="shared" si="21"/>
        <v>0</v>
      </c>
      <c r="AW28" s="658"/>
      <c r="AX28" s="658"/>
      <c r="AY28" s="658"/>
      <c r="AZ28" s="658"/>
      <c r="BA28" s="658"/>
      <c r="BB28" s="658"/>
      <c r="BC28" s="658"/>
    </row>
    <row r="29" spans="1:55" s="276" customFormat="1" ht="23.25" customHeight="1">
      <c r="A29" s="654">
        <v>12</v>
      </c>
      <c r="B29" s="169" t="s">
        <v>677</v>
      </c>
      <c r="C29" s="655">
        <f>+'Asset Classification'!C29</f>
        <v>169305072</v>
      </c>
      <c r="D29" s="656">
        <f>+'Asset Classification'!D29</f>
        <v>31581676</v>
      </c>
      <c r="E29" s="661">
        <f>+'Asset Classification'!E29</f>
        <v>168676797</v>
      </c>
      <c r="F29" s="662">
        <f>+'Asset Classification'!F29</f>
        <v>31581676</v>
      </c>
      <c r="G29" s="661">
        <f>+'Asset Classification'!G29</f>
        <v>789847</v>
      </c>
      <c r="H29" s="656">
        <f t="shared" si="1"/>
        <v>1686767.97</v>
      </c>
      <c r="I29" s="656">
        <f t="shared" si="2"/>
        <v>-896920.97</v>
      </c>
      <c r="J29" s="661">
        <f>+'Asset Classification'!I29</f>
        <v>0</v>
      </c>
      <c r="K29" s="662">
        <f>+'Asset Classification'!J29</f>
        <v>0</v>
      </c>
      <c r="L29" s="661">
        <f>+'Asset Classification'!K29</f>
        <v>27500</v>
      </c>
      <c r="M29" s="656">
        <f t="shared" si="3"/>
        <v>0</v>
      </c>
      <c r="N29" s="656">
        <f t="shared" si="4"/>
        <v>27500</v>
      </c>
      <c r="O29" s="662">
        <f>+'Asset Classification'!L29</f>
        <v>0</v>
      </c>
      <c r="P29" s="656">
        <f t="shared" si="5"/>
        <v>0</v>
      </c>
      <c r="Q29" s="656">
        <f t="shared" si="6"/>
        <v>0</v>
      </c>
      <c r="R29" s="661">
        <f>+'Asset Classification'!M29</f>
        <v>0</v>
      </c>
      <c r="S29" s="662">
        <f>+'Asset Classification'!N29</f>
        <v>0</v>
      </c>
      <c r="T29" s="661">
        <f>+'Asset Classification'!O29</f>
        <v>0</v>
      </c>
      <c r="U29" s="656">
        <f t="shared" si="7"/>
        <v>0</v>
      </c>
      <c r="V29" s="656">
        <f t="shared" si="8"/>
        <v>0</v>
      </c>
      <c r="W29" s="662">
        <f>+'Asset Classification'!P29</f>
        <v>0</v>
      </c>
      <c r="X29" s="656">
        <f t="shared" si="9"/>
        <v>0</v>
      </c>
      <c r="Y29" s="656">
        <f t="shared" si="10"/>
        <v>0</v>
      </c>
      <c r="Z29" s="661">
        <f>+'Asset Classification'!Q29</f>
        <v>628275</v>
      </c>
      <c r="AA29" s="662">
        <f>+'Asset Classification'!R29</f>
        <v>0</v>
      </c>
      <c r="AB29" s="661">
        <f>+'Asset Classification'!S29</f>
        <v>314138</v>
      </c>
      <c r="AC29" s="656">
        <f t="shared" si="11"/>
        <v>314137.5</v>
      </c>
      <c r="AD29" s="656">
        <f t="shared" si="12"/>
        <v>0.5</v>
      </c>
      <c r="AE29" s="662">
        <f>+'Asset Classification'!T29</f>
        <v>0</v>
      </c>
      <c r="AF29" s="656">
        <f t="shared" si="13"/>
        <v>0</v>
      </c>
      <c r="AG29" s="656">
        <f t="shared" si="14"/>
        <v>0</v>
      </c>
      <c r="AH29" s="661">
        <f>+'Asset Classification'!U29</f>
        <v>0</v>
      </c>
      <c r="AI29" s="662">
        <f>+'Asset Classification'!V29</f>
        <v>0</v>
      </c>
      <c r="AJ29" s="661">
        <f>+'Asset Classification'!W29</f>
        <v>0</v>
      </c>
      <c r="AK29" s="656">
        <f t="shared" si="15"/>
        <v>0</v>
      </c>
      <c r="AL29" s="656">
        <f t="shared" si="16"/>
        <v>0</v>
      </c>
      <c r="AM29" s="662">
        <f>+'Asset Classification'!X29</f>
        <v>0</v>
      </c>
      <c r="AN29" s="656">
        <f t="shared" si="17"/>
        <v>0</v>
      </c>
      <c r="AO29" s="656">
        <f t="shared" si="18"/>
        <v>0</v>
      </c>
      <c r="AP29" s="643">
        <f t="shared" si="19"/>
        <v>341638</v>
      </c>
      <c r="AQ29" s="643">
        <f t="shared" si="19"/>
        <v>314137.5</v>
      </c>
      <c r="AR29" s="643">
        <f t="shared" si="20"/>
        <v>27500.5</v>
      </c>
      <c r="AS29" s="656">
        <f t="shared" si="0"/>
        <v>0</v>
      </c>
      <c r="AT29" s="656">
        <f t="shared" si="0"/>
        <v>0</v>
      </c>
      <c r="AU29" s="656">
        <f t="shared" si="21"/>
        <v>0</v>
      </c>
      <c r="AV29" s="657">
        <f>+'Aging Analysis'!C20</f>
        <v>169305072</v>
      </c>
      <c r="AW29" s="658"/>
      <c r="AX29" s="658"/>
      <c r="AY29" s="658"/>
      <c r="AZ29" s="658"/>
      <c r="BA29" s="658"/>
      <c r="BB29" s="658"/>
      <c r="BC29" s="658"/>
    </row>
    <row r="30" spans="1:55" s="276" customFormat="1" ht="14.25" customHeight="1">
      <c r="A30" s="654"/>
      <c r="B30" s="659" t="s">
        <v>670</v>
      </c>
      <c r="C30" s="655">
        <f>+'Asset Classification'!C30</f>
        <v>0</v>
      </c>
      <c r="D30" s="656">
        <f>+'Asset Classification'!D30</f>
        <v>0</v>
      </c>
      <c r="E30" s="660">
        <f>+'Asset Classification'!E30</f>
        <v>0</v>
      </c>
      <c r="F30" s="656">
        <f>+'Asset Classification'!F30</f>
        <v>0</v>
      </c>
      <c r="G30" s="660">
        <f>+'Asset Classification'!G30</f>
        <v>0</v>
      </c>
      <c r="H30" s="656">
        <f t="shared" si="1"/>
        <v>0</v>
      </c>
      <c r="I30" s="656">
        <f t="shared" si="2"/>
        <v>0</v>
      </c>
      <c r="J30" s="660">
        <f>+'Asset Classification'!I30</f>
        <v>0</v>
      </c>
      <c r="K30" s="656">
        <f>+'Asset Classification'!J30</f>
        <v>0</v>
      </c>
      <c r="L30" s="660">
        <f>+'Asset Classification'!K30</f>
        <v>0</v>
      </c>
      <c r="M30" s="656">
        <f t="shared" si="3"/>
        <v>0</v>
      </c>
      <c r="N30" s="656">
        <f t="shared" si="4"/>
        <v>0</v>
      </c>
      <c r="O30" s="656">
        <f>+'Asset Classification'!L30</f>
        <v>0</v>
      </c>
      <c r="P30" s="656">
        <f t="shared" si="5"/>
        <v>0</v>
      </c>
      <c r="Q30" s="656">
        <f t="shared" si="6"/>
        <v>0</v>
      </c>
      <c r="R30" s="660">
        <f>+'Asset Classification'!M30</f>
        <v>0</v>
      </c>
      <c r="S30" s="656">
        <f>+'Asset Classification'!N30</f>
        <v>0</v>
      </c>
      <c r="T30" s="660">
        <f>+'Asset Classification'!O30</f>
        <v>0</v>
      </c>
      <c r="U30" s="656">
        <f t="shared" si="7"/>
        <v>0</v>
      </c>
      <c r="V30" s="656">
        <f t="shared" si="8"/>
        <v>0</v>
      </c>
      <c r="W30" s="656">
        <f>+'Asset Classification'!P30</f>
        <v>0</v>
      </c>
      <c r="X30" s="656">
        <f t="shared" si="9"/>
        <v>0</v>
      </c>
      <c r="Y30" s="656">
        <f t="shared" si="10"/>
        <v>0</v>
      </c>
      <c r="Z30" s="660">
        <f>+'Asset Classification'!Q30</f>
        <v>0</v>
      </c>
      <c r="AA30" s="656">
        <f>+'Asset Classification'!R30</f>
        <v>0</v>
      </c>
      <c r="AB30" s="660">
        <f>+'Asset Classification'!S30</f>
        <v>0</v>
      </c>
      <c r="AC30" s="656">
        <f t="shared" si="11"/>
        <v>0</v>
      </c>
      <c r="AD30" s="656">
        <f t="shared" si="12"/>
        <v>0</v>
      </c>
      <c r="AE30" s="656">
        <f>+'Asset Classification'!T30</f>
        <v>0</v>
      </c>
      <c r="AF30" s="656">
        <f t="shared" si="13"/>
        <v>0</v>
      </c>
      <c r="AG30" s="656">
        <f t="shared" si="14"/>
        <v>0</v>
      </c>
      <c r="AH30" s="660">
        <f>+'Asset Classification'!U30</f>
        <v>0</v>
      </c>
      <c r="AI30" s="656">
        <f>+'Asset Classification'!V30</f>
        <v>0</v>
      </c>
      <c r="AJ30" s="660">
        <f>+'Asset Classification'!W30</f>
        <v>0</v>
      </c>
      <c r="AK30" s="656">
        <f t="shared" si="15"/>
        <v>0</v>
      </c>
      <c r="AL30" s="656">
        <f t="shared" si="16"/>
        <v>0</v>
      </c>
      <c r="AM30" s="656">
        <f>+'Asset Classification'!X30</f>
        <v>0</v>
      </c>
      <c r="AN30" s="656">
        <f t="shared" si="17"/>
        <v>0</v>
      </c>
      <c r="AO30" s="656">
        <f t="shared" si="18"/>
        <v>0</v>
      </c>
      <c r="AP30" s="643">
        <f t="shared" si="19"/>
        <v>0</v>
      </c>
      <c r="AQ30" s="643">
        <f t="shared" si="19"/>
        <v>0</v>
      </c>
      <c r="AR30" s="643">
        <f t="shared" si="20"/>
        <v>0</v>
      </c>
      <c r="AS30" s="656">
        <f t="shared" si="0"/>
        <v>0</v>
      </c>
      <c r="AT30" s="656">
        <f t="shared" si="0"/>
        <v>0</v>
      </c>
      <c r="AU30" s="656">
        <f t="shared" si="21"/>
        <v>0</v>
      </c>
      <c r="AV30" s="658"/>
      <c r="AW30" s="658"/>
      <c r="AX30" s="658"/>
      <c r="AY30" s="658"/>
      <c r="AZ30" s="658"/>
      <c r="BA30" s="658"/>
      <c r="BB30" s="658"/>
      <c r="BC30" s="658"/>
    </row>
    <row r="31" spans="1:55" s="653" customFormat="1" ht="28.5" customHeight="1">
      <c r="A31" s="626">
        <v>13</v>
      </c>
      <c r="B31" s="626" t="s">
        <v>678</v>
      </c>
      <c r="C31" s="644">
        <f>+'Asset Classification'!C31</f>
        <v>9161876946</v>
      </c>
      <c r="D31" s="644">
        <f>+'Asset Classification'!D31</f>
        <v>3519840906</v>
      </c>
      <c r="E31" s="644">
        <f>+'Asset Classification'!E31</f>
        <v>8874674380</v>
      </c>
      <c r="F31" s="644">
        <f>+'Asset Classification'!F31</f>
        <v>3464058179</v>
      </c>
      <c r="G31" s="644">
        <f>+'Asset Classification'!G31</f>
        <v>69994518</v>
      </c>
      <c r="H31" s="644">
        <f t="shared" ref="H31:I31" si="22">+H7+H9+H11+H13+H15+H17+H19+H21+H23+H25+H27+H29</f>
        <v>88746743.799999997</v>
      </c>
      <c r="I31" s="644">
        <f t="shared" si="22"/>
        <v>-18752225.800000001</v>
      </c>
      <c r="J31" s="644">
        <f>+'Asset Classification'!I31</f>
        <v>101350120</v>
      </c>
      <c r="K31" s="644">
        <f>+'Asset Classification'!J31</f>
        <v>10347115</v>
      </c>
      <c r="L31" s="644">
        <f>+'Asset Classification'!K31</f>
        <v>11224998</v>
      </c>
      <c r="M31" s="644">
        <f t="shared" ref="M31:N31" si="23">+M7+M9+M11+M13+M15+M17+M19+M21+M23+M25+M27+M29</f>
        <v>10135012</v>
      </c>
      <c r="N31" s="644">
        <f t="shared" si="23"/>
        <v>1089985.9999999993</v>
      </c>
      <c r="O31" s="644">
        <f>+'Asset Classification'!L31</f>
        <v>2672938</v>
      </c>
      <c r="P31" s="644">
        <f t="shared" ref="P31:Q31" si="24">+P7+P9+P11+P13+P15+P17+P19+P21+P23+P25+P27+P29</f>
        <v>1034711.5</v>
      </c>
      <c r="Q31" s="644">
        <f t="shared" si="24"/>
        <v>1638226.5</v>
      </c>
      <c r="R31" s="644">
        <f>+'Asset Classification'!M31</f>
        <v>69693118</v>
      </c>
      <c r="S31" s="644">
        <f>+'Asset Classification'!N31</f>
        <v>17976299</v>
      </c>
      <c r="T31" s="644">
        <f>+'Asset Classification'!O31</f>
        <v>9975700</v>
      </c>
      <c r="U31" s="644">
        <f t="shared" ref="U31:V31" si="25">+U7+U9+U11+U13+U15+U17+U19+U21+U23+U25+U27+U29</f>
        <v>17423279.5</v>
      </c>
      <c r="V31" s="644">
        <f t="shared" si="25"/>
        <v>-7447579.5</v>
      </c>
      <c r="W31" s="644">
        <f>+'Asset Classification'!P31</f>
        <v>1942842</v>
      </c>
      <c r="X31" s="644">
        <f t="shared" ref="X31:Y31" si="26">+X7+X9+X11+X13+X15+X17+X19+X21+X23+X25+X27+X29</f>
        <v>4494074.75</v>
      </c>
      <c r="Y31" s="644">
        <f t="shared" si="26"/>
        <v>-2551232.75</v>
      </c>
      <c r="Z31" s="644">
        <f>+'Asset Classification'!Q31</f>
        <v>80293320</v>
      </c>
      <c r="AA31" s="644">
        <f>+'Asset Classification'!R31</f>
        <v>25674905</v>
      </c>
      <c r="AB31" s="644">
        <f>+'Asset Classification'!S31</f>
        <v>17020649</v>
      </c>
      <c r="AC31" s="644">
        <f t="shared" ref="AC31:AD31" si="27">+AC7+AC9+AC11+AC13+AC15+AC17+AC19+AC21+AC23+AC25+AC27+AC29</f>
        <v>40146660</v>
      </c>
      <c r="AD31" s="644">
        <f t="shared" si="27"/>
        <v>-23126011</v>
      </c>
      <c r="AE31" s="644">
        <f>+'Asset Classification'!T31</f>
        <v>1844064</v>
      </c>
      <c r="AF31" s="644">
        <f t="shared" ref="AF31:AG31" si="28">+AF7+AF9+AF11+AF13+AF15+AF17+AF19+AF21+AF23+AF25+AF27+AF29</f>
        <v>12837452.5</v>
      </c>
      <c r="AG31" s="644">
        <f t="shared" si="28"/>
        <v>-10993388.5</v>
      </c>
      <c r="AH31" s="644">
        <f>+'Asset Classification'!U31</f>
        <v>35866008</v>
      </c>
      <c r="AI31" s="644">
        <f>+'Asset Classification'!V31</f>
        <v>1784408</v>
      </c>
      <c r="AJ31" s="644">
        <f>+'Asset Classification'!W31</f>
        <v>18691475</v>
      </c>
      <c r="AK31" s="644">
        <f t="shared" ref="AK31:AL31" si="29">+AK7+AK9+AK11+AK13+AK15+AK17+AK19+AK21+AK23+AK25+AK27+AK29</f>
        <v>35866008</v>
      </c>
      <c r="AL31" s="644">
        <f t="shared" si="29"/>
        <v>-17174533</v>
      </c>
      <c r="AM31" s="644">
        <f>+'Asset Classification'!X31</f>
        <v>18596</v>
      </c>
      <c r="AN31" s="644">
        <f t="shared" ref="AN31:AU31" si="30">+AN7+AN9+AN11+AN13+AN15+AN17+AN19+AN21+AN23+AN25+AN27+AN29</f>
        <v>1784408</v>
      </c>
      <c r="AO31" s="644">
        <f t="shared" si="30"/>
        <v>-1765812</v>
      </c>
      <c r="AP31" s="644">
        <f t="shared" si="30"/>
        <v>56912822</v>
      </c>
      <c r="AQ31" s="644">
        <f t="shared" si="30"/>
        <v>103570959.5</v>
      </c>
      <c r="AR31" s="644">
        <f t="shared" si="30"/>
        <v>-46658137.499999993</v>
      </c>
      <c r="AS31" s="644">
        <f t="shared" si="30"/>
        <v>6478440</v>
      </c>
      <c r="AT31" s="644">
        <f t="shared" si="30"/>
        <v>20150646.75</v>
      </c>
      <c r="AU31" s="644">
        <f t="shared" si="30"/>
        <v>-13672206.75</v>
      </c>
      <c r="AV31" s="663">
        <f>+'Loans Receivable'!C85</f>
        <v>9161876946</v>
      </c>
    </row>
    <row r="32" spans="1:55" s="276" customFormat="1" ht="13.5" customHeight="1">
      <c r="A32" s="654"/>
      <c r="B32" s="664" t="s">
        <v>670</v>
      </c>
      <c r="C32" s="655">
        <f>+'Asset Classification'!C32</f>
        <v>0</v>
      </c>
      <c r="D32" s="656">
        <f>+'Asset Classification'!D32</f>
        <v>0</v>
      </c>
      <c r="E32" s="660">
        <f>+'Asset Classification'!E32</f>
        <v>0</v>
      </c>
      <c r="F32" s="656">
        <f>+'Asset Classification'!F32</f>
        <v>0</v>
      </c>
      <c r="G32" s="660">
        <f>+'Asset Classification'!G32</f>
        <v>0</v>
      </c>
      <c r="H32" s="656">
        <f t="shared" ref="H32" si="31">+E32*1%</f>
        <v>0</v>
      </c>
      <c r="I32" s="656">
        <f t="shared" ref="I32" si="32">+G32-H32</f>
        <v>0</v>
      </c>
      <c r="J32" s="660">
        <f>+'Asset Classification'!I32</f>
        <v>0</v>
      </c>
      <c r="K32" s="656">
        <f>+'Asset Classification'!J32</f>
        <v>0</v>
      </c>
      <c r="L32" s="660">
        <f>+'Asset Classification'!K32</f>
        <v>0</v>
      </c>
      <c r="M32" s="656">
        <f t="shared" ref="M32" si="33">+J32*10%</f>
        <v>0</v>
      </c>
      <c r="N32" s="656">
        <f t="shared" ref="N32" si="34">+L32-M32</f>
        <v>0</v>
      </c>
      <c r="O32" s="656">
        <f>+'Asset Classification'!L32</f>
        <v>0</v>
      </c>
      <c r="P32" s="656">
        <f t="shared" ref="P32" si="35">+K32*10%</f>
        <v>0</v>
      </c>
      <c r="Q32" s="656">
        <f t="shared" ref="Q32" si="36">+O32-P32</f>
        <v>0</v>
      </c>
      <c r="R32" s="660">
        <f>+'Asset Classification'!M32</f>
        <v>0</v>
      </c>
      <c r="S32" s="656">
        <f>+'Asset Classification'!N32</f>
        <v>0</v>
      </c>
      <c r="T32" s="660">
        <f>+'Asset Classification'!O32</f>
        <v>0</v>
      </c>
      <c r="U32" s="656">
        <f t="shared" ref="U32" si="37">+R32*25%</f>
        <v>0</v>
      </c>
      <c r="V32" s="656">
        <f t="shared" ref="V32" si="38">+T32-U32</f>
        <v>0</v>
      </c>
      <c r="W32" s="656">
        <f>+'Asset Classification'!P32</f>
        <v>0</v>
      </c>
      <c r="X32" s="656">
        <f t="shared" ref="X32" si="39">+S32*25%</f>
        <v>0</v>
      </c>
      <c r="Y32" s="656">
        <f t="shared" ref="Y32" si="40">+W32-X32</f>
        <v>0</v>
      </c>
      <c r="Z32" s="660">
        <f>+'Asset Classification'!Q32</f>
        <v>0</v>
      </c>
      <c r="AA32" s="656">
        <f>+'Asset Classification'!R32</f>
        <v>0</v>
      </c>
      <c r="AB32" s="660">
        <f>+'Asset Classification'!S32</f>
        <v>0</v>
      </c>
      <c r="AC32" s="656">
        <f t="shared" ref="AC32" si="41">+Z32*50%</f>
        <v>0</v>
      </c>
      <c r="AD32" s="656">
        <f t="shared" ref="AD32" si="42">+AB32-AC32</f>
        <v>0</v>
      </c>
      <c r="AE32" s="656">
        <f>+'Asset Classification'!T32</f>
        <v>0</v>
      </c>
      <c r="AF32" s="656">
        <f t="shared" ref="AF32" si="43">+AA32*50%</f>
        <v>0</v>
      </c>
      <c r="AG32" s="656">
        <f t="shared" ref="AG32" si="44">+AE32-AF32</f>
        <v>0</v>
      </c>
      <c r="AH32" s="660">
        <f>+'Asset Classification'!U32</f>
        <v>0</v>
      </c>
      <c r="AI32" s="656">
        <f>+'Asset Classification'!V32</f>
        <v>0</v>
      </c>
      <c r="AJ32" s="660">
        <f>+'Asset Classification'!W32</f>
        <v>0</v>
      </c>
      <c r="AK32" s="656">
        <f t="shared" ref="AK32" si="45">+AH32*100%</f>
        <v>0</v>
      </c>
      <c r="AL32" s="656">
        <f t="shared" ref="AL32" si="46">+AJ32-AK32</f>
        <v>0</v>
      </c>
      <c r="AM32" s="656">
        <f>+'Asset Classification'!X32</f>
        <v>0</v>
      </c>
      <c r="AN32" s="656">
        <f t="shared" ref="AN32" si="47">+AI32*100%</f>
        <v>0</v>
      </c>
      <c r="AO32" s="656">
        <f t="shared" ref="AO32" si="48">+AM32-AN32</f>
        <v>0</v>
      </c>
      <c r="AP32" s="643">
        <f t="shared" ref="AP32" si="49">+L32+T32+AB32+AJ32</f>
        <v>0</v>
      </c>
      <c r="AQ32" s="643">
        <f t="shared" ref="AQ32" si="50">+M32+U32+AC32+AK32</f>
        <v>0</v>
      </c>
      <c r="AR32" s="643">
        <f t="shared" ref="AR32" si="51">+AP32-AQ32</f>
        <v>0</v>
      </c>
      <c r="AS32" s="656">
        <f t="shared" ref="AS32" si="52">+O32+W32+AE32+AM32</f>
        <v>0</v>
      </c>
      <c r="AT32" s="656">
        <f t="shared" ref="AT32" si="53">+P32+X32+AF32+AN32</f>
        <v>0</v>
      </c>
      <c r="AU32" s="656">
        <f t="shared" ref="AU32" si="54">+AS32-AT32</f>
        <v>0</v>
      </c>
      <c r="AV32" s="658"/>
      <c r="AW32" s="658"/>
      <c r="AX32" s="658"/>
      <c r="AY32" s="658"/>
      <c r="AZ32" s="658"/>
      <c r="BA32" s="658"/>
      <c r="BB32" s="658"/>
      <c r="BC32" s="658"/>
    </row>
    <row r="33" spans="1:55" s="653" customFormat="1" ht="27.75" customHeight="1">
      <c r="A33" s="626"/>
      <c r="B33" s="626" t="s">
        <v>679</v>
      </c>
      <c r="C33" s="644"/>
      <c r="D33" s="644"/>
      <c r="E33" s="644"/>
      <c r="F33" s="644"/>
      <c r="G33" s="644"/>
      <c r="H33" s="644"/>
      <c r="I33" s="644"/>
      <c r="J33" s="644"/>
      <c r="K33" s="644"/>
      <c r="L33" s="644"/>
      <c r="M33" s="644"/>
      <c r="N33" s="644"/>
      <c r="O33" s="644"/>
      <c r="P33" s="644"/>
      <c r="Q33" s="644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  <c r="AC33" s="644"/>
      <c r="AD33" s="644"/>
      <c r="AE33" s="644"/>
      <c r="AF33" s="644"/>
      <c r="AG33" s="644"/>
      <c r="AH33" s="644"/>
      <c r="AI33" s="644"/>
      <c r="AJ33" s="644"/>
      <c r="AK33" s="644"/>
      <c r="AL33" s="644"/>
      <c r="AM33" s="644"/>
      <c r="AN33" s="644"/>
      <c r="AO33" s="644"/>
      <c r="AP33" s="644"/>
      <c r="AQ33" s="644"/>
      <c r="AR33" s="644"/>
      <c r="AS33" s="644"/>
      <c r="AT33" s="644"/>
      <c r="AU33" s="644"/>
    </row>
    <row r="34" spans="1:55" s="276" customFormat="1" ht="7.5" customHeight="1">
      <c r="A34" s="305"/>
      <c r="B34" s="305"/>
      <c r="C34" s="666"/>
      <c r="D34" s="667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666"/>
      <c r="AB34" s="666"/>
      <c r="AC34" s="666"/>
      <c r="AD34" s="666"/>
      <c r="AE34" s="666"/>
      <c r="AF34" s="666"/>
      <c r="AG34" s="666"/>
      <c r="AH34" s="666"/>
      <c r="AI34" s="666"/>
      <c r="AJ34" s="666"/>
      <c r="AK34" s="666"/>
      <c r="AL34" s="666"/>
      <c r="AM34" s="666"/>
      <c r="AN34" s="666"/>
      <c r="AO34" s="666"/>
      <c r="AP34" s="666"/>
      <c r="AQ34" s="666"/>
      <c r="AR34" s="666"/>
      <c r="AS34" s="666"/>
      <c r="AT34" s="666"/>
      <c r="AU34" s="666"/>
      <c r="AV34" s="658"/>
      <c r="AW34" s="658"/>
      <c r="AX34" s="658"/>
      <c r="AY34" s="658"/>
      <c r="AZ34" s="658"/>
      <c r="BA34" s="658"/>
      <c r="BB34" s="658"/>
      <c r="BC34" s="658"/>
    </row>
    <row r="35" spans="1:55" s="276" customFormat="1" ht="23.25" customHeight="1">
      <c r="A35" s="654">
        <v>14</v>
      </c>
      <c r="B35" s="431" t="s">
        <v>471</v>
      </c>
      <c r="C35" s="655">
        <f>+'Asset Classification'!C35</f>
        <v>2173688806</v>
      </c>
      <c r="D35" s="668">
        <f>+'Asset Classification'!D35</f>
        <v>1530557143</v>
      </c>
      <c r="E35" s="666">
        <f>+'Asset Classification'!E35</f>
        <v>2090011230</v>
      </c>
      <c r="F35" s="669">
        <f>+'Asset Classification'!F35</f>
        <v>1488615592</v>
      </c>
      <c r="G35" s="666">
        <f>+'Asset Classification'!G35</f>
        <v>24786549</v>
      </c>
      <c r="H35" s="656">
        <f t="shared" ref="H35:H52" si="55">+E35*1%</f>
        <v>20900112.300000001</v>
      </c>
      <c r="I35" s="656">
        <f t="shared" ref="I35:I52" si="56">+G35-H35</f>
        <v>3886436.6999999993</v>
      </c>
      <c r="J35" s="666">
        <f>+'Asset Classification'!I35</f>
        <v>20372992</v>
      </c>
      <c r="K35" s="669">
        <f>+'Asset Classification'!J35</f>
        <v>3620368</v>
      </c>
      <c r="L35" s="666">
        <f>+'Asset Classification'!K35</f>
        <v>1398811</v>
      </c>
      <c r="M35" s="656">
        <f t="shared" ref="M35:M52" si="57">+J35*10%</f>
        <v>2037299.2000000002</v>
      </c>
      <c r="N35" s="656">
        <f t="shared" ref="N35:N52" si="58">+L35-M35</f>
        <v>-638488.20000000019</v>
      </c>
      <c r="O35" s="669">
        <f>+'Asset Classification'!L35</f>
        <v>698110</v>
      </c>
      <c r="P35" s="656">
        <f t="shared" ref="P35:P52" si="59">+K35*10%</f>
        <v>362036.80000000005</v>
      </c>
      <c r="Q35" s="656">
        <f t="shared" ref="Q35:Q52" si="60">+O35-P35</f>
        <v>336073.19999999995</v>
      </c>
      <c r="R35" s="666">
        <f>+'Asset Classification'!M35</f>
        <v>19324689</v>
      </c>
      <c r="S35" s="669">
        <f>+'Asset Classification'!N35</f>
        <v>12592349</v>
      </c>
      <c r="T35" s="666">
        <f>+'Asset Classification'!O35</f>
        <v>2331357</v>
      </c>
      <c r="U35" s="656">
        <f t="shared" ref="U35:U52" si="61">+R35*25%</f>
        <v>4831172.25</v>
      </c>
      <c r="V35" s="656">
        <f t="shared" ref="V35:V52" si="62">+T35-U35</f>
        <v>-2499815.25</v>
      </c>
      <c r="W35" s="669">
        <f>+'Asset Classification'!P35</f>
        <v>596854</v>
      </c>
      <c r="X35" s="656">
        <f t="shared" ref="X35:X52" si="63">+S35*25%</f>
        <v>3148087.25</v>
      </c>
      <c r="Y35" s="656">
        <f t="shared" ref="Y35:Y52" si="64">+W35-X35</f>
        <v>-2551233.25</v>
      </c>
      <c r="Z35" s="666">
        <f>+'Asset Classification'!Q35</f>
        <v>38341982</v>
      </c>
      <c r="AA35" s="669">
        <f>+'Asset Classification'!R35</f>
        <v>23963022</v>
      </c>
      <c r="AB35" s="666">
        <f>+'Asset Classification'!S35</f>
        <v>1131482</v>
      </c>
      <c r="AC35" s="656">
        <f t="shared" ref="AC35:AC52" si="65">+Z35*50%</f>
        <v>19170991</v>
      </c>
      <c r="AD35" s="656">
        <f t="shared" ref="AD35:AD52" si="66">+AB35-AC35</f>
        <v>-18039509</v>
      </c>
      <c r="AE35" s="669">
        <f>+'Asset Classification'!T35</f>
        <v>988123</v>
      </c>
      <c r="AF35" s="656">
        <f t="shared" ref="AF35:AF52" si="67">+AA35*50%</f>
        <v>11981511</v>
      </c>
      <c r="AG35" s="656">
        <f t="shared" ref="AG35:AG52" si="68">+AE35-AF35</f>
        <v>-10993388</v>
      </c>
      <c r="AH35" s="666">
        <f>+'Asset Classification'!U35</f>
        <v>5637913</v>
      </c>
      <c r="AI35" s="669">
        <f>+'Asset Classification'!V35</f>
        <v>1765812</v>
      </c>
      <c r="AJ35" s="666">
        <f>+'Asset Classification'!W35</f>
        <v>654895</v>
      </c>
      <c r="AK35" s="656">
        <f t="shared" ref="AK35:AK52" si="69">+AH35*100%</f>
        <v>5637913</v>
      </c>
      <c r="AL35" s="656">
        <f t="shared" ref="AL35:AL52" si="70">+AJ35-AK35</f>
        <v>-4983018</v>
      </c>
      <c r="AM35" s="669">
        <f>+'Asset Classification'!X35</f>
        <v>0</v>
      </c>
      <c r="AN35" s="656">
        <f t="shared" ref="AN35:AN52" si="71">+AI35*100%</f>
        <v>1765812</v>
      </c>
      <c r="AO35" s="656">
        <f t="shared" ref="AO35:AO52" si="72">+AM35-AN35</f>
        <v>-1765812</v>
      </c>
      <c r="AP35" s="643">
        <f t="shared" ref="AP35:AQ52" si="73">+L35+T35+AB35+AJ35</f>
        <v>5516545</v>
      </c>
      <c r="AQ35" s="643">
        <f t="shared" si="73"/>
        <v>31677375.449999999</v>
      </c>
      <c r="AR35" s="643">
        <f t="shared" ref="AR35:AR52" si="74">+AP35-AQ35</f>
        <v>-26160830.449999999</v>
      </c>
      <c r="AS35" s="656">
        <f t="shared" ref="AS35:AT52" si="75">+O35+W35+AE35+AM35</f>
        <v>2283087</v>
      </c>
      <c r="AT35" s="656">
        <f t="shared" si="75"/>
        <v>17257447.050000001</v>
      </c>
      <c r="AU35" s="656">
        <f t="shared" ref="AU35:AU52" si="76">+AS35-AT35</f>
        <v>-14974360.050000001</v>
      </c>
      <c r="AV35" s="657">
        <f>+'Aging Analysis'!C25</f>
        <v>2173688806</v>
      </c>
      <c r="AW35" s="658"/>
      <c r="AX35" s="658"/>
      <c r="AY35" s="658"/>
      <c r="AZ35" s="658"/>
      <c r="BA35" s="658"/>
      <c r="BB35" s="658"/>
      <c r="BC35" s="658"/>
    </row>
    <row r="36" spans="1:55" s="276" customFormat="1" ht="14.25" customHeight="1">
      <c r="A36" s="654"/>
      <c r="B36" s="664" t="s">
        <v>670</v>
      </c>
      <c r="C36" s="655">
        <f>+'Asset Classification'!C36</f>
        <v>0</v>
      </c>
      <c r="D36" s="668">
        <f>+'Asset Classification'!D36</f>
        <v>0</v>
      </c>
      <c r="E36" s="666">
        <f>+'Asset Classification'!E36</f>
        <v>0</v>
      </c>
      <c r="F36" s="669">
        <f>+'Asset Classification'!F36</f>
        <v>0</v>
      </c>
      <c r="G36" s="666">
        <f>+'Asset Classification'!G36</f>
        <v>0</v>
      </c>
      <c r="H36" s="656">
        <f t="shared" si="55"/>
        <v>0</v>
      </c>
      <c r="I36" s="656">
        <f t="shared" si="56"/>
        <v>0</v>
      </c>
      <c r="J36" s="666">
        <f>+'Asset Classification'!I36</f>
        <v>0</v>
      </c>
      <c r="K36" s="669">
        <f>+'Asset Classification'!J36</f>
        <v>0</v>
      </c>
      <c r="L36" s="666">
        <f>+'Asset Classification'!K36</f>
        <v>0</v>
      </c>
      <c r="M36" s="656">
        <f t="shared" si="57"/>
        <v>0</v>
      </c>
      <c r="N36" s="656">
        <f t="shared" si="58"/>
        <v>0</v>
      </c>
      <c r="O36" s="669">
        <f>+'Asset Classification'!L36</f>
        <v>0</v>
      </c>
      <c r="P36" s="656">
        <f t="shared" si="59"/>
        <v>0</v>
      </c>
      <c r="Q36" s="656">
        <f t="shared" si="60"/>
        <v>0</v>
      </c>
      <c r="R36" s="666">
        <f>+'Asset Classification'!M36</f>
        <v>0</v>
      </c>
      <c r="S36" s="669">
        <f>+'Asset Classification'!N36</f>
        <v>0</v>
      </c>
      <c r="T36" s="666">
        <f>+'Asset Classification'!O36</f>
        <v>0</v>
      </c>
      <c r="U36" s="656">
        <f t="shared" si="61"/>
        <v>0</v>
      </c>
      <c r="V36" s="656">
        <f t="shared" si="62"/>
        <v>0</v>
      </c>
      <c r="W36" s="669">
        <f>+'Asset Classification'!P36</f>
        <v>0</v>
      </c>
      <c r="X36" s="656">
        <f t="shared" si="63"/>
        <v>0</v>
      </c>
      <c r="Y36" s="656">
        <f t="shared" si="64"/>
        <v>0</v>
      </c>
      <c r="Z36" s="666">
        <f>+'Asset Classification'!Q36</f>
        <v>0</v>
      </c>
      <c r="AA36" s="669">
        <f>+'Asset Classification'!R36</f>
        <v>0</v>
      </c>
      <c r="AB36" s="666">
        <f>+'Asset Classification'!S36</f>
        <v>0</v>
      </c>
      <c r="AC36" s="656">
        <f t="shared" si="65"/>
        <v>0</v>
      </c>
      <c r="AD36" s="656">
        <f t="shared" si="66"/>
        <v>0</v>
      </c>
      <c r="AE36" s="669">
        <f>+'Asset Classification'!T36</f>
        <v>0</v>
      </c>
      <c r="AF36" s="656">
        <f t="shared" si="67"/>
        <v>0</v>
      </c>
      <c r="AG36" s="656">
        <f t="shared" si="68"/>
        <v>0</v>
      </c>
      <c r="AH36" s="666">
        <f>+'Asset Classification'!U36</f>
        <v>0</v>
      </c>
      <c r="AI36" s="669">
        <f>+'Asset Classification'!V36</f>
        <v>0</v>
      </c>
      <c r="AJ36" s="666">
        <f>+'Asset Classification'!W36</f>
        <v>0</v>
      </c>
      <c r="AK36" s="656">
        <f t="shared" si="69"/>
        <v>0</v>
      </c>
      <c r="AL36" s="656">
        <f t="shared" si="70"/>
        <v>0</v>
      </c>
      <c r="AM36" s="669">
        <f>+'Asset Classification'!X36</f>
        <v>0</v>
      </c>
      <c r="AN36" s="656">
        <f t="shared" si="71"/>
        <v>0</v>
      </c>
      <c r="AO36" s="656">
        <f t="shared" si="72"/>
        <v>0</v>
      </c>
      <c r="AP36" s="643">
        <f t="shared" si="73"/>
        <v>0</v>
      </c>
      <c r="AQ36" s="643">
        <f t="shared" si="73"/>
        <v>0</v>
      </c>
      <c r="AR36" s="643">
        <f t="shared" si="74"/>
        <v>0</v>
      </c>
      <c r="AS36" s="656">
        <f t="shared" si="75"/>
        <v>0</v>
      </c>
      <c r="AT36" s="656">
        <f t="shared" si="75"/>
        <v>0</v>
      </c>
      <c r="AU36" s="656">
        <f t="shared" si="76"/>
        <v>0</v>
      </c>
      <c r="AW36" s="658"/>
      <c r="AX36" s="658"/>
      <c r="AY36" s="658"/>
      <c r="AZ36" s="658"/>
      <c r="BA36" s="658"/>
      <c r="BB36" s="658"/>
      <c r="BC36" s="658"/>
    </row>
    <row r="37" spans="1:55" s="276" customFormat="1" ht="23.25" customHeight="1">
      <c r="A37" s="654">
        <v>15</v>
      </c>
      <c r="B37" s="431" t="s">
        <v>472</v>
      </c>
      <c r="C37" s="655">
        <f>+'Asset Classification'!C37</f>
        <v>149094636</v>
      </c>
      <c r="D37" s="668">
        <f>+'Asset Classification'!D37</f>
        <v>117143702</v>
      </c>
      <c r="E37" s="666">
        <f>+'Asset Classification'!E37</f>
        <v>137631358</v>
      </c>
      <c r="F37" s="669">
        <f>+'Asset Classification'!F37</f>
        <v>108705072</v>
      </c>
      <c r="G37" s="666">
        <f>+'Asset Classification'!G37</f>
        <v>1788154</v>
      </c>
      <c r="H37" s="656">
        <f t="shared" si="55"/>
        <v>1376313.58</v>
      </c>
      <c r="I37" s="656">
        <f t="shared" si="56"/>
        <v>411840.41999999993</v>
      </c>
      <c r="J37" s="666">
        <f>+'Asset Classification'!I37</f>
        <v>7437372</v>
      </c>
      <c r="K37" s="669">
        <f>+'Asset Classification'!J37</f>
        <v>6726747</v>
      </c>
      <c r="L37" s="666">
        <f>+'Asset Classification'!K37</f>
        <v>2045890</v>
      </c>
      <c r="M37" s="656">
        <f t="shared" si="57"/>
        <v>743737.20000000007</v>
      </c>
      <c r="N37" s="656">
        <f t="shared" si="58"/>
        <v>1302152.7999999998</v>
      </c>
      <c r="O37" s="669">
        <f>+'Asset Classification'!L37</f>
        <v>1974828</v>
      </c>
      <c r="P37" s="656">
        <f t="shared" si="59"/>
        <v>672674.70000000007</v>
      </c>
      <c r="Q37" s="656">
        <f t="shared" si="60"/>
        <v>1302153.2999999998</v>
      </c>
      <c r="R37" s="666">
        <f>+'Asset Classification'!M37</f>
        <v>0</v>
      </c>
      <c r="S37" s="669">
        <f>+'Asset Classification'!N37</f>
        <v>0</v>
      </c>
      <c r="T37" s="666">
        <f>+'Asset Classification'!O37</f>
        <v>0</v>
      </c>
      <c r="U37" s="656">
        <f t="shared" si="61"/>
        <v>0</v>
      </c>
      <c r="V37" s="656">
        <f t="shared" si="62"/>
        <v>0</v>
      </c>
      <c r="W37" s="669">
        <f>+'Asset Classification'!P37</f>
        <v>0</v>
      </c>
      <c r="X37" s="656">
        <f t="shared" si="63"/>
        <v>0</v>
      </c>
      <c r="Y37" s="656">
        <f t="shared" si="64"/>
        <v>0</v>
      </c>
      <c r="Z37" s="666">
        <f>+'Asset Classification'!Q37</f>
        <v>2545216</v>
      </c>
      <c r="AA37" s="669">
        <f>+'Asset Classification'!R37</f>
        <v>1711883</v>
      </c>
      <c r="AB37" s="666">
        <f>+'Asset Classification'!S37</f>
        <v>1272608</v>
      </c>
      <c r="AC37" s="656">
        <f t="shared" si="65"/>
        <v>1272608</v>
      </c>
      <c r="AD37" s="656">
        <f t="shared" si="66"/>
        <v>0</v>
      </c>
      <c r="AE37" s="669">
        <f>+'Asset Classification'!T37</f>
        <v>855941</v>
      </c>
      <c r="AF37" s="656">
        <f t="shared" si="67"/>
        <v>855941.5</v>
      </c>
      <c r="AG37" s="656">
        <f t="shared" si="68"/>
        <v>-0.5</v>
      </c>
      <c r="AH37" s="666">
        <f>+'Asset Classification'!U37</f>
        <v>1480690</v>
      </c>
      <c r="AI37" s="669">
        <f>+'Asset Classification'!V37</f>
        <v>0</v>
      </c>
      <c r="AJ37" s="666">
        <f>+'Asset Classification'!W37</f>
        <v>1480690</v>
      </c>
      <c r="AK37" s="656">
        <f t="shared" si="69"/>
        <v>1480690</v>
      </c>
      <c r="AL37" s="656">
        <f t="shared" si="70"/>
        <v>0</v>
      </c>
      <c r="AM37" s="669">
        <f>+'Asset Classification'!X37</f>
        <v>0</v>
      </c>
      <c r="AN37" s="656">
        <f t="shared" si="71"/>
        <v>0</v>
      </c>
      <c r="AO37" s="656">
        <f t="shared" si="72"/>
        <v>0</v>
      </c>
      <c r="AP37" s="643">
        <f t="shared" si="73"/>
        <v>4799188</v>
      </c>
      <c r="AQ37" s="643">
        <f t="shared" si="73"/>
        <v>3497035.2</v>
      </c>
      <c r="AR37" s="643">
        <f t="shared" si="74"/>
        <v>1302152.7999999998</v>
      </c>
      <c r="AS37" s="656">
        <f t="shared" si="75"/>
        <v>2830769</v>
      </c>
      <c r="AT37" s="656">
        <f t="shared" si="75"/>
        <v>1528616.2000000002</v>
      </c>
      <c r="AU37" s="656">
        <f t="shared" si="76"/>
        <v>1302152.7999999998</v>
      </c>
      <c r="AV37" s="657">
        <f>+'Aging Analysis'!C26</f>
        <v>149094636</v>
      </c>
      <c r="AW37" s="658"/>
      <c r="AX37" s="658"/>
      <c r="AY37" s="658"/>
      <c r="AZ37" s="658"/>
      <c r="BA37" s="658"/>
      <c r="BB37" s="658"/>
      <c r="BC37" s="658"/>
    </row>
    <row r="38" spans="1:55" s="276" customFormat="1" ht="14.25" customHeight="1">
      <c r="A38" s="654"/>
      <c r="B38" s="664" t="s">
        <v>670</v>
      </c>
      <c r="C38" s="655">
        <f>+'Asset Classification'!C38</f>
        <v>0</v>
      </c>
      <c r="D38" s="668">
        <f>+'Asset Classification'!D38</f>
        <v>0</v>
      </c>
      <c r="E38" s="666">
        <f>+'Asset Classification'!E38</f>
        <v>0</v>
      </c>
      <c r="F38" s="669">
        <f>+'Asset Classification'!F38</f>
        <v>0</v>
      </c>
      <c r="G38" s="666">
        <f>+'Asset Classification'!G38</f>
        <v>0</v>
      </c>
      <c r="H38" s="656">
        <f t="shared" si="55"/>
        <v>0</v>
      </c>
      <c r="I38" s="656">
        <f t="shared" si="56"/>
        <v>0</v>
      </c>
      <c r="J38" s="666">
        <f>+'Asset Classification'!I38</f>
        <v>0</v>
      </c>
      <c r="K38" s="669">
        <f>+'Asset Classification'!J38</f>
        <v>0</v>
      </c>
      <c r="L38" s="666">
        <f>+'Asset Classification'!K38</f>
        <v>0</v>
      </c>
      <c r="M38" s="656">
        <f t="shared" si="57"/>
        <v>0</v>
      </c>
      <c r="N38" s="656">
        <f t="shared" si="58"/>
        <v>0</v>
      </c>
      <c r="O38" s="669">
        <f>+'Asset Classification'!L38</f>
        <v>0</v>
      </c>
      <c r="P38" s="656">
        <f t="shared" si="59"/>
        <v>0</v>
      </c>
      <c r="Q38" s="656">
        <f t="shared" si="60"/>
        <v>0</v>
      </c>
      <c r="R38" s="666">
        <f>+'Asset Classification'!M38</f>
        <v>0</v>
      </c>
      <c r="S38" s="669">
        <f>+'Asset Classification'!N38</f>
        <v>0</v>
      </c>
      <c r="T38" s="666">
        <f>+'Asset Classification'!O38</f>
        <v>0</v>
      </c>
      <c r="U38" s="656">
        <f t="shared" si="61"/>
        <v>0</v>
      </c>
      <c r="V38" s="656">
        <f t="shared" si="62"/>
        <v>0</v>
      </c>
      <c r="W38" s="669">
        <f>+'Asset Classification'!P38</f>
        <v>0</v>
      </c>
      <c r="X38" s="656">
        <f t="shared" si="63"/>
        <v>0</v>
      </c>
      <c r="Y38" s="656">
        <f t="shared" si="64"/>
        <v>0</v>
      </c>
      <c r="Z38" s="666">
        <f>+'Asset Classification'!Q38</f>
        <v>0</v>
      </c>
      <c r="AA38" s="669">
        <f>+'Asset Classification'!R38</f>
        <v>0</v>
      </c>
      <c r="AB38" s="666">
        <f>+'Asset Classification'!S38</f>
        <v>0</v>
      </c>
      <c r="AC38" s="656">
        <f t="shared" si="65"/>
        <v>0</v>
      </c>
      <c r="AD38" s="656">
        <f t="shared" si="66"/>
        <v>0</v>
      </c>
      <c r="AE38" s="669">
        <f>+'Asset Classification'!T38</f>
        <v>0</v>
      </c>
      <c r="AF38" s="656">
        <f t="shared" si="67"/>
        <v>0</v>
      </c>
      <c r="AG38" s="656">
        <f t="shared" si="68"/>
        <v>0</v>
      </c>
      <c r="AH38" s="666">
        <f>+'Asset Classification'!U38</f>
        <v>0</v>
      </c>
      <c r="AI38" s="669">
        <f>+'Asset Classification'!V38</f>
        <v>0</v>
      </c>
      <c r="AJ38" s="666">
        <f>+'Asset Classification'!W38</f>
        <v>0</v>
      </c>
      <c r="AK38" s="656">
        <f t="shared" si="69"/>
        <v>0</v>
      </c>
      <c r="AL38" s="656">
        <f t="shared" si="70"/>
        <v>0</v>
      </c>
      <c r="AM38" s="669">
        <f>+'Asset Classification'!X38</f>
        <v>0</v>
      </c>
      <c r="AN38" s="656">
        <f t="shared" si="71"/>
        <v>0</v>
      </c>
      <c r="AO38" s="656">
        <f t="shared" si="72"/>
        <v>0</v>
      </c>
      <c r="AP38" s="643">
        <f t="shared" si="73"/>
        <v>0</v>
      </c>
      <c r="AQ38" s="643">
        <f t="shared" si="73"/>
        <v>0</v>
      </c>
      <c r="AR38" s="643">
        <f t="shared" si="74"/>
        <v>0</v>
      </c>
      <c r="AS38" s="656">
        <f t="shared" si="75"/>
        <v>0</v>
      </c>
      <c r="AT38" s="656">
        <f t="shared" si="75"/>
        <v>0</v>
      </c>
      <c r="AU38" s="656">
        <f t="shared" si="76"/>
        <v>0</v>
      </c>
      <c r="AW38" s="658"/>
      <c r="AX38" s="658"/>
      <c r="AY38" s="658"/>
      <c r="AZ38" s="658"/>
      <c r="BA38" s="658"/>
      <c r="BB38" s="658"/>
      <c r="BC38" s="658"/>
    </row>
    <row r="39" spans="1:55" s="276" customFormat="1" ht="23.25" customHeight="1">
      <c r="A39" s="654">
        <v>16</v>
      </c>
      <c r="B39" s="431" t="s">
        <v>473</v>
      </c>
      <c r="C39" s="655">
        <f>+'Asset Classification'!C39</f>
        <v>674467989</v>
      </c>
      <c r="D39" s="668">
        <f>+'Asset Classification'!D39</f>
        <v>22922557</v>
      </c>
      <c r="E39" s="666">
        <f>+'Asset Classification'!E39</f>
        <v>662593985</v>
      </c>
      <c r="F39" s="669">
        <f>+'Asset Classification'!F39</f>
        <v>22922557</v>
      </c>
      <c r="G39" s="666">
        <f>+'Asset Classification'!G39</f>
        <v>7608843</v>
      </c>
      <c r="H39" s="656">
        <f t="shared" si="55"/>
        <v>6625939.8500000006</v>
      </c>
      <c r="I39" s="656">
        <f t="shared" si="56"/>
        <v>982903.14999999944</v>
      </c>
      <c r="J39" s="666">
        <f>+'Asset Classification'!I39</f>
        <v>1811114</v>
      </c>
      <c r="K39" s="669">
        <f>+'Asset Classification'!J39</f>
        <v>0</v>
      </c>
      <c r="L39" s="666">
        <f>+'Asset Classification'!K39</f>
        <v>208611</v>
      </c>
      <c r="M39" s="656">
        <f t="shared" si="57"/>
        <v>181111.40000000002</v>
      </c>
      <c r="N39" s="656">
        <f t="shared" si="58"/>
        <v>27499.599999999977</v>
      </c>
      <c r="O39" s="669">
        <f>+'Asset Classification'!L39</f>
        <v>0</v>
      </c>
      <c r="P39" s="656">
        <f t="shared" si="59"/>
        <v>0</v>
      </c>
      <c r="Q39" s="656">
        <f t="shared" si="60"/>
        <v>0</v>
      </c>
      <c r="R39" s="666">
        <f>+'Asset Classification'!M39</f>
        <v>3672445</v>
      </c>
      <c r="S39" s="669">
        <f>+'Asset Classification'!N39</f>
        <v>0</v>
      </c>
      <c r="T39" s="666">
        <f>+'Asset Classification'!O39</f>
        <v>918111</v>
      </c>
      <c r="U39" s="656">
        <f t="shared" si="61"/>
        <v>918111.25</v>
      </c>
      <c r="V39" s="656">
        <f t="shared" si="62"/>
        <v>-0.25</v>
      </c>
      <c r="W39" s="669">
        <f>+'Asset Classification'!P39</f>
        <v>0</v>
      </c>
      <c r="X39" s="656">
        <f t="shared" si="63"/>
        <v>0</v>
      </c>
      <c r="Y39" s="656">
        <f t="shared" si="64"/>
        <v>0</v>
      </c>
      <c r="Z39" s="666">
        <f>+'Asset Classification'!Q39</f>
        <v>566519</v>
      </c>
      <c r="AA39" s="669">
        <f>+'Asset Classification'!R39</f>
        <v>0</v>
      </c>
      <c r="AB39" s="666">
        <f>+'Asset Classification'!S39</f>
        <v>283260</v>
      </c>
      <c r="AC39" s="656">
        <f t="shared" si="65"/>
        <v>283259.5</v>
      </c>
      <c r="AD39" s="656">
        <f t="shared" si="66"/>
        <v>0.5</v>
      </c>
      <c r="AE39" s="669">
        <f>+'Asset Classification'!T39</f>
        <v>0</v>
      </c>
      <c r="AF39" s="656">
        <f t="shared" si="67"/>
        <v>0</v>
      </c>
      <c r="AG39" s="656">
        <f t="shared" si="68"/>
        <v>0</v>
      </c>
      <c r="AH39" s="666">
        <f>+'Asset Classification'!U39</f>
        <v>5823926</v>
      </c>
      <c r="AI39" s="669">
        <f>+'Asset Classification'!V39</f>
        <v>0</v>
      </c>
      <c r="AJ39" s="666">
        <f>+'Asset Classification'!W39</f>
        <v>85110</v>
      </c>
      <c r="AK39" s="656">
        <f t="shared" si="69"/>
        <v>5823926</v>
      </c>
      <c r="AL39" s="656">
        <f t="shared" si="70"/>
        <v>-5738816</v>
      </c>
      <c r="AM39" s="669">
        <f>+'Asset Classification'!X39</f>
        <v>0</v>
      </c>
      <c r="AN39" s="656">
        <f t="shared" si="71"/>
        <v>0</v>
      </c>
      <c r="AO39" s="656">
        <f t="shared" si="72"/>
        <v>0</v>
      </c>
      <c r="AP39" s="643">
        <f t="shared" si="73"/>
        <v>1495092</v>
      </c>
      <c r="AQ39" s="643">
        <f t="shared" si="73"/>
        <v>7206408.1500000004</v>
      </c>
      <c r="AR39" s="643">
        <f t="shared" si="74"/>
        <v>-5711316.1500000004</v>
      </c>
      <c r="AS39" s="656">
        <f t="shared" si="75"/>
        <v>0</v>
      </c>
      <c r="AT39" s="656">
        <f t="shared" si="75"/>
        <v>0</v>
      </c>
      <c r="AU39" s="656">
        <f t="shared" si="76"/>
        <v>0</v>
      </c>
      <c r="AV39" s="657">
        <f>+'Aging Analysis'!C27</f>
        <v>674467989</v>
      </c>
      <c r="AW39" s="658"/>
      <c r="AX39" s="658"/>
      <c r="AY39" s="658"/>
      <c r="AZ39" s="658"/>
      <c r="BA39" s="658"/>
      <c r="BB39" s="658"/>
      <c r="BC39" s="658"/>
    </row>
    <row r="40" spans="1:55" s="276" customFormat="1" ht="14.25" customHeight="1">
      <c r="A40" s="654"/>
      <c r="B40" s="664" t="s">
        <v>670</v>
      </c>
      <c r="C40" s="655">
        <f>+'Asset Classification'!C40</f>
        <v>0</v>
      </c>
      <c r="D40" s="668">
        <f>+'Asset Classification'!D40</f>
        <v>0</v>
      </c>
      <c r="E40" s="666">
        <f>+'Asset Classification'!E40</f>
        <v>0</v>
      </c>
      <c r="F40" s="669">
        <f>+'Asset Classification'!F40</f>
        <v>0</v>
      </c>
      <c r="G40" s="666">
        <f>+'Asset Classification'!G40</f>
        <v>0</v>
      </c>
      <c r="H40" s="656">
        <f t="shared" si="55"/>
        <v>0</v>
      </c>
      <c r="I40" s="656">
        <f t="shared" si="56"/>
        <v>0</v>
      </c>
      <c r="J40" s="666">
        <f>+'Asset Classification'!I40</f>
        <v>0</v>
      </c>
      <c r="K40" s="669">
        <f>+'Asset Classification'!J40</f>
        <v>0</v>
      </c>
      <c r="L40" s="666">
        <f>+'Asset Classification'!K40</f>
        <v>0</v>
      </c>
      <c r="M40" s="656">
        <f t="shared" si="57"/>
        <v>0</v>
      </c>
      <c r="N40" s="656">
        <f t="shared" si="58"/>
        <v>0</v>
      </c>
      <c r="O40" s="669">
        <f>+'Asset Classification'!L40</f>
        <v>0</v>
      </c>
      <c r="P40" s="656">
        <f t="shared" si="59"/>
        <v>0</v>
      </c>
      <c r="Q40" s="656">
        <f t="shared" si="60"/>
        <v>0</v>
      </c>
      <c r="R40" s="666">
        <f>+'Asset Classification'!M40</f>
        <v>0</v>
      </c>
      <c r="S40" s="669">
        <f>+'Asset Classification'!N40</f>
        <v>0</v>
      </c>
      <c r="T40" s="666">
        <f>+'Asset Classification'!O40</f>
        <v>0</v>
      </c>
      <c r="U40" s="656">
        <f t="shared" si="61"/>
        <v>0</v>
      </c>
      <c r="V40" s="656">
        <f t="shared" si="62"/>
        <v>0</v>
      </c>
      <c r="W40" s="669">
        <f>+'Asset Classification'!P40</f>
        <v>0</v>
      </c>
      <c r="X40" s="656">
        <f t="shared" si="63"/>
        <v>0</v>
      </c>
      <c r="Y40" s="656">
        <f t="shared" si="64"/>
        <v>0</v>
      </c>
      <c r="Z40" s="666">
        <f>+'Asset Classification'!Q40</f>
        <v>0</v>
      </c>
      <c r="AA40" s="669">
        <f>+'Asset Classification'!R40</f>
        <v>0</v>
      </c>
      <c r="AB40" s="666">
        <f>+'Asset Classification'!S40</f>
        <v>0</v>
      </c>
      <c r="AC40" s="656">
        <f t="shared" si="65"/>
        <v>0</v>
      </c>
      <c r="AD40" s="656">
        <f t="shared" si="66"/>
        <v>0</v>
      </c>
      <c r="AE40" s="669">
        <f>+'Asset Classification'!T40</f>
        <v>0</v>
      </c>
      <c r="AF40" s="656">
        <f t="shared" si="67"/>
        <v>0</v>
      </c>
      <c r="AG40" s="656">
        <f t="shared" si="68"/>
        <v>0</v>
      </c>
      <c r="AH40" s="666">
        <f>+'Asset Classification'!U40</f>
        <v>0</v>
      </c>
      <c r="AI40" s="669">
        <f>+'Asset Classification'!V40</f>
        <v>0</v>
      </c>
      <c r="AJ40" s="666">
        <f>+'Asset Classification'!W40</f>
        <v>0</v>
      </c>
      <c r="AK40" s="656">
        <f t="shared" si="69"/>
        <v>0</v>
      </c>
      <c r="AL40" s="656">
        <f t="shared" si="70"/>
        <v>0</v>
      </c>
      <c r="AM40" s="669">
        <f>+'Asset Classification'!X40</f>
        <v>0</v>
      </c>
      <c r="AN40" s="656">
        <f t="shared" si="71"/>
        <v>0</v>
      </c>
      <c r="AO40" s="656">
        <f t="shared" si="72"/>
        <v>0</v>
      </c>
      <c r="AP40" s="643">
        <f t="shared" si="73"/>
        <v>0</v>
      </c>
      <c r="AQ40" s="643">
        <f t="shared" si="73"/>
        <v>0</v>
      </c>
      <c r="AR40" s="643">
        <f t="shared" si="74"/>
        <v>0</v>
      </c>
      <c r="AS40" s="656">
        <f t="shared" si="75"/>
        <v>0</v>
      </c>
      <c r="AT40" s="656">
        <f t="shared" si="75"/>
        <v>0</v>
      </c>
      <c r="AU40" s="656">
        <f t="shared" si="76"/>
        <v>0</v>
      </c>
      <c r="AW40" s="658"/>
      <c r="AX40" s="658"/>
      <c r="AY40" s="658"/>
      <c r="AZ40" s="658"/>
      <c r="BA40" s="658"/>
      <c r="BB40" s="658"/>
      <c r="BC40" s="658"/>
    </row>
    <row r="41" spans="1:55" s="276" customFormat="1" ht="23.25" customHeight="1">
      <c r="A41" s="654">
        <v>17</v>
      </c>
      <c r="B41" s="431" t="s">
        <v>474</v>
      </c>
      <c r="C41" s="655">
        <f>+'Asset Classification'!C41</f>
        <v>751429009</v>
      </c>
      <c r="D41" s="668">
        <f>+'Asset Classification'!D41</f>
        <v>558959694</v>
      </c>
      <c r="E41" s="666">
        <f>+'Asset Classification'!E41</f>
        <v>736672543</v>
      </c>
      <c r="F41" s="669">
        <f>+'Asset Classification'!F41</f>
        <v>558959694</v>
      </c>
      <c r="G41" s="666">
        <f>+'Asset Classification'!G41</f>
        <v>4663987</v>
      </c>
      <c r="H41" s="656">
        <f t="shared" si="55"/>
        <v>7366725.4299999997</v>
      </c>
      <c r="I41" s="656">
        <f t="shared" si="56"/>
        <v>-2702738.4299999997</v>
      </c>
      <c r="J41" s="666">
        <f>+'Asset Classification'!I41</f>
        <v>217901</v>
      </c>
      <c r="K41" s="669">
        <f>+'Asset Classification'!J41</f>
        <v>0</v>
      </c>
      <c r="L41" s="666">
        <f>+'Asset Classification'!K41</f>
        <v>23675</v>
      </c>
      <c r="M41" s="656">
        <f t="shared" si="57"/>
        <v>21790.100000000002</v>
      </c>
      <c r="N41" s="656">
        <f t="shared" si="58"/>
        <v>1884.8999999999978</v>
      </c>
      <c r="O41" s="669">
        <f>+'Asset Classification'!L41</f>
        <v>0</v>
      </c>
      <c r="P41" s="656">
        <f t="shared" si="59"/>
        <v>0</v>
      </c>
      <c r="Q41" s="656">
        <f t="shared" si="60"/>
        <v>0</v>
      </c>
      <c r="R41" s="666">
        <f>+'Asset Classification'!M41</f>
        <v>11075909</v>
      </c>
      <c r="S41" s="669">
        <f>+'Asset Classification'!N41</f>
        <v>0</v>
      </c>
      <c r="T41" s="666">
        <f>+'Asset Classification'!O41</f>
        <v>1552944</v>
      </c>
      <c r="U41" s="656">
        <f t="shared" si="61"/>
        <v>2768977.25</v>
      </c>
      <c r="V41" s="656">
        <f t="shared" si="62"/>
        <v>-1216033.25</v>
      </c>
      <c r="W41" s="669">
        <f>+'Asset Classification'!P41</f>
        <v>0</v>
      </c>
      <c r="X41" s="656">
        <f t="shared" si="63"/>
        <v>0</v>
      </c>
      <c r="Y41" s="656">
        <f t="shared" si="64"/>
        <v>0</v>
      </c>
      <c r="Z41" s="666">
        <f>+'Asset Classification'!Q41</f>
        <v>3462656</v>
      </c>
      <c r="AA41" s="669">
        <f>+'Asset Classification'!R41</f>
        <v>0</v>
      </c>
      <c r="AB41" s="666">
        <f>+'Asset Classification'!S41</f>
        <v>131328</v>
      </c>
      <c r="AC41" s="656">
        <f t="shared" si="65"/>
        <v>1731328</v>
      </c>
      <c r="AD41" s="656">
        <f t="shared" si="66"/>
        <v>-1600000</v>
      </c>
      <c r="AE41" s="669">
        <f>+'Asset Classification'!T41</f>
        <v>0</v>
      </c>
      <c r="AF41" s="656">
        <f t="shared" si="67"/>
        <v>0</v>
      </c>
      <c r="AG41" s="656">
        <f t="shared" si="68"/>
        <v>0</v>
      </c>
      <c r="AH41" s="666">
        <f>+'Asset Classification'!U41</f>
        <v>0</v>
      </c>
      <c r="AI41" s="669">
        <f>+'Asset Classification'!V41</f>
        <v>0</v>
      </c>
      <c r="AJ41" s="666">
        <f>+'Asset Classification'!W41</f>
        <v>0</v>
      </c>
      <c r="AK41" s="656">
        <f t="shared" si="69"/>
        <v>0</v>
      </c>
      <c r="AL41" s="656">
        <f t="shared" si="70"/>
        <v>0</v>
      </c>
      <c r="AM41" s="669">
        <f>+'Asset Classification'!X41</f>
        <v>0</v>
      </c>
      <c r="AN41" s="656">
        <f t="shared" si="71"/>
        <v>0</v>
      </c>
      <c r="AO41" s="656">
        <f t="shared" si="72"/>
        <v>0</v>
      </c>
      <c r="AP41" s="643">
        <f t="shared" si="73"/>
        <v>1707947</v>
      </c>
      <c r="AQ41" s="643">
        <f t="shared" si="73"/>
        <v>4522095.3499999996</v>
      </c>
      <c r="AR41" s="643">
        <f t="shared" si="74"/>
        <v>-2814148.3499999996</v>
      </c>
      <c r="AS41" s="656">
        <f t="shared" si="75"/>
        <v>0</v>
      </c>
      <c r="AT41" s="656">
        <f t="shared" si="75"/>
        <v>0</v>
      </c>
      <c r="AU41" s="656">
        <f t="shared" si="76"/>
        <v>0</v>
      </c>
      <c r="AV41" s="657">
        <f>+'Aging Analysis'!C28</f>
        <v>751429009</v>
      </c>
      <c r="AW41" s="658"/>
      <c r="AX41" s="658"/>
      <c r="AY41" s="658"/>
      <c r="AZ41" s="658"/>
      <c r="BA41" s="658"/>
      <c r="BB41" s="658"/>
      <c r="BC41" s="658"/>
    </row>
    <row r="42" spans="1:55" s="276" customFormat="1" ht="14.25" customHeight="1">
      <c r="A42" s="654"/>
      <c r="B42" s="664" t="s">
        <v>670</v>
      </c>
      <c r="C42" s="655">
        <f>+'Asset Classification'!C42</f>
        <v>0</v>
      </c>
      <c r="D42" s="668">
        <f>+'Asset Classification'!D42</f>
        <v>0</v>
      </c>
      <c r="E42" s="666">
        <f>+'Asset Classification'!E42</f>
        <v>0</v>
      </c>
      <c r="F42" s="669">
        <f>+'Asset Classification'!F42</f>
        <v>0</v>
      </c>
      <c r="G42" s="666">
        <f>+'Asset Classification'!G42</f>
        <v>0</v>
      </c>
      <c r="H42" s="656">
        <f t="shared" si="55"/>
        <v>0</v>
      </c>
      <c r="I42" s="656">
        <f t="shared" si="56"/>
        <v>0</v>
      </c>
      <c r="J42" s="666">
        <f>+'Asset Classification'!I42</f>
        <v>0</v>
      </c>
      <c r="K42" s="669">
        <f>+'Asset Classification'!J42</f>
        <v>0</v>
      </c>
      <c r="L42" s="666">
        <f>+'Asset Classification'!K42</f>
        <v>0</v>
      </c>
      <c r="M42" s="656">
        <f t="shared" si="57"/>
        <v>0</v>
      </c>
      <c r="N42" s="656">
        <f t="shared" si="58"/>
        <v>0</v>
      </c>
      <c r="O42" s="669">
        <f>+'Asset Classification'!L42</f>
        <v>0</v>
      </c>
      <c r="P42" s="656">
        <f t="shared" si="59"/>
        <v>0</v>
      </c>
      <c r="Q42" s="656">
        <f t="shared" si="60"/>
        <v>0</v>
      </c>
      <c r="R42" s="666">
        <f>+'Asset Classification'!M42</f>
        <v>0</v>
      </c>
      <c r="S42" s="669">
        <f>+'Asset Classification'!N42</f>
        <v>0</v>
      </c>
      <c r="T42" s="666">
        <f>+'Asset Classification'!O42</f>
        <v>0</v>
      </c>
      <c r="U42" s="656">
        <f t="shared" si="61"/>
        <v>0</v>
      </c>
      <c r="V42" s="656">
        <f t="shared" si="62"/>
        <v>0</v>
      </c>
      <c r="W42" s="669">
        <f>+'Asset Classification'!P42</f>
        <v>0</v>
      </c>
      <c r="X42" s="656">
        <f t="shared" si="63"/>
        <v>0</v>
      </c>
      <c r="Y42" s="656">
        <f t="shared" si="64"/>
        <v>0</v>
      </c>
      <c r="Z42" s="666">
        <f>+'Asset Classification'!Q42</f>
        <v>0</v>
      </c>
      <c r="AA42" s="669">
        <f>+'Asset Classification'!R42</f>
        <v>0</v>
      </c>
      <c r="AB42" s="666">
        <f>+'Asset Classification'!S42</f>
        <v>0</v>
      </c>
      <c r="AC42" s="656">
        <f t="shared" si="65"/>
        <v>0</v>
      </c>
      <c r="AD42" s="656">
        <f t="shared" si="66"/>
        <v>0</v>
      </c>
      <c r="AE42" s="669">
        <f>+'Asset Classification'!T42</f>
        <v>0</v>
      </c>
      <c r="AF42" s="656">
        <f t="shared" si="67"/>
        <v>0</v>
      </c>
      <c r="AG42" s="656">
        <f t="shared" si="68"/>
        <v>0</v>
      </c>
      <c r="AH42" s="666">
        <f>+'Asset Classification'!U42</f>
        <v>0</v>
      </c>
      <c r="AI42" s="669">
        <f>+'Asset Classification'!V42</f>
        <v>0</v>
      </c>
      <c r="AJ42" s="666">
        <f>+'Asset Classification'!W42</f>
        <v>0</v>
      </c>
      <c r="AK42" s="656">
        <f t="shared" si="69"/>
        <v>0</v>
      </c>
      <c r="AL42" s="656">
        <f t="shared" si="70"/>
        <v>0</v>
      </c>
      <c r="AM42" s="669">
        <f>+'Asset Classification'!X42</f>
        <v>0</v>
      </c>
      <c r="AN42" s="656">
        <f t="shared" si="71"/>
        <v>0</v>
      </c>
      <c r="AO42" s="656">
        <f t="shared" si="72"/>
        <v>0</v>
      </c>
      <c r="AP42" s="643">
        <f t="shared" si="73"/>
        <v>0</v>
      </c>
      <c r="AQ42" s="643">
        <f t="shared" si="73"/>
        <v>0</v>
      </c>
      <c r="AR42" s="643">
        <f t="shared" si="74"/>
        <v>0</v>
      </c>
      <c r="AS42" s="656">
        <f t="shared" si="75"/>
        <v>0</v>
      </c>
      <c r="AT42" s="656">
        <f t="shared" si="75"/>
        <v>0</v>
      </c>
      <c r="AU42" s="656">
        <f t="shared" si="76"/>
        <v>0</v>
      </c>
      <c r="AW42" s="658"/>
      <c r="AX42" s="658"/>
      <c r="AY42" s="658"/>
      <c r="AZ42" s="658"/>
      <c r="BA42" s="658"/>
      <c r="BB42" s="658"/>
      <c r="BC42" s="658"/>
    </row>
    <row r="43" spans="1:55" s="276" customFormat="1" ht="23.25" customHeight="1">
      <c r="A43" s="654">
        <v>18</v>
      </c>
      <c r="B43" s="431" t="s">
        <v>475</v>
      </c>
      <c r="C43" s="655">
        <f>+'Asset Classification'!C43</f>
        <v>491545189</v>
      </c>
      <c r="D43" s="668">
        <f>+'Asset Classification'!D43</f>
        <v>161475004</v>
      </c>
      <c r="E43" s="666">
        <f>+'Asset Classification'!E43</f>
        <v>448549588</v>
      </c>
      <c r="F43" s="669">
        <f>+'Asset Classification'!F43</f>
        <v>161456408</v>
      </c>
      <c r="G43" s="666">
        <f>+'Asset Classification'!G43</f>
        <v>5113718</v>
      </c>
      <c r="H43" s="656">
        <f t="shared" si="55"/>
        <v>4485495.88</v>
      </c>
      <c r="I43" s="656">
        <f t="shared" si="56"/>
        <v>628222.12000000011</v>
      </c>
      <c r="J43" s="666">
        <f>+'Asset Classification'!I43</f>
        <v>25989082</v>
      </c>
      <c r="K43" s="669">
        <f>+'Asset Classification'!J43</f>
        <v>0</v>
      </c>
      <c r="L43" s="666">
        <f>+'Asset Classification'!K43</f>
        <v>3635255</v>
      </c>
      <c r="M43" s="656">
        <f t="shared" si="57"/>
        <v>2598908.2000000002</v>
      </c>
      <c r="N43" s="656">
        <f t="shared" si="58"/>
        <v>1036346.7999999998</v>
      </c>
      <c r="O43" s="669">
        <f>+'Asset Classification'!L43</f>
        <v>0</v>
      </c>
      <c r="P43" s="656">
        <f t="shared" si="59"/>
        <v>0</v>
      </c>
      <c r="Q43" s="656">
        <f t="shared" si="60"/>
        <v>0</v>
      </c>
      <c r="R43" s="666">
        <f>+'Asset Classification'!M43</f>
        <v>1673193</v>
      </c>
      <c r="S43" s="669">
        <f>+'Asset Classification'!N43</f>
        <v>0</v>
      </c>
      <c r="T43" s="666">
        <f>+'Asset Classification'!O43</f>
        <v>218298</v>
      </c>
      <c r="U43" s="656">
        <f t="shared" si="61"/>
        <v>418298.25</v>
      </c>
      <c r="V43" s="656">
        <f t="shared" si="62"/>
        <v>-200000.25</v>
      </c>
      <c r="W43" s="669">
        <f>+'Asset Classification'!P43</f>
        <v>0</v>
      </c>
      <c r="X43" s="656">
        <f t="shared" si="63"/>
        <v>0</v>
      </c>
      <c r="Y43" s="656">
        <f t="shared" si="64"/>
        <v>0</v>
      </c>
      <c r="Z43" s="666">
        <f>+'Asset Classification'!Q43</f>
        <v>8718726</v>
      </c>
      <c r="AA43" s="669">
        <f>+'Asset Classification'!R43</f>
        <v>0</v>
      </c>
      <c r="AB43" s="666">
        <f>+'Asset Classification'!S43</f>
        <v>2824370</v>
      </c>
      <c r="AC43" s="656">
        <f t="shared" si="65"/>
        <v>4359363</v>
      </c>
      <c r="AD43" s="656">
        <f t="shared" si="66"/>
        <v>-1534993</v>
      </c>
      <c r="AE43" s="669">
        <f>+'Asset Classification'!T43</f>
        <v>0</v>
      </c>
      <c r="AF43" s="656">
        <f t="shared" si="67"/>
        <v>0</v>
      </c>
      <c r="AG43" s="656">
        <f t="shared" si="68"/>
        <v>0</v>
      </c>
      <c r="AH43" s="666">
        <f>+'Asset Classification'!U43</f>
        <v>6614600</v>
      </c>
      <c r="AI43" s="669">
        <f>+'Asset Classification'!V43</f>
        <v>18596</v>
      </c>
      <c r="AJ43" s="666">
        <f>+'Asset Classification'!W43</f>
        <v>1437100</v>
      </c>
      <c r="AK43" s="656">
        <f t="shared" si="69"/>
        <v>6614600</v>
      </c>
      <c r="AL43" s="656">
        <f t="shared" si="70"/>
        <v>-5177500</v>
      </c>
      <c r="AM43" s="669">
        <f>+'Asset Classification'!X43</f>
        <v>18596</v>
      </c>
      <c r="AN43" s="656">
        <f t="shared" si="71"/>
        <v>18596</v>
      </c>
      <c r="AO43" s="656">
        <f t="shared" si="72"/>
        <v>0</v>
      </c>
      <c r="AP43" s="643">
        <f t="shared" si="73"/>
        <v>8115023</v>
      </c>
      <c r="AQ43" s="643">
        <f t="shared" si="73"/>
        <v>13991169.449999999</v>
      </c>
      <c r="AR43" s="643">
        <f t="shared" si="74"/>
        <v>-5876146.4499999993</v>
      </c>
      <c r="AS43" s="656">
        <f t="shared" si="75"/>
        <v>18596</v>
      </c>
      <c r="AT43" s="656">
        <f t="shared" si="75"/>
        <v>18596</v>
      </c>
      <c r="AU43" s="656">
        <f t="shared" si="76"/>
        <v>0</v>
      </c>
      <c r="AV43" s="657">
        <f>+'Aging Analysis'!C29</f>
        <v>491545189</v>
      </c>
      <c r="AW43" s="658"/>
      <c r="AX43" s="658"/>
      <c r="AY43" s="658"/>
      <c r="AZ43" s="658"/>
      <c r="BA43" s="658"/>
      <c r="BB43" s="658"/>
      <c r="BC43" s="658"/>
    </row>
    <row r="44" spans="1:55" s="276" customFormat="1" ht="14.25" customHeight="1">
      <c r="A44" s="654"/>
      <c r="B44" s="664" t="s">
        <v>670</v>
      </c>
      <c r="C44" s="655">
        <f>+'Asset Classification'!C44</f>
        <v>0</v>
      </c>
      <c r="D44" s="668">
        <f>+'Asset Classification'!D44</f>
        <v>0</v>
      </c>
      <c r="E44" s="666">
        <f>+'Asset Classification'!E44</f>
        <v>0</v>
      </c>
      <c r="F44" s="669">
        <f>+'Asset Classification'!F44</f>
        <v>0</v>
      </c>
      <c r="G44" s="666">
        <f>+'Asset Classification'!G44</f>
        <v>0</v>
      </c>
      <c r="H44" s="656">
        <f t="shared" si="55"/>
        <v>0</v>
      </c>
      <c r="I44" s="656">
        <f t="shared" si="56"/>
        <v>0</v>
      </c>
      <c r="J44" s="666">
        <f>+'Asset Classification'!I44</f>
        <v>0</v>
      </c>
      <c r="K44" s="669">
        <f>+'Asset Classification'!J44</f>
        <v>0</v>
      </c>
      <c r="L44" s="666">
        <f>+'Asset Classification'!K44</f>
        <v>0</v>
      </c>
      <c r="M44" s="656">
        <f t="shared" si="57"/>
        <v>0</v>
      </c>
      <c r="N44" s="656">
        <f t="shared" si="58"/>
        <v>0</v>
      </c>
      <c r="O44" s="669">
        <f>+'Asset Classification'!L44</f>
        <v>0</v>
      </c>
      <c r="P44" s="656">
        <f t="shared" si="59"/>
        <v>0</v>
      </c>
      <c r="Q44" s="656">
        <f t="shared" si="60"/>
        <v>0</v>
      </c>
      <c r="R44" s="666">
        <f>+'Asset Classification'!M44</f>
        <v>0</v>
      </c>
      <c r="S44" s="669">
        <f>+'Asset Classification'!N44</f>
        <v>0</v>
      </c>
      <c r="T44" s="666">
        <f>+'Asset Classification'!O44</f>
        <v>0</v>
      </c>
      <c r="U44" s="656">
        <f t="shared" si="61"/>
        <v>0</v>
      </c>
      <c r="V44" s="656">
        <f t="shared" si="62"/>
        <v>0</v>
      </c>
      <c r="W44" s="669">
        <f>+'Asset Classification'!P44</f>
        <v>0</v>
      </c>
      <c r="X44" s="656">
        <f t="shared" si="63"/>
        <v>0</v>
      </c>
      <c r="Y44" s="656">
        <f t="shared" si="64"/>
        <v>0</v>
      </c>
      <c r="Z44" s="666">
        <f>+'Asset Classification'!Q44</f>
        <v>0</v>
      </c>
      <c r="AA44" s="669">
        <f>+'Asset Classification'!R44</f>
        <v>0</v>
      </c>
      <c r="AB44" s="666">
        <f>+'Asset Classification'!S44</f>
        <v>0</v>
      </c>
      <c r="AC44" s="656">
        <f t="shared" si="65"/>
        <v>0</v>
      </c>
      <c r="AD44" s="656">
        <f t="shared" si="66"/>
        <v>0</v>
      </c>
      <c r="AE44" s="669">
        <f>+'Asset Classification'!T44</f>
        <v>0</v>
      </c>
      <c r="AF44" s="656">
        <f t="shared" si="67"/>
        <v>0</v>
      </c>
      <c r="AG44" s="656">
        <f t="shared" si="68"/>
        <v>0</v>
      </c>
      <c r="AH44" s="666">
        <f>+'Asset Classification'!U44</f>
        <v>0</v>
      </c>
      <c r="AI44" s="669">
        <f>+'Asset Classification'!V44</f>
        <v>0</v>
      </c>
      <c r="AJ44" s="666">
        <f>+'Asset Classification'!W44</f>
        <v>0</v>
      </c>
      <c r="AK44" s="656">
        <f t="shared" si="69"/>
        <v>0</v>
      </c>
      <c r="AL44" s="656">
        <f t="shared" si="70"/>
        <v>0</v>
      </c>
      <c r="AM44" s="669">
        <f>+'Asset Classification'!X44</f>
        <v>0</v>
      </c>
      <c r="AN44" s="656">
        <f t="shared" si="71"/>
        <v>0</v>
      </c>
      <c r="AO44" s="656">
        <f t="shared" si="72"/>
        <v>0</v>
      </c>
      <c r="AP44" s="643">
        <f t="shared" si="73"/>
        <v>0</v>
      </c>
      <c r="AQ44" s="643">
        <f t="shared" si="73"/>
        <v>0</v>
      </c>
      <c r="AR44" s="643">
        <f t="shared" si="74"/>
        <v>0</v>
      </c>
      <c r="AS44" s="656">
        <f t="shared" si="75"/>
        <v>0</v>
      </c>
      <c r="AT44" s="656">
        <f t="shared" si="75"/>
        <v>0</v>
      </c>
      <c r="AU44" s="656">
        <f t="shared" si="76"/>
        <v>0</v>
      </c>
      <c r="AW44" s="658"/>
      <c r="AX44" s="658"/>
      <c r="AY44" s="658"/>
      <c r="AZ44" s="658"/>
      <c r="BA44" s="658"/>
      <c r="BB44" s="658"/>
      <c r="BC44" s="658"/>
    </row>
    <row r="45" spans="1:55" s="276" customFormat="1" ht="23.25" customHeight="1">
      <c r="A45" s="654">
        <v>19</v>
      </c>
      <c r="B45" s="431" t="s">
        <v>476</v>
      </c>
      <c r="C45" s="655">
        <f>+'Asset Classification'!C45</f>
        <v>23081195</v>
      </c>
      <c r="D45" s="668">
        <f>+'Asset Classification'!D45</f>
        <v>933104</v>
      </c>
      <c r="E45" s="666">
        <f>+'Asset Classification'!E45</f>
        <v>17508415</v>
      </c>
      <c r="F45" s="669">
        <f>+'Asset Classification'!F45</f>
        <v>933104</v>
      </c>
      <c r="G45" s="666">
        <f>+'Asset Classification'!G45</f>
        <v>355490</v>
      </c>
      <c r="H45" s="656">
        <f t="shared" si="55"/>
        <v>175084.15</v>
      </c>
      <c r="I45" s="656">
        <f t="shared" si="56"/>
        <v>180405.85</v>
      </c>
      <c r="J45" s="666">
        <f>+'Asset Classification'!I45</f>
        <v>4860873</v>
      </c>
      <c r="K45" s="669">
        <f>+'Asset Classification'!J45</f>
        <v>0</v>
      </c>
      <c r="L45" s="666">
        <f>+'Asset Classification'!K45</f>
        <v>486087</v>
      </c>
      <c r="M45" s="656">
        <f t="shared" si="57"/>
        <v>486087.30000000005</v>
      </c>
      <c r="N45" s="656">
        <f t="shared" si="58"/>
        <v>-0.30000000004656613</v>
      </c>
      <c r="O45" s="669">
        <f>+'Asset Classification'!L45</f>
        <v>0</v>
      </c>
      <c r="P45" s="656">
        <f t="shared" si="59"/>
        <v>0</v>
      </c>
      <c r="Q45" s="656">
        <f t="shared" si="60"/>
        <v>0</v>
      </c>
      <c r="R45" s="666">
        <f>+'Asset Classification'!M45</f>
        <v>711907</v>
      </c>
      <c r="S45" s="669">
        <f>+'Asset Classification'!N45</f>
        <v>0</v>
      </c>
      <c r="T45" s="666">
        <f>+'Asset Classification'!O45</f>
        <v>187977</v>
      </c>
      <c r="U45" s="656">
        <f t="shared" si="61"/>
        <v>177976.75</v>
      </c>
      <c r="V45" s="656">
        <f t="shared" si="62"/>
        <v>10000.25</v>
      </c>
      <c r="W45" s="669">
        <f>+'Asset Classification'!P45</f>
        <v>0</v>
      </c>
      <c r="X45" s="656">
        <f t="shared" si="63"/>
        <v>0</v>
      </c>
      <c r="Y45" s="656">
        <f t="shared" si="64"/>
        <v>0</v>
      </c>
      <c r="Z45" s="666">
        <f>+'Asset Classification'!Q45</f>
        <v>0</v>
      </c>
      <c r="AA45" s="669">
        <f>+'Asset Classification'!R45</f>
        <v>0</v>
      </c>
      <c r="AB45" s="666">
        <f>+'Asset Classification'!S45</f>
        <v>0</v>
      </c>
      <c r="AC45" s="656">
        <f t="shared" si="65"/>
        <v>0</v>
      </c>
      <c r="AD45" s="656">
        <f t="shared" si="66"/>
        <v>0</v>
      </c>
      <c r="AE45" s="669">
        <f>+'Asset Classification'!T45</f>
        <v>0</v>
      </c>
      <c r="AF45" s="656">
        <f t="shared" si="67"/>
        <v>0</v>
      </c>
      <c r="AG45" s="656">
        <f t="shared" si="68"/>
        <v>0</v>
      </c>
      <c r="AH45" s="666">
        <f>+'Asset Classification'!U45</f>
        <v>0</v>
      </c>
      <c r="AI45" s="669">
        <f>+'Asset Classification'!V45</f>
        <v>0</v>
      </c>
      <c r="AJ45" s="666">
        <f>+'Asset Classification'!W45</f>
        <v>0</v>
      </c>
      <c r="AK45" s="656">
        <f t="shared" si="69"/>
        <v>0</v>
      </c>
      <c r="AL45" s="656">
        <f t="shared" si="70"/>
        <v>0</v>
      </c>
      <c r="AM45" s="669">
        <f>+'Asset Classification'!X45</f>
        <v>0</v>
      </c>
      <c r="AN45" s="656">
        <f t="shared" si="71"/>
        <v>0</v>
      </c>
      <c r="AO45" s="656">
        <f t="shared" si="72"/>
        <v>0</v>
      </c>
      <c r="AP45" s="643">
        <f t="shared" si="73"/>
        <v>674064</v>
      </c>
      <c r="AQ45" s="643">
        <f t="shared" si="73"/>
        <v>664064.05000000005</v>
      </c>
      <c r="AR45" s="643">
        <f t="shared" si="74"/>
        <v>9999.9499999999534</v>
      </c>
      <c r="AS45" s="656">
        <f t="shared" si="75"/>
        <v>0</v>
      </c>
      <c r="AT45" s="656">
        <f t="shared" si="75"/>
        <v>0</v>
      </c>
      <c r="AU45" s="656">
        <f t="shared" si="76"/>
        <v>0</v>
      </c>
      <c r="AV45" s="657">
        <f>+'Aging Analysis'!C30</f>
        <v>23081195</v>
      </c>
      <c r="AW45" s="658"/>
      <c r="AX45" s="658"/>
      <c r="AY45" s="658"/>
      <c r="AZ45" s="658"/>
      <c r="BA45" s="658"/>
      <c r="BB45" s="658"/>
      <c r="BC45" s="658"/>
    </row>
    <row r="46" spans="1:55" s="276" customFormat="1" ht="14.25" customHeight="1">
      <c r="A46" s="654"/>
      <c r="B46" s="664" t="s">
        <v>670</v>
      </c>
      <c r="C46" s="655">
        <f>+'Asset Classification'!C46</f>
        <v>0</v>
      </c>
      <c r="D46" s="668">
        <f>+'Asset Classification'!D46</f>
        <v>0</v>
      </c>
      <c r="E46" s="666">
        <f>+'Asset Classification'!E46</f>
        <v>0</v>
      </c>
      <c r="F46" s="669">
        <f>+'Asset Classification'!F46</f>
        <v>0</v>
      </c>
      <c r="G46" s="666">
        <f>+'Asset Classification'!G46</f>
        <v>0</v>
      </c>
      <c r="H46" s="656">
        <f t="shared" si="55"/>
        <v>0</v>
      </c>
      <c r="I46" s="656">
        <f t="shared" si="56"/>
        <v>0</v>
      </c>
      <c r="J46" s="666">
        <f>+'Asset Classification'!I46</f>
        <v>0</v>
      </c>
      <c r="K46" s="669">
        <f>+'Asset Classification'!J46</f>
        <v>0</v>
      </c>
      <c r="L46" s="666">
        <f>+'Asset Classification'!K46</f>
        <v>0</v>
      </c>
      <c r="M46" s="656">
        <f t="shared" si="57"/>
        <v>0</v>
      </c>
      <c r="N46" s="656">
        <f t="shared" si="58"/>
        <v>0</v>
      </c>
      <c r="O46" s="669">
        <f>+'Asset Classification'!L46</f>
        <v>0</v>
      </c>
      <c r="P46" s="656">
        <f t="shared" si="59"/>
        <v>0</v>
      </c>
      <c r="Q46" s="656">
        <f t="shared" si="60"/>
        <v>0</v>
      </c>
      <c r="R46" s="666">
        <f>+'Asset Classification'!M46</f>
        <v>0</v>
      </c>
      <c r="S46" s="669">
        <f>+'Asset Classification'!N46</f>
        <v>0</v>
      </c>
      <c r="T46" s="666">
        <f>+'Asset Classification'!O46</f>
        <v>0</v>
      </c>
      <c r="U46" s="656">
        <f t="shared" si="61"/>
        <v>0</v>
      </c>
      <c r="V46" s="656">
        <f t="shared" si="62"/>
        <v>0</v>
      </c>
      <c r="W46" s="669">
        <f>+'Asset Classification'!P46</f>
        <v>0</v>
      </c>
      <c r="X46" s="656">
        <f t="shared" si="63"/>
        <v>0</v>
      </c>
      <c r="Y46" s="656">
        <f t="shared" si="64"/>
        <v>0</v>
      </c>
      <c r="Z46" s="666">
        <f>+'Asset Classification'!Q46</f>
        <v>0</v>
      </c>
      <c r="AA46" s="669">
        <f>+'Asset Classification'!R46</f>
        <v>0</v>
      </c>
      <c r="AB46" s="666">
        <f>+'Asset Classification'!S46</f>
        <v>0</v>
      </c>
      <c r="AC46" s="656">
        <f t="shared" si="65"/>
        <v>0</v>
      </c>
      <c r="AD46" s="656">
        <f t="shared" si="66"/>
        <v>0</v>
      </c>
      <c r="AE46" s="669">
        <f>+'Asset Classification'!T46</f>
        <v>0</v>
      </c>
      <c r="AF46" s="656">
        <f t="shared" si="67"/>
        <v>0</v>
      </c>
      <c r="AG46" s="656">
        <f t="shared" si="68"/>
        <v>0</v>
      </c>
      <c r="AH46" s="666">
        <f>+'Asset Classification'!U46</f>
        <v>0</v>
      </c>
      <c r="AI46" s="669">
        <f>+'Asset Classification'!V46</f>
        <v>0</v>
      </c>
      <c r="AJ46" s="666">
        <f>+'Asset Classification'!W46</f>
        <v>0</v>
      </c>
      <c r="AK46" s="656">
        <f t="shared" si="69"/>
        <v>0</v>
      </c>
      <c r="AL46" s="656">
        <f t="shared" si="70"/>
        <v>0</v>
      </c>
      <c r="AM46" s="669">
        <f>+'Asset Classification'!X46</f>
        <v>0</v>
      </c>
      <c r="AN46" s="656">
        <f t="shared" si="71"/>
        <v>0</v>
      </c>
      <c r="AO46" s="656">
        <f t="shared" si="72"/>
        <v>0</v>
      </c>
      <c r="AP46" s="643">
        <f t="shared" si="73"/>
        <v>0</v>
      </c>
      <c r="AQ46" s="643">
        <f t="shared" si="73"/>
        <v>0</v>
      </c>
      <c r="AR46" s="643">
        <f t="shared" si="74"/>
        <v>0</v>
      </c>
      <c r="AS46" s="656">
        <f t="shared" si="75"/>
        <v>0</v>
      </c>
      <c r="AT46" s="656">
        <f t="shared" si="75"/>
        <v>0</v>
      </c>
      <c r="AU46" s="656">
        <f t="shared" si="76"/>
        <v>0</v>
      </c>
      <c r="AW46" s="658"/>
      <c r="AX46" s="658"/>
      <c r="AY46" s="658"/>
      <c r="AZ46" s="658"/>
      <c r="BA46" s="658"/>
      <c r="BB46" s="658"/>
      <c r="BC46" s="658"/>
    </row>
    <row r="47" spans="1:55" s="276" customFormat="1" ht="23.25" customHeight="1">
      <c r="A47" s="654">
        <v>20</v>
      </c>
      <c r="B47" s="431" t="s">
        <v>477</v>
      </c>
      <c r="C47" s="655">
        <f>+'Asset Classification'!C47</f>
        <v>43545997</v>
      </c>
      <c r="D47" s="668">
        <f>+'Asset Classification'!D47</f>
        <v>2357347</v>
      </c>
      <c r="E47" s="666">
        <f>+'Asset Classification'!E47</f>
        <v>37706576</v>
      </c>
      <c r="F47" s="669">
        <f>+'Asset Classification'!F47</f>
        <v>2357347</v>
      </c>
      <c r="G47" s="666">
        <f>+'Asset Classification'!G47</f>
        <v>418912</v>
      </c>
      <c r="H47" s="656">
        <f t="shared" si="55"/>
        <v>377065.76</v>
      </c>
      <c r="I47" s="656">
        <f t="shared" si="56"/>
        <v>41846.239999999991</v>
      </c>
      <c r="J47" s="666">
        <f>+'Asset Classification'!I47</f>
        <v>4400000</v>
      </c>
      <c r="K47" s="669">
        <f>+'Asset Classification'!J47</f>
        <v>0</v>
      </c>
      <c r="L47" s="666">
        <f>+'Asset Classification'!K47</f>
        <v>440000</v>
      </c>
      <c r="M47" s="656">
        <f t="shared" si="57"/>
        <v>440000</v>
      </c>
      <c r="N47" s="656">
        <f t="shared" si="58"/>
        <v>0</v>
      </c>
      <c r="O47" s="669">
        <f>+'Asset Classification'!L47</f>
        <v>0</v>
      </c>
      <c r="P47" s="656">
        <f t="shared" si="59"/>
        <v>0</v>
      </c>
      <c r="Q47" s="656">
        <f t="shared" si="60"/>
        <v>0</v>
      </c>
      <c r="R47" s="666">
        <f>+'Asset Classification'!M47</f>
        <v>0</v>
      </c>
      <c r="S47" s="669">
        <f>+'Asset Classification'!N47</f>
        <v>0</v>
      </c>
      <c r="T47" s="666">
        <f>+'Asset Classification'!O47</f>
        <v>0</v>
      </c>
      <c r="U47" s="656">
        <f t="shared" si="61"/>
        <v>0</v>
      </c>
      <c r="V47" s="656">
        <f t="shared" si="62"/>
        <v>0</v>
      </c>
      <c r="W47" s="669">
        <f>+'Asset Classification'!P47</f>
        <v>0</v>
      </c>
      <c r="X47" s="656">
        <f t="shared" si="63"/>
        <v>0</v>
      </c>
      <c r="Y47" s="656">
        <f t="shared" si="64"/>
        <v>0</v>
      </c>
      <c r="Z47" s="666">
        <f>+'Asset Classification'!Q47</f>
        <v>10362</v>
      </c>
      <c r="AA47" s="669">
        <f>+'Asset Classification'!R47</f>
        <v>0</v>
      </c>
      <c r="AB47" s="666">
        <f>+'Asset Classification'!S47</f>
        <v>0</v>
      </c>
      <c r="AC47" s="656">
        <f t="shared" si="65"/>
        <v>5181</v>
      </c>
      <c r="AD47" s="656">
        <f t="shared" si="66"/>
        <v>-5181</v>
      </c>
      <c r="AE47" s="669">
        <f>+'Asset Classification'!T47</f>
        <v>0</v>
      </c>
      <c r="AF47" s="656">
        <f t="shared" si="67"/>
        <v>0</v>
      </c>
      <c r="AG47" s="656">
        <f t="shared" si="68"/>
        <v>0</v>
      </c>
      <c r="AH47" s="666">
        <f>+'Asset Classification'!U47</f>
        <v>1429059</v>
      </c>
      <c r="AI47" s="669">
        <f>+'Asset Classification'!V47</f>
        <v>0</v>
      </c>
      <c r="AJ47" s="666">
        <f>+'Asset Classification'!W47</f>
        <v>192591</v>
      </c>
      <c r="AK47" s="656">
        <f t="shared" si="69"/>
        <v>1429059</v>
      </c>
      <c r="AL47" s="656">
        <f t="shared" si="70"/>
        <v>-1236468</v>
      </c>
      <c r="AM47" s="669">
        <f>+'Asset Classification'!X47</f>
        <v>0</v>
      </c>
      <c r="AN47" s="656">
        <f t="shared" si="71"/>
        <v>0</v>
      </c>
      <c r="AO47" s="656">
        <f t="shared" si="72"/>
        <v>0</v>
      </c>
      <c r="AP47" s="643">
        <f t="shared" si="73"/>
        <v>632591</v>
      </c>
      <c r="AQ47" s="643">
        <f t="shared" si="73"/>
        <v>1874240</v>
      </c>
      <c r="AR47" s="643">
        <f t="shared" si="74"/>
        <v>-1241649</v>
      </c>
      <c r="AS47" s="656">
        <f t="shared" si="75"/>
        <v>0</v>
      </c>
      <c r="AT47" s="656">
        <f t="shared" si="75"/>
        <v>0</v>
      </c>
      <c r="AU47" s="656">
        <f t="shared" si="76"/>
        <v>0</v>
      </c>
      <c r="AV47" s="657">
        <f>+'Aging Analysis'!C31</f>
        <v>43545997</v>
      </c>
      <c r="AW47" s="658"/>
      <c r="AX47" s="658"/>
      <c r="AY47" s="658"/>
      <c r="AZ47" s="658"/>
      <c r="BA47" s="658"/>
      <c r="BB47" s="658"/>
      <c r="BC47" s="658"/>
    </row>
    <row r="48" spans="1:55" s="276" customFormat="1" ht="14.25" customHeight="1">
      <c r="A48" s="654"/>
      <c r="B48" s="664" t="s">
        <v>670</v>
      </c>
      <c r="C48" s="655">
        <f>+'Asset Classification'!C48</f>
        <v>0</v>
      </c>
      <c r="D48" s="668">
        <f>+'Asset Classification'!D48</f>
        <v>0</v>
      </c>
      <c r="E48" s="666">
        <f>+'Asset Classification'!E48</f>
        <v>0</v>
      </c>
      <c r="F48" s="669">
        <f>+'Asset Classification'!F48</f>
        <v>0</v>
      </c>
      <c r="G48" s="666">
        <f>+'Asset Classification'!G48</f>
        <v>0</v>
      </c>
      <c r="H48" s="656">
        <f t="shared" si="55"/>
        <v>0</v>
      </c>
      <c r="I48" s="656">
        <f t="shared" si="56"/>
        <v>0</v>
      </c>
      <c r="J48" s="666">
        <f>+'Asset Classification'!I48</f>
        <v>0</v>
      </c>
      <c r="K48" s="669">
        <f>+'Asset Classification'!J48</f>
        <v>0</v>
      </c>
      <c r="L48" s="666">
        <f>+'Asset Classification'!K48</f>
        <v>0</v>
      </c>
      <c r="M48" s="656">
        <f t="shared" si="57"/>
        <v>0</v>
      </c>
      <c r="N48" s="656">
        <f t="shared" si="58"/>
        <v>0</v>
      </c>
      <c r="O48" s="669">
        <f>+'Asset Classification'!L48</f>
        <v>0</v>
      </c>
      <c r="P48" s="656">
        <f t="shared" si="59"/>
        <v>0</v>
      </c>
      <c r="Q48" s="656">
        <f t="shared" si="60"/>
        <v>0</v>
      </c>
      <c r="R48" s="666">
        <f>+'Asset Classification'!M48</f>
        <v>0</v>
      </c>
      <c r="S48" s="669">
        <f>+'Asset Classification'!N48</f>
        <v>0</v>
      </c>
      <c r="T48" s="666">
        <f>+'Asset Classification'!O48</f>
        <v>0</v>
      </c>
      <c r="U48" s="656">
        <f t="shared" si="61"/>
        <v>0</v>
      </c>
      <c r="V48" s="656">
        <f t="shared" si="62"/>
        <v>0</v>
      </c>
      <c r="W48" s="669">
        <f>+'Asset Classification'!P48</f>
        <v>0</v>
      </c>
      <c r="X48" s="656">
        <f t="shared" si="63"/>
        <v>0</v>
      </c>
      <c r="Y48" s="656">
        <f t="shared" si="64"/>
        <v>0</v>
      </c>
      <c r="Z48" s="666">
        <f>+'Asset Classification'!Q48</f>
        <v>0</v>
      </c>
      <c r="AA48" s="669">
        <f>+'Asset Classification'!R48</f>
        <v>0</v>
      </c>
      <c r="AB48" s="666">
        <f>+'Asset Classification'!S48</f>
        <v>0</v>
      </c>
      <c r="AC48" s="656">
        <f t="shared" si="65"/>
        <v>0</v>
      </c>
      <c r="AD48" s="656">
        <f t="shared" si="66"/>
        <v>0</v>
      </c>
      <c r="AE48" s="669">
        <f>+'Asset Classification'!T48</f>
        <v>0</v>
      </c>
      <c r="AF48" s="656">
        <f t="shared" si="67"/>
        <v>0</v>
      </c>
      <c r="AG48" s="656">
        <f t="shared" si="68"/>
        <v>0</v>
      </c>
      <c r="AH48" s="666">
        <f>+'Asset Classification'!U48</f>
        <v>0</v>
      </c>
      <c r="AI48" s="669">
        <f>+'Asset Classification'!V48</f>
        <v>0</v>
      </c>
      <c r="AJ48" s="666">
        <f>+'Asset Classification'!W48</f>
        <v>0</v>
      </c>
      <c r="AK48" s="656">
        <f t="shared" si="69"/>
        <v>0</v>
      </c>
      <c r="AL48" s="656">
        <f t="shared" si="70"/>
        <v>0</v>
      </c>
      <c r="AM48" s="669">
        <f>+'Asset Classification'!X48</f>
        <v>0</v>
      </c>
      <c r="AN48" s="656">
        <f t="shared" si="71"/>
        <v>0</v>
      </c>
      <c r="AO48" s="656">
        <f t="shared" si="72"/>
        <v>0</v>
      </c>
      <c r="AP48" s="643">
        <f t="shared" si="73"/>
        <v>0</v>
      </c>
      <c r="AQ48" s="643">
        <f t="shared" si="73"/>
        <v>0</v>
      </c>
      <c r="AR48" s="643">
        <f t="shared" si="74"/>
        <v>0</v>
      </c>
      <c r="AS48" s="656">
        <f t="shared" si="75"/>
        <v>0</v>
      </c>
      <c r="AT48" s="656">
        <f t="shared" si="75"/>
        <v>0</v>
      </c>
      <c r="AU48" s="656">
        <f t="shared" si="76"/>
        <v>0</v>
      </c>
      <c r="AW48" s="658"/>
      <c r="AX48" s="658"/>
      <c r="AY48" s="658"/>
      <c r="AZ48" s="658"/>
      <c r="BA48" s="658"/>
      <c r="BB48" s="658"/>
      <c r="BC48" s="658"/>
    </row>
    <row r="49" spans="1:55" s="276" customFormat="1" ht="23.25" customHeight="1">
      <c r="A49" s="654">
        <v>21</v>
      </c>
      <c r="B49" s="431" t="s">
        <v>478</v>
      </c>
      <c r="C49" s="655">
        <f>+'Asset Classification'!C49</f>
        <v>2458542334</v>
      </c>
      <c r="D49" s="668">
        <f>+'Asset Classification'!D49</f>
        <v>1125492355</v>
      </c>
      <c r="E49" s="666">
        <f>+'Asset Classification'!E49</f>
        <v>2407539245</v>
      </c>
      <c r="F49" s="669">
        <f>+'Asset Classification'!F49</f>
        <v>1120108405</v>
      </c>
      <c r="G49" s="666">
        <f>+'Asset Classification'!G49</f>
        <v>12561309</v>
      </c>
      <c r="H49" s="656">
        <f t="shared" si="55"/>
        <v>24075392.449999999</v>
      </c>
      <c r="I49" s="656">
        <f t="shared" si="56"/>
        <v>-11514083.449999999</v>
      </c>
      <c r="J49" s="666">
        <f>+'Asset Classification'!I49</f>
        <v>16035312</v>
      </c>
      <c r="K49" s="669">
        <f>+'Asset Classification'!J49</f>
        <v>0</v>
      </c>
      <c r="L49" s="666">
        <f>+'Asset Classification'!K49</f>
        <v>604279</v>
      </c>
      <c r="M49" s="656">
        <f t="shared" si="57"/>
        <v>1603531.2000000002</v>
      </c>
      <c r="N49" s="656">
        <f t="shared" si="58"/>
        <v>-999252.20000000019</v>
      </c>
      <c r="O49" s="669">
        <f>+'Asset Classification'!L49</f>
        <v>0</v>
      </c>
      <c r="P49" s="656">
        <f t="shared" si="59"/>
        <v>0</v>
      </c>
      <c r="Q49" s="656">
        <f t="shared" si="60"/>
        <v>0</v>
      </c>
      <c r="R49" s="666">
        <f>+'Asset Classification'!M49</f>
        <v>20498179</v>
      </c>
      <c r="S49" s="669">
        <f>+'Asset Classification'!N49</f>
        <v>5383950</v>
      </c>
      <c r="T49" s="666">
        <f>+'Asset Classification'!O49</f>
        <v>1788364</v>
      </c>
      <c r="U49" s="656">
        <f t="shared" si="61"/>
        <v>5124544.75</v>
      </c>
      <c r="V49" s="656">
        <f t="shared" si="62"/>
        <v>-3336180.75</v>
      </c>
      <c r="W49" s="669">
        <f>+'Asset Classification'!P49</f>
        <v>1345988</v>
      </c>
      <c r="X49" s="656">
        <f t="shared" si="63"/>
        <v>1345987.5</v>
      </c>
      <c r="Y49" s="656">
        <f t="shared" si="64"/>
        <v>0.5</v>
      </c>
      <c r="Z49" s="666">
        <f>+'Asset Classification'!Q49</f>
        <v>10858145</v>
      </c>
      <c r="AA49" s="669">
        <f>+'Asset Classification'!R49</f>
        <v>0</v>
      </c>
      <c r="AB49" s="666">
        <f>+'Asset Classification'!S49</f>
        <v>3409075</v>
      </c>
      <c r="AC49" s="656">
        <f t="shared" si="65"/>
        <v>5429072.5</v>
      </c>
      <c r="AD49" s="656">
        <f t="shared" si="66"/>
        <v>-2019997.5</v>
      </c>
      <c r="AE49" s="669">
        <f>+'Asset Classification'!T49</f>
        <v>0</v>
      </c>
      <c r="AF49" s="656">
        <f t="shared" si="67"/>
        <v>0</v>
      </c>
      <c r="AG49" s="656">
        <f t="shared" si="68"/>
        <v>0</v>
      </c>
      <c r="AH49" s="666">
        <f>+'Asset Classification'!U49</f>
        <v>3611453</v>
      </c>
      <c r="AI49" s="669">
        <f>+'Asset Classification'!V49</f>
        <v>0</v>
      </c>
      <c r="AJ49" s="666">
        <f>+'Asset Classification'!W49</f>
        <v>3611450</v>
      </c>
      <c r="AK49" s="656">
        <f t="shared" si="69"/>
        <v>3611453</v>
      </c>
      <c r="AL49" s="656">
        <f t="shared" si="70"/>
        <v>-3</v>
      </c>
      <c r="AM49" s="669">
        <f>+'Asset Classification'!X49</f>
        <v>0</v>
      </c>
      <c r="AN49" s="656">
        <f t="shared" si="71"/>
        <v>0</v>
      </c>
      <c r="AO49" s="656">
        <f t="shared" si="72"/>
        <v>0</v>
      </c>
      <c r="AP49" s="643">
        <f t="shared" si="73"/>
        <v>9413168</v>
      </c>
      <c r="AQ49" s="643">
        <f t="shared" si="73"/>
        <v>15768601.449999999</v>
      </c>
      <c r="AR49" s="643">
        <f t="shared" si="74"/>
        <v>-6355433.4499999993</v>
      </c>
      <c r="AS49" s="656">
        <f t="shared" si="75"/>
        <v>1345988</v>
      </c>
      <c r="AT49" s="656">
        <f t="shared" si="75"/>
        <v>1345987.5</v>
      </c>
      <c r="AU49" s="656">
        <f t="shared" si="76"/>
        <v>0.5</v>
      </c>
      <c r="AV49" s="657">
        <f>+'Aging Analysis'!C32</f>
        <v>2458542334</v>
      </c>
      <c r="AW49" s="658"/>
      <c r="AX49" s="658"/>
      <c r="AY49" s="658"/>
      <c r="AZ49" s="658"/>
      <c r="BA49" s="658"/>
      <c r="BB49" s="658"/>
      <c r="BC49" s="658"/>
    </row>
    <row r="50" spans="1:55" s="276" customFormat="1" ht="14.25" customHeight="1">
      <c r="A50" s="654"/>
      <c r="B50" s="664" t="s">
        <v>670</v>
      </c>
      <c r="C50" s="655">
        <f>+'Asset Classification'!C50</f>
        <v>0</v>
      </c>
      <c r="D50" s="668">
        <f>+'Asset Classification'!D50</f>
        <v>0</v>
      </c>
      <c r="E50" s="666">
        <f>+'Asset Classification'!E50</f>
        <v>0</v>
      </c>
      <c r="F50" s="669">
        <f>+'Asset Classification'!F50</f>
        <v>0</v>
      </c>
      <c r="G50" s="666">
        <f>+'Asset Classification'!G50</f>
        <v>0</v>
      </c>
      <c r="H50" s="656">
        <f t="shared" si="55"/>
        <v>0</v>
      </c>
      <c r="I50" s="656">
        <f t="shared" si="56"/>
        <v>0</v>
      </c>
      <c r="J50" s="666">
        <f>+'Asset Classification'!I50</f>
        <v>0</v>
      </c>
      <c r="K50" s="669">
        <f>+'Asset Classification'!J50</f>
        <v>0</v>
      </c>
      <c r="L50" s="666">
        <f>+'Asset Classification'!K50</f>
        <v>0</v>
      </c>
      <c r="M50" s="656">
        <f t="shared" si="57"/>
        <v>0</v>
      </c>
      <c r="N50" s="656">
        <f t="shared" si="58"/>
        <v>0</v>
      </c>
      <c r="O50" s="669">
        <f>+'Asset Classification'!L50</f>
        <v>0</v>
      </c>
      <c r="P50" s="656">
        <f t="shared" si="59"/>
        <v>0</v>
      </c>
      <c r="Q50" s="656">
        <f t="shared" si="60"/>
        <v>0</v>
      </c>
      <c r="R50" s="666">
        <f>+'Asset Classification'!M50</f>
        <v>0</v>
      </c>
      <c r="S50" s="669">
        <f>+'Asset Classification'!N50</f>
        <v>0</v>
      </c>
      <c r="T50" s="666">
        <f>+'Asset Classification'!O50</f>
        <v>0</v>
      </c>
      <c r="U50" s="656">
        <f t="shared" si="61"/>
        <v>0</v>
      </c>
      <c r="V50" s="656">
        <f t="shared" si="62"/>
        <v>0</v>
      </c>
      <c r="W50" s="669">
        <f>+'Asset Classification'!P50</f>
        <v>0</v>
      </c>
      <c r="X50" s="656">
        <f t="shared" si="63"/>
        <v>0</v>
      </c>
      <c r="Y50" s="656">
        <f t="shared" si="64"/>
        <v>0</v>
      </c>
      <c r="Z50" s="666">
        <f>+'Asset Classification'!Q50</f>
        <v>0</v>
      </c>
      <c r="AA50" s="669">
        <f>+'Asset Classification'!R50</f>
        <v>0</v>
      </c>
      <c r="AB50" s="666">
        <f>+'Asset Classification'!S50</f>
        <v>0</v>
      </c>
      <c r="AC50" s="656">
        <f t="shared" si="65"/>
        <v>0</v>
      </c>
      <c r="AD50" s="656">
        <f t="shared" si="66"/>
        <v>0</v>
      </c>
      <c r="AE50" s="669">
        <f>+'Asset Classification'!T50</f>
        <v>0</v>
      </c>
      <c r="AF50" s="656">
        <f t="shared" si="67"/>
        <v>0</v>
      </c>
      <c r="AG50" s="656">
        <f t="shared" si="68"/>
        <v>0</v>
      </c>
      <c r="AH50" s="666">
        <f>+'Asset Classification'!U50</f>
        <v>0</v>
      </c>
      <c r="AI50" s="669">
        <f>+'Asset Classification'!V50</f>
        <v>0</v>
      </c>
      <c r="AJ50" s="666">
        <f>+'Asset Classification'!W50</f>
        <v>0</v>
      </c>
      <c r="AK50" s="656">
        <f t="shared" si="69"/>
        <v>0</v>
      </c>
      <c r="AL50" s="656">
        <f t="shared" si="70"/>
        <v>0</v>
      </c>
      <c r="AM50" s="669">
        <f>+'Asset Classification'!X50</f>
        <v>0</v>
      </c>
      <c r="AN50" s="656">
        <f t="shared" si="71"/>
        <v>0</v>
      </c>
      <c r="AO50" s="656">
        <f t="shared" si="72"/>
        <v>0</v>
      </c>
      <c r="AP50" s="643">
        <f t="shared" si="73"/>
        <v>0</v>
      </c>
      <c r="AQ50" s="643">
        <f t="shared" si="73"/>
        <v>0</v>
      </c>
      <c r="AR50" s="643">
        <f t="shared" si="74"/>
        <v>0</v>
      </c>
      <c r="AS50" s="656">
        <f t="shared" si="75"/>
        <v>0</v>
      </c>
      <c r="AT50" s="656">
        <f t="shared" si="75"/>
        <v>0</v>
      </c>
      <c r="AU50" s="656">
        <f t="shared" si="76"/>
        <v>0</v>
      </c>
      <c r="AV50" s="658"/>
      <c r="AW50" s="658"/>
      <c r="AX50" s="658"/>
      <c r="AY50" s="658"/>
      <c r="AZ50" s="658"/>
      <c r="BA50" s="658"/>
      <c r="BB50" s="658"/>
      <c r="BC50" s="658"/>
    </row>
    <row r="51" spans="1:55" s="276" customFormat="1" ht="23.25" customHeight="1">
      <c r="A51" s="654">
        <v>22</v>
      </c>
      <c r="B51" s="431" t="s">
        <v>401</v>
      </c>
      <c r="C51" s="655">
        <f>+'Asset Classification'!C51</f>
        <v>2396481791</v>
      </c>
      <c r="D51" s="668">
        <f>+'Asset Classification'!D51</f>
        <v>0</v>
      </c>
      <c r="E51" s="666">
        <f>+'Asset Classification'!E51</f>
        <v>2336461440</v>
      </c>
      <c r="F51" s="669">
        <f>+'Asset Classification'!F51</f>
        <v>0</v>
      </c>
      <c r="G51" s="666">
        <f>+'Asset Classification'!G51</f>
        <v>12697556</v>
      </c>
      <c r="H51" s="656">
        <f t="shared" si="55"/>
        <v>23364614.400000002</v>
      </c>
      <c r="I51" s="656">
        <f t="shared" si="56"/>
        <v>-10667058.400000002</v>
      </c>
      <c r="J51" s="666">
        <f>+'Asset Classification'!I51</f>
        <v>20225474</v>
      </c>
      <c r="K51" s="669">
        <f>+'Asset Classification'!J51</f>
        <v>0</v>
      </c>
      <c r="L51" s="666">
        <f>+'Asset Classification'!K51</f>
        <v>2382390</v>
      </c>
      <c r="M51" s="656">
        <f t="shared" si="57"/>
        <v>2022547.4000000001</v>
      </c>
      <c r="N51" s="656">
        <f t="shared" si="58"/>
        <v>359842.59999999986</v>
      </c>
      <c r="O51" s="669">
        <f>+'Asset Classification'!L51</f>
        <v>0</v>
      </c>
      <c r="P51" s="656">
        <f t="shared" si="59"/>
        <v>0</v>
      </c>
      <c r="Q51" s="656">
        <f t="shared" si="60"/>
        <v>0</v>
      </c>
      <c r="R51" s="666">
        <f>+'Asset Classification'!M51</f>
        <v>12736796</v>
      </c>
      <c r="S51" s="669">
        <f>+'Asset Classification'!N51</f>
        <v>0</v>
      </c>
      <c r="T51" s="666">
        <f>+'Asset Classification'!O51</f>
        <v>2978649</v>
      </c>
      <c r="U51" s="656">
        <f t="shared" si="61"/>
        <v>3184199</v>
      </c>
      <c r="V51" s="656">
        <f t="shared" si="62"/>
        <v>-205550</v>
      </c>
      <c r="W51" s="669">
        <f>+'Asset Classification'!P51</f>
        <v>0</v>
      </c>
      <c r="X51" s="656">
        <f t="shared" si="63"/>
        <v>0</v>
      </c>
      <c r="Y51" s="656">
        <f t="shared" si="64"/>
        <v>0</v>
      </c>
      <c r="Z51" s="666">
        <f>+'Asset Classification'!Q51</f>
        <v>15789714</v>
      </c>
      <c r="AA51" s="669">
        <f>+'Asset Classification'!R51</f>
        <v>0</v>
      </c>
      <c r="AB51" s="666">
        <f>+'Asset Classification'!S51</f>
        <v>7968526</v>
      </c>
      <c r="AC51" s="656">
        <f t="shared" si="65"/>
        <v>7894857</v>
      </c>
      <c r="AD51" s="656">
        <f t="shared" si="66"/>
        <v>73669</v>
      </c>
      <c r="AE51" s="669">
        <f>+'Asset Classification'!T51</f>
        <v>0</v>
      </c>
      <c r="AF51" s="656">
        <f t="shared" si="67"/>
        <v>0</v>
      </c>
      <c r="AG51" s="656">
        <f t="shared" si="68"/>
        <v>0</v>
      </c>
      <c r="AH51" s="666">
        <f>+'Asset Classification'!U51</f>
        <v>11268367</v>
      </c>
      <c r="AI51" s="669">
        <f>+'Asset Classification'!V51</f>
        <v>0</v>
      </c>
      <c r="AJ51" s="666">
        <f>+'Asset Classification'!W51</f>
        <v>11229639</v>
      </c>
      <c r="AK51" s="656">
        <f t="shared" si="69"/>
        <v>11268367</v>
      </c>
      <c r="AL51" s="656">
        <f t="shared" si="70"/>
        <v>-38728</v>
      </c>
      <c r="AM51" s="669">
        <f>+'Asset Classification'!X51</f>
        <v>0</v>
      </c>
      <c r="AN51" s="656">
        <f t="shared" si="71"/>
        <v>0</v>
      </c>
      <c r="AO51" s="656">
        <f t="shared" si="72"/>
        <v>0</v>
      </c>
      <c r="AP51" s="643">
        <f t="shared" si="73"/>
        <v>24559204</v>
      </c>
      <c r="AQ51" s="643">
        <f t="shared" si="73"/>
        <v>24369970.399999999</v>
      </c>
      <c r="AR51" s="643">
        <f t="shared" si="74"/>
        <v>189233.60000000149</v>
      </c>
      <c r="AS51" s="656">
        <f t="shared" si="75"/>
        <v>0</v>
      </c>
      <c r="AT51" s="656">
        <f t="shared" si="75"/>
        <v>0</v>
      </c>
      <c r="AU51" s="656">
        <f t="shared" si="76"/>
        <v>0</v>
      </c>
      <c r="AV51" s="657">
        <f>+'Aging Analysis'!C33</f>
        <v>2396481791</v>
      </c>
      <c r="AW51" s="658"/>
      <c r="AX51" s="658"/>
      <c r="AY51" s="658"/>
      <c r="AZ51" s="658"/>
      <c r="BA51" s="658"/>
      <c r="BB51" s="658"/>
      <c r="BC51" s="658"/>
    </row>
    <row r="52" spans="1:55" s="276" customFormat="1" ht="14.25" customHeight="1">
      <c r="A52" s="654"/>
      <c r="B52" s="664" t="s">
        <v>670</v>
      </c>
      <c r="C52" s="655">
        <f>+'Asset Classification'!C52</f>
        <v>0</v>
      </c>
      <c r="D52" s="668">
        <f>+'Asset Classification'!D52</f>
        <v>0</v>
      </c>
      <c r="E52" s="665">
        <f>+'Asset Classification'!E52</f>
        <v>0</v>
      </c>
      <c r="F52" s="668">
        <f>+'Asset Classification'!F52</f>
        <v>0</v>
      </c>
      <c r="G52" s="665">
        <f>+'Asset Classification'!G52</f>
        <v>0</v>
      </c>
      <c r="H52" s="656">
        <f t="shared" si="55"/>
        <v>0</v>
      </c>
      <c r="I52" s="656">
        <f t="shared" si="56"/>
        <v>0</v>
      </c>
      <c r="J52" s="665">
        <f>+'Asset Classification'!I52</f>
        <v>0</v>
      </c>
      <c r="K52" s="668">
        <f>+'Asset Classification'!J52</f>
        <v>0</v>
      </c>
      <c r="L52" s="665">
        <f>+'Asset Classification'!K52</f>
        <v>0</v>
      </c>
      <c r="M52" s="656">
        <f t="shared" si="57"/>
        <v>0</v>
      </c>
      <c r="N52" s="656">
        <f t="shared" si="58"/>
        <v>0</v>
      </c>
      <c r="O52" s="668">
        <f>+'Asset Classification'!L52</f>
        <v>0</v>
      </c>
      <c r="P52" s="656">
        <f t="shared" si="59"/>
        <v>0</v>
      </c>
      <c r="Q52" s="656">
        <f t="shared" si="60"/>
        <v>0</v>
      </c>
      <c r="R52" s="665">
        <f>+'Asset Classification'!M52</f>
        <v>0</v>
      </c>
      <c r="S52" s="668">
        <f>+'Asset Classification'!N52</f>
        <v>0</v>
      </c>
      <c r="T52" s="665">
        <f>+'Asset Classification'!O52</f>
        <v>0</v>
      </c>
      <c r="U52" s="656">
        <f t="shared" si="61"/>
        <v>0</v>
      </c>
      <c r="V52" s="656">
        <f t="shared" si="62"/>
        <v>0</v>
      </c>
      <c r="W52" s="668">
        <f>+'Asset Classification'!P52</f>
        <v>0</v>
      </c>
      <c r="X52" s="656">
        <f t="shared" si="63"/>
        <v>0</v>
      </c>
      <c r="Y52" s="656">
        <f t="shared" si="64"/>
        <v>0</v>
      </c>
      <c r="Z52" s="665">
        <f>+'Asset Classification'!Q52</f>
        <v>0</v>
      </c>
      <c r="AA52" s="668">
        <f>+'Asset Classification'!R52</f>
        <v>0</v>
      </c>
      <c r="AB52" s="665">
        <f>+'Asset Classification'!S52</f>
        <v>0</v>
      </c>
      <c r="AC52" s="656">
        <f t="shared" si="65"/>
        <v>0</v>
      </c>
      <c r="AD52" s="656">
        <f t="shared" si="66"/>
        <v>0</v>
      </c>
      <c r="AE52" s="668">
        <f>+'Asset Classification'!T52</f>
        <v>0</v>
      </c>
      <c r="AF52" s="656">
        <f t="shared" si="67"/>
        <v>0</v>
      </c>
      <c r="AG52" s="656">
        <f t="shared" si="68"/>
        <v>0</v>
      </c>
      <c r="AH52" s="665">
        <f>+'Asset Classification'!U52</f>
        <v>0</v>
      </c>
      <c r="AI52" s="668">
        <f>+'Asset Classification'!V52</f>
        <v>0</v>
      </c>
      <c r="AJ52" s="665">
        <f>+'Asset Classification'!W52</f>
        <v>0</v>
      </c>
      <c r="AK52" s="656">
        <f t="shared" si="69"/>
        <v>0</v>
      </c>
      <c r="AL52" s="656">
        <f t="shared" si="70"/>
        <v>0</v>
      </c>
      <c r="AM52" s="668">
        <f>+'Asset Classification'!X52</f>
        <v>0</v>
      </c>
      <c r="AN52" s="656">
        <f t="shared" si="71"/>
        <v>0</v>
      </c>
      <c r="AO52" s="656">
        <f t="shared" si="72"/>
        <v>0</v>
      </c>
      <c r="AP52" s="643">
        <f t="shared" si="73"/>
        <v>0</v>
      </c>
      <c r="AQ52" s="643">
        <f t="shared" si="73"/>
        <v>0</v>
      </c>
      <c r="AR52" s="643">
        <f t="shared" si="74"/>
        <v>0</v>
      </c>
      <c r="AS52" s="656">
        <f t="shared" si="75"/>
        <v>0</v>
      </c>
      <c r="AT52" s="656">
        <f t="shared" si="75"/>
        <v>0</v>
      </c>
      <c r="AU52" s="656">
        <f t="shared" si="76"/>
        <v>0</v>
      </c>
      <c r="AV52" s="658"/>
      <c r="AW52" s="658"/>
      <c r="AX52" s="658"/>
      <c r="AY52" s="658"/>
      <c r="AZ52" s="658"/>
      <c r="BA52" s="658"/>
      <c r="BB52" s="658"/>
      <c r="BC52" s="658"/>
    </row>
    <row r="53" spans="1:55" s="653" customFormat="1" ht="28.5" customHeight="1">
      <c r="A53" s="626">
        <v>23</v>
      </c>
      <c r="B53" s="626" t="s">
        <v>678</v>
      </c>
      <c r="C53" s="644">
        <f>+'Asset Classification'!C53</f>
        <v>9161876946</v>
      </c>
      <c r="D53" s="644">
        <f>+'Asset Classification'!D53</f>
        <v>3519840906</v>
      </c>
      <c r="E53" s="644">
        <f>+'Asset Classification'!E53</f>
        <v>8874674380</v>
      </c>
      <c r="F53" s="644">
        <f>+'Asset Classification'!F53</f>
        <v>3464058179</v>
      </c>
      <c r="G53" s="644">
        <f>+'Asset Classification'!G53</f>
        <v>69994518</v>
      </c>
      <c r="H53" s="644">
        <f t="shared" ref="H53:I53" si="77">+H35+H37+H39+H41+H43+H45+H47+H49+H51</f>
        <v>88746743.800000012</v>
      </c>
      <c r="I53" s="644">
        <f t="shared" si="77"/>
        <v>-18752225.800000004</v>
      </c>
      <c r="J53" s="644">
        <f>+'Asset Classification'!I53</f>
        <v>101350120</v>
      </c>
      <c r="K53" s="644">
        <f>+'Asset Classification'!J53</f>
        <v>10347115</v>
      </c>
      <c r="L53" s="644">
        <f>+'Asset Classification'!K53</f>
        <v>11224998</v>
      </c>
      <c r="M53" s="644">
        <f t="shared" ref="M53:N53" si="78">+M35+M37+M39+M41+M43+M45+M47+M49+M51</f>
        <v>10135012</v>
      </c>
      <c r="N53" s="644">
        <f t="shared" si="78"/>
        <v>1089985.9999999991</v>
      </c>
      <c r="O53" s="644">
        <f>+'Asset Classification'!L53</f>
        <v>2672938</v>
      </c>
      <c r="P53" s="644">
        <f t="shared" ref="P53:Q53" si="79">+P35+P37+P39+P41+P43+P45+P47+P49+P51</f>
        <v>1034711.5000000001</v>
      </c>
      <c r="Q53" s="644">
        <f t="shared" si="79"/>
        <v>1638226.4999999998</v>
      </c>
      <c r="R53" s="644">
        <f>+'Asset Classification'!M53</f>
        <v>69693118</v>
      </c>
      <c r="S53" s="644">
        <f>+'Asset Classification'!N53</f>
        <v>17976299</v>
      </c>
      <c r="T53" s="644">
        <f>+'Asset Classification'!O53</f>
        <v>9975700</v>
      </c>
      <c r="U53" s="644">
        <f t="shared" ref="U53:V53" si="80">+U35+U37+U39+U41+U43+U45+U47+U49+U51</f>
        <v>17423279.5</v>
      </c>
      <c r="V53" s="644">
        <f t="shared" si="80"/>
        <v>-7447579.5</v>
      </c>
      <c r="W53" s="644">
        <f>+'Asset Classification'!P53</f>
        <v>1942842</v>
      </c>
      <c r="X53" s="644">
        <f t="shared" ref="X53:Y53" si="81">+X35+X37+X39+X41+X43+X45+X47+X49+X51</f>
        <v>4494074.75</v>
      </c>
      <c r="Y53" s="644">
        <f t="shared" si="81"/>
        <v>-2551232.75</v>
      </c>
      <c r="Z53" s="644">
        <f>+'Asset Classification'!Q53</f>
        <v>80293320</v>
      </c>
      <c r="AA53" s="644">
        <f>+'Asset Classification'!R53</f>
        <v>25674905</v>
      </c>
      <c r="AB53" s="644">
        <f>+'Asset Classification'!S53</f>
        <v>17020649</v>
      </c>
      <c r="AC53" s="644">
        <f t="shared" ref="AC53:AG53" si="82">+AC35+AC37+AC39+AC41+AC43+AC45+AC47+AC49+AC51</f>
        <v>40146660</v>
      </c>
      <c r="AD53" s="644">
        <f t="shared" si="82"/>
        <v>-23126011</v>
      </c>
      <c r="AE53" s="644">
        <f>+'Asset Classification'!T53</f>
        <v>1844064</v>
      </c>
      <c r="AF53" s="644">
        <f t="shared" si="82"/>
        <v>12837452.5</v>
      </c>
      <c r="AG53" s="644">
        <f t="shared" si="82"/>
        <v>-10993388.5</v>
      </c>
      <c r="AH53" s="644">
        <f>+'Asset Classification'!U53</f>
        <v>35866008</v>
      </c>
      <c r="AI53" s="644">
        <f>+'Asset Classification'!V53</f>
        <v>1784408</v>
      </c>
      <c r="AJ53" s="644">
        <f>+'Asset Classification'!W53</f>
        <v>18691475</v>
      </c>
      <c r="AK53" s="644">
        <f t="shared" ref="AK53:AL53" si="83">+AK35+AK37+AK39+AK41+AK43+AK45+AK47+AK49+AK51</f>
        <v>35866008</v>
      </c>
      <c r="AL53" s="644">
        <f t="shared" si="83"/>
        <v>-17174533</v>
      </c>
      <c r="AM53" s="644">
        <f>+'Asset Classification'!X53</f>
        <v>18596</v>
      </c>
      <c r="AN53" s="644">
        <f t="shared" ref="AN53:AU53" si="84">+AN35+AN37+AN39+AN41+AN43+AN45+AN47+AN49+AN51</f>
        <v>1784408</v>
      </c>
      <c r="AO53" s="644">
        <f t="shared" si="84"/>
        <v>-1765812</v>
      </c>
      <c r="AP53" s="644">
        <f t="shared" si="84"/>
        <v>56912822</v>
      </c>
      <c r="AQ53" s="644">
        <f t="shared" si="84"/>
        <v>103570959.5</v>
      </c>
      <c r="AR53" s="644">
        <f t="shared" si="84"/>
        <v>-46658137.499999993</v>
      </c>
      <c r="AS53" s="644">
        <f t="shared" si="84"/>
        <v>6478440</v>
      </c>
      <c r="AT53" s="644">
        <f t="shared" si="84"/>
        <v>20150646.75</v>
      </c>
      <c r="AU53" s="644">
        <f t="shared" si="84"/>
        <v>-13672206.75</v>
      </c>
      <c r="AV53" s="663">
        <f>+'Aging Analysis'!C35</f>
        <v>9161876946</v>
      </c>
    </row>
    <row r="54" spans="1:55" s="276" customFormat="1" ht="23.25" customHeight="1">
      <c r="A54" s="654"/>
      <c r="B54" s="664" t="s">
        <v>670</v>
      </c>
      <c r="C54" s="655">
        <f>+'Asset Classification'!C54</f>
        <v>0</v>
      </c>
      <c r="D54" s="668">
        <f>+'Asset Classification'!D54</f>
        <v>0</v>
      </c>
      <c r="E54" s="665">
        <f>+'Asset Classification'!E54</f>
        <v>0</v>
      </c>
      <c r="F54" s="668">
        <f>+'Asset Classification'!F54</f>
        <v>0</v>
      </c>
      <c r="G54" s="665">
        <f>+'Asset Classification'!G54</f>
        <v>0</v>
      </c>
      <c r="H54" s="656">
        <f t="shared" ref="H54" si="85">+E54*1%</f>
        <v>0</v>
      </c>
      <c r="I54" s="656">
        <f t="shared" ref="I54" si="86">+G54-H54</f>
        <v>0</v>
      </c>
      <c r="J54" s="665">
        <f>+'Asset Classification'!I54</f>
        <v>0</v>
      </c>
      <c r="K54" s="668">
        <f>+'Asset Classification'!J54</f>
        <v>0</v>
      </c>
      <c r="L54" s="665">
        <f>+'Asset Classification'!K54</f>
        <v>0</v>
      </c>
      <c r="M54" s="656">
        <f t="shared" ref="M54" si="87">+J54*10%</f>
        <v>0</v>
      </c>
      <c r="N54" s="656">
        <f t="shared" ref="N54" si="88">+L54-M54</f>
        <v>0</v>
      </c>
      <c r="O54" s="668">
        <f>+'Asset Classification'!L54</f>
        <v>0</v>
      </c>
      <c r="P54" s="656">
        <f t="shared" ref="P54" si="89">+K54*10%</f>
        <v>0</v>
      </c>
      <c r="Q54" s="656">
        <f t="shared" ref="Q54" si="90">+O54-P54</f>
        <v>0</v>
      </c>
      <c r="R54" s="665">
        <f>+'Asset Classification'!M54</f>
        <v>0</v>
      </c>
      <c r="S54" s="668">
        <f>+'Asset Classification'!N54</f>
        <v>0</v>
      </c>
      <c r="T54" s="665">
        <f>+'Asset Classification'!O54</f>
        <v>0</v>
      </c>
      <c r="U54" s="656">
        <f t="shared" ref="U54" si="91">+R54*25%</f>
        <v>0</v>
      </c>
      <c r="V54" s="656">
        <f t="shared" ref="V54" si="92">+T54-U54</f>
        <v>0</v>
      </c>
      <c r="W54" s="668">
        <f>+'Asset Classification'!P54</f>
        <v>0</v>
      </c>
      <c r="X54" s="656">
        <f t="shared" ref="X54" si="93">+S54*25%</f>
        <v>0</v>
      </c>
      <c r="Y54" s="656">
        <f t="shared" ref="Y54" si="94">+W54-X54</f>
        <v>0</v>
      </c>
      <c r="Z54" s="665">
        <f>+'Asset Classification'!Q54</f>
        <v>0</v>
      </c>
      <c r="AA54" s="668">
        <f>+'Asset Classification'!R54</f>
        <v>0</v>
      </c>
      <c r="AB54" s="665">
        <f>+'Asset Classification'!S54</f>
        <v>0</v>
      </c>
      <c r="AC54" s="656">
        <f t="shared" ref="AC54" si="95">+Z54*50%</f>
        <v>0</v>
      </c>
      <c r="AD54" s="656">
        <f t="shared" ref="AD54" si="96">+AB54-AC54</f>
        <v>0</v>
      </c>
      <c r="AE54" s="668">
        <f>+'Asset Classification'!T54</f>
        <v>0</v>
      </c>
      <c r="AF54" s="656">
        <f t="shared" ref="AF54" si="97">+AA54*50%</f>
        <v>0</v>
      </c>
      <c r="AG54" s="656">
        <f t="shared" ref="AG54" si="98">+AE54-AF54</f>
        <v>0</v>
      </c>
      <c r="AH54" s="665">
        <f>+'Asset Classification'!U54</f>
        <v>0</v>
      </c>
      <c r="AI54" s="668">
        <f>+'Asset Classification'!V54</f>
        <v>0</v>
      </c>
      <c r="AJ54" s="665">
        <f>+'Asset Classification'!W54</f>
        <v>0</v>
      </c>
      <c r="AK54" s="656">
        <f t="shared" ref="AK54" si="99">+AH54*100%</f>
        <v>0</v>
      </c>
      <c r="AL54" s="656">
        <f t="shared" ref="AL54" si="100">+AJ54-AK54</f>
        <v>0</v>
      </c>
      <c r="AM54" s="668">
        <f>+'Asset Classification'!X54</f>
        <v>0</v>
      </c>
      <c r="AN54" s="656">
        <f t="shared" ref="AN54" si="101">+AI54*100%</f>
        <v>0</v>
      </c>
      <c r="AO54" s="656">
        <f t="shared" ref="AO54" si="102">+AM54-AN54</f>
        <v>0</v>
      </c>
      <c r="AP54" s="643">
        <f t="shared" ref="AP54" si="103">+L54+T54+AB54+AJ54</f>
        <v>0</v>
      </c>
      <c r="AQ54" s="643">
        <f t="shared" ref="AQ54" si="104">+M54+U54+AC54+AK54</f>
        <v>0</v>
      </c>
      <c r="AR54" s="643">
        <f t="shared" ref="AR54" si="105">+AP54-AQ54</f>
        <v>0</v>
      </c>
      <c r="AS54" s="656">
        <f t="shared" ref="AS54" si="106">+O54+W54+AE54+AM54</f>
        <v>0</v>
      </c>
      <c r="AT54" s="656">
        <f t="shared" ref="AT54" si="107">+P54+X54+AF54+AN54</f>
        <v>0</v>
      </c>
      <c r="AU54" s="656">
        <f t="shared" ref="AU54" si="108">+AS54-AT54</f>
        <v>0</v>
      </c>
      <c r="AV54" s="658"/>
      <c r="AW54" s="658"/>
      <c r="AX54" s="658"/>
      <c r="AY54" s="658"/>
      <c r="AZ54" s="658"/>
      <c r="BA54" s="658"/>
      <c r="BB54" s="658"/>
      <c r="BC54" s="658"/>
    </row>
    <row r="55" spans="1:55" s="653" customFormat="1" ht="27.75" customHeight="1">
      <c r="A55" s="626"/>
      <c r="B55" s="626" t="s">
        <v>680</v>
      </c>
      <c r="C55" s="644"/>
      <c r="D55" s="644"/>
      <c r="E55" s="644"/>
      <c r="F55" s="644"/>
      <c r="G55" s="644"/>
      <c r="H55" s="644"/>
      <c r="I55" s="644"/>
      <c r="J55" s="644"/>
      <c r="K55" s="644"/>
      <c r="L55" s="644"/>
      <c r="M55" s="644"/>
      <c r="N55" s="644"/>
      <c r="O55" s="644"/>
      <c r="P55" s="644"/>
      <c r="Q55" s="644"/>
      <c r="R55" s="644"/>
      <c r="S55" s="644"/>
      <c r="T55" s="644"/>
      <c r="U55" s="644"/>
      <c r="V55" s="644"/>
      <c r="W55" s="644"/>
      <c r="X55" s="644"/>
      <c r="Y55" s="644"/>
      <c r="Z55" s="644"/>
      <c r="AA55" s="644"/>
      <c r="AB55" s="644"/>
      <c r="AC55" s="644"/>
      <c r="AD55" s="644"/>
      <c r="AE55" s="644"/>
      <c r="AF55" s="644"/>
      <c r="AG55" s="644"/>
      <c r="AH55" s="644"/>
      <c r="AI55" s="644"/>
      <c r="AJ55" s="644"/>
      <c r="AK55" s="644"/>
      <c r="AL55" s="644"/>
      <c r="AM55" s="644"/>
      <c r="AN55" s="644"/>
      <c r="AO55" s="644"/>
      <c r="AP55" s="644"/>
      <c r="AQ55" s="644"/>
      <c r="AR55" s="644"/>
      <c r="AS55" s="644"/>
      <c r="AT55" s="644"/>
      <c r="AU55" s="644"/>
    </row>
    <row r="56" spans="1:55" s="276" customFormat="1" ht="7.5" customHeight="1">
      <c r="A56" s="305"/>
      <c r="B56" s="305"/>
      <c r="C56" s="666"/>
      <c r="D56" s="667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  <c r="AH56" s="666"/>
      <c r="AI56" s="666"/>
      <c r="AJ56" s="666"/>
      <c r="AK56" s="666"/>
      <c r="AL56" s="666"/>
      <c r="AM56" s="666"/>
      <c r="AN56" s="666"/>
      <c r="AO56" s="666"/>
      <c r="AP56" s="666"/>
      <c r="AQ56" s="666"/>
      <c r="AR56" s="666"/>
      <c r="AS56" s="666"/>
      <c r="AT56" s="666"/>
      <c r="AU56" s="666"/>
      <c r="AV56" s="658"/>
      <c r="AW56" s="658"/>
      <c r="AX56" s="658"/>
      <c r="AY56" s="658"/>
      <c r="AZ56" s="658"/>
      <c r="BA56" s="658"/>
      <c r="BB56" s="658"/>
      <c r="BC56" s="658"/>
    </row>
    <row r="57" spans="1:55" s="231" customFormat="1" ht="21.75" customHeight="1">
      <c r="A57" s="654">
        <v>24</v>
      </c>
      <c r="B57" s="431" t="s">
        <v>681</v>
      </c>
      <c r="C57" s="655">
        <f>+'Asset Classification'!C57</f>
        <v>272678155</v>
      </c>
      <c r="D57" s="656">
        <f>+'Asset Classification'!D57</f>
        <v>24685321</v>
      </c>
      <c r="E57" s="661">
        <f>+'Asset Classification'!E57</f>
        <v>258292651</v>
      </c>
      <c r="F57" s="662">
        <f>+'Asset Classification'!F57</f>
        <v>24685321</v>
      </c>
      <c r="G57" s="661">
        <f>+'Asset Classification'!G57</f>
        <v>1930477</v>
      </c>
      <c r="H57" s="656">
        <f t="shared" ref="H57:H70" si="109">+E57*1%</f>
        <v>2582926.5100000002</v>
      </c>
      <c r="I57" s="656">
        <f t="shared" ref="I57:I70" si="110">+G57-H57</f>
        <v>-652449.51000000024</v>
      </c>
      <c r="J57" s="661">
        <f>+'Asset Classification'!I57</f>
        <v>3165601</v>
      </c>
      <c r="K57" s="662">
        <f>+'Asset Classification'!J57</f>
        <v>0</v>
      </c>
      <c r="L57" s="661">
        <f>+'Asset Classification'!K57</f>
        <v>333349</v>
      </c>
      <c r="M57" s="656">
        <f t="shared" ref="M57:M70" si="111">+J57*10%</f>
        <v>316560.10000000003</v>
      </c>
      <c r="N57" s="656">
        <f t="shared" ref="N57:N70" si="112">+L57-M57</f>
        <v>16788.899999999965</v>
      </c>
      <c r="O57" s="662">
        <f>+'Asset Classification'!L57</f>
        <v>0</v>
      </c>
      <c r="P57" s="656">
        <f t="shared" ref="P57:P70" si="113">+K57*10%</f>
        <v>0</v>
      </c>
      <c r="Q57" s="656">
        <f t="shared" ref="Q57:Q70" si="114">+O57-P57</f>
        <v>0</v>
      </c>
      <c r="R57" s="661">
        <f>+'Asset Classification'!M57</f>
        <v>1801916</v>
      </c>
      <c r="S57" s="662">
        <f>+'Asset Classification'!N57</f>
        <v>0</v>
      </c>
      <c r="T57" s="661">
        <f>+'Asset Classification'!O57</f>
        <v>436148</v>
      </c>
      <c r="U57" s="656">
        <f t="shared" ref="U57:U70" si="115">+R57*25%</f>
        <v>450479</v>
      </c>
      <c r="V57" s="656">
        <f t="shared" ref="V57:V70" si="116">+T57-U57</f>
        <v>-14331</v>
      </c>
      <c r="W57" s="662">
        <f>+'Asset Classification'!P57</f>
        <v>0</v>
      </c>
      <c r="X57" s="656">
        <f t="shared" ref="X57:X70" si="117">+S57*25%</f>
        <v>0</v>
      </c>
      <c r="Y57" s="656">
        <f t="shared" ref="Y57:Y70" si="118">+W57-X57</f>
        <v>0</v>
      </c>
      <c r="Z57" s="661">
        <f>+'Asset Classification'!Q57</f>
        <v>1675998</v>
      </c>
      <c r="AA57" s="662">
        <f>+'Asset Classification'!R57</f>
        <v>0</v>
      </c>
      <c r="AB57" s="661">
        <f>+'Asset Classification'!S57</f>
        <v>891027</v>
      </c>
      <c r="AC57" s="656">
        <f t="shared" ref="AC57:AC70" si="119">+Z57*50%</f>
        <v>837999</v>
      </c>
      <c r="AD57" s="656">
        <f t="shared" ref="AD57:AD70" si="120">+AB57-AC57</f>
        <v>53028</v>
      </c>
      <c r="AE57" s="662">
        <f>+'Asset Classification'!T57</f>
        <v>0</v>
      </c>
      <c r="AF57" s="656">
        <f t="shared" ref="AF57:AF70" si="121">+AA57*50%</f>
        <v>0</v>
      </c>
      <c r="AG57" s="656">
        <f t="shared" ref="AG57:AG70" si="122">+AE57-AF57</f>
        <v>0</v>
      </c>
      <c r="AH57" s="661">
        <f>+'Asset Classification'!U57</f>
        <v>7741989</v>
      </c>
      <c r="AI57" s="662">
        <f>+'Asset Classification'!V57</f>
        <v>0</v>
      </c>
      <c r="AJ57" s="661">
        <f>+'Asset Classification'!W57</f>
        <v>2472869</v>
      </c>
      <c r="AK57" s="656">
        <f t="shared" ref="AK57:AK70" si="123">+AH57*100%</f>
        <v>7741989</v>
      </c>
      <c r="AL57" s="656">
        <f t="shared" ref="AL57:AL70" si="124">+AJ57-AK57</f>
        <v>-5269120</v>
      </c>
      <c r="AM57" s="662">
        <f>+'Asset Classification'!X57</f>
        <v>0</v>
      </c>
      <c r="AN57" s="656">
        <f t="shared" ref="AN57:AN70" si="125">+AI57*100%</f>
        <v>0</v>
      </c>
      <c r="AO57" s="656">
        <f t="shared" ref="AO57:AO70" si="126">+AM57-AN57</f>
        <v>0</v>
      </c>
      <c r="AP57" s="643">
        <f t="shared" ref="AP57:AQ70" si="127">+L57+T57+AB57+AJ57</f>
        <v>4133393</v>
      </c>
      <c r="AQ57" s="643">
        <f t="shared" si="127"/>
        <v>9347027.0999999996</v>
      </c>
      <c r="AR57" s="643">
        <f t="shared" ref="AR57:AR70" si="128">+AP57-AQ57</f>
        <v>-5213634.0999999996</v>
      </c>
      <c r="AS57" s="656">
        <f t="shared" ref="AS57:AT70" si="129">+O57+W57+AE57+AM57</f>
        <v>0</v>
      </c>
      <c r="AT57" s="656">
        <f t="shared" si="129"/>
        <v>0</v>
      </c>
      <c r="AU57" s="656">
        <f t="shared" ref="AU57:AU70" si="130">+AS57-AT57</f>
        <v>0</v>
      </c>
      <c r="AV57" s="670"/>
      <c r="AW57" s="670"/>
      <c r="AX57" s="670"/>
      <c r="AY57" s="670"/>
      <c r="AZ57" s="670"/>
      <c r="BA57" s="670"/>
      <c r="BB57" s="670"/>
      <c r="BC57" s="670"/>
    </row>
    <row r="58" spans="1:55" s="231" customFormat="1" ht="21.75" customHeight="1">
      <c r="A58" s="654">
        <v>25</v>
      </c>
      <c r="B58" s="431" t="s">
        <v>682</v>
      </c>
      <c r="C58" s="655">
        <f>+'Asset Classification'!C58</f>
        <v>641474437</v>
      </c>
      <c r="D58" s="656">
        <f>+'Asset Classification'!D58</f>
        <v>453036332</v>
      </c>
      <c r="E58" s="661">
        <f>+'Asset Classification'!E58</f>
        <v>600856557</v>
      </c>
      <c r="F58" s="662">
        <f>+'Asset Classification'!F58</f>
        <v>431049556</v>
      </c>
      <c r="G58" s="661">
        <f>+'Asset Classification'!G58</f>
        <v>4232210</v>
      </c>
      <c r="H58" s="656">
        <f t="shared" si="109"/>
        <v>6008565.5700000003</v>
      </c>
      <c r="I58" s="656">
        <f t="shared" si="110"/>
        <v>-1776355.5700000003</v>
      </c>
      <c r="J58" s="661">
        <f>+'Asset Classification'!I58</f>
        <v>2340467</v>
      </c>
      <c r="K58" s="662">
        <f>+'Asset Classification'!J58</f>
        <v>0</v>
      </c>
      <c r="L58" s="661">
        <f>+'Asset Classification'!K58</f>
        <v>279911</v>
      </c>
      <c r="M58" s="656">
        <f t="shared" si="111"/>
        <v>234046.7</v>
      </c>
      <c r="N58" s="656">
        <f t="shared" si="112"/>
        <v>45864.299999999988</v>
      </c>
      <c r="O58" s="662">
        <f>+'Asset Classification'!L58</f>
        <v>0</v>
      </c>
      <c r="P58" s="656">
        <f t="shared" si="113"/>
        <v>0</v>
      </c>
      <c r="Q58" s="656">
        <f t="shared" si="114"/>
        <v>0</v>
      </c>
      <c r="R58" s="661">
        <f>+'Asset Classification'!M58</f>
        <v>4232083</v>
      </c>
      <c r="S58" s="662">
        <f>+'Asset Classification'!N58</f>
        <v>0</v>
      </c>
      <c r="T58" s="661">
        <f>+'Asset Classification'!O58</f>
        <v>1061553</v>
      </c>
      <c r="U58" s="656">
        <f t="shared" si="115"/>
        <v>1058020.75</v>
      </c>
      <c r="V58" s="656">
        <f t="shared" si="116"/>
        <v>3532.25</v>
      </c>
      <c r="W58" s="662">
        <f>+'Asset Classification'!P58</f>
        <v>0</v>
      </c>
      <c r="X58" s="656">
        <f t="shared" si="117"/>
        <v>0</v>
      </c>
      <c r="Y58" s="656">
        <f t="shared" si="118"/>
        <v>0</v>
      </c>
      <c r="Z58" s="661">
        <f>+'Asset Classification'!Q58</f>
        <v>33193121</v>
      </c>
      <c r="AA58" s="662">
        <f>+'Asset Classification'!R58</f>
        <v>21986776</v>
      </c>
      <c r="AB58" s="661">
        <f>+'Asset Classification'!S58</f>
        <v>1177101</v>
      </c>
      <c r="AC58" s="656">
        <f t="shared" si="119"/>
        <v>16596560.5</v>
      </c>
      <c r="AD58" s="656">
        <f t="shared" si="120"/>
        <v>-15419459.5</v>
      </c>
      <c r="AE58" s="662">
        <f>+'Asset Classification'!T58</f>
        <v>0</v>
      </c>
      <c r="AF58" s="656">
        <f t="shared" si="121"/>
        <v>10993388</v>
      </c>
      <c r="AG58" s="656">
        <f t="shared" si="122"/>
        <v>-10993388</v>
      </c>
      <c r="AH58" s="661">
        <f>+'Asset Classification'!U58</f>
        <v>852209</v>
      </c>
      <c r="AI58" s="662">
        <f>+'Asset Classification'!V58</f>
        <v>0</v>
      </c>
      <c r="AJ58" s="661">
        <f>+'Asset Classification'!W58</f>
        <v>852609</v>
      </c>
      <c r="AK58" s="656">
        <f t="shared" si="123"/>
        <v>852209</v>
      </c>
      <c r="AL58" s="656">
        <f t="shared" si="124"/>
        <v>400</v>
      </c>
      <c r="AM58" s="662">
        <f>+'Asset Classification'!X58</f>
        <v>0</v>
      </c>
      <c r="AN58" s="656">
        <f t="shared" si="125"/>
        <v>0</v>
      </c>
      <c r="AO58" s="656">
        <f t="shared" si="126"/>
        <v>0</v>
      </c>
      <c r="AP58" s="643">
        <f t="shared" si="127"/>
        <v>3371174</v>
      </c>
      <c r="AQ58" s="643">
        <f t="shared" si="127"/>
        <v>18740836.949999999</v>
      </c>
      <c r="AR58" s="643">
        <f t="shared" si="128"/>
        <v>-15369662.949999999</v>
      </c>
      <c r="AS58" s="656">
        <f t="shared" si="129"/>
        <v>0</v>
      </c>
      <c r="AT58" s="656">
        <f t="shared" si="129"/>
        <v>10993388</v>
      </c>
      <c r="AU58" s="656">
        <f t="shared" si="130"/>
        <v>-10993388</v>
      </c>
      <c r="AV58" s="670"/>
      <c r="AW58" s="670"/>
      <c r="AX58" s="670"/>
      <c r="AY58" s="670"/>
      <c r="AZ58" s="670"/>
      <c r="BA58" s="670"/>
      <c r="BB58" s="670"/>
      <c r="BC58" s="670"/>
    </row>
    <row r="59" spans="1:55" s="231" customFormat="1" ht="21.75" customHeight="1">
      <c r="A59" s="654">
        <v>26</v>
      </c>
      <c r="B59" s="431" t="s">
        <v>683</v>
      </c>
      <c r="C59" s="655">
        <f>+'Asset Classification'!C59</f>
        <v>489317510</v>
      </c>
      <c r="D59" s="656">
        <f>+'Asset Classification'!D59</f>
        <v>235333555</v>
      </c>
      <c r="E59" s="661">
        <f>+'Asset Classification'!E59</f>
        <v>477012428</v>
      </c>
      <c r="F59" s="662">
        <f>+'Asset Classification'!F59</f>
        <v>235333555</v>
      </c>
      <c r="G59" s="661">
        <f>+'Asset Classification'!G59</f>
        <v>3405678</v>
      </c>
      <c r="H59" s="656">
        <f t="shared" si="109"/>
        <v>4770124.28</v>
      </c>
      <c r="I59" s="656">
        <f t="shared" si="110"/>
        <v>-1364446.2800000003</v>
      </c>
      <c r="J59" s="661">
        <f>+'Asset Classification'!I59</f>
        <v>5005168</v>
      </c>
      <c r="K59" s="662">
        <f>+'Asset Classification'!J59</f>
        <v>0</v>
      </c>
      <c r="L59" s="661">
        <f>+'Asset Classification'!K59</f>
        <v>503112</v>
      </c>
      <c r="M59" s="656">
        <f t="shared" si="111"/>
        <v>500516.80000000005</v>
      </c>
      <c r="N59" s="656">
        <f t="shared" si="112"/>
        <v>2595.1999999999534</v>
      </c>
      <c r="O59" s="662">
        <f>+'Asset Classification'!L59</f>
        <v>0</v>
      </c>
      <c r="P59" s="656">
        <f t="shared" si="113"/>
        <v>0</v>
      </c>
      <c r="Q59" s="656">
        <f t="shared" si="114"/>
        <v>0</v>
      </c>
      <c r="R59" s="661">
        <f>+'Asset Classification'!M59</f>
        <v>986951</v>
      </c>
      <c r="S59" s="662">
        <f>+'Asset Classification'!N59</f>
        <v>0</v>
      </c>
      <c r="T59" s="661">
        <f>+'Asset Classification'!O59</f>
        <v>178998</v>
      </c>
      <c r="U59" s="656">
        <f t="shared" si="115"/>
        <v>246737.75</v>
      </c>
      <c r="V59" s="656">
        <f t="shared" si="116"/>
        <v>-67739.75</v>
      </c>
      <c r="W59" s="662">
        <f>+'Asset Classification'!P59</f>
        <v>0</v>
      </c>
      <c r="X59" s="656">
        <f t="shared" si="117"/>
        <v>0</v>
      </c>
      <c r="Y59" s="656">
        <f t="shared" si="118"/>
        <v>0</v>
      </c>
      <c r="Z59" s="661">
        <f>+'Asset Classification'!Q59</f>
        <v>5848309</v>
      </c>
      <c r="AA59" s="662">
        <f>+'Asset Classification'!R59</f>
        <v>0</v>
      </c>
      <c r="AB59" s="661">
        <f>+'Asset Classification'!S59</f>
        <v>1295718</v>
      </c>
      <c r="AC59" s="656">
        <f t="shared" si="119"/>
        <v>2924154.5</v>
      </c>
      <c r="AD59" s="656">
        <f t="shared" si="120"/>
        <v>-1628436.5</v>
      </c>
      <c r="AE59" s="662">
        <f>+'Asset Classification'!T59</f>
        <v>0</v>
      </c>
      <c r="AF59" s="656">
        <f t="shared" si="121"/>
        <v>0</v>
      </c>
      <c r="AG59" s="656">
        <f t="shared" si="122"/>
        <v>0</v>
      </c>
      <c r="AH59" s="661">
        <f>+'Asset Classification'!U59</f>
        <v>464654</v>
      </c>
      <c r="AI59" s="662">
        <f>+'Asset Classification'!V59</f>
        <v>0</v>
      </c>
      <c r="AJ59" s="661">
        <f>+'Asset Classification'!W59</f>
        <v>432342</v>
      </c>
      <c r="AK59" s="656">
        <f t="shared" si="123"/>
        <v>464654</v>
      </c>
      <c r="AL59" s="656">
        <f t="shared" si="124"/>
        <v>-32312</v>
      </c>
      <c r="AM59" s="662">
        <f>+'Asset Classification'!X59</f>
        <v>0</v>
      </c>
      <c r="AN59" s="656">
        <f t="shared" si="125"/>
        <v>0</v>
      </c>
      <c r="AO59" s="656">
        <f t="shared" si="126"/>
        <v>0</v>
      </c>
      <c r="AP59" s="643">
        <f t="shared" si="127"/>
        <v>2410170</v>
      </c>
      <c r="AQ59" s="643">
        <f t="shared" si="127"/>
        <v>4136063.05</v>
      </c>
      <c r="AR59" s="643">
        <f t="shared" si="128"/>
        <v>-1725893.0499999998</v>
      </c>
      <c r="AS59" s="656">
        <f t="shared" si="129"/>
        <v>0</v>
      </c>
      <c r="AT59" s="656">
        <f t="shared" si="129"/>
        <v>0</v>
      </c>
      <c r="AU59" s="656">
        <f t="shared" si="130"/>
        <v>0</v>
      </c>
      <c r="AV59" s="670"/>
      <c r="AW59" s="670"/>
      <c r="AX59" s="670"/>
      <c r="AY59" s="670"/>
      <c r="AZ59" s="670"/>
      <c r="BA59" s="670"/>
      <c r="BB59" s="670"/>
      <c r="BC59" s="670"/>
    </row>
    <row r="60" spans="1:55" s="231" customFormat="1" ht="21.75" customHeight="1">
      <c r="A60" s="654">
        <v>27</v>
      </c>
      <c r="B60" s="431" t="s">
        <v>684</v>
      </c>
      <c r="C60" s="655">
        <f>+'Asset Classification'!C60</f>
        <v>427794357</v>
      </c>
      <c r="D60" s="656">
        <f>+'Asset Classification'!D60</f>
        <v>198016728</v>
      </c>
      <c r="E60" s="661">
        <f>+'Asset Classification'!E60</f>
        <v>408224716</v>
      </c>
      <c r="F60" s="662">
        <f>+'Asset Classification'!F60</f>
        <v>196040482</v>
      </c>
      <c r="G60" s="661">
        <f>+'Asset Classification'!G60</f>
        <v>3669591</v>
      </c>
      <c r="H60" s="656">
        <f t="shared" si="109"/>
        <v>4082247.16</v>
      </c>
      <c r="I60" s="656">
        <f t="shared" si="110"/>
        <v>-412656.16000000015</v>
      </c>
      <c r="J60" s="661">
        <f>+'Asset Classification'!I60</f>
        <v>5960600</v>
      </c>
      <c r="K60" s="662">
        <f>+'Asset Classification'!J60</f>
        <v>0</v>
      </c>
      <c r="L60" s="661">
        <f>+'Asset Classification'!K60</f>
        <v>708365</v>
      </c>
      <c r="M60" s="656">
        <f t="shared" si="111"/>
        <v>596060</v>
      </c>
      <c r="N60" s="656">
        <f t="shared" si="112"/>
        <v>112305</v>
      </c>
      <c r="O60" s="662">
        <f>+'Asset Classification'!L60</f>
        <v>0</v>
      </c>
      <c r="P60" s="656">
        <f t="shared" si="113"/>
        <v>0</v>
      </c>
      <c r="Q60" s="656">
        <f t="shared" si="114"/>
        <v>0</v>
      </c>
      <c r="R60" s="661">
        <f>+'Asset Classification'!M60</f>
        <v>1745755</v>
      </c>
      <c r="S60" s="662">
        <f>+'Asset Classification'!N60</f>
        <v>0</v>
      </c>
      <c r="T60" s="661">
        <f>+'Asset Classification'!O60</f>
        <v>431418</v>
      </c>
      <c r="U60" s="656">
        <f t="shared" si="115"/>
        <v>436438.75</v>
      </c>
      <c r="V60" s="656">
        <f t="shared" si="116"/>
        <v>-5020.75</v>
      </c>
      <c r="W60" s="662">
        <f>+'Asset Classification'!P60</f>
        <v>0</v>
      </c>
      <c r="X60" s="656">
        <f t="shared" si="117"/>
        <v>0</v>
      </c>
      <c r="Y60" s="656">
        <f t="shared" si="118"/>
        <v>0</v>
      </c>
      <c r="Z60" s="661">
        <f>+'Asset Classification'!Q60</f>
        <v>9400243</v>
      </c>
      <c r="AA60" s="662">
        <f>+'Asset Classification'!R60</f>
        <v>1976246</v>
      </c>
      <c r="AB60" s="661">
        <f>+'Asset Classification'!S60</f>
        <v>4722933</v>
      </c>
      <c r="AC60" s="656">
        <f t="shared" si="119"/>
        <v>4700121.5</v>
      </c>
      <c r="AD60" s="656">
        <f t="shared" si="120"/>
        <v>22811.5</v>
      </c>
      <c r="AE60" s="662">
        <f>+'Asset Classification'!T60</f>
        <v>988123</v>
      </c>
      <c r="AF60" s="656">
        <f t="shared" si="121"/>
        <v>988123</v>
      </c>
      <c r="AG60" s="656">
        <f t="shared" si="122"/>
        <v>0</v>
      </c>
      <c r="AH60" s="661">
        <f>+'Asset Classification'!U60</f>
        <v>2463043</v>
      </c>
      <c r="AI60" s="662">
        <f>+'Asset Classification'!V60</f>
        <v>0</v>
      </c>
      <c r="AJ60" s="661">
        <f>+'Asset Classification'!W60</f>
        <v>2380044</v>
      </c>
      <c r="AK60" s="656">
        <f t="shared" si="123"/>
        <v>2463043</v>
      </c>
      <c r="AL60" s="656">
        <f t="shared" si="124"/>
        <v>-82999</v>
      </c>
      <c r="AM60" s="662">
        <f>+'Asset Classification'!X60</f>
        <v>0</v>
      </c>
      <c r="AN60" s="656">
        <f t="shared" si="125"/>
        <v>0</v>
      </c>
      <c r="AO60" s="656">
        <f t="shared" si="126"/>
        <v>0</v>
      </c>
      <c r="AP60" s="643">
        <f t="shared" si="127"/>
        <v>8242760</v>
      </c>
      <c r="AQ60" s="643">
        <f t="shared" si="127"/>
        <v>8195663.25</v>
      </c>
      <c r="AR60" s="643">
        <f t="shared" si="128"/>
        <v>47096.75</v>
      </c>
      <c r="AS60" s="656">
        <f t="shared" si="129"/>
        <v>988123</v>
      </c>
      <c r="AT60" s="656">
        <f t="shared" si="129"/>
        <v>988123</v>
      </c>
      <c r="AU60" s="656">
        <f t="shared" si="130"/>
        <v>0</v>
      </c>
      <c r="AV60" s="670"/>
      <c r="AW60" s="670"/>
      <c r="AX60" s="670"/>
      <c r="AY60" s="670"/>
      <c r="AZ60" s="670"/>
      <c r="BA60" s="670"/>
      <c r="BB60" s="670"/>
      <c r="BC60" s="670"/>
    </row>
    <row r="61" spans="1:55" s="231" customFormat="1" ht="21.75" customHeight="1">
      <c r="A61" s="654">
        <v>28</v>
      </c>
      <c r="B61" s="431" t="s">
        <v>685</v>
      </c>
      <c r="C61" s="655">
        <f>+'Asset Classification'!C61</f>
        <v>369440084</v>
      </c>
      <c r="D61" s="656">
        <f>+'Asset Classification'!D61</f>
        <v>93367673</v>
      </c>
      <c r="E61" s="661">
        <f>+'Asset Classification'!E61</f>
        <v>364754491</v>
      </c>
      <c r="F61" s="662">
        <f>+'Asset Classification'!F61</f>
        <v>93367673</v>
      </c>
      <c r="G61" s="661">
        <f>+'Asset Classification'!G61</f>
        <v>3377953</v>
      </c>
      <c r="H61" s="656">
        <f t="shared" si="109"/>
        <v>3647544.91</v>
      </c>
      <c r="I61" s="656">
        <f t="shared" si="110"/>
        <v>-269591.91000000015</v>
      </c>
      <c r="J61" s="661">
        <f>+'Asset Classification'!I61</f>
        <v>1617371</v>
      </c>
      <c r="K61" s="662">
        <f>+'Asset Classification'!J61</f>
        <v>0</v>
      </c>
      <c r="L61" s="661">
        <f>+'Asset Classification'!K61</f>
        <v>178972</v>
      </c>
      <c r="M61" s="656">
        <f t="shared" si="111"/>
        <v>161737.1</v>
      </c>
      <c r="N61" s="656">
        <f t="shared" si="112"/>
        <v>17234.899999999994</v>
      </c>
      <c r="O61" s="662">
        <f>+'Asset Classification'!L61</f>
        <v>0</v>
      </c>
      <c r="P61" s="656">
        <f t="shared" si="113"/>
        <v>0</v>
      </c>
      <c r="Q61" s="656">
        <f t="shared" si="114"/>
        <v>0</v>
      </c>
      <c r="R61" s="661">
        <f>+'Asset Classification'!M61</f>
        <v>2286038</v>
      </c>
      <c r="S61" s="662">
        <f>+'Asset Classification'!N61</f>
        <v>0</v>
      </c>
      <c r="T61" s="661">
        <f>+'Asset Classification'!O61</f>
        <v>334738</v>
      </c>
      <c r="U61" s="656">
        <f t="shared" si="115"/>
        <v>571509.5</v>
      </c>
      <c r="V61" s="656">
        <f t="shared" si="116"/>
        <v>-236771.5</v>
      </c>
      <c r="W61" s="662">
        <f>+'Asset Classification'!P61</f>
        <v>0</v>
      </c>
      <c r="X61" s="656">
        <f t="shared" si="117"/>
        <v>0</v>
      </c>
      <c r="Y61" s="656">
        <f t="shared" si="118"/>
        <v>0</v>
      </c>
      <c r="Z61" s="661">
        <f>+'Asset Classification'!Q61</f>
        <v>307140</v>
      </c>
      <c r="AA61" s="662">
        <f>+'Asset Classification'!R61</f>
        <v>0</v>
      </c>
      <c r="AB61" s="661">
        <f>+'Asset Classification'!S61</f>
        <v>153570</v>
      </c>
      <c r="AC61" s="656">
        <f t="shared" si="119"/>
        <v>153570</v>
      </c>
      <c r="AD61" s="656">
        <f t="shared" si="120"/>
        <v>0</v>
      </c>
      <c r="AE61" s="662">
        <f>+'Asset Classification'!T61</f>
        <v>0</v>
      </c>
      <c r="AF61" s="656">
        <f t="shared" si="121"/>
        <v>0</v>
      </c>
      <c r="AG61" s="656">
        <f t="shared" si="122"/>
        <v>0</v>
      </c>
      <c r="AH61" s="661">
        <f>+'Asset Classification'!U61</f>
        <v>475044</v>
      </c>
      <c r="AI61" s="662">
        <f>+'Asset Classification'!V61</f>
        <v>0</v>
      </c>
      <c r="AJ61" s="661">
        <f>+'Asset Classification'!W61</f>
        <v>477464</v>
      </c>
      <c r="AK61" s="656">
        <f t="shared" si="123"/>
        <v>475044</v>
      </c>
      <c r="AL61" s="656">
        <f t="shared" si="124"/>
        <v>2420</v>
      </c>
      <c r="AM61" s="662">
        <f>+'Asset Classification'!X61</f>
        <v>0</v>
      </c>
      <c r="AN61" s="656">
        <f t="shared" si="125"/>
        <v>0</v>
      </c>
      <c r="AO61" s="656">
        <f t="shared" si="126"/>
        <v>0</v>
      </c>
      <c r="AP61" s="643">
        <f t="shared" si="127"/>
        <v>1144744</v>
      </c>
      <c r="AQ61" s="643">
        <f t="shared" si="127"/>
        <v>1361860.6</v>
      </c>
      <c r="AR61" s="643">
        <f t="shared" si="128"/>
        <v>-217116.60000000009</v>
      </c>
      <c r="AS61" s="656">
        <f t="shared" si="129"/>
        <v>0</v>
      </c>
      <c r="AT61" s="656">
        <f t="shared" si="129"/>
        <v>0</v>
      </c>
      <c r="AU61" s="656">
        <f t="shared" si="130"/>
        <v>0</v>
      </c>
      <c r="AV61" s="670"/>
      <c r="AW61" s="670"/>
      <c r="AX61" s="670"/>
      <c r="AY61" s="670"/>
      <c r="AZ61" s="670"/>
      <c r="BA61" s="670"/>
      <c r="BB61" s="670"/>
      <c r="BC61" s="670"/>
    </row>
    <row r="62" spans="1:55" s="231" customFormat="1" ht="21.75" customHeight="1">
      <c r="A62" s="654">
        <v>29</v>
      </c>
      <c r="B62" s="431" t="s">
        <v>686</v>
      </c>
      <c r="C62" s="655">
        <f>+'Asset Classification'!C62</f>
        <v>832551164</v>
      </c>
      <c r="D62" s="656">
        <f>+'Asset Classification'!D62</f>
        <v>365794646</v>
      </c>
      <c r="E62" s="661">
        <f>+'Asset Classification'!E62</f>
        <v>825741896</v>
      </c>
      <c r="F62" s="662">
        <f>+'Asset Classification'!F62</f>
        <v>363407228</v>
      </c>
      <c r="G62" s="661">
        <f>+'Asset Classification'!G62</f>
        <v>6017581</v>
      </c>
      <c r="H62" s="656">
        <f t="shared" si="109"/>
        <v>8257418.96</v>
      </c>
      <c r="I62" s="656">
        <f t="shared" si="110"/>
        <v>-2239837.96</v>
      </c>
      <c r="J62" s="661">
        <f>+'Asset Classification'!I62</f>
        <v>1262870</v>
      </c>
      <c r="K62" s="662">
        <f>+'Asset Classification'!J62</f>
        <v>0</v>
      </c>
      <c r="L62" s="661">
        <f>+'Asset Classification'!K62</f>
        <v>136098</v>
      </c>
      <c r="M62" s="656">
        <f t="shared" si="111"/>
        <v>126287</v>
      </c>
      <c r="N62" s="656">
        <f t="shared" si="112"/>
        <v>9811</v>
      </c>
      <c r="O62" s="662">
        <f>+'Asset Classification'!L62</f>
        <v>0</v>
      </c>
      <c r="P62" s="656">
        <f t="shared" si="113"/>
        <v>0</v>
      </c>
      <c r="Q62" s="656">
        <f t="shared" si="114"/>
        <v>0</v>
      </c>
      <c r="R62" s="661">
        <f>+'Asset Classification'!M62</f>
        <v>4789824</v>
      </c>
      <c r="S62" s="662">
        <f>+'Asset Classification'!N62</f>
        <v>2387418</v>
      </c>
      <c r="T62" s="661">
        <f>+'Asset Classification'!O62</f>
        <v>1159163</v>
      </c>
      <c r="U62" s="656">
        <f t="shared" si="115"/>
        <v>1197456</v>
      </c>
      <c r="V62" s="656">
        <f t="shared" si="116"/>
        <v>-38293</v>
      </c>
      <c r="W62" s="662">
        <f>+'Asset Classification'!P62</f>
        <v>596855</v>
      </c>
      <c r="X62" s="656">
        <f t="shared" si="117"/>
        <v>596854.5</v>
      </c>
      <c r="Y62" s="656">
        <f t="shared" si="118"/>
        <v>0.5</v>
      </c>
      <c r="Z62" s="661">
        <f>+'Asset Classification'!Q62</f>
        <v>311735</v>
      </c>
      <c r="AA62" s="662">
        <f>+'Asset Classification'!R62</f>
        <v>0</v>
      </c>
      <c r="AB62" s="661">
        <f>+'Asset Classification'!S62</f>
        <v>154996</v>
      </c>
      <c r="AC62" s="656">
        <f t="shared" si="119"/>
        <v>155867.5</v>
      </c>
      <c r="AD62" s="656">
        <f t="shared" si="120"/>
        <v>-871.5</v>
      </c>
      <c r="AE62" s="662">
        <f>+'Asset Classification'!T62</f>
        <v>0</v>
      </c>
      <c r="AF62" s="656">
        <f t="shared" si="121"/>
        <v>0</v>
      </c>
      <c r="AG62" s="656">
        <f t="shared" si="122"/>
        <v>0</v>
      </c>
      <c r="AH62" s="661">
        <f>+'Asset Classification'!U62</f>
        <v>444839</v>
      </c>
      <c r="AI62" s="662">
        <f>+'Asset Classification'!V62</f>
        <v>0</v>
      </c>
      <c r="AJ62" s="661">
        <f>+'Asset Classification'!W62</f>
        <v>444839</v>
      </c>
      <c r="AK62" s="656">
        <f t="shared" si="123"/>
        <v>444839</v>
      </c>
      <c r="AL62" s="656">
        <f t="shared" si="124"/>
        <v>0</v>
      </c>
      <c r="AM62" s="662">
        <f>+'Asset Classification'!X62</f>
        <v>0</v>
      </c>
      <c r="AN62" s="656">
        <f t="shared" si="125"/>
        <v>0</v>
      </c>
      <c r="AO62" s="656">
        <f t="shared" si="126"/>
        <v>0</v>
      </c>
      <c r="AP62" s="643">
        <f t="shared" si="127"/>
        <v>1895096</v>
      </c>
      <c r="AQ62" s="643">
        <f t="shared" si="127"/>
        <v>1924449.5</v>
      </c>
      <c r="AR62" s="643">
        <f t="shared" si="128"/>
        <v>-29353.5</v>
      </c>
      <c r="AS62" s="656">
        <f t="shared" si="129"/>
        <v>596855</v>
      </c>
      <c r="AT62" s="656">
        <f t="shared" si="129"/>
        <v>596854.5</v>
      </c>
      <c r="AU62" s="656">
        <f t="shared" si="130"/>
        <v>0.5</v>
      </c>
      <c r="AV62" s="670"/>
      <c r="AW62" s="670"/>
      <c r="AX62" s="670"/>
      <c r="AY62" s="670"/>
      <c r="AZ62" s="670"/>
      <c r="BA62" s="670"/>
      <c r="BB62" s="670"/>
      <c r="BC62" s="670"/>
    </row>
    <row r="63" spans="1:55" s="231" customFormat="1" ht="21.75" customHeight="1">
      <c r="A63" s="654">
        <v>30</v>
      </c>
      <c r="B63" s="431" t="s">
        <v>687</v>
      </c>
      <c r="C63" s="655">
        <f>+'Asset Classification'!C63</f>
        <v>793300483</v>
      </c>
      <c r="D63" s="656">
        <f>+'Asset Classification'!D63</f>
        <v>528002029</v>
      </c>
      <c r="E63" s="661">
        <f>+'Asset Classification'!E63</f>
        <v>765636655</v>
      </c>
      <c r="F63" s="662">
        <f>+'Asset Classification'!F63</f>
        <v>528002029</v>
      </c>
      <c r="G63" s="661">
        <f>+'Asset Classification'!G63</f>
        <v>4021951</v>
      </c>
      <c r="H63" s="656">
        <f t="shared" si="109"/>
        <v>7656366.5499999998</v>
      </c>
      <c r="I63" s="656">
        <f t="shared" si="110"/>
        <v>-3634415.55</v>
      </c>
      <c r="J63" s="661">
        <f>+'Asset Classification'!I63</f>
        <v>23344059</v>
      </c>
      <c r="K63" s="662">
        <f>+'Asset Classification'!J63</f>
        <v>0</v>
      </c>
      <c r="L63" s="661">
        <f>+'Asset Classification'!K63</f>
        <v>2207500</v>
      </c>
      <c r="M63" s="656">
        <f t="shared" si="111"/>
        <v>2334405.9</v>
      </c>
      <c r="N63" s="656">
        <f t="shared" si="112"/>
        <v>-126905.89999999991</v>
      </c>
      <c r="O63" s="662">
        <f>+'Asset Classification'!L63</f>
        <v>0</v>
      </c>
      <c r="P63" s="656">
        <f t="shared" si="113"/>
        <v>0</v>
      </c>
      <c r="Q63" s="656">
        <f t="shared" si="114"/>
        <v>0</v>
      </c>
      <c r="R63" s="661">
        <f>+'Asset Classification'!M63</f>
        <v>2951267</v>
      </c>
      <c r="S63" s="662">
        <f>+'Asset Classification'!N63</f>
        <v>0</v>
      </c>
      <c r="T63" s="661">
        <f>+'Asset Classification'!O63</f>
        <v>702706</v>
      </c>
      <c r="U63" s="656">
        <f t="shared" si="115"/>
        <v>737816.75</v>
      </c>
      <c r="V63" s="656">
        <f t="shared" si="116"/>
        <v>-35110.75</v>
      </c>
      <c r="W63" s="662">
        <f>+'Asset Classification'!P63</f>
        <v>0</v>
      </c>
      <c r="X63" s="656">
        <f t="shared" si="117"/>
        <v>0</v>
      </c>
      <c r="Y63" s="656">
        <f t="shared" si="118"/>
        <v>0</v>
      </c>
      <c r="Z63" s="661">
        <f>+'Asset Classification'!Q63</f>
        <v>925548</v>
      </c>
      <c r="AA63" s="662">
        <f>+'Asset Classification'!R63</f>
        <v>0</v>
      </c>
      <c r="AB63" s="661">
        <f>+'Asset Classification'!S63</f>
        <v>462296</v>
      </c>
      <c r="AC63" s="656">
        <f t="shared" si="119"/>
        <v>462774</v>
      </c>
      <c r="AD63" s="656">
        <f t="shared" si="120"/>
        <v>-478</v>
      </c>
      <c r="AE63" s="662">
        <f>+'Asset Classification'!T63</f>
        <v>0</v>
      </c>
      <c r="AF63" s="656">
        <f t="shared" si="121"/>
        <v>0</v>
      </c>
      <c r="AG63" s="656">
        <f t="shared" si="122"/>
        <v>0</v>
      </c>
      <c r="AH63" s="661">
        <f>+'Asset Classification'!U63</f>
        <v>442954</v>
      </c>
      <c r="AI63" s="662">
        <f>+'Asset Classification'!V63</f>
        <v>0</v>
      </c>
      <c r="AJ63" s="661">
        <f>+'Asset Classification'!W63</f>
        <v>444479</v>
      </c>
      <c r="AK63" s="656">
        <f t="shared" si="123"/>
        <v>442954</v>
      </c>
      <c r="AL63" s="656">
        <f t="shared" si="124"/>
        <v>1525</v>
      </c>
      <c r="AM63" s="662">
        <f>+'Asset Classification'!X63</f>
        <v>0</v>
      </c>
      <c r="AN63" s="656">
        <f t="shared" si="125"/>
        <v>0</v>
      </c>
      <c r="AO63" s="656">
        <f t="shared" si="126"/>
        <v>0</v>
      </c>
      <c r="AP63" s="643">
        <f t="shared" si="127"/>
        <v>3816981</v>
      </c>
      <c r="AQ63" s="643">
        <f t="shared" si="127"/>
        <v>3977950.65</v>
      </c>
      <c r="AR63" s="643">
        <f t="shared" si="128"/>
        <v>-160969.64999999991</v>
      </c>
      <c r="AS63" s="656">
        <f t="shared" si="129"/>
        <v>0</v>
      </c>
      <c r="AT63" s="656">
        <f t="shared" si="129"/>
        <v>0</v>
      </c>
      <c r="AU63" s="656">
        <f t="shared" si="130"/>
        <v>0</v>
      </c>
      <c r="AV63" s="670"/>
      <c r="AW63" s="670"/>
      <c r="AX63" s="670"/>
      <c r="AY63" s="670"/>
      <c r="AZ63" s="670"/>
      <c r="BA63" s="670"/>
      <c r="BB63" s="670"/>
      <c r="BC63" s="670"/>
    </row>
    <row r="64" spans="1:55" s="231" customFormat="1" ht="21.75" customHeight="1">
      <c r="A64" s="654">
        <v>31</v>
      </c>
      <c r="B64" s="431" t="s">
        <v>688</v>
      </c>
      <c r="C64" s="655">
        <f>+'Asset Classification'!C64</f>
        <v>555842998</v>
      </c>
      <c r="D64" s="656">
        <f>+'Asset Classification'!D64</f>
        <v>297104107</v>
      </c>
      <c r="E64" s="661">
        <f>+'Asset Classification'!E64</f>
        <v>524740370</v>
      </c>
      <c r="F64" s="662">
        <f>+'Asset Classification'!F64</f>
        <v>281931910</v>
      </c>
      <c r="G64" s="661">
        <f>+'Asset Classification'!G64</f>
        <v>4651771</v>
      </c>
      <c r="H64" s="656">
        <f t="shared" si="109"/>
        <v>5247403.7</v>
      </c>
      <c r="I64" s="656">
        <f t="shared" si="110"/>
        <v>-595632.70000000019</v>
      </c>
      <c r="J64" s="661">
        <f>+'Asset Classification'!I64</f>
        <v>14829785</v>
      </c>
      <c r="K64" s="662">
        <f>+'Asset Classification'!J64</f>
        <v>3255383</v>
      </c>
      <c r="L64" s="661">
        <f>+'Asset Classification'!K64</f>
        <v>1804445</v>
      </c>
      <c r="M64" s="656">
        <f t="shared" si="111"/>
        <v>1482978.5</v>
      </c>
      <c r="N64" s="656">
        <f t="shared" si="112"/>
        <v>321466.5</v>
      </c>
      <c r="O64" s="662">
        <f>+'Asset Classification'!L64</f>
        <v>1627692</v>
      </c>
      <c r="P64" s="656">
        <f t="shared" si="113"/>
        <v>325538.30000000005</v>
      </c>
      <c r="Q64" s="656">
        <f t="shared" si="114"/>
        <v>1302153.7</v>
      </c>
      <c r="R64" s="661">
        <f>+'Asset Classification'!M64</f>
        <v>10727587</v>
      </c>
      <c r="S64" s="662">
        <f>+'Asset Classification'!N64</f>
        <v>10204931</v>
      </c>
      <c r="T64" s="661">
        <f>+'Asset Classification'!O64</f>
        <v>107912</v>
      </c>
      <c r="U64" s="656">
        <f t="shared" si="115"/>
        <v>2681896.75</v>
      </c>
      <c r="V64" s="656">
        <f t="shared" si="116"/>
        <v>-2573984.75</v>
      </c>
      <c r="W64" s="662">
        <f>+'Asset Classification'!P64</f>
        <v>0</v>
      </c>
      <c r="X64" s="656">
        <f t="shared" si="117"/>
        <v>2551232.75</v>
      </c>
      <c r="Y64" s="656">
        <f t="shared" si="118"/>
        <v>-2551232.75</v>
      </c>
      <c r="Z64" s="661">
        <f>+'Asset Classification'!Q64</f>
        <v>3862528</v>
      </c>
      <c r="AA64" s="662">
        <f>+'Asset Classification'!R64</f>
        <v>1711883</v>
      </c>
      <c r="AB64" s="661">
        <f>+'Asset Classification'!S64</f>
        <v>1931264</v>
      </c>
      <c r="AC64" s="656">
        <f t="shared" si="119"/>
        <v>1931264</v>
      </c>
      <c r="AD64" s="656">
        <f t="shared" si="120"/>
        <v>0</v>
      </c>
      <c r="AE64" s="662">
        <f>+'Asset Classification'!T64</f>
        <v>855941</v>
      </c>
      <c r="AF64" s="656">
        <f t="shared" si="121"/>
        <v>855941.5</v>
      </c>
      <c r="AG64" s="656">
        <f t="shared" si="122"/>
        <v>-0.5</v>
      </c>
      <c r="AH64" s="661">
        <f>+'Asset Classification'!U64</f>
        <v>1682728</v>
      </c>
      <c r="AI64" s="662">
        <f>+'Asset Classification'!V64</f>
        <v>0</v>
      </c>
      <c r="AJ64" s="661">
        <f>+'Asset Classification'!W64</f>
        <v>669415</v>
      </c>
      <c r="AK64" s="656">
        <f t="shared" si="123"/>
        <v>1682728</v>
      </c>
      <c r="AL64" s="656">
        <f t="shared" si="124"/>
        <v>-1013313</v>
      </c>
      <c r="AM64" s="662">
        <f>+'Asset Classification'!X64</f>
        <v>0</v>
      </c>
      <c r="AN64" s="656">
        <f t="shared" si="125"/>
        <v>0</v>
      </c>
      <c r="AO64" s="656">
        <f t="shared" si="126"/>
        <v>0</v>
      </c>
      <c r="AP64" s="643">
        <f t="shared" si="127"/>
        <v>4513036</v>
      </c>
      <c r="AQ64" s="643">
        <f t="shared" si="127"/>
        <v>7778867.25</v>
      </c>
      <c r="AR64" s="643">
        <f t="shared" si="128"/>
        <v>-3265831.25</v>
      </c>
      <c r="AS64" s="656">
        <f t="shared" si="129"/>
        <v>2483633</v>
      </c>
      <c r="AT64" s="656">
        <f t="shared" si="129"/>
        <v>3732712.55</v>
      </c>
      <c r="AU64" s="656">
        <f t="shared" si="130"/>
        <v>-1249079.5499999998</v>
      </c>
      <c r="AV64" s="670"/>
      <c r="AW64" s="670"/>
      <c r="AX64" s="670"/>
      <c r="AY64" s="670"/>
      <c r="AZ64" s="670"/>
      <c r="BA64" s="670"/>
      <c r="BB64" s="670"/>
      <c r="BC64" s="670"/>
    </row>
    <row r="65" spans="1:55" s="231" customFormat="1" ht="21.75" customHeight="1">
      <c r="A65" s="654">
        <v>32</v>
      </c>
      <c r="B65" s="431" t="s">
        <v>689</v>
      </c>
      <c r="C65" s="655">
        <f>+'Asset Classification'!C65</f>
        <v>491393708</v>
      </c>
      <c r="D65" s="656">
        <f>+'Asset Classification'!D65</f>
        <v>53615200</v>
      </c>
      <c r="E65" s="661">
        <f>+'Asset Classification'!E65</f>
        <v>455679219</v>
      </c>
      <c r="F65" s="662">
        <f>+'Asset Classification'!F65</f>
        <v>49494193</v>
      </c>
      <c r="G65" s="661">
        <f>+'Asset Classification'!G65</f>
        <v>2906582</v>
      </c>
      <c r="H65" s="656">
        <f t="shared" si="109"/>
        <v>4556792.1900000004</v>
      </c>
      <c r="I65" s="656">
        <f t="shared" si="110"/>
        <v>-1650210.1900000004</v>
      </c>
      <c r="J65" s="661">
        <f>+'Asset Classification'!I65</f>
        <v>6491711</v>
      </c>
      <c r="K65" s="662">
        <f>+'Asset Classification'!J65</f>
        <v>1927733</v>
      </c>
      <c r="L65" s="661">
        <f>+'Asset Classification'!K65</f>
        <v>731990</v>
      </c>
      <c r="M65" s="656">
        <f t="shared" si="111"/>
        <v>649171.10000000009</v>
      </c>
      <c r="N65" s="656">
        <f t="shared" si="112"/>
        <v>82818.899999999907</v>
      </c>
      <c r="O65" s="662">
        <f>+'Asset Classification'!L65</f>
        <v>192773</v>
      </c>
      <c r="P65" s="656">
        <f t="shared" si="113"/>
        <v>192773.30000000002</v>
      </c>
      <c r="Q65" s="656">
        <f t="shared" si="114"/>
        <v>-0.3000000000174623</v>
      </c>
      <c r="R65" s="661">
        <f>+'Asset Classification'!M65</f>
        <v>17821715</v>
      </c>
      <c r="S65" s="662">
        <f>+'Asset Classification'!N65</f>
        <v>2174678</v>
      </c>
      <c r="T65" s="661">
        <f>+'Asset Classification'!O65</f>
        <v>3247618</v>
      </c>
      <c r="U65" s="656">
        <f t="shared" si="115"/>
        <v>4455428.75</v>
      </c>
      <c r="V65" s="656">
        <f t="shared" si="116"/>
        <v>-1207810.75</v>
      </c>
      <c r="W65" s="662">
        <f>+'Asset Classification'!P65</f>
        <v>543669</v>
      </c>
      <c r="X65" s="656">
        <f t="shared" si="117"/>
        <v>543669.5</v>
      </c>
      <c r="Y65" s="656">
        <f t="shared" si="118"/>
        <v>-0.5</v>
      </c>
      <c r="Z65" s="661">
        <f>+'Asset Classification'!Q65</f>
        <v>7327902</v>
      </c>
      <c r="AA65" s="662">
        <f>+'Asset Classification'!R65</f>
        <v>0</v>
      </c>
      <c r="AB65" s="661">
        <f>+'Asset Classification'!S65</f>
        <v>2065256</v>
      </c>
      <c r="AC65" s="656">
        <f t="shared" si="119"/>
        <v>3663951</v>
      </c>
      <c r="AD65" s="656">
        <f t="shared" si="120"/>
        <v>-1598695</v>
      </c>
      <c r="AE65" s="662">
        <f>+'Asset Classification'!T65</f>
        <v>0</v>
      </c>
      <c r="AF65" s="656">
        <f t="shared" si="121"/>
        <v>0</v>
      </c>
      <c r="AG65" s="656">
        <f t="shared" si="122"/>
        <v>0</v>
      </c>
      <c r="AH65" s="661">
        <f>+'Asset Classification'!U65</f>
        <v>4073161</v>
      </c>
      <c r="AI65" s="662">
        <f>+'Asset Classification'!V65</f>
        <v>18596</v>
      </c>
      <c r="AJ65" s="661">
        <f>+'Asset Classification'!W65</f>
        <v>4007437</v>
      </c>
      <c r="AK65" s="656">
        <f t="shared" si="123"/>
        <v>4073161</v>
      </c>
      <c r="AL65" s="656">
        <f t="shared" si="124"/>
        <v>-65724</v>
      </c>
      <c r="AM65" s="662">
        <f>+'Asset Classification'!X65</f>
        <v>18596</v>
      </c>
      <c r="AN65" s="656">
        <f t="shared" si="125"/>
        <v>18596</v>
      </c>
      <c r="AO65" s="656">
        <f t="shared" si="126"/>
        <v>0</v>
      </c>
      <c r="AP65" s="643">
        <f t="shared" si="127"/>
        <v>10052301</v>
      </c>
      <c r="AQ65" s="643">
        <f t="shared" si="127"/>
        <v>12841711.85</v>
      </c>
      <c r="AR65" s="643">
        <f t="shared" si="128"/>
        <v>-2789410.8499999996</v>
      </c>
      <c r="AS65" s="656">
        <f t="shared" si="129"/>
        <v>755038</v>
      </c>
      <c r="AT65" s="656">
        <f t="shared" si="129"/>
        <v>755038.8</v>
      </c>
      <c r="AU65" s="656">
        <f t="shared" si="130"/>
        <v>-0.80000000004656613</v>
      </c>
      <c r="AV65" s="670"/>
      <c r="AW65" s="670"/>
      <c r="AX65" s="670"/>
      <c r="AY65" s="670"/>
      <c r="AZ65" s="670"/>
      <c r="BA65" s="670"/>
      <c r="BB65" s="670"/>
      <c r="BC65" s="670"/>
    </row>
    <row r="66" spans="1:55" s="231" customFormat="1" ht="21.75" customHeight="1">
      <c r="A66" s="654">
        <v>33</v>
      </c>
      <c r="B66" s="431" t="s">
        <v>690</v>
      </c>
      <c r="C66" s="655">
        <f>+'Asset Classification'!C66</f>
        <v>130441274</v>
      </c>
      <c r="D66" s="656">
        <f>+'Asset Classification'!D66</f>
        <v>88265910</v>
      </c>
      <c r="E66" s="661">
        <f>+'Asset Classification'!E66</f>
        <v>125853101</v>
      </c>
      <c r="F66" s="662">
        <f>+'Asset Classification'!F66</f>
        <v>88265910</v>
      </c>
      <c r="G66" s="661">
        <f>+'Asset Classification'!G66</f>
        <v>339142</v>
      </c>
      <c r="H66" s="656">
        <f t="shared" si="109"/>
        <v>1258531.01</v>
      </c>
      <c r="I66" s="656">
        <f t="shared" si="110"/>
        <v>-919389.01</v>
      </c>
      <c r="J66" s="661">
        <f>+'Asset Classification'!I66</f>
        <v>75518</v>
      </c>
      <c r="K66" s="662">
        <f>+'Asset Classification'!J66</f>
        <v>0</v>
      </c>
      <c r="L66" s="661">
        <f>+'Asset Classification'!K66</f>
        <v>9596</v>
      </c>
      <c r="M66" s="656">
        <f t="shared" si="111"/>
        <v>7551.8</v>
      </c>
      <c r="N66" s="656">
        <f t="shared" si="112"/>
        <v>2044.1999999999998</v>
      </c>
      <c r="O66" s="662">
        <f>+'Asset Classification'!L66</f>
        <v>0</v>
      </c>
      <c r="P66" s="656">
        <f t="shared" si="113"/>
        <v>0</v>
      </c>
      <c r="Q66" s="656">
        <f t="shared" si="114"/>
        <v>0</v>
      </c>
      <c r="R66" s="661">
        <f>+'Asset Classification'!M66</f>
        <v>58759</v>
      </c>
      <c r="S66" s="662">
        <f>+'Asset Classification'!N66</f>
        <v>0</v>
      </c>
      <c r="T66" s="661">
        <f>+'Asset Classification'!O66</f>
        <v>13385</v>
      </c>
      <c r="U66" s="656">
        <f t="shared" si="115"/>
        <v>14689.75</v>
      </c>
      <c r="V66" s="656">
        <f t="shared" si="116"/>
        <v>-1304.75</v>
      </c>
      <c r="W66" s="662">
        <f>+'Asset Classification'!P66</f>
        <v>0</v>
      </c>
      <c r="X66" s="656">
        <f t="shared" si="117"/>
        <v>0</v>
      </c>
      <c r="Y66" s="656">
        <f t="shared" si="118"/>
        <v>0</v>
      </c>
      <c r="Z66" s="661">
        <f>+'Asset Classification'!Q66</f>
        <v>4100257</v>
      </c>
      <c r="AA66" s="662">
        <f>+'Asset Classification'!R66</f>
        <v>0</v>
      </c>
      <c r="AB66" s="661">
        <f>+'Asset Classification'!S66</f>
        <v>50735</v>
      </c>
      <c r="AC66" s="656">
        <f t="shared" si="119"/>
        <v>2050128.5</v>
      </c>
      <c r="AD66" s="656">
        <f t="shared" si="120"/>
        <v>-1999393.5</v>
      </c>
      <c r="AE66" s="662">
        <f>+'Asset Classification'!T66</f>
        <v>0</v>
      </c>
      <c r="AF66" s="656">
        <f t="shared" si="121"/>
        <v>0</v>
      </c>
      <c r="AG66" s="656">
        <f t="shared" si="122"/>
        <v>0</v>
      </c>
      <c r="AH66" s="661">
        <f>+'Asset Classification'!U66</f>
        <v>353639</v>
      </c>
      <c r="AI66" s="662">
        <f>+'Asset Classification'!V66</f>
        <v>0</v>
      </c>
      <c r="AJ66" s="661">
        <f>+'Asset Classification'!W66</f>
        <v>353638</v>
      </c>
      <c r="AK66" s="656">
        <f t="shared" si="123"/>
        <v>353639</v>
      </c>
      <c r="AL66" s="656">
        <f t="shared" si="124"/>
        <v>-1</v>
      </c>
      <c r="AM66" s="662">
        <f>+'Asset Classification'!X66</f>
        <v>0</v>
      </c>
      <c r="AN66" s="656">
        <f t="shared" si="125"/>
        <v>0</v>
      </c>
      <c r="AO66" s="656">
        <f t="shared" si="126"/>
        <v>0</v>
      </c>
      <c r="AP66" s="643">
        <f t="shared" si="127"/>
        <v>427354</v>
      </c>
      <c r="AQ66" s="643">
        <f t="shared" si="127"/>
        <v>2426009.0499999998</v>
      </c>
      <c r="AR66" s="643">
        <f t="shared" si="128"/>
        <v>-1998655.0499999998</v>
      </c>
      <c r="AS66" s="656">
        <f t="shared" si="129"/>
        <v>0</v>
      </c>
      <c r="AT66" s="656">
        <f t="shared" si="129"/>
        <v>0</v>
      </c>
      <c r="AU66" s="656">
        <f t="shared" si="130"/>
        <v>0</v>
      </c>
      <c r="AV66" s="670"/>
      <c r="AW66" s="670"/>
      <c r="AX66" s="670"/>
      <c r="AY66" s="670"/>
      <c r="AZ66" s="670"/>
      <c r="BA66" s="670"/>
      <c r="BB66" s="670"/>
      <c r="BC66" s="670"/>
    </row>
    <row r="67" spans="1:55" s="231" customFormat="1" ht="21.75" customHeight="1">
      <c r="A67" s="654">
        <v>34</v>
      </c>
      <c r="B67" s="431" t="s">
        <v>691</v>
      </c>
      <c r="C67" s="655">
        <f>+'Asset Classification'!C67</f>
        <v>2243836368</v>
      </c>
      <c r="D67" s="656">
        <f>+'Asset Classification'!D67</f>
        <v>662571624</v>
      </c>
      <c r="E67" s="661">
        <f>+'Asset Classification'!E67</f>
        <v>2198255796</v>
      </c>
      <c r="F67" s="662">
        <f>+'Asset Classification'!F67</f>
        <v>659953360</v>
      </c>
      <c r="G67" s="661">
        <f>+'Asset Classification'!G67</f>
        <v>24828071</v>
      </c>
      <c r="H67" s="656">
        <f t="shared" si="109"/>
        <v>21982557.960000001</v>
      </c>
      <c r="I67" s="656">
        <f t="shared" si="110"/>
        <v>2845513.0399999991</v>
      </c>
      <c r="J67" s="661">
        <f>+'Asset Classification'!I67</f>
        <v>10900526</v>
      </c>
      <c r="K67" s="662">
        <f>+'Asset Classification'!J67</f>
        <v>852452</v>
      </c>
      <c r="L67" s="661">
        <f>+'Asset Classification'!K67</f>
        <v>2200204</v>
      </c>
      <c r="M67" s="656">
        <f t="shared" si="111"/>
        <v>1090052.6000000001</v>
      </c>
      <c r="N67" s="656">
        <f t="shared" si="112"/>
        <v>1110151.3999999999</v>
      </c>
      <c r="O67" s="662">
        <f>+'Asset Classification'!L67</f>
        <v>0</v>
      </c>
      <c r="P67" s="656">
        <f t="shared" si="113"/>
        <v>85245.200000000012</v>
      </c>
      <c r="Q67" s="656">
        <f t="shared" si="114"/>
        <v>-85245.200000000012</v>
      </c>
      <c r="R67" s="661">
        <f>+'Asset Classification'!M67</f>
        <v>15617412</v>
      </c>
      <c r="S67" s="662">
        <f>+'Asset Classification'!N67</f>
        <v>0</v>
      </c>
      <c r="T67" s="661">
        <f>+'Asset Classification'!O67</f>
        <v>410211</v>
      </c>
      <c r="U67" s="656">
        <f t="shared" si="115"/>
        <v>3904353</v>
      </c>
      <c r="V67" s="656">
        <f t="shared" si="116"/>
        <v>-3494142</v>
      </c>
      <c r="W67" s="662">
        <f>+'Asset Classification'!P67</f>
        <v>0</v>
      </c>
      <c r="X67" s="656">
        <f t="shared" si="117"/>
        <v>0</v>
      </c>
      <c r="Y67" s="656">
        <f t="shared" si="118"/>
        <v>0</v>
      </c>
      <c r="Z67" s="661">
        <f>+'Asset Classification'!Q67</f>
        <v>12784494</v>
      </c>
      <c r="AA67" s="662">
        <f>+'Asset Classification'!R67</f>
        <v>0</v>
      </c>
      <c r="AB67" s="661">
        <f>+'Asset Classification'!S67</f>
        <v>3905033</v>
      </c>
      <c r="AC67" s="656">
        <f t="shared" si="119"/>
        <v>6392247</v>
      </c>
      <c r="AD67" s="656">
        <f t="shared" si="120"/>
        <v>-2487214</v>
      </c>
      <c r="AE67" s="662">
        <f>+'Asset Classification'!T67</f>
        <v>0</v>
      </c>
      <c r="AF67" s="656">
        <f t="shared" si="121"/>
        <v>0</v>
      </c>
      <c r="AG67" s="656">
        <f t="shared" si="122"/>
        <v>0</v>
      </c>
      <c r="AH67" s="661">
        <f>+'Asset Classification'!U67</f>
        <v>6278140</v>
      </c>
      <c r="AI67" s="662">
        <f>+'Asset Classification'!V67</f>
        <v>1765812</v>
      </c>
      <c r="AJ67" s="661">
        <f>+'Asset Classification'!W67</f>
        <v>4536391</v>
      </c>
      <c r="AK67" s="656">
        <f t="shared" si="123"/>
        <v>6278140</v>
      </c>
      <c r="AL67" s="656">
        <f t="shared" si="124"/>
        <v>-1741749</v>
      </c>
      <c r="AM67" s="662">
        <f>+'Asset Classification'!X67</f>
        <v>0</v>
      </c>
      <c r="AN67" s="656">
        <f t="shared" si="125"/>
        <v>1765812</v>
      </c>
      <c r="AO67" s="656">
        <f t="shared" si="126"/>
        <v>-1765812</v>
      </c>
      <c r="AP67" s="643">
        <f t="shared" si="127"/>
        <v>11051839</v>
      </c>
      <c r="AQ67" s="643">
        <f t="shared" si="127"/>
        <v>17664792.600000001</v>
      </c>
      <c r="AR67" s="643">
        <f t="shared" si="128"/>
        <v>-6612953.6000000015</v>
      </c>
      <c r="AS67" s="656">
        <f t="shared" si="129"/>
        <v>0</v>
      </c>
      <c r="AT67" s="656">
        <f t="shared" si="129"/>
        <v>1851057.2</v>
      </c>
      <c r="AU67" s="656">
        <f t="shared" si="130"/>
        <v>-1851057.2</v>
      </c>
      <c r="AV67" s="670"/>
      <c r="AW67" s="670"/>
      <c r="AX67" s="670"/>
      <c r="AY67" s="670"/>
      <c r="AZ67" s="670"/>
      <c r="BA67" s="670"/>
      <c r="BB67" s="670"/>
      <c r="BC67" s="670"/>
    </row>
    <row r="68" spans="1:55" s="231" customFormat="1" ht="21.75" customHeight="1">
      <c r="A68" s="654">
        <v>35</v>
      </c>
      <c r="B68" s="431" t="s">
        <v>692</v>
      </c>
      <c r="C68" s="655">
        <f>+'Asset Classification'!C68</f>
        <v>504738103</v>
      </c>
      <c r="D68" s="656">
        <f>+'Asset Classification'!D68</f>
        <v>149497573</v>
      </c>
      <c r="E68" s="661">
        <f>+'Asset Classification'!E68</f>
        <v>468470724</v>
      </c>
      <c r="F68" s="662">
        <f>+'Asset Classification'!F68</f>
        <v>149497573</v>
      </c>
      <c r="G68" s="661">
        <f>+'Asset Classification'!G68</f>
        <v>450793</v>
      </c>
      <c r="H68" s="656">
        <f t="shared" si="109"/>
        <v>4684707.24</v>
      </c>
      <c r="I68" s="656">
        <f t="shared" si="110"/>
        <v>-4233914.24</v>
      </c>
      <c r="J68" s="661">
        <f>+'Asset Classification'!I68</f>
        <v>22009347</v>
      </c>
      <c r="K68" s="662">
        <f>+'Asset Classification'!J68</f>
        <v>0</v>
      </c>
      <c r="L68" s="661">
        <f>+'Asset Classification'!K68</f>
        <v>1357412</v>
      </c>
      <c r="M68" s="656">
        <f t="shared" si="111"/>
        <v>2200934.7000000002</v>
      </c>
      <c r="N68" s="656">
        <f t="shared" si="112"/>
        <v>-843522.70000000019</v>
      </c>
      <c r="O68" s="662">
        <f>+'Asset Classification'!L68</f>
        <v>85245</v>
      </c>
      <c r="P68" s="656">
        <f t="shared" si="113"/>
        <v>0</v>
      </c>
      <c r="Q68" s="656">
        <f t="shared" si="114"/>
        <v>85245</v>
      </c>
      <c r="R68" s="661">
        <f>+'Asset Classification'!M68</f>
        <v>3388601</v>
      </c>
      <c r="S68" s="662">
        <f>+'Asset Classification'!N68</f>
        <v>0</v>
      </c>
      <c r="T68" s="661">
        <f>+'Asset Classification'!O68</f>
        <v>1070803</v>
      </c>
      <c r="U68" s="656">
        <f t="shared" si="115"/>
        <v>847150.25</v>
      </c>
      <c r="V68" s="656">
        <f t="shared" si="116"/>
        <v>223652.75</v>
      </c>
      <c r="W68" s="662">
        <f>+'Asset Classification'!P68</f>
        <v>0</v>
      </c>
      <c r="X68" s="656">
        <f t="shared" si="117"/>
        <v>0</v>
      </c>
      <c r="Y68" s="656">
        <f t="shared" si="118"/>
        <v>0</v>
      </c>
      <c r="Z68" s="661">
        <f>+'Asset Classification'!Q68</f>
        <v>383068</v>
      </c>
      <c r="AA68" s="662">
        <f>+'Asset Classification'!R68</f>
        <v>0</v>
      </c>
      <c r="AB68" s="661">
        <f>+'Asset Classification'!S68</f>
        <v>124232</v>
      </c>
      <c r="AC68" s="656">
        <f t="shared" si="119"/>
        <v>191534</v>
      </c>
      <c r="AD68" s="656">
        <f t="shared" si="120"/>
        <v>-67302</v>
      </c>
      <c r="AE68" s="662">
        <f>+'Asset Classification'!T68</f>
        <v>0</v>
      </c>
      <c r="AF68" s="656">
        <f t="shared" si="121"/>
        <v>0</v>
      </c>
      <c r="AG68" s="656">
        <f t="shared" si="122"/>
        <v>0</v>
      </c>
      <c r="AH68" s="661">
        <f>+'Asset Classification'!U68</f>
        <v>10486363</v>
      </c>
      <c r="AI68" s="662">
        <f>+'Asset Classification'!V68</f>
        <v>0</v>
      </c>
      <c r="AJ68" s="661">
        <f>+'Asset Classification'!W68</f>
        <v>1512033</v>
      </c>
      <c r="AK68" s="656">
        <f t="shared" si="123"/>
        <v>10486363</v>
      </c>
      <c r="AL68" s="656">
        <f t="shared" si="124"/>
        <v>-8974330</v>
      </c>
      <c r="AM68" s="662">
        <f>+'Asset Classification'!X68</f>
        <v>0</v>
      </c>
      <c r="AN68" s="656">
        <f t="shared" si="125"/>
        <v>0</v>
      </c>
      <c r="AO68" s="656">
        <f t="shared" si="126"/>
        <v>0</v>
      </c>
      <c r="AP68" s="643">
        <f t="shared" si="127"/>
        <v>4064480</v>
      </c>
      <c r="AQ68" s="643">
        <f t="shared" si="127"/>
        <v>13725981.949999999</v>
      </c>
      <c r="AR68" s="643">
        <f t="shared" si="128"/>
        <v>-9661501.9499999993</v>
      </c>
      <c r="AS68" s="656">
        <f t="shared" si="129"/>
        <v>85245</v>
      </c>
      <c r="AT68" s="656">
        <f t="shared" si="129"/>
        <v>0</v>
      </c>
      <c r="AU68" s="656">
        <f t="shared" si="130"/>
        <v>85245</v>
      </c>
      <c r="AV68" s="670"/>
      <c r="AW68" s="670"/>
      <c r="AX68" s="670"/>
      <c r="AY68" s="670"/>
      <c r="AZ68" s="670"/>
      <c r="BA68" s="670"/>
      <c r="BB68" s="670"/>
      <c r="BC68" s="670"/>
    </row>
    <row r="69" spans="1:55" s="231" customFormat="1" ht="21.75" customHeight="1">
      <c r="A69" s="654">
        <v>36</v>
      </c>
      <c r="B69" s="431" t="s">
        <v>693</v>
      </c>
      <c r="C69" s="655">
        <f>+'Asset Classification'!C69</f>
        <v>1052700939</v>
      </c>
      <c r="D69" s="656">
        <f>+'Asset Classification'!D69</f>
        <v>275383411</v>
      </c>
      <c r="E69" s="661">
        <f>+'Asset Classification'!E69</f>
        <v>1048369136</v>
      </c>
      <c r="F69" s="662">
        <f>+'Asset Classification'!F69</f>
        <v>271333956</v>
      </c>
      <c r="G69" s="661">
        <f>+'Asset Classification'!G69</f>
        <v>7526993</v>
      </c>
      <c r="H69" s="656">
        <f t="shared" si="109"/>
        <v>10483691.359999999</v>
      </c>
      <c r="I69" s="656">
        <f t="shared" si="110"/>
        <v>-2956698.3599999994</v>
      </c>
      <c r="J69" s="661">
        <f>+'Asset Classification'!I69</f>
        <v>843100</v>
      </c>
      <c r="K69" s="662">
        <f>+'Asset Classification'!J69</f>
        <v>840183</v>
      </c>
      <c r="L69" s="661">
        <f>+'Asset Classification'!K69</f>
        <v>423622</v>
      </c>
      <c r="M69" s="656">
        <f t="shared" si="111"/>
        <v>84310</v>
      </c>
      <c r="N69" s="656">
        <f t="shared" si="112"/>
        <v>339312</v>
      </c>
      <c r="O69" s="662">
        <f>+'Asset Classification'!L69</f>
        <v>420092</v>
      </c>
      <c r="P69" s="656">
        <f t="shared" si="113"/>
        <v>84018.3</v>
      </c>
      <c r="Q69" s="656">
        <f t="shared" si="114"/>
        <v>336073.7</v>
      </c>
      <c r="R69" s="661">
        <f>+'Asset Classification'!M69</f>
        <v>3274203</v>
      </c>
      <c r="S69" s="662">
        <f>+'Asset Classification'!N69</f>
        <v>3209272</v>
      </c>
      <c r="T69" s="661">
        <f>+'Asset Classification'!O69</f>
        <v>818295</v>
      </c>
      <c r="U69" s="656">
        <f t="shared" si="115"/>
        <v>818550.75</v>
      </c>
      <c r="V69" s="656">
        <f t="shared" si="116"/>
        <v>-255.75</v>
      </c>
      <c r="W69" s="662">
        <f>+'Asset Classification'!P69</f>
        <v>802318</v>
      </c>
      <c r="X69" s="656">
        <f t="shared" si="117"/>
        <v>802318</v>
      </c>
      <c r="Y69" s="656">
        <f t="shared" si="118"/>
        <v>0</v>
      </c>
      <c r="Z69" s="661">
        <f>+'Asset Classification'!Q69</f>
        <v>157869</v>
      </c>
      <c r="AA69" s="662">
        <f>+'Asset Classification'!R69</f>
        <v>0</v>
      </c>
      <c r="AB69" s="661">
        <f>+'Asset Classification'!S69</f>
        <v>78934</v>
      </c>
      <c r="AC69" s="656">
        <f t="shared" si="119"/>
        <v>78934.5</v>
      </c>
      <c r="AD69" s="656">
        <f t="shared" si="120"/>
        <v>-0.5</v>
      </c>
      <c r="AE69" s="662">
        <f>+'Asset Classification'!T69</f>
        <v>0</v>
      </c>
      <c r="AF69" s="656">
        <f t="shared" si="121"/>
        <v>0</v>
      </c>
      <c r="AG69" s="656">
        <f t="shared" si="122"/>
        <v>0</v>
      </c>
      <c r="AH69" s="661">
        <f>+'Asset Classification'!U69</f>
        <v>56631</v>
      </c>
      <c r="AI69" s="662">
        <f>+'Asset Classification'!V69</f>
        <v>0</v>
      </c>
      <c r="AJ69" s="661">
        <f>+'Asset Classification'!W69</f>
        <v>56631</v>
      </c>
      <c r="AK69" s="656">
        <f t="shared" si="123"/>
        <v>56631</v>
      </c>
      <c r="AL69" s="656">
        <f t="shared" si="124"/>
        <v>0</v>
      </c>
      <c r="AM69" s="662">
        <f>+'Asset Classification'!X69</f>
        <v>0</v>
      </c>
      <c r="AN69" s="656">
        <f t="shared" si="125"/>
        <v>0</v>
      </c>
      <c r="AO69" s="656">
        <f t="shared" si="126"/>
        <v>0</v>
      </c>
      <c r="AP69" s="643">
        <f t="shared" si="127"/>
        <v>1377482</v>
      </c>
      <c r="AQ69" s="643">
        <f t="shared" si="127"/>
        <v>1038426.25</v>
      </c>
      <c r="AR69" s="643">
        <f t="shared" si="128"/>
        <v>339055.75</v>
      </c>
      <c r="AS69" s="656">
        <f t="shared" si="129"/>
        <v>1222410</v>
      </c>
      <c r="AT69" s="656">
        <f t="shared" si="129"/>
        <v>886336.3</v>
      </c>
      <c r="AU69" s="656">
        <f t="shared" si="130"/>
        <v>336073.69999999995</v>
      </c>
      <c r="AV69" s="670"/>
      <c r="AW69" s="670"/>
      <c r="AX69" s="670"/>
      <c r="AY69" s="670"/>
      <c r="AZ69" s="670"/>
      <c r="BA69" s="670"/>
      <c r="BB69" s="670"/>
      <c r="BC69" s="670"/>
    </row>
    <row r="70" spans="1:55" s="231" customFormat="1" ht="21.75" customHeight="1">
      <c r="A70" s="654">
        <v>37</v>
      </c>
      <c r="B70" s="431" t="s">
        <v>694</v>
      </c>
      <c r="C70" s="655">
        <f>+'Asset Classification'!C70</f>
        <v>356367366</v>
      </c>
      <c r="D70" s="656">
        <f>+'Asset Classification'!D70</f>
        <v>95166797</v>
      </c>
      <c r="E70" s="661">
        <f>+'Asset Classification'!E70</f>
        <v>352786640</v>
      </c>
      <c r="F70" s="662">
        <f>+'Asset Classification'!F70</f>
        <v>91695433</v>
      </c>
      <c r="G70" s="661">
        <f>+'Asset Classification'!G70</f>
        <v>2635725</v>
      </c>
      <c r="H70" s="656">
        <f t="shared" si="109"/>
        <v>3527866.4</v>
      </c>
      <c r="I70" s="656">
        <f t="shared" si="110"/>
        <v>-892141.39999999991</v>
      </c>
      <c r="J70" s="661">
        <f>+'Asset Classification'!I70</f>
        <v>3503997</v>
      </c>
      <c r="K70" s="662">
        <f>+'Asset Classification'!J70</f>
        <v>3471364</v>
      </c>
      <c r="L70" s="661">
        <f>+'Asset Classification'!K70</f>
        <v>350422</v>
      </c>
      <c r="M70" s="656">
        <f t="shared" si="111"/>
        <v>350399.7</v>
      </c>
      <c r="N70" s="656">
        <f t="shared" si="112"/>
        <v>22.299999999988358</v>
      </c>
      <c r="O70" s="662">
        <f>+'Asset Classification'!L70</f>
        <v>347136</v>
      </c>
      <c r="P70" s="656">
        <f t="shared" si="113"/>
        <v>347136.4</v>
      </c>
      <c r="Q70" s="656">
        <f t="shared" si="114"/>
        <v>-0.40000000002328306</v>
      </c>
      <c r="R70" s="661">
        <f>+'Asset Classification'!M70</f>
        <v>11007</v>
      </c>
      <c r="S70" s="662">
        <f>+'Asset Classification'!N70</f>
        <v>0</v>
      </c>
      <c r="T70" s="661">
        <f>+'Asset Classification'!O70</f>
        <v>2752</v>
      </c>
      <c r="U70" s="656">
        <f t="shared" si="115"/>
        <v>2751.75</v>
      </c>
      <c r="V70" s="656">
        <f t="shared" si="116"/>
        <v>0.25</v>
      </c>
      <c r="W70" s="662">
        <f>+'Asset Classification'!P70</f>
        <v>0</v>
      </c>
      <c r="X70" s="656">
        <f t="shared" si="117"/>
        <v>0</v>
      </c>
      <c r="Y70" s="656">
        <f t="shared" si="118"/>
        <v>0</v>
      </c>
      <c r="Z70" s="661">
        <f>+'Asset Classification'!Q70</f>
        <v>15108</v>
      </c>
      <c r="AA70" s="662">
        <f>+'Asset Classification'!R70</f>
        <v>0</v>
      </c>
      <c r="AB70" s="661">
        <f>+'Asset Classification'!S70</f>
        <v>7554</v>
      </c>
      <c r="AC70" s="656">
        <f t="shared" si="119"/>
        <v>7554</v>
      </c>
      <c r="AD70" s="656">
        <f t="shared" si="120"/>
        <v>0</v>
      </c>
      <c r="AE70" s="662">
        <f>+'Asset Classification'!T70</f>
        <v>0</v>
      </c>
      <c r="AF70" s="656">
        <f t="shared" si="121"/>
        <v>0</v>
      </c>
      <c r="AG70" s="656">
        <f t="shared" si="122"/>
        <v>0</v>
      </c>
      <c r="AH70" s="661">
        <f>+'Asset Classification'!U70</f>
        <v>50614</v>
      </c>
      <c r="AI70" s="662">
        <f>+'Asset Classification'!V70</f>
        <v>0</v>
      </c>
      <c r="AJ70" s="661">
        <f>+'Asset Classification'!W70</f>
        <v>51284</v>
      </c>
      <c r="AK70" s="656">
        <f t="shared" si="123"/>
        <v>50614</v>
      </c>
      <c r="AL70" s="656">
        <f t="shared" si="124"/>
        <v>670</v>
      </c>
      <c r="AM70" s="662">
        <f>+'Asset Classification'!X70</f>
        <v>0</v>
      </c>
      <c r="AN70" s="656">
        <f t="shared" si="125"/>
        <v>0</v>
      </c>
      <c r="AO70" s="656">
        <f t="shared" si="126"/>
        <v>0</v>
      </c>
      <c r="AP70" s="643">
        <f t="shared" si="127"/>
        <v>412012</v>
      </c>
      <c r="AQ70" s="643">
        <f t="shared" si="127"/>
        <v>411319.45</v>
      </c>
      <c r="AR70" s="643">
        <f t="shared" si="128"/>
        <v>692.54999999998836</v>
      </c>
      <c r="AS70" s="656">
        <f t="shared" si="129"/>
        <v>347136</v>
      </c>
      <c r="AT70" s="656">
        <f t="shared" si="129"/>
        <v>347136.4</v>
      </c>
      <c r="AU70" s="656">
        <f t="shared" si="130"/>
        <v>-0.40000000002328306</v>
      </c>
      <c r="AV70" s="670"/>
      <c r="AW70" s="670"/>
      <c r="AX70" s="670"/>
      <c r="AY70" s="670"/>
      <c r="AZ70" s="670"/>
      <c r="BA70" s="670"/>
      <c r="BB70" s="670"/>
      <c r="BC70" s="670"/>
    </row>
    <row r="71" spans="1:55" s="653" customFormat="1" ht="28.5" customHeight="1">
      <c r="A71" s="626">
        <v>38</v>
      </c>
      <c r="B71" s="626" t="s">
        <v>678</v>
      </c>
      <c r="C71" s="644">
        <f>+'Asset Classification'!C71</f>
        <v>9161876946</v>
      </c>
      <c r="D71" s="644">
        <f>+'Asset Classification'!D71</f>
        <v>3519840906</v>
      </c>
      <c r="E71" s="644">
        <f>+'Asset Classification'!E71</f>
        <v>8874674380</v>
      </c>
      <c r="F71" s="644">
        <f>+'Asset Classification'!F71</f>
        <v>3464058179</v>
      </c>
      <c r="G71" s="644">
        <f>+'Asset Classification'!G71</f>
        <v>69994518</v>
      </c>
      <c r="H71" s="644">
        <f t="shared" ref="H71:I71" si="131">SUM(H57:H70)</f>
        <v>88746743.799999997</v>
      </c>
      <c r="I71" s="644">
        <f t="shared" si="131"/>
        <v>-18752225.800000001</v>
      </c>
      <c r="J71" s="644">
        <f>+'Asset Classification'!I71</f>
        <v>101350120</v>
      </c>
      <c r="K71" s="644">
        <f>+'Asset Classification'!J71</f>
        <v>10347115</v>
      </c>
      <c r="L71" s="644">
        <f>+'Asset Classification'!K71</f>
        <v>11224998</v>
      </c>
      <c r="M71" s="644">
        <f t="shared" ref="M71:N71" si="132">SUM(M57:M70)</f>
        <v>10135012</v>
      </c>
      <c r="N71" s="644">
        <f t="shared" si="132"/>
        <v>1089985.9999999998</v>
      </c>
      <c r="O71" s="644">
        <f>+'Asset Classification'!L71</f>
        <v>2672938</v>
      </c>
      <c r="P71" s="644">
        <f t="shared" ref="P71:Q71" si="133">SUM(P57:P70)</f>
        <v>1034711.5000000001</v>
      </c>
      <c r="Q71" s="644">
        <f t="shared" si="133"/>
        <v>1638226.5</v>
      </c>
      <c r="R71" s="644">
        <f>+'Asset Classification'!M71</f>
        <v>69693118</v>
      </c>
      <c r="S71" s="644">
        <f>+'Asset Classification'!N71</f>
        <v>17976299</v>
      </c>
      <c r="T71" s="644">
        <f>+'Asset Classification'!O71</f>
        <v>9975700</v>
      </c>
      <c r="U71" s="644">
        <f t="shared" ref="U71:Y71" si="134">SUM(U57:U70)</f>
        <v>17423279.5</v>
      </c>
      <c r="V71" s="644">
        <f t="shared" si="134"/>
        <v>-7447579.5</v>
      </c>
      <c r="W71" s="644">
        <f>+'Asset Classification'!P71</f>
        <v>1942842</v>
      </c>
      <c r="X71" s="644">
        <f t="shared" si="134"/>
        <v>4494074.75</v>
      </c>
      <c r="Y71" s="644">
        <f t="shared" si="134"/>
        <v>-2551232.75</v>
      </c>
      <c r="Z71" s="644">
        <f>+'Asset Classification'!Q71</f>
        <v>80293320</v>
      </c>
      <c r="AA71" s="644">
        <f>+'Asset Classification'!R71</f>
        <v>25674905</v>
      </c>
      <c r="AB71" s="644">
        <f>+'Asset Classification'!S71</f>
        <v>17020649</v>
      </c>
      <c r="AC71" s="644">
        <f t="shared" ref="AC71:AD71" si="135">SUM(AC57:AC70)</f>
        <v>40146660</v>
      </c>
      <c r="AD71" s="644">
        <f t="shared" si="135"/>
        <v>-23126011</v>
      </c>
      <c r="AE71" s="644">
        <f>+'Asset Classification'!T71</f>
        <v>1844064</v>
      </c>
      <c r="AF71" s="644">
        <f t="shared" ref="AF71:AG71" si="136">SUM(AF57:AF70)</f>
        <v>12837452.5</v>
      </c>
      <c r="AG71" s="644">
        <f t="shared" si="136"/>
        <v>-10993388.5</v>
      </c>
      <c r="AH71" s="644">
        <f>+'Asset Classification'!U71</f>
        <v>35866008</v>
      </c>
      <c r="AI71" s="644">
        <f>+'Asset Classification'!V71</f>
        <v>1784408</v>
      </c>
      <c r="AJ71" s="644">
        <f>+'Asset Classification'!W71</f>
        <v>18691475</v>
      </c>
      <c r="AK71" s="644">
        <f t="shared" ref="AK71:AL71" si="137">SUM(AK57:AK70)</f>
        <v>35866008</v>
      </c>
      <c r="AL71" s="644">
        <f t="shared" si="137"/>
        <v>-17174533</v>
      </c>
      <c r="AM71" s="644">
        <f>+'Asset Classification'!X71</f>
        <v>18596</v>
      </c>
      <c r="AN71" s="644">
        <f t="shared" ref="AN71:AU71" si="138">SUM(AN57:AN70)</f>
        <v>1784408</v>
      </c>
      <c r="AO71" s="644">
        <f t="shared" si="138"/>
        <v>-1765812</v>
      </c>
      <c r="AP71" s="644">
        <f t="shared" si="138"/>
        <v>56912822</v>
      </c>
      <c r="AQ71" s="644">
        <f t="shared" si="138"/>
        <v>103570959.5</v>
      </c>
      <c r="AR71" s="644">
        <f t="shared" si="138"/>
        <v>-46658137.5</v>
      </c>
      <c r="AS71" s="644">
        <f t="shared" si="138"/>
        <v>6478440</v>
      </c>
      <c r="AT71" s="644">
        <f t="shared" si="138"/>
        <v>20150646.75</v>
      </c>
      <c r="AU71" s="644">
        <f t="shared" si="138"/>
        <v>-13672206.750000002</v>
      </c>
      <c r="AV71" s="663">
        <f>+'Loans Receivable'!C85</f>
        <v>9161876946</v>
      </c>
    </row>
    <row r="72" spans="1:55" s="231" customFormat="1" ht="21.75" customHeight="1">
      <c r="A72" s="654">
        <v>39</v>
      </c>
      <c r="B72" s="431" t="s">
        <v>695</v>
      </c>
      <c r="C72" s="655">
        <f>+'Asset Classification'!C72</f>
        <v>4692740166</v>
      </c>
      <c r="D72" s="656">
        <f>+'Asset Classification'!D72</f>
        <v>1524124096</v>
      </c>
      <c r="E72" s="661">
        <f>+'Asset Classification'!E72</f>
        <v>4589723999</v>
      </c>
      <c r="F72" s="662">
        <f>+'Asset Classification'!F72</f>
        <v>1506482532</v>
      </c>
      <c r="G72" s="661">
        <f>+'Asset Classification'!G72</f>
        <v>32199253</v>
      </c>
      <c r="H72" s="656">
        <f t="shared" ref="H72:H73" si="139">+E72*1%</f>
        <v>45897239.990000002</v>
      </c>
      <c r="I72" s="656">
        <f t="shared" ref="I72:I73" si="140">+G72-H72</f>
        <v>-13697986.990000002</v>
      </c>
      <c r="J72" s="661">
        <f>+'Asset Classification'!I72</f>
        <v>10614105</v>
      </c>
      <c r="K72" s="662">
        <f>+'Asset Classification'!J72</f>
        <v>902749</v>
      </c>
      <c r="L72" s="661">
        <f>+'Asset Classification'!K72</f>
        <v>588956</v>
      </c>
      <c r="M72" s="656">
        <f t="shared" ref="M72:M73" si="141">+J72*10%</f>
        <v>1061410.5</v>
      </c>
      <c r="N72" s="656">
        <f t="shared" ref="N72:N73" si="142">+L72-M72</f>
        <v>-472454.5</v>
      </c>
      <c r="O72" s="662">
        <f>+'Asset Classification'!L72</f>
        <v>0</v>
      </c>
      <c r="P72" s="656">
        <f t="shared" ref="P72:P73" si="143">+K72*10%</f>
        <v>90274.900000000009</v>
      </c>
      <c r="Q72" s="656">
        <f t="shared" ref="Q72:Q73" si="144">+O72-P72</f>
        <v>-90274.900000000009</v>
      </c>
      <c r="R72" s="661">
        <f>+'Asset Classification'!M72</f>
        <v>14298432</v>
      </c>
      <c r="S72" s="662">
        <f>+'Asset Classification'!N72</f>
        <v>964827</v>
      </c>
      <c r="T72" s="661">
        <f>+'Asset Classification'!O72</f>
        <v>1397397</v>
      </c>
      <c r="U72" s="656">
        <f t="shared" ref="U72:U73" si="145">+R72*25%</f>
        <v>3574608</v>
      </c>
      <c r="V72" s="656">
        <f t="shared" ref="V72:V73" si="146">+T72-U72</f>
        <v>-2177211</v>
      </c>
      <c r="W72" s="662">
        <f>+'Asset Classification'!P72</f>
        <v>0</v>
      </c>
      <c r="X72" s="656">
        <f t="shared" ref="X72:X73" si="147">+S72*25%</f>
        <v>241206.75</v>
      </c>
      <c r="Y72" s="656">
        <f t="shared" ref="Y72:Y73" si="148">+W72-X72</f>
        <v>-241206.75</v>
      </c>
      <c r="Z72" s="661">
        <f>+'Asset Classification'!Q72</f>
        <v>60151042</v>
      </c>
      <c r="AA72" s="662">
        <f>+'Asset Classification'!R72</f>
        <v>14215877</v>
      </c>
      <c r="AB72" s="661">
        <f>+'Asset Classification'!S72</f>
        <v>5434903</v>
      </c>
      <c r="AC72" s="656">
        <f t="shared" ref="AC72:AC73" si="149">+Z72*50%</f>
        <v>30075521</v>
      </c>
      <c r="AD72" s="656">
        <f t="shared" ref="AD72:AD73" si="150">+AB72-AC72</f>
        <v>-24640618</v>
      </c>
      <c r="AE72" s="662">
        <f>+'Asset Classification'!T72</f>
        <v>0</v>
      </c>
      <c r="AF72" s="656">
        <f t="shared" ref="AF72:AF73" si="151">+AA72*50%</f>
        <v>7107938.5</v>
      </c>
      <c r="AG72" s="656">
        <f t="shared" ref="AG72:AG73" si="152">+AE72-AF72</f>
        <v>-7107938.5</v>
      </c>
      <c r="AH72" s="661">
        <f>+'Asset Classification'!U72</f>
        <v>17952588</v>
      </c>
      <c r="AI72" s="662">
        <f>+'Asset Classification'!V72</f>
        <v>1558111</v>
      </c>
      <c r="AJ72" s="661">
        <f>+'Asset Classification'!W72</f>
        <v>7048653</v>
      </c>
      <c r="AK72" s="656">
        <f t="shared" ref="AK72:AK73" si="153">+AH72*100%</f>
        <v>17952588</v>
      </c>
      <c r="AL72" s="656">
        <f t="shared" ref="AL72:AL73" si="154">+AJ72-AK72</f>
        <v>-10903935</v>
      </c>
      <c r="AM72" s="662">
        <f>+'Asset Classification'!X72</f>
        <v>0</v>
      </c>
      <c r="AN72" s="656">
        <f t="shared" ref="AN72:AN73" si="155">+AI72*100%</f>
        <v>1558111</v>
      </c>
      <c r="AO72" s="656">
        <f t="shared" ref="AO72:AO73" si="156">+AM72-AN72</f>
        <v>-1558111</v>
      </c>
      <c r="AP72" s="643">
        <f t="shared" ref="AP72:AP73" si="157">+L72+T72+AB72+AJ72</f>
        <v>14469909</v>
      </c>
      <c r="AQ72" s="643">
        <f t="shared" ref="AQ72:AQ73" si="158">+M72+U72+AC72+AK72</f>
        <v>52664127.5</v>
      </c>
      <c r="AR72" s="643">
        <f t="shared" ref="AR72:AR73" si="159">+AP72-AQ72</f>
        <v>-38194218.5</v>
      </c>
      <c r="AS72" s="656">
        <f t="shared" ref="AS72:AS73" si="160">+O72+W72+AE72+AM72</f>
        <v>0</v>
      </c>
      <c r="AT72" s="656">
        <f t="shared" ref="AT72:AT73" si="161">+P72+X72+AF72+AN72</f>
        <v>8997531.1500000004</v>
      </c>
      <c r="AU72" s="656">
        <f t="shared" ref="AU72:AU73" si="162">+AS72-AT72</f>
        <v>-8997531.1500000004</v>
      </c>
      <c r="AV72" s="670"/>
      <c r="AW72" s="670"/>
      <c r="AX72" s="670"/>
      <c r="AY72" s="670"/>
      <c r="AZ72" s="670"/>
      <c r="BA72" s="670"/>
      <c r="BB72" s="670"/>
      <c r="BC72" s="670"/>
    </row>
    <row r="73" spans="1:55" s="231" customFormat="1" ht="21.75" customHeight="1">
      <c r="A73" s="654"/>
      <c r="B73" s="431" t="s">
        <v>670</v>
      </c>
      <c r="C73" s="655">
        <f>+'Asset Classification'!C73</f>
        <v>0</v>
      </c>
      <c r="D73" s="656">
        <f>+'Asset Classification'!D73</f>
        <v>0</v>
      </c>
      <c r="E73" s="661">
        <f>+'Asset Classification'!E73</f>
        <v>0</v>
      </c>
      <c r="F73" s="662">
        <f>+'Asset Classification'!F73</f>
        <v>0</v>
      </c>
      <c r="G73" s="661">
        <f>+'Asset Classification'!G73</f>
        <v>0</v>
      </c>
      <c r="H73" s="656">
        <f t="shared" si="139"/>
        <v>0</v>
      </c>
      <c r="I73" s="656">
        <f t="shared" si="140"/>
        <v>0</v>
      </c>
      <c r="J73" s="661">
        <f>+'Asset Classification'!I73</f>
        <v>0</v>
      </c>
      <c r="K73" s="662">
        <f>+'Asset Classification'!J73</f>
        <v>0</v>
      </c>
      <c r="L73" s="661">
        <f>+'Asset Classification'!K73</f>
        <v>0</v>
      </c>
      <c r="M73" s="656">
        <f t="shared" si="141"/>
        <v>0</v>
      </c>
      <c r="N73" s="656">
        <f t="shared" si="142"/>
        <v>0</v>
      </c>
      <c r="O73" s="662">
        <f>+'Asset Classification'!L73</f>
        <v>0</v>
      </c>
      <c r="P73" s="656">
        <f t="shared" si="143"/>
        <v>0</v>
      </c>
      <c r="Q73" s="656">
        <f t="shared" si="144"/>
        <v>0</v>
      </c>
      <c r="R73" s="661">
        <f>+'Asset Classification'!M73</f>
        <v>0</v>
      </c>
      <c r="S73" s="662">
        <f>+'Asset Classification'!N73</f>
        <v>0</v>
      </c>
      <c r="T73" s="661">
        <f>+'Asset Classification'!O73</f>
        <v>0</v>
      </c>
      <c r="U73" s="656">
        <f t="shared" si="145"/>
        <v>0</v>
      </c>
      <c r="V73" s="656">
        <f t="shared" si="146"/>
        <v>0</v>
      </c>
      <c r="W73" s="662">
        <f>+'Asset Classification'!P73</f>
        <v>0</v>
      </c>
      <c r="X73" s="656">
        <f t="shared" si="147"/>
        <v>0</v>
      </c>
      <c r="Y73" s="656">
        <f t="shared" si="148"/>
        <v>0</v>
      </c>
      <c r="Z73" s="661">
        <f>+'Asset Classification'!Q73</f>
        <v>0</v>
      </c>
      <c r="AA73" s="662">
        <f>+'Asset Classification'!R73</f>
        <v>0</v>
      </c>
      <c r="AB73" s="661">
        <f>+'Asset Classification'!S73</f>
        <v>0</v>
      </c>
      <c r="AC73" s="656">
        <f t="shared" si="149"/>
        <v>0</v>
      </c>
      <c r="AD73" s="656">
        <f t="shared" si="150"/>
        <v>0</v>
      </c>
      <c r="AE73" s="662">
        <f>+'Asset Classification'!T73</f>
        <v>0</v>
      </c>
      <c r="AF73" s="656">
        <f t="shared" si="151"/>
        <v>0</v>
      </c>
      <c r="AG73" s="656">
        <f t="shared" si="152"/>
        <v>0</v>
      </c>
      <c r="AH73" s="661">
        <f>+'Asset Classification'!U73</f>
        <v>0</v>
      </c>
      <c r="AI73" s="662">
        <f>+'Asset Classification'!V73</f>
        <v>0</v>
      </c>
      <c r="AJ73" s="661">
        <f>+'Asset Classification'!W73</f>
        <v>0</v>
      </c>
      <c r="AK73" s="656">
        <f t="shared" si="153"/>
        <v>0</v>
      </c>
      <c r="AL73" s="656">
        <f t="shared" si="154"/>
        <v>0</v>
      </c>
      <c r="AM73" s="662">
        <f>+'Asset Classification'!X73</f>
        <v>0</v>
      </c>
      <c r="AN73" s="656">
        <f t="shared" si="155"/>
        <v>0</v>
      </c>
      <c r="AO73" s="656">
        <f t="shared" si="156"/>
        <v>0</v>
      </c>
      <c r="AP73" s="643">
        <f t="shared" si="157"/>
        <v>0</v>
      </c>
      <c r="AQ73" s="643">
        <f t="shared" si="158"/>
        <v>0</v>
      </c>
      <c r="AR73" s="643">
        <f t="shared" si="159"/>
        <v>0</v>
      </c>
      <c r="AS73" s="656">
        <f t="shared" si="160"/>
        <v>0</v>
      </c>
      <c r="AT73" s="656">
        <f t="shared" si="161"/>
        <v>0</v>
      </c>
      <c r="AU73" s="656">
        <f t="shared" si="162"/>
        <v>0</v>
      </c>
      <c r="AV73" s="670"/>
      <c r="AW73" s="670"/>
      <c r="AX73" s="670"/>
      <c r="AY73" s="670"/>
      <c r="AZ73" s="670"/>
      <c r="BA73" s="670"/>
      <c r="BB73" s="670"/>
      <c r="BC73" s="670"/>
    </row>
    <row r="74" spans="1:55" s="653" customFormat="1" ht="28.5" customHeight="1">
      <c r="A74" s="626">
        <v>40</v>
      </c>
      <c r="B74" s="626" t="s">
        <v>696</v>
      </c>
      <c r="C74" s="644">
        <f>+'Asset Classification'!C74</f>
        <v>13854617112</v>
      </c>
      <c r="D74" s="644">
        <f>+'Asset Classification'!D74</f>
        <v>5043965002</v>
      </c>
      <c r="E74" s="644">
        <f>+'Asset Classification'!E74</f>
        <v>13464398379</v>
      </c>
      <c r="F74" s="644">
        <f>+'Asset Classification'!F74</f>
        <v>4970540711</v>
      </c>
      <c r="G74" s="644">
        <f>+'Asset Classification'!G74</f>
        <v>102193771</v>
      </c>
      <c r="H74" s="644">
        <f t="shared" ref="H74:I74" si="163">+H53+H72</f>
        <v>134643983.79000002</v>
      </c>
      <c r="I74" s="644">
        <f t="shared" si="163"/>
        <v>-32450212.790000007</v>
      </c>
      <c r="J74" s="644">
        <f>+'Asset Classification'!I74</f>
        <v>111964225</v>
      </c>
      <c r="K74" s="644">
        <f>+'Asset Classification'!J74</f>
        <v>11249864</v>
      </c>
      <c r="L74" s="644">
        <f>+'Asset Classification'!K74</f>
        <v>11813954</v>
      </c>
      <c r="M74" s="644">
        <f t="shared" ref="M74:N74" si="164">+M53+M72</f>
        <v>11196422.5</v>
      </c>
      <c r="N74" s="644">
        <f t="shared" si="164"/>
        <v>617531.49999999907</v>
      </c>
      <c r="O74" s="644">
        <f>+'Asset Classification'!L74</f>
        <v>2672938</v>
      </c>
      <c r="P74" s="644">
        <f t="shared" ref="P74:Q74" si="165">+P53+P72</f>
        <v>1124986.4000000001</v>
      </c>
      <c r="Q74" s="644">
        <f t="shared" si="165"/>
        <v>1547951.5999999999</v>
      </c>
      <c r="R74" s="644">
        <f>+'Asset Classification'!M74</f>
        <v>83991550</v>
      </c>
      <c r="S74" s="644">
        <f>+'Asset Classification'!N74</f>
        <v>18941126</v>
      </c>
      <c r="T74" s="644">
        <f>+'Asset Classification'!O74</f>
        <v>11373097</v>
      </c>
      <c r="U74" s="644">
        <f t="shared" ref="U74:V74" si="166">+U53+U72</f>
        <v>20997887.5</v>
      </c>
      <c r="V74" s="644">
        <f t="shared" si="166"/>
        <v>-9624790.5</v>
      </c>
      <c r="W74" s="644">
        <f>+'Asset Classification'!P74</f>
        <v>1942842</v>
      </c>
      <c r="X74" s="644">
        <f>+'Asset Classification'!Q74</f>
        <v>140444362</v>
      </c>
      <c r="Y74" s="644">
        <f>+'Asset Classification'!R74</f>
        <v>39890782</v>
      </c>
      <c r="Z74" s="644">
        <f>+'Asset Classification'!Q74</f>
        <v>140444362</v>
      </c>
      <c r="AA74" s="644">
        <f>+'Asset Classification'!R74</f>
        <v>39890782</v>
      </c>
      <c r="AB74" s="644">
        <f>+'Asset Classification'!S74</f>
        <v>22455552</v>
      </c>
      <c r="AC74" s="644">
        <f t="shared" ref="AC74:AD74" si="167">+AC53+AC72</f>
        <v>70222181</v>
      </c>
      <c r="AD74" s="644">
        <f t="shared" si="167"/>
        <v>-47766629</v>
      </c>
      <c r="AE74" s="644">
        <f>+'Asset Classification'!T74</f>
        <v>1844064</v>
      </c>
      <c r="AF74" s="644">
        <f t="shared" ref="AF74:AG74" si="168">+AF53+AF72</f>
        <v>19945391</v>
      </c>
      <c r="AG74" s="644">
        <f t="shared" si="168"/>
        <v>-18101327</v>
      </c>
      <c r="AH74" s="644">
        <f>+'Asset Classification'!U74</f>
        <v>53818596</v>
      </c>
      <c r="AI74" s="644">
        <f>+'Asset Classification'!V74</f>
        <v>3342519</v>
      </c>
      <c r="AJ74" s="644">
        <f>+'Asset Classification'!W74</f>
        <v>25740128</v>
      </c>
      <c r="AK74" s="644">
        <f t="shared" ref="AK74:AL74" si="169">+AK53+AK72</f>
        <v>53818596</v>
      </c>
      <c r="AL74" s="644">
        <f t="shared" si="169"/>
        <v>-28078468</v>
      </c>
      <c r="AM74" s="644">
        <f>+'Asset Classification'!X74</f>
        <v>18596</v>
      </c>
      <c r="AN74" s="644">
        <f t="shared" ref="AN74:AU74" si="170">+AN53+AN72</f>
        <v>3342519</v>
      </c>
      <c r="AO74" s="644">
        <f t="shared" si="170"/>
        <v>-3323923</v>
      </c>
      <c r="AP74" s="644">
        <f>+'Asset Classification'!Y74</f>
        <v>71382731</v>
      </c>
      <c r="AQ74" s="644">
        <f t="shared" si="170"/>
        <v>156235087</v>
      </c>
      <c r="AR74" s="644">
        <f t="shared" si="170"/>
        <v>-84852356</v>
      </c>
      <c r="AS74" s="644">
        <f>+'Asset Classification'!Z74</f>
        <v>6478440</v>
      </c>
      <c r="AT74" s="644">
        <f t="shared" si="170"/>
        <v>29148177.899999999</v>
      </c>
      <c r="AU74" s="644">
        <f t="shared" si="170"/>
        <v>-22669737.899999999</v>
      </c>
    </row>
    <row r="75" spans="1:55">
      <c r="C75" s="645">
        <f>+C31-C53</f>
        <v>0</v>
      </c>
      <c r="D75" s="645">
        <f>+D31-D53</f>
        <v>0</v>
      </c>
      <c r="E75" s="645">
        <f>+E31-E53</f>
        <v>0</v>
      </c>
      <c r="F75" s="645">
        <f t="shared" ref="F75:AU75" si="171">+F31-F53</f>
        <v>0</v>
      </c>
      <c r="G75" s="645">
        <f t="shared" si="171"/>
        <v>0</v>
      </c>
      <c r="H75" s="645">
        <f t="shared" si="171"/>
        <v>0</v>
      </c>
      <c r="I75" s="645"/>
      <c r="J75" s="645">
        <f t="shared" si="171"/>
        <v>0</v>
      </c>
      <c r="K75" s="645">
        <f t="shared" si="171"/>
        <v>0</v>
      </c>
      <c r="L75" s="645">
        <f t="shared" si="171"/>
        <v>0</v>
      </c>
      <c r="M75" s="645">
        <f t="shared" si="171"/>
        <v>0</v>
      </c>
      <c r="N75" s="645"/>
      <c r="O75" s="645">
        <f t="shared" si="171"/>
        <v>0</v>
      </c>
      <c r="P75" s="645">
        <f t="shared" si="171"/>
        <v>0</v>
      </c>
      <c r="Q75" s="645"/>
      <c r="R75" s="645">
        <f t="shared" si="171"/>
        <v>0</v>
      </c>
      <c r="S75" s="645">
        <f t="shared" si="171"/>
        <v>0</v>
      </c>
      <c r="T75" s="645">
        <f t="shared" si="171"/>
        <v>0</v>
      </c>
      <c r="U75" s="645">
        <f t="shared" si="171"/>
        <v>0</v>
      </c>
      <c r="V75" s="645"/>
      <c r="W75" s="645">
        <f t="shared" si="171"/>
        <v>0</v>
      </c>
      <c r="X75" s="645">
        <f t="shared" si="171"/>
        <v>0</v>
      </c>
      <c r="Y75" s="645"/>
      <c r="Z75" s="645">
        <f t="shared" si="171"/>
        <v>0</v>
      </c>
      <c r="AA75" s="645">
        <f t="shared" si="171"/>
        <v>0</v>
      </c>
      <c r="AB75" s="645">
        <f t="shared" si="171"/>
        <v>0</v>
      </c>
      <c r="AC75" s="645">
        <f t="shared" si="171"/>
        <v>0</v>
      </c>
      <c r="AD75" s="645"/>
      <c r="AE75" s="645">
        <f t="shared" si="171"/>
        <v>0</v>
      </c>
      <c r="AF75" s="645">
        <f t="shared" si="171"/>
        <v>0</v>
      </c>
      <c r="AG75" s="645"/>
      <c r="AH75" s="645">
        <f t="shared" si="171"/>
        <v>0</v>
      </c>
      <c r="AI75" s="645">
        <f t="shared" si="171"/>
        <v>0</v>
      </c>
      <c r="AJ75" s="645">
        <f t="shared" si="171"/>
        <v>0</v>
      </c>
      <c r="AK75" s="645">
        <f t="shared" si="171"/>
        <v>0</v>
      </c>
      <c r="AL75" s="645"/>
      <c r="AM75" s="645">
        <f t="shared" si="171"/>
        <v>0</v>
      </c>
      <c r="AN75" s="645">
        <f t="shared" si="171"/>
        <v>0</v>
      </c>
      <c r="AO75" s="645"/>
      <c r="AP75" s="645">
        <f t="shared" si="171"/>
        <v>0</v>
      </c>
      <c r="AQ75" s="645">
        <f t="shared" si="171"/>
        <v>0</v>
      </c>
      <c r="AR75" s="645">
        <f t="shared" si="171"/>
        <v>0</v>
      </c>
      <c r="AS75" s="645">
        <f t="shared" si="171"/>
        <v>0</v>
      </c>
      <c r="AT75" s="645">
        <f t="shared" si="171"/>
        <v>0</v>
      </c>
      <c r="AU75" s="645">
        <f t="shared" si="171"/>
        <v>0</v>
      </c>
    </row>
    <row r="76" spans="1:55" ht="15" customHeight="1">
      <c r="A76" s="34"/>
      <c r="B76" s="239" t="s">
        <v>788</v>
      </c>
      <c r="C76" s="645">
        <f>+C31-C71</f>
        <v>0</v>
      </c>
      <c r="D76" s="645">
        <f>+D31-D71</f>
        <v>0</v>
      </c>
      <c r="E76" s="645">
        <f>+E31-E71</f>
        <v>0</v>
      </c>
      <c r="F76" s="645">
        <f t="shared" ref="F76:AU76" si="172">+F31-F71</f>
        <v>0</v>
      </c>
      <c r="G76" s="645">
        <f t="shared" si="172"/>
        <v>0</v>
      </c>
      <c r="H76" s="645">
        <f t="shared" si="172"/>
        <v>0</v>
      </c>
      <c r="I76" s="645"/>
      <c r="J76" s="645">
        <f t="shared" si="172"/>
        <v>0</v>
      </c>
      <c r="K76" s="645">
        <f t="shared" si="172"/>
        <v>0</v>
      </c>
      <c r="L76" s="645">
        <f t="shared" si="172"/>
        <v>0</v>
      </c>
      <c r="M76" s="645">
        <f t="shared" si="172"/>
        <v>0</v>
      </c>
      <c r="N76" s="645"/>
      <c r="O76" s="645">
        <f t="shared" si="172"/>
        <v>0</v>
      </c>
      <c r="P76" s="645">
        <f t="shared" si="172"/>
        <v>0</v>
      </c>
      <c r="Q76" s="645"/>
      <c r="R76" s="645">
        <f t="shared" si="172"/>
        <v>0</v>
      </c>
      <c r="S76" s="645">
        <f t="shared" si="172"/>
        <v>0</v>
      </c>
      <c r="T76" s="645">
        <f t="shared" si="172"/>
        <v>0</v>
      </c>
      <c r="U76" s="645">
        <f t="shared" si="172"/>
        <v>0</v>
      </c>
      <c r="V76" s="645"/>
      <c r="W76" s="645">
        <f t="shared" si="172"/>
        <v>0</v>
      </c>
      <c r="X76" s="645">
        <f t="shared" si="172"/>
        <v>0</v>
      </c>
      <c r="Y76" s="645"/>
      <c r="Z76" s="645">
        <f t="shared" si="172"/>
        <v>0</v>
      </c>
      <c r="AA76" s="645">
        <f t="shared" si="172"/>
        <v>0</v>
      </c>
      <c r="AB76" s="645">
        <f t="shared" si="172"/>
        <v>0</v>
      </c>
      <c r="AC76" s="645">
        <f t="shared" si="172"/>
        <v>0</v>
      </c>
      <c r="AD76" s="645"/>
      <c r="AE76" s="645">
        <f t="shared" si="172"/>
        <v>0</v>
      </c>
      <c r="AF76" s="645">
        <f t="shared" si="172"/>
        <v>0</v>
      </c>
      <c r="AG76" s="645"/>
      <c r="AH76" s="645">
        <f t="shared" si="172"/>
        <v>0</v>
      </c>
      <c r="AI76" s="645">
        <f t="shared" si="172"/>
        <v>0</v>
      </c>
      <c r="AJ76" s="645">
        <f t="shared" si="172"/>
        <v>0</v>
      </c>
      <c r="AK76" s="645">
        <f t="shared" si="172"/>
        <v>0</v>
      </c>
      <c r="AL76" s="645"/>
      <c r="AM76" s="645">
        <f t="shared" si="172"/>
        <v>0</v>
      </c>
      <c r="AN76" s="645">
        <f t="shared" si="172"/>
        <v>0</v>
      </c>
      <c r="AO76" s="645"/>
      <c r="AP76" s="645">
        <f t="shared" si="172"/>
        <v>0</v>
      </c>
      <c r="AQ76" s="645">
        <f t="shared" si="172"/>
        <v>0</v>
      </c>
      <c r="AR76" s="645">
        <f t="shared" si="172"/>
        <v>0</v>
      </c>
      <c r="AS76" s="645">
        <f t="shared" si="172"/>
        <v>0</v>
      </c>
      <c r="AT76" s="645">
        <f t="shared" si="172"/>
        <v>0</v>
      </c>
      <c r="AU76" s="645">
        <f t="shared" si="172"/>
        <v>0</v>
      </c>
      <c r="AV76" s="34"/>
      <c r="AW76" s="34"/>
      <c r="AX76" s="269"/>
      <c r="AY76" s="269"/>
      <c r="AZ76" s="269"/>
      <c r="BA76" s="269"/>
      <c r="BB76" s="269"/>
      <c r="BC76" s="269"/>
    </row>
    <row r="77" spans="1:55" ht="11.25" customHeight="1">
      <c r="A77" s="34"/>
      <c r="B77" s="239"/>
      <c r="C77" s="646">
        <f>+C53-C71</f>
        <v>0</v>
      </c>
      <c r="D77" s="646">
        <f>+D53-D71</f>
        <v>0</v>
      </c>
      <c r="E77" s="646">
        <f>+E53-E71</f>
        <v>0</v>
      </c>
      <c r="F77" s="646">
        <f t="shared" ref="F77:AU77" si="173">+F53-F71</f>
        <v>0</v>
      </c>
      <c r="G77" s="646">
        <f t="shared" si="173"/>
        <v>0</v>
      </c>
      <c r="H77" s="646">
        <f t="shared" si="173"/>
        <v>0</v>
      </c>
      <c r="I77" s="646"/>
      <c r="J77" s="646">
        <f t="shared" si="173"/>
        <v>0</v>
      </c>
      <c r="K77" s="646">
        <f t="shared" si="173"/>
        <v>0</v>
      </c>
      <c r="L77" s="646">
        <f t="shared" si="173"/>
        <v>0</v>
      </c>
      <c r="M77" s="646">
        <f t="shared" si="173"/>
        <v>0</v>
      </c>
      <c r="N77" s="646"/>
      <c r="O77" s="646">
        <f t="shared" si="173"/>
        <v>0</v>
      </c>
      <c r="P77" s="646">
        <f t="shared" si="173"/>
        <v>0</v>
      </c>
      <c r="Q77" s="646"/>
      <c r="R77" s="646">
        <f t="shared" si="173"/>
        <v>0</v>
      </c>
      <c r="S77" s="646">
        <f t="shared" si="173"/>
        <v>0</v>
      </c>
      <c r="T77" s="646">
        <f t="shared" si="173"/>
        <v>0</v>
      </c>
      <c r="U77" s="646">
        <f t="shared" si="173"/>
        <v>0</v>
      </c>
      <c r="V77" s="646"/>
      <c r="W77" s="646">
        <f t="shared" si="173"/>
        <v>0</v>
      </c>
      <c r="X77" s="646">
        <f t="shared" si="173"/>
        <v>0</v>
      </c>
      <c r="Y77" s="646"/>
      <c r="Z77" s="646">
        <f t="shared" si="173"/>
        <v>0</v>
      </c>
      <c r="AA77" s="646">
        <f t="shared" si="173"/>
        <v>0</v>
      </c>
      <c r="AB77" s="646">
        <f t="shared" si="173"/>
        <v>0</v>
      </c>
      <c r="AC77" s="646">
        <f t="shared" si="173"/>
        <v>0</v>
      </c>
      <c r="AD77" s="646"/>
      <c r="AE77" s="646">
        <f t="shared" si="173"/>
        <v>0</v>
      </c>
      <c r="AF77" s="646">
        <f t="shared" si="173"/>
        <v>0</v>
      </c>
      <c r="AG77" s="646"/>
      <c r="AH77" s="646">
        <f t="shared" si="173"/>
        <v>0</v>
      </c>
      <c r="AI77" s="646">
        <f t="shared" si="173"/>
        <v>0</v>
      </c>
      <c r="AJ77" s="646">
        <f t="shared" si="173"/>
        <v>0</v>
      </c>
      <c r="AK77" s="646">
        <f t="shared" si="173"/>
        <v>0</v>
      </c>
      <c r="AL77" s="646"/>
      <c r="AM77" s="646">
        <f t="shared" si="173"/>
        <v>0</v>
      </c>
      <c r="AN77" s="646">
        <f t="shared" si="173"/>
        <v>0</v>
      </c>
      <c r="AO77" s="646"/>
      <c r="AP77" s="646">
        <f t="shared" si="173"/>
        <v>0</v>
      </c>
      <c r="AQ77" s="646">
        <f t="shared" si="173"/>
        <v>0</v>
      </c>
      <c r="AR77" s="646">
        <f t="shared" si="173"/>
        <v>0</v>
      </c>
      <c r="AS77" s="646">
        <f t="shared" si="173"/>
        <v>0</v>
      </c>
      <c r="AT77" s="646">
        <f t="shared" si="173"/>
        <v>0</v>
      </c>
      <c r="AU77" s="646">
        <f t="shared" si="173"/>
        <v>0</v>
      </c>
      <c r="AV77" s="34"/>
      <c r="AW77" s="34"/>
      <c r="AX77" s="269"/>
      <c r="AY77" s="269"/>
      <c r="AZ77" s="269"/>
      <c r="BA77" s="269"/>
      <c r="BB77" s="269"/>
      <c r="BC77" s="269"/>
    </row>
    <row r="78" spans="1:55" ht="15" customHeight="1">
      <c r="A78" s="34"/>
      <c r="B78" s="239" t="s">
        <v>789</v>
      </c>
      <c r="C78" s="34"/>
      <c r="D78" s="34"/>
      <c r="E78" s="34"/>
      <c r="F78" s="349"/>
      <c r="G78" s="349"/>
      <c r="H78" s="349"/>
      <c r="I78" s="349"/>
      <c r="J78" s="349"/>
      <c r="K78" s="349"/>
      <c r="L78" s="349"/>
      <c r="M78" s="349"/>
      <c r="N78" s="349"/>
      <c r="O78" s="349"/>
      <c r="P78" s="349"/>
      <c r="Q78" s="349"/>
      <c r="R78" s="349"/>
      <c r="S78" s="34"/>
      <c r="T78" s="34"/>
      <c r="U78" s="34"/>
      <c r="V78" s="349"/>
      <c r="W78" s="34"/>
      <c r="X78" s="34"/>
      <c r="Y78" s="349"/>
      <c r="Z78" s="34"/>
      <c r="AA78" s="34"/>
      <c r="AB78" s="34"/>
      <c r="AC78" s="34"/>
      <c r="AD78" s="349"/>
      <c r="AE78" s="34"/>
      <c r="AF78" s="34"/>
      <c r="AG78" s="349"/>
      <c r="AH78" s="34"/>
      <c r="AI78" s="34"/>
      <c r="AJ78" s="34"/>
      <c r="AK78" s="34"/>
      <c r="AL78" s="349"/>
      <c r="AM78" s="34"/>
      <c r="AN78" s="34"/>
      <c r="AO78" s="349"/>
      <c r="AP78" s="34"/>
      <c r="AQ78" s="34"/>
      <c r="AR78" s="34"/>
      <c r="AS78" s="34"/>
      <c r="AT78" s="34"/>
      <c r="AU78" s="34"/>
      <c r="AV78" s="34"/>
      <c r="AW78" s="34"/>
      <c r="AX78" s="269"/>
      <c r="AY78" s="269"/>
      <c r="AZ78" s="269"/>
      <c r="BA78" s="269"/>
      <c r="BB78" s="269"/>
      <c r="BC78" s="269"/>
    </row>
    <row r="79" spans="1:55">
      <c r="B79" s="239"/>
    </row>
    <row r="80" spans="1:55">
      <c r="AV80" s="269"/>
      <c r="AW80" s="269"/>
      <c r="AX80" s="269"/>
      <c r="AY80" s="269"/>
    </row>
    <row r="81" spans="5:55">
      <c r="AV81" s="269"/>
      <c r="AW81" s="269"/>
      <c r="AX81" s="269"/>
      <c r="AY81" s="269"/>
    </row>
    <row r="82" spans="5:55">
      <c r="AV82" s="269"/>
      <c r="AW82" s="269"/>
      <c r="AX82" s="269"/>
      <c r="AY82" s="269"/>
    </row>
    <row r="83" spans="5:55">
      <c r="E83" s="671"/>
      <c r="F83" s="439"/>
      <c r="G83" s="645"/>
      <c r="H83" s="645"/>
      <c r="I83" s="645"/>
      <c r="J83" s="439"/>
      <c r="L83" s="439"/>
      <c r="M83" s="439"/>
      <c r="N83" s="439"/>
      <c r="R83" s="439"/>
      <c r="T83" s="439"/>
      <c r="U83" s="439"/>
      <c r="V83" s="439"/>
      <c r="Z83" s="439"/>
      <c r="AB83" s="439"/>
      <c r="AC83" s="439"/>
      <c r="AD83" s="439"/>
      <c r="AF83" s="439"/>
      <c r="AG83" s="439"/>
      <c r="AH83" s="439"/>
      <c r="AJ83" s="439"/>
      <c r="AK83" s="439"/>
      <c r="AL83" s="439"/>
      <c r="AN83" s="439"/>
      <c r="AO83" s="439"/>
      <c r="AP83" s="439"/>
      <c r="AQ83" s="439"/>
      <c r="AR83" s="439"/>
    </row>
    <row r="84" spans="5:55">
      <c r="AV84" s="269"/>
      <c r="AW84" s="269"/>
      <c r="AX84" s="269"/>
      <c r="AY84" s="269"/>
      <c r="AZ84" s="269"/>
      <c r="BA84" s="269"/>
      <c r="BB84" s="269"/>
      <c r="BC84" s="269"/>
    </row>
    <row r="87" spans="5:55" ht="79.5" customHeight="1"/>
  </sheetData>
  <sheetProtection password="CACA" sheet="1" objects="1" scenarios="1"/>
  <mergeCells count="26">
    <mergeCell ref="W4:Y4"/>
    <mergeCell ref="Z4:Z5"/>
    <mergeCell ref="AA4:AA5"/>
    <mergeCell ref="AB4:AD4"/>
    <mergeCell ref="AS4:AU4"/>
    <mergeCell ref="AE4:AG4"/>
    <mergeCell ref="AI4:AI5"/>
    <mergeCell ref="AJ4:AL4"/>
    <mergeCell ref="AM4:AO4"/>
    <mergeCell ref="AP4:AR4"/>
    <mergeCell ref="AH3:AI3"/>
    <mergeCell ref="A4:A5"/>
    <mergeCell ref="B4:B5"/>
    <mergeCell ref="C4:C5"/>
    <mergeCell ref="D4:D5"/>
    <mergeCell ref="E4:E5"/>
    <mergeCell ref="F4:F5"/>
    <mergeCell ref="G4:I4"/>
    <mergeCell ref="J4:J5"/>
    <mergeCell ref="AH4:AH5"/>
    <mergeCell ref="K4:K5"/>
    <mergeCell ref="L4:N4"/>
    <mergeCell ref="O4:Q4"/>
    <mergeCell ref="R4:R5"/>
    <mergeCell ref="S4:S5"/>
    <mergeCell ref="T4:V4"/>
  </mergeCells>
  <conditionalFormatting sqref="G53">
    <cfRule type="cellIs" dxfId="217" priority="66" operator="notEqual">
      <formula>$G$71</formula>
    </cfRule>
  </conditionalFormatting>
  <conditionalFormatting sqref="E53">
    <cfRule type="cellIs" dxfId="216" priority="67" operator="notEqual">
      <formula>$E$71</formula>
    </cfRule>
  </conditionalFormatting>
  <conditionalFormatting sqref="D53">
    <cfRule type="cellIs" dxfId="215" priority="68" operator="notEqual">
      <formula>$D$71</formula>
    </cfRule>
  </conditionalFormatting>
  <conditionalFormatting sqref="F53">
    <cfRule type="cellIs" dxfId="214" priority="69" operator="notEqual">
      <formula>$F$71</formula>
    </cfRule>
  </conditionalFormatting>
  <conditionalFormatting sqref="O53">
    <cfRule type="cellIs" dxfId="213" priority="70" operator="notEqual">
      <formula>$O$71</formula>
    </cfRule>
  </conditionalFormatting>
  <conditionalFormatting sqref="C7">
    <cfRule type="cellIs" dxfId="212" priority="10" operator="notEqual">
      <formula>AV7</formula>
    </cfRule>
  </conditionalFormatting>
  <conditionalFormatting sqref="C31">
    <cfRule type="cellIs" dxfId="211" priority="9" operator="notEqual">
      <formula>AV31</formula>
    </cfRule>
  </conditionalFormatting>
  <conditionalFormatting sqref="C53">
    <cfRule type="cellIs" dxfId="210" priority="8" operator="notEqual">
      <formula>AV53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T29 AA49:AA51 W47 S49:S51 O47 K49:K51 F49:F51 J44:J52 T35:T42 Z44:Z52 AJ35:AJ42 F47 G57:G63 K47 L57:L63 S47 W70 AA47 AE70 AI47 R29 J29 L29 Z29 AB35:AB42 AB29 G29 O70 AB65:AB70 AH35:AH42 L35:L42 G35:G42 AJ65:AJ70 R44:R52 E44:E52 AJ29 F70 AH29 K70 O49:O51 S70 W49:W51 AA70 AE49:AE51 AI70 R57:R63 AJ57:AJ63 G65:G70 L65:L70 AH65:AH70 AB57:AB63 Z57:Z63 T65:T70 J57:J63 E57:E63 R35:R42 AJ44:AJ52 AH57:AH63 AB44:AB52 Z35:Z42 T57:T63 J35:J42 E35:E42 AI49:AI51 G44:G52 L44:L52 AH44:AH52 Z65:Z70 T44:T52 J65:J70 E65:E70 R65:R70 AE47 E54 AM49:AM50 AJ54 AB54 G54 L54 AH54 T54 J54 Z54 R54 W72:W73 AE72:AE73 O72:O73 Z72:AB73 AH72:AJ73 E72:G73 J72:L73 R72:T73" xr:uid="{00000000-0002-0000-0700-000000000000}">
      <formula1>-1E+22</formula1>
      <formula2>1E+22</formula2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19" orientation="landscape" r:id="rId1"/>
  <headerFooter alignWithMargins="0"/>
  <ignoredErrors>
    <ignoredError sqref="AR7:AU8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">
    <pageSetUpPr fitToPage="1"/>
  </sheetPr>
  <dimension ref="A1:AF131"/>
  <sheetViews>
    <sheetView view="pageBreakPreview" zoomScale="40" zoomScaleNormal="40" zoomScaleSheetLayoutView="40" workbookViewId="0">
      <pane xSplit="7" ySplit="8" topLeftCell="H15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AK91" sqref="AK91"/>
    </sheetView>
  </sheetViews>
  <sheetFormatPr defaultRowHeight="12.75"/>
  <cols>
    <col min="1" max="1" width="5.140625" style="269" customWidth="1"/>
    <col min="2" max="2" width="43.42578125" style="269" customWidth="1"/>
    <col min="3" max="3" width="14.140625" style="269" customWidth="1"/>
    <col min="4" max="6" width="10.140625" style="269" customWidth="1"/>
    <col min="7" max="8" width="14.28515625" style="269" customWidth="1"/>
    <col min="9" max="19" width="13.85546875" style="269" customWidth="1"/>
    <col min="20" max="20" width="8.28515625" style="269" customWidth="1"/>
    <col min="21" max="21" width="10.140625" style="269" customWidth="1"/>
    <col min="22" max="22" width="14" style="269" customWidth="1"/>
    <col min="23" max="23" width="9.85546875" style="269" customWidth="1"/>
    <col min="24" max="24" width="14" style="269" customWidth="1"/>
    <col min="25" max="25" width="13.28515625" style="269" customWidth="1"/>
    <col min="26" max="26" width="14.7109375" style="269" customWidth="1"/>
    <col min="27" max="27" width="26.140625" style="439" customWidth="1"/>
    <col min="28" max="16384" width="9.140625" style="269"/>
  </cols>
  <sheetData>
    <row r="1" spans="1:27" ht="20.25">
      <c r="A1" s="742" t="s">
        <v>428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  <c r="M1" s="742"/>
      <c r="N1" s="742"/>
      <c r="O1" s="742"/>
      <c r="P1" s="742"/>
      <c r="Q1" s="742"/>
      <c r="R1" s="742"/>
      <c r="S1" s="742"/>
      <c r="T1" s="742"/>
      <c r="U1" s="742"/>
      <c r="V1" s="742"/>
      <c r="W1" s="742"/>
      <c r="Y1" s="438" t="s">
        <v>429</v>
      </c>
    </row>
    <row r="2" spans="1:27">
      <c r="A2" s="313"/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Q2" s="312"/>
      <c r="R2" s="312"/>
      <c r="S2" s="312"/>
      <c r="T2" s="312"/>
    </row>
    <row r="3" spans="1:27" ht="15.75">
      <c r="A3" s="286"/>
      <c r="B3" s="311" t="str">
        <f>+'Asset quality'!B3</f>
        <v>"Алоқабанк"</v>
      </c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746"/>
      <c r="O3" s="746"/>
      <c r="P3" s="746"/>
      <c r="Q3" s="286"/>
      <c r="R3" s="286"/>
      <c r="T3" s="310"/>
      <c r="U3" s="706">
        <f>+'Asset quality'!Q3</f>
        <v>44926</v>
      </c>
      <c r="V3" s="706"/>
      <c r="W3" s="328"/>
      <c r="Y3" s="741" t="str">
        <f>+'Asset quality'!T3</f>
        <v>минг. сўмда</v>
      </c>
      <c r="Z3" s="741"/>
    </row>
    <row r="4" spans="1:27" ht="27.75" customHeight="1">
      <c r="A4" s="743" t="s">
        <v>62</v>
      </c>
      <c r="B4" s="743" t="s">
        <v>430</v>
      </c>
      <c r="C4" s="732" t="s">
        <v>431</v>
      </c>
      <c r="D4" s="732" t="s">
        <v>432</v>
      </c>
      <c r="E4" s="732" t="s">
        <v>433</v>
      </c>
      <c r="F4" s="732" t="s">
        <v>434</v>
      </c>
      <c r="G4" s="732" t="s">
        <v>435</v>
      </c>
      <c r="H4" s="735" t="s">
        <v>335</v>
      </c>
      <c r="I4" s="736"/>
      <c r="J4" s="736"/>
      <c r="K4" s="736"/>
      <c r="L4" s="736"/>
      <c r="M4" s="736"/>
      <c r="N4" s="736"/>
      <c r="O4" s="736"/>
      <c r="P4" s="736"/>
      <c r="Q4" s="736"/>
      <c r="R4" s="736"/>
      <c r="S4" s="737"/>
      <c r="T4" s="732" t="s">
        <v>436</v>
      </c>
      <c r="U4" s="749" t="s">
        <v>437</v>
      </c>
      <c r="V4" s="750"/>
      <c r="W4" s="732" t="s">
        <v>438</v>
      </c>
      <c r="X4" s="732" t="s">
        <v>439</v>
      </c>
      <c r="Y4" s="732" t="s">
        <v>440</v>
      </c>
      <c r="Z4" s="732" t="s">
        <v>441</v>
      </c>
    </row>
    <row r="5" spans="1:27" ht="27.75" customHeight="1">
      <c r="A5" s="744"/>
      <c r="B5" s="744"/>
      <c r="C5" s="733"/>
      <c r="D5" s="733"/>
      <c r="E5" s="733"/>
      <c r="F5" s="733"/>
      <c r="G5" s="733"/>
      <c r="H5" s="735" t="s">
        <v>442</v>
      </c>
      <c r="I5" s="736"/>
      <c r="J5" s="736"/>
      <c r="K5" s="737"/>
      <c r="L5" s="735" t="s">
        <v>443</v>
      </c>
      <c r="M5" s="736"/>
      <c r="N5" s="736"/>
      <c r="O5" s="736"/>
      <c r="P5" s="736"/>
      <c r="Q5" s="736"/>
      <c r="R5" s="736"/>
      <c r="S5" s="737"/>
      <c r="T5" s="733"/>
      <c r="U5" s="751"/>
      <c r="V5" s="752"/>
      <c r="W5" s="733"/>
      <c r="X5" s="733"/>
      <c r="Y5" s="733"/>
      <c r="Z5" s="733"/>
    </row>
    <row r="6" spans="1:27" ht="108.75" customHeight="1">
      <c r="A6" s="744"/>
      <c r="B6" s="744"/>
      <c r="C6" s="733"/>
      <c r="D6" s="733"/>
      <c r="E6" s="733"/>
      <c r="F6" s="733"/>
      <c r="G6" s="733"/>
      <c r="H6" s="732" t="s">
        <v>444</v>
      </c>
      <c r="I6" s="732" t="s">
        <v>445</v>
      </c>
      <c r="J6" s="732" t="s">
        <v>446</v>
      </c>
      <c r="K6" s="732" t="s">
        <v>447</v>
      </c>
      <c r="L6" s="738" t="s">
        <v>448</v>
      </c>
      <c r="M6" s="739"/>
      <c r="N6" s="738" t="s">
        <v>449</v>
      </c>
      <c r="O6" s="739"/>
      <c r="P6" s="738" t="s">
        <v>450</v>
      </c>
      <c r="Q6" s="739"/>
      <c r="R6" s="738" t="s">
        <v>451</v>
      </c>
      <c r="S6" s="739"/>
      <c r="T6" s="733"/>
      <c r="U6" s="732" t="s">
        <v>452</v>
      </c>
      <c r="V6" s="732" t="s">
        <v>164</v>
      </c>
      <c r="W6" s="733"/>
      <c r="X6" s="733"/>
      <c r="Y6" s="733"/>
      <c r="Z6" s="733"/>
    </row>
    <row r="7" spans="1:27" ht="41.25" customHeight="1">
      <c r="A7" s="745"/>
      <c r="B7" s="745"/>
      <c r="C7" s="734"/>
      <c r="D7" s="734"/>
      <c r="E7" s="734"/>
      <c r="F7" s="734"/>
      <c r="G7" s="734"/>
      <c r="H7" s="734"/>
      <c r="I7" s="734"/>
      <c r="J7" s="734"/>
      <c r="K7" s="734"/>
      <c r="L7" s="440" t="s">
        <v>453</v>
      </c>
      <c r="M7" s="440" t="s">
        <v>454</v>
      </c>
      <c r="N7" s="440" t="s">
        <v>453</v>
      </c>
      <c r="O7" s="440" t="s">
        <v>454</v>
      </c>
      <c r="P7" s="440" t="s">
        <v>453</v>
      </c>
      <c r="Q7" s="440" t="s">
        <v>454</v>
      </c>
      <c r="R7" s="440" t="s">
        <v>453</v>
      </c>
      <c r="S7" s="440" t="s">
        <v>454</v>
      </c>
      <c r="T7" s="734"/>
      <c r="U7" s="734"/>
      <c r="V7" s="734"/>
      <c r="W7" s="734"/>
      <c r="X7" s="734"/>
      <c r="Y7" s="734"/>
      <c r="Z7" s="734"/>
    </row>
    <row r="8" spans="1:27" s="309" customFormat="1" ht="15">
      <c r="A8" s="295"/>
      <c r="B8" s="295" t="s">
        <v>79</v>
      </c>
      <c r="C8" s="295" t="s">
        <v>80</v>
      </c>
      <c r="D8" s="295" t="s">
        <v>90</v>
      </c>
      <c r="E8" s="295" t="s">
        <v>81</v>
      </c>
      <c r="F8" s="295" t="s">
        <v>82</v>
      </c>
      <c r="G8" s="295" t="s">
        <v>91</v>
      </c>
      <c r="H8" s="295" t="s">
        <v>229</v>
      </c>
      <c r="I8" s="295" t="s">
        <v>228</v>
      </c>
      <c r="J8" s="295" t="s">
        <v>227</v>
      </c>
      <c r="K8" s="295" t="s">
        <v>226</v>
      </c>
      <c r="L8" s="747" t="s">
        <v>225</v>
      </c>
      <c r="M8" s="748"/>
      <c r="N8" s="747" t="s">
        <v>224</v>
      </c>
      <c r="O8" s="748"/>
      <c r="P8" s="747" t="s">
        <v>223</v>
      </c>
      <c r="Q8" s="748"/>
      <c r="R8" s="747" t="s">
        <v>222</v>
      </c>
      <c r="S8" s="748"/>
      <c r="T8" s="295" t="s">
        <v>83</v>
      </c>
      <c r="U8" s="295" t="s">
        <v>84</v>
      </c>
      <c r="V8" s="295" t="s">
        <v>85</v>
      </c>
      <c r="W8" s="295" t="s">
        <v>86</v>
      </c>
      <c r="X8" s="295" t="s">
        <v>87</v>
      </c>
      <c r="Y8" s="295" t="s">
        <v>88</v>
      </c>
      <c r="Z8" s="295" t="s">
        <v>89</v>
      </c>
      <c r="AA8" s="442"/>
    </row>
    <row r="9" spans="1:27" s="299" customFormat="1">
      <c r="A9" s="630">
        <v>1</v>
      </c>
      <c r="B9" s="631" t="s">
        <v>819</v>
      </c>
      <c r="C9" s="632">
        <v>203366731</v>
      </c>
      <c r="D9" s="632">
        <v>61100</v>
      </c>
      <c r="E9" s="633">
        <v>860</v>
      </c>
      <c r="F9" s="633">
        <v>1</v>
      </c>
      <c r="G9" s="303">
        <f t="shared" ref="G9:G40" si="0">+H9+I9+J9+K9+M9+O9+Q9+S9</f>
        <v>657323933</v>
      </c>
      <c r="H9" s="634"/>
      <c r="I9" s="634">
        <v>545069333</v>
      </c>
      <c r="J9" s="634"/>
      <c r="K9" s="634"/>
      <c r="L9" s="634"/>
      <c r="M9" s="634"/>
      <c r="N9" s="406">
        <v>112254600</v>
      </c>
      <c r="O9" s="406">
        <v>112254600</v>
      </c>
      <c r="P9" s="634"/>
      <c r="Q9" s="632"/>
      <c r="R9" s="632"/>
      <c r="S9" s="632"/>
      <c r="T9" s="632"/>
      <c r="U9" s="632">
        <v>2</v>
      </c>
      <c r="V9" s="632">
        <v>422554600</v>
      </c>
      <c r="W9" s="443"/>
      <c r="X9" s="632"/>
      <c r="Y9" s="632" t="s">
        <v>829</v>
      </c>
      <c r="Z9" s="635">
        <f t="shared" ref="Z9:Z40" si="1">+G9-V9-X9</f>
        <v>234769333</v>
      </c>
      <c r="AA9" s="444">
        <f t="shared" ref="AA9:AA72" si="2">SUMIF($F$9:$F$88,$F9,$Z$9:$Z$88)</f>
        <v>234769333</v>
      </c>
    </row>
    <row r="10" spans="1:27" s="299" customFormat="1">
      <c r="A10" s="305">
        <v>2</v>
      </c>
      <c r="B10" s="301" t="s">
        <v>820</v>
      </c>
      <c r="C10" s="306">
        <v>207137166</v>
      </c>
      <c r="D10" s="306">
        <v>64910</v>
      </c>
      <c r="E10" s="304">
        <v>860</v>
      </c>
      <c r="F10" s="304">
        <v>2</v>
      </c>
      <c r="G10" s="303">
        <f t="shared" si="0"/>
        <v>87087882</v>
      </c>
      <c r="H10" s="18"/>
      <c r="I10" s="18">
        <v>87087882</v>
      </c>
      <c r="J10" s="18"/>
      <c r="K10" s="18"/>
      <c r="L10" s="18"/>
      <c r="M10" s="18"/>
      <c r="N10" s="302"/>
      <c r="O10" s="18"/>
      <c r="P10" s="18"/>
      <c r="Q10" s="306"/>
      <c r="R10" s="306"/>
      <c r="S10" s="306"/>
      <c r="T10" s="306"/>
      <c r="U10" s="306"/>
      <c r="V10" s="306"/>
      <c r="W10" s="443"/>
      <c r="X10" s="306"/>
      <c r="Y10" s="306" t="s">
        <v>830</v>
      </c>
      <c r="Z10" s="300">
        <f t="shared" si="1"/>
        <v>87087882</v>
      </c>
      <c r="AA10" s="444">
        <f t="shared" si="2"/>
        <v>87087882</v>
      </c>
    </row>
    <row r="11" spans="1:27" s="299" customFormat="1">
      <c r="A11" s="305">
        <v>3</v>
      </c>
      <c r="B11" s="301" t="s">
        <v>821</v>
      </c>
      <c r="C11" s="306">
        <v>200833833</v>
      </c>
      <c r="D11" s="306">
        <v>53100</v>
      </c>
      <c r="E11" s="304">
        <v>860</v>
      </c>
      <c r="F11" s="304">
        <v>3</v>
      </c>
      <c r="G11" s="303">
        <f t="shared" si="0"/>
        <v>50000000</v>
      </c>
      <c r="H11" s="18"/>
      <c r="I11" s="18"/>
      <c r="J11" s="18">
        <v>50000000</v>
      </c>
      <c r="K11" s="18"/>
      <c r="L11" s="18"/>
      <c r="M11" s="18"/>
      <c r="N11" s="302"/>
      <c r="O11" s="18"/>
      <c r="P11" s="18"/>
      <c r="Q11" s="306"/>
      <c r="R11" s="306"/>
      <c r="S11" s="301"/>
      <c r="T11" s="301"/>
      <c r="U11" s="306"/>
      <c r="V11" s="306"/>
      <c r="W11" s="443"/>
      <c r="X11" s="306"/>
      <c r="Y11" s="301" t="s">
        <v>9</v>
      </c>
      <c r="Z11" s="300">
        <f t="shared" si="1"/>
        <v>50000000</v>
      </c>
      <c r="AA11" s="444">
        <f t="shared" si="2"/>
        <v>50000000</v>
      </c>
    </row>
    <row r="12" spans="1:27" s="299" customFormat="1">
      <c r="A12" s="305">
        <v>4</v>
      </c>
      <c r="B12" s="301" t="s">
        <v>822</v>
      </c>
      <c r="C12" s="306">
        <v>308921880</v>
      </c>
      <c r="D12" s="306">
        <v>64300</v>
      </c>
      <c r="E12" s="304">
        <v>860</v>
      </c>
      <c r="F12" s="304">
        <v>4</v>
      </c>
      <c r="G12" s="303">
        <f t="shared" si="0"/>
        <v>25000000</v>
      </c>
      <c r="H12" s="18"/>
      <c r="I12" s="18"/>
      <c r="J12" s="18">
        <v>25000000</v>
      </c>
      <c r="K12" s="18"/>
      <c r="L12" s="18"/>
      <c r="M12" s="18"/>
      <c r="N12" s="302"/>
      <c r="O12" s="18"/>
      <c r="P12" s="18"/>
      <c r="Q12" s="306"/>
      <c r="R12" s="306"/>
      <c r="S12" s="301"/>
      <c r="T12" s="301"/>
      <c r="U12" s="306"/>
      <c r="V12" s="306"/>
      <c r="W12" s="443"/>
      <c r="X12" s="306"/>
      <c r="Y12" s="301"/>
      <c r="Z12" s="300">
        <f t="shared" si="1"/>
        <v>25000000</v>
      </c>
      <c r="AA12" s="444">
        <f t="shared" si="2"/>
        <v>25000000</v>
      </c>
    </row>
    <row r="13" spans="1:27" s="299" customFormat="1">
      <c r="A13" s="305">
        <v>5</v>
      </c>
      <c r="B13" s="301" t="s">
        <v>823</v>
      </c>
      <c r="C13" s="301">
        <v>305186248</v>
      </c>
      <c r="D13" s="306">
        <v>96190</v>
      </c>
      <c r="E13" s="304">
        <v>860</v>
      </c>
      <c r="F13" s="304">
        <v>5</v>
      </c>
      <c r="G13" s="303">
        <f t="shared" si="0"/>
        <v>12665000</v>
      </c>
      <c r="H13" s="301"/>
      <c r="I13" s="301"/>
      <c r="J13" s="301">
        <v>12665000</v>
      </c>
      <c r="K13" s="18"/>
      <c r="L13" s="301"/>
      <c r="M13" s="18"/>
      <c r="N13" s="302"/>
      <c r="O13" s="18"/>
      <c r="P13" s="18"/>
      <c r="Q13" s="306"/>
      <c r="R13" s="306"/>
      <c r="S13" s="301"/>
      <c r="T13" s="301"/>
      <c r="U13" s="306"/>
      <c r="V13" s="306"/>
      <c r="W13" s="443"/>
      <c r="X13" s="306"/>
      <c r="Y13" s="301"/>
      <c r="Z13" s="300">
        <f t="shared" si="1"/>
        <v>12665000</v>
      </c>
      <c r="AA13" s="444">
        <f t="shared" si="2"/>
        <v>12665000</v>
      </c>
    </row>
    <row r="14" spans="1:27" s="299" customFormat="1">
      <c r="A14" s="305">
        <v>6</v>
      </c>
      <c r="B14" s="301" t="s">
        <v>824</v>
      </c>
      <c r="C14" s="301">
        <v>201941144</v>
      </c>
      <c r="D14" s="306">
        <v>65120</v>
      </c>
      <c r="E14" s="304">
        <v>860</v>
      </c>
      <c r="F14" s="304">
        <v>6</v>
      </c>
      <c r="G14" s="303">
        <f t="shared" si="0"/>
        <v>5603011</v>
      </c>
      <c r="H14" s="18"/>
      <c r="I14" s="18"/>
      <c r="J14" s="18">
        <v>5603011</v>
      </c>
      <c r="K14" s="18"/>
      <c r="L14" s="18"/>
      <c r="M14" s="18"/>
      <c r="N14" s="302"/>
      <c r="O14" s="18"/>
      <c r="P14" s="18"/>
      <c r="Q14" s="306"/>
      <c r="R14" s="306"/>
      <c r="S14" s="301"/>
      <c r="T14" s="301"/>
      <c r="U14" s="306"/>
      <c r="V14" s="306"/>
      <c r="W14" s="443"/>
      <c r="X14" s="306"/>
      <c r="Y14" s="301"/>
      <c r="Z14" s="300">
        <f t="shared" si="1"/>
        <v>5603011</v>
      </c>
      <c r="AA14" s="444">
        <f t="shared" si="2"/>
        <v>5603011</v>
      </c>
    </row>
    <row r="15" spans="1:27" s="299" customFormat="1">
      <c r="A15" s="305">
        <v>7</v>
      </c>
      <c r="B15" s="301" t="s">
        <v>825</v>
      </c>
      <c r="C15" s="306">
        <v>305186248</v>
      </c>
      <c r="D15" s="306">
        <v>64990</v>
      </c>
      <c r="E15" s="304">
        <v>860</v>
      </c>
      <c r="F15" s="304">
        <v>7</v>
      </c>
      <c r="G15" s="303">
        <f t="shared" si="0"/>
        <v>10498000</v>
      </c>
      <c r="H15" s="18"/>
      <c r="I15" s="18">
        <v>9200000</v>
      </c>
      <c r="J15" s="18">
        <v>1298000</v>
      </c>
      <c r="K15" s="18"/>
      <c r="L15" s="18"/>
      <c r="M15" s="301"/>
      <c r="N15" s="302"/>
      <c r="O15" s="302"/>
      <c r="P15" s="302"/>
      <c r="Q15" s="302"/>
      <c r="R15" s="301"/>
      <c r="S15" s="306"/>
      <c r="T15" s="306"/>
      <c r="U15" s="302"/>
      <c r="V15" s="306"/>
      <c r="W15" s="443"/>
      <c r="X15" s="306"/>
      <c r="Y15" s="306"/>
      <c r="Z15" s="300">
        <f t="shared" si="1"/>
        <v>10498000</v>
      </c>
      <c r="AA15" s="444">
        <f t="shared" si="2"/>
        <v>10522751</v>
      </c>
    </row>
    <row r="16" spans="1:27" s="299" customFormat="1">
      <c r="A16" s="305">
        <v>8</v>
      </c>
      <c r="B16" s="301" t="s">
        <v>826</v>
      </c>
      <c r="C16" s="301">
        <v>207027936</v>
      </c>
      <c r="D16" s="306">
        <v>52300</v>
      </c>
      <c r="E16" s="304">
        <v>860</v>
      </c>
      <c r="F16" s="304">
        <v>8</v>
      </c>
      <c r="G16" s="303">
        <f t="shared" si="0"/>
        <v>1136155</v>
      </c>
      <c r="H16" s="18"/>
      <c r="I16" s="18"/>
      <c r="J16" s="18">
        <v>1136155</v>
      </c>
      <c r="K16" s="18"/>
      <c r="L16" s="18"/>
      <c r="M16" s="301"/>
      <c r="N16" s="302"/>
      <c r="O16" s="302"/>
      <c r="P16" s="302"/>
      <c r="Q16" s="302"/>
      <c r="R16" s="301"/>
      <c r="S16" s="306"/>
      <c r="T16" s="306"/>
      <c r="U16" s="302"/>
      <c r="V16" s="306"/>
      <c r="W16" s="443"/>
      <c r="X16" s="306"/>
      <c r="Y16" s="306"/>
      <c r="Z16" s="300">
        <f t="shared" si="1"/>
        <v>1136155</v>
      </c>
      <c r="AA16" s="444">
        <f t="shared" si="2"/>
        <v>1261155</v>
      </c>
    </row>
    <row r="17" spans="1:27" s="299" customFormat="1">
      <c r="A17" s="305">
        <v>9</v>
      </c>
      <c r="B17" s="301" t="s">
        <v>827</v>
      </c>
      <c r="C17" s="306">
        <v>496318340</v>
      </c>
      <c r="D17" s="306">
        <v>99950</v>
      </c>
      <c r="E17" s="304">
        <v>860</v>
      </c>
      <c r="F17" s="304">
        <v>8</v>
      </c>
      <c r="G17" s="303">
        <f t="shared" si="0"/>
        <v>125000</v>
      </c>
      <c r="H17" s="18"/>
      <c r="I17" s="307">
        <v>125000</v>
      </c>
      <c r="J17" s="18"/>
      <c r="K17" s="18"/>
      <c r="L17" s="18"/>
      <c r="M17" s="301"/>
      <c r="N17" s="302"/>
      <c r="O17" s="302"/>
      <c r="P17" s="302"/>
      <c r="Q17" s="302"/>
      <c r="R17" s="301"/>
      <c r="S17" s="306"/>
      <c r="T17" s="306"/>
      <c r="U17" s="302"/>
      <c r="V17" s="306"/>
      <c r="W17" s="443"/>
      <c r="X17" s="306"/>
      <c r="Y17" s="306"/>
      <c r="Z17" s="300">
        <f t="shared" si="1"/>
        <v>125000</v>
      </c>
      <c r="AA17" s="444">
        <f t="shared" si="2"/>
        <v>1261155</v>
      </c>
    </row>
    <row r="18" spans="1:27" s="299" customFormat="1">
      <c r="A18" s="305">
        <v>10</v>
      </c>
      <c r="B18" s="301" t="s">
        <v>828</v>
      </c>
      <c r="C18" s="306">
        <v>498617291</v>
      </c>
      <c r="D18" s="306">
        <v>99950</v>
      </c>
      <c r="E18" s="304">
        <v>860</v>
      </c>
      <c r="F18" s="304">
        <v>7</v>
      </c>
      <c r="G18" s="303">
        <f t="shared" si="0"/>
        <v>24751</v>
      </c>
      <c r="H18" s="18"/>
      <c r="I18" s="307">
        <v>24751</v>
      </c>
      <c r="J18" s="18"/>
      <c r="K18" s="18"/>
      <c r="L18" s="18"/>
      <c r="M18" s="301"/>
      <c r="N18" s="302"/>
      <c r="O18" s="302"/>
      <c r="P18" s="302"/>
      <c r="Q18" s="302"/>
      <c r="R18" s="301"/>
      <c r="S18" s="306"/>
      <c r="T18" s="306"/>
      <c r="U18" s="302"/>
      <c r="V18" s="306"/>
      <c r="W18" s="443"/>
      <c r="X18" s="306"/>
      <c r="Y18" s="306"/>
      <c r="Z18" s="300">
        <f t="shared" si="1"/>
        <v>24751</v>
      </c>
      <c r="AA18" s="444">
        <f t="shared" si="2"/>
        <v>10522751</v>
      </c>
    </row>
    <row r="19" spans="1:27" s="299" customFormat="1">
      <c r="A19" s="305">
        <v>11</v>
      </c>
      <c r="B19" s="301"/>
      <c r="C19" s="301"/>
      <c r="D19" s="301"/>
      <c r="E19" s="304"/>
      <c r="F19" s="304"/>
      <c r="G19" s="303">
        <f t="shared" si="0"/>
        <v>0</v>
      </c>
      <c r="H19" s="18"/>
      <c r="I19" s="18"/>
      <c r="J19" s="18"/>
      <c r="K19" s="18"/>
      <c r="L19" s="18"/>
      <c r="M19" s="301"/>
      <c r="N19" s="302"/>
      <c r="O19" s="302"/>
      <c r="P19" s="302"/>
      <c r="Q19" s="302"/>
      <c r="R19" s="301"/>
      <c r="S19" s="306"/>
      <c r="T19" s="306"/>
      <c r="U19" s="306"/>
      <c r="V19" s="306"/>
      <c r="W19" s="443"/>
      <c r="X19" s="306"/>
      <c r="Y19" s="306"/>
      <c r="Z19" s="300">
        <f t="shared" si="1"/>
        <v>0</v>
      </c>
      <c r="AA19" s="444">
        <f t="shared" si="2"/>
        <v>0</v>
      </c>
    </row>
    <row r="20" spans="1:27" s="299" customFormat="1">
      <c r="A20" s="305">
        <v>12</v>
      </c>
      <c r="B20" s="301"/>
      <c r="C20" s="301"/>
      <c r="D20" s="301"/>
      <c r="E20" s="304"/>
      <c r="F20" s="304"/>
      <c r="G20" s="303">
        <f t="shared" si="0"/>
        <v>0</v>
      </c>
      <c r="H20" s="18"/>
      <c r="I20" s="307"/>
      <c r="J20" s="18"/>
      <c r="K20" s="18"/>
      <c r="L20" s="18"/>
      <c r="M20" s="301"/>
      <c r="N20" s="302"/>
      <c r="O20" s="302"/>
      <c r="P20" s="302"/>
      <c r="Q20" s="302"/>
      <c r="R20" s="301"/>
      <c r="S20" s="306"/>
      <c r="T20" s="306"/>
      <c r="U20" s="306"/>
      <c r="V20" s="306"/>
      <c r="W20" s="443"/>
      <c r="X20" s="306"/>
      <c r="Y20" s="306"/>
      <c r="Z20" s="300">
        <f t="shared" si="1"/>
        <v>0</v>
      </c>
      <c r="AA20" s="444">
        <f t="shared" si="2"/>
        <v>0</v>
      </c>
    </row>
    <row r="21" spans="1:27" s="299" customFormat="1">
      <c r="A21" s="305">
        <v>13</v>
      </c>
      <c r="B21" s="301"/>
      <c r="C21" s="301"/>
      <c r="D21" s="301"/>
      <c r="E21" s="304"/>
      <c r="F21" s="304"/>
      <c r="G21" s="303">
        <f t="shared" si="0"/>
        <v>0</v>
      </c>
      <c r="H21" s="18"/>
      <c r="I21" s="307"/>
      <c r="J21" s="18"/>
      <c r="K21" s="18"/>
      <c r="L21" s="18"/>
      <c r="M21" s="301"/>
      <c r="N21" s="302"/>
      <c r="O21" s="302"/>
      <c r="P21" s="302"/>
      <c r="Q21" s="302"/>
      <c r="R21" s="301"/>
      <c r="S21" s="306"/>
      <c r="T21" s="306"/>
      <c r="U21" s="306"/>
      <c r="V21" s="306"/>
      <c r="W21" s="443"/>
      <c r="X21" s="306"/>
      <c r="Y21" s="306"/>
      <c r="Z21" s="300">
        <f t="shared" si="1"/>
        <v>0</v>
      </c>
      <c r="AA21" s="444">
        <f t="shared" si="2"/>
        <v>0</v>
      </c>
    </row>
    <row r="22" spans="1:27" s="299" customFormat="1">
      <c r="A22" s="305">
        <v>14</v>
      </c>
      <c r="B22" s="301"/>
      <c r="C22" s="301"/>
      <c r="D22" s="301"/>
      <c r="E22" s="304"/>
      <c r="F22" s="304"/>
      <c r="G22" s="303">
        <f t="shared" si="0"/>
        <v>0</v>
      </c>
      <c r="H22" s="18"/>
      <c r="I22" s="307"/>
      <c r="J22" s="18"/>
      <c r="K22" s="18"/>
      <c r="L22" s="18"/>
      <c r="M22" s="301"/>
      <c r="N22" s="302"/>
      <c r="O22" s="302"/>
      <c r="P22" s="302"/>
      <c r="Q22" s="302"/>
      <c r="R22" s="301"/>
      <c r="S22" s="306"/>
      <c r="T22" s="306"/>
      <c r="U22" s="306"/>
      <c r="V22" s="306"/>
      <c r="W22" s="443"/>
      <c r="X22" s="306"/>
      <c r="Y22" s="306"/>
      <c r="Z22" s="300">
        <f t="shared" si="1"/>
        <v>0</v>
      </c>
      <c r="AA22" s="444">
        <f t="shared" si="2"/>
        <v>0</v>
      </c>
    </row>
    <row r="23" spans="1:27" s="299" customFormat="1">
      <c r="A23" s="305">
        <v>15</v>
      </c>
      <c r="B23" s="301"/>
      <c r="C23" s="301"/>
      <c r="D23" s="301"/>
      <c r="E23" s="304"/>
      <c r="F23" s="304"/>
      <c r="G23" s="303">
        <f t="shared" si="0"/>
        <v>0</v>
      </c>
      <c r="H23" s="301"/>
      <c r="I23" s="301"/>
      <c r="J23" s="301"/>
      <c r="K23" s="301"/>
      <c r="L23" s="301"/>
      <c r="M23" s="301"/>
      <c r="N23" s="302"/>
      <c r="O23" s="302"/>
      <c r="P23" s="302"/>
      <c r="Q23" s="302"/>
      <c r="R23" s="301"/>
      <c r="S23" s="306"/>
      <c r="T23" s="306"/>
      <c r="U23" s="306"/>
      <c r="V23" s="306"/>
      <c r="W23" s="443"/>
      <c r="X23" s="306"/>
      <c r="Y23" s="306"/>
      <c r="Z23" s="300">
        <f t="shared" si="1"/>
        <v>0</v>
      </c>
      <c r="AA23" s="444">
        <f t="shared" si="2"/>
        <v>0</v>
      </c>
    </row>
    <row r="24" spans="1:27" s="299" customFormat="1">
      <c r="A24" s="305">
        <v>16</v>
      </c>
      <c r="B24" s="301"/>
      <c r="C24" s="306"/>
      <c r="D24" s="306"/>
      <c r="E24" s="304"/>
      <c r="F24" s="304"/>
      <c r="G24" s="303">
        <f t="shared" si="0"/>
        <v>0</v>
      </c>
      <c r="H24" s="301"/>
      <c r="I24" s="307"/>
      <c r="J24" s="301"/>
      <c r="K24" s="301"/>
      <c r="L24" s="301"/>
      <c r="M24" s="301"/>
      <c r="N24" s="302"/>
      <c r="O24" s="302"/>
      <c r="P24" s="302"/>
      <c r="Q24" s="302"/>
      <c r="R24" s="301"/>
      <c r="S24" s="306"/>
      <c r="T24" s="306"/>
      <c r="U24" s="306"/>
      <c r="V24" s="306"/>
      <c r="W24" s="443"/>
      <c r="X24" s="306"/>
      <c r="Y24" s="306"/>
      <c r="Z24" s="300">
        <f t="shared" si="1"/>
        <v>0</v>
      </c>
      <c r="AA24" s="444">
        <f t="shared" si="2"/>
        <v>0</v>
      </c>
    </row>
    <row r="25" spans="1:27" s="299" customFormat="1">
      <c r="A25" s="305">
        <v>17</v>
      </c>
      <c r="B25" s="445"/>
      <c r="C25" s="301"/>
      <c r="D25" s="301"/>
      <c r="E25" s="304"/>
      <c r="F25" s="304"/>
      <c r="G25" s="303">
        <f t="shared" si="0"/>
        <v>0</v>
      </c>
      <c r="H25" s="301"/>
      <c r="I25" s="307"/>
      <c r="J25" s="301"/>
      <c r="K25" s="301"/>
      <c r="L25" s="301"/>
      <c r="M25" s="301"/>
      <c r="N25" s="302"/>
      <c r="O25" s="302"/>
      <c r="P25" s="302"/>
      <c r="Q25" s="302"/>
      <c r="R25" s="301"/>
      <c r="S25" s="306"/>
      <c r="T25" s="306"/>
      <c r="U25" s="306"/>
      <c r="V25" s="306"/>
      <c r="W25" s="443"/>
      <c r="X25" s="306"/>
      <c r="Y25" s="306"/>
      <c r="Z25" s="300">
        <f t="shared" si="1"/>
        <v>0</v>
      </c>
      <c r="AA25" s="444">
        <f t="shared" si="2"/>
        <v>0</v>
      </c>
    </row>
    <row r="26" spans="1:27" s="299" customFormat="1">
      <c r="A26" s="305">
        <v>18</v>
      </c>
      <c r="B26" s="445"/>
      <c r="C26" s="301"/>
      <c r="D26" s="306"/>
      <c r="E26" s="304"/>
      <c r="F26" s="304"/>
      <c r="G26" s="303">
        <f t="shared" si="0"/>
        <v>0</v>
      </c>
      <c r="H26" s="301"/>
      <c r="I26" s="301"/>
      <c r="J26" s="301"/>
      <c r="K26" s="301"/>
      <c r="L26" s="301"/>
      <c r="M26" s="301"/>
      <c r="N26" s="302"/>
      <c r="O26" s="302"/>
      <c r="P26" s="302"/>
      <c r="Q26" s="302"/>
      <c r="R26" s="301"/>
      <c r="S26" s="301"/>
      <c r="T26" s="301"/>
      <c r="U26" s="301"/>
      <c r="V26" s="301"/>
      <c r="W26" s="443"/>
      <c r="X26" s="306"/>
      <c r="Y26" s="301"/>
      <c r="Z26" s="300">
        <f t="shared" si="1"/>
        <v>0</v>
      </c>
      <c r="AA26" s="444">
        <f t="shared" si="2"/>
        <v>0</v>
      </c>
    </row>
    <row r="27" spans="1:27" s="299" customFormat="1">
      <c r="A27" s="305">
        <v>19</v>
      </c>
      <c r="B27" s="445"/>
      <c r="C27" s="301"/>
      <c r="D27" s="301"/>
      <c r="E27" s="304"/>
      <c r="F27" s="304"/>
      <c r="G27" s="303">
        <f t="shared" si="0"/>
        <v>0</v>
      </c>
      <c r="H27" s="301"/>
      <c r="I27" s="307"/>
      <c r="J27" s="301"/>
      <c r="K27" s="301"/>
      <c r="L27" s="301"/>
      <c r="M27" s="301"/>
      <c r="N27" s="302"/>
      <c r="O27" s="302"/>
      <c r="P27" s="302"/>
      <c r="Q27" s="302"/>
      <c r="R27" s="301"/>
      <c r="S27" s="301"/>
      <c r="T27" s="301"/>
      <c r="U27" s="301"/>
      <c r="V27" s="301"/>
      <c r="W27" s="443"/>
      <c r="X27" s="306"/>
      <c r="Y27" s="301"/>
      <c r="Z27" s="300">
        <f t="shared" si="1"/>
        <v>0</v>
      </c>
      <c r="AA27" s="444">
        <f t="shared" si="2"/>
        <v>0</v>
      </c>
    </row>
    <row r="28" spans="1:27" s="299" customFormat="1">
      <c r="A28" s="305">
        <v>20</v>
      </c>
      <c r="B28" s="445"/>
      <c r="C28" s="301"/>
      <c r="D28" s="301"/>
      <c r="E28" s="304"/>
      <c r="F28" s="304"/>
      <c r="G28" s="303">
        <f t="shared" si="0"/>
        <v>0</v>
      </c>
      <c r="H28" s="301"/>
      <c r="I28" s="307"/>
      <c r="J28" s="301"/>
      <c r="K28" s="301"/>
      <c r="L28" s="301"/>
      <c r="M28" s="301"/>
      <c r="N28" s="302"/>
      <c r="O28" s="302"/>
      <c r="P28" s="302"/>
      <c r="Q28" s="302"/>
      <c r="R28" s="301"/>
      <c r="S28" s="301"/>
      <c r="T28" s="301"/>
      <c r="U28" s="301"/>
      <c r="V28" s="301"/>
      <c r="W28" s="443"/>
      <c r="X28" s="306"/>
      <c r="Y28" s="301"/>
      <c r="Z28" s="300">
        <f t="shared" si="1"/>
        <v>0</v>
      </c>
      <c r="AA28" s="444">
        <f t="shared" si="2"/>
        <v>0</v>
      </c>
    </row>
    <row r="29" spans="1:27" s="299" customFormat="1">
      <c r="A29" s="305">
        <v>21</v>
      </c>
      <c r="B29" s="445"/>
      <c r="C29" s="301"/>
      <c r="D29" s="301"/>
      <c r="E29" s="304"/>
      <c r="F29" s="304"/>
      <c r="G29" s="303">
        <f t="shared" si="0"/>
        <v>0</v>
      </c>
      <c r="H29" s="301"/>
      <c r="I29" s="307"/>
      <c r="J29" s="301"/>
      <c r="K29" s="301"/>
      <c r="L29" s="301"/>
      <c r="M29" s="301"/>
      <c r="N29" s="302"/>
      <c r="O29" s="302"/>
      <c r="P29" s="302"/>
      <c r="Q29" s="302"/>
      <c r="R29" s="301"/>
      <c r="S29" s="301"/>
      <c r="T29" s="301"/>
      <c r="U29" s="301"/>
      <c r="V29" s="301"/>
      <c r="W29" s="443"/>
      <c r="X29" s="306"/>
      <c r="Y29" s="301"/>
      <c r="Z29" s="300">
        <f t="shared" si="1"/>
        <v>0</v>
      </c>
      <c r="AA29" s="444">
        <f t="shared" si="2"/>
        <v>0</v>
      </c>
    </row>
    <row r="30" spans="1:27" s="299" customFormat="1">
      <c r="A30" s="305">
        <v>22</v>
      </c>
      <c r="B30" s="445"/>
      <c r="C30" s="301"/>
      <c r="D30" s="301"/>
      <c r="E30" s="304"/>
      <c r="F30" s="304"/>
      <c r="G30" s="303">
        <f t="shared" si="0"/>
        <v>0</v>
      </c>
      <c r="H30" s="301"/>
      <c r="I30" s="307"/>
      <c r="J30" s="301"/>
      <c r="K30" s="301"/>
      <c r="L30" s="301"/>
      <c r="M30" s="301"/>
      <c r="N30" s="302"/>
      <c r="O30" s="302"/>
      <c r="P30" s="302"/>
      <c r="Q30" s="302"/>
      <c r="R30" s="301"/>
      <c r="S30" s="301"/>
      <c r="T30" s="301"/>
      <c r="U30" s="301"/>
      <c r="V30" s="301"/>
      <c r="W30" s="443"/>
      <c r="X30" s="306"/>
      <c r="Y30" s="301"/>
      <c r="Z30" s="300">
        <f t="shared" si="1"/>
        <v>0</v>
      </c>
      <c r="AA30" s="444">
        <f t="shared" si="2"/>
        <v>0</v>
      </c>
    </row>
    <row r="31" spans="1:27" s="299" customFormat="1">
      <c r="A31" s="305">
        <v>23</v>
      </c>
      <c r="B31" s="445"/>
      <c r="C31" s="301"/>
      <c r="D31" s="301"/>
      <c r="E31" s="304"/>
      <c r="F31" s="304"/>
      <c r="G31" s="303">
        <f t="shared" si="0"/>
        <v>0</v>
      </c>
      <c r="H31" s="301"/>
      <c r="I31" s="307"/>
      <c r="J31" s="301"/>
      <c r="K31" s="301"/>
      <c r="L31" s="301"/>
      <c r="M31" s="301"/>
      <c r="N31" s="302"/>
      <c r="O31" s="302"/>
      <c r="P31" s="302"/>
      <c r="Q31" s="302"/>
      <c r="R31" s="301"/>
      <c r="S31" s="301"/>
      <c r="T31" s="301"/>
      <c r="U31" s="301"/>
      <c r="V31" s="301"/>
      <c r="W31" s="443"/>
      <c r="X31" s="306"/>
      <c r="Y31" s="301"/>
      <c r="Z31" s="300">
        <f t="shared" si="1"/>
        <v>0</v>
      </c>
      <c r="AA31" s="444">
        <f t="shared" si="2"/>
        <v>0</v>
      </c>
    </row>
    <row r="32" spans="1:27" s="299" customFormat="1">
      <c r="A32" s="305">
        <v>24</v>
      </c>
      <c r="B32" s="445"/>
      <c r="C32" s="301"/>
      <c r="D32" s="301"/>
      <c r="E32" s="304"/>
      <c r="F32" s="304"/>
      <c r="G32" s="303">
        <f t="shared" si="0"/>
        <v>0</v>
      </c>
      <c r="H32" s="301"/>
      <c r="I32" s="307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443"/>
      <c r="X32" s="306"/>
      <c r="Y32" s="301"/>
      <c r="Z32" s="300">
        <f t="shared" si="1"/>
        <v>0</v>
      </c>
      <c r="AA32" s="444">
        <f t="shared" si="2"/>
        <v>0</v>
      </c>
    </row>
    <row r="33" spans="1:27" s="299" customFormat="1">
      <c r="A33" s="305">
        <v>25</v>
      </c>
      <c r="B33" s="301"/>
      <c r="C33" s="301"/>
      <c r="D33" s="301"/>
      <c r="E33" s="304"/>
      <c r="F33" s="304"/>
      <c r="G33" s="303">
        <f t="shared" si="0"/>
        <v>0</v>
      </c>
      <c r="H33" s="301"/>
      <c r="I33" s="307"/>
      <c r="J33" s="301"/>
      <c r="K33" s="301"/>
      <c r="L33" s="301"/>
      <c r="M33" s="301"/>
      <c r="N33" s="302"/>
      <c r="O33" s="302"/>
      <c r="P33" s="302"/>
      <c r="Q33" s="302"/>
      <c r="R33" s="301"/>
      <c r="S33" s="301"/>
      <c r="T33" s="301"/>
      <c r="U33" s="301"/>
      <c r="V33" s="301"/>
      <c r="W33" s="443"/>
      <c r="X33" s="306"/>
      <c r="Y33" s="301"/>
      <c r="Z33" s="300">
        <f t="shared" si="1"/>
        <v>0</v>
      </c>
      <c r="AA33" s="444">
        <f t="shared" si="2"/>
        <v>0</v>
      </c>
    </row>
    <row r="34" spans="1:27" s="299" customFormat="1">
      <c r="A34" s="305">
        <v>26</v>
      </c>
      <c r="B34" s="445"/>
      <c r="C34" s="301"/>
      <c r="D34" s="301"/>
      <c r="E34" s="304"/>
      <c r="F34" s="304"/>
      <c r="G34" s="303">
        <f t="shared" si="0"/>
        <v>0</v>
      </c>
      <c r="H34" s="301"/>
      <c r="I34" s="308"/>
      <c r="J34" s="301"/>
      <c r="K34" s="301"/>
      <c r="L34" s="301"/>
      <c r="M34" s="301"/>
      <c r="N34" s="302"/>
      <c r="O34" s="302"/>
      <c r="P34" s="302"/>
      <c r="Q34" s="302"/>
      <c r="R34" s="301"/>
      <c r="S34" s="301"/>
      <c r="T34" s="301"/>
      <c r="U34" s="301"/>
      <c r="V34" s="301"/>
      <c r="W34" s="443"/>
      <c r="X34" s="306"/>
      <c r="Y34" s="301"/>
      <c r="Z34" s="300">
        <f t="shared" si="1"/>
        <v>0</v>
      </c>
      <c r="AA34" s="444">
        <f t="shared" si="2"/>
        <v>0</v>
      </c>
    </row>
    <row r="35" spans="1:27" s="299" customFormat="1">
      <c r="A35" s="305">
        <v>27</v>
      </c>
      <c r="B35" s="445"/>
      <c r="C35" s="301"/>
      <c r="D35" s="301"/>
      <c r="E35" s="304"/>
      <c r="F35" s="304"/>
      <c r="G35" s="303">
        <f t="shared" si="0"/>
        <v>0</v>
      </c>
      <c r="H35" s="301"/>
      <c r="I35" s="301"/>
      <c r="J35" s="301"/>
      <c r="K35" s="301"/>
      <c r="L35" s="301"/>
      <c r="M35" s="301"/>
      <c r="N35" s="302"/>
      <c r="O35" s="302"/>
      <c r="P35" s="302"/>
      <c r="Q35" s="302"/>
      <c r="R35" s="301"/>
      <c r="S35" s="301"/>
      <c r="T35" s="301"/>
      <c r="U35" s="301"/>
      <c r="V35" s="301"/>
      <c r="W35" s="443"/>
      <c r="X35" s="306"/>
      <c r="Y35" s="301"/>
      <c r="Z35" s="300">
        <f t="shared" si="1"/>
        <v>0</v>
      </c>
      <c r="AA35" s="444">
        <f t="shared" si="2"/>
        <v>0</v>
      </c>
    </row>
    <row r="36" spans="1:27" s="299" customFormat="1">
      <c r="A36" s="305">
        <v>28</v>
      </c>
      <c r="B36" s="445"/>
      <c r="C36" s="301"/>
      <c r="D36" s="301"/>
      <c r="E36" s="304"/>
      <c r="F36" s="304"/>
      <c r="G36" s="303">
        <f t="shared" si="0"/>
        <v>0</v>
      </c>
      <c r="H36" s="301"/>
      <c r="I36" s="307"/>
      <c r="J36" s="301"/>
      <c r="K36" s="301"/>
      <c r="L36" s="301"/>
      <c r="M36" s="301"/>
      <c r="N36" s="302"/>
      <c r="O36" s="302"/>
      <c r="P36" s="302"/>
      <c r="Q36" s="302"/>
      <c r="R36" s="301"/>
      <c r="S36" s="301"/>
      <c r="T36" s="301"/>
      <c r="U36" s="301"/>
      <c r="V36" s="301"/>
      <c r="W36" s="443"/>
      <c r="X36" s="306"/>
      <c r="Y36" s="301"/>
      <c r="Z36" s="300">
        <f t="shared" si="1"/>
        <v>0</v>
      </c>
      <c r="AA36" s="444">
        <f t="shared" si="2"/>
        <v>0</v>
      </c>
    </row>
    <row r="37" spans="1:27" s="299" customFormat="1">
      <c r="A37" s="305">
        <v>29</v>
      </c>
      <c r="B37" s="445"/>
      <c r="C37" s="301"/>
      <c r="D37" s="301"/>
      <c r="E37" s="304"/>
      <c r="F37" s="304"/>
      <c r="G37" s="303">
        <f t="shared" si="0"/>
        <v>0</v>
      </c>
      <c r="H37" s="301"/>
      <c r="I37" s="307"/>
      <c r="J37" s="301"/>
      <c r="K37" s="301"/>
      <c r="L37" s="301"/>
      <c r="M37" s="301"/>
      <c r="N37" s="302"/>
      <c r="O37" s="302"/>
      <c r="P37" s="302"/>
      <c r="Q37" s="302"/>
      <c r="R37" s="301"/>
      <c r="S37" s="301"/>
      <c r="T37" s="301"/>
      <c r="U37" s="301"/>
      <c r="V37" s="301"/>
      <c r="W37" s="443"/>
      <c r="X37" s="306"/>
      <c r="Y37" s="301"/>
      <c r="Z37" s="300">
        <f t="shared" si="1"/>
        <v>0</v>
      </c>
      <c r="AA37" s="444">
        <f t="shared" si="2"/>
        <v>0</v>
      </c>
    </row>
    <row r="38" spans="1:27" s="299" customFormat="1">
      <c r="A38" s="305">
        <v>30</v>
      </c>
      <c r="B38" s="301"/>
      <c r="C38" s="301"/>
      <c r="D38" s="301"/>
      <c r="E38" s="304"/>
      <c r="F38" s="304"/>
      <c r="G38" s="303">
        <f t="shared" si="0"/>
        <v>0</v>
      </c>
      <c r="H38" s="301"/>
      <c r="I38" s="301"/>
      <c r="J38" s="301"/>
      <c r="K38" s="301"/>
      <c r="L38" s="301"/>
      <c r="M38" s="301"/>
      <c r="N38" s="302"/>
      <c r="O38" s="302"/>
      <c r="P38" s="302"/>
      <c r="Q38" s="302"/>
      <c r="R38" s="301"/>
      <c r="S38" s="301"/>
      <c r="T38" s="301"/>
      <c r="U38" s="301"/>
      <c r="V38" s="301"/>
      <c r="W38" s="443"/>
      <c r="X38" s="306"/>
      <c r="Y38" s="301"/>
      <c r="Z38" s="300">
        <f t="shared" si="1"/>
        <v>0</v>
      </c>
      <c r="AA38" s="444">
        <f t="shared" si="2"/>
        <v>0</v>
      </c>
    </row>
    <row r="39" spans="1:27" s="299" customFormat="1">
      <c r="A39" s="305">
        <v>31</v>
      </c>
      <c r="B39" s="301"/>
      <c r="C39" s="301"/>
      <c r="D39" s="301"/>
      <c r="E39" s="304"/>
      <c r="F39" s="304"/>
      <c r="G39" s="303">
        <f t="shared" si="0"/>
        <v>0</v>
      </c>
      <c r="H39" s="301"/>
      <c r="I39" s="301"/>
      <c r="J39" s="301"/>
      <c r="K39" s="301"/>
      <c r="L39" s="301"/>
      <c r="M39" s="301"/>
      <c r="N39" s="302"/>
      <c r="O39" s="302"/>
      <c r="P39" s="302"/>
      <c r="Q39" s="302"/>
      <c r="R39" s="301"/>
      <c r="S39" s="301"/>
      <c r="T39" s="301"/>
      <c r="U39" s="301"/>
      <c r="V39" s="301"/>
      <c r="W39" s="443"/>
      <c r="X39" s="306"/>
      <c r="Y39" s="301"/>
      <c r="Z39" s="300">
        <f t="shared" si="1"/>
        <v>0</v>
      </c>
      <c r="AA39" s="444">
        <f t="shared" si="2"/>
        <v>0</v>
      </c>
    </row>
    <row r="40" spans="1:27" s="299" customFormat="1">
      <c r="A40" s="305">
        <v>32</v>
      </c>
      <c r="B40" s="301"/>
      <c r="C40" s="301"/>
      <c r="D40" s="301"/>
      <c r="E40" s="304"/>
      <c r="F40" s="304"/>
      <c r="G40" s="303">
        <f t="shared" si="0"/>
        <v>0</v>
      </c>
      <c r="H40" s="301"/>
      <c r="I40" s="301"/>
      <c r="J40" s="301"/>
      <c r="K40" s="301"/>
      <c r="L40" s="301"/>
      <c r="M40" s="301"/>
      <c r="N40" s="302"/>
      <c r="O40" s="302"/>
      <c r="P40" s="302"/>
      <c r="Q40" s="302"/>
      <c r="R40" s="301"/>
      <c r="S40" s="301"/>
      <c r="T40" s="301"/>
      <c r="U40" s="301"/>
      <c r="V40" s="301"/>
      <c r="W40" s="443"/>
      <c r="X40" s="306"/>
      <c r="Y40" s="301"/>
      <c r="Z40" s="300">
        <f t="shared" si="1"/>
        <v>0</v>
      </c>
      <c r="AA40" s="444">
        <f t="shared" si="2"/>
        <v>0</v>
      </c>
    </row>
    <row r="41" spans="1:27" s="299" customFormat="1">
      <c r="A41" s="305">
        <v>33</v>
      </c>
      <c r="B41" s="445"/>
      <c r="C41" s="301"/>
      <c r="D41" s="306"/>
      <c r="E41" s="304"/>
      <c r="F41" s="304"/>
      <c r="G41" s="303">
        <f t="shared" ref="G41:G88" si="3">+H41+I41+J41+K41+M41+O41+Q41+S41</f>
        <v>0</v>
      </c>
      <c r="H41" s="301"/>
      <c r="I41" s="307"/>
      <c r="J41" s="301"/>
      <c r="K41" s="301"/>
      <c r="L41" s="301"/>
      <c r="M41" s="301"/>
      <c r="N41" s="302"/>
      <c r="O41" s="302"/>
      <c r="P41" s="302"/>
      <c r="Q41" s="302"/>
      <c r="R41" s="301"/>
      <c r="S41" s="301"/>
      <c r="T41" s="301"/>
      <c r="U41" s="301"/>
      <c r="V41" s="301"/>
      <c r="W41" s="443"/>
      <c r="X41" s="306"/>
      <c r="Y41" s="301"/>
      <c r="Z41" s="300">
        <f t="shared" ref="Z41:Z88" si="4">+G41-V41-X41</f>
        <v>0</v>
      </c>
      <c r="AA41" s="444">
        <f t="shared" si="2"/>
        <v>0</v>
      </c>
    </row>
    <row r="42" spans="1:27" s="299" customFormat="1">
      <c r="A42" s="305">
        <v>34</v>
      </c>
      <c r="B42" s="445"/>
      <c r="C42" s="301"/>
      <c r="D42" s="306"/>
      <c r="E42" s="304"/>
      <c r="F42" s="304"/>
      <c r="G42" s="303">
        <f t="shared" si="3"/>
        <v>0</v>
      </c>
      <c r="H42" s="301"/>
      <c r="I42" s="301"/>
      <c r="J42" s="301"/>
      <c r="K42" s="301"/>
      <c r="L42" s="301"/>
      <c r="M42" s="301"/>
      <c r="N42" s="302"/>
      <c r="O42" s="302"/>
      <c r="P42" s="302"/>
      <c r="Q42" s="302"/>
      <c r="R42" s="301"/>
      <c r="S42" s="301"/>
      <c r="T42" s="301"/>
      <c r="U42" s="301"/>
      <c r="V42" s="301"/>
      <c r="W42" s="443"/>
      <c r="X42" s="306"/>
      <c r="Y42" s="301"/>
      <c r="Z42" s="300">
        <f t="shared" si="4"/>
        <v>0</v>
      </c>
      <c r="AA42" s="444">
        <f t="shared" si="2"/>
        <v>0</v>
      </c>
    </row>
    <row r="43" spans="1:27" s="299" customFormat="1">
      <c r="A43" s="305">
        <v>35</v>
      </c>
      <c r="B43" s="445"/>
      <c r="C43" s="301"/>
      <c r="D43" s="306"/>
      <c r="E43" s="304"/>
      <c r="F43" s="304"/>
      <c r="G43" s="303">
        <f t="shared" si="3"/>
        <v>0</v>
      </c>
      <c r="H43" s="301"/>
      <c r="I43" s="301"/>
      <c r="J43" s="301"/>
      <c r="K43" s="301"/>
      <c r="L43" s="301"/>
      <c r="M43" s="301"/>
      <c r="N43" s="302"/>
      <c r="O43" s="302"/>
      <c r="P43" s="302"/>
      <c r="Q43" s="302"/>
      <c r="R43" s="301"/>
      <c r="S43" s="301"/>
      <c r="T43" s="301"/>
      <c r="U43" s="301"/>
      <c r="V43" s="301"/>
      <c r="W43" s="443"/>
      <c r="X43" s="306"/>
      <c r="Y43" s="301"/>
      <c r="Z43" s="300">
        <f t="shared" si="4"/>
        <v>0</v>
      </c>
      <c r="AA43" s="444">
        <f t="shared" si="2"/>
        <v>0</v>
      </c>
    </row>
    <row r="44" spans="1:27" s="299" customFormat="1">
      <c r="A44" s="305">
        <v>36</v>
      </c>
      <c r="B44" s="301"/>
      <c r="C44" s="301"/>
      <c r="D44" s="301"/>
      <c r="E44" s="304"/>
      <c r="F44" s="304"/>
      <c r="G44" s="303">
        <f t="shared" si="3"/>
        <v>0</v>
      </c>
      <c r="H44" s="301"/>
      <c r="I44" s="301"/>
      <c r="J44" s="301"/>
      <c r="K44" s="301"/>
      <c r="L44" s="301"/>
      <c r="M44" s="301"/>
      <c r="N44" s="302"/>
      <c r="O44" s="302"/>
      <c r="P44" s="302"/>
      <c r="Q44" s="302"/>
      <c r="R44" s="301"/>
      <c r="S44" s="301"/>
      <c r="T44" s="301"/>
      <c r="U44" s="301"/>
      <c r="V44" s="301"/>
      <c r="W44" s="443"/>
      <c r="X44" s="301"/>
      <c r="Y44" s="301"/>
      <c r="Z44" s="300">
        <f t="shared" si="4"/>
        <v>0</v>
      </c>
      <c r="AA44" s="444">
        <f t="shared" si="2"/>
        <v>0</v>
      </c>
    </row>
    <row r="45" spans="1:27" s="299" customFormat="1">
      <c r="A45" s="305">
        <v>37</v>
      </c>
      <c r="B45" s="301"/>
      <c r="C45" s="301"/>
      <c r="D45" s="301"/>
      <c r="E45" s="304"/>
      <c r="F45" s="304"/>
      <c r="G45" s="303">
        <f t="shared" si="3"/>
        <v>0</v>
      </c>
      <c r="H45" s="301"/>
      <c r="I45" s="301"/>
      <c r="J45" s="301"/>
      <c r="K45" s="301"/>
      <c r="L45" s="301"/>
      <c r="M45" s="301"/>
      <c r="N45" s="302"/>
      <c r="O45" s="302"/>
      <c r="P45" s="302"/>
      <c r="Q45" s="302"/>
      <c r="R45" s="301"/>
      <c r="S45" s="301"/>
      <c r="T45" s="301"/>
      <c r="U45" s="301"/>
      <c r="V45" s="301"/>
      <c r="W45" s="443"/>
      <c r="X45" s="301"/>
      <c r="Y45" s="301"/>
      <c r="Z45" s="300">
        <f t="shared" si="4"/>
        <v>0</v>
      </c>
      <c r="AA45" s="444">
        <f t="shared" si="2"/>
        <v>0</v>
      </c>
    </row>
    <row r="46" spans="1:27" s="299" customFormat="1">
      <c r="A46" s="305">
        <v>38</v>
      </c>
      <c r="B46" s="301"/>
      <c r="C46" s="301"/>
      <c r="D46" s="301"/>
      <c r="E46" s="304"/>
      <c r="F46" s="304"/>
      <c r="G46" s="303">
        <f t="shared" si="3"/>
        <v>0</v>
      </c>
      <c r="H46" s="301"/>
      <c r="I46" s="301"/>
      <c r="J46" s="301"/>
      <c r="K46" s="301"/>
      <c r="L46" s="301"/>
      <c r="M46" s="301"/>
      <c r="N46" s="302"/>
      <c r="O46" s="302"/>
      <c r="P46" s="302"/>
      <c r="Q46" s="302"/>
      <c r="R46" s="301"/>
      <c r="S46" s="301"/>
      <c r="T46" s="301"/>
      <c r="U46" s="301"/>
      <c r="V46" s="301"/>
      <c r="W46" s="443"/>
      <c r="X46" s="301"/>
      <c r="Y46" s="301"/>
      <c r="Z46" s="300">
        <f t="shared" si="4"/>
        <v>0</v>
      </c>
      <c r="AA46" s="444">
        <f t="shared" si="2"/>
        <v>0</v>
      </c>
    </row>
    <row r="47" spans="1:27" s="299" customFormat="1">
      <c r="A47" s="305">
        <v>39</v>
      </c>
      <c r="B47" s="301"/>
      <c r="C47" s="301"/>
      <c r="D47" s="301"/>
      <c r="E47" s="304"/>
      <c r="F47" s="304"/>
      <c r="G47" s="303">
        <f t="shared" ref="G47:G53" si="5">+H47+I47+J47+K47+M47+O47+Q47+S47</f>
        <v>0</v>
      </c>
      <c r="H47" s="301"/>
      <c r="I47" s="301"/>
      <c r="J47" s="301"/>
      <c r="K47" s="301"/>
      <c r="L47" s="301"/>
      <c r="M47" s="301"/>
      <c r="N47" s="302"/>
      <c r="O47" s="302"/>
      <c r="P47" s="302"/>
      <c r="Q47" s="302"/>
      <c r="R47" s="301"/>
      <c r="S47" s="301"/>
      <c r="T47" s="301"/>
      <c r="U47" s="301"/>
      <c r="V47" s="301"/>
      <c r="W47" s="443"/>
      <c r="X47" s="301"/>
      <c r="Y47" s="301"/>
      <c r="Z47" s="300">
        <f t="shared" ref="Z47:Z53" si="6">+G47-V47-X47</f>
        <v>0</v>
      </c>
      <c r="AA47" s="444">
        <f t="shared" si="2"/>
        <v>0</v>
      </c>
    </row>
    <row r="48" spans="1:27" s="299" customFormat="1">
      <c r="A48" s="305">
        <v>40</v>
      </c>
      <c r="B48" s="301"/>
      <c r="C48" s="301"/>
      <c r="D48" s="301"/>
      <c r="E48" s="304"/>
      <c r="F48" s="304"/>
      <c r="G48" s="303">
        <f t="shared" si="5"/>
        <v>0</v>
      </c>
      <c r="H48" s="301"/>
      <c r="I48" s="301"/>
      <c r="J48" s="301"/>
      <c r="K48" s="301"/>
      <c r="L48" s="301"/>
      <c r="M48" s="301"/>
      <c r="N48" s="302"/>
      <c r="O48" s="302"/>
      <c r="P48" s="302"/>
      <c r="Q48" s="302"/>
      <c r="R48" s="301"/>
      <c r="S48" s="301"/>
      <c r="T48" s="301"/>
      <c r="U48" s="301"/>
      <c r="V48" s="301"/>
      <c r="W48" s="301"/>
      <c r="X48" s="301"/>
      <c r="Y48" s="301"/>
      <c r="Z48" s="300">
        <f t="shared" si="6"/>
        <v>0</v>
      </c>
      <c r="AA48" s="444">
        <f t="shared" si="2"/>
        <v>0</v>
      </c>
    </row>
    <row r="49" spans="1:27" s="299" customFormat="1">
      <c r="A49" s="305">
        <v>41</v>
      </c>
      <c r="B49" s="301"/>
      <c r="C49" s="301"/>
      <c r="D49" s="301"/>
      <c r="E49" s="304"/>
      <c r="F49" s="304"/>
      <c r="G49" s="303">
        <f t="shared" si="5"/>
        <v>0</v>
      </c>
      <c r="H49" s="301"/>
      <c r="I49" s="301"/>
      <c r="J49" s="301"/>
      <c r="K49" s="301"/>
      <c r="L49" s="301"/>
      <c r="M49" s="301"/>
      <c r="N49" s="302"/>
      <c r="O49" s="302"/>
      <c r="P49" s="302"/>
      <c r="Q49" s="302"/>
      <c r="R49" s="301"/>
      <c r="S49" s="301"/>
      <c r="T49" s="301"/>
      <c r="U49" s="301"/>
      <c r="V49" s="301"/>
      <c r="W49" s="301"/>
      <c r="X49" s="301"/>
      <c r="Y49" s="301"/>
      <c r="Z49" s="300">
        <f t="shared" si="6"/>
        <v>0</v>
      </c>
      <c r="AA49" s="444">
        <f t="shared" si="2"/>
        <v>0</v>
      </c>
    </row>
    <row r="50" spans="1:27" s="299" customFormat="1">
      <c r="A50" s="305">
        <v>42</v>
      </c>
      <c r="B50" s="301"/>
      <c r="C50" s="301"/>
      <c r="D50" s="301"/>
      <c r="E50" s="304"/>
      <c r="F50" s="304"/>
      <c r="G50" s="303">
        <f t="shared" si="5"/>
        <v>0</v>
      </c>
      <c r="H50" s="301"/>
      <c r="I50" s="301"/>
      <c r="J50" s="301"/>
      <c r="K50" s="301"/>
      <c r="L50" s="301"/>
      <c r="M50" s="301"/>
      <c r="N50" s="302"/>
      <c r="O50" s="302"/>
      <c r="P50" s="302"/>
      <c r="Q50" s="302"/>
      <c r="R50" s="301"/>
      <c r="S50" s="301"/>
      <c r="T50" s="301"/>
      <c r="U50" s="301"/>
      <c r="V50" s="301"/>
      <c r="W50" s="301"/>
      <c r="X50" s="301"/>
      <c r="Y50" s="301"/>
      <c r="Z50" s="300">
        <f t="shared" si="6"/>
        <v>0</v>
      </c>
      <c r="AA50" s="444">
        <f t="shared" si="2"/>
        <v>0</v>
      </c>
    </row>
    <row r="51" spans="1:27" s="299" customFormat="1">
      <c r="A51" s="305">
        <v>43</v>
      </c>
      <c r="B51" s="301"/>
      <c r="C51" s="301"/>
      <c r="D51" s="301"/>
      <c r="E51" s="304"/>
      <c r="F51" s="304"/>
      <c r="G51" s="303">
        <f t="shared" si="5"/>
        <v>0</v>
      </c>
      <c r="H51" s="301"/>
      <c r="I51" s="301"/>
      <c r="J51" s="301"/>
      <c r="K51" s="301"/>
      <c r="L51" s="301"/>
      <c r="M51" s="301"/>
      <c r="N51" s="302"/>
      <c r="O51" s="302"/>
      <c r="P51" s="302"/>
      <c r="Q51" s="302"/>
      <c r="R51" s="301"/>
      <c r="S51" s="301"/>
      <c r="T51" s="301"/>
      <c r="U51" s="301"/>
      <c r="V51" s="301"/>
      <c r="W51" s="301"/>
      <c r="X51" s="301"/>
      <c r="Y51" s="301"/>
      <c r="Z51" s="300">
        <f t="shared" si="6"/>
        <v>0</v>
      </c>
      <c r="AA51" s="444">
        <f t="shared" si="2"/>
        <v>0</v>
      </c>
    </row>
    <row r="52" spans="1:27" s="299" customFormat="1">
      <c r="A52" s="305">
        <v>44</v>
      </c>
      <c r="B52" s="301"/>
      <c r="C52" s="301"/>
      <c r="D52" s="301"/>
      <c r="E52" s="304"/>
      <c r="F52" s="304"/>
      <c r="G52" s="303">
        <f t="shared" si="5"/>
        <v>0</v>
      </c>
      <c r="H52" s="301"/>
      <c r="I52" s="301"/>
      <c r="J52" s="301"/>
      <c r="K52" s="301"/>
      <c r="L52" s="301"/>
      <c r="M52" s="301"/>
      <c r="N52" s="302"/>
      <c r="O52" s="302"/>
      <c r="P52" s="302"/>
      <c r="Q52" s="302"/>
      <c r="R52" s="301"/>
      <c r="S52" s="301"/>
      <c r="T52" s="301"/>
      <c r="U52" s="301"/>
      <c r="V52" s="301"/>
      <c r="W52" s="301"/>
      <c r="X52" s="301"/>
      <c r="Y52" s="301"/>
      <c r="Z52" s="300">
        <f t="shared" si="6"/>
        <v>0</v>
      </c>
      <c r="AA52" s="444">
        <f t="shared" si="2"/>
        <v>0</v>
      </c>
    </row>
    <row r="53" spans="1:27" s="299" customFormat="1">
      <c r="A53" s="305">
        <v>45</v>
      </c>
      <c r="B53" s="301"/>
      <c r="C53" s="301"/>
      <c r="D53" s="301"/>
      <c r="E53" s="304"/>
      <c r="F53" s="304"/>
      <c r="G53" s="303">
        <f t="shared" si="5"/>
        <v>0</v>
      </c>
      <c r="H53" s="301"/>
      <c r="I53" s="301"/>
      <c r="J53" s="301"/>
      <c r="K53" s="301"/>
      <c r="L53" s="301"/>
      <c r="M53" s="301"/>
      <c r="N53" s="302"/>
      <c r="O53" s="302"/>
      <c r="P53" s="302"/>
      <c r="Q53" s="302"/>
      <c r="R53" s="301"/>
      <c r="S53" s="301"/>
      <c r="T53" s="301"/>
      <c r="U53" s="301"/>
      <c r="V53" s="301"/>
      <c r="W53" s="301"/>
      <c r="X53" s="301"/>
      <c r="Y53" s="301"/>
      <c r="Z53" s="300">
        <f t="shared" si="6"/>
        <v>0</v>
      </c>
      <c r="AA53" s="444">
        <f t="shared" si="2"/>
        <v>0</v>
      </c>
    </row>
    <row r="54" spans="1:27" s="299" customFormat="1">
      <c r="A54" s="305">
        <v>46</v>
      </c>
      <c r="B54" s="301"/>
      <c r="C54" s="301"/>
      <c r="D54" s="301"/>
      <c r="E54" s="304"/>
      <c r="F54" s="304"/>
      <c r="G54" s="303">
        <f t="shared" ref="G54:G75" si="7">+H54+I54+J54+K54+M54+O54+Q54+S54</f>
        <v>0</v>
      </c>
      <c r="H54" s="301"/>
      <c r="I54" s="301"/>
      <c r="J54" s="301"/>
      <c r="K54" s="301"/>
      <c r="L54" s="301"/>
      <c r="M54" s="301"/>
      <c r="N54" s="302"/>
      <c r="O54" s="302"/>
      <c r="P54" s="302"/>
      <c r="Q54" s="302"/>
      <c r="R54" s="301"/>
      <c r="S54" s="301"/>
      <c r="T54" s="301"/>
      <c r="U54" s="301"/>
      <c r="V54" s="301"/>
      <c r="W54" s="301"/>
      <c r="X54" s="301"/>
      <c r="Y54" s="301"/>
      <c r="Z54" s="300">
        <f t="shared" ref="Z54:Z75" si="8">+G54-V54-X54</f>
        <v>0</v>
      </c>
      <c r="AA54" s="444">
        <f t="shared" si="2"/>
        <v>0</v>
      </c>
    </row>
    <row r="55" spans="1:27" s="299" customFormat="1">
      <c r="A55" s="305">
        <v>47</v>
      </c>
      <c r="B55" s="301"/>
      <c r="C55" s="301"/>
      <c r="D55" s="301"/>
      <c r="E55" s="304"/>
      <c r="F55" s="304"/>
      <c r="G55" s="303">
        <f t="shared" si="7"/>
        <v>0</v>
      </c>
      <c r="H55" s="301"/>
      <c r="I55" s="301"/>
      <c r="J55" s="301"/>
      <c r="K55" s="301"/>
      <c r="L55" s="301"/>
      <c r="M55" s="301"/>
      <c r="N55" s="302"/>
      <c r="O55" s="302"/>
      <c r="P55" s="302"/>
      <c r="Q55" s="302"/>
      <c r="R55" s="301"/>
      <c r="S55" s="301"/>
      <c r="T55" s="301"/>
      <c r="U55" s="301"/>
      <c r="V55" s="301"/>
      <c r="W55" s="301"/>
      <c r="X55" s="301"/>
      <c r="Y55" s="301"/>
      <c r="Z55" s="300">
        <f t="shared" si="8"/>
        <v>0</v>
      </c>
      <c r="AA55" s="444">
        <f t="shared" si="2"/>
        <v>0</v>
      </c>
    </row>
    <row r="56" spans="1:27" s="299" customFormat="1">
      <c r="A56" s="305">
        <v>48</v>
      </c>
      <c r="B56" s="301"/>
      <c r="C56" s="301"/>
      <c r="D56" s="301"/>
      <c r="E56" s="304"/>
      <c r="F56" s="304"/>
      <c r="G56" s="303">
        <f t="shared" si="7"/>
        <v>0</v>
      </c>
      <c r="H56" s="301"/>
      <c r="I56" s="301"/>
      <c r="J56" s="301"/>
      <c r="K56" s="301"/>
      <c r="L56" s="301"/>
      <c r="M56" s="301"/>
      <c r="N56" s="302"/>
      <c r="O56" s="302"/>
      <c r="P56" s="302"/>
      <c r="Q56" s="302"/>
      <c r="R56" s="301"/>
      <c r="S56" s="301"/>
      <c r="T56" s="301"/>
      <c r="U56" s="301"/>
      <c r="V56" s="301"/>
      <c r="W56" s="301"/>
      <c r="X56" s="301"/>
      <c r="Y56" s="301"/>
      <c r="Z56" s="300">
        <f t="shared" si="8"/>
        <v>0</v>
      </c>
      <c r="AA56" s="444">
        <f t="shared" si="2"/>
        <v>0</v>
      </c>
    </row>
    <row r="57" spans="1:27" s="299" customFormat="1">
      <c r="A57" s="305">
        <v>49</v>
      </c>
      <c r="B57" s="301"/>
      <c r="C57" s="301"/>
      <c r="D57" s="301"/>
      <c r="E57" s="304"/>
      <c r="F57" s="304"/>
      <c r="G57" s="303">
        <f t="shared" si="7"/>
        <v>0</v>
      </c>
      <c r="H57" s="301"/>
      <c r="I57" s="301"/>
      <c r="J57" s="301"/>
      <c r="K57" s="301"/>
      <c r="L57" s="301"/>
      <c r="M57" s="301"/>
      <c r="N57" s="302"/>
      <c r="O57" s="302"/>
      <c r="P57" s="302"/>
      <c r="Q57" s="302"/>
      <c r="R57" s="301"/>
      <c r="S57" s="301"/>
      <c r="T57" s="301"/>
      <c r="U57" s="301"/>
      <c r="V57" s="301"/>
      <c r="W57" s="301"/>
      <c r="X57" s="301"/>
      <c r="Y57" s="301"/>
      <c r="Z57" s="300">
        <f t="shared" si="8"/>
        <v>0</v>
      </c>
      <c r="AA57" s="444">
        <f t="shared" si="2"/>
        <v>0</v>
      </c>
    </row>
    <row r="58" spans="1:27" s="299" customFormat="1">
      <c r="A58" s="305">
        <v>50</v>
      </c>
      <c r="B58" s="301"/>
      <c r="C58" s="301"/>
      <c r="D58" s="301"/>
      <c r="E58" s="304"/>
      <c r="F58" s="304"/>
      <c r="G58" s="303">
        <f t="shared" si="7"/>
        <v>0</v>
      </c>
      <c r="H58" s="301"/>
      <c r="I58" s="301"/>
      <c r="J58" s="301"/>
      <c r="K58" s="301"/>
      <c r="L58" s="301"/>
      <c r="M58" s="301"/>
      <c r="N58" s="302"/>
      <c r="O58" s="302"/>
      <c r="P58" s="302"/>
      <c r="Q58" s="302"/>
      <c r="R58" s="301"/>
      <c r="S58" s="301"/>
      <c r="T58" s="301"/>
      <c r="U58" s="301"/>
      <c r="V58" s="301"/>
      <c r="W58" s="301"/>
      <c r="X58" s="301"/>
      <c r="Y58" s="301"/>
      <c r="Z58" s="300">
        <f t="shared" si="8"/>
        <v>0</v>
      </c>
      <c r="AA58" s="444">
        <f t="shared" si="2"/>
        <v>0</v>
      </c>
    </row>
    <row r="59" spans="1:27" s="299" customFormat="1">
      <c r="A59" s="305">
        <v>51</v>
      </c>
      <c r="B59" s="301"/>
      <c r="C59" s="301"/>
      <c r="D59" s="301"/>
      <c r="E59" s="304"/>
      <c r="F59" s="304"/>
      <c r="G59" s="303">
        <f t="shared" si="7"/>
        <v>0</v>
      </c>
      <c r="H59" s="301"/>
      <c r="I59" s="301"/>
      <c r="J59" s="301"/>
      <c r="K59" s="301"/>
      <c r="L59" s="301"/>
      <c r="M59" s="301"/>
      <c r="N59" s="302"/>
      <c r="O59" s="302"/>
      <c r="P59" s="302"/>
      <c r="Q59" s="302"/>
      <c r="R59" s="301"/>
      <c r="S59" s="301"/>
      <c r="T59" s="301"/>
      <c r="U59" s="301"/>
      <c r="V59" s="301"/>
      <c r="W59" s="301"/>
      <c r="X59" s="301"/>
      <c r="Y59" s="301"/>
      <c r="Z59" s="300">
        <f t="shared" si="8"/>
        <v>0</v>
      </c>
      <c r="AA59" s="444">
        <f t="shared" si="2"/>
        <v>0</v>
      </c>
    </row>
    <row r="60" spans="1:27" s="299" customFormat="1">
      <c r="A60" s="305">
        <v>52</v>
      </c>
      <c r="B60" s="301"/>
      <c r="C60" s="301"/>
      <c r="D60" s="301"/>
      <c r="E60" s="304"/>
      <c r="F60" s="304"/>
      <c r="G60" s="303">
        <f t="shared" si="7"/>
        <v>0</v>
      </c>
      <c r="H60" s="301"/>
      <c r="I60" s="301"/>
      <c r="J60" s="301"/>
      <c r="K60" s="301"/>
      <c r="L60" s="301"/>
      <c r="M60" s="301"/>
      <c r="N60" s="302"/>
      <c r="O60" s="302"/>
      <c r="P60" s="302"/>
      <c r="Q60" s="302"/>
      <c r="R60" s="301"/>
      <c r="S60" s="301"/>
      <c r="T60" s="301"/>
      <c r="U60" s="301"/>
      <c r="V60" s="301"/>
      <c r="W60" s="301"/>
      <c r="X60" s="301"/>
      <c r="Y60" s="301"/>
      <c r="Z60" s="300">
        <f t="shared" si="8"/>
        <v>0</v>
      </c>
      <c r="AA60" s="444">
        <f t="shared" si="2"/>
        <v>0</v>
      </c>
    </row>
    <row r="61" spans="1:27" s="299" customFormat="1">
      <c r="A61" s="305">
        <v>53</v>
      </c>
      <c r="B61" s="301"/>
      <c r="C61" s="301"/>
      <c r="D61" s="301"/>
      <c r="E61" s="304"/>
      <c r="F61" s="304"/>
      <c r="G61" s="303">
        <f t="shared" si="7"/>
        <v>0</v>
      </c>
      <c r="H61" s="301"/>
      <c r="I61" s="301"/>
      <c r="J61" s="301"/>
      <c r="K61" s="301"/>
      <c r="L61" s="301"/>
      <c r="M61" s="301"/>
      <c r="N61" s="302"/>
      <c r="O61" s="302"/>
      <c r="P61" s="302"/>
      <c r="Q61" s="302"/>
      <c r="R61" s="301"/>
      <c r="S61" s="301"/>
      <c r="T61" s="301"/>
      <c r="U61" s="301"/>
      <c r="V61" s="301"/>
      <c r="W61" s="301"/>
      <c r="X61" s="301"/>
      <c r="Y61" s="301"/>
      <c r="Z61" s="300">
        <f t="shared" si="8"/>
        <v>0</v>
      </c>
      <c r="AA61" s="444">
        <f t="shared" si="2"/>
        <v>0</v>
      </c>
    </row>
    <row r="62" spans="1:27" s="299" customFormat="1">
      <c r="A62" s="305">
        <v>54</v>
      </c>
      <c r="B62" s="301"/>
      <c r="C62" s="301"/>
      <c r="D62" s="301"/>
      <c r="E62" s="304"/>
      <c r="F62" s="304"/>
      <c r="G62" s="303">
        <f t="shared" si="7"/>
        <v>0</v>
      </c>
      <c r="H62" s="301"/>
      <c r="I62" s="301"/>
      <c r="J62" s="301"/>
      <c r="K62" s="301"/>
      <c r="L62" s="301"/>
      <c r="M62" s="301"/>
      <c r="N62" s="302"/>
      <c r="O62" s="302"/>
      <c r="P62" s="302"/>
      <c r="Q62" s="302"/>
      <c r="R62" s="301"/>
      <c r="S62" s="301"/>
      <c r="T62" s="301"/>
      <c r="U62" s="301"/>
      <c r="V62" s="301"/>
      <c r="W62" s="301"/>
      <c r="X62" s="301"/>
      <c r="Y62" s="301"/>
      <c r="Z62" s="300">
        <f t="shared" si="8"/>
        <v>0</v>
      </c>
      <c r="AA62" s="444">
        <f t="shared" si="2"/>
        <v>0</v>
      </c>
    </row>
    <row r="63" spans="1:27" s="299" customFormat="1">
      <c r="A63" s="305">
        <v>55</v>
      </c>
      <c r="B63" s="301"/>
      <c r="C63" s="301"/>
      <c r="D63" s="301"/>
      <c r="E63" s="304"/>
      <c r="F63" s="304"/>
      <c r="G63" s="303">
        <f t="shared" si="7"/>
        <v>0</v>
      </c>
      <c r="H63" s="301"/>
      <c r="I63" s="301"/>
      <c r="J63" s="301"/>
      <c r="K63" s="301"/>
      <c r="L63" s="301"/>
      <c r="M63" s="301"/>
      <c r="N63" s="302"/>
      <c r="O63" s="302"/>
      <c r="P63" s="302"/>
      <c r="Q63" s="302"/>
      <c r="R63" s="301"/>
      <c r="S63" s="301"/>
      <c r="T63" s="301"/>
      <c r="U63" s="301"/>
      <c r="V63" s="301"/>
      <c r="W63" s="301"/>
      <c r="X63" s="301"/>
      <c r="Y63" s="301"/>
      <c r="Z63" s="300">
        <f t="shared" si="8"/>
        <v>0</v>
      </c>
      <c r="AA63" s="444">
        <f t="shared" si="2"/>
        <v>0</v>
      </c>
    </row>
    <row r="64" spans="1:27" s="299" customFormat="1">
      <c r="A64" s="305">
        <v>56</v>
      </c>
      <c r="B64" s="301"/>
      <c r="C64" s="301"/>
      <c r="D64" s="301"/>
      <c r="E64" s="304"/>
      <c r="F64" s="304"/>
      <c r="G64" s="303">
        <f t="shared" si="7"/>
        <v>0</v>
      </c>
      <c r="H64" s="301"/>
      <c r="I64" s="301"/>
      <c r="J64" s="301"/>
      <c r="K64" s="301"/>
      <c r="L64" s="301"/>
      <c r="M64" s="301"/>
      <c r="N64" s="302"/>
      <c r="O64" s="302"/>
      <c r="P64" s="302"/>
      <c r="Q64" s="302"/>
      <c r="R64" s="301"/>
      <c r="S64" s="301"/>
      <c r="T64" s="301"/>
      <c r="U64" s="301"/>
      <c r="V64" s="301"/>
      <c r="W64" s="301"/>
      <c r="X64" s="301"/>
      <c r="Y64" s="301"/>
      <c r="Z64" s="300">
        <f t="shared" si="8"/>
        <v>0</v>
      </c>
      <c r="AA64" s="444">
        <f t="shared" si="2"/>
        <v>0</v>
      </c>
    </row>
    <row r="65" spans="1:27" s="299" customFormat="1">
      <c r="A65" s="305">
        <v>57</v>
      </c>
      <c r="B65" s="301"/>
      <c r="C65" s="301"/>
      <c r="D65" s="301"/>
      <c r="E65" s="304"/>
      <c r="F65" s="304"/>
      <c r="G65" s="303">
        <f t="shared" si="7"/>
        <v>0</v>
      </c>
      <c r="H65" s="301"/>
      <c r="I65" s="301"/>
      <c r="J65" s="301"/>
      <c r="K65" s="301"/>
      <c r="L65" s="301"/>
      <c r="M65" s="301"/>
      <c r="N65" s="302"/>
      <c r="O65" s="302"/>
      <c r="P65" s="302"/>
      <c r="Q65" s="302"/>
      <c r="R65" s="301"/>
      <c r="S65" s="301"/>
      <c r="T65" s="301"/>
      <c r="U65" s="301"/>
      <c r="V65" s="301"/>
      <c r="W65" s="301"/>
      <c r="X65" s="301"/>
      <c r="Y65" s="301"/>
      <c r="Z65" s="300">
        <f t="shared" si="8"/>
        <v>0</v>
      </c>
      <c r="AA65" s="444">
        <f t="shared" si="2"/>
        <v>0</v>
      </c>
    </row>
    <row r="66" spans="1:27" s="299" customFormat="1">
      <c r="A66" s="305">
        <v>58</v>
      </c>
      <c r="B66" s="301"/>
      <c r="C66" s="301"/>
      <c r="D66" s="301"/>
      <c r="E66" s="304"/>
      <c r="F66" s="304"/>
      <c r="G66" s="303">
        <f t="shared" si="7"/>
        <v>0</v>
      </c>
      <c r="H66" s="301"/>
      <c r="I66" s="301"/>
      <c r="J66" s="301"/>
      <c r="K66" s="301"/>
      <c r="L66" s="301"/>
      <c r="M66" s="301"/>
      <c r="N66" s="302"/>
      <c r="O66" s="302"/>
      <c r="P66" s="302"/>
      <c r="Q66" s="302"/>
      <c r="R66" s="301"/>
      <c r="S66" s="301"/>
      <c r="T66" s="301"/>
      <c r="U66" s="301"/>
      <c r="V66" s="301"/>
      <c r="W66" s="301"/>
      <c r="X66" s="301"/>
      <c r="Y66" s="301"/>
      <c r="Z66" s="300">
        <f t="shared" si="8"/>
        <v>0</v>
      </c>
      <c r="AA66" s="444">
        <f t="shared" si="2"/>
        <v>0</v>
      </c>
    </row>
    <row r="67" spans="1:27" s="299" customFormat="1">
      <c r="A67" s="305">
        <v>59</v>
      </c>
      <c r="B67" s="301"/>
      <c r="C67" s="301"/>
      <c r="D67" s="301"/>
      <c r="E67" s="304"/>
      <c r="F67" s="304"/>
      <c r="G67" s="303">
        <f t="shared" si="7"/>
        <v>0</v>
      </c>
      <c r="H67" s="301"/>
      <c r="I67" s="301"/>
      <c r="J67" s="301"/>
      <c r="K67" s="301"/>
      <c r="L67" s="301"/>
      <c r="M67" s="301"/>
      <c r="N67" s="302"/>
      <c r="O67" s="302"/>
      <c r="P67" s="302"/>
      <c r="Q67" s="302"/>
      <c r="R67" s="301"/>
      <c r="S67" s="301"/>
      <c r="T67" s="301"/>
      <c r="U67" s="301"/>
      <c r="V67" s="301"/>
      <c r="W67" s="301"/>
      <c r="X67" s="301"/>
      <c r="Y67" s="301"/>
      <c r="Z67" s="300">
        <f t="shared" si="8"/>
        <v>0</v>
      </c>
      <c r="AA67" s="444">
        <f t="shared" si="2"/>
        <v>0</v>
      </c>
    </row>
    <row r="68" spans="1:27" s="299" customFormat="1">
      <c r="A68" s="305">
        <v>60</v>
      </c>
      <c r="B68" s="301"/>
      <c r="C68" s="301"/>
      <c r="D68" s="301"/>
      <c r="E68" s="304"/>
      <c r="F68" s="304"/>
      <c r="G68" s="303">
        <f t="shared" si="7"/>
        <v>0</v>
      </c>
      <c r="H68" s="301"/>
      <c r="I68" s="301"/>
      <c r="J68" s="301"/>
      <c r="K68" s="301"/>
      <c r="L68" s="301"/>
      <c r="M68" s="301"/>
      <c r="N68" s="302"/>
      <c r="O68" s="302"/>
      <c r="P68" s="302"/>
      <c r="Q68" s="302"/>
      <c r="R68" s="301"/>
      <c r="S68" s="301"/>
      <c r="T68" s="301"/>
      <c r="U68" s="301"/>
      <c r="V68" s="301"/>
      <c r="W68" s="301"/>
      <c r="X68" s="301"/>
      <c r="Y68" s="301"/>
      <c r="Z68" s="300">
        <f t="shared" si="8"/>
        <v>0</v>
      </c>
      <c r="AA68" s="444">
        <f t="shared" si="2"/>
        <v>0</v>
      </c>
    </row>
    <row r="69" spans="1:27" s="299" customFormat="1">
      <c r="A69" s="305">
        <v>61</v>
      </c>
      <c r="B69" s="301"/>
      <c r="C69" s="301"/>
      <c r="D69" s="301"/>
      <c r="E69" s="304"/>
      <c r="F69" s="304"/>
      <c r="G69" s="303">
        <f t="shared" si="7"/>
        <v>0</v>
      </c>
      <c r="H69" s="301"/>
      <c r="I69" s="301"/>
      <c r="J69" s="301"/>
      <c r="K69" s="301"/>
      <c r="L69" s="301"/>
      <c r="M69" s="301"/>
      <c r="N69" s="302"/>
      <c r="O69" s="302"/>
      <c r="P69" s="302"/>
      <c r="Q69" s="302"/>
      <c r="R69" s="301"/>
      <c r="S69" s="301"/>
      <c r="T69" s="301"/>
      <c r="U69" s="301"/>
      <c r="V69" s="301"/>
      <c r="W69" s="301"/>
      <c r="X69" s="301"/>
      <c r="Y69" s="301"/>
      <c r="Z69" s="300">
        <f t="shared" si="8"/>
        <v>0</v>
      </c>
      <c r="AA69" s="444">
        <f t="shared" si="2"/>
        <v>0</v>
      </c>
    </row>
    <row r="70" spans="1:27" s="299" customFormat="1">
      <c r="A70" s="305">
        <v>62</v>
      </c>
      <c r="B70" s="301"/>
      <c r="C70" s="301"/>
      <c r="D70" s="301"/>
      <c r="E70" s="304"/>
      <c r="F70" s="304"/>
      <c r="G70" s="303">
        <f t="shared" si="7"/>
        <v>0</v>
      </c>
      <c r="H70" s="301"/>
      <c r="I70" s="301"/>
      <c r="J70" s="301"/>
      <c r="K70" s="301"/>
      <c r="L70" s="301"/>
      <c r="M70" s="301"/>
      <c r="N70" s="302"/>
      <c r="O70" s="302"/>
      <c r="P70" s="302"/>
      <c r="Q70" s="302"/>
      <c r="R70" s="301"/>
      <c r="S70" s="301"/>
      <c r="T70" s="301"/>
      <c r="U70" s="301"/>
      <c r="V70" s="301"/>
      <c r="W70" s="301"/>
      <c r="X70" s="301"/>
      <c r="Y70" s="301"/>
      <c r="Z70" s="300">
        <f t="shared" si="8"/>
        <v>0</v>
      </c>
      <c r="AA70" s="444">
        <f t="shared" si="2"/>
        <v>0</v>
      </c>
    </row>
    <row r="71" spans="1:27" s="299" customFormat="1">
      <c r="A71" s="305">
        <v>63</v>
      </c>
      <c r="B71" s="301"/>
      <c r="C71" s="301"/>
      <c r="D71" s="301"/>
      <c r="E71" s="304"/>
      <c r="F71" s="304"/>
      <c r="G71" s="303">
        <f t="shared" si="7"/>
        <v>0</v>
      </c>
      <c r="H71" s="301"/>
      <c r="I71" s="301"/>
      <c r="J71" s="301"/>
      <c r="K71" s="301"/>
      <c r="L71" s="301"/>
      <c r="M71" s="301"/>
      <c r="N71" s="302"/>
      <c r="O71" s="302"/>
      <c r="P71" s="302"/>
      <c r="Q71" s="302"/>
      <c r="R71" s="301"/>
      <c r="S71" s="301"/>
      <c r="T71" s="301"/>
      <c r="U71" s="301"/>
      <c r="V71" s="301"/>
      <c r="W71" s="301"/>
      <c r="X71" s="301"/>
      <c r="Y71" s="301"/>
      <c r="Z71" s="300">
        <f t="shared" si="8"/>
        <v>0</v>
      </c>
      <c r="AA71" s="444">
        <f t="shared" si="2"/>
        <v>0</v>
      </c>
    </row>
    <row r="72" spans="1:27" s="299" customFormat="1">
      <c r="A72" s="305">
        <v>64</v>
      </c>
      <c r="B72" s="301"/>
      <c r="C72" s="301"/>
      <c r="D72" s="301"/>
      <c r="E72" s="304"/>
      <c r="F72" s="304"/>
      <c r="G72" s="303">
        <f t="shared" si="7"/>
        <v>0</v>
      </c>
      <c r="H72" s="301"/>
      <c r="I72" s="301"/>
      <c r="J72" s="301"/>
      <c r="K72" s="301"/>
      <c r="L72" s="301"/>
      <c r="M72" s="301"/>
      <c r="N72" s="302"/>
      <c r="O72" s="302"/>
      <c r="P72" s="302"/>
      <c r="Q72" s="302"/>
      <c r="R72" s="301"/>
      <c r="S72" s="301"/>
      <c r="T72" s="301"/>
      <c r="U72" s="301"/>
      <c r="V72" s="301"/>
      <c r="W72" s="301"/>
      <c r="X72" s="301"/>
      <c r="Y72" s="301"/>
      <c r="Z72" s="300">
        <f t="shared" si="8"/>
        <v>0</v>
      </c>
      <c r="AA72" s="444">
        <f t="shared" si="2"/>
        <v>0</v>
      </c>
    </row>
    <row r="73" spans="1:27" s="299" customFormat="1">
      <c r="A73" s="305">
        <v>65</v>
      </c>
      <c r="B73" s="301"/>
      <c r="C73" s="301"/>
      <c r="D73" s="301"/>
      <c r="E73" s="304"/>
      <c r="F73" s="304"/>
      <c r="G73" s="303">
        <f t="shared" si="7"/>
        <v>0</v>
      </c>
      <c r="H73" s="301"/>
      <c r="I73" s="301"/>
      <c r="J73" s="301"/>
      <c r="K73" s="301"/>
      <c r="L73" s="301"/>
      <c r="M73" s="301"/>
      <c r="N73" s="302"/>
      <c r="O73" s="302"/>
      <c r="P73" s="302"/>
      <c r="Q73" s="302"/>
      <c r="R73" s="301"/>
      <c r="S73" s="301"/>
      <c r="T73" s="301"/>
      <c r="U73" s="301"/>
      <c r="V73" s="301"/>
      <c r="W73" s="301"/>
      <c r="X73" s="301"/>
      <c r="Y73" s="301"/>
      <c r="Z73" s="300">
        <f t="shared" si="8"/>
        <v>0</v>
      </c>
      <c r="AA73" s="444">
        <f t="shared" ref="AA73:AA88" si="9">SUMIF($F$9:$F$88,$F73,$Z$9:$Z$88)</f>
        <v>0</v>
      </c>
    </row>
    <row r="74" spans="1:27" s="299" customFormat="1">
      <c r="A74" s="305">
        <v>66</v>
      </c>
      <c r="B74" s="301"/>
      <c r="C74" s="301"/>
      <c r="D74" s="301"/>
      <c r="E74" s="304"/>
      <c r="F74" s="304"/>
      <c r="G74" s="303">
        <f t="shared" si="7"/>
        <v>0</v>
      </c>
      <c r="H74" s="301"/>
      <c r="I74" s="301"/>
      <c r="J74" s="301"/>
      <c r="K74" s="301"/>
      <c r="L74" s="301"/>
      <c r="M74" s="301"/>
      <c r="N74" s="302"/>
      <c r="O74" s="302"/>
      <c r="P74" s="302"/>
      <c r="Q74" s="302"/>
      <c r="R74" s="301"/>
      <c r="S74" s="301"/>
      <c r="T74" s="301"/>
      <c r="U74" s="301"/>
      <c r="V74" s="301"/>
      <c r="W74" s="301"/>
      <c r="X74" s="301"/>
      <c r="Y74" s="301"/>
      <c r="Z74" s="300">
        <f t="shared" si="8"/>
        <v>0</v>
      </c>
      <c r="AA74" s="444">
        <f t="shared" si="9"/>
        <v>0</v>
      </c>
    </row>
    <row r="75" spans="1:27" s="299" customFormat="1">
      <c r="A75" s="305">
        <v>67</v>
      </c>
      <c r="B75" s="301"/>
      <c r="C75" s="301"/>
      <c r="D75" s="301"/>
      <c r="E75" s="304"/>
      <c r="F75" s="304"/>
      <c r="G75" s="303">
        <f t="shared" si="7"/>
        <v>0</v>
      </c>
      <c r="H75" s="301"/>
      <c r="I75" s="301"/>
      <c r="J75" s="301"/>
      <c r="K75" s="301"/>
      <c r="L75" s="301"/>
      <c r="M75" s="301"/>
      <c r="N75" s="302"/>
      <c r="O75" s="302"/>
      <c r="P75" s="302"/>
      <c r="Q75" s="302"/>
      <c r="R75" s="301"/>
      <c r="S75" s="301"/>
      <c r="T75" s="301"/>
      <c r="U75" s="301"/>
      <c r="V75" s="301"/>
      <c r="W75" s="301"/>
      <c r="X75" s="301"/>
      <c r="Y75" s="301"/>
      <c r="Z75" s="300">
        <f t="shared" si="8"/>
        <v>0</v>
      </c>
      <c r="AA75" s="444">
        <f t="shared" si="9"/>
        <v>0</v>
      </c>
    </row>
    <row r="76" spans="1:27" s="299" customFormat="1">
      <c r="A76" s="305">
        <v>68</v>
      </c>
      <c r="B76" s="301"/>
      <c r="C76" s="301"/>
      <c r="D76" s="301"/>
      <c r="E76" s="304"/>
      <c r="F76" s="304"/>
      <c r="G76" s="303">
        <f t="shared" si="3"/>
        <v>0</v>
      </c>
      <c r="H76" s="301"/>
      <c r="I76" s="301"/>
      <c r="J76" s="301"/>
      <c r="K76" s="301"/>
      <c r="L76" s="301"/>
      <c r="M76" s="301"/>
      <c r="N76" s="302"/>
      <c r="O76" s="302"/>
      <c r="P76" s="302"/>
      <c r="Q76" s="302"/>
      <c r="R76" s="301"/>
      <c r="S76" s="301"/>
      <c r="T76" s="301"/>
      <c r="U76" s="301"/>
      <c r="V76" s="301"/>
      <c r="W76" s="301"/>
      <c r="X76" s="301"/>
      <c r="Y76" s="301"/>
      <c r="Z76" s="300">
        <f t="shared" si="4"/>
        <v>0</v>
      </c>
      <c r="AA76" s="444">
        <f t="shared" si="9"/>
        <v>0</v>
      </c>
    </row>
    <row r="77" spans="1:27" s="299" customFormat="1">
      <c r="A77" s="305">
        <v>69</v>
      </c>
      <c r="B77" s="301"/>
      <c r="C77" s="301"/>
      <c r="D77" s="301"/>
      <c r="E77" s="304"/>
      <c r="F77" s="304"/>
      <c r="G77" s="303">
        <f t="shared" si="3"/>
        <v>0</v>
      </c>
      <c r="H77" s="301"/>
      <c r="I77" s="301"/>
      <c r="J77" s="301"/>
      <c r="K77" s="301"/>
      <c r="L77" s="301"/>
      <c r="M77" s="301"/>
      <c r="N77" s="302"/>
      <c r="O77" s="302"/>
      <c r="P77" s="302"/>
      <c r="Q77" s="302"/>
      <c r="R77" s="301"/>
      <c r="S77" s="301"/>
      <c r="T77" s="301"/>
      <c r="U77" s="301"/>
      <c r="V77" s="301"/>
      <c r="W77" s="301"/>
      <c r="X77" s="301"/>
      <c r="Y77" s="301"/>
      <c r="Z77" s="300">
        <f t="shared" si="4"/>
        <v>0</v>
      </c>
      <c r="AA77" s="444">
        <f t="shared" si="9"/>
        <v>0</v>
      </c>
    </row>
    <row r="78" spans="1:27" s="299" customFormat="1">
      <c r="A78" s="305">
        <v>70</v>
      </c>
      <c r="B78" s="301"/>
      <c r="C78" s="301"/>
      <c r="D78" s="301"/>
      <c r="E78" s="304"/>
      <c r="F78" s="304"/>
      <c r="G78" s="303">
        <f t="shared" si="3"/>
        <v>0</v>
      </c>
      <c r="H78" s="301"/>
      <c r="I78" s="301"/>
      <c r="J78" s="301"/>
      <c r="K78" s="301"/>
      <c r="L78" s="301"/>
      <c r="M78" s="301"/>
      <c r="N78" s="302"/>
      <c r="O78" s="302"/>
      <c r="P78" s="302"/>
      <c r="Q78" s="302"/>
      <c r="R78" s="301"/>
      <c r="S78" s="301"/>
      <c r="T78" s="301"/>
      <c r="U78" s="301"/>
      <c r="V78" s="301"/>
      <c r="W78" s="301"/>
      <c r="X78" s="301"/>
      <c r="Y78" s="301"/>
      <c r="Z78" s="300">
        <f t="shared" si="4"/>
        <v>0</v>
      </c>
      <c r="AA78" s="444">
        <f t="shared" si="9"/>
        <v>0</v>
      </c>
    </row>
    <row r="79" spans="1:27" s="299" customFormat="1">
      <c r="A79" s="305">
        <v>71</v>
      </c>
      <c r="B79" s="301"/>
      <c r="C79" s="301"/>
      <c r="D79" s="301"/>
      <c r="E79" s="304"/>
      <c r="F79" s="304"/>
      <c r="G79" s="303">
        <f t="shared" si="3"/>
        <v>0</v>
      </c>
      <c r="H79" s="301"/>
      <c r="I79" s="301"/>
      <c r="J79" s="301"/>
      <c r="K79" s="301"/>
      <c r="L79" s="301"/>
      <c r="M79" s="301"/>
      <c r="N79" s="302"/>
      <c r="O79" s="302"/>
      <c r="P79" s="302"/>
      <c r="Q79" s="302"/>
      <c r="R79" s="301"/>
      <c r="S79" s="301"/>
      <c r="T79" s="301"/>
      <c r="U79" s="301"/>
      <c r="V79" s="301"/>
      <c r="W79" s="301"/>
      <c r="X79" s="301"/>
      <c r="Y79" s="301"/>
      <c r="Z79" s="300">
        <f t="shared" si="4"/>
        <v>0</v>
      </c>
      <c r="AA79" s="444">
        <f t="shared" si="9"/>
        <v>0</v>
      </c>
    </row>
    <row r="80" spans="1:27" s="299" customFormat="1">
      <c r="A80" s="305">
        <v>72</v>
      </c>
      <c r="B80" s="301"/>
      <c r="C80" s="301"/>
      <c r="D80" s="301"/>
      <c r="E80" s="304"/>
      <c r="F80" s="304"/>
      <c r="G80" s="303">
        <f t="shared" si="3"/>
        <v>0</v>
      </c>
      <c r="H80" s="301"/>
      <c r="I80" s="301"/>
      <c r="J80" s="301"/>
      <c r="K80" s="301"/>
      <c r="L80" s="301"/>
      <c r="M80" s="301"/>
      <c r="N80" s="302"/>
      <c r="O80" s="302"/>
      <c r="P80" s="302"/>
      <c r="Q80" s="302"/>
      <c r="R80" s="301"/>
      <c r="S80" s="301"/>
      <c r="T80" s="301"/>
      <c r="U80" s="301"/>
      <c r="V80" s="301"/>
      <c r="W80" s="301"/>
      <c r="X80" s="301"/>
      <c r="Y80" s="301"/>
      <c r="Z80" s="300">
        <f t="shared" si="4"/>
        <v>0</v>
      </c>
      <c r="AA80" s="444">
        <f t="shared" si="9"/>
        <v>0</v>
      </c>
    </row>
    <row r="81" spans="1:30" s="299" customFormat="1">
      <c r="A81" s="305">
        <v>73</v>
      </c>
      <c r="B81" s="301"/>
      <c r="C81" s="301"/>
      <c r="D81" s="301"/>
      <c r="E81" s="304"/>
      <c r="F81" s="304"/>
      <c r="G81" s="303">
        <f t="shared" si="3"/>
        <v>0</v>
      </c>
      <c r="H81" s="301"/>
      <c r="I81" s="301"/>
      <c r="J81" s="301"/>
      <c r="K81" s="301"/>
      <c r="L81" s="301"/>
      <c r="M81" s="301"/>
      <c r="N81" s="302"/>
      <c r="O81" s="302"/>
      <c r="P81" s="302"/>
      <c r="Q81" s="302"/>
      <c r="R81" s="301"/>
      <c r="S81" s="301"/>
      <c r="T81" s="301"/>
      <c r="U81" s="301"/>
      <c r="V81" s="301"/>
      <c r="W81" s="301"/>
      <c r="X81" s="301"/>
      <c r="Y81" s="301"/>
      <c r="Z81" s="300">
        <f t="shared" si="4"/>
        <v>0</v>
      </c>
      <c r="AA81" s="444">
        <f t="shared" si="9"/>
        <v>0</v>
      </c>
    </row>
    <row r="82" spans="1:30" s="299" customFormat="1">
      <c r="A82" s="305">
        <v>74</v>
      </c>
      <c r="B82" s="301"/>
      <c r="C82" s="301"/>
      <c r="D82" s="301"/>
      <c r="E82" s="304"/>
      <c r="F82" s="304"/>
      <c r="G82" s="303">
        <f t="shared" si="3"/>
        <v>0</v>
      </c>
      <c r="H82" s="301"/>
      <c r="I82" s="301"/>
      <c r="J82" s="301"/>
      <c r="K82" s="301"/>
      <c r="L82" s="301"/>
      <c r="M82" s="301"/>
      <c r="N82" s="302"/>
      <c r="O82" s="302"/>
      <c r="P82" s="302"/>
      <c r="Q82" s="302"/>
      <c r="R82" s="301"/>
      <c r="S82" s="301"/>
      <c r="T82" s="301"/>
      <c r="U82" s="301"/>
      <c r="V82" s="301"/>
      <c r="W82" s="301"/>
      <c r="X82" s="301"/>
      <c r="Y82" s="301"/>
      <c r="Z82" s="300">
        <f t="shared" si="4"/>
        <v>0</v>
      </c>
      <c r="AA82" s="444">
        <f t="shared" si="9"/>
        <v>0</v>
      </c>
    </row>
    <row r="83" spans="1:30" s="299" customFormat="1">
      <c r="A83" s="305">
        <v>75</v>
      </c>
      <c r="B83" s="301"/>
      <c r="C83" s="301"/>
      <c r="D83" s="301"/>
      <c r="E83" s="304"/>
      <c r="F83" s="304"/>
      <c r="G83" s="303">
        <f t="shared" si="3"/>
        <v>0</v>
      </c>
      <c r="H83" s="301"/>
      <c r="I83" s="301"/>
      <c r="J83" s="301"/>
      <c r="K83" s="301"/>
      <c r="L83" s="301"/>
      <c r="M83" s="301"/>
      <c r="N83" s="302"/>
      <c r="O83" s="302"/>
      <c r="P83" s="302"/>
      <c r="Q83" s="302"/>
      <c r="R83" s="301"/>
      <c r="S83" s="301"/>
      <c r="T83" s="301"/>
      <c r="U83" s="301"/>
      <c r="V83" s="301"/>
      <c r="W83" s="301"/>
      <c r="X83" s="301"/>
      <c r="Y83" s="301"/>
      <c r="Z83" s="300">
        <f t="shared" si="4"/>
        <v>0</v>
      </c>
      <c r="AA83" s="444">
        <f t="shared" si="9"/>
        <v>0</v>
      </c>
    </row>
    <row r="84" spans="1:30" s="299" customFormat="1">
      <c r="A84" s="305">
        <v>76</v>
      </c>
      <c r="B84" s="301"/>
      <c r="C84" s="301"/>
      <c r="D84" s="301"/>
      <c r="E84" s="304"/>
      <c r="F84" s="304"/>
      <c r="G84" s="303">
        <f t="shared" si="3"/>
        <v>0</v>
      </c>
      <c r="H84" s="301"/>
      <c r="I84" s="301"/>
      <c r="J84" s="301"/>
      <c r="K84" s="301"/>
      <c r="L84" s="301"/>
      <c r="M84" s="301"/>
      <c r="N84" s="302"/>
      <c r="O84" s="302"/>
      <c r="P84" s="302"/>
      <c r="Q84" s="302"/>
      <c r="R84" s="301"/>
      <c r="S84" s="301"/>
      <c r="T84" s="301"/>
      <c r="U84" s="301"/>
      <c r="V84" s="301"/>
      <c r="W84" s="301"/>
      <c r="X84" s="301"/>
      <c r="Y84" s="301"/>
      <c r="Z84" s="300">
        <f t="shared" si="4"/>
        <v>0</v>
      </c>
      <c r="AA84" s="444">
        <f t="shared" si="9"/>
        <v>0</v>
      </c>
    </row>
    <row r="85" spans="1:30" s="299" customFormat="1">
      <c r="A85" s="305">
        <v>77</v>
      </c>
      <c r="B85" s="301"/>
      <c r="C85" s="301"/>
      <c r="D85" s="301"/>
      <c r="E85" s="304"/>
      <c r="F85" s="304"/>
      <c r="G85" s="303">
        <f t="shared" si="3"/>
        <v>0</v>
      </c>
      <c r="H85" s="301"/>
      <c r="I85" s="301"/>
      <c r="J85" s="301"/>
      <c r="K85" s="301"/>
      <c r="L85" s="301"/>
      <c r="M85" s="301"/>
      <c r="N85" s="302"/>
      <c r="O85" s="302"/>
      <c r="P85" s="302"/>
      <c r="Q85" s="302"/>
      <c r="R85" s="301"/>
      <c r="S85" s="301"/>
      <c r="T85" s="301"/>
      <c r="U85" s="301"/>
      <c r="V85" s="301"/>
      <c r="W85" s="301"/>
      <c r="X85" s="301"/>
      <c r="Y85" s="301"/>
      <c r="Z85" s="300">
        <f t="shared" si="4"/>
        <v>0</v>
      </c>
      <c r="AA85" s="444">
        <f t="shared" si="9"/>
        <v>0</v>
      </c>
    </row>
    <row r="86" spans="1:30" s="299" customFormat="1">
      <c r="A86" s="305">
        <v>78</v>
      </c>
      <c r="B86" s="301"/>
      <c r="C86" s="301"/>
      <c r="D86" s="301"/>
      <c r="E86" s="304"/>
      <c r="F86" s="304"/>
      <c r="G86" s="303">
        <f t="shared" si="3"/>
        <v>0</v>
      </c>
      <c r="H86" s="301"/>
      <c r="I86" s="301"/>
      <c r="J86" s="301"/>
      <c r="K86" s="301"/>
      <c r="L86" s="301"/>
      <c r="M86" s="301"/>
      <c r="N86" s="302"/>
      <c r="O86" s="302"/>
      <c r="P86" s="302"/>
      <c r="Q86" s="302"/>
      <c r="R86" s="301"/>
      <c r="S86" s="301"/>
      <c r="T86" s="301"/>
      <c r="U86" s="301"/>
      <c r="V86" s="301"/>
      <c r="W86" s="301"/>
      <c r="X86" s="301"/>
      <c r="Y86" s="301"/>
      <c r="Z86" s="300">
        <f t="shared" si="4"/>
        <v>0</v>
      </c>
      <c r="AA86" s="444">
        <f t="shared" si="9"/>
        <v>0</v>
      </c>
    </row>
    <row r="87" spans="1:30" s="299" customFormat="1">
      <c r="A87" s="305">
        <v>79</v>
      </c>
      <c r="B87" s="301"/>
      <c r="C87" s="301"/>
      <c r="D87" s="301"/>
      <c r="E87" s="304"/>
      <c r="F87" s="304"/>
      <c r="G87" s="303">
        <f t="shared" si="3"/>
        <v>0</v>
      </c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0">
        <f t="shared" si="4"/>
        <v>0</v>
      </c>
      <c r="AA87" s="444">
        <f t="shared" si="9"/>
        <v>0</v>
      </c>
    </row>
    <row r="88" spans="1:30" s="299" customFormat="1">
      <c r="A88" s="305">
        <v>80</v>
      </c>
      <c r="B88" s="301"/>
      <c r="C88" s="301"/>
      <c r="D88" s="301"/>
      <c r="E88" s="304"/>
      <c r="F88" s="304"/>
      <c r="G88" s="303">
        <f t="shared" si="3"/>
        <v>0</v>
      </c>
      <c r="H88" s="301"/>
      <c r="I88" s="301"/>
      <c r="J88" s="301"/>
      <c r="K88" s="301"/>
      <c r="L88" s="301"/>
      <c r="M88" s="301"/>
      <c r="N88" s="302"/>
      <c r="O88" s="302"/>
      <c r="P88" s="302"/>
      <c r="Q88" s="302"/>
      <c r="R88" s="301"/>
      <c r="S88" s="301"/>
      <c r="T88" s="301"/>
      <c r="U88" s="301"/>
      <c r="V88" s="301"/>
      <c r="W88" s="301"/>
      <c r="X88" s="301"/>
      <c r="Y88" s="301"/>
      <c r="Z88" s="300">
        <f t="shared" si="4"/>
        <v>0</v>
      </c>
      <c r="AA88" s="444">
        <f t="shared" si="9"/>
        <v>0</v>
      </c>
    </row>
    <row r="89" spans="1:30" s="276" customFormat="1" ht="29.25" customHeight="1">
      <c r="A89" s="753" t="s">
        <v>455</v>
      </c>
      <c r="B89" s="754"/>
      <c r="C89" s="754"/>
      <c r="D89" s="754"/>
      <c r="E89" s="754"/>
      <c r="F89" s="755"/>
      <c r="G89" s="322">
        <f t="shared" ref="G89:T89" si="10">SUM(G9:G88)</f>
        <v>849463732</v>
      </c>
      <c r="H89" s="322">
        <f t="shared" si="10"/>
        <v>0</v>
      </c>
      <c r="I89" s="322">
        <f t="shared" si="10"/>
        <v>641506966</v>
      </c>
      <c r="J89" s="322">
        <f t="shared" si="10"/>
        <v>95702166</v>
      </c>
      <c r="K89" s="322">
        <f t="shared" si="10"/>
        <v>0</v>
      </c>
      <c r="L89" s="322">
        <f t="shared" si="10"/>
        <v>0</v>
      </c>
      <c r="M89" s="322">
        <f t="shared" si="10"/>
        <v>0</v>
      </c>
      <c r="N89" s="322">
        <f t="shared" si="10"/>
        <v>112254600</v>
      </c>
      <c r="O89" s="322">
        <f t="shared" si="10"/>
        <v>112254600</v>
      </c>
      <c r="P89" s="322">
        <f t="shared" si="10"/>
        <v>0</v>
      </c>
      <c r="Q89" s="322">
        <f t="shared" si="10"/>
        <v>0</v>
      </c>
      <c r="R89" s="322">
        <f t="shared" si="10"/>
        <v>0</v>
      </c>
      <c r="S89" s="322">
        <f t="shared" si="10"/>
        <v>0</v>
      </c>
      <c r="T89" s="322">
        <f t="shared" si="10"/>
        <v>0</v>
      </c>
      <c r="U89" s="323"/>
      <c r="V89" s="322">
        <f>SUM(V9:V88)</f>
        <v>422554600</v>
      </c>
      <c r="W89" s="323"/>
      <c r="X89" s="322">
        <f>SUM(X9:X88)</f>
        <v>0</v>
      </c>
      <c r="Y89" s="322">
        <f>SUM(Y9:Y88)</f>
        <v>0</v>
      </c>
      <c r="Z89" s="322">
        <f>SUM(Z9:Z88)</f>
        <v>426909132</v>
      </c>
      <c r="AA89" s="444"/>
    </row>
    <row r="90" spans="1:30" s="276" customFormat="1" ht="29.25" customHeight="1">
      <c r="A90" s="753" t="s">
        <v>456</v>
      </c>
      <c r="B90" s="754"/>
      <c r="C90" s="754"/>
      <c r="D90" s="754"/>
      <c r="E90" s="754"/>
      <c r="F90" s="755"/>
      <c r="G90" s="322">
        <f>+SUMIF($F$9:$F$88,$AA$90,$G$9:$G$88)</f>
        <v>657323933</v>
      </c>
      <c r="H90" s="322">
        <f>+SUMIF($F$9:$F$88,$AA$90,$H$9:$H$88)</f>
        <v>0</v>
      </c>
      <c r="I90" s="322">
        <f>+SUMIF($F$9:$F$88,$AA$90,$I$9:$I$88)</f>
        <v>545069333</v>
      </c>
      <c r="J90" s="322">
        <f>+SUMIF($F$9:$F$88,$AA$90,$J$9:$J$88)</f>
        <v>0</v>
      </c>
      <c r="K90" s="322">
        <f>+SUMIF($F$9:$F$88,$AA$90,$K$9:$K$88)</f>
        <v>0</v>
      </c>
      <c r="L90" s="322">
        <f>+SUMIF($F$9:$F$88,$AA$90,$L$9:$L$88)</f>
        <v>0</v>
      </c>
      <c r="M90" s="322">
        <f>+SUMIF($F$9:$F$88,$AA$90,$M$9:$M$88)</f>
        <v>0</v>
      </c>
      <c r="N90" s="322">
        <f>+SUMIF($F$9:$F$88,$AA$90,$N$9:$N$88)</f>
        <v>112254600</v>
      </c>
      <c r="O90" s="322">
        <f>+SUMIF($F$9:$F$88,$AA$90,$O$9:$O$88)</f>
        <v>112254600</v>
      </c>
      <c r="P90" s="322">
        <f>+SUMIF($F$9:$F$88,$AA$90,$P$9:$P$88)</f>
        <v>0</v>
      </c>
      <c r="Q90" s="322">
        <f>+SUMIF($F$9:$F$88,$AA$90,$Q$9:$Q$88)</f>
        <v>0</v>
      </c>
      <c r="R90" s="322">
        <f>+SUMIF($F$9:$F$88,$AA$90,$R$9:$R$88)</f>
        <v>0</v>
      </c>
      <c r="S90" s="322">
        <f>+SUMIF($F$9:$F$88,$AA$90,$S$9:$S$88)</f>
        <v>0</v>
      </c>
      <c r="T90" s="322">
        <f>+SUMIF($F$9:$F$88,$AA$90,$T$9:$T$88)</f>
        <v>0</v>
      </c>
      <c r="U90" s="323"/>
      <c r="V90" s="322">
        <f>+SUMIF($F$9:$F$88,$AA$90,$V$9:$V$88)</f>
        <v>422554600</v>
      </c>
      <c r="W90" s="323"/>
      <c r="X90" s="322">
        <f>+SUMIF($F$9:$F$88,$AA$90,$X$9:$X$88)</f>
        <v>0</v>
      </c>
      <c r="Y90" s="322">
        <f>+SUMIF($F$9:$F$88,$AA$90,$Y$9:$Y$88)</f>
        <v>0</v>
      </c>
      <c r="Z90" s="322">
        <f>+MAX(AA9:AA88)</f>
        <v>234769333</v>
      </c>
      <c r="AA90" s="444">
        <f>INDEX($F$9:$F$88,MATCH($Z90,$AA$9:$AA$88,0))</f>
        <v>1</v>
      </c>
    </row>
    <row r="91" spans="1:30" s="276" customFormat="1">
      <c r="AA91" s="446"/>
    </row>
    <row r="92" spans="1:30" ht="16.5" customHeight="1">
      <c r="A92" s="34"/>
      <c r="B92" s="239" t="s">
        <v>788</v>
      </c>
      <c r="C92" s="34"/>
      <c r="D92" s="34"/>
      <c r="E92" s="34"/>
      <c r="F92" s="349"/>
      <c r="G92" s="349"/>
      <c r="H92" s="349"/>
      <c r="I92" s="349"/>
      <c r="J92" s="349"/>
      <c r="K92" s="349"/>
      <c r="L92" s="349"/>
      <c r="M92" s="349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 spans="1:30" ht="11.25" customHeight="1">
      <c r="A93" s="34"/>
      <c r="B93" s="239"/>
      <c r="C93" s="34"/>
      <c r="D93" s="34"/>
      <c r="E93" s="34"/>
      <c r="F93" s="349"/>
      <c r="G93" s="349"/>
      <c r="H93" s="349"/>
      <c r="I93" s="349"/>
      <c r="J93" s="349"/>
      <c r="K93" s="349"/>
      <c r="L93" s="349"/>
      <c r="M93" s="349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spans="1:30" ht="16.5" customHeight="1">
      <c r="A94" s="34"/>
      <c r="B94" s="239" t="s">
        <v>789</v>
      </c>
      <c r="C94" s="34"/>
      <c r="D94" s="34"/>
      <c r="E94" s="34"/>
      <c r="F94" s="349"/>
      <c r="G94" s="349"/>
      <c r="H94" s="349"/>
      <c r="I94" s="349"/>
      <c r="J94" s="349"/>
      <c r="K94" s="349"/>
      <c r="L94" s="349"/>
      <c r="M94" s="349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spans="1:30" s="276" customFormat="1">
      <c r="B95" s="297"/>
      <c r="AA95" s="446"/>
    </row>
    <row r="96" spans="1:30" s="276" customFormat="1">
      <c r="B96" s="297"/>
      <c r="AA96" s="446"/>
    </row>
    <row r="97" spans="1:32" s="276" customFormat="1">
      <c r="B97" s="297"/>
      <c r="AA97" s="446"/>
    </row>
    <row r="98" spans="1:32" s="276" customFormat="1">
      <c r="AA98" s="446"/>
    </row>
    <row r="99" spans="1:32" s="276" customFormat="1" ht="15.75">
      <c r="B99" s="740"/>
      <c r="C99" s="740"/>
      <c r="D99" s="740"/>
      <c r="E99" s="740"/>
      <c r="F99" s="740"/>
      <c r="G99" s="740"/>
      <c r="H99" s="740"/>
      <c r="I99" s="740"/>
      <c r="J99" s="740"/>
      <c r="K99" s="740"/>
      <c r="L99" s="740"/>
      <c r="M99" s="740"/>
      <c r="N99" s="740"/>
      <c r="O99" s="740"/>
      <c r="P99" s="740"/>
      <c r="Q99" s="740"/>
      <c r="R99" s="740"/>
      <c r="S99" s="740"/>
      <c r="T99" s="740"/>
      <c r="AA99" s="446"/>
    </row>
    <row r="100" spans="1:3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V100" s="34"/>
      <c r="W100" s="34"/>
      <c r="X100" s="34"/>
      <c r="Y100" s="34"/>
      <c r="Z100" s="34"/>
      <c r="AA100" s="447"/>
      <c r="AB100" s="34"/>
      <c r="AC100" s="34"/>
      <c r="AD100" s="34"/>
      <c r="AE100" s="34"/>
      <c r="AF100" s="34"/>
    </row>
    <row r="101" spans="1:3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V101" s="34"/>
      <c r="W101" s="34"/>
      <c r="X101" s="34"/>
      <c r="Y101" s="34"/>
      <c r="Z101" s="34"/>
      <c r="AA101" s="447"/>
      <c r="AB101" s="34"/>
      <c r="AC101" s="34"/>
      <c r="AD101" s="34"/>
      <c r="AE101" s="34"/>
      <c r="AF101" s="34"/>
    </row>
    <row r="102" spans="1:3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V102" s="34"/>
      <c r="W102" s="34"/>
      <c r="X102" s="34"/>
      <c r="Y102" s="34"/>
      <c r="Z102" s="34"/>
      <c r="AA102" s="447"/>
      <c r="AB102" s="34"/>
      <c r="AC102" s="34"/>
      <c r="AD102" s="34"/>
      <c r="AE102" s="34"/>
      <c r="AF102" s="34"/>
    </row>
    <row r="103" spans="1:3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V103" s="34"/>
      <c r="W103" s="34"/>
      <c r="X103" s="34"/>
      <c r="Y103" s="34"/>
      <c r="Z103" s="34"/>
      <c r="AA103" s="447"/>
      <c r="AB103" s="34"/>
      <c r="AC103" s="34"/>
      <c r="AD103" s="34"/>
      <c r="AE103" s="34"/>
      <c r="AF103" s="34"/>
    </row>
    <row r="104" spans="1:3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V104" s="34"/>
      <c r="W104" s="34"/>
      <c r="X104" s="34"/>
      <c r="Y104" s="34"/>
      <c r="Z104" s="34"/>
      <c r="AA104" s="447"/>
      <c r="AB104" s="34"/>
      <c r="AC104" s="34"/>
      <c r="AD104" s="34"/>
      <c r="AE104" s="34"/>
      <c r="AF104" s="34"/>
    </row>
    <row r="105" spans="1:3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V105" s="34"/>
      <c r="W105" s="34"/>
      <c r="X105" s="34"/>
      <c r="Y105" s="34"/>
      <c r="Z105" s="34"/>
      <c r="AA105" s="447"/>
      <c r="AB105" s="34"/>
      <c r="AC105" s="34"/>
      <c r="AD105" s="34"/>
      <c r="AE105" s="34"/>
      <c r="AF105" s="34"/>
    </row>
    <row r="106" spans="1:3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V106" s="34"/>
      <c r="W106" s="34"/>
      <c r="X106" s="34"/>
      <c r="Y106" s="34"/>
      <c r="Z106" s="34"/>
      <c r="AA106" s="447"/>
      <c r="AB106" s="34"/>
      <c r="AC106" s="34"/>
      <c r="AD106" s="34"/>
      <c r="AE106" s="34"/>
      <c r="AF106" s="34"/>
    </row>
    <row r="107" spans="1:3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V107" s="34"/>
      <c r="W107" s="34"/>
      <c r="X107" s="34"/>
      <c r="Y107" s="34"/>
      <c r="Z107" s="34"/>
      <c r="AA107" s="447"/>
      <c r="AB107" s="34"/>
      <c r="AC107" s="34"/>
      <c r="AD107" s="34"/>
      <c r="AE107" s="34"/>
      <c r="AF107" s="34"/>
    </row>
    <row r="108" spans="1:3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V108" s="34"/>
      <c r="W108" s="34"/>
      <c r="X108" s="34"/>
      <c r="Y108" s="34"/>
      <c r="Z108" s="34"/>
      <c r="AA108" s="447"/>
      <c r="AB108" s="34"/>
      <c r="AC108" s="34"/>
      <c r="AD108" s="34"/>
      <c r="AE108" s="34"/>
      <c r="AF108" s="34"/>
    </row>
    <row r="109" spans="1:3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V109" s="34"/>
      <c r="W109" s="34"/>
      <c r="X109" s="34"/>
      <c r="Y109" s="34"/>
      <c r="Z109" s="34"/>
      <c r="AA109" s="447"/>
      <c r="AB109" s="34"/>
      <c r="AC109" s="34"/>
      <c r="AD109" s="34"/>
      <c r="AE109" s="34"/>
      <c r="AF109" s="34"/>
    </row>
    <row r="110" spans="1:3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V110" s="34"/>
      <c r="W110" s="34"/>
      <c r="X110" s="34"/>
      <c r="Y110" s="34"/>
      <c r="Z110" s="34"/>
      <c r="AA110" s="447"/>
      <c r="AB110" s="34"/>
      <c r="AC110" s="34"/>
      <c r="AD110" s="34"/>
      <c r="AE110" s="34"/>
      <c r="AF110" s="34"/>
    </row>
    <row r="111" spans="1:3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V111" s="34"/>
      <c r="W111" s="34"/>
      <c r="X111" s="34"/>
      <c r="Y111" s="34"/>
      <c r="Z111" s="34"/>
      <c r="AA111" s="447"/>
      <c r="AB111" s="34"/>
      <c r="AC111" s="34"/>
      <c r="AD111" s="34"/>
      <c r="AE111" s="34"/>
      <c r="AF111" s="34"/>
    </row>
    <row r="112" spans="1:3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V112" s="34"/>
      <c r="W112" s="34"/>
      <c r="X112" s="34"/>
      <c r="Y112" s="34"/>
      <c r="Z112" s="34"/>
      <c r="AA112" s="447"/>
      <c r="AB112" s="34"/>
      <c r="AC112" s="34"/>
      <c r="AD112" s="34"/>
      <c r="AE112" s="34"/>
      <c r="AF112" s="34"/>
    </row>
    <row r="113" spans="1:3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V113" s="34"/>
      <c r="W113" s="34"/>
      <c r="X113" s="34"/>
      <c r="Y113" s="34"/>
      <c r="Z113" s="34"/>
      <c r="AA113" s="447"/>
      <c r="AB113" s="34"/>
      <c r="AC113" s="34"/>
      <c r="AD113" s="34"/>
      <c r="AE113" s="34"/>
      <c r="AF113" s="34"/>
    </row>
    <row r="114" spans="1:3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V114" s="34"/>
      <c r="W114" s="34"/>
      <c r="X114" s="34"/>
      <c r="Y114" s="34"/>
      <c r="Z114" s="34"/>
      <c r="AA114" s="447"/>
      <c r="AB114" s="34"/>
      <c r="AC114" s="34"/>
      <c r="AD114" s="34"/>
      <c r="AE114" s="34"/>
      <c r="AF114" s="34"/>
    </row>
    <row r="115" spans="1:3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V115" s="34"/>
      <c r="W115" s="34"/>
      <c r="X115" s="34"/>
      <c r="Y115" s="34"/>
      <c r="Z115" s="34"/>
      <c r="AA115" s="447"/>
      <c r="AB115" s="34"/>
      <c r="AC115" s="34"/>
      <c r="AD115" s="34"/>
      <c r="AE115" s="34"/>
      <c r="AF115" s="34"/>
    </row>
    <row r="116" spans="1:3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V116" s="34"/>
      <c r="W116" s="34"/>
      <c r="X116" s="34"/>
      <c r="Y116" s="34"/>
      <c r="Z116" s="34"/>
      <c r="AA116" s="447"/>
      <c r="AB116" s="34"/>
      <c r="AC116" s="34"/>
      <c r="AD116" s="34"/>
      <c r="AE116" s="34"/>
      <c r="AF116" s="34"/>
    </row>
    <row r="117" spans="1:3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V117" s="34"/>
      <c r="W117" s="34"/>
      <c r="X117" s="34"/>
      <c r="Y117" s="34"/>
      <c r="Z117" s="34"/>
      <c r="AA117" s="447"/>
      <c r="AB117" s="34"/>
      <c r="AC117" s="34"/>
      <c r="AD117" s="34"/>
      <c r="AE117" s="34"/>
      <c r="AF117" s="34"/>
    </row>
    <row r="118" spans="1:3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V118" s="34"/>
      <c r="W118" s="34"/>
      <c r="X118" s="34"/>
      <c r="Y118" s="34"/>
      <c r="Z118" s="34"/>
      <c r="AA118" s="447"/>
      <c r="AB118" s="34"/>
      <c r="AC118" s="34"/>
      <c r="AD118" s="34"/>
      <c r="AE118" s="34"/>
      <c r="AF118" s="34"/>
    </row>
    <row r="119" spans="1:3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V119" s="34"/>
      <c r="W119" s="34"/>
      <c r="X119" s="34"/>
      <c r="Y119" s="34"/>
      <c r="Z119" s="34"/>
      <c r="AA119" s="447"/>
      <c r="AB119" s="34"/>
      <c r="AC119" s="34"/>
      <c r="AD119" s="34"/>
      <c r="AE119" s="34"/>
      <c r="AF119" s="34"/>
    </row>
    <row r="120" spans="1:3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V120" s="34"/>
      <c r="W120" s="34"/>
      <c r="X120" s="34"/>
      <c r="Y120" s="34"/>
      <c r="Z120" s="34"/>
      <c r="AA120" s="447"/>
      <c r="AB120" s="34"/>
      <c r="AC120" s="34"/>
      <c r="AD120" s="34"/>
      <c r="AE120" s="34"/>
      <c r="AF120" s="34"/>
    </row>
    <row r="121" spans="1:3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V121" s="34"/>
      <c r="W121" s="34"/>
      <c r="X121" s="34"/>
      <c r="Y121" s="34"/>
      <c r="Z121" s="34"/>
      <c r="AA121" s="447"/>
      <c r="AB121" s="34"/>
      <c r="AC121" s="34"/>
      <c r="AD121" s="34"/>
      <c r="AE121" s="34"/>
      <c r="AF121" s="34"/>
    </row>
    <row r="122" spans="1:3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V122" s="34"/>
      <c r="W122" s="34"/>
      <c r="X122" s="34"/>
      <c r="Y122" s="34"/>
      <c r="Z122" s="34"/>
      <c r="AA122" s="447"/>
      <c r="AB122" s="34"/>
      <c r="AC122" s="34"/>
      <c r="AD122" s="34"/>
      <c r="AE122" s="34"/>
      <c r="AF122" s="34"/>
    </row>
    <row r="123" spans="1:3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V123" s="34"/>
      <c r="W123" s="34"/>
      <c r="X123" s="34"/>
      <c r="Y123" s="34"/>
      <c r="Z123" s="34"/>
      <c r="AA123" s="447"/>
      <c r="AB123" s="34"/>
      <c r="AC123" s="34"/>
      <c r="AD123" s="34"/>
      <c r="AE123" s="34"/>
      <c r="AF123" s="34"/>
    </row>
    <row r="124" spans="1:3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V124" s="34"/>
      <c r="W124" s="34"/>
      <c r="X124" s="34"/>
      <c r="Y124" s="34"/>
      <c r="Z124" s="34"/>
      <c r="AA124" s="447"/>
      <c r="AB124" s="34"/>
      <c r="AC124" s="34"/>
      <c r="AD124" s="34"/>
      <c r="AE124" s="34"/>
      <c r="AF124" s="34"/>
    </row>
    <row r="125" spans="1:3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V125" s="34"/>
      <c r="W125" s="34"/>
      <c r="X125" s="34"/>
      <c r="Y125" s="34"/>
      <c r="Z125" s="34"/>
      <c r="AA125" s="447"/>
      <c r="AB125" s="34"/>
      <c r="AC125" s="34"/>
      <c r="AD125" s="34"/>
      <c r="AE125" s="34"/>
      <c r="AF125" s="34"/>
    </row>
    <row r="126" spans="1:3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V126" s="34"/>
      <c r="W126" s="34"/>
      <c r="X126" s="34"/>
      <c r="Y126" s="34"/>
      <c r="Z126" s="34"/>
      <c r="AA126" s="447"/>
      <c r="AB126" s="34"/>
      <c r="AC126" s="34"/>
      <c r="AD126" s="34"/>
      <c r="AE126" s="34"/>
      <c r="AF126" s="34"/>
    </row>
    <row r="127" spans="1:3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V127" s="34"/>
      <c r="W127" s="34"/>
      <c r="X127" s="34"/>
      <c r="Y127" s="34"/>
      <c r="Z127" s="34"/>
      <c r="AA127" s="447"/>
      <c r="AB127" s="34"/>
      <c r="AC127" s="34"/>
      <c r="AD127" s="34"/>
      <c r="AE127" s="34"/>
      <c r="AF127" s="34"/>
    </row>
    <row r="128" spans="1:3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V128" s="34"/>
      <c r="W128" s="34"/>
      <c r="X128" s="34"/>
      <c r="Y128" s="34"/>
      <c r="Z128" s="34"/>
      <c r="AA128" s="447"/>
      <c r="AB128" s="34"/>
      <c r="AC128" s="34"/>
      <c r="AD128" s="34"/>
      <c r="AE128" s="34"/>
      <c r="AF128" s="34"/>
    </row>
    <row r="129" spans="1:3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V129" s="34"/>
      <c r="W129" s="34"/>
      <c r="X129" s="34"/>
      <c r="Y129" s="34"/>
      <c r="Z129" s="34"/>
      <c r="AA129" s="447"/>
      <c r="AB129" s="34"/>
      <c r="AC129" s="34"/>
      <c r="AD129" s="34"/>
      <c r="AE129" s="34"/>
      <c r="AF129" s="34"/>
    </row>
    <row r="130" spans="1:3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V130" s="34"/>
      <c r="W130" s="34"/>
      <c r="X130" s="34"/>
      <c r="Y130" s="34"/>
      <c r="Z130" s="34"/>
      <c r="AA130" s="447"/>
      <c r="AB130" s="34"/>
      <c r="AC130" s="34"/>
      <c r="AD130" s="34"/>
      <c r="AE130" s="34"/>
      <c r="AF130" s="34"/>
    </row>
    <row r="131" spans="1:3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V131" s="34"/>
      <c r="W131" s="34"/>
      <c r="X131" s="34"/>
      <c r="Y131" s="34"/>
      <c r="Z131" s="34"/>
      <c r="AA131" s="447"/>
      <c r="AB131" s="34"/>
      <c r="AC131" s="34"/>
      <c r="AD131" s="34"/>
      <c r="AE131" s="34"/>
      <c r="AF131" s="34"/>
    </row>
  </sheetData>
  <sheetProtection password="CACA" sheet="1" objects="1" scenarios="1"/>
  <mergeCells count="37">
    <mergeCell ref="A89:F89"/>
    <mergeCell ref="A90:F90"/>
    <mergeCell ref="L8:M8"/>
    <mergeCell ref="N8:O8"/>
    <mergeCell ref="P8:Q8"/>
    <mergeCell ref="Z4:Z7"/>
    <mergeCell ref="U6:U7"/>
    <mergeCell ref="V6:V7"/>
    <mergeCell ref="T4:T7"/>
    <mergeCell ref="U4:V5"/>
    <mergeCell ref="W4:W7"/>
    <mergeCell ref="X4:X7"/>
    <mergeCell ref="Y4:Y7"/>
    <mergeCell ref="B99:T99"/>
    <mergeCell ref="Y3:Z3"/>
    <mergeCell ref="A1:W1"/>
    <mergeCell ref="F4:F7"/>
    <mergeCell ref="G4:G7"/>
    <mergeCell ref="H4:S4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R8:S8"/>
    <mergeCell ref="U3:V3"/>
    <mergeCell ref="D4:D7"/>
    <mergeCell ref="E4:E7"/>
    <mergeCell ref="H5:K5"/>
    <mergeCell ref="L5:S5"/>
    <mergeCell ref="H6:H7"/>
    <mergeCell ref="P6:Q6"/>
    <mergeCell ref="R6:S6"/>
  </mergeCells>
  <dataValidations count="1">
    <dataValidation type="date" operator="greaterThan" allowBlank="1" showInputMessage="1" showErrorMessage="1" prompt="Введите дату в формате ЧЧ.ММ.ГГГГ" sqref="Y100:Z129" xr:uid="{00000000-0002-0000-08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4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5">
    <pageSetUpPr fitToPage="1"/>
  </sheetPr>
  <dimension ref="A1:AF131"/>
  <sheetViews>
    <sheetView view="pageBreakPreview" zoomScale="40" zoomScaleNormal="40" zoomScaleSheetLayoutView="40" workbookViewId="0">
      <pane xSplit="7" ySplit="8" topLeftCell="H9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I10" sqref="I10"/>
    </sheetView>
  </sheetViews>
  <sheetFormatPr defaultRowHeight="12.75"/>
  <cols>
    <col min="1" max="1" width="5.140625" style="269" customWidth="1"/>
    <col min="2" max="2" width="43.42578125" style="269" customWidth="1"/>
    <col min="3" max="3" width="14.140625" style="269" customWidth="1"/>
    <col min="4" max="6" width="10.140625" style="269" customWidth="1"/>
    <col min="7" max="8" width="14.28515625" style="269" customWidth="1"/>
    <col min="9" max="19" width="13.85546875" style="269" customWidth="1"/>
    <col min="20" max="20" width="8.28515625" style="269" customWidth="1"/>
    <col min="21" max="21" width="10.140625" style="269" customWidth="1"/>
    <col min="22" max="22" width="14" style="269" customWidth="1"/>
    <col min="23" max="23" width="9.85546875" style="269" customWidth="1"/>
    <col min="24" max="24" width="14" style="269" customWidth="1"/>
    <col min="25" max="25" width="13.28515625" style="269" customWidth="1"/>
    <col min="26" max="26" width="14.7109375" style="269" customWidth="1"/>
    <col min="27" max="27" width="17.42578125" style="439" customWidth="1"/>
    <col min="28" max="16384" width="9.140625" style="269"/>
  </cols>
  <sheetData>
    <row r="1" spans="1:27" ht="20.25">
      <c r="A1" s="742" t="s">
        <v>457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  <c r="M1" s="742"/>
      <c r="N1" s="742"/>
      <c r="O1" s="742"/>
      <c r="P1" s="742"/>
      <c r="Q1" s="742"/>
      <c r="R1" s="742"/>
      <c r="S1" s="742"/>
      <c r="T1" s="742"/>
      <c r="U1" s="742"/>
      <c r="V1" s="742"/>
      <c r="W1" s="742"/>
      <c r="Y1" s="438" t="s">
        <v>458</v>
      </c>
    </row>
    <row r="2" spans="1:27">
      <c r="A2" s="313"/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Q2" s="312"/>
      <c r="R2" s="312"/>
      <c r="S2" s="312"/>
      <c r="T2" s="312"/>
    </row>
    <row r="3" spans="1:27" ht="15.75">
      <c r="A3" s="286"/>
      <c r="B3" s="311" t="str">
        <f>+'Asset quality'!B3</f>
        <v>"Алоқабанк"</v>
      </c>
      <c r="D3" s="286"/>
      <c r="E3" s="286"/>
      <c r="F3" s="286"/>
      <c r="G3" s="286"/>
      <c r="H3" s="286"/>
      <c r="I3" s="286"/>
      <c r="J3" s="286"/>
      <c r="K3" s="286"/>
      <c r="L3" s="286"/>
      <c r="M3" s="286"/>
      <c r="Q3" s="286"/>
      <c r="R3" s="286"/>
      <c r="T3" s="310"/>
      <c r="U3" s="706">
        <f>+'Asset quality'!Q3</f>
        <v>44926</v>
      </c>
      <c r="V3" s="706"/>
      <c r="W3" s="326"/>
      <c r="Y3" s="741" t="str">
        <f>+'Asset quality'!T3</f>
        <v>минг. сўмда</v>
      </c>
      <c r="Z3" s="741"/>
    </row>
    <row r="4" spans="1:27" ht="27.75" customHeight="1">
      <c r="A4" s="743" t="s">
        <v>62</v>
      </c>
      <c r="B4" s="743" t="s">
        <v>430</v>
      </c>
      <c r="C4" s="732" t="s">
        <v>431</v>
      </c>
      <c r="D4" s="732" t="s">
        <v>432</v>
      </c>
      <c r="E4" s="732" t="s">
        <v>433</v>
      </c>
      <c r="F4" s="732" t="s">
        <v>434</v>
      </c>
      <c r="G4" s="732" t="s">
        <v>435</v>
      </c>
      <c r="H4" s="735" t="s">
        <v>335</v>
      </c>
      <c r="I4" s="736"/>
      <c r="J4" s="736"/>
      <c r="K4" s="736"/>
      <c r="L4" s="736"/>
      <c r="M4" s="736"/>
      <c r="N4" s="736"/>
      <c r="O4" s="736"/>
      <c r="P4" s="736"/>
      <c r="Q4" s="736"/>
      <c r="R4" s="736"/>
      <c r="S4" s="736"/>
      <c r="T4" s="732" t="s">
        <v>436</v>
      </c>
      <c r="U4" s="749" t="s">
        <v>437</v>
      </c>
      <c r="V4" s="750"/>
      <c r="W4" s="732" t="s">
        <v>438</v>
      </c>
      <c r="X4" s="732" t="s">
        <v>439</v>
      </c>
      <c r="Y4" s="732" t="s">
        <v>440</v>
      </c>
      <c r="Z4" s="732" t="s">
        <v>441</v>
      </c>
    </row>
    <row r="5" spans="1:27" ht="27.75" customHeight="1">
      <c r="A5" s="744"/>
      <c r="B5" s="744"/>
      <c r="C5" s="733"/>
      <c r="D5" s="733"/>
      <c r="E5" s="733"/>
      <c r="F5" s="733"/>
      <c r="G5" s="733"/>
      <c r="H5" s="735" t="s">
        <v>442</v>
      </c>
      <c r="I5" s="736"/>
      <c r="J5" s="736"/>
      <c r="K5" s="736"/>
      <c r="L5" s="735" t="s">
        <v>443</v>
      </c>
      <c r="M5" s="736"/>
      <c r="N5" s="736"/>
      <c r="O5" s="736"/>
      <c r="P5" s="736"/>
      <c r="Q5" s="736"/>
      <c r="R5" s="736"/>
      <c r="S5" s="736"/>
      <c r="T5" s="733"/>
      <c r="U5" s="751"/>
      <c r="V5" s="752"/>
      <c r="W5" s="733"/>
      <c r="X5" s="733"/>
      <c r="Y5" s="733"/>
      <c r="Z5" s="733"/>
    </row>
    <row r="6" spans="1:27" ht="108.75" customHeight="1">
      <c r="A6" s="744"/>
      <c r="B6" s="744"/>
      <c r="C6" s="733"/>
      <c r="D6" s="733"/>
      <c r="E6" s="733"/>
      <c r="F6" s="733"/>
      <c r="G6" s="733"/>
      <c r="H6" s="732" t="s">
        <v>444</v>
      </c>
      <c r="I6" s="732" t="s">
        <v>445</v>
      </c>
      <c r="J6" s="732" t="s">
        <v>446</v>
      </c>
      <c r="K6" s="732" t="s">
        <v>447</v>
      </c>
      <c r="L6" s="738" t="s">
        <v>448</v>
      </c>
      <c r="M6" s="739"/>
      <c r="N6" s="738" t="s">
        <v>449</v>
      </c>
      <c r="O6" s="739"/>
      <c r="P6" s="738" t="s">
        <v>450</v>
      </c>
      <c r="Q6" s="739"/>
      <c r="R6" s="738" t="s">
        <v>451</v>
      </c>
      <c r="S6" s="739"/>
      <c r="T6" s="733"/>
      <c r="U6" s="732" t="s">
        <v>452</v>
      </c>
      <c r="V6" s="732" t="s">
        <v>164</v>
      </c>
      <c r="W6" s="733"/>
      <c r="X6" s="733"/>
      <c r="Y6" s="733"/>
      <c r="Z6" s="733"/>
    </row>
    <row r="7" spans="1:27" ht="41.25" customHeight="1">
      <c r="A7" s="745"/>
      <c r="B7" s="745"/>
      <c r="C7" s="734"/>
      <c r="D7" s="734"/>
      <c r="E7" s="734"/>
      <c r="F7" s="734"/>
      <c r="G7" s="734"/>
      <c r="H7" s="734"/>
      <c r="I7" s="734"/>
      <c r="J7" s="734"/>
      <c r="K7" s="734"/>
      <c r="L7" s="440" t="s">
        <v>453</v>
      </c>
      <c r="M7" s="440" t="s">
        <v>454</v>
      </c>
      <c r="N7" s="440" t="s">
        <v>453</v>
      </c>
      <c r="O7" s="440" t="s">
        <v>454</v>
      </c>
      <c r="P7" s="440" t="s">
        <v>453</v>
      </c>
      <c r="Q7" s="440" t="s">
        <v>454</v>
      </c>
      <c r="R7" s="440" t="s">
        <v>453</v>
      </c>
      <c r="S7" s="440" t="s">
        <v>454</v>
      </c>
      <c r="T7" s="734"/>
      <c r="U7" s="734"/>
      <c r="V7" s="734"/>
      <c r="W7" s="734"/>
      <c r="X7" s="734"/>
      <c r="Y7" s="734"/>
      <c r="Z7" s="734"/>
    </row>
    <row r="8" spans="1:27" s="309" customFormat="1" ht="15">
      <c r="A8" s="441"/>
      <c r="B8" s="441" t="s">
        <v>79</v>
      </c>
      <c r="C8" s="441" t="s">
        <v>80</v>
      </c>
      <c r="D8" s="441" t="s">
        <v>90</v>
      </c>
      <c r="E8" s="441" t="s">
        <v>81</v>
      </c>
      <c r="F8" s="441" t="s">
        <v>82</v>
      </c>
      <c r="G8" s="295" t="s">
        <v>91</v>
      </c>
      <c r="H8" s="441" t="s">
        <v>229</v>
      </c>
      <c r="I8" s="441" t="s">
        <v>228</v>
      </c>
      <c r="J8" s="441" t="s">
        <v>227</v>
      </c>
      <c r="K8" s="441" t="s">
        <v>226</v>
      </c>
      <c r="L8" s="747" t="s">
        <v>225</v>
      </c>
      <c r="M8" s="748"/>
      <c r="N8" s="747" t="s">
        <v>224</v>
      </c>
      <c r="O8" s="748"/>
      <c r="P8" s="747" t="s">
        <v>223</v>
      </c>
      <c r="Q8" s="748"/>
      <c r="R8" s="747" t="s">
        <v>222</v>
      </c>
      <c r="S8" s="748"/>
      <c r="T8" s="441" t="s">
        <v>83</v>
      </c>
      <c r="U8" s="441" t="s">
        <v>84</v>
      </c>
      <c r="V8" s="441" t="s">
        <v>85</v>
      </c>
      <c r="W8" s="441" t="s">
        <v>86</v>
      </c>
      <c r="X8" s="441" t="s">
        <v>87</v>
      </c>
      <c r="Y8" s="441" t="s">
        <v>88</v>
      </c>
      <c r="Z8" s="441" t="s">
        <v>89</v>
      </c>
      <c r="AA8" s="442"/>
    </row>
    <row r="9" spans="1:27" s="299" customFormat="1">
      <c r="A9" s="305">
        <v>1</v>
      </c>
      <c r="B9" s="301" t="s">
        <v>831</v>
      </c>
      <c r="C9" s="306">
        <v>203366731</v>
      </c>
      <c r="D9" s="306">
        <v>52300</v>
      </c>
      <c r="E9" s="304">
        <v>860</v>
      </c>
      <c r="F9" s="304">
        <v>1</v>
      </c>
      <c r="G9" s="317">
        <f t="shared" ref="G9:G65" si="0">+H9+I9+J9+K9+M9+O9+Q9+S9</f>
        <v>657323933</v>
      </c>
      <c r="H9" s="315"/>
      <c r="I9" s="315">
        <v>545069333</v>
      </c>
      <c r="J9" s="315"/>
      <c r="K9" s="315"/>
      <c r="L9" s="315"/>
      <c r="M9" s="315"/>
      <c r="N9" s="406">
        <v>112254600</v>
      </c>
      <c r="O9" s="406">
        <v>112254600</v>
      </c>
      <c r="P9" s="315"/>
      <c r="Q9" s="315"/>
      <c r="R9" s="315"/>
      <c r="S9" s="315"/>
      <c r="T9" s="318"/>
      <c r="U9" s="318">
        <v>2</v>
      </c>
      <c r="V9" s="315">
        <v>422554600</v>
      </c>
      <c r="W9" s="301"/>
      <c r="X9" s="315"/>
      <c r="Y9" s="315"/>
      <c r="Z9" s="314">
        <f t="shared" ref="Z9:Z65" si="1">+G9-V9-X9</f>
        <v>234769333</v>
      </c>
      <c r="AA9" s="444">
        <f t="shared" ref="AA9:AA40" si="2">SUMIF($F$9:$F$88,$F9,$Z$9:$Z$88)</f>
        <v>234769333</v>
      </c>
    </row>
    <row r="10" spans="1:27" s="299" customFormat="1">
      <c r="A10" s="305">
        <v>2</v>
      </c>
      <c r="B10" s="301" t="s">
        <v>832</v>
      </c>
      <c r="C10" s="306">
        <v>308425864</v>
      </c>
      <c r="D10" s="306">
        <v>12411</v>
      </c>
      <c r="E10" s="304">
        <v>840</v>
      </c>
      <c r="F10" s="304">
        <v>2</v>
      </c>
      <c r="G10" s="317">
        <f t="shared" si="0"/>
        <v>336763800</v>
      </c>
      <c r="H10" s="315"/>
      <c r="I10" s="315">
        <v>336763800</v>
      </c>
      <c r="J10" s="315"/>
      <c r="K10" s="315"/>
      <c r="L10" s="315"/>
      <c r="M10" s="315"/>
      <c r="N10" s="316"/>
      <c r="O10" s="315"/>
      <c r="P10" s="315"/>
      <c r="Q10" s="315"/>
      <c r="R10" s="315"/>
      <c r="S10" s="315"/>
      <c r="T10" s="318"/>
      <c r="U10" s="318"/>
      <c r="V10" s="315"/>
      <c r="W10" s="443"/>
      <c r="X10" s="315"/>
      <c r="Y10" s="318"/>
      <c r="Z10" s="314">
        <f t="shared" si="1"/>
        <v>336763800</v>
      </c>
      <c r="AA10" s="444">
        <f t="shared" si="2"/>
        <v>336763800</v>
      </c>
    </row>
    <row r="11" spans="1:27" s="299" customFormat="1" ht="25.5">
      <c r="A11" s="305">
        <v>3</v>
      </c>
      <c r="B11" s="301" t="s">
        <v>833</v>
      </c>
      <c r="C11" s="306">
        <v>302157300</v>
      </c>
      <c r="D11" s="306">
        <v>13201</v>
      </c>
      <c r="E11" s="304">
        <v>840</v>
      </c>
      <c r="F11" s="304">
        <v>3</v>
      </c>
      <c r="G11" s="317">
        <f t="shared" si="0"/>
        <v>460002812</v>
      </c>
      <c r="H11" s="315"/>
      <c r="I11" s="315">
        <v>460002812</v>
      </c>
      <c r="J11" s="315"/>
      <c r="K11" s="315"/>
      <c r="L11" s="315"/>
      <c r="M11" s="315"/>
      <c r="N11" s="316"/>
      <c r="O11" s="315"/>
      <c r="P11" s="315"/>
      <c r="Q11" s="315"/>
      <c r="R11" s="315"/>
      <c r="S11" s="315"/>
      <c r="T11" s="318"/>
      <c r="U11" s="315"/>
      <c r="V11" s="315"/>
      <c r="W11" s="443"/>
      <c r="X11" s="315"/>
      <c r="Y11" s="318"/>
      <c r="Z11" s="314">
        <f t="shared" si="1"/>
        <v>460002812</v>
      </c>
      <c r="AA11" s="444">
        <f t="shared" si="2"/>
        <v>460002812</v>
      </c>
    </row>
    <row r="12" spans="1:27" s="299" customFormat="1">
      <c r="A12" s="305">
        <v>4</v>
      </c>
      <c r="B12" s="301" t="s">
        <v>834</v>
      </c>
      <c r="C12" s="306">
        <v>308440870</v>
      </c>
      <c r="D12" s="306">
        <v>23490</v>
      </c>
      <c r="E12" s="304">
        <v>860</v>
      </c>
      <c r="F12" s="304">
        <v>4</v>
      </c>
      <c r="G12" s="317">
        <f t="shared" si="0"/>
        <v>160412013</v>
      </c>
      <c r="H12" s="315"/>
      <c r="I12" s="315">
        <v>160412013</v>
      </c>
      <c r="J12" s="315"/>
      <c r="K12" s="315"/>
      <c r="L12" s="315"/>
      <c r="M12" s="315"/>
      <c r="N12" s="316"/>
      <c r="O12" s="315"/>
      <c r="P12" s="315"/>
      <c r="Q12" s="315"/>
      <c r="R12" s="315"/>
      <c r="S12" s="315"/>
      <c r="T12" s="318"/>
      <c r="U12" s="315"/>
      <c r="V12" s="315"/>
      <c r="W12" s="443"/>
      <c r="X12" s="315"/>
      <c r="Y12" s="315"/>
      <c r="Z12" s="314">
        <f t="shared" si="1"/>
        <v>160412013</v>
      </c>
      <c r="AA12" s="444">
        <f t="shared" si="2"/>
        <v>160412013</v>
      </c>
    </row>
    <row r="13" spans="1:27" s="299" customFormat="1">
      <c r="A13" s="305">
        <v>5</v>
      </c>
      <c r="B13" s="301" t="s">
        <v>835</v>
      </c>
      <c r="C13" s="306">
        <v>301945413</v>
      </c>
      <c r="D13" s="306">
        <v>14140</v>
      </c>
      <c r="E13" s="304" t="s">
        <v>836</v>
      </c>
      <c r="F13" s="304">
        <v>5</v>
      </c>
      <c r="G13" s="317">
        <f t="shared" si="0"/>
        <v>173414931</v>
      </c>
      <c r="H13" s="315"/>
      <c r="I13" s="315">
        <v>173414931</v>
      </c>
      <c r="J13" s="315"/>
      <c r="K13" s="315"/>
      <c r="L13" s="315"/>
      <c r="M13" s="315"/>
      <c r="N13" s="316"/>
      <c r="O13" s="315"/>
      <c r="P13" s="315"/>
      <c r="Q13" s="315"/>
      <c r="R13" s="315"/>
      <c r="S13" s="315"/>
      <c r="T13" s="318"/>
      <c r="U13" s="315"/>
      <c r="V13" s="315"/>
      <c r="W13" s="443"/>
      <c r="X13" s="315"/>
      <c r="Y13" s="315"/>
      <c r="Z13" s="314">
        <f t="shared" si="1"/>
        <v>173414931</v>
      </c>
      <c r="AA13" s="444">
        <f t="shared" si="2"/>
        <v>173414931</v>
      </c>
    </row>
    <row r="14" spans="1:27" s="299" customFormat="1">
      <c r="A14" s="305">
        <v>6</v>
      </c>
      <c r="B14" s="301" t="s">
        <v>839</v>
      </c>
      <c r="C14" s="306">
        <v>306137393</v>
      </c>
      <c r="D14" s="306"/>
      <c r="E14" s="304" t="s">
        <v>840</v>
      </c>
      <c r="F14" s="304">
        <v>6</v>
      </c>
      <c r="G14" s="317">
        <f t="shared" si="0"/>
        <v>285912466</v>
      </c>
      <c r="H14" s="315"/>
      <c r="I14" s="315">
        <v>285912466</v>
      </c>
      <c r="J14" s="315"/>
      <c r="K14" s="315"/>
      <c r="L14" s="315"/>
      <c r="M14" s="315"/>
      <c r="N14" s="316"/>
      <c r="O14" s="315"/>
      <c r="P14" s="315"/>
      <c r="Q14" s="306"/>
      <c r="R14" s="315"/>
      <c r="S14" s="315"/>
      <c r="T14" s="318"/>
      <c r="U14" s="315"/>
      <c r="V14" s="315"/>
      <c r="W14" s="443"/>
      <c r="X14" s="315"/>
      <c r="Y14" s="315"/>
      <c r="Z14" s="314">
        <f t="shared" si="1"/>
        <v>285912466</v>
      </c>
      <c r="AA14" s="444">
        <f t="shared" si="2"/>
        <v>285912466</v>
      </c>
    </row>
    <row r="15" spans="1:27" s="299" customFormat="1">
      <c r="A15" s="305">
        <v>7</v>
      </c>
      <c r="B15" s="301" t="s">
        <v>837</v>
      </c>
      <c r="C15" s="306">
        <v>201055108</v>
      </c>
      <c r="D15" s="306">
        <v>96120</v>
      </c>
      <c r="E15" s="304">
        <v>840</v>
      </c>
      <c r="F15" s="304">
        <v>7</v>
      </c>
      <c r="G15" s="317">
        <f t="shared" si="0"/>
        <v>224509200</v>
      </c>
      <c r="H15" s="315">
        <v>224509200</v>
      </c>
      <c r="I15" s="315"/>
      <c r="J15" s="315"/>
      <c r="K15" s="315"/>
      <c r="L15" s="315"/>
      <c r="M15" s="315"/>
      <c r="N15" s="316"/>
      <c r="O15" s="315"/>
      <c r="P15" s="315"/>
      <c r="Q15" s="316"/>
      <c r="R15" s="315"/>
      <c r="S15" s="315"/>
      <c r="T15" s="318"/>
      <c r="U15" s="315"/>
      <c r="V15" s="315"/>
      <c r="W15" s="443"/>
      <c r="X15" s="315"/>
      <c r="Y15" s="315"/>
      <c r="Z15" s="314">
        <f t="shared" si="1"/>
        <v>224509200</v>
      </c>
      <c r="AA15" s="444">
        <f t="shared" si="2"/>
        <v>224509200</v>
      </c>
    </row>
    <row r="16" spans="1:27" s="299" customFormat="1">
      <c r="A16" s="305">
        <v>8</v>
      </c>
      <c r="B16" s="301" t="s">
        <v>842</v>
      </c>
      <c r="C16" s="306">
        <v>200836354</v>
      </c>
      <c r="D16" s="306">
        <v>96120</v>
      </c>
      <c r="E16" s="304">
        <v>860</v>
      </c>
      <c r="F16" s="304">
        <v>8</v>
      </c>
      <c r="G16" s="317">
        <f t="shared" si="0"/>
        <v>182225862</v>
      </c>
      <c r="H16" s="315">
        <v>182225862</v>
      </c>
      <c r="I16" s="315"/>
      <c r="J16" s="315"/>
      <c r="K16" s="315"/>
      <c r="L16" s="315"/>
      <c r="M16" s="315"/>
      <c r="N16" s="316"/>
      <c r="O16" s="315"/>
      <c r="P16" s="315"/>
      <c r="Q16" s="316"/>
      <c r="R16" s="315"/>
      <c r="S16" s="315"/>
      <c r="T16" s="318"/>
      <c r="U16" s="315"/>
      <c r="V16" s="315"/>
      <c r="W16" s="443"/>
      <c r="X16" s="315"/>
      <c r="Y16" s="315"/>
      <c r="Z16" s="314">
        <f t="shared" si="1"/>
        <v>182225862</v>
      </c>
      <c r="AA16" s="444">
        <f t="shared" si="2"/>
        <v>182225862</v>
      </c>
    </row>
    <row r="17" spans="1:27" s="299" customFormat="1">
      <c r="A17" s="305">
        <v>9</v>
      </c>
      <c r="B17" s="301" t="s">
        <v>838</v>
      </c>
      <c r="C17" s="306">
        <v>207086151</v>
      </c>
      <c r="D17" s="306">
        <v>96120</v>
      </c>
      <c r="E17" s="304">
        <v>840</v>
      </c>
      <c r="F17" s="304">
        <v>9</v>
      </c>
      <c r="G17" s="317">
        <f t="shared" si="0"/>
        <v>167707200</v>
      </c>
      <c r="H17" s="315">
        <v>167707200</v>
      </c>
      <c r="I17" s="315"/>
      <c r="J17" s="315"/>
      <c r="K17" s="315"/>
      <c r="L17" s="315"/>
      <c r="M17" s="315"/>
      <c r="N17" s="316"/>
      <c r="O17" s="315"/>
      <c r="P17" s="315"/>
      <c r="Q17" s="316"/>
      <c r="R17" s="315"/>
      <c r="S17" s="315"/>
      <c r="T17" s="318"/>
      <c r="U17" s="315"/>
      <c r="V17" s="315"/>
      <c r="W17" s="443"/>
      <c r="X17" s="315"/>
      <c r="Y17" s="315"/>
      <c r="Z17" s="314">
        <f t="shared" si="1"/>
        <v>167707200</v>
      </c>
      <c r="AA17" s="444">
        <f t="shared" si="2"/>
        <v>167707200</v>
      </c>
    </row>
    <row r="18" spans="1:27" s="299" customFormat="1">
      <c r="A18" s="305">
        <v>10</v>
      </c>
      <c r="B18" s="301" t="s">
        <v>841</v>
      </c>
      <c r="C18" s="306">
        <v>207215726</v>
      </c>
      <c r="D18" s="306">
        <v>96120</v>
      </c>
      <c r="E18" s="304" t="s">
        <v>840</v>
      </c>
      <c r="F18" s="304">
        <v>10</v>
      </c>
      <c r="G18" s="317">
        <f t="shared" si="0"/>
        <v>150000000</v>
      </c>
      <c r="H18" s="315">
        <v>150000000</v>
      </c>
      <c r="I18" s="315"/>
      <c r="J18" s="315"/>
      <c r="K18" s="315"/>
      <c r="L18" s="315"/>
      <c r="M18" s="315"/>
      <c r="N18" s="316"/>
      <c r="O18" s="315"/>
      <c r="P18" s="315"/>
      <c r="Q18" s="315"/>
      <c r="R18" s="315"/>
      <c r="S18" s="315"/>
      <c r="T18" s="318"/>
      <c r="U18" s="315"/>
      <c r="V18" s="315"/>
      <c r="W18" s="443"/>
      <c r="X18" s="315"/>
      <c r="Y18" s="315"/>
      <c r="Z18" s="314">
        <f t="shared" si="1"/>
        <v>150000000</v>
      </c>
      <c r="AA18" s="444">
        <f t="shared" si="2"/>
        <v>150000000</v>
      </c>
    </row>
    <row r="19" spans="1:27" s="299" customFormat="1">
      <c r="A19" s="305">
        <v>11</v>
      </c>
      <c r="B19" s="301"/>
      <c r="C19" s="306"/>
      <c r="D19" s="306"/>
      <c r="E19" s="304"/>
      <c r="F19" s="304"/>
      <c r="G19" s="317">
        <f t="shared" si="0"/>
        <v>0</v>
      </c>
      <c r="H19" s="315"/>
      <c r="I19" s="315"/>
      <c r="J19" s="315"/>
      <c r="K19" s="315"/>
      <c r="L19" s="315"/>
      <c r="M19" s="315"/>
      <c r="N19" s="316"/>
      <c r="O19" s="315"/>
      <c r="P19" s="315"/>
      <c r="Q19" s="315"/>
      <c r="R19" s="315"/>
      <c r="S19" s="315"/>
      <c r="T19" s="318"/>
      <c r="U19" s="315"/>
      <c r="V19" s="315"/>
      <c r="W19" s="443"/>
      <c r="X19" s="315"/>
      <c r="Y19" s="315"/>
      <c r="Z19" s="314">
        <f t="shared" si="1"/>
        <v>0</v>
      </c>
      <c r="AA19" s="444">
        <f t="shared" si="2"/>
        <v>0</v>
      </c>
    </row>
    <row r="20" spans="1:27" s="299" customFormat="1">
      <c r="A20" s="305">
        <v>12</v>
      </c>
      <c r="B20" s="301"/>
      <c r="C20" s="306"/>
      <c r="D20" s="306"/>
      <c r="E20" s="304"/>
      <c r="F20" s="304"/>
      <c r="G20" s="317">
        <f t="shared" si="0"/>
        <v>0</v>
      </c>
      <c r="H20" s="315"/>
      <c r="I20" s="315"/>
      <c r="J20" s="315"/>
      <c r="K20" s="315"/>
      <c r="L20" s="315"/>
      <c r="M20" s="315"/>
      <c r="N20" s="316"/>
      <c r="O20" s="315"/>
      <c r="P20" s="315"/>
      <c r="Q20" s="315"/>
      <c r="R20" s="315"/>
      <c r="S20" s="315"/>
      <c r="T20" s="318"/>
      <c r="U20" s="315"/>
      <c r="V20" s="315"/>
      <c r="W20" s="443"/>
      <c r="X20" s="315"/>
      <c r="Y20" s="315"/>
      <c r="Z20" s="314">
        <f t="shared" si="1"/>
        <v>0</v>
      </c>
      <c r="AA20" s="444">
        <f t="shared" si="2"/>
        <v>0</v>
      </c>
    </row>
    <row r="21" spans="1:27" s="299" customFormat="1">
      <c r="A21" s="305">
        <v>13</v>
      </c>
      <c r="B21" s="301"/>
      <c r="C21" s="306"/>
      <c r="D21" s="306"/>
      <c r="E21" s="304"/>
      <c r="F21" s="304"/>
      <c r="G21" s="317">
        <f t="shared" si="0"/>
        <v>0</v>
      </c>
      <c r="H21" s="315"/>
      <c r="I21" s="315"/>
      <c r="J21" s="315"/>
      <c r="K21" s="315"/>
      <c r="L21" s="315"/>
      <c r="M21" s="315"/>
      <c r="N21" s="316"/>
      <c r="O21" s="315"/>
      <c r="P21" s="315"/>
      <c r="Q21" s="306"/>
      <c r="R21" s="315"/>
      <c r="S21" s="315"/>
      <c r="T21" s="318"/>
      <c r="U21" s="315"/>
      <c r="V21" s="315"/>
      <c r="W21" s="443"/>
      <c r="X21" s="315"/>
      <c r="Y21" s="315"/>
      <c r="Z21" s="314">
        <f t="shared" si="1"/>
        <v>0</v>
      </c>
      <c r="AA21" s="444">
        <f t="shared" si="2"/>
        <v>0</v>
      </c>
    </row>
    <row r="22" spans="1:27" s="299" customFormat="1">
      <c r="A22" s="305">
        <v>14</v>
      </c>
      <c r="B22" s="301"/>
      <c r="C22" s="306"/>
      <c r="D22" s="306"/>
      <c r="E22" s="304"/>
      <c r="F22" s="304"/>
      <c r="G22" s="317">
        <f t="shared" si="0"/>
        <v>0</v>
      </c>
      <c r="H22" s="315"/>
      <c r="I22" s="315"/>
      <c r="J22" s="315"/>
      <c r="K22" s="315"/>
      <c r="L22" s="315"/>
      <c r="M22" s="315"/>
      <c r="N22" s="316"/>
      <c r="O22" s="315"/>
      <c r="P22" s="315"/>
      <c r="Q22" s="316"/>
      <c r="R22" s="315"/>
      <c r="S22" s="315"/>
      <c r="T22" s="318"/>
      <c r="U22" s="315"/>
      <c r="V22" s="315"/>
      <c r="W22" s="443"/>
      <c r="X22" s="315"/>
      <c r="Y22" s="315"/>
      <c r="Z22" s="314">
        <f t="shared" si="1"/>
        <v>0</v>
      </c>
      <c r="AA22" s="444">
        <f t="shared" si="2"/>
        <v>0</v>
      </c>
    </row>
    <row r="23" spans="1:27" s="299" customFormat="1">
      <c r="A23" s="305">
        <v>15</v>
      </c>
      <c r="B23" s="301"/>
      <c r="C23" s="306"/>
      <c r="D23" s="306"/>
      <c r="E23" s="304"/>
      <c r="F23" s="304"/>
      <c r="G23" s="317">
        <f t="shared" si="0"/>
        <v>0</v>
      </c>
      <c r="H23" s="315"/>
      <c r="I23" s="315"/>
      <c r="J23" s="315"/>
      <c r="K23" s="315"/>
      <c r="L23" s="315"/>
      <c r="M23" s="315"/>
      <c r="N23" s="316"/>
      <c r="O23" s="315"/>
      <c r="P23" s="315"/>
      <c r="Q23" s="316"/>
      <c r="R23" s="315"/>
      <c r="S23" s="315"/>
      <c r="T23" s="318"/>
      <c r="U23" s="315"/>
      <c r="V23" s="315"/>
      <c r="W23" s="443"/>
      <c r="X23" s="315"/>
      <c r="Y23" s="315"/>
      <c r="Z23" s="314">
        <f t="shared" si="1"/>
        <v>0</v>
      </c>
      <c r="AA23" s="444">
        <f t="shared" si="2"/>
        <v>0</v>
      </c>
    </row>
    <row r="24" spans="1:27" s="299" customFormat="1">
      <c r="A24" s="305">
        <v>16</v>
      </c>
      <c r="B24" s="301"/>
      <c r="C24" s="306"/>
      <c r="D24" s="306"/>
      <c r="E24" s="304"/>
      <c r="F24" s="304"/>
      <c r="G24" s="317">
        <f t="shared" si="0"/>
        <v>0</v>
      </c>
      <c r="H24" s="315"/>
      <c r="I24" s="315"/>
      <c r="J24" s="315"/>
      <c r="K24" s="315"/>
      <c r="L24" s="315"/>
      <c r="M24" s="315"/>
      <c r="N24" s="316"/>
      <c r="O24" s="315"/>
      <c r="P24" s="315"/>
      <c r="Q24" s="316"/>
      <c r="R24" s="315"/>
      <c r="S24" s="315"/>
      <c r="T24" s="318"/>
      <c r="U24" s="315"/>
      <c r="V24" s="315"/>
      <c r="W24" s="443"/>
      <c r="X24" s="315"/>
      <c r="Y24" s="315"/>
      <c r="Z24" s="314">
        <f t="shared" si="1"/>
        <v>0</v>
      </c>
      <c r="AA24" s="444">
        <f t="shared" si="2"/>
        <v>0</v>
      </c>
    </row>
    <row r="25" spans="1:27" s="299" customFormat="1">
      <c r="A25" s="305">
        <v>17</v>
      </c>
      <c r="B25" s="301"/>
      <c r="C25" s="306"/>
      <c r="D25" s="306"/>
      <c r="E25" s="304"/>
      <c r="F25" s="304"/>
      <c r="G25" s="317">
        <f t="shared" si="0"/>
        <v>0</v>
      </c>
      <c r="H25" s="315"/>
      <c r="I25" s="315"/>
      <c r="J25" s="315"/>
      <c r="K25" s="315"/>
      <c r="L25" s="315"/>
      <c r="M25" s="315"/>
      <c r="N25" s="316"/>
      <c r="O25" s="315"/>
      <c r="P25" s="315"/>
      <c r="Q25" s="316"/>
      <c r="R25" s="315"/>
      <c r="S25" s="315"/>
      <c r="T25" s="318"/>
      <c r="U25" s="315"/>
      <c r="V25" s="315"/>
      <c r="W25" s="443"/>
      <c r="X25" s="315"/>
      <c r="Y25" s="315"/>
      <c r="Z25" s="314">
        <f t="shared" si="1"/>
        <v>0</v>
      </c>
      <c r="AA25" s="444">
        <f t="shared" si="2"/>
        <v>0</v>
      </c>
    </row>
    <row r="26" spans="1:27" s="299" customFormat="1">
      <c r="A26" s="305">
        <v>18</v>
      </c>
      <c r="B26" s="301"/>
      <c r="C26" s="306"/>
      <c r="D26" s="306"/>
      <c r="E26" s="304"/>
      <c r="F26" s="304"/>
      <c r="G26" s="317">
        <f t="shared" si="0"/>
        <v>0</v>
      </c>
      <c r="H26" s="315"/>
      <c r="I26" s="315"/>
      <c r="J26" s="315"/>
      <c r="K26" s="315"/>
      <c r="L26" s="315"/>
      <c r="M26" s="315"/>
      <c r="N26" s="316"/>
      <c r="O26" s="315"/>
      <c r="P26" s="315"/>
      <c r="Q26" s="316"/>
      <c r="R26" s="315"/>
      <c r="S26" s="315"/>
      <c r="T26" s="318"/>
      <c r="U26" s="315"/>
      <c r="V26" s="315"/>
      <c r="W26" s="443"/>
      <c r="X26" s="315"/>
      <c r="Y26" s="315"/>
      <c r="Z26" s="314">
        <f t="shared" si="1"/>
        <v>0</v>
      </c>
      <c r="AA26" s="444">
        <f t="shared" si="2"/>
        <v>0</v>
      </c>
    </row>
    <row r="27" spans="1:27" s="299" customFormat="1">
      <c r="A27" s="305">
        <v>19</v>
      </c>
      <c r="B27" s="301"/>
      <c r="C27" s="306"/>
      <c r="D27" s="306"/>
      <c r="E27" s="304"/>
      <c r="F27" s="304"/>
      <c r="G27" s="317">
        <f t="shared" si="0"/>
        <v>0</v>
      </c>
      <c r="H27" s="315"/>
      <c r="I27" s="315"/>
      <c r="J27" s="315"/>
      <c r="K27" s="315"/>
      <c r="L27" s="315"/>
      <c r="M27" s="315"/>
      <c r="N27" s="316"/>
      <c r="O27" s="315"/>
      <c r="P27" s="315"/>
      <c r="Q27" s="316"/>
      <c r="R27" s="315"/>
      <c r="S27" s="315"/>
      <c r="T27" s="318"/>
      <c r="U27" s="315"/>
      <c r="V27" s="315"/>
      <c r="W27" s="443"/>
      <c r="X27" s="315"/>
      <c r="Y27" s="315"/>
      <c r="Z27" s="314">
        <f t="shared" si="1"/>
        <v>0</v>
      </c>
      <c r="AA27" s="444">
        <f t="shared" si="2"/>
        <v>0</v>
      </c>
    </row>
    <row r="28" spans="1:27" s="299" customFormat="1">
      <c r="A28" s="305">
        <v>20</v>
      </c>
      <c r="B28" s="301"/>
      <c r="C28" s="306"/>
      <c r="D28" s="306"/>
      <c r="E28" s="304"/>
      <c r="F28" s="304"/>
      <c r="G28" s="317">
        <f t="shared" si="0"/>
        <v>0</v>
      </c>
      <c r="H28" s="315"/>
      <c r="I28" s="315"/>
      <c r="J28" s="315"/>
      <c r="K28" s="315"/>
      <c r="L28" s="315"/>
      <c r="M28" s="315"/>
      <c r="N28" s="316"/>
      <c r="O28" s="315"/>
      <c r="P28" s="315"/>
      <c r="Q28" s="316"/>
      <c r="R28" s="315"/>
      <c r="S28" s="315"/>
      <c r="T28" s="318"/>
      <c r="U28" s="315"/>
      <c r="V28" s="315"/>
      <c r="W28" s="443"/>
      <c r="X28" s="315"/>
      <c r="Y28" s="315"/>
      <c r="Z28" s="314">
        <f t="shared" si="1"/>
        <v>0</v>
      </c>
      <c r="AA28" s="444">
        <f t="shared" si="2"/>
        <v>0</v>
      </c>
    </row>
    <row r="29" spans="1:27" s="299" customFormat="1">
      <c r="A29" s="305">
        <v>21</v>
      </c>
      <c r="B29" s="301"/>
      <c r="C29" s="306"/>
      <c r="D29" s="306"/>
      <c r="E29" s="304"/>
      <c r="F29" s="304"/>
      <c r="G29" s="317">
        <f t="shared" si="0"/>
        <v>0</v>
      </c>
      <c r="H29" s="315"/>
      <c r="I29" s="315"/>
      <c r="J29" s="315"/>
      <c r="K29" s="315"/>
      <c r="L29" s="315"/>
      <c r="M29" s="315"/>
      <c r="N29" s="316"/>
      <c r="O29" s="315"/>
      <c r="P29" s="315"/>
      <c r="Q29" s="316"/>
      <c r="R29" s="315"/>
      <c r="S29" s="315"/>
      <c r="T29" s="318"/>
      <c r="U29" s="315"/>
      <c r="V29" s="315"/>
      <c r="W29" s="443"/>
      <c r="X29" s="315"/>
      <c r="Y29" s="315"/>
      <c r="Z29" s="314">
        <f t="shared" si="1"/>
        <v>0</v>
      </c>
      <c r="AA29" s="444">
        <f t="shared" si="2"/>
        <v>0</v>
      </c>
    </row>
    <row r="30" spans="1:27" s="299" customFormat="1">
      <c r="A30" s="305">
        <v>22</v>
      </c>
      <c r="B30" s="301"/>
      <c r="C30" s="306"/>
      <c r="D30" s="306"/>
      <c r="E30" s="304"/>
      <c r="F30" s="304"/>
      <c r="G30" s="317">
        <f t="shared" si="0"/>
        <v>0</v>
      </c>
      <c r="H30" s="315"/>
      <c r="I30" s="315"/>
      <c r="J30" s="315"/>
      <c r="K30" s="315"/>
      <c r="L30" s="315"/>
      <c r="M30" s="315"/>
      <c r="N30" s="316"/>
      <c r="O30" s="315"/>
      <c r="P30" s="315"/>
      <c r="Q30" s="316"/>
      <c r="R30" s="315"/>
      <c r="S30" s="315"/>
      <c r="T30" s="318"/>
      <c r="U30" s="315"/>
      <c r="V30" s="315"/>
      <c r="W30" s="443"/>
      <c r="X30" s="315"/>
      <c r="Y30" s="315"/>
      <c r="Z30" s="314">
        <f t="shared" si="1"/>
        <v>0</v>
      </c>
      <c r="AA30" s="444">
        <f t="shared" si="2"/>
        <v>0</v>
      </c>
    </row>
    <row r="31" spans="1:27" s="299" customFormat="1">
      <c r="A31" s="305">
        <v>23</v>
      </c>
      <c r="B31" s="301"/>
      <c r="C31" s="306"/>
      <c r="D31" s="306"/>
      <c r="E31" s="304"/>
      <c r="F31" s="304"/>
      <c r="G31" s="317">
        <f t="shared" si="0"/>
        <v>0</v>
      </c>
      <c r="H31" s="315"/>
      <c r="I31" s="315"/>
      <c r="J31" s="315"/>
      <c r="K31" s="315"/>
      <c r="L31" s="315"/>
      <c r="M31" s="315"/>
      <c r="N31" s="316"/>
      <c r="O31" s="315"/>
      <c r="P31" s="315"/>
      <c r="Q31" s="316"/>
      <c r="R31" s="315"/>
      <c r="S31" s="315"/>
      <c r="T31" s="318"/>
      <c r="U31" s="315"/>
      <c r="V31" s="315"/>
      <c r="W31" s="443"/>
      <c r="X31" s="315"/>
      <c r="Y31" s="315"/>
      <c r="Z31" s="314">
        <f t="shared" si="1"/>
        <v>0</v>
      </c>
      <c r="AA31" s="444">
        <f t="shared" si="2"/>
        <v>0</v>
      </c>
    </row>
    <row r="32" spans="1:27" s="299" customFormat="1">
      <c r="A32" s="305">
        <v>24</v>
      </c>
      <c r="B32" s="301"/>
      <c r="C32" s="306"/>
      <c r="D32" s="306"/>
      <c r="E32" s="304"/>
      <c r="F32" s="304"/>
      <c r="G32" s="317">
        <f t="shared" si="0"/>
        <v>0</v>
      </c>
      <c r="H32" s="315"/>
      <c r="I32" s="315"/>
      <c r="J32" s="315"/>
      <c r="K32" s="315"/>
      <c r="L32" s="315"/>
      <c r="M32" s="315"/>
      <c r="N32" s="316"/>
      <c r="O32" s="315"/>
      <c r="P32" s="315"/>
      <c r="Q32" s="316"/>
      <c r="R32" s="315"/>
      <c r="S32" s="315"/>
      <c r="T32" s="318"/>
      <c r="U32" s="315"/>
      <c r="V32" s="315"/>
      <c r="W32" s="443"/>
      <c r="X32" s="315"/>
      <c r="Y32" s="315"/>
      <c r="Z32" s="314">
        <f t="shared" si="1"/>
        <v>0</v>
      </c>
      <c r="AA32" s="444">
        <f t="shared" si="2"/>
        <v>0</v>
      </c>
    </row>
    <row r="33" spans="1:27" s="299" customFormat="1">
      <c r="A33" s="305">
        <v>25</v>
      </c>
      <c r="B33" s="301"/>
      <c r="C33" s="306"/>
      <c r="D33" s="306"/>
      <c r="E33" s="306"/>
      <c r="F33" s="304"/>
      <c r="G33" s="317">
        <f t="shared" si="0"/>
        <v>0</v>
      </c>
      <c r="H33" s="315"/>
      <c r="I33" s="315"/>
      <c r="J33" s="315"/>
      <c r="K33" s="315"/>
      <c r="L33" s="315"/>
      <c r="M33" s="315"/>
      <c r="N33" s="316"/>
      <c r="O33" s="315"/>
      <c r="P33" s="315"/>
      <c r="Q33" s="316"/>
      <c r="R33" s="315"/>
      <c r="S33" s="315"/>
      <c r="T33" s="318"/>
      <c r="U33" s="315"/>
      <c r="V33" s="315"/>
      <c r="W33" s="318"/>
      <c r="X33" s="315"/>
      <c r="Y33" s="315"/>
      <c r="Z33" s="314">
        <f t="shared" si="1"/>
        <v>0</v>
      </c>
      <c r="AA33" s="444">
        <f t="shared" si="2"/>
        <v>0</v>
      </c>
    </row>
    <row r="34" spans="1:27" s="299" customFormat="1">
      <c r="A34" s="305">
        <v>26</v>
      </c>
      <c r="B34" s="301"/>
      <c r="C34" s="306"/>
      <c r="D34" s="306"/>
      <c r="E34" s="304"/>
      <c r="F34" s="304"/>
      <c r="G34" s="317">
        <f t="shared" ref="G34:G58" si="3">+H34+I34+J34+K34+M34+O34+Q34+S34</f>
        <v>0</v>
      </c>
      <c r="H34" s="315"/>
      <c r="I34" s="315"/>
      <c r="J34" s="315"/>
      <c r="K34" s="315"/>
      <c r="L34" s="315"/>
      <c r="M34" s="315"/>
      <c r="N34" s="316"/>
      <c r="O34" s="315"/>
      <c r="P34" s="315"/>
      <c r="Q34" s="315"/>
      <c r="R34" s="315"/>
      <c r="S34" s="315"/>
      <c r="T34" s="318"/>
      <c r="U34" s="315"/>
      <c r="V34" s="315"/>
      <c r="W34" s="443"/>
      <c r="X34" s="315"/>
      <c r="Y34" s="315"/>
      <c r="Z34" s="314">
        <f t="shared" ref="Z34:Z58" si="4">+G34-V34-X34</f>
        <v>0</v>
      </c>
      <c r="AA34" s="444">
        <f t="shared" si="2"/>
        <v>0</v>
      </c>
    </row>
    <row r="35" spans="1:27" s="299" customFormat="1">
      <c r="A35" s="305">
        <v>27</v>
      </c>
      <c r="B35" s="301"/>
      <c r="C35" s="306"/>
      <c r="D35" s="306"/>
      <c r="E35" s="304"/>
      <c r="F35" s="304"/>
      <c r="G35" s="317">
        <f t="shared" si="3"/>
        <v>0</v>
      </c>
      <c r="H35" s="315"/>
      <c r="I35" s="315"/>
      <c r="J35" s="315"/>
      <c r="K35" s="315"/>
      <c r="L35" s="315"/>
      <c r="M35" s="315"/>
      <c r="N35" s="316"/>
      <c r="O35" s="315"/>
      <c r="P35" s="315"/>
      <c r="Q35" s="315"/>
      <c r="R35" s="315"/>
      <c r="S35" s="315"/>
      <c r="T35" s="318"/>
      <c r="U35" s="315"/>
      <c r="V35" s="315"/>
      <c r="W35" s="443"/>
      <c r="X35" s="315"/>
      <c r="Y35" s="315"/>
      <c r="Z35" s="314">
        <f t="shared" si="4"/>
        <v>0</v>
      </c>
      <c r="AA35" s="444">
        <f t="shared" si="2"/>
        <v>0</v>
      </c>
    </row>
    <row r="36" spans="1:27" s="299" customFormat="1">
      <c r="A36" s="305">
        <v>28</v>
      </c>
      <c r="B36" s="301"/>
      <c r="C36" s="306"/>
      <c r="D36" s="306"/>
      <c r="E36" s="304"/>
      <c r="F36" s="304"/>
      <c r="G36" s="317">
        <f t="shared" si="3"/>
        <v>0</v>
      </c>
      <c r="H36" s="315"/>
      <c r="I36" s="315"/>
      <c r="J36" s="315"/>
      <c r="K36" s="315"/>
      <c r="L36" s="315"/>
      <c r="M36" s="315"/>
      <c r="N36" s="316"/>
      <c r="O36" s="315"/>
      <c r="P36" s="315"/>
      <c r="Q36" s="315"/>
      <c r="R36" s="315"/>
      <c r="S36" s="315"/>
      <c r="T36" s="318"/>
      <c r="U36" s="315"/>
      <c r="V36" s="315"/>
      <c r="W36" s="443"/>
      <c r="X36" s="315"/>
      <c r="Y36" s="315"/>
      <c r="Z36" s="314">
        <f t="shared" si="4"/>
        <v>0</v>
      </c>
      <c r="AA36" s="444">
        <f t="shared" si="2"/>
        <v>0</v>
      </c>
    </row>
    <row r="37" spans="1:27" s="299" customFormat="1">
      <c r="A37" s="305">
        <v>29</v>
      </c>
      <c r="B37" s="301"/>
      <c r="C37" s="306"/>
      <c r="D37" s="306"/>
      <c r="E37" s="304"/>
      <c r="F37" s="304"/>
      <c r="G37" s="317">
        <f t="shared" si="3"/>
        <v>0</v>
      </c>
      <c r="H37" s="315"/>
      <c r="I37" s="315"/>
      <c r="J37" s="315"/>
      <c r="K37" s="315"/>
      <c r="L37" s="315"/>
      <c r="M37" s="315"/>
      <c r="N37" s="316"/>
      <c r="O37" s="315"/>
      <c r="P37" s="315"/>
      <c r="Q37" s="315"/>
      <c r="R37" s="315"/>
      <c r="S37" s="315"/>
      <c r="T37" s="318"/>
      <c r="U37" s="315"/>
      <c r="V37" s="315"/>
      <c r="W37" s="443"/>
      <c r="X37" s="315"/>
      <c r="Y37" s="315"/>
      <c r="Z37" s="314">
        <f t="shared" si="4"/>
        <v>0</v>
      </c>
      <c r="AA37" s="444">
        <f t="shared" si="2"/>
        <v>0</v>
      </c>
    </row>
    <row r="38" spans="1:27" s="299" customFormat="1">
      <c r="A38" s="305">
        <v>30</v>
      </c>
      <c r="B38" s="301"/>
      <c r="C38" s="306"/>
      <c r="D38" s="306"/>
      <c r="E38" s="304"/>
      <c r="F38" s="304"/>
      <c r="G38" s="317">
        <f t="shared" si="3"/>
        <v>0</v>
      </c>
      <c r="H38" s="315"/>
      <c r="I38" s="315"/>
      <c r="J38" s="315"/>
      <c r="K38" s="315"/>
      <c r="L38" s="315"/>
      <c r="M38" s="315"/>
      <c r="N38" s="316"/>
      <c r="O38" s="315"/>
      <c r="P38" s="315"/>
      <c r="Q38" s="315"/>
      <c r="R38" s="315"/>
      <c r="S38" s="315"/>
      <c r="T38" s="318"/>
      <c r="U38" s="315"/>
      <c r="V38" s="315"/>
      <c r="W38" s="443"/>
      <c r="X38" s="315"/>
      <c r="Y38" s="315"/>
      <c r="Z38" s="314">
        <f t="shared" si="4"/>
        <v>0</v>
      </c>
      <c r="AA38" s="444">
        <f t="shared" si="2"/>
        <v>0</v>
      </c>
    </row>
    <row r="39" spans="1:27" s="299" customFormat="1">
      <c r="A39" s="305">
        <v>31</v>
      </c>
      <c r="B39" s="301"/>
      <c r="C39" s="306"/>
      <c r="D39" s="306"/>
      <c r="E39" s="304"/>
      <c r="F39" s="304"/>
      <c r="G39" s="317">
        <f t="shared" si="3"/>
        <v>0</v>
      </c>
      <c r="H39" s="315"/>
      <c r="I39" s="315"/>
      <c r="J39" s="315"/>
      <c r="K39" s="315"/>
      <c r="L39" s="315"/>
      <c r="M39" s="315"/>
      <c r="N39" s="316"/>
      <c r="O39" s="315"/>
      <c r="P39" s="315"/>
      <c r="Q39" s="315"/>
      <c r="R39" s="315"/>
      <c r="S39" s="315"/>
      <c r="T39" s="318"/>
      <c r="U39" s="315"/>
      <c r="V39" s="315"/>
      <c r="W39" s="318"/>
      <c r="X39" s="315"/>
      <c r="Y39" s="315"/>
      <c r="Z39" s="314">
        <f t="shared" si="4"/>
        <v>0</v>
      </c>
      <c r="AA39" s="444">
        <f t="shared" si="2"/>
        <v>0</v>
      </c>
    </row>
    <row r="40" spans="1:27" s="299" customFormat="1">
      <c r="A40" s="305">
        <v>32</v>
      </c>
      <c r="B40" s="301"/>
      <c r="C40" s="306"/>
      <c r="D40" s="306"/>
      <c r="E40" s="304"/>
      <c r="F40" s="304"/>
      <c r="G40" s="317">
        <f t="shared" si="3"/>
        <v>0</v>
      </c>
      <c r="H40" s="315"/>
      <c r="I40" s="315"/>
      <c r="J40" s="315"/>
      <c r="K40" s="315"/>
      <c r="L40" s="315"/>
      <c r="M40" s="315"/>
      <c r="N40" s="316"/>
      <c r="O40" s="315"/>
      <c r="P40" s="315"/>
      <c r="Q40" s="315"/>
      <c r="R40" s="315"/>
      <c r="S40" s="315"/>
      <c r="T40" s="318"/>
      <c r="U40" s="315"/>
      <c r="V40" s="315"/>
      <c r="W40" s="318"/>
      <c r="X40" s="315"/>
      <c r="Y40" s="315"/>
      <c r="Z40" s="314">
        <f t="shared" si="4"/>
        <v>0</v>
      </c>
      <c r="AA40" s="444">
        <f t="shared" si="2"/>
        <v>0</v>
      </c>
    </row>
    <row r="41" spans="1:27" s="299" customFormat="1">
      <c r="A41" s="305">
        <v>33</v>
      </c>
      <c r="B41" s="301"/>
      <c r="C41" s="306"/>
      <c r="D41" s="306"/>
      <c r="E41" s="304"/>
      <c r="F41" s="304"/>
      <c r="G41" s="317">
        <f t="shared" si="3"/>
        <v>0</v>
      </c>
      <c r="H41" s="315"/>
      <c r="I41" s="315"/>
      <c r="J41" s="315"/>
      <c r="K41" s="315"/>
      <c r="L41" s="315"/>
      <c r="M41" s="315"/>
      <c r="N41" s="316"/>
      <c r="O41" s="315"/>
      <c r="P41" s="315"/>
      <c r="Q41" s="316"/>
      <c r="R41" s="315"/>
      <c r="S41" s="315"/>
      <c r="T41" s="318"/>
      <c r="U41" s="315"/>
      <c r="V41" s="315"/>
      <c r="W41" s="318"/>
      <c r="X41" s="315"/>
      <c r="Y41" s="315"/>
      <c r="Z41" s="314">
        <f t="shared" si="4"/>
        <v>0</v>
      </c>
      <c r="AA41" s="444">
        <f t="shared" ref="AA41:AA72" si="5">SUMIF($F$9:$F$88,$F41,$Z$9:$Z$88)</f>
        <v>0</v>
      </c>
    </row>
    <row r="42" spans="1:27" s="299" customFormat="1">
      <c r="A42" s="305">
        <v>34</v>
      </c>
      <c r="B42" s="301"/>
      <c r="C42" s="306"/>
      <c r="D42" s="306"/>
      <c r="E42" s="304"/>
      <c r="F42" s="304"/>
      <c r="G42" s="317">
        <f t="shared" si="3"/>
        <v>0</v>
      </c>
      <c r="H42" s="315"/>
      <c r="I42" s="315"/>
      <c r="J42" s="315"/>
      <c r="K42" s="315"/>
      <c r="L42" s="315"/>
      <c r="M42" s="315"/>
      <c r="N42" s="316"/>
      <c r="O42" s="315"/>
      <c r="P42" s="315"/>
      <c r="Q42" s="316"/>
      <c r="R42" s="315"/>
      <c r="S42" s="315"/>
      <c r="T42" s="318"/>
      <c r="U42" s="315"/>
      <c r="V42" s="315"/>
      <c r="W42" s="318"/>
      <c r="X42" s="315"/>
      <c r="Y42" s="315"/>
      <c r="Z42" s="314">
        <f t="shared" si="4"/>
        <v>0</v>
      </c>
      <c r="AA42" s="444">
        <f t="shared" si="5"/>
        <v>0</v>
      </c>
    </row>
    <row r="43" spans="1:27" s="299" customFormat="1">
      <c r="A43" s="305">
        <v>35</v>
      </c>
      <c r="B43" s="301"/>
      <c r="C43" s="306"/>
      <c r="D43" s="306"/>
      <c r="E43" s="304"/>
      <c r="F43" s="304"/>
      <c r="G43" s="317">
        <f t="shared" si="3"/>
        <v>0</v>
      </c>
      <c r="H43" s="315"/>
      <c r="I43" s="315"/>
      <c r="J43" s="315"/>
      <c r="K43" s="315"/>
      <c r="L43" s="315"/>
      <c r="M43" s="315"/>
      <c r="N43" s="316"/>
      <c r="O43" s="315"/>
      <c r="P43" s="315"/>
      <c r="Q43" s="316"/>
      <c r="R43" s="315"/>
      <c r="S43" s="315"/>
      <c r="T43" s="318"/>
      <c r="U43" s="315"/>
      <c r="V43" s="315"/>
      <c r="W43" s="318"/>
      <c r="X43" s="315"/>
      <c r="Y43" s="315"/>
      <c r="Z43" s="314">
        <f t="shared" si="4"/>
        <v>0</v>
      </c>
      <c r="AA43" s="444">
        <f t="shared" si="5"/>
        <v>0</v>
      </c>
    </row>
    <row r="44" spans="1:27" s="299" customFormat="1">
      <c r="A44" s="305">
        <v>36</v>
      </c>
      <c r="B44" s="301"/>
      <c r="C44" s="306"/>
      <c r="D44" s="306"/>
      <c r="E44" s="304"/>
      <c r="F44" s="304"/>
      <c r="G44" s="317">
        <f t="shared" si="3"/>
        <v>0</v>
      </c>
      <c r="H44" s="315"/>
      <c r="I44" s="315"/>
      <c r="J44" s="315"/>
      <c r="K44" s="315"/>
      <c r="L44" s="315"/>
      <c r="M44" s="315"/>
      <c r="N44" s="316"/>
      <c r="O44" s="315"/>
      <c r="P44" s="315"/>
      <c r="Q44" s="316"/>
      <c r="R44" s="315"/>
      <c r="S44" s="315"/>
      <c r="T44" s="318"/>
      <c r="U44" s="315"/>
      <c r="V44" s="315"/>
      <c r="W44" s="318"/>
      <c r="X44" s="315"/>
      <c r="Y44" s="315"/>
      <c r="Z44" s="314">
        <f t="shared" si="4"/>
        <v>0</v>
      </c>
      <c r="AA44" s="444">
        <f t="shared" si="5"/>
        <v>0</v>
      </c>
    </row>
    <row r="45" spans="1:27" s="299" customFormat="1">
      <c r="A45" s="305">
        <v>37</v>
      </c>
      <c r="B45" s="301"/>
      <c r="C45" s="306"/>
      <c r="D45" s="306"/>
      <c r="E45" s="304"/>
      <c r="F45" s="304"/>
      <c r="G45" s="317">
        <f t="shared" si="3"/>
        <v>0</v>
      </c>
      <c r="H45" s="315"/>
      <c r="I45" s="315"/>
      <c r="J45" s="315"/>
      <c r="K45" s="315"/>
      <c r="L45" s="315"/>
      <c r="M45" s="315"/>
      <c r="N45" s="316"/>
      <c r="O45" s="315"/>
      <c r="P45" s="315"/>
      <c r="Q45" s="316"/>
      <c r="R45" s="315"/>
      <c r="S45" s="315"/>
      <c r="T45" s="318"/>
      <c r="U45" s="315"/>
      <c r="V45" s="315"/>
      <c r="W45" s="318"/>
      <c r="X45" s="315"/>
      <c r="Y45" s="315"/>
      <c r="Z45" s="314">
        <f t="shared" si="4"/>
        <v>0</v>
      </c>
      <c r="AA45" s="444">
        <f t="shared" si="5"/>
        <v>0</v>
      </c>
    </row>
    <row r="46" spans="1:27" s="299" customFormat="1">
      <c r="A46" s="305">
        <v>38</v>
      </c>
      <c r="B46" s="301"/>
      <c r="C46" s="306"/>
      <c r="D46" s="306"/>
      <c r="E46" s="304"/>
      <c r="F46" s="304"/>
      <c r="G46" s="317">
        <f t="shared" si="3"/>
        <v>0</v>
      </c>
      <c r="H46" s="315"/>
      <c r="I46" s="315"/>
      <c r="J46" s="315"/>
      <c r="K46" s="315"/>
      <c r="L46" s="315"/>
      <c r="M46" s="315"/>
      <c r="N46" s="316"/>
      <c r="O46" s="315"/>
      <c r="P46" s="315"/>
      <c r="Q46" s="316"/>
      <c r="R46" s="315"/>
      <c r="S46" s="315"/>
      <c r="T46" s="318"/>
      <c r="U46" s="315"/>
      <c r="V46" s="315"/>
      <c r="W46" s="318"/>
      <c r="X46" s="315"/>
      <c r="Y46" s="315"/>
      <c r="Z46" s="314">
        <f t="shared" si="4"/>
        <v>0</v>
      </c>
      <c r="AA46" s="444">
        <f t="shared" si="5"/>
        <v>0</v>
      </c>
    </row>
    <row r="47" spans="1:27" s="299" customFormat="1">
      <c r="A47" s="305">
        <v>39</v>
      </c>
      <c r="B47" s="301"/>
      <c r="C47" s="301"/>
      <c r="D47" s="306"/>
      <c r="E47" s="306"/>
      <c r="F47" s="304"/>
      <c r="G47" s="317">
        <f t="shared" si="3"/>
        <v>0</v>
      </c>
      <c r="H47" s="315"/>
      <c r="I47" s="315"/>
      <c r="J47" s="315"/>
      <c r="K47" s="315"/>
      <c r="L47" s="315"/>
      <c r="M47" s="315"/>
      <c r="N47" s="316"/>
      <c r="O47" s="315"/>
      <c r="P47" s="315"/>
      <c r="Q47" s="316"/>
      <c r="R47" s="315"/>
      <c r="S47" s="315"/>
      <c r="T47" s="318"/>
      <c r="U47" s="315"/>
      <c r="V47" s="315"/>
      <c r="W47" s="318"/>
      <c r="X47" s="315"/>
      <c r="Y47" s="315"/>
      <c r="Z47" s="314">
        <f t="shared" si="4"/>
        <v>0</v>
      </c>
      <c r="AA47" s="444">
        <f t="shared" si="5"/>
        <v>0</v>
      </c>
    </row>
    <row r="48" spans="1:27" s="299" customFormat="1">
      <c r="A48" s="305">
        <v>40</v>
      </c>
      <c r="B48" s="301"/>
      <c r="C48" s="301"/>
      <c r="D48" s="301"/>
      <c r="E48" s="304"/>
      <c r="F48" s="304"/>
      <c r="G48" s="317">
        <f t="shared" si="3"/>
        <v>0</v>
      </c>
      <c r="H48" s="315"/>
      <c r="I48" s="315"/>
      <c r="J48" s="315"/>
      <c r="K48" s="315"/>
      <c r="L48" s="315"/>
      <c r="M48" s="315"/>
      <c r="N48" s="316"/>
      <c r="O48" s="315"/>
      <c r="P48" s="315"/>
      <c r="Q48" s="316"/>
      <c r="R48" s="315"/>
      <c r="S48" s="315"/>
      <c r="T48" s="318"/>
      <c r="U48" s="315"/>
      <c r="V48" s="315"/>
      <c r="W48" s="318"/>
      <c r="X48" s="315"/>
      <c r="Y48" s="315"/>
      <c r="Z48" s="314">
        <f t="shared" si="4"/>
        <v>0</v>
      </c>
      <c r="AA48" s="444">
        <f t="shared" si="5"/>
        <v>0</v>
      </c>
    </row>
    <row r="49" spans="1:27" s="299" customFormat="1">
      <c r="A49" s="305">
        <v>41</v>
      </c>
      <c r="B49" s="301"/>
      <c r="C49" s="301"/>
      <c r="D49" s="301"/>
      <c r="E49" s="304"/>
      <c r="F49" s="304"/>
      <c r="G49" s="317">
        <f t="shared" si="3"/>
        <v>0</v>
      </c>
      <c r="H49" s="315"/>
      <c r="I49" s="315"/>
      <c r="J49" s="315"/>
      <c r="K49" s="315"/>
      <c r="L49" s="315"/>
      <c r="M49" s="315"/>
      <c r="N49" s="316"/>
      <c r="O49" s="316"/>
      <c r="P49" s="316"/>
      <c r="Q49" s="316"/>
      <c r="R49" s="315"/>
      <c r="S49" s="315"/>
      <c r="T49" s="318"/>
      <c r="U49" s="315"/>
      <c r="V49" s="315"/>
      <c r="W49" s="318"/>
      <c r="X49" s="315"/>
      <c r="Y49" s="315"/>
      <c r="Z49" s="314">
        <f t="shared" si="4"/>
        <v>0</v>
      </c>
      <c r="AA49" s="444">
        <f t="shared" si="5"/>
        <v>0</v>
      </c>
    </row>
    <row r="50" spans="1:27" s="299" customFormat="1">
      <c r="A50" s="305">
        <v>42</v>
      </c>
      <c r="B50" s="301"/>
      <c r="C50" s="301"/>
      <c r="D50" s="301"/>
      <c r="E50" s="304"/>
      <c r="F50" s="304"/>
      <c r="G50" s="317">
        <f t="shared" si="3"/>
        <v>0</v>
      </c>
      <c r="H50" s="315"/>
      <c r="I50" s="315"/>
      <c r="J50" s="315"/>
      <c r="K50" s="315"/>
      <c r="L50" s="315"/>
      <c r="M50" s="315"/>
      <c r="N50" s="316"/>
      <c r="O50" s="316"/>
      <c r="P50" s="316"/>
      <c r="Q50" s="316"/>
      <c r="R50" s="315"/>
      <c r="S50" s="315"/>
      <c r="T50" s="318"/>
      <c r="U50" s="315"/>
      <c r="V50" s="315"/>
      <c r="W50" s="318"/>
      <c r="X50" s="315"/>
      <c r="Y50" s="315"/>
      <c r="Z50" s="314">
        <f t="shared" si="4"/>
        <v>0</v>
      </c>
      <c r="AA50" s="444">
        <f t="shared" si="5"/>
        <v>0</v>
      </c>
    </row>
    <row r="51" spans="1:27" s="299" customFormat="1">
      <c r="A51" s="305">
        <v>43</v>
      </c>
      <c r="B51" s="301"/>
      <c r="C51" s="301"/>
      <c r="D51" s="301"/>
      <c r="E51" s="304"/>
      <c r="F51" s="304"/>
      <c r="G51" s="317">
        <f t="shared" si="3"/>
        <v>0</v>
      </c>
      <c r="H51" s="315"/>
      <c r="I51" s="315"/>
      <c r="J51" s="315"/>
      <c r="K51" s="315"/>
      <c r="L51" s="315"/>
      <c r="M51" s="315"/>
      <c r="N51" s="316"/>
      <c r="O51" s="316"/>
      <c r="P51" s="316"/>
      <c r="Q51" s="316"/>
      <c r="R51" s="315"/>
      <c r="S51" s="315"/>
      <c r="T51" s="318"/>
      <c r="U51" s="315"/>
      <c r="V51" s="315"/>
      <c r="W51" s="315"/>
      <c r="X51" s="315"/>
      <c r="Y51" s="315"/>
      <c r="Z51" s="314">
        <f t="shared" si="4"/>
        <v>0</v>
      </c>
      <c r="AA51" s="444">
        <f t="shared" si="5"/>
        <v>0</v>
      </c>
    </row>
    <row r="52" spans="1:27" s="299" customFormat="1">
      <c r="A52" s="305">
        <v>44</v>
      </c>
      <c r="B52" s="301"/>
      <c r="C52" s="301"/>
      <c r="D52" s="301"/>
      <c r="E52" s="304"/>
      <c r="F52" s="304"/>
      <c r="G52" s="317">
        <f t="shared" si="3"/>
        <v>0</v>
      </c>
      <c r="H52" s="315"/>
      <c r="I52" s="315"/>
      <c r="J52" s="315"/>
      <c r="K52" s="315"/>
      <c r="L52" s="315"/>
      <c r="M52" s="315"/>
      <c r="N52" s="316"/>
      <c r="O52" s="316"/>
      <c r="P52" s="315"/>
      <c r="Q52" s="316"/>
      <c r="R52" s="315"/>
      <c r="S52" s="315"/>
      <c r="T52" s="318"/>
      <c r="U52" s="315"/>
      <c r="V52" s="315"/>
      <c r="W52" s="315"/>
      <c r="X52" s="315"/>
      <c r="Y52" s="315"/>
      <c r="Z52" s="314">
        <f t="shared" si="4"/>
        <v>0</v>
      </c>
      <c r="AA52" s="444">
        <f t="shared" si="5"/>
        <v>0</v>
      </c>
    </row>
    <row r="53" spans="1:27" s="299" customFormat="1">
      <c r="A53" s="305">
        <v>45</v>
      </c>
      <c r="B53" s="301"/>
      <c r="C53" s="301"/>
      <c r="D53" s="301"/>
      <c r="E53" s="304"/>
      <c r="F53" s="304"/>
      <c r="G53" s="317">
        <f t="shared" si="3"/>
        <v>0</v>
      </c>
      <c r="H53" s="315"/>
      <c r="I53" s="315"/>
      <c r="J53" s="315"/>
      <c r="K53" s="315"/>
      <c r="L53" s="315"/>
      <c r="M53" s="315"/>
      <c r="N53" s="316"/>
      <c r="O53" s="316"/>
      <c r="P53" s="315"/>
      <c r="Q53" s="316"/>
      <c r="R53" s="315"/>
      <c r="S53" s="315"/>
      <c r="T53" s="318"/>
      <c r="U53" s="315"/>
      <c r="V53" s="315"/>
      <c r="W53" s="315"/>
      <c r="X53" s="315"/>
      <c r="Y53" s="315"/>
      <c r="Z53" s="314">
        <f t="shared" si="4"/>
        <v>0</v>
      </c>
      <c r="AA53" s="444">
        <f t="shared" si="5"/>
        <v>0</v>
      </c>
    </row>
    <row r="54" spans="1:27" s="299" customFormat="1">
      <c r="A54" s="305">
        <v>46</v>
      </c>
      <c r="B54" s="301"/>
      <c r="C54" s="301"/>
      <c r="D54" s="301"/>
      <c r="E54" s="304"/>
      <c r="F54" s="304"/>
      <c r="G54" s="317">
        <f t="shared" si="3"/>
        <v>0</v>
      </c>
      <c r="H54" s="315"/>
      <c r="I54" s="315"/>
      <c r="J54" s="315"/>
      <c r="K54" s="315"/>
      <c r="L54" s="315"/>
      <c r="M54" s="315"/>
      <c r="N54" s="316"/>
      <c r="O54" s="316"/>
      <c r="P54" s="315"/>
      <c r="Q54" s="316"/>
      <c r="R54" s="315"/>
      <c r="S54" s="315"/>
      <c r="T54" s="318"/>
      <c r="U54" s="315"/>
      <c r="V54" s="315"/>
      <c r="W54" s="315"/>
      <c r="X54" s="315"/>
      <c r="Y54" s="315"/>
      <c r="Z54" s="314">
        <f t="shared" si="4"/>
        <v>0</v>
      </c>
      <c r="AA54" s="444">
        <f t="shared" si="5"/>
        <v>0</v>
      </c>
    </row>
    <row r="55" spans="1:27" s="299" customFormat="1">
      <c r="A55" s="305">
        <v>47</v>
      </c>
      <c r="B55" s="301"/>
      <c r="C55" s="301"/>
      <c r="D55" s="301"/>
      <c r="E55" s="304"/>
      <c r="F55" s="304"/>
      <c r="G55" s="317">
        <f t="shared" si="3"/>
        <v>0</v>
      </c>
      <c r="H55" s="315"/>
      <c r="I55" s="315"/>
      <c r="J55" s="315"/>
      <c r="K55" s="315"/>
      <c r="L55" s="315"/>
      <c r="M55" s="315"/>
      <c r="N55" s="316"/>
      <c r="O55" s="316"/>
      <c r="P55" s="18"/>
      <c r="Q55" s="316"/>
      <c r="R55" s="315"/>
      <c r="S55" s="315"/>
      <c r="T55" s="318"/>
      <c r="U55" s="315"/>
      <c r="V55" s="315"/>
      <c r="W55" s="315"/>
      <c r="X55" s="315"/>
      <c r="Y55" s="315"/>
      <c r="Z55" s="314">
        <f t="shared" si="4"/>
        <v>0</v>
      </c>
      <c r="AA55" s="444">
        <f t="shared" si="5"/>
        <v>0</v>
      </c>
    </row>
    <row r="56" spans="1:27" s="299" customFormat="1">
      <c r="A56" s="305">
        <v>48</v>
      </c>
      <c r="B56" s="301"/>
      <c r="C56" s="301"/>
      <c r="D56" s="301"/>
      <c r="E56" s="304"/>
      <c r="F56" s="304"/>
      <c r="G56" s="317">
        <f t="shared" si="3"/>
        <v>0</v>
      </c>
      <c r="H56" s="315"/>
      <c r="I56" s="315"/>
      <c r="J56" s="315"/>
      <c r="K56" s="315"/>
      <c r="L56" s="315"/>
      <c r="M56" s="315"/>
      <c r="N56" s="316"/>
      <c r="O56" s="316"/>
      <c r="P56" s="316"/>
      <c r="Q56" s="316"/>
      <c r="R56" s="315"/>
      <c r="S56" s="315"/>
      <c r="T56" s="318"/>
      <c r="U56" s="315"/>
      <c r="V56" s="315"/>
      <c r="W56" s="315"/>
      <c r="X56" s="315"/>
      <c r="Y56" s="315"/>
      <c r="Z56" s="314">
        <f t="shared" si="4"/>
        <v>0</v>
      </c>
      <c r="AA56" s="444">
        <f t="shared" si="5"/>
        <v>0</v>
      </c>
    </row>
    <row r="57" spans="1:27" s="299" customFormat="1">
      <c r="A57" s="305">
        <v>49</v>
      </c>
      <c r="B57" s="301"/>
      <c r="C57" s="301"/>
      <c r="D57" s="301"/>
      <c r="E57" s="304"/>
      <c r="F57" s="304"/>
      <c r="G57" s="317">
        <f t="shared" si="3"/>
        <v>0</v>
      </c>
      <c r="H57" s="315"/>
      <c r="I57" s="315"/>
      <c r="J57" s="315"/>
      <c r="K57" s="315"/>
      <c r="L57" s="315"/>
      <c r="M57" s="315"/>
      <c r="N57" s="316"/>
      <c r="O57" s="316"/>
      <c r="P57" s="316"/>
      <c r="Q57" s="316"/>
      <c r="R57" s="315"/>
      <c r="S57" s="315"/>
      <c r="T57" s="318"/>
      <c r="U57" s="315"/>
      <c r="V57" s="315"/>
      <c r="W57" s="315"/>
      <c r="X57" s="315"/>
      <c r="Y57" s="315"/>
      <c r="Z57" s="314">
        <f t="shared" si="4"/>
        <v>0</v>
      </c>
      <c r="AA57" s="444">
        <f t="shared" si="5"/>
        <v>0</v>
      </c>
    </row>
    <row r="58" spans="1:27" s="299" customFormat="1">
      <c r="A58" s="305">
        <v>50</v>
      </c>
      <c r="B58" s="301"/>
      <c r="C58" s="301"/>
      <c r="D58" s="301"/>
      <c r="E58" s="304"/>
      <c r="F58" s="304"/>
      <c r="G58" s="317">
        <f t="shared" si="3"/>
        <v>0</v>
      </c>
      <c r="H58" s="315"/>
      <c r="I58" s="315"/>
      <c r="J58" s="315"/>
      <c r="K58" s="315"/>
      <c r="L58" s="315"/>
      <c r="M58" s="315"/>
      <c r="N58" s="316"/>
      <c r="O58" s="316"/>
      <c r="P58" s="316"/>
      <c r="Q58" s="316"/>
      <c r="R58" s="315"/>
      <c r="S58" s="315"/>
      <c r="T58" s="315"/>
      <c r="U58" s="315"/>
      <c r="V58" s="315"/>
      <c r="W58" s="315"/>
      <c r="X58" s="315"/>
      <c r="Y58" s="315"/>
      <c r="Z58" s="314">
        <f t="shared" si="4"/>
        <v>0</v>
      </c>
      <c r="AA58" s="444">
        <f t="shared" si="5"/>
        <v>0</v>
      </c>
    </row>
    <row r="59" spans="1:27" s="299" customFormat="1">
      <c r="A59" s="305">
        <v>51</v>
      </c>
      <c r="B59" s="301"/>
      <c r="C59" s="306"/>
      <c r="D59" s="306"/>
      <c r="E59" s="304"/>
      <c r="F59" s="304"/>
      <c r="G59" s="317">
        <f t="shared" si="0"/>
        <v>0</v>
      </c>
      <c r="H59" s="315"/>
      <c r="I59" s="315"/>
      <c r="J59" s="315"/>
      <c r="K59" s="315"/>
      <c r="L59" s="315"/>
      <c r="M59" s="315"/>
      <c r="N59" s="316"/>
      <c r="O59" s="315"/>
      <c r="P59" s="315"/>
      <c r="Q59" s="315"/>
      <c r="R59" s="315"/>
      <c r="S59" s="315"/>
      <c r="T59" s="318"/>
      <c r="U59" s="315"/>
      <c r="V59" s="315"/>
      <c r="W59" s="443"/>
      <c r="X59" s="315"/>
      <c r="Y59" s="315"/>
      <c r="Z59" s="314">
        <f t="shared" si="1"/>
        <v>0</v>
      </c>
      <c r="AA59" s="444">
        <f t="shared" si="5"/>
        <v>0</v>
      </c>
    </row>
    <row r="60" spans="1:27" s="299" customFormat="1">
      <c r="A60" s="305">
        <v>52</v>
      </c>
      <c r="B60" s="301"/>
      <c r="C60" s="306"/>
      <c r="D60" s="306"/>
      <c r="E60" s="304"/>
      <c r="F60" s="304"/>
      <c r="G60" s="317">
        <f t="shared" si="0"/>
        <v>0</v>
      </c>
      <c r="H60" s="315"/>
      <c r="I60" s="315"/>
      <c r="J60" s="315"/>
      <c r="K60" s="315"/>
      <c r="L60" s="315"/>
      <c r="M60" s="315"/>
      <c r="N60" s="316"/>
      <c r="O60" s="315"/>
      <c r="P60" s="315"/>
      <c r="Q60" s="315"/>
      <c r="R60" s="315"/>
      <c r="S60" s="315"/>
      <c r="T60" s="318"/>
      <c r="U60" s="315"/>
      <c r="V60" s="315"/>
      <c r="W60" s="443"/>
      <c r="X60" s="315"/>
      <c r="Y60" s="315"/>
      <c r="Z60" s="314">
        <f t="shared" si="1"/>
        <v>0</v>
      </c>
      <c r="AA60" s="444">
        <f t="shared" si="5"/>
        <v>0</v>
      </c>
    </row>
    <row r="61" spans="1:27" s="299" customFormat="1">
      <c r="A61" s="305">
        <v>53</v>
      </c>
      <c r="B61" s="301"/>
      <c r="C61" s="306"/>
      <c r="D61" s="306"/>
      <c r="E61" s="304"/>
      <c r="F61" s="304"/>
      <c r="G61" s="317">
        <f t="shared" si="0"/>
        <v>0</v>
      </c>
      <c r="H61" s="315"/>
      <c r="I61" s="315"/>
      <c r="J61" s="315"/>
      <c r="K61" s="315"/>
      <c r="L61" s="315"/>
      <c r="M61" s="315"/>
      <c r="N61" s="316"/>
      <c r="O61" s="315"/>
      <c r="P61" s="315"/>
      <c r="Q61" s="315"/>
      <c r="R61" s="315"/>
      <c r="S61" s="315"/>
      <c r="T61" s="318"/>
      <c r="U61" s="315"/>
      <c r="V61" s="315"/>
      <c r="W61" s="443"/>
      <c r="X61" s="315"/>
      <c r="Y61" s="315"/>
      <c r="Z61" s="314">
        <f t="shared" si="1"/>
        <v>0</v>
      </c>
      <c r="AA61" s="444">
        <f t="shared" si="5"/>
        <v>0</v>
      </c>
    </row>
    <row r="62" spans="1:27" s="299" customFormat="1">
      <c r="A62" s="305">
        <v>54</v>
      </c>
      <c r="B62" s="301"/>
      <c r="C62" s="306"/>
      <c r="D62" s="306"/>
      <c r="E62" s="304"/>
      <c r="F62" s="304"/>
      <c r="G62" s="317">
        <f t="shared" si="0"/>
        <v>0</v>
      </c>
      <c r="H62" s="315"/>
      <c r="I62" s="315"/>
      <c r="J62" s="315"/>
      <c r="K62" s="315"/>
      <c r="L62" s="315"/>
      <c r="M62" s="315"/>
      <c r="N62" s="316"/>
      <c r="O62" s="315"/>
      <c r="P62" s="315"/>
      <c r="Q62" s="315"/>
      <c r="R62" s="315"/>
      <c r="S62" s="315"/>
      <c r="T62" s="318"/>
      <c r="U62" s="315"/>
      <c r="V62" s="315"/>
      <c r="W62" s="443"/>
      <c r="X62" s="315"/>
      <c r="Y62" s="315"/>
      <c r="Z62" s="314">
        <f t="shared" si="1"/>
        <v>0</v>
      </c>
      <c r="AA62" s="444">
        <f t="shared" si="5"/>
        <v>0</v>
      </c>
    </row>
    <row r="63" spans="1:27" s="299" customFormat="1">
      <c r="A63" s="305">
        <v>55</v>
      </c>
      <c r="B63" s="301"/>
      <c r="C63" s="306"/>
      <c r="D63" s="306"/>
      <c r="E63" s="304"/>
      <c r="F63" s="304"/>
      <c r="G63" s="317">
        <f t="shared" si="0"/>
        <v>0</v>
      </c>
      <c r="H63" s="315"/>
      <c r="I63" s="315"/>
      <c r="J63" s="315"/>
      <c r="K63" s="315"/>
      <c r="L63" s="315"/>
      <c r="M63" s="315"/>
      <c r="N63" s="316"/>
      <c r="O63" s="315"/>
      <c r="P63" s="315"/>
      <c r="Q63" s="315"/>
      <c r="R63" s="315"/>
      <c r="S63" s="315"/>
      <c r="T63" s="318"/>
      <c r="U63" s="315"/>
      <c r="V63" s="315"/>
      <c r="W63" s="443"/>
      <c r="X63" s="315"/>
      <c r="Y63" s="315"/>
      <c r="Z63" s="314">
        <f t="shared" si="1"/>
        <v>0</v>
      </c>
      <c r="AA63" s="444">
        <f t="shared" si="5"/>
        <v>0</v>
      </c>
    </row>
    <row r="64" spans="1:27" s="299" customFormat="1">
      <c r="A64" s="305">
        <v>56</v>
      </c>
      <c r="B64" s="301"/>
      <c r="C64" s="306"/>
      <c r="D64" s="306"/>
      <c r="E64" s="304"/>
      <c r="F64" s="304"/>
      <c r="G64" s="317">
        <f t="shared" si="0"/>
        <v>0</v>
      </c>
      <c r="H64" s="315"/>
      <c r="I64" s="315"/>
      <c r="J64" s="315"/>
      <c r="K64" s="315"/>
      <c r="L64" s="315"/>
      <c r="M64" s="315"/>
      <c r="N64" s="316"/>
      <c r="O64" s="315"/>
      <c r="P64" s="315"/>
      <c r="Q64" s="315"/>
      <c r="R64" s="315"/>
      <c r="S64" s="315"/>
      <c r="T64" s="318"/>
      <c r="U64" s="315"/>
      <c r="V64" s="315"/>
      <c r="W64" s="318"/>
      <c r="X64" s="315"/>
      <c r="Y64" s="315"/>
      <c r="Z64" s="314">
        <f t="shared" si="1"/>
        <v>0</v>
      </c>
      <c r="AA64" s="444">
        <f t="shared" si="5"/>
        <v>0</v>
      </c>
    </row>
    <row r="65" spans="1:27" s="299" customFormat="1">
      <c r="A65" s="305">
        <v>57</v>
      </c>
      <c r="B65" s="301"/>
      <c r="C65" s="306"/>
      <c r="D65" s="306"/>
      <c r="E65" s="304"/>
      <c r="F65" s="304"/>
      <c r="G65" s="317">
        <f t="shared" si="0"/>
        <v>0</v>
      </c>
      <c r="H65" s="315"/>
      <c r="I65" s="315"/>
      <c r="J65" s="315"/>
      <c r="K65" s="315"/>
      <c r="L65" s="315"/>
      <c r="M65" s="315"/>
      <c r="N65" s="316"/>
      <c r="O65" s="315"/>
      <c r="P65" s="315"/>
      <c r="Q65" s="315"/>
      <c r="R65" s="315"/>
      <c r="S65" s="315"/>
      <c r="T65" s="318"/>
      <c r="U65" s="315"/>
      <c r="V65" s="315"/>
      <c r="W65" s="318"/>
      <c r="X65" s="315"/>
      <c r="Y65" s="315"/>
      <c r="Z65" s="314">
        <f t="shared" si="1"/>
        <v>0</v>
      </c>
      <c r="AA65" s="444">
        <f t="shared" si="5"/>
        <v>0</v>
      </c>
    </row>
    <row r="66" spans="1:27" s="299" customFormat="1">
      <c r="A66" s="305">
        <v>58</v>
      </c>
      <c r="B66" s="301"/>
      <c r="C66" s="306"/>
      <c r="D66" s="306"/>
      <c r="E66" s="304"/>
      <c r="F66" s="304"/>
      <c r="G66" s="317">
        <f t="shared" ref="G66:G88" si="6">+H66+I66+J66+K66+M66+O66+Q66+S66</f>
        <v>0</v>
      </c>
      <c r="H66" s="315"/>
      <c r="I66" s="315"/>
      <c r="J66" s="315"/>
      <c r="K66" s="315"/>
      <c r="L66" s="315"/>
      <c r="M66" s="315"/>
      <c r="N66" s="316"/>
      <c r="O66" s="315"/>
      <c r="P66" s="315"/>
      <c r="Q66" s="316"/>
      <c r="R66" s="315"/>
      <c r="S66" s="315"/>
      <c r="T66" s="318"/>
      <c r="U66" s="315"/>
      <c r="V66" s="315"/>
      <c r="W66" s="318"/>
      <c r="X66" s="315"/>
      <c r="Y66" s="315"/>
      <c r="Z66" s="314">
        <f t="shared" ref="Z66:Z88" si="7">+G66-V66-X66</f>
        <v>0</v>
      </c>
      <c r="AA66" s="444">
        <f t="shared" si="5"/>
        <v>0</v>
      </c>
    </row>
    <row r="67" spans="1:27" s="299" customFormat="1">
      <c r="A67" s="305">
        <v>59</v>
      </c>
      <c r="B67" s="301"/>
      <c r="C67" s="306"/>
      <c r="D67" s="306"/>
      <c r="E67" s="304"/>
      <c r="F67" s="304"/>
      <c r="G67" s="317">
        <f t="shared" si="6"/>
        <v>0</v>
      </c>
      <c r="H67" s="315"/>
      <c r="I67" s="315"/>
      <c r="J67" s="315"/>
      <c r="K67" s="315"/>
      <c r="L67" s="315"/>
      <c r="M67" s="315"/>
      <c r="N67" s="316"/>
      <c r="O67" s="315"/>
      <c r="P67" s="315"/>
      <c r="Q67" s="316"/>
      <c r="R67" s="315"/>
      <c r="S67" s="315"/>
      <c r="T67" s="318"/>
      <c r="U67" s="315"/>
      <c r="V67" s="315"/>
      <c r="W67" s="318"/>
      <c r="X67" s="315"/>
      <c r="Y67" s="315"/>
      <c r="Z67" s="314">
        <f t="shared" si="7"/>
        <v>0</v>
      </c>
      <c r="AA67" s="444">
        <f t="shared" si="5"/>
        <v>0</v>
      </c>
    </row>
    <row r="68" spans="1:27" s="299" customFormat="1">
      <c r="A68" s="305">
        <v>60</v>
      </c>
      <c r="B68" s="301"/>
      <c r="C68" s="306"/>
      <c r="D68" s="306"/>
      <c r="E68" s="304"/>
      <c r="F68" s="304"/>
      <c r="G68" s="317">
        <f t="shared" si="6"/>
        <v>0</v>
      </c>
      <c r="H68" s="315"/>
      <c r="I68" s="315"/>
      <c r="J68" s="315"/>
      <c r="K68" s="315"/>
      <c r="L68" s="315"/>
      <c r="M68" s="315"/>
      <c r="N68" s="316"/>
      <c r="O68" s="315"/>
      <c r="P68" s="315"/>
      <c r="Q68" s="316"/>
      <c r="R68" s="315"/>
      <c r="S68" s="315"/>
      <c r="T68" s="318"/>
      <c r="U68" s="315"/>
      <c r="V68" s="315"/>
      <c r="W68" s="318"/>
      <c r="X68" s="315"/>
      <c r="Y68" s="315"/>
      <c r="Z68" s="314">
        <f t="shared" si="7"/>
        <v>0</v>
      </c>
      <c r="AA68" s="444">
        <f t="shared" si="5"/>
        <v>0</v>
      </c>
    </row>
    <row r="69" spans="1:27" s="299" customFormat="1">
      <c r="A69" s="305">
        <v>61</v>
      </c>
      <c r="B69" s="301"/>
      <c r="C69" s="306"/>
      <c r="D69" s="306"/>
      <c r="E69" s="304"/>
      <c r="F69" s="304"/>
      <c r="G69" s="317">
        <f t="shared" si="6"/>
        <v>0</v>
      </c>
      <c r="H69" s="315"/>
      <c r="I69" s="315"/>
      <c r="J69" s="315"/>
      <c r="K69" s="315"/>
      <c r="L69" s="315"/>
      <c r="M69" s="315"/>
      <c r="N69" s="316"/>
      <c r="O69" s="315"/>
      <c r="P69" s="315"/>
      <c r="Q69" s="316"/>
      <c r="R69" s="315"/>
      <c r="S69" s="315"/>
      <c r="T69" s="318"/>
      <c r="U69" s="315"/>
      <c r="V69" s="315"/>
      <c r="W69" s="318"/>
      <c r="X69" s="315"/>
      <c r="Y69" s="315"/>
      <c r="Z69" s="314">
        <f t="shared" si="7"/>
        <v>0</v>
      </c>
      <c r="AA69" s="444">
        <f t="shared" si="5"/>
        <v>0</v>
      </c>
    </row>
    <row r="70" spans="1:27" s="299" customFormat="1">
      <c r="A70" s="305">
        <v>62</v>
      </c>
      <c r="B70" s="301"/>
      <c r="C70" s="306"/>
      <c r="D70" s="306"/>
      <c r="E70" s="304"/>
      <c r="F70" s="304"/>
      <c r="G70" s="317">
        <f t="shared" si="6"/>
        <v>0</v>
      </c>
      <c r="H70" s="315"/>
      <c r="I70" s="315"/>
      <c r="J70" s="315"/>
      <c r="K70" s="315"/>
      <c r="L70" s="315"/>
      <c r="M70" s="315"/>
      <c r="N70" s="316"/>
      <c r="O70" s="315"/>
      <c r="P70" s="315"/>
      <c r="Q70" s="316"/>
      <c r="R70" s="315"/>
      <c r="S70" s="315"/>
      <c r="T70" s="318"/>
      <c r="U70" s="315"/>
      <c r="V70" s="315"/>
      <c r="W70" s="318"/>
      <c r="X70" s="315"/>
      <c r="Y70" s="315"/>
      <c r="Z70" s="314">
        <f t="shared" si="7"/>
        <v>0</v>
      </c>
      <c r="AA70" s="444">
        <f t="shared" si="5"/>
        <v>0</v>
      </c>
    </row>
    <row r="71" spans="1:27" s="299" customFormat="1">
      <c r="A71" s="305">
        <v>63</v>
      </c>
      <c r="B71" s="301"/>
      <c r="C71" s="306"/>
      <c r="D71" s="306"/>
      <c r="E71" s="304"/>
      <c r="F71" s="304"/>
      <c r="G71" s="317">
        <f t="shared" si="6"/>
        <v>0</v>
      </c>
      <c r="H71" s="315"/>
      <c r="I71" s="315"/>
      <c r="J71" s="315"/>
      <c r="K71" s="315"/>
      <c r="L71" s="315"/>
      <c r="M71" s="315"/>
      <c r="N71" s="316"/>
      <c r="O71" s="315"/>
      <c r="P71" s="315"/>
      <c r="Q71" s="316"/>
      <c r="R71" s="315"/>
      <c r="S71" s="315"/>
      <c r="T71" s="318"/>
      <c r="U71" s="315"/>
      <c r="V71" s="315"/>
      <c r="W71" s="318"/>
      <c r="X71" s="315"/>
      <c r="Y71" s="315"/>
      <c r="Z71" s="314">
        <f t="shared" si="7"/>
        <v>0</v>
      </c>
      <c r="AA71" s="444">
        <f t="shared" si="5"/>
        <v>0</v>
      </c>
    </row>
    <row r="72" spans="1:27" s="299" customFormat="1">
      <c r="A72" s="305">
        <v>64</v>
      </c>
      <c r="B72" s="301"/>
      <c r="C72" s="301"/>
      <c r="D72" s="306"/>
      <c r="E72" s="306"/>
      <c r="F72" s="304"/>
      <c r="G72" s="317">
        <f t="shared" si="6"/>
        <v>0</v>
      </c>
      <c r="H72" s="315"/>
      <c r="I72" s="315"/>
      <c r="J72" s="315"/>
      <c r="K72" s="315"/>
      <c r="L72" s="315"/>
      <c r="M72" s="315"/>
      <c r="N72" s="316"/>
      <c r="O72" s="315"/>
      <c r="P72" s="315"/>
      <c r="Q72" s="316"/>
      <c r="R72" s="315"/>
      <c r="S72" s="315"/>
      <c r="T72" s="318"/>
      <c r="U72" s="315"/>
      <c r="V72" s="315"/>
      <c r="W72" s="318"/>
      <c r="X72" s="315"/>
      <c r="Y72" s="315"/>
      <c r="Z72" s="314">
        <f t="shared" si="7"/>
        <v>0</v>
      </c>
      <c r="AA72" s="444">
        <f t="shared" si="5"/>
        <v>0</v>
      </c>
    </row>
    <row r="73" spans="1:27" s="299" customFormat="1">
      <c r="A73" s="305">
        <v>65</v>
      </c>
      <c r="B73" s="301"/>
      <c r="C73" s="301"/>
      <c r="D73" s="301"/>
      <c r="E73" s="304"/>
      <c r="F73" s="304"/>
      <c r="G73" s="317">
        <f t="shared" si="6"/>
        <v>0</v>
      </c>
      <c r="H73" s="315"/>
      <c r="I73" s="315"/>
      <c r="J73" s="315"/>
      <c r="K73" s="315"/>
      <c r="L73" s="315"/>
      <c r="M73" s="315"/>
      <c r="N73" s="316"/>
      <c r="O73" s="315"/>
      <c r="P73" s="315"/>
      <c r="Q73" s="316"/>
      <c r="R73" s="315"/>
      <c r="S73" s="315"/>
      <c r="T73" s="318"/>
      <c r="U73" s="315"/>
      <c r="V73" s="315"/>
      <c r="W73" s="318"/>
      <c r="X73" s="315"/>
      <c r="Y73" s="315"/>
      <c r="Z73" s="314">
        <f t="shared" si="7"/>
        <v>0</v>
      </c>
      <c r="AA73" s="444">
        <f t="shared" ref="AA73:AA88" si="8">SUMIF($F$9:$F$88,$F73,$Z$9:$Z$88)</f>
        <v>0</v>
      </c>
    </row>
    <row r="74" spans="1:27" s="299" customFormat="1">
      <c r="A74" s="305">
        <v>66</v>
      </c>
      <c r="B74" s="301"/>
      <c r="C74" s="301"/>
      <c r="D74" s="301"/>
      <c r="E74" s="304"/>
      <c r="F74" s="304"/>
      <c r="G74" s="317">
        <f t="shared" si="6"/>
        <v>0</v>
      </c>
      <c r="H74" s="315"/>
      <c r="I74" s="315"/>
      <c r="J74" s="315"/>
      <c r="K74" s="315"/>
      <c r="L74" s="315"/>
      <c r="M74" s="315"/>
      <c r="N74" s="316"/>
      <c r="O74" s="316"/>
      <c r="P74" s="316"/>
      <c r="Q74" s="316"/>
      <c r="R74" s="315"/>
      <c r="S74" s="315"/>
      <c r="T74" s="318"/>
      <c r="U74" s="315"/>
      <c r="V74" s="315"/>
      <c r="W74" s="318"/>
      <c r="X74" s="315"/>
      <c r="Y74" s="315"/>
      <c r="Z74" s="314">
        <f t="shared" si="7"/>
        <v>0</v>
      </c>
      <c r="AA74" s="444">
        <f t="shared" si="8"/>
        <v>0</v>
      </c>
    </row>
    <row r="75" spans="1:27" s="299" customFormat="1">
      <c r="A75" s="305">
        <v>67</v>
      </c>
      <c r="B75" s="301"/>
      <c r="C75" s="301"/>
      <c r="D75" s="301"/>
      <c r="E75" s="304"/>
      <c r="F75" s="304"/>
      <c r="G75" s="317">
        <f t="shared" si="6"/>
        <v>0</v>
      </c>
      <c r="H75" s="315"/>
      <c r="I75" s="315"/>
      <c r="J75" s="315"/>
      <c r="K75" s="315"/>
      <c r="L75" s="315"/>
      <c r="M75" s="315"/>
      <c r="N75" s="316"/>
      <c r="O75" s="316"/>
      <c r="P75" s="316"/>
      <c r="Q75" s="316"/>
      <c r="R75" s="315"/>
      <c r="S75" s="315"/>
      <c r="T75" s="318"/>
      <c r="U75" s="315"/>
      <c r="V75" s="315"/>
      <c r="W75" s="318"/>
      <c r="X75" s="315"/>
      <c r="Y75" s="315"/>
      <c r="Z75" s="314">
        <f t="shared" si="7"/>
        <v>0</v>
      </c>
      <c r="AA75" s="444">
        <f t="shared" si="8"/>
        <v>0</v>
      </c>
    </row>
    <row r="76" spans="1:27" s="299" customFormat="1">
      <c r="A76" s="305">
        <v>68</v>
      </c>
      <c r="B76" s="301"/>
      <c r="C76" s="301"/>
      <c r="D76" s="301"/>
      <c r="E76" s="304"/>
      <c r="F76" s="304"/>
      <c r="G76" s="317">
        <f t="shared" si="6"/>
        <v>0</v>
      </c>
      <c r="H76" s="315"/>
      <c r="I76" s="315"/>
      <c r="J76" s="315"/>
      <c r="K76" s="315"/>
      <c r="L76" s="315"/>
      <c r="M76" s="315"/>
      <c r="N76" s="316"/>
      <c r="O76" s="316"/>
      <c r="P76" s="316"/>
      <c r="Q76" s="316"/>
      <c r="R76" s="315"/>
      <c r="S76" s="315"/>
      <c r="T76" s="318"/>
      <c r="U76" s="315"/>
      <c r="V76" s="315"/>
      <c r="W76" s="315"/>
      <c r="X76" s="315"/>
      <c r="Y76" s="315"/>
      <c r="Z76" s="314">
        <f t="shared" si="7"/>
        <v>0</v>
      </c>
      <c r="AA76" s="444">
        <f t="shared" si="8"/>
        <v>0</v>
      </c>
    </row>
    <row r="77" spans="1:27" s="299" customFormat="1">
      <c r="A77" s="305">
        <v>69</v>
      </c>
      <c r="B77" s="301"/>
      <c r="C77" s="301"/>
      <c r="D77" s="301"/>
      <c r="E77" s="304"/>
      <c r="F77" s="304"/>
      <c r="G77" s="317">
        <f t="shared" si="6"/>
        <v>0</v>
      </c>
      <c r="H77" s="315"/>
      <c r="I77" s="315"/>
      <c r="J77" s="315"/>
      <c r="K77" s="315"/>
      <c r="L77" s="315"/>
      <c r="M77" s="315"/>
      <c r="N77" s="316"/>
      <c r="O77" s="316"/>
      <c r="P77" s="315"/>
      <c r="Q77" s="316"/>
      <c r="R77" s="315"/>
      <c r="S77" s="315"/>
      <c r="T77" s="318"/>
      <c r="U77" s="315"/>
      <c r="V77" s="315"/>
      <c r="W77" s="315"/>
      <c r="X77" s="315"/>
      <c r="Y77" s="315"/>
      <c r="Z77" s="314">
        <f t="shared" si="7"/>
        <v>0</v>
      </c>
      <c r="AA77" s="444">
        <f t="shared" si="8"/>
        <v>0</v>
      </c>
    </row>
    <row r="78" spans="1:27" s="299" customFormat="1">
      <c r="A78" s="305">
        <v>70</v>
      </c>
      <c r="B78" s="301"/>
      <c r="C78" s="301"/>
      <c r="D78" s="301"/>
      <c r="E78" s="304"/>
      <c r="F78" s="304"/>
      <c r="G78" s="317">
        <f t="shared" si="6"/>
        <v>0</v>
      </c>
      <c r="H78" s="315"/>
      <c r="I78" s="315"/>
      <c r="J78" s="315"/>
      <c r="K78" s="315"/>
      <c r="L78" s="315"/>
      <c r="M78" s="315"/>
      <c r="N78" s="316"/>
      <c r="O78" s="316"/>
      <c r="P78" s="315"/>
      <c r="Q78" s="316"/>
      <c r="R78" s="315"/>
      <c r="S78" s="315"/>
      <c r="T78" s="318"/>
      <c r="U78" s="315"/>
      <c r="V78" s="315"/>
      <c r="W78" s="315"/>
      <c r="X78" s="315"/>
      <c r="Y78" s="315"/>
      <c r="Z78" s="314">
        <f t="shared" si="7"/>
        <v>0</v>
      </c>
      <c r="AA78" s="444">
        <f t="shared" si="8"/>
        <v>0</v>
      </c>
    </row>
    <row r="79" spans="1:27" s="299" customFormat="1">
      <c r="A79" s="305">
        <v>71</v>
      </c>
      <c r="B79" s="301"/>
      <c r="C79" s="301"/>
      <c r="D79" s="301"/>
      <c r="E79" s="304"/>
      <c r="F79" s="304"/>
      <c r="G79" s="317">
        <f t="shared" si="6"/>
        <v>0</v>
      </c>
      <c r="H79" s="315"/>
      <c r="I79" s="315"/>
      <c r="J79" s="315"/>
      <c r="K79" s="315"/>
      <c r="L79" s="315"/>
      <c r="M79" s="315"/>
      <c r="N79" s="316"/>
      <c r="O79" s="316"/>
      <c r="P79" s="315"/>
      <c r="Q79" s="316"/>
      <c r="R79" s="315"/>
      <c r="S79" s="315"/>
      <c r="T79" s="318"/>
      <c r="U79" s="315"/>
      <c r="V79" s="315"/>
      <c r="W79" s="315"/>
      <c r="X79" s="315"/>
      <c r="Y79" s="315"/>
      <c r="Z79" s="314">
        <f t="shared" si="7"/>
        <v>0</v>
      </c>
      <c r="AA79" s="444">
        <f t="shared" si="8"/>
        <v>0</v>
      </c>
    </row>
    <row r="80" spans="1:27" s="299" customFormat="1">
      <c r="A80" s="305">
        <v>72</v>
      </c>
      <c r="B80" s="301"/>
      <c r="C80" s="301"/>
      <c r="D80" s="301"/>
      <c r="E80" s="304"/>
      <c r="F80" s="304"/>
      <c r="G80" s="317">
        <f t="shared" si="6"/>
        <v>0</v>
      </c>
      <c r="H80" s="315"/>
      <c r="I80" s="315"/>
      <c r="J80" s="315"/>
      <c r="K80" s="315"/>
      <c r="L80" s="315"/>
      <c r="M80" s="315"/>
      <c r="N80" s="316"/>
      <c r="O80" s="316"/>
      <c r="P80" s="18"/>
      <c r="Q80" s="316"/>
      <c r="R80" s="315"/>
      <c r="S80" s="315"/>
      <c r="T80" s="318"/>
      <c r="U80" s="315"/>
      <c r="V80" s="315"/>
      <c r="W80" s="315"/>
      <c r="X80" s="315"/>
      <c r="Y80" s="315"/>
      <c r="Z80" s="314">
        <f t="shared" si="7"/>
        <v>0</v>
      </c>
      <c r="AA80" s="444">
        <f t="shared" si="8"/>
        <v>0</v>
      </c>
    </row>
    <row r="81" spans="1:30" s="299" customFormat="1">
      <c r="A81" s="305">
        <v>73</v>
      </c>
      <c r="B81" s="301"/>
      <c r="C81" s="301"/>
      <c r="D81" s="301"/>
      <c r="E81" s="304"/>
      <c r="F81" s="304"/>
      <c r="G81" s="317">
        <f t="shared" si="6"/>
        <v>0</v>
      </c>
      <c r="H81" s="315"/>
      <c r="I81" s="315"/>
      <c r="J81" s="315"/>
      <c r="K81" s="315"/>
      <c r="L81" s="315"/>
      <c r="M81" s="315"/>
      <c r="N81" s="316"/>
      <c r="O81" s="316"/>
      <c r="P81" s="316"/>
      <c r="Q81" s="316"/>
      <c r="R81" s="315"/>
      <c r="S81" s="315"/>
      <c r="T81" s="318"/>
      <c r="U81" s="315"/>
      <c r="V81" s="315"/>
      <c r="W81" s="315"/>
      <c r="X81" s="315"/>
      <c r="Y81" s="315"/>
      <c r="Z81" s="314">
        <f t="shared" si="7"/>
        <v>0</v>
      </c>
      <c r="AA81" s="444">
        <f t="shared" si="8"/>
        <v>0</v>
      </c>
    </row>
    <row r="82" spans="1:30" s="299" customFormat="1">
      <c r="A82" s="305">
        <v>74</v>
      </c>
      <c r="B82" s="301"/>
      <c r="C82" s="301"/>
      <c r="D82" s="301"/>
      <c r="E82" s="304"/>
      <c r="F82" s="304"/>
      <c r="G82" s="317">
        <f t="shared" si="6"/>
        <v>0</v>
      </c>
      <c r="H82" s="315"/>
      <c r="I82" s="315"/>
      <c r="J82" s="315"/>
      <c r="K82" s="315"/>
      <c r="L82" s="315"/>
      <c r="M82" s="315"/>
      <c r="N82" s="316"/>
      <c r="O82" s="316"/>
      <c r="P82" s="316"/>
      <c r="Q82" s="316"/>
      <c r="R82" s="315"/>
      <c r="S82" s="315"/>
      <c r="T82" s="318"/>
      <c r="U82" s="315"/>
      <c r="V82" s="315"/>
      <c r="W82" s="315"/>
      <c r="X82" s="315"/>
      <c r="Y82" s="315"/>
      <c r="Z82" s="314">
        <f t="shared" si="7"/>
        <v>0</v>
      </c>
      <c r="AA82" s="444">
        <f t="shared" si="8"/>
        <v>0</v>
      </c>
    </row>
    <row r="83" spans="1:30" s="299" customFormat="1">
      <c r="A83" s="305">
        <v>75</v>
      </c>
      <c r="B83" s="301"/>
      <c r="C83" s="301"/>
      <c r="D83" s="301"/>
      <c r="E83" s="304"/>
      <c r="F83" s="304"/>
      <c r="G83" s="317">
        <f t="shared" si="6"/>
        <v>0</v>
      </c>
      <c r="H83" s="315"/>
      <c r="I83" s="315"/>
      <c r="J83" s="315"/>
      <c r="K83" s="315"/>
      <c r="L83" s="315"/>
      <c r="M83" s="315"/>
      <c r="N83" s="316"/>
      <c r="O83" s="316"/>
      <c r="P83" s="316"/>
      <c r="Q83" s="316"/>
      <c r="R83" s="315"/>
      <c r="S83" s="315"/>
      <c r="T83" s="315"/>
      <c r="U83" s="315"/>
      <c r="V83" s="315"/>
      <c r="W83" s="315"/>
      <c r="X83" s="315"/>
      <c r="Y83" s="315"/>
      <c r="Z83" s="314">
        <f t="shared" si="7"/>
        <v>0</v>
      </c>
      <c r="AA83" s="444">
        <f t="shared" si="8"/>
        <v>0</v>
      </c>
    </row>
    <row r="84" spans="1:30" s="299" customFormat="1">
      <c r="A84" s="305">
        <v>76</v>
      </c>
      <c r="B84" s="301"/>
      <c r="C84" s="301"/>
      <c r="D84" s="301"/>
      <c r="E84" s="304"/>
      <c r="F84" s="304"/>
      <c r="G84" s="317">
        <f t="shared" si="6"/>
        <v>0</v>
      </c>
      <c r="H84" s="315"/>
      <c r="I84" s="315"/>
      <c r="J84" s="315"/>
      <c r="K84" s="315"/>
      <c r="L84" s="315"/>
      <c r="M84" s="315"/>
      <c r="N84" s="316"/>
      <c r="O84" s="316"/>
      <c r="P84" s="316"/>
      <c r="Q84" s="316"/>
      <c r="R84" s="315"/>
      <c r="S84" s="315"/>
      <c r="T84" s="315"/>
      <c r="U84" s="315"/>
      <c r="V84" s="315"/>
      <c r="W84" s="315"/>
      <c r="X84" s="315"/>
      <c r="Y84" s="315"/>
      <c r="Z84" s="314">
        <f t="shared" si="7"/>
        <v>0</v>
      </c>
      <c r="AA84" s="444">
        <f t="shared" si="8"/>
        <v>0</v>
      </c>
    </row>
    <row r="85" spans="1:30" s="299" customFormat="1">
      <c r="A85" s="305">
        <v>77</v>
      </c>
      <c r="B85" s="301"/>
      <c r="C85" s="301"/>
      <c r="D85" s="301"/>
      <c r="E85" s="304"/>
      <c r="F85" s="304"/>
      <c r="G85" s="317">
        <f t="shared" si="6"/>
        <v>0</v>
      </c>
      <c r="H85" s="315"/>
      <c r="I85" s="315"/>
      <c r="J85" s="315"/>
      <c r="K85" s="315"/>
      <c r="L85" s="315"/>
      <c r="M85" s="315"/>
      <c r="N85" s="316"/>
      <c r="O85" s="316"/>
      <c r="P85" s="316"/>
      <c r="Q85" s="316"/>
      <c r="R85" s="315"/>
      <c r="S85" s="315"/>
      <c r="T85" s="315"/>
      <c r="U85" s="315"/>
      <c r="V85" s="315"/>
      <c r="W85" s="315"/>
      <c r="X85" s="315"/>
      <c r="Y85" s="315"/>
      <c r="Z85" s="314">
        <f t="shared" si="7"/>
        <v>0</v>
      </c>
      <c r="AA85" s="444">
        <f t="shared" si="8"/>
        <v>0</v>
      </c>
    </row>
    <row r="86" spans="1:30" s="299" customFormat="1">
      <c r="A86" s="305">
        <v>78</v>
      </c>
      <c r="B86" s="301"/>
      <c r="C86" s="301"/>
      <c r="D86" s="301"/>
      <c r="E86" s="304"/>
      <c r="F86" s="304"/>
      <c r="G86" s="317">
        <f t="shared" si="6"/>
        <v>0</v>
      </c>
      <c r="H86" s="315"/>
      <c r="I86" s="315"/>
      <c r="J86" s="315"/>
      <c r="K86" s="315"/>
      <c r="L86" s="315"/>
      <c r="M86" s="315"/>
      <c r="N86" s="316"/>
      <c r="O86" s="316"/>
      <c r="P86" s="316"/>
      <c r="Q86" s="316"/>
      <c r="R86" s="315"/>
      <c r="S86" s="315"/>
      <c r="T86" s="315"/>
      <c r="U86" s="315"/>
      <c r="V86" s="315"/>
      <c r="W86" s="315"/>
      <c r="X86" s="315"/>
      <c r="Y86" s="315"/>
      <c r="Z86" s="314">
        <f t="shared" si="7"/>
        <v>0</v>
      </c>
      <c r="AA86" s="444">
        <f t="shared" si="8"/>
        <v>0</v>
      </c>
    </row>
    <row r="87" spans="1:30" s="299" customFormat="1">
      <c r="A87" s="305">
        <v>79</v>
      </c>
      <c r="B87" s="301"/>
      <c r="C87" s="301"/>
      <c r="D87" s="301"/>
      <c r="E87" s="304"/>
      <c r="F87" s="304"/>
      <c r="G87" s="317">
        <f t="shared" si="6"/>
        <v>0</v>
      </c>
      <c r="H87" s="315"/>
      <c r="I87" s="315"/>
      <c r="J87" s="315"/>
      <c r="K87" s="315"/>
      <c r="L87" s="315"/>
      <c r="M87" s="315"/>
      <c r="N87" s="316"/>
      <c r="O87" s="316"/>
      <c r="P87" s="316"/>
      <c r="Q87" s="316"/>
      <c r="R87" s="315"/>
      <c r="S87" s="315"/>
      <c r="T87" s="315"/>
      <c r="U87" s="315"/>
      <c r="V87" s="315"/>
      <c r="W87" s="315"/>
      <c r="X87" s="315"/>
      <c r="Y87" s="315"/>
      <c r="Z87" s="314">
        <f t="shared" si="7"/>
        <v>0</v>
      </c>
      <c r="AA87" s="444">
        <f t="shared" si="8"/>
        <v>0</v>
      </c>
    </row>
    <row r="88" spans="1:30" s="299" customFormat="1">
      <c r="A88" s="305">
        <v>80</v>
      </c>
      <c r="B88" s="301"/>
      <c r="C88" s="301"/>
      <c r="D88" s="301"/>
      <c r="E88" s="304"/>
      <c r="F88" s="304"/>
      <c r="G88" s="317">
        <f t="shared" si="6"/>
        <v>0</v>
      </c>
      <c r="H88" s="315"/>
      <c r="I88" s="315"/>
      <c r="J88" s="315"/>
      <c r="K88" s="315"/>
      <c r="L88" s="315"/>
      <c r="M88" s="315"/>
      <c r="N88" s="316"/>
      <c r="O88" s="316"/>
      <c r="P88" s="316"/>
      <c r="Q88" s="316"/>
      <c r="R88" s="315"/>
      <c r="S88" s="315"/>
      <c r="T88" s="315"/>
      <c r="U88" s="315"/>
      <c r="V88" s="315"/>
      <c r="W88" s="315"/>
      <c r="X88" s="315"/>
      <c r="Y88" s="315"/>
      <c r="Z88" s="314">
        <f t="shared" si="7"/>
        <v>0</v>
      </c>
      <c r="AA88" s="444">
        <f t="shared" si="8"/>
        <v>0</v>
      </c>
    </row>
    <row r="89" spans="1:30" s="324" customFormat="1" ht="19.5" customHeight="1">
      <c r="A89" s="756" t="s">
        <v>459</v>
      </c>
      <c r="B89" s="757"/>
      <c r="C89" s="757"/>
      <c r="D89" s="757"/>
      <c r="E89" s="757"/>
      <c r="F89" s="758"/>
      <c r="G89" s="298">
        <f>SUM(G9:G88)</f>
        <v>2798272217</v>
      </c>
      <c r="H89" s="298">
        <f t="shared" ref="H89:V89" si="9">SUM(H9:H88)</f>
        <v>724442262</v>
      </c>
      <c r="I89" s="298">
        <f t="shared" si="9"/>
        <v>1961575355</v>
      </c>
      <c r="J89" s="298">
        <f t="shared" si="9"/>
        <v>0</v>
      </c>
      <c r="K89" s="298">
        <f t="shared" si="9"/>
        <v>0</v>
      </c>
      <c r="L89" s="298">
        <f t="shared" si="9"/>
        <v>0</v>
      </c>
      <c r="M89" s="298">
        <f t="shared" si="9"/>
        <v>0</v>
      </c>
      <c r="N89" s="298">
        <f t="shared" si="9"/>
        <v>112254600</v>
      </c>
      <c r="O89" s="298">
        <f t="shared" si="9"/>
        <v>112254600</v>
      </c>
      <c r="P89" s="298">
        <f t="shared" si="9"/>
        <v>0</v>
      </c>
      <c r="Q89" s="298">
        <f t="shared" si="9"/>
        <v>0</v>
      </c>
      <c r="R89" s="298">
        <f t="shared" si="9"/>
        <v>0</v>
      </c>
      <c r="S89" s="298">
        <f t="shared" si="9"/>
        <v>0</v>
      </c>
      <c r="T89" s="298">
        <f t="shared" si="9"/>
        <v>0</v>
      </c>
      <c r="U89" s="321"/>
      <c r="V89" s="298">
        <f t="shared" si="9"/>
        <v>422554600</v>
      </c>
      <c r="W89" s="321"/>
      <c r="X89" s="298">
        <f t="shared" ref="X89:Z89" si="10">SUM(X9:X88)</f>
        <v>0</v>
      </c>
      <c r="Y89" s="298">
        <f t="shared" si="10"/>
        <v>0</v>
      </c>
      <c r="Z89" s="298">
        <f t="shared" si="10"/>
        <v>2375717617</v>
      </c>
      <c r="AA89" s="448"/>
    </row>
    <row r="90" spans="1:30" s="324" customFormat="1" ht="19.5" customHeight="1">
      <c r="A90" s="756" t="s">
        <v>460</v>
      </c>
      <c r="B90" s="757"/>
      <c r="C90" s="757"/>
      <c r="D90" s="757"/>
      <c r="E90" s="757"/>
      <c r="F90" s="758"/>
      <c r="G90" s="298">
        <f>+SUMIF($F$9:$F$88,$AA$90,$G$9:$G$88)</f>
        <v>460002812</v>
      </c>
      <c r="H90" s="298">
        <f>+SUMIF($F$9:$F$88,$AA$90,$H$9:$H$88)</f>
        <v>0</v>
      </c>
      <c r="I90" s="298">
        <f>+SUMIF($F$9:$F$88,$AA$90,$I$9:$I$88)</f>
        <v>460002812</v>
      </c>
      <c r="J90" s="298">
        <f>+SUMIF($F$9:$F$88,$AA$90,$J$9:$J$88)</f>
        <v>0</v>
      </c>
      <c r="K90" s="298">
        <f>+SUMIF($F$9:$F$88,$AA$90,$K$9:$K$88)</f>
        <v>0</v>
      </c>
      <c r="L90" s="298">
        <f>+SUMIF($F$9:$F$88,$AA$90,$L$9:$L$88)</f>
        <v>0</v>
      </c>
      <c r="M90" s="298">
        <f>+SUMIF($F$9:$F$88,$AA$90,$M$9:$M$88)</f>
        <v>0</v>
      </c>
      <c r="N90" s="298">
        <f>+SUMIF($F$9:$F$88,$AA$90,$N$9:$N$88)</f>
        <v>0</v>
      </c>
      <c r="O90" s="298">
        <f>+SUMIF($F$9:$F$88,$AA$90,$O$9:$O$88)</f>
        <v>0</v>
      </c>
      <c r="P90" s="298">
        <f>+SUMIF($F$9:$F$88,$AA$90,$P$9:$P$88)</f>
        <v>0</v>
      </c>
      <c r="Q90" s="298">
        <f>+SUMIF($F$9:$F$88,$AA$90,$Q$9:$Q$88)</f>
        <v>0</v>
      </c>
      <c r="R90" s="298">
        <f>+SUMIF($F$9:$F$88,$AA$90,$R$9:$R$88)</f>
        <v>0</v>
      </c>
      <c r="S90" s="298">
        <f>+SUMIF($F$9:$F$88,$AA$90,$S$9:$S$88)</f>
        <v>0</v>
      </c>
      <c r="T90" s="298">
        <f>+SUMIF($F$9:$F$88,$AA$90,$T$9:$T$88)</f>
        <v>0</v>
      </c>
      <c r="U90" s="321"/>
      <c r="V90" s="298">
        <f>+SUMIF($F$9:$F$88,$AA$90,$V$9:$V$88)</f>
        <v>0</v>
      </c>
      <c r="W90" s="321"/>
      <c r="X90" s="298">
        <f>+SUMIF($F$9:$F$88,$AA$90,$X$9:$X$88)</f>
        <v>0</v>
      </c>
      <c r="Y90" s="298">
        <f>+SUMIF($F$9:$F$88,$AA$90,$Y$9:$Y$88)</f>
        <v>0</v>
      </c>
      <c r="Z90" s="298">
        <f>+MAX(AA9:AA88)</f>
        <v>460002812</v>
      </c>
      <c r="AA90" s="448">
        <f>INDEX($F$9:$F$88,MATCH($Z90,$AA$9:$AA$88,0))</f>
        <v>3</v>
      </c>
    </row>
    <row r="91" spans="1:30" s="276" customFormat="1">
      <c r="AA91" s="446"/>
    </row>
    <row r="92" spans="1:30" ht="15" customHeight="1">
      <c r="A92" s="34"/>
      <c r="B92" s="239" t="s">
        <v>788</v>
      </c>
      <c r="C92" s="34"/>
      <c r="D92" s="34"/>
      <c r="E92" s="34"/>
      <c r="F92" s="349"/>
      <c r="G92" s="349"/>
      <c r="H92" s="349"/>
      <c r="I92" s="349"/>
      <c r="J92" s="349"/>
      <c r="K92" s="349"/>
      <c r="L92" s="349"/>
      <c r="M92" s="349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 spans="1:30" ht="11.25" customHeight="1">
      <c r="A93" s="34"/>
      <c r="B93" s="239"/>
      <c r="C93" s="34"/>
      <c r="D93" s="34"/>
      <c r="E93" s="34"/>
      <c r="F93" s="349"/>
      <c r="G93" s="349"/>
      <c r="H93" s="349"/>
      <c r="I93" s="349"/>
      <c r="J93" s="349"/>
      <c r="K93" s="349"/>
      <c r="L93" s="349"/>
      <c r="M93" s="349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spans="1:30" ht="15" customHeight="1">
      <c r="A94" s="34"/>
      <c r="B94" s="239" t="s">
        <v>789</v>
      </c>
      <c r="C94" s="34"/>
      <c r="D94" s="34"/>
      <c r="E94" s="34"/>
      <c r="F94" s="349"/>
      <c r="G94" s="349"/>
      <c r="H94" s="349"/>
      <c r="I94" s="349"/>
      <c r="J94" s="349"/>
      <c r="K94" s="349"/>
      <c r="L94" s="349"/>
      <c r="M94" s="349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spans="1:30" s="276" customFormat="1">
      <c r="B95" s="297"/>
      <c r="AA95" s="446"/>
    </row>
    <row r="96" spans="1:30" s="276" customFormat="1">
      <c r="B96" s="297"/>
      <c r="AA96" s="446"/>
    </row>
    <row r="97" spans="1:32" s="276" customFormat="1">
      <c r="B97" s="297"/>
      <c r="AA97" s="446"/>
    </row>
    <row r="98" spans="1:32" s="276" customFormat="1">
      <c r="AA98" s="446"/>
    </row>
    <row r="99" spans="1:32" s="276" customFormat="1" ht="15.75">
      <c r="B99" s="740"/>
      <c r="C99" s="740"/>
      <c r="D99" s="740"/>
      <c r="E99" s="740"/>
      <c r="F99" s="740"/>
      <c r="G99" s="740"/>
      <c r="H99" s="740"/>
      <c r="I99" s="740"/>
      <c r="J99" s="740"/>
      <c r="K99" s="740"/>
      <c r="L99" s="740"/>
      <c r="M99" s="740"/>
      <c r="N99" s="740"/>
      <c r="O99" s="740"/>
      <c r="P99" s="740"/>
      <c r="Q99" s="740"/>
      <c r="R99" s="740"/>
      <c r="S99" s="740"/>
      <c r="T99" s="740"/>
      <c r="AA99" s="446"/>
    </row>
    <row r="100" spans="1:3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V100" s="34"/>
      <c r="W100" s="34"/>
      <c r="X100" s="34"/>
      <c r="Y100" s="34"/>
      <c r="Z100" s="34"/>
      <c r="AA100" s="447"/>
      <c r="AB100" s="34"/>
      <c r="AC100" s="34"/>
      <c r="AD100" s="34"/>
      <c r="AE100" s="34"/>
      <c r="AF100" s="34"/>
    </row>
    <row r="101" spans="1:3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V101" s="34"/>
      <c r="W101" s="34"/>
      <c r="X101" s="34"/>
      <c r="Y101" s="34"/>
      <c r="Z101" s="34"/>
      <c r="AA101" s="447"/>
      <c r="AB101" s="34"/>
      <c r="AC101" s="34"/>
      <c r="AD101" s="34"/>
      <c r="AE101" s="34"/>
      <c r="AF101" s="34"/>
    </row>
    <row r="102" spans="1:3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V102" s="34"/>
      <c r="W102" s="34"/>
      <c r="X102" s="34"/>
      <c r="Y102" s="34"/>
      <c r="Z102" s="34"/>
      <c r="AA102" s="447"/>
      <c r="AB102" s="34"/>
      <c r="AC102" s="34"/>
      <c r="AD102" s="34"/>
      <c r="AE102" s="34"/>
      <c r="AF102" s="34"/>
    </row>
    <row r="103" spans="1:3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V103" s="34"/>
      <c r="W103" s="34"/>
      <c r="X103" s="34"/>
      <c r="Y103" s="34"/>
      <c r="Z103" s="34"/>
      <c r="AA103" s="447"/>
      <c r="AB103" s="34"/>
      <c r="AC103" s="34"/>
      <c r="AD103" s="34"/>
      <c r="AE103" s="34"/>
      <c r="AF103" s="34"/>
    </row>
    <row r="104" spans="1:3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V104" s="34"/>
      <c r="W104" s="34"/>
      <c r="X104" s="34"/>
      <c r="Y104" s="34"/>
      <c r="Z104" s="34"/>
      <c r="AA104" s="447"/>
      <c r="AB104" s="34"/>
      <c r="AC104" s="34"/>
      <c r="AD104" s="34"/>
      <c r="AE104" s="34"/>
      <c r="AF104" s="34"/>
    </row>
    <row r="105" spans="1:3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V105" s="34"/>
      <c r="W105" s="34"/>
      <c r="X105" s="34"/>
      <c r="Y105" s="34"/>
      <c r="Z105" s="34"/>
      <c r="AA105" s="447"/>
      <c r="AB105" s="34"/>
      <c r="AC105" s="34"/>
      <c r="AD105" s="34"/>
      <c r="AE105" s="34"/>
      <c r="AF105" s="34"/>
    </row>
    <row r="106" spans="1:3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V106" s="34"/>
      <c r="W106" s="34"/>
      <c r="X106" s="34"/>
      <c r="Y106" s="34"/>
      <c r="Z106" s="34"/>
      <c r="AA106" s="447"/>
      <c r="AB106" s="34"/>
      <c r="AC106" s="34"/>
      <c r="AD106" s="34"/>
      <c r="AE106" s="34"/>
      <c r="AF106" s="34"/>
    </row>
    <row r="107" spans="1:3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V107" s="34"/>
      <c r="W107" s="34"/>
      <c r="X107" s="34"/>
      <c r="Y107" s="34"/>
      <c r="Z107" s="34"/>
      <c r="AA107" s="447"/>
      <c r="AB107" s="34"/>
      <c r="AC107" s="34"/>
      <c r="AD107" s="34"/>
      <c r="AE107" s="34"/>
      <c r="AF107" s="34"/>
    </row>
    <row r="108" spans="1:3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V108" s="34"/>
      <c r="W108" s="34"/>
      <c r="X108" s="34"/>
      <c r="Y108" s="34"/>
      <c r="Z108" s="34"/>
      <c r="AA108" s="447"/>
      <c r="AB108" s="34"/>
      <c r="AC108" s="34"/>
      <c r="AD108" s="34"/>
      <c r="AE108" s="34"/>
      <c r="AF108" s="34"/>
    </row>
    <row r="109" spans="1:3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V109" s="34"/>
      <c r="W109" s="34"/>
      <c r="X109" s="34"/>
      <c r="Y109" s="34"/>
      <c r="Z109" s="34"/>
      <c r="AA109" s="447"/>
      <c r="AB109" s="34"/>
      <c r="AC109" s="34"/>
      <c r="AD109" s="34"/>
      <c r="AE109" s="34"/>
      <c r="AF109" s="34"/>
    </row>
    <row r="110" spans="1:3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V110" s="34"/>
      <c r="W110" s="34"/>
      <c r="X110" s="34"/>
      <c r="Y110" s="34"/>
      <c r="Z110" s="34"/>
      <c r="AA110" s="447"/>
      <c r="AB110" s="34"/>
      <c r="AC110" s="34"/>
      <c r="AD110" s="34"/>
      <c r="AE110" s="34"/>
      <c r="AF110" s="34"/>
    </row>
    <row r="111" spans="1:3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V111" s="34"/>
      <c r="W111" s="34"/>
      <c r="X111" s="34"/>
      <c r="Y111" s="34"/>
      <c r="Z111" s="34"/>
      <c r="AA111" s="447"/>
      <c r="AB111" s="34"/>
      <c r="AC111" s="34"/>
      <c r="AD111" s="34"/>
      <c r="AE111" s="34"/>
      <c r="AF111" s="34"/>
    </row>
    <row r="112" spans="1:3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V112" s="34"/>
      <c r="W112" s="34"/>
      <c r="X112" s="34"/>
      <c r="Y112" s="34"/>
      <c r="Z112" s="34"/>
      <c r="AA112" s="447"/>
      <c r="AB112" s="34"/>
      <c r="AC112" s="34"/>
      <c r="AD112" s="34"/>
      <c r="AE112" s="34"/>
      <c r="AF112" s="34"/>
    </row>
    <row r="113" spans="1:3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V113" s="34"/>
      <c r="W113" s="34"/>
      <c r="X113" s="34"/>
      <c r="Y113" s="34"/>
      <c r="Z113" s="34"/>
      <c r="AA113" s="447"/>
      <c r="AB113" s="34"/>
      <c r="AC113" s="34"/>
      <c r="AD113" s="34"/>
      <c r="AE113" s="34"/>
      <c r="AF113" s="34"/>
    </row>
    <row r="114" spans="1:3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V114" s="34"/>
      <c r="W114" s="34"/>
      <c r="X114" s="34"/>
      <c r="Y114" s="34"/>
      <c r="Z114" s="34"/>
      <c r="AA114" s="447"/>
      <c r="AB114" s="34"/>
      <c r="AC114" s="34"/>
      <c r="AD114" s="34"/>
      <c r="AE114" s="34"/>
      <c r="AF114" s="34"/>
    </row>
    <row r="115" spans="1:3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V115" s="34"/>
      <c r="W115" s="34"/>
      <c r="X115" s="34"/>
      <c r="Y115" s="34"/>
      <c r="Z115" s="34"/>
      <c r="AA115" s="447"/>
      <c r="AB115" s="34"/>
      <c r="AC115" s="34"/>
      <c r="AD115" s="34"/>
      <c r="AE115" s="34"/>
      <c r="AF115" s="34"/>
    </row>
    <row r="116" spans="1:3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V116" s="34"/>
      <c r="W116" s="34"/>
      <c r="X116" s="34"/>
      <c r="Y116" s="34"/>
      <c r="Z116" s="34"/>
      <c r="AA116" s="447"/>
      <c r="AB116" s="34"/>
      <c r="AC116" s="34"/>
      <c r="AD116" s="34"/>
      <c r="AE116" s="34"/>
      <c r="AF116" s="34"/>
    </row>
    <row r="117" spans="1:3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V117" s="34"/>
      <c r="W117" s="34"/>
      <c r="X117" s="34"/>
      <c r="Y117" s="34"/>
      <c r="Z117" s="34"/>
      <c r="AA117" s="447"/>
      <c r="AB117" s="34"/>
      <c r="AC117" s="34"/>
      <c r="AD117" s="34"/>
      <c r="AE117" s="34"/>
      <c r="AF117" s="34"/>
    </row>
    <row r="118" spans="1:3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V118" s="34"/>
      <c r="W118" s="34"/>
      <c r="X118" s="34"/>
      <c r="Y118" s="34"/>
      <c r="Z118" s="34"/>
      <c r="AA118" s="447"/>
      <c r="AB118" s="34"/>
      <c r="AC118" s="34"/>
      <c r="AD118" s="34"/>
      <c r="AE118" s="34"/>
      <c r="AF118" s="34"/>
    </row>
    <row r="119" spans="1:3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V119" s="34"/>
      <c r="W119" s="34"/>
      <c r="X119" s="34"/>
      <c r="Y119" s="34"/>
      <c r="Z119" s="34"/>
      <c r="AA119" s="447"/>
      <c r="AB119" s="34"/>
      <c r="AC119" s="34"/>
      <c r="AD119" s="34"/>
      <c r="AE119" s="34"/>
      <c r="AF119" s="34"/>
    </row>
    <row r="120" spans="1:3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V120" s="34"/>
      <c r="W120" s="34"/>
      <c r="X120" s="34"/>
      <c r="Y120" s="34"/>
      <c r="Z120" s="34"/>
      <c r="AA120" s="447"/>
      <c r="AB120" s="34"/>
      <c r="AC120" s="34"/>
      <c r="AD120" s="34"/>
      <c r="AE120" s="34"/>
      <c r="AF120" s="34"/>
    </row>
    <row r="121" spans="1:3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V121" s="34"/>
      <c r="W121" s="34"/>
      <c r="X121" s="34"/>
      <c r="Y121" s="34"/>
      <c r="Z121" s="34"/>
      <c r="AA121" s="447"/>
      <c r="AB121" s="34"/>
      <c r="AC121" s="34"/>
      <c r="AD121" s="34"/>
      <c r="AE121" s="34"/>
      <c r="AF121" s="34"/>
    </row>
    <row r="122" spans="1:3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V122" s="34"/>
      <c r="W122" s="34"/>
      <c r="X122" s="34"/>
      <c r="Y122" s="34"/>
      <c r="Z122" s="34"/>
      <c r="AA122" s="447"/>
      <c r="AB122" s="34"/>
      <c r="AC122" s="34"/>
      <c r="AD122" s="34"/>
      <c r="AE122" s="34"/>
      <c r="AF122" s="34"/>
    </row>
    <row r="123" spans="1:3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V123" s="34"/>
      <c r="W123" s="34"/>
      <c r="X123" s="34"/>
      <c r="Y123" s="34"/>
      <c r="Z123" s="34"/>
      <c r="AA123" s="447"/>
      <c r="AB123" s="34"/>
      <c r="AC123" s="34"/>
      <c r="AD123" s="34"/>
      <c r="AE123" s="34"/>
      <c r="AF123" s="34"/>
    </row>
    <row r="124" spans="1:3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V124" s="34"/>
      <c r="W124" s="34"/>
      <c r="X124" s="34"/>
      <c r="Y124" s="34"/>
      <c r="Z124" s="34"/>
      <c r="AA124" s="447"/>
      <c r="AB124" s="34"/>
      <c r="AC124" s="34"/>
      <c r="AD124" s="34"/>
      <c r="AE124" s="34"/>
      <c r="AF124" s="34"/>
    </row>
    <row r="125" spans="1:3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V125" s="34"/>
      <c r="W125" s="34"/>
      <c r="X125" s="34"/>
      <c r="Y125" s="34"/>
      <c r="Z125" s="34"/>
      <c r="AA125" s="447"/>
      <c r="AB125" s="34"/>
      <c r="AC125" s="34"/>
      <c r="AD125" s="34"/>
      <c r="AE125" s="34"/>
      <c r="AF125" s="34"/>
    </row>
    <row r="126" spans="1:3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V126" s="34"/>
      <c r="W126" s="34"/>
      <c r="X126" s="34"/>
      <c r="Y126" s="34"/>
      <c r="Z126" s="34"/>
      <c r="AA126" s="447"/>
      <c r="AB126" s="34"/>
      <c r="AC126" s="34"/>
      <c r="AD126" s="34"/>
      <c r="AE126" s="34"/>
      <c r="AF126" s="34"/>
    </row>
    <row r="127" spans="1:3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V127" s="34"/>
      <c r="W127" s="34"/>
      <c r="X127" s="34"/>
      <c r="Y127" s="34"/>
      <c r="Z127" s="34"/>
      <c r="AA127" s="447"/>
      <c r="AB127" s="34"/>
      <c r="AC127" s="34"/>
      <c r="AD127" s="34"/>
      <c r="AE127" s="34"/>
      <c r="AF127" s="34"/>
    </row>
    <row r="128" spans="1:3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V128" s="34"/>
      <c r="W128" s="34"/>
      <c r="X128" s="34"/>
      <c r="Y128" s="34"/>
      <c r="Z128" s="34"/>
      <c r="AA128" s="447"/>
      <c r="AB128" s="34"/>
      <c r="AC128" s="34"/>
      <c r="AD128" s="34"/>
      <c r="AE128" s="34"/>
      <c r="AF128" s="34"/>
    </row>
    <row r="129" spans="1:3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V129" s="34"/>
      <c r="W129" s="34"/>
      <c r="X129" s="34"/>
      <c r="Y129" s="34"/>
      <c r="Z129" s="34"/>
      <c r="AA129" s="447"/>
      <c r="AB129" s="34"/>
      <c r="AC129" s="34"/>
      <c r="AD129" s="34"/>
      <c r="AE129" s="34"/>
      <c r="AF129" s="34"/>
    </row>
    <row r="130" spans="1:3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V130" s="34"/>
      <c r="W130" s="34"/>
      <c r="X130" s="34"/>
      <c r="Y130" s="34"/>
      <c r="Z130" s="34"/>
      <c r="AA130" s="447"/>
      <c r="AB130" s="34"/>
      <c r="AC130" s="34"/>
      <c r="AD130" s="34"/>
      <c r="AE130" s="34"/>
      <c r="AF130" s="34"/>
    </row>
    <row r="131" spans="1:3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V131" s="34"/>
      <c r="W131" s="34"/>
      <c r="X131" s="34"/>
      <c r="Y131" s="34"/>
      <c r="Z131" s="34"/>
      <c r="AA131" s="447"/>
      <c r="AB131" s="34"/>
      <c r="AC131" s="34"/>
      <c r="AD131" s="34"/>
      <c r="AE131" s="34"/>
      <c r="AF131" s="34"/>
    </row>
  </sheetData>
  <sheetProtection password="CACA" sheet="1" objects="1" scenarios="1"/>
  <mergeCells count="36">
    <mergeCell ref="A89:F89"/>
    <mergeCell ref="A90:F90"/>
    <mergeCell ref="B99:T99"/>
    <mergeCell ref="G4:G7"/>
    <mergeCell ref="N6:O6"/>
    <mergeCell ref="P6:Q6"/>
    <mergeCell ref="R6:S6"/>
    <mergeCell ref="H6:H7"/>
    <mergeCell ref="I6:I7"/>
    <mergeCell ref="J6:J7"/>
    <mergeCell ref="K6:K7"/>
    <mergeCell ref="L6:M6"/>
    <mergeCell ref="Y3:Z3"/>
    <mergeCell ref="X4:X7"/>
    <mergeCell ref="Y4:Y7"/>
    <mergeCell ref="T4:T7"/>
    <mergeCell ref="Z4:Z7"/>
    <mergeCell ref="U6:U7"/>
    <mergeCell ref="V6:V7"/>
    <mergeCell ref="U3:V3"/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</mergeCells>
  <printOptions horizontalCentered="1"/>
  <pageMargins left="0.15748031496062992" right="0.19685039370078741" top="0.49" bottom="0.19685039370078741" header="0.51181102362204722" footer="0.51181102362204722"/>
  <pageSetup paperSize="9" scale="41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3"/>
  <dimension ref="A1:AD53"/>
  <sheetViews>
    <sheetView view="pageBreakPreview" zoomScale="70" zoomScaleNormal="75" zoomScaleSheetLayoutView="70" workbookViewId="0">
      <pane xSplit="3" ySplit="8" topLeftCell="D36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J64" sqref="J64"/>
    </sheetView>
  </sheetViews>
  <sheetFormatPr defaultColWidth="9.42578125" defaultRowHeight="15"/>
  <cols>
    <col min="1" max="1" width="11" style="285" bestFit="1" customWidth="1"/>
    <col min="2" max="2" width="31" style="174" customWidth="1"/>
    <col min="3" max="3" width="17.28515625" style="174" customWidth="1"/>
    <col min="4" max="10" width="16.28515625" style="174" customWidth="1"/>
    <col min="11" max="11" width="9.42578125" style="174"/>
    <col min="12" max="14" width="18.85546875" style="174" customWidth="1"/>
    <col min="15" max="16384" width="9.42578125" style="174"/>
  </cols>
  <sheetData>
    <row r="1" spans="1:14" s="276" customFormat="1" ht="35.25" customHeight="1">
      <c r="A1" s="759" t="s">
        <v>462</v>
      </c>
      <c r="B1" s="759"/>
      <c r="C1" s="759"/>
      <c r="D1" s="759"/>
      <c r="E1" s="759"/>
      <c r="F1" s="759"/>
      <c r="G1" s="759"/>
      <c r="H1" s="759"/>
      <c r="I1" s="759"/>
      <c r="J1" s="449" t="s">
        <v>461</v>
      </c>
    </row>
    <row r="2" spans="1:14" s="269" customFormat="1" ht="15.75" customHeight="1">
      <c r="A2" s="277"/>
      <c r="B2" s="278"/>
      <c r="C2" s="278"/>
      <c r="E2" s="279"/>
    </row>
    <row r="3" spans="1:14" s="269" customFormat="1" ht="16.5" customHeight="1">
      <c r="A3" s="280" t="s">
        <v>463</v>
      </c>
      <c r="C3" s="280"/>
      <c r="F3" s="281"/>
      <c r="G3" s="706">
        <f>+'Asset quality'!Q3</f>
        <v>44926</v>
      </c>
      <c r="H3" s="706"/>
      <c r="J3" s="320" t="str">
        <f>+'Asset quality'!T3</f>
        <v>минг. сўмда</v>
      </c>
      <c r="L3" s="320"/>
    </row>
    <row r="4" spans="1:14" s="244" customFormat="1" ht="36" customHeight="1">
      <c r="A4" s="760" t="s">
        <v>62</v>
      </c>
      <c r="B4" s="760" t="s">
        <v>464</v>
      </c>
      <c r="C4" s="743" t="str">
        <f>"Ҳисобдан чиқарилган кредит ва лизинглар қолдиғи"&amp;" "&amp;DAY(G3)&amp;"."&amp;IF(LEN(MONTH(G3))&lt;2,"0"&amp;MONTH(G3),MONTH(G3))&amp;"."&amp;YEAR(G3)-1&amp;"г"</f>
        <v>Ҳисобдан чиқарилган кредит ва лизинглар қолдиғи 31.12.2021г</v>
      </c>
      <c r="D4" s="747" t="s">
        <v>465</v>
      </c>
      <c r="E4" s="763"/>
      <c r="F4" s="763"/>
      <c r="G4" s="763"/>
      <c r="H4" s="763"/>
      <c r="I4" s="748"/>
      <c r="J4" s="743" t="str">
        <f>"Хисобдан чиқарилган кредит ва лизинглар қолдиғи"&amp;" "&amp;DAY(G3)&amp;"."&amp;IF(LEN(MONTH(G3))&lt;2,"0"&amp;MONTH(G3),MONTH(G3))&amp;"."&amp;YEAR(G3)&amp;"г"</f>
        <v>Хисобдан чиқарилган кредит ва лизинглар қолдиғи 31.12.2022г</v>
      </c>
    </row>
    <row r="5" spans="1:14" s="244" customFormat="1" ht="33.75" customHeight="1">
      <c r="A5" s="761"/>
      <c r="B5" s="761"/>
      <c r="C5" s="744"/>
      <c r="D5" s="764" t="s">
        <v>466</v>
      </c>
      <c r="E5" s="765"/>
      <c r="F5" s="751" t="s">
        <v>467</v>
      </c>
      <c r="G5" s="766"/>
      <c r="H5" s="751" t="s">
        <v>468</v>
      </c>
      <c r="I5" s="766"/>
      <c r="J5" s="744"/>
      <c r="N5" s="282"/>
    </row>
    <row r="6" spans="1:14" s="244" customFormat="1" ht="44.25" customHeight="1">
      <c r="A6" s="762"/>
      <c r="B6" s="762"/>
      <c r="C6" s="745"/>
      <c r="D6" s="295" t="s">
        <v>235</v>
      </c>
      <c r="E6" s="295" t="s">
        <v>469</v>
      </c>
      <c r="F6" s="295" t="s">
        <v>235</v>
      </c>
      <c r="G6" s="295" t="s">
        <v>469</v>
      </c>
      <c r="H6" s="295" t="s">
        <v>235</v>
      </c>
      <c r="I6" s="295" t="s">
        <v>469</v>
      </c>
      <c r="J6" s="745"/>
    </row>
    <row r="7" spans="1:14" ht="19.5" customHeight="1">
      <c r="A7" s="295"/>
      <c r="B7" s="295" t="s">
        <v>79</v>
      </c>
      <c r="C7" s="295" t="s">
        <v>80</v>
      </c>
      <c r="D7" s="295" t="s">
        <v>90</v>
      </c>
      <c r="E7" s="295" t="s">
        <v>81</v>
      </c>
      <c r="F7" s="295" t="s">
        <v>82</v>
      </c>
      <c r="G7" s="295" t="s">
        <v>91</v>
      </c>
      <c r="H7" s="295" t="s">
        <v>83</v>
      </c>
      <c r="I7" s="295" t="s">
        <v>84</v>
      </c>
      <c r="J7" s="295" t="s">
        <v>85</v>
      </c>
    </row>
    <row r="8" spans="1:14" ht="19.5" customHeight="1">
      <c r="A8" s="295">
        <v>1</v>
      </c>
      <c r="B8" s="295" t="s">
        <v>470</v>
      </c>
      <c r="C8" s="295">
        <f>SUM(C10:C17)</f>
        <v>15044994</v>
      </c>
      <c r="D8" s="295">
        <f t="shared" ref="D8:J8" si="0">SUM(D10:D17)</f>
        <v>104293367</v>
      </c>
      <c r="E8" s="295">
        <f t="shared" si="0"/>
        <v>59271073</v>
      </c>
      <c r="F8" s="295">
        <f t="shared" si="0"/>
        <v>60763345</v>
      </c>
      <c r="G8" s="295">
        <f t="shared" si="0"/>
        <v>40931598</v>
      </c>
      <c r="H8" s="295">
        <f t="shared" si="0"/>
        <v>43530022</v>
      </c>
      <c r="I8" s="295">
        <f t="shared" si="0"/>
        <v>18339475</v>
      </c>
      <c r="J8" s="295">
        <f t="shared" si="0"/>
        <v>58575016</v>
      </c>
      <c r="L8" s="285">
        <f>+'loans type'!Y27</f>
        <v>58575016</v>
      </c>
    </row>
    <row r="9" spans="1:14" ht="19.5" customHeight="1">
      <c r="A9" s="450"/>
      <c r="B9" s="451" t="s">
        <v>335</v>
      </c>
      <c r="C9" s="283"/>
      <c r="D9" s="284"/>
      <c r="E9" s="284"/>
      <c r="F9" s="284"/>
      <c r="G9" s="284"/>
      <c r="H9" s="284"/>
      <c r="I9" s="284"/>
      <c r="J9" s="284"/>
      <c r="K9" s="285"/>
    </row>
    <row r="10" spans="1:14" ht="28.5" customHeight="1">
      <c r="A10" s="452" t="s">
        <v>111</v>
      </c>
      <c r="B10" s="283" t="s">
        <v>471</v>
      </c>
      <c r="C10" s="296">
        <v>413675</v>
      </c>
      <c r="D10" s="296">
        <v>30631333</v>
      </c>
      <c r="E10" s="296">
        <v>22332002</v>
      </c>
      <c r="F10" s="296">
        <v>21350831</v>
      </c>
      <c r="G10" s="296">
        <v>14540773</v>
      </c>
      <c r="H10" s="296">
        <f>+D10-F10</f>
        <v>9280502</v>
      </c>
      <c r="I10" s="296">
        <f>+E10-G10</f>
        <v>7791229</v>
      </c>
      <c r="J10" s="296">
        <f>+C10+D10-F10</f>
        <v>9694177</v>
      </c>
    </row>
    <row r="11" spans="1:14" ht="28.5" customHeight="1">
      <c r="A11" s="452" t="s">
        <v>112</v>
      </c>
      <c r="B11" s="283" t="s">
        <v>472</v>
      </c>
      <c r="C11" s="296">
        <v>949693</v>
      </c>
      <c r="D11" s="296">
        <v>794300</v>
      </c>
      <c r="E11" s="296">
        <v>0</v>
      </c>
      <c r="F11" s="296">
        <v>283382</v>
      </c>
      <c r="G11" s="296">
        <v>0</v>
      </c>
      <c r="H11" s="296">
        <f t="shared" ref="H11:I17" si="1">+D11-F11</f>
        <v>510918</v>
      </c>
      <c r="I11" s="296">
        <f t="shared" si="1"/>
        <v>0</v>
      </c>
      <c r="J11" s="296">
        <f t="shared" ref="J11:J17" si="2">+C11+D11-F11</f>
        <v>1460611</v>
      </c>
    </row>
    <row r="12" spans="1:14" ht="28.5" customHeight="1">
      <c r="A12" s="452" t="s">
        <v>113</v>
      </c>
      <c r="B12" s="283" t="s">
        <v>473</v>
      </c>
      <c r="C12" s="296">
        <v>175451</v>
      </c>
      <c r="D12" s="296">
        <v>119185</v>
      </c>
      <c r="E12" s="296">
        <v>0</v>
      </c>
      <c r="F12" s="296">
        <v>97850</v>
      </c>
      <c r="G12" s="296">
        <v>0</v>
      </c>
      <c r="H12" s="296">
        <f t="shared" si="1"/>
        <v>21335</v>
      </c>
      <c r="I12" s="296">
        <f t="shared" si="1"/>
        <v>0</v>
      </c>
      <c r="J12" s="296">
        <f>+C12+D12-F12</f>
        <v>196786</v>
      </c>
    </row>
    <row r="13" spans="1:14" ht="28.5" customHeight="1">
      <c r="A13" s="452" t="s">
        <v>117</v>
      </c>
      <c r="B13" s="283" t="s">
        <v>474</v>
      </c>
      <c r="C13" s="296">
        <v>1340662</v>
      </c>
      <c r="D13" s="296">
        <v>6266924</v>
      </c>
      <c r="E13" s="296">
        <v>0</v>
      </c>
      <c r="F13" s="296">
        <v>697192</v>
      </c>
      <c r="G13" s="296">
        <v>0</v>
      </c>
      <c r="H13" s="296">
        <f t="shared" si="1"/>
        <v>5569732</v>
      </c>
      <c r="I13" s="296">
        <f t="shared" si="1"/>
        <v>0</v>
      </c>
      <c r="J13" s="296">
        <f t="shared" si="2"/>
        <v>6910394</v>
      </c>
    </row>
    <row r="14" spans="1:14" ht="28.5" customHeight="1">
      <c r="A14" s="452" t="s">
        <v>118</v>
      </c>
      <c r="B14" s="283" t="s">
        <v>475</v>
      </c>
      <c r="C14" s="296">
        <v>10661645</v>
      </c>
      <c r="D14" s="296">
        <v>54737631</v>
      </c>
      <c r="E14" s="296">
        <v>36939071</v>
      </c>
      <c r="F14" s="296">
        <v>32013409</v>
      </c>
      <c r="G14" s="296">
        <v>26390825</v>
      </c>
      <c r="H14" s="296">
        <f t="shared" si="1"/>
        <v>22724222</v>
      </c>
      <c r="I14" s="296">
        <f t="shared" si="1"/>
        <v>10548246</v>
      </c>
      <c r="J14" s="296">
        <f t="shared" si="2"/>
        <v>33385867</v>
      </c>
    </row>
    <row r="15" spans="1:14" ht="28.5" customHeight="1">
      <c r="A15" s="452" t="s">
        <v>147</v>
      </c>
      <c r="B15" s="283" t="s">
        <v>476</v>
      </c>
      <c r="C15" s="296">
        <v>320576</v>
      </c>
      <c r="D15" s="296">
        <v>5331746</v>
      </c>
      <c r="E15" s="296">
        <v>0</v>
      </c>
      <c r="F15" s="296">
        <v>1117049</v>
      </c>
      <c r="G15" s="296">
        <v>0</v>
      </c>
      <c r="H15" s="296">
        <f t="shared" si="1"/>
        <v>4214697</v>
      </c>
      <c r="I15" s="296">
        <f t="shared" si="1"/>
        <v>0</v>
      </c>
      <c r="J15" s="296">
        <f t="shared" si="2"/>
        <v>4535273</v>
      </c>
    </row>
    <row r="16" spans="1:14" ht="28.5" customHeight="1">
      <c r="A16" s="452" t="s">
        <v>220</v>
      </c>
      <c r="B16" s="283" t="s">
        <v>477</v>
      </c>
      <c r="C16" s="296">
        <v>1150304</v>
      </c>
      <c r="D16" s="296">
        <v>0</v>
      </c>
      <c r="E16" s="296">
        <v>0</v>
      </c>
      <c r="F16" s="296">
        <v>0</v>
      </c>
      <c r="G16" s="296">
        <v>0</v>
      </c>
      <c r="H16" s="296">
        <f t="shared" si="1"/>
        <v>0</v>
      </c>
      <c r="I16" s="296">
        <f t="shared" si="1"/>
        <v>0</v>
      </c>
      <c r="J16" s="296">
        <f t="shared" si="2"/>
        <v>1150304</v>
      </c>
    </row>
    <row r="17" spans="1:15" ht="28.5" customHeight="1">
      <c r="A17" s="452" t="s">
        <v>221</v>
      </c>
      <c r="B17" s="283" t="s">
        <v>478</v>
      </c>
      <c r="C17" s="296">
        <v>32988</v>
      </c>
      <c r="D17" s="296">
        <v>6412248</v>
      </c>
      <c r="E17" s="296">
        <v>0</v>
      </c>
      <c r="F17" s="296">
        <v>5203632</v>
      </c>
      <c r="G17" s="296">
        <v>0</v>
      </c>
      <c r="H17" s="296">
        <f t="shared" si="1"/>
        <v>1208616</v>
      </c>
      <c r="I17" s="296">
        <f t="shared" si="1"/>
        <v>0</v>
      </c>
      <c r="J17" s="296">
        <f t="shared" si="2"/>
        <v>1241604</v>
      </c>
    </row>
    <row r="18" spans="1:15" ht="19.5" customHeight="1">
      <c r="A18" s="295">
        <v>2</v>
      </c>
      <c r="B18" s="295" t="s">
        <v>401</v>
      </c>
      <c r="C18" s="295">
        <f>SUM(C20:C24)</f>
        <v>10700384</v>
      </c>
      <c r="D18" s="295">
        <f t="shared" ref="D18:J18" si="3">SUM(D20:D24)</f>
        <v>12847922</v>
      </c>
      <c r="E18" s="295">
        <f t="shared" si="3"/>
        <v>0</v>
      </c>
      <c r="F18" s="295">
        <f t="shared" si="3"/>
        <v>6579308</v>
      </c>
      <c r="G18" s="295">
        <f t="shared" si="3"/>
        <v>0</v>
      </c>
      <c r="H18" s="295">
        <f t="shared" si="3"/>
        <v>6268614</v>
      </c>
      <c r="I18" s="295">
        <f t="shared" si="3"/>
        <v>0</v>
      </c>
      <c r="J18" s="295">
        <f t="shared" si="3"/>
        <v>16968998</v>
      </c>
      <c r="L18" s="285">
        <f>+'loans type'!Y9</f>
        <v>16968998</v>
      </c>
    </row>
    <row r="19" spans="1:15" ht="19.5" customHeight="1">
      <c r="A19" s="453"/>
      <c r="B19" s="451" t="s">
        <v>335</v>
      </c>
      <c r="C19" s="283"/>
      <c r="D19" s="284"/>
      <c r="E19" s="284"/>
      <c r="F19" s="284"/>
      <c r="G19" s="284"/>
      <c r="H19" s="284"/>
      <c r="I19" s="284"/>
      <c r="J19" s="284"/>
    </row>
    <row r="20" spans="1:15" ht="28.5" customHeight="1">
      <c r="A20" s="452" t="s">
        <v>124</v>
      </c>
      <c r="B20" s="283" t="s">
        <v>479</v>
      </c>
      <c r="C20" s="296"/>
      <c r="D20" s="296">
        <v>7331537</v>
      </c>
      <c r="E20" s="296">
        <v>0</v>
      </c>
      <c r="F20" s="296">
        <v>2825917</v>
      </c>
      <c r="G20" s="296">
        <v>0</v>
      </c>
      <c r="H20" s="296">
        <f>+D20-F20</f>
        <v>4505620</v>
      </c>
      <c r="I20" s="296">
        <f>+E20-G20</f>
        <v>0</v>
      </c>
      <c r="J20" s="296">
        <f>+C20+D20-F20</f>
        <v>4505620</v>
      </c>
    </row>
    <row r="21" spans="1:15" ht="28.5" customHeight="1">
      <c r="A21" s="452" t="s">
        <v>125</v>
      </c>
      <c r="B21" s="283" t="s">
        <v>175</v>
      </c>
      <c r="C21" s="296"/>
      <c r="D21" s="296">
        <v>1298934</v>
      </c>
      <c r="E21" s="296">
        <v>0</v>
      </c>
      <c r="F21" s="296">
        <v>908957</v>
      </c>
      <c r="G21" s="296">
        <v>0</v>
      </c>
      <c r="H21" s="296">
        <f t="shared" ref="H21:I24" si="4">+D21-F21</f>
        <v>389977</v>
      </c>
      <c r="I21" s="296">
        <f t="shared" si="4"/>
        <v>0</v>
      </c>
      <c r="J21" s="296">
        <f t="shared" ref="J21:J24" si="5">+C21+D21-F21</f>
        <v>389977</v>
      </c>
    </row>
    <row r="22" spans="1:15" ht="28.5" customHeight="1">
      <c r="A22" s="452" t="s">
        <v>127</v>
      </c>
      <c r="B22" s="283" t="s">
        <v>480</v>
      </c>
      <c r="C22" s="296"/>
      <c r="D22" s="296">
        <v>1723077</v>
      </c>
      <c r="E22" s="296">
        <v>0</v>
      </c>
      <c r="F22" s="296">
        <v>2177583</v>
      </c>
      <c r="G22" s="296">
        <v>0</v>
      </c>
      <c r="H22" s="296">
        <f t="shared" si="4"/>
        <v>-454506</v>
      </c>
      <c r="I22" s="296">
        <f t="shared" si="4"/>
        <v>0</v>
      </c>
      <c r="J22" s="296">
        <f t="shared" si="5"/>
        <v>-454506</v>
      </c>
    </row>
    <row r="23" spans="1:15" ht="28.5" customHeight="1">
      <c r="A23" s="452" t="s">
        <v>129</v>
      </c>
      <c r="B23" s="283" t="s">
        <v>481</v>
      </c>
      <c r="C23" s="296"/>
      <c r="D23" s="296">
        <v>2470945</v>
      </c>
      <c r="E23" s="296">
        <v>0</v>
      </c>
      <c r="F23" s="296">
        <v>652129</v>
      </c>
      <c r="G23" s="296">
        <v>0</v>
      </c>
      <c r="H23" s="296">
        <f t="shared" si="4"/>
        <v>1818816</v>
      </c>
      <c r="I23" s="296">
        <f t="shared" si="4"/>
        <v>0</v>
      </c>
      <c r="J23" s="296">
        <f t="shared" si="5"/>
        <v>1818816</v>
      </c>
    </row>
    <row r="24" spans="1:15" ht="28.5" customHeight="1">
      <c r="A24" s="452" t="s">
        <v>176</v>
      </c>
      <c r="B24" s="283" t="s">
        <v>482</v>
      </c>
      <c r="C24" s="296">
        <v>10700384</v>
      </c>
      <c r="D24" s="296">
        <v>23429</v>
      </c>
      <c r="E24" s="296">
        <v>0</v>
      </c>
      <c r="F24" s="296">
        <v>14722</v>
      </c>
      <c r="G24" s="296">
        <v>0</v>
      </c>
      <c r="H24" s="296">
        <f t="shared" si="4"/>
        <v>8707</v>
      </c>
      <c r="I24" s="296">
        <f t="shared" si="4"/>
        <v>0</v>
      </c>
      <c r="J24" s="296">
        <f t="shared" si="5"/>
        <v>10709091</v>
      </c>
    </row>
    <row r="25" spans="1:15" ht="19.5" customHeight="1">
      <c r="A25" s="295">
        <v>3</v>
      </c>
      <c r="B25" s="295" t="s">
        <v>235</v>
      </c>
      <c r="C25" s="295">
        <f>+C18+C8</f>
        <v>25745378</v>
      </c>
      <c r="D25" s="295">
        <f t="shared" ref="D25:J25" si="6">+D18+D8</f>
        <v>117141289</v>
      </c>
      <c r="E25" s="295">
        <f t="shared" si="6"/>
        <v>59271073</v>
      </c>
      <c r="F25" s="295">
        <f t="shared" si="6"/>
        <v>67342653</v>
      </c>
      <c r="G25" s="295">
        <f t="shared" si="6"/>
        <v>40931598</v>
      </c>
      <c r="H25" s="295">
        <f t="shared" si="6"/>
        <v>49798636</v>
      </c>
      <c r="I25" s="295">
        <f t="shared" si="6"/>
        <v>18339475</v>
      </c>
      <c r="J25" s="295">
        <f t="shared" si="6"/>
        <v>75544014</v>
      </c>
      <c r="L25" s="618">
        <f>+'loans type'!Y8</f>
        <v>75544014</v>
      </c>
    </row>
    <row r="26" spans="1:15">
      <c r="B26" s="277"/>
      <c r="C26" s="277"/>
      <c r="D26" s="286"/>
      <c r="E26" s="286"/>
      <c r="F26" s="286"/>
      <c r="G26" s="286"/>
      <c r="H26" s="286"/>
      <c r="I26" s="286"/>
      <c r="J26" s="286"/>
    </row>
    <row r="27" spans="1:15" s="269" customFormat="1" ht="16.5" customHeight="1">
      <c r="A27" s="280" t="s">
        <v>487</v>
      </c>
      <c r="B27" s="280"/>
      <c r="C27" s="280"/>
      <c r="G27" s="287"/>
      <c r="H27" s="270"/>
      <c r="L27" s="174"/>
      <c r="N27" s="288"/>
      <c r="O27" s="288"/>
    </row>
    <row r="28" spans="1:15" s="244" customFormat="1" ht="33.75" customHeight="1">
      <c r="A28" s="767" t="s">
        <v>62</v>
      </c>
      <c r="B28" s="743" t="s">
        <v>464</v>
      </c>
      <c r="C28" s="743" t="str">
        <f>"Кредит ва лизинг бўйича эҳтимолий йўқотишларга қарши захиралар"&amp;" "&amp;DAY(G3)&amp;"."&amp;IF(LEN(MONTH(G3))&lt;2,"0"&amp;MONTH(G3),MONTH(G3))&amp;"."&amp;YEAR(G3)-1&amp;"г"</f>
        <v>Кредит ва лизинг бўйича эҳтимолий йўқотишларга қарши захиралар 31.12.2021г</v>
      </c>
      <c r="D28" s="747" t="s">
        <v>483</v>
      </c>
      <c r="E28" s="763"/>
      <c r="F28" s="763"/>
      <c r="G28" s="748"/>
      <c r="H28" s="743" t="s">
        <v>486</v>
      </c>
      <c r="I28" s="743" t="str">
        <f>"Кредит ва лизинг бўйича эҳтимолий йўқотишларга қарши захиралар"&amp;" "&amp;DAY(G3)&amp;"."&amp;IF(LEN(MONTH(G3))&lt;2,"0"&amp;MONTH(G3),MONTH(G3))&amp;"."&amp;YEAR(G3)&amp;"г"</f>
        <v>Кредит ва лизинг бўйича эҳтимолий йўқотишларга қарши захиралар 31.12.2022г</v>
      </c>
      <c r="L28" s="174"/>
    </row>
    <row r="29" spans="1:15" s="244" customFormat="1" ht="28.5" customHeight="1">
      <c r="A29" s="768"/>
      <c r="B29" s="744"/>
      <c r="C29" s="744"/>
      <c r="D29" s="747" t="s">
        <v>484</v>
      </c>
      <c r="E29" s="748"/>
      <c r="F29" s="747" t="s">
        <v>485</v>
      </c>
      <c r="G29" s="748"/>
      <c r="H29" s="744"/>
      <c r="I29" s="744"/>
      <c r="L29" s="174"/>
    </row>
    <row r="30" spans="1:15" s="244" customFormat="1" ht="37.5" customHeight="1">
      <c r="A30" s="769"/>
      <c r="B30" s="745"/>
      <c r="C30" s="745"/>
      <c r="D30" s="295" t="s">
        <v>235</v>
      </c>
      <c r="E30" s="295" t="s">
        <v>469</v>
      </c>
      <c r="F30" s="295" t="s">
        <v>235</v>
      </c>
      <c r="G30" s="295" t="s">
        <v>469</v>
      </c>
      <c r="H30" s="745"/>
      <c r="I30" s="745"/>
      <c r="L30" s="174"/>
    </row>
    <row r="31" spans="1:15" ht="19.5" customHeight="1">
      <c r="A31" s="295"/>
      <c r="B31" s="295" t="s">
        <v>79</v>
      </c>
      <c r="C31" s="295" t="s">
        <v>80</v>
      </c>
      <c r="D31" s="295" t="s">
        <v>90</v>
      </c>
      <c r="E31" s="295" t="s">
        <v>81</v>
      </c>
      <c r="F31" s="295" t="s">
        <v>82</v>
      </c>
      <c r="G31" s="295" t="s">
        <v>91</v>
      </c>
      <c r="H31" s="295" t="s">
        <v>83</v>
      </c>
      <c r="I31" s="295" t="s">
        <v>84</v>
      </c>
    </row>
    <row r="32" spans="1:15" ht="19.5" customHeight="1">
      <c r="A32" s="295">
        <v>1</v>
      </c>
      <c r="B32" s="295" t="s">
        <v>470</v>
      </c>
      <c r="C32" s="295">
        <f>SUM(C34:C41)</f>
        <v>54859184</v>
      </c>
      <c r="D32" s="295">
        <f t="shared" ref="D32:H32" si="7">SUM(D34:D41)</f>
        <v>101324375</v>
      </c>
      <c r="E32" s="295">
        <f t="shared" si="7"/>
        <v>55520320</v>
      </c>
      <c r="F32" s="295">
        <f t="shared" si="7"/>
        <v>17583889</v>
      </c>
      <c r="G32" s="295">
        <f t="shared" si="7"/>
        <v>0</v>
      </c>
      <c r="H32" s="295">
        <f t="shared" si="7"/>
        <v>61234920</v>
      </c>
      <c r="I32" s="295">
        <f>SUM(I34:I41)</f>
        <v>32353618</v>
      </c>
      <c r="L32" s="285">
        <f>+'Asset Classification'!Y31-'Asset Classification'!Y13</f>
        <v>32353618</v>
      </c>
    </row>
    <row r="33" spans="1:12" ht="19.5" customHeight="1">
      <c r="A33" s="453"/>
      <c r="B33" s="451" t="s">
        <v>335</v>
      </c>
      <c r="C33" s="283"/>
      <c r="D33" s="284"/>
      <c r="E33" s="284"/>
      <c r="F33" s="284"/>
      <c r="G33" s="284"/>
      <c r="H33" s="284"/>
      <c r="I33" s="284"/>
    </row>
    <row r="34" spans="1:12" ht="28.5" customHeight="1">
      <c r="A34" s="452" t="s">
        <v>111</v>
      </c>
      <c r="B34" s="283" t="s">
        <v>471</v>
      </c>
      <c r="C34" s="296">
        <v>13303632</v>
      </c>
      <c r="D34" s="296">
        <v>27398329</v>
      </c>
      <c r="E34" s="296">
        <v>20881619</v>
      </c>
      <c r="F34" s="296">
        <v>13720815</v>
      </c>
      <c r="G34" s="296">
        <v>0</v>
      </c>
      <c r="H34" s="296">
        <f>+I34-(C34-D34+F34)</f>
        <v>4328279</v>
      </c>
      <c r="I34" s="642">
        <v>3954397</v>
      </c>
    </row>
    <row r="35" spans="1:12" ht="28.5" customHeight="1">
      <c r="A35" s="452" t="s">
        <v>112</v>
      </c>
      <c r="B35" s="283" t="s">
        <v>472</v>
      </c>
      <c r="C35" s="296">
        <v>3258002</v>
      </c>
      <c r="D35" s="296">
        <v>794300</v>
      </c>
      <c r="E35" s="296">
        <v>0</v>
      </c>
      <c r="F35" s="296">
        <v>64666</v>
      </c>
      <c r="G35" s="296">
        <v>0</v>
      </c>
      <c r="H35" s="296">
        <f t="shared" ref="H35:H40" si="8">+I35-(C35-D35+F35)</f>
        <v>3851372</v>
      </c>
      <c r="I35" s="642">
        <v>6379740</v>
      </c>
    </row>
    <row r="36" spans="1:12" ht="28.5" customHeight="1">
      <c r="A36" s="452" t="s">
        <v>113</v>
      </c>
      <c r="B36" s="283" t="s">
        <v>473</v>
      </c>
      <c r="C36" s="296">
        <v>3744907</v>
      </c>
      <c r="D36" s="296">
        <v>119185</v>
      </c>
      <c r="E36" s="296">
        <v>0</v>
      </c>
      <c r="F36" s="296">
        <v>97850</v>
      </c>
      <c r="G36" s="296">
        <v>0</v>
      </c>
      <c r="H36" s="296">
        <f t="shared" si="8"/>
        <v>-3723572</v>
      </c>
      <c r="I36" s="642">
        <v>0</v>
      </c>
    </row>
    <row r="37" spans="1:12" ht="28.5" customHeight="1">
      <c r="A37" s="452" t="s">
        <v>117</v>
      </c>
      <c r="B37" s="283" t="s">
        <v>474</v>
      </c>
      <c r="C37" s="296">
        <v>2850677</v>
      </c>
      <c r="D37" s="296">
        <v>6076933</v>
      </c>
      <c r="E37" s="296">
        <v>0</v>
      </c>
      <c r="F37" s="296">
        <v>391045</v>
      </c>
      <c r="G37" s="296">
        <v>0</v>
      </c>
      <c r="H37" s="296">
        <f t="shared" si="8"/>
        <v>7333886</v>
      </c>
      <c r="I37" s="642">
        <v>4498675</v>
      </c>
    </row>
    <row r="38" spans="1:12" ht="28.5" customHeight="1">
      <c r="A38" s="452" t="s">
        <v>118</v>
      </c>
      <c r="B38" s="283" t="s">
        <v>475</v>
      </c>
      <c r="C38" s="296">
        <v>8199274</v>
      </c>
      <c r="D38" s="296">
        <v>53210428</v>
      </c>
      <c r="E38" s="296">
        <v>34630107</v>
      </c>
      <c r="F38" s="296">
        <v>617406</v>
      </c>
      <c r="G38" s="296">
        <v>0</v>
      </c>
      <c r="H38" s="296">
        <f t="shared" si="8"/>
        <v>50960255</v>
      </c>
      <c r="I38" s="642">
        <v>6566507</v>
      </c>
    </row>
    <row r="39" spans="1:12" ht="28.5" customHeight="1">
      <c r="A39" s="452" t="s">
        <v>147</v>
      </c>
      <c r="B39" s="283" t="s">
        <v>476</v>
      </c>
      <c r="C39" s="296">
        <v>11716827</v>
      </c>
      <c r="D39" s="296">
        <v>5331746</v>
      </c>
      <c r="E39" s="296">
        <v>0</v>
      </c>
      <c r="F39" s="296">
        <v>993341</v>
      </c>
      <c r="G39" s="296">
        <v>0</v>
      </c>
      <c r="H39" s="296">
        <f t="shared" si="8"/>
        <v>-5851387</v>
      </c>
      <c r="I39" s="642">
        <v>1527035</v>
      </c>
    </row>
    <row r="40" spans="1:12" ht="28.5" customHeight="1">
      <c r="A40" s="452" t="s">
        <v>220</v>
      </c>
      <c r="B40" s="283" t="s">
        <v>477</v>
      </c>
      <c r="C40" s="296">
        <v>7767505</v>
      </c>
      <c r="D40" s="296">
        <v>0</v>
      </c>
      <c r="E40" s="296">
        <v>0</v>
      </c>
      <c r="F40" s="296">
        <v>0</v>
      </c>
      <c r="G40" s="296">
        <v>0</v>
      </c>
      <c r="H40" s="296">
        <f t="shared" si="8"/>
        <v>-6544269</v>
      </c>
      <c r="I40" s="642">
        <v>1223236</v>
      </c>
    </row>
    <row r="41" spans="1:12" ht="28.5" customHeight="1">
      <c r="A41" s="452" t="s">
        <v>221</v>
      </c>
      <c r="B41" s="283" t="s">
        <v>478</v>
      </c>
      <c r="C41" s="296">
        <v>4018360</v>
      </c>
      <c r="D41" s="296">
        <v>8393454</v>
      </c>
      <c r="E41" s="296">
        <v>8594</v>
      </c>
      <c r="F41" s="296">
        <v>1698766</v>
      </c>
      <c r="G41" s="296">
        <v>0</v>
      </c>
      <c r="H41" s="296">
        <f>+I41-(C41-D41+F41)</f>
        <v>10880356</v>
      </c>
      <c r="I41" s="642">
        <v>8204028</v>
      </c>
    </row>
    <row r="42" spans="1:12" ht="19.5" customHeight="1">
      <c r="A42" s="295">
        <v>2</v>
      </c>
      <c r="B42" s="295" t="s">
        <v>401</v>
      </c>
      <c r="C42" s="295">
        <f>SUM(C44:C48)</f>
        <v>46135160</v>
      </c>
      <c r="D42" s="295">
        <f t="shared" ref="D42:H42" si="9">SUM(D44:D48)</f>
        <v>12861129</v>
      </c>
      <c r="E42" s="295">
        <f t="shared" si="9"/>
        <v>0</v>
      </c>
      <c r="F42" s="295">
        <f t="shared" si="9"/>
        <v>3429387</v>
      </c>
      <c r="G42" s="295">
        <f t="shared" si="9"/>
        <v>0</v>
      </c>
      <c r="H42" s="295">
        <f t="shared" si="9"/>
        <v>-12144214</v>
      </c>
      <c r="I42" s="295">
        <f>SUM(I44:I48)</f>
        <v>24559204</v>
      </c>
      <c r="L42" s="285">
        <f>+'Asset Classification'!Y13</f>
        <v>24559204</v>
      </c>
    </row>
    <row r="43" spans="1:12" ht="19.5" customHeight="1">
      <c r="A43" s="453"/>
      <c r="B43" s="451" t="s">
        <v>335</v>
      </c>
      <c r="C43" s="289"/>
      <c r="D43" s="104"/>
      <c r="E43" s="104"/>
      <c r="F43" s="104"/>
      <c r="G43" s="104"/>
      <c r="H43" s="104"/>
      <c r="I43" s="104"/>
    </row>
    <row r="44" spans="1:12" ht="28.5" customHeight="1">
      <c r="A44" s="452" t="s">
        <v>124</v>
      </c>
      <c r="B44" s="283" t="s">
        <v>479</v>
      </c>
      <c r="C44" s="296">
        <v>20189790</v>
      </c>
      <c r="D44" s="296">
        <v>7344744</v>
      </c>
      <c r="E44" s="296">
        <v>0</v>
      </c>
      <c r="F44" s="296">
        <v>1134973</v>
      </c>
      <c r="G44" s="296">
        <v>0</v>
      </c>
      <c r="H44" s="296">
        <f>+I44-(C44-D44+F44)</f>
        <v>-726281</v>
      </c>
      <c r="I44" s="296">
        <v>13253738</v>
      </c>
    </row>
    <row r="45" spans="1:12" ht="28.5" customHeight="1">
      <c r="A45" s="452" t="s">
        <v>125</v>
      </c>
      <c r="B45" s="283" t="s">
        <v>175</v>
      </c>
      <c r="C45" s="296">
        <v>7813202</v>
      </c>
      <c r="D45" s="296">
        <v>1298934</v>
      </c>
      <c r="E45" s="296">
        <v>0</v>
      </c>
      <c r="F45" s="296">
        <v>725041</v>
      </c>
      <c r="G45" s="296">
        <v>0</v>
      </c>
      <c r="H45" s="296">
        <f t="shared" ref="H45:H48" si="10">+I45-(C45-D45+F45)</f>
        <v>-5429562</v>
      </c>
      <c r="I45" s="296">
        <v>1809747</v>
      </c>
    </row>
    <row r="46" spans="1:12" ht="28.5" customHeight="1">
      <c r="A46" s="452" t="s">
        <v>127</v>
      </c>
      <c r="B46" s="283" t="s">
        <v>480</v>
      </c>
      <c r="C46" s="296">
        <v>7603550</v>
      </c>
      <c r="D46" s="296">
        <v>1723077</v>
      </c>
      <c r="E46" s="296">
        <v>0</v>
      </c>
      <c r="F46" s="296">
        <v>1246895</v>
      </c>
      <c r="G46" s="296">
        <v>0</v>
      </c>
      <c r="H46" s="296">
        <f t="shared" si="10"/>
        <v>1332014</v>
      </c>
      <c r="I46" s="296">
        <v>8459382</v>
      </c>
    </row>
    <row r="47" spans="1:12" ht="28.5" customHeight="1">
      <c r="A47" s="452" t="s">
        <v>129</v>
      </c>
      <c r="B47" s="283" t="s">
        <v>481</v>
      </c>
      <c r="C47" s="296">
        <v>5900189</v>
      </c>
      <c r="D47" s="296">
        <v>2470945</v>
      </c>
      <c r="E47" s="296">
        <v>0</v>
      </c>
      <c r="F47" s="296">
        <v>315788</v>
      </c>
      <c r="G47" s="296">
        <v>0</v>
      </c>
      <c r="H47" s="296">
        <f t="shared" si="10"/>
        <v>-2737740</v>
      </c>
      <c r="I47" s="296">
        <v>1007292</v>
      </c>
    </row>
    <row r="48" spans="1:12" ht="28.5" customHeight="1">
      <c r="A48" s="452" t="s">
        <v>176</v>
      </c>
      <c r="B48" s="283" t="s">
        <v>482</v>
      </c>
      <c r="C48" s="296">
        <v>4628429</v>
      </c>
      <c r="D48" s="296">
        <v>23429</v>
      </c>
      <c r="E48" s="296">
        <v>0</v>
      </c>
      <c r="F48" s="296">
        <v>6690</v>
      </c>
      <c r="G48" s="296">
        <v>0</v>
      </c>
      <c r="H48" s="296">
        <f t="shared" si="10"/>
        <v>-4582645</v>
      </c>
      <c r="I48" s="296">
        <v>29045</v>
      </c>
    </row>
    <row r="49" spans="1:30" ht="19.5" customHeight="1">
      <c r="A49" s="295">
        <v>3</v>
      </c>
      <c r="B49" s="295" t="s">
        <v>235</v>
      </c>
      <c r="C49" s="295">
        <f>+C42+C32</f>
        <v>100994344</v>
      </c>
      <c r="D49" s="295">
        <f t="shared" ref="D49:H49" si="11">+D42+D32</f>
        <v>114185504</v>
      </c>
      <c r="E49" s="295">
        <f t="shared" si="11"/>
        <v>55520320</v>
      </c>
      <c r="F49" s="295">
        <f t="shared" si="11"/>
        <v>21013276</v>
      </c>
      <c r="G49" s="295">
        <f t="shared" si="11"/>
        <v>0</v>
      </c>
      <c r="H49" s="295">
        <f t="shared" si="11"/>
        <v>49090706</v>
      </c>
      <c r="I49" s="295">
        <f>+I42+I32</f>
        <v>56912822</v>
      </c>
      <c r="L49" s="285">
        <f>+'Asset Classification'!Y31</f>
        <v>56912822</v>
      </c>
      <c r="M49" s="285">
        <f>+[8]Balance!$C$26</f>
        <v>56912822</v>
      </c>
    </row>
    <row r="51" spans="1:30" s="269" customFormat="1" ht="18.75" customHeight="1">
      <c r="A51" s="34"/>
      <c r="B51" s="239" t="s">
        <v>788</v>
      </c>
      <c r="C51" s="34"/>
      <c r="D51" s="34"/>
      <c r="E51" s="34"/>
      <c r="F51" s="349"/>
      <c r="G51" s="349"/>
      <c r="H51" s="349"/>
      <c r="I51" s="349"/>
      <c r="J51" s="349"/>
      <c r="K51" s="349"/>
      <c r="L51" s="349"/>
      <c r="M51" s="349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spans="1:30" s="269" customFormat="1" ht="11.25" customHeight="1">
      <c r="A52" s="34"/>
      <c r="B52" s="239"/>
      <c r="C52" s="34"/>
      <c r="D52" s="34"/>
      <c r="E52" s="34"/>
      <c r="F52" s="349"/>
      <c r="G52" s="349"/>
      <c r="H52" s="349"/>
      <c r="I52" s="349"/>
      <c r="J52" s="349"/>
      <c r="K52" s="349"/>
      <c r="L52" s="349"/>
      <c r="M52" s="349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spans="1:30" s="269" customFormat="1" ht="18.75" customHeight="1">
      <c r="A53" s="34"/>
      <c r="B53" s="239" t="s">
        <v>789</v>
      </c>
      <c r="C53" s="34"/>
      <c r="D53" s="34"/>
      <c r="E53" s="34"/>
      <c r="F53" s="349"/>
      <c r="G53" s="349"/>
      <c r="H53" s="349"/>
      <c r="I53" s="349"/>
      <c r="J53" s="349"/>
      <c r="K53" s="349"/>
      <c r="L53" s="349"/>
      <c r="M53" s="349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</sheetData>
  <sheetProtection password="CACA" sheet="1" objects="1" scenarios="1"/>
  <mergeCells count="18">
    <mergeCell ref="I28:I30"/>
    <mergeCell ref="D29:E29"/>
    <mergeCell ref="F29:G29"/>
    <mergeCell ref="A28:A30"/>
    <mergeCell ref="B28:B30"/>
    <mergeCell ref="C28:C30"/>
    <mergeCell ref="D28:G28"/>
    <mergeCell ref="H28:H30"/>
    <mergeCell ref="J4:J6"/>
    <mergeCell ref="D5:E5"/>
    <mergeCell ref="F5:G5"/>
    <mergeCell ref="H5:I5"/>
    <mergeCell ref="G3:H3"/>
    <mergeCell ref="A1:I1"/>
    <mergeCell ref="A4:A6"/>
    <mergeCell ref="B4:B6"/>
    <mergeCell ref="C4:C6"/>
    <mergeCell ref="D4:I4"/>
  </mergeCells>
  <phoneticPr fontId="15" type="noConversion"/>
  <conditionalFormatting sqref="J25">
    <cfRule type="cellIs" dxfId="209" priority="7" operator="notEqual">
      <formula>$L$25</formula>
    </cfRule>
  </conditionalFormatting>
  <conditionalFormatting sqref="J18">
    <cfRule type="cellIs" dxfId="208" priority="6" operator="notEqual">
      <formula>$L$18</formula>
    </cfRule>
  </conditionalFormatting>
  <conditionalFormatting sqref="J8">
    <cfRule type="cellIs" dxfId="207" priority="5" operator="notEqual">
      <formula>$L$8</formula>
    </cfRule>
  </conditionalFormatting>
  <conditionalFormatting sqref="I49">
    <cfRule type="cellIs" dxfId="206" priority="1" operator="notEqual">
      <formula>$M$49</formula>
    </cfRule>
    <cfRule type="cellIs" dxfId="205" priority="4" operator="notEqual">
      <formula>$L$49</formula>
    </cfRule>
  </conditionalFormatting>
  <conditionalFormatting sqref="I42">
    <cfRule type="cellIs" dxfId="204" priority="3" operator="notEqual">
      <formula>$L$42</formula>
    </cfRule>
  </conditionalFormatting>
  <conditionalFormatting sqref="I32">
    <cfRule type="cellIs" dxfId="203" priority="2" operator="notEqual">
      <formula>$L$32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 xr:uid="{00000000-0002-0000-0A00-000000000000}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4" orientation="portrait" r:id="rId1"/>
  <headerFooter alignWithMargins="0"/>
  <ignoredErrors>
    <ignoredError sqref="H42:H43 J18:J19 H18:I19 H49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3">
    <pageSetUpPr fitToPage="1"/>
  </sheetPr>
  <dimension ref="A1:AD63"/>
  <sheetViews>
    <sheetView view="pageBreakPreview" zoomScale="25" zoomScaleNormal="75" zoomScaleSheetLayoutView="25" workbookViewId="0">
      <pane xSplit="2" ySplit="7" topLeftCell="C8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X44" sqref="X44"/>
    </sheetView>
  </sheetViews>
  <sheetFormatPr defaultRowHeight="15.75"/>
  <cols>
    <col min="1" max="1" width="10.140625" style="78" customWidth="1"/>
    <col min="2" max="2" width="49.140625" style="78" customWidth="1"/>
    <col min="3" max="3" width="19.140625" style="78" customWidth="1"/>
    <col min="4" max="4" width="13.85546875" style="113" customWidth="1"/>
    <col min="5" max="5" width="19.140625" style="78" customWidth="1"/>
    <col min="6" max="6" width="13.85546875" style="78" customWidth="1"/>
    <col min="7" max="7" width="19.140625" style="78" customWidth="1"/>
    <col min="8" max="8" width="13.85546875" style="78" customWidth="1"/>
    <col min="9" max="9" width="9.140625" style="78"/>
    <col min="10" max="12" width="16.85546875" style="78" customWidth="1"/>
    <col min="13" max="16384" width="9.140625" style="78"/>
  </cols>
  <sheetData>
    <row r="1" spans="1:12" s="80" customFormat="1" ht="37.5" customHeight="1">
      <c r="A1" s="770" t="s">
        <v>489</v>
      </c>
      <c r="B1" s="770"/>
      <c r="C1" s="770"/>
      <c r="D1" s="770"/>
      <c r="E1" s="770"/>
      <c r="F1" s="770"/>
      <c r="G1" s="770"/>
      <c r="H1" s="193" t="s">
        <v>488</v>
      </c>
    </row>
    <row r="2" spans="1:12" ht="19.5" customHeight="1">
      <c r="B2" s="771"/>
      <c r="C2" s="771"/>
      <c r="D2" s="771"/>
      <c r="E2" s="771"/>
      <c r="F2" s="771"/>
      <c r="G2" s="771"/>
      <c r="H2" s="771"/>
    </row>
    <row r="3" spans="1:12" ht="19.5" customHeight="1">
      <c r="B3" s="97" t="str">
        <f>+'Asset quality'!B3</f>
        <v>"Алоқабанк"</v>
      </c>
      <c r="C3" s="454"/>
      <c r="D3" s="455"/>
      <c r="F3" s="779">
        <f>+'Asset quality'!Q3</f>
        <v>44926</v>
      </c>
      <c r="G3" s="779"/>
      <c r="H3" s="456" t="str">
        <f>+'Asset quality'!T3</f>
        <v>минг. сўмда</v>
      </c>
    </row>
    <row r="4" spans="1:12" s="79" customFormat="1" ht="29.25" customHeight="1">
      <c r="A4" s="767" t="s">
        <v>62</v>
      </c>
      <c r="B4" s="767" t="s">
        <v>490</v>
      </c>
      <c r="C4" s="772" t="s">
        <v>491</v>
      </c>
      <c r="D4" s="773"/>
      <c r="E4" s="776" t="s">
        <v>492</v>
      </c>
      <c r="F4" s="777"/>
      <c r="G4" s="777"/>
      <c r="H4" s="778"/>
    </row>
    <row r="5" spans="1:12" s="79" customFormat="1" ht="30" customHeight="1">
      <c r="A5" s="768"/>
      <c r="B5" s="768"/>
      <c r="C5" s="774"/>
      <c r="D5" s="775"/>
      <c r="E5" s="776" t="s">
        <v>286</v>
      </c>
      <c r="F5" s="778"/>
      <c r="G5" s="776" t="s">
        <v>493</v>
      </c>
      <c r="H5" s="778"/>
    </row>
    <row r="6" spans="1:12" s="79" customFormat="1" ht="72.75" customHeight="1">
      <c r="A6" s="768"/>
      <c r="B6" s="769"/>
      <c r="C6" s="457" t="s">
        <v>494</v>
      </c>
      <c r="D6" s="457" t="s">
        <v>495</v>
      </c>
      <c r="E6" s="457" t="s">
        <v>494</v>
      </c>
      <c r="F6" s="457" t="s">
        <v>495</v>
      </c>
      <c r="G6" s="457" t="s">
        <v>494</v>
      </c>
      <c r="H6" s="457" t="s">
        <v>495</v>
      </c>
    </row>
    <row r="7" spans="1:12" s="79" customFormat="1">
      <c r="A7" s="769"/>
      <c r="B7" s="457" t="s">
        <v>79</v>
      </c>
      <c r="C7" s="457" t="s">
        <v>80</v>
      </c>
      <c r="D7" s="457" t="s">
        <v>90</v>
      </c>
      <c r="E7" s="457" t="s">
        <v>81</v>
      </c>
      <c r="F7" s="457" t="s">
        <v>82</v>
      </c>
      <c r="G7" s="457" t="s">
        <v>91</v>
      </c>
      <c r="H7" s="457" t="s">
        <v>83</v>
      </c>
    </row>
    <row r="8" spans="1:12" s="79" customFormat="1" ht="24" customHeight="1">
      <c r="A8" s="458">
        <v>1</v>
      </c>
      <c r="B8" s="459" t="s">
        <v>496</v>
      </c>
      <c r="C8" s="168">
        <f>SUM(C10:C16)</f>
        <v>124072697</v>
      </c>
      <c r="D8" s="460">
        <f>IFERROR(((C10*D10)/C8)+((C11*D11)/C8)+((C12*D12)/C8)+((C13*D13)/C8)+((C14*D14)/C8)+((C15*D15)/C8)+((C16*D16)/C8),0)</f>
        <v>0.11597451961553884</v>
      </c>
      <c r="E8" s="168">
        <f>SUM(E10:E16)</f>
        <v>124072697</v>
      </c>
      <c r="F8" s="460">
        <f>IFERROR(((E10*F10)/E8)+((E11*F11)/E8)+((E12*F12)/E8)+((E13*F13)/E8)+((E14*F14)/E8)+((E15*F15)/E8)+((E16*F16)/E8),0)</f>
        <v>0.11597451961553884</v>
      </c>
      <c r="G8" s="168">
        <f>SUM(G10:G16)</f>
        <v>0</v>
      </c>
      <c r="H8" s="460">
        <f>IFERROR(((G10*H10)/G8)+((G11*H11)/G8)+((G12*H12)/G8)+((G13*H13)/G8)+((G14*H14)/G8)+((G15*H15)/G8)+((G16*H16)/G8),0)</f>
        <v>0</v>
      </c>
      <c r="J8" s="580">
        <f>+C8+C18+C28+C37</f>
        <v>9161876946</v>
      </c>
      <c r="K8" s="580">
        <f>+E8+E18+E28+E37</f>
        <v>5642036040</v>
      </c>
      <c r="L8" s="580">
        <f>+G8+G18+G28+G37</f>
        <v>3519840906</v>
      </c>
    </row>
    <row r="9" spans="1:12" s="79" customFormat="1" ht="17.25" customHeight="1">
      <c r="A9" s="458"/>
      <c r="B9" s="461" t="s">
        <v>497</v>
      </c>
      <c r="C9" s="166"/>
      <c r="D9" s="105"/>
      <c r="E9" s="166"/>
      <c r="F9" s="105"/>
      <c r="G9" s="166"/>
      <c r="H9" s="105"/>
      <c r="J9" s="580">
        <f>+'loans type'!C8</f>
        <v>9161876946</v>
      </c>
      <c r="K9" s="580">
        <f>+'loans type'!E8</f>
        <v>5642036040</v>
      </c>
      <c r="L9" s="580">
        <f>+'loans type'!G8</f>
        <v>3519840906</v>
      </c>
    </row>
    <row r="10" spans="1:12" s="79" customFormat="1" ht="24" customHeight="1">
      <c r="A10" s="452" t="s">
        <v>111</v>
      </c>
      <c r="B10" s="462" t="s">
        <v>479</v>
      </c>
      <c r="C10" s="166">
        <f>+E10+G10</f>
        <v>51824910</v>
      </c>
      <c r="D10" s="639">
        <f>IFERROR((((E10*F10)+(G10*H10))/C10),0)</f>
        <v>0.11592751791793683</v>
      </c>
      <c r="E10" s="167">
        <v>51824910</v>
      </c>
      <c r="F10" s="463">
        <v>0.11592751791793683</v>
      </c>
      <c r="G10" s="167"/>
      <c r="H10" s="463"/>
      <c r="J10" s="580">
        <f>+J8-J9</f>
        <v>0</v>
      </c>
      <c r="K10" s="580">
        <f t="shared" ref="K10:L10" si="0">+K8-K9</f>
        <v>0</v>
      </c>
      <c r="L10" s="580">
        <f t="shared" si="0"/>
        <v>0</v>
      </c>
    </row>
    <row r="11" spans="1:12" s="79" customFormat="1" ht="24" customHeight="1">
      <c r="A11" s="452" t="s">
        <v>112</v>
      </c>
      <c r="B11" s="462" t="s">
        <v>175</v>
      </c>
      <c r="C11" s="166">
        <f t="shared" ref="C11:C16" si="1">+E11+G11</f>
        <v>34491134</v>
      </c>
      <c r="D11" s="639">
        <f t="shared" ref="D11:D16" si="2">IFERROR((((E11*F11)+(G11*H11))/C11),0)</f>
        <v>9.3070887388558954E-2</v>
      </c>
      <c r="E11" s="167">
        <v>34491134</v>
      </c>
      <c r="F11" s="463">
        <v>9.3070887388558954E-2</v>
      </c>
      <c r="G11" s="167"/>
      <c r="H11" s="463"/>
    </row>
    <row r="12" spans="1:12" s="79" customFormat="1" ht="24" customHeight="1">
      <c r="A12" s="452" t="s">
        <v>113</v>
      </c>
      <c r="B12" s="462" t="s">
        <v>498</v>
      </c>
      <c r="C12" s="166">
        <f t="shared" si="1"/>
        <v>0</v>
      </c>
      <c r="D12" s="639">
        <f t="shared" si="2"/>
        <v>0</v>
      </c>
      <c r="E12" s="167"/>
      <c r="F12" s="463"/>
      <c r="G12" s="167"/>
      <c r="H12" s="463"/>
    </row>
    <row r="13" spans="1:12" s="79" customFormat="1" ht="24" customHeight="1">
      <c r="A13" s="452" t="s">
        <v>117</v>
      </c>
      <c r="B13" s="462" t="s">
        <v>481</v>
      </c>
      <c r="C13" s="166">
        <f t="shared" si="1"/>
        <v>629118</v>
      </c>
      <c r="D13" s="639">
        <f t="shared" si="2"/>
        <v>9.2495524172326676E-2</v>
      </c>
      <c r="E13" s="167">
        <v>629118</v>
      </c>
      <c r="F13" s="463">
        <v>9.2495524172326676E-2</v>
      </c>
      <c r="G13" s="167"/>
      <c r="H13" s="463"/>
    </row>
    <row r="14" spans="1:12" s="79" customFormat="1" ht="24" customHeight="1">
      <c r="A14" s="452" t="s">
        <v>118</v>
      </c>
      <c r="B14" s="462" t="s">
        <v>525</v>
      </c>
      <c r="C14" s="166">
        <f t="shared" si="1"/>
        <v>29992933</v>
      </c>
      <c r="D14" s="639">
        <f t="shared" si="2"/>
        <v>0.14000032419910491</v>
      </c>
      <c r="E14" s="167">
        <v>29992933</v>
      </c>
      <c r="F14" s="463">
        <v>0.14000032419910491</v>
      </c>
      <c r="G14" s="167"/>
      <c r="H14" s="463"/>
    </row>
    <row r="15" spans="1:12" s="79" customFormat="1" ht="33.75" customHeight="1">
      <c r="A15" s="452" t="s">
        <v>147</v>
      </c>
      <c r="B15" s="462" t="s">
        <v>526</v>
      </c>
      <c r="C15" s="166">
        <f t="shared" si="1"/>
        <v>0</v>
      </c>
      <c r="D15" s="639">
        <f t="shared" si="2"/>
        <v>0</v>
      </c>
      <c r="E15" s="167"/>
      <c r="F15" s="463"/>
      <c r="G15" s="167"/>
      <c r="H15" s="463"/>
    </row>
    <row r="16" spans="1:12" s="79" customFormat="1" ht="24" customHeight="1">
      <c r="A16" s="452" t="s">
        <v>220</v>
      </c>
      <c r="B16" s="462" t="s">
        <v>482</v>
      </c>
      <c r="C16" s="166">
        <f t="shared" si="1"/>
        <v>7134602</v>
      </c>
      <c r="D16" s="639">
        <f t="shared" si="2"/>
        <v>0.1281090182862151</v>
      </c>
      <c r="E16" s="167">
        <v>7134602</v>
      </c>
      <c r="F16" s="463">
        <v>0.1281090182862151</v>
      </c>
      <c r="G16" s="167"/>
      <c r="H16" s="463"/>
    </row>
    <row r="17" spans="1:8" s="79" customFormat="1">
      <c r="A17" s="464"/>
      <c r="B17" s="465"/>
      <c r="C17" s="166"/>
      <c r="D17" s="114"/>
      <c r="E17" s="166"/>
      <c r="F17" s="114"/>
      <c r="G17" s="166"/>
      <c r="H17" s="114"/>
    </row>
    <row r="18" spans="1:8" s="79" customFormat="1" ht="24" customHeight="1">
      <c r="A18" s="464">
        <v>2</v>
      </c>
      <c r="B18" s="459" t="s">
        <v>499</v>
      </c>
      <c r="C18" s="168">
        <f>SUM(C20:C26)</f>
        <v>2272409094</v>
      </c>
      <c r="D18" s="460">
        <f>IFERROR(((C20*D20)/C18)+((C21*D21)/C18)+((C22*D22)/C18)+((C23*D23)/C18)+((C24*D24)/C18)+((C25*D25)/C18)+((C26*D26)/C18),0)</f>
        <v>0.23475077365985697</v>
      </c>
      <c r="E18" s="168">
        <f>SUM(E20:E26)</f>
        <v>2272409094</v>
      </c>
      <c r="F18" s="460">
        <f>IFERROR(((E20*F20)/E18)+((E21*F21)/E18)+((E22*F22)/E18)+((E23*F23)/E18)+((E24*F24)/E18)+((E25*F25)/E18)+((E26*F26)/E18),0)</f>
        <v>0.23475077365985697</v>
      </c>
      <c r="G18" s="168">
        <f>SUM(G20:G26)</f>
        <v>0</v>
      </c>
      <c r="H18" s="460">
        <f>IFERROR(((G20*H20)/G18)+((G21*H21)/G18)+((G22*H22)/G18)+((G23*H23)/G18)+((G24*H24)/G18)+((G25*H25)/G18)+((G26*H26)/G18),0)</f>
        <v>0</v>
      </c>
    </row>
    <row r="19" spans="1:8" s="79" customFormat="1" ht="17.25" customHeight="1">
      <c r="A19" s="464"/>
      <c r="B19" s="461" t="s">
        <v>497</v>
      </c>
      <c r="C19" s="166"/>
      <c r="D19" s="105"/>
      <c r="E19" s="166"/>
      <c r="F19" s="105"/>
      <c r="G19" s="166"/>
      <c r="H19" s="105"/>
    </row>
    <row r="20" spans="1:8" s="79" customFormat="1" ht="24" customHeight="1">
      <c r="A20" s="452" t="s">
        <v>124</v>
      </c>
      <c r="B20" s="462" t="s">
        <v>479</v>
      </c>
      <c r="C20" s="166">
        <f t="shared" ref="C20:C26" si="3">+E20+G20</f>
        <v>489544874</v>
      </c>
      <c r="D20" s="639">
        <f>IFERROR((((E20*F20)+(G20*H20))/C20),0)</f>
        <v>0.1784271974144524</v>
      </c>
      <c r="E20" s="167">
        <v>489544874</v>
      </c>
      <c r="F20" s="463">
        <v>0.1784271974144524</v>
      </c>
      <c r="G20" s="167"/>
      <c r="H20" s="463"/>
    </row>
    <row r="21" spans="1:8" s="79" customFormat="1" ht="24" customHeight="1">
      <c r="A21" s="452" t="s">
        <v>125</v>
      </c>
      <c r="B21" s="462" t="s">
        <v>175</v>
      </c>
      <c r="C21" s="166">
        <f t="shared" si="3"/>
        <v>1337222435</v>
      </c>
      <c r="D21" s="639">
        <f t="shared" ref="D21:D26" si="4">IFERROR((((E21*F21)+(G21*H21))/C21),0)</f>
        <v>0.24337672446711556</v>
      </c>
      <c r="E21" s="167">
        <v>1337222435</v>
      </c>
      <c r="F21" s="463">
        <v>0.24337672446711556</v>
      </c>
      <c r="G21" s="167"/>
      <c r="H21" s="463"/>
    </row>
    <row r="22" spans="1:8" s="79" customFormat="1" ht="24" customHeight="1">
      <c r="A22" s="452" t="s">
        <v>127</v>
      </c>
      <c r="B22" s="462" t="s">
        <v>498</v>
      </c>
      <c r="C22" s="166">
        <f t="shared" si="3"/>
        <v>425135983</v>
      </c>
      <c r="D22" s="639">
        <f t="shared" si="4"/>
        <v>0.27225226781642614</v>
      </c>
      <c r="E22" s="167">
        <v>425135983</v>
      </c>
      <c r="F22" s="463">
        <v>0.27225226781642614</v>
      </c>
      <c r="G22" s="167"/>
      <c r="H22" s="463"/>
    </row>
    <row r="23" spans="1:8" s="79" customFormat="1" ht="24" customHeight="1">
      <c r="A23" s="452" t="s">
        <v>129</v>
      </c>
      <c r="B23" s="462" t="s">
        <v>481</v>
      </c>
      <c r="C23" s="166">
        <f t="shared" si="3"/>
        <v>20369050</v>
      </c>
      <c r="D23" s="639">
        <f t="shared" si="4"/>
        <v>0.23949330085838594</v>
      </c>
      <c r="E23" s="167">
        <v>20369050</v>
      </c>
      <c r="F23" s="463">
        <v>0.23949330085838597</v>
      </c>
      <c r="G23" s="167"/>
      <c r="H23" s="463"/>
    </row>
    <row r="24" spans="1:8" s="79" customFormat="1" ht="24" customHeight="1">
      <c r="A24" s="452" t="s">
        <v>176</v>
      </c>
      <c r="B24" s="462" t="s">
        <v>525</v>
      </c>
      <c r="C24" s="166">
        <f t="shared" si="3"/>
        <v>114733</v>
      </c>
      <c r="D24" s="639">
        <f t="shared" si="4"/>
        <v>0.23016007214971218</v>
      </c>
      <c r="E24" s="167">
        <v>114733</v>
      </c>
      <c r="F24" s="463">
        <v>0.23016007214971215</v>
      </c>
      <c r="G24" s="167"/>
      <c r="H24" s="463"/>
    </row>
    <row r="25" spans="1:8" s="79" customFormat="1" ht="33.75" customHeight="1">
      <c r="A25" s="452" t="s">
        <v>791</v>
      </c>
      <c r="B25" s="462" t="s">
        <v>526</v>
      </c>
      <c r="C25" s="166">
        <f t="shared" si="3"/>
        <v>0</v>
      </c>
      <c r="D25" s="639">
        <f t="shared" si="4"/>
        <v>0</v>
      </c>
      <c r="E25" s="167"/>
      <c r="F25" s="463"/>
      <c r="G25" s="167"/>
      <c r="H25" s="463"/>
    </row>
    <row r="26" spans="1:8" s="79" customFormat="1" ht="24" customHeight="1">
      <c r="A26" s="452" t="s">
        <v>792</v>
      </c>
      <c r="B26" s="462" t="s">
        <v>482</v>
      </c>
      <c r="C26" s="166">
        <f t="shared" si="3"/>
        <v>22019</v>
      </c>
      <c r="D26" s="639">
        <f t="shared" si="4"/>
        <v>0.18</v>
      </c>
      <c r="E26" s="167">
        <v>22019</v>
      </c>
      <c r="F26" s="463">
        <v>0.18</v>
      </c>
      <c r="G26" s="167"/>
      <c r="H26" s="463"/>
    </row>
    <row r="27" spans="1:8" s="79" customFormat="1">
      <c r="A27" s="464"/>
      <c r="B27" s="465"/>
      <c r="C27" s="166"/>
      <c r="D27" s="114"/>
      <c r="E27" s="166"/>
      <c r="F27" s="114"/>
      <c r="G27" s="166"/>
      <c r="H27" s="114"/>
    </row>
    <row r="28" spans="1:8" s="79" customFormat="1" ht="36.75" customHeight="1">
      <c r="A28" s="464">
        <v>3</v>
      </c>
      <c r="B28" s="459" t="s">
        <v>500</v>
      </c>
      <c r="C28" s="168">
        <f>SUM(C30:C35)</f>
        <v>825131726</v>
      </c>
      <c r="D28" s="460">
        <f>IFERROR(((C30*D30)/C28)+((C31*D31)/C28)+((C32*D32)/C28)+((C33*D33)/C28)+((C34*D34)/C28)+((C35*D35)/C28),0)</f>
        <v>0.11816355195533862</v>
      </c>
      <c r="E28" s="168">
        <f>SUM(E30:E35)</f>
        <v>825131726</v>
      </c>
      <c r="F28" s="460">
        <f>IFERROR(((E30*F30)/E28)+((E31*F31)/E28)+((E32*F32)/E28)+((E33*F33)/E28)+((E34*F34)/E28)+((E35*F35)/E28),0)</f>
        <v>0.11816355195533862</v>
      </c>
      <c r="G28" s="168">
        <f>SUM(G30:G35)</f>
        <v>0</v>
      </c>
      <c r="H28" s="460">
        <f>IFERROR(((G30*H30)/G28)+((G31*H31)/G28)+((G32*H32)/G28)+((G33*H33)/G28)+((G34*H34)/G28)+((G35*H35)/G28),0)</f>
        <v>0</v>
      </c>
    </row>
    <row r="29" spans="1:8" s="79" customFormat="1">
      <c r="A29" s="464"/>
      <c r="B29" s="461" t="s">
        <v>497</v>
      </c>
      <c r="C29" s="166"/>
      <c r="D29" s="114"/>
      <c r="E29" s="166"/>
      <c r="F29" s="114"/>
      <c r="G29" s="166"/>
      <c r="H29" s="114"/>
    </row>
    <row r="30" spans="1:8" s="79" customFormat="1" ht="24" customHeight="1">
      <c r="A30" s="452" t="s">
        <v>132</v>
      </c>
      <c r="B30" s="465" t="s">
        <v>177</v>
      </c>
      <c r="C30" s="166">
        <f t="shared" ref="C30:C35" si="5">+E30+G30</f>
        <v>767886</v>
      </c>
      <c r="D30" s="639">
        <f t="shared" ref="D30:D35" si="6">IFERROR((((E30*F30)+(G30*H30))/C30),0)</f>
        <v>0.12149215658811699</v>
      </c>
      <c r="E30" s="167">
        <v>767886</v>
      </c>
      <c r="F30" s="463">
        <v>0.12149215658811698</v>
      </c>
      <c r="G30" s="167"/>
      <c r="H30" s="463"/>
    </row>
    <row r="31" spans="1:8" s="79" customFormat="1" ht="24" customHeight="1">
      <c r="A31" s="452" t="s">
        <v>133</v>
      </c>
      <c r="B31" s="465" t="s">
        <v>501</v>
      </c>
      <c r="C31" s="166">
        <f t="shared" si="5"/>
        <v>0</v>
      </c>
      <c r="D31" s="639">
        <f t="shared" si="6"/>
        <v>0</v>
      </c>
      <c r="E31" s="167"/>
      <c r="F31" s="463"/>
      <c r="G31" s="167"/>
      <c r="H31" s="463"/>
    </row>
    <row r="32" spans="1:8" s="79" customFormat="1" ht="24" customHeight="1">
      <c r="A32" s="452" t="s">
        <v>134</v>
      </c>
      <c r="B32" s="465" t="s">
        <v>178</v>
      </c>
      <c r="C32" s="166">
        <f t="shared" si="5"/>
        <v>0</v>
      </c>
      <c r="D32" s="639">
        <f t="shared" si="6"/>
        <v>0</v>
      </c>
      <c r="E32" s="167"/>
      <c r="F32" s="463"/>
      <c r="G32" s="167"/>
      <c r="H32" s="463"/>
    </row>
    <row r="33" spans="1:30" s="79" customFormat="1" ht="32.25" customHeight="1">
      <c r="A33" s="452" t="s">
        <v>135</v>
      </c>
      <c r="B33" s="465" t="s">
        <v>179</v>
      </c>
      <c r="C33" s="166">
        <f t="shared" si="5"/>
        <v>0</v>
      </c>
      <c r="D33" s="639">
        <f t="shared" si="6"/>
        <v>0</v>
      </c>
      <c r="E33" s="167"/>
      <c r="F33" s="463"/>
      <c r="G33" s="167"/>
      <c r="H33" s="463"/>
    </row>
    <row r="34" spans="1:30" s="79" customFormat="1" ht="32.25" customHeight="1">
      <c r="A34" s="452" t="s">
        <v>137</v>
      </c>
      <c r="B34" s="465" t="s">
        <v>502</v>
      </c>
      <c r="C34" s="166">
        <f t="shared" si="5"/>
        <v>0</v>
      </c>
      <c r="D34" s="639">
        <f t="shared" si="6"/>
        <v>0</v>
      </c>
      <c r="E34" s="167"/>
      <c r="F34" s="463"/>
      <c r="G34" s="167"/>
      <c r="H34" s="463"/>
    </row>
    <row r="35" spans="1:30" s="79" customFormat="1" ht="32.25" customHeight="1">
      <c r="A35" s="452" t="s">
        <v>138</v>
      </c>
      <c r="B35" s="462" t="s">
        <v>503</v>
      </c>
      <c r="C35" s="166">
        <f t="shared" si="5"/>
        <v>824363840</v>
      </c>
      <c r="D35" s="639">
        <f t="shared" si="6"/>
        <v>0.11816045139612796</v>
      </c>
      <c r="E35" s="167">
        <v>824363840</v>
      </c>
      <c r="F35" s="463">
        <v>0.11816045139612796</v>
      </c>
      <c r="G35" s="167"/>
      <c r="H35" s="463"/>
    </row>
    <row r="36" spans="1:30" s="79" customFormat="1">
      <c r="A36" s="464"/>
      <c r="B36" s="465"/>
      <c r="C36" s="166"/>
      <c r="D36" s="639"/>
      <c r="E36" s="167"/>
      <c r="F36" s="463"/>
      <c r="G36" s="167"/>
      <c r="H36" s="463"/>
    </row>
    <row r="37" spans="1:30" s="79" customFormat="1" ht="36.75" customHeight="1">
      <c r="A37" s="464">
        <v>4</v>
      </c>
      <c r="B37" s="459" t="s">
        <v>504</v>
      </c>
      <c r="C37" s="168">
        <f>SUM(C39:C44)</f>
        <v>5940263429</v>
      </c>
      <c r="D37" s="460">
        <f>IFERROR(((C39*D39)/C37)+((C40*D40)/C37)+((C41*D41)/C37)+((C42*D42)/C37)+((C43*D43)/C37)+((C44*D44)/C37),0)</f>
        <v>0.1374246703896633</v>
      </c>
      <c r="E37" s="168">
        <f>SUM(E39:E44)</f>
        <v>2420422523</v>
      </c>
      <c r="F37" s="460">
        <f>IFERROR(((E39*F39)/E37)+((E40*F40)/E37)+((E41*F41)/E37)+((E42*F42)/E37)+((E43*F43)/E37)+((E44*F44)/E37),0)</f>
        <v>0.21731304088373404</v>
      </c>
      <c r="G37" s="168">
        <f>SUM(G39:G44)</f>
        <v>3519840906</v>
      </c>
      <c r="H37" s="460">
        <f>IFERROR(((G39*H39)/G37)+((G40*H40)/G37)+((G41*H41)/G37)+((G42*H42)/G37)+((G43*H43)/G37)+((G44*H44)/G37),0)</f>
        <v>8.2489343358260928E-2</v>
      </c>
    </row>
    <row r="38" spans="1:30" s="79" customFormat="1">
      <c r="A38" s="464"/>
      <c r="B38" s="461" t="s">
        <v>497</v>
      </c>
      <c r="C38" s="166"/>
      <c r="D38" s="114"/>
      <c r="E38" s="166"/>
      <c r="F38" s="114"/>
      <c r="G38" s="166"/>
      <c r="H38" s="114"/>
    </row>
    <row r="39" spans="1:30" s="79" customFormat="1" ht="24" customHeight="1">
      <c r="A39" s="452" t="s">
        <v>162</v>
      </c>
      <c r="B39" s="465" t="s">
        <v>177</v>
      </c>
      <c r="C39" s="166">
        <f t="shared" ref="C39:C44" si="7">+E39+G39</f>
        <v>10527768</v>
      </c>
      <c r="D39" s="639">
        <f t="shared" ref="D39:D44" si="8">IFERROR((((E39*F39)+(G39*H39))/C39),0)</f>
        <v>0.22635803568954316</v>
      </c>
      <c r="E39" s="167">
        <v>9595343</v>
      </c>
      <c r="F39" s="463">
        <v>0.23722890336769534</v>
      </c>
      <c r="G39" s="167">
        <v>932425</v>
      </c>
      <c r="H39" s="463">
        <v>0.11448876568982844</v>
      </c>
    </row>
    <row r="40" spans="1:30" s="79" customFormat="1" ht="24" customHeight="1">
      <c r="A40" s="452" t="s">
        <v>163</v>
      </c>
      <c r="B40" s="465" t="s">
        <v>501</v>
      </c>
      <c r="C40" s="166">
        <f t="shared" si="7"/>
        <v>0</v>
      </c>
      <c r="D40" s="639">
        <f t="shared" si="8"/>
        <v>0</v>
      </c>
      <c r="E40" s="167"/>
      <c r="F40" s="463"/>
      <c r="G40" s="167"/>
      <c r="H40" s="463"/>
    </row>
    <row r="41" spans="1:30" s="79" customFormat="1" ht="24" customHeight="1">
      <c r="A41" s="452" t="s">
        <v>184</v>
      </c>
      <c r="B41" s="465" t="s">
        <v>178</v>
      </c>
      <c r="C41" s="166">
        <f t="shared" si="7"/>
        <v>0</v>
      </c>
      <c r="D41" s="639">
        <f t="shared" si="8"/>
        <v>0</v>
      </c>
      <c r="E41" s="167"/>
      <c r="F41" s="463"/>
      <c r="G41" s="167"/>
      <c r="H41" s="463"/>
    </row>
    <row r="42" spans="1:30" s="79" customFormat="1" ht="32.25" customHeight="1">
      <c r="A42" s="452" t="s">
        <v>185</v>
      </c>
      <c r="B42" s="465" t="s">
        <v>179</v>
      </c>
      <c r="C42" s="166">
        <f t="shared" si="7"/>
        <v>0</v>
      </c>
      <c r="D42" s="639">
        <f t="shared" si="8"/>
        <v>0</v>
      </c>
      <c r="E42" s="167"/>
      <c r="F42" s="463"/>
      <c r="G42" s="167"/>
      <c r="H42" s="463"/>
    </row>
    <row r="43" spans="1:30" s="79" customFormat="1" ht="32.25" customHeight="1">
      <c r="A43" s="452" t="s">
        <v>186</v>
      </c>
      <c r="B43" s="465" t="s">
        <v>502</v>
      </c>
      <c r="C43" s="166">
        <f t="shared" si="7"/>
        <v>0</v>
      </c>
      <c r="D43" s="639">
        <f t="shared" si="8"/>
        <v>0</v>
      </c>
      <c r="E43" s="167"/>
      <c r="F43" s="463"/>
      <c r="G43" s="167"/>
      <c r="H43" s="463"/>
    </row>
    <row r="44" spans="1:30" s="79" customFormat="1" ht="32.25" customHeight="1">
      <c r="A44" s="452" t="s">
        <v>187</v>
      </c>
      <c r="B44" s="462" t="s">
        <v>503</v>
      </c>
      <c r="C44" s="166">
        <f t="shared" si="7"/>
        <v>5929735661</v>
      </c>
      <c r="D44" s="639">
        <f t="shared" si="8"/>
        <v>0.13726677636354434</v>
      </c>
      <c r="E44" s="167">
        <v>2410827180</v>
      </c>
      <c r="F44" s="463">
        <v>0.21723377367899213</v>
      </c>
      <c r="G44" s="167">
        <v>3518908481</v>
      </c>
      <c r="H44" s="463">
        <v>8.2480864291093192E-2</v>
      </c>
    </row>
    <row r="45" spans="1:30" s="16" customFormat="1" ht="22.5" customHeight="1">
      <c r="B45" s="466"/>
      <c r="C45" s="276"/>
    </row>
    <row r="46" spans="1:30" s="269" customFormat="1" ht="20.25" customHeight="1">
      <c r="A46" s="34"/>
      <c r="B46" s="198" t="s">
        <v>788</v>
      </c>
      <c r="C46" s="34"/>
      <c r="D46" s="34"/>
      <c r="E46" s="34"/>
      <c r="F46" s="349"/>
      <c r="G46" s="349"/>
      <c r="H46" s="349"/>
      <c r="I46" s="349"/>
      <c r="J46" s="349"/>
      <c r="K46" s="349"/>
      <c r="L46" s="349"/>
      <c r="M46" s="349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spans="1:30" s="269" customFormat="1" ht="11.25" customHeight="1">
      <c r="A47" s="34"/>
      <c r="B47" s="198"/>
      <c r="C47" s="34"/>
      <c r="D47" s="34"/>
      <c r="E47" s="34"/>
      <c r="F47" s="349"/>
      <c r="G47" s="349"/>
      <c r="H47" s="349"/>
      <c r="I47" s="349"/>
      <c r="J47" s="349"/>
      <c r="K47" s="349"/>
      <c r="L47" s="349"/>
      <c r="M47" s="349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spans="1:30" s="269" customFormat="1" ht="20.25" customHeight="1">
      <c r="A48" s="34"/>
      <c r="B48" s="198" t="s">
        <v>789</v>
      </c>
      <c r="C48" s="34"/>
      <c r="D48" s="34"/>
      <c r="E48" s="34"/>
      <c r="F48" s="349"/>
      <c r="G48" s="349"/>
      <c r="H48" s="349"/>
      <c r="I48" s="349"/>
      <c r="J48" s="349"/>
      <c r="K48" s="349"/>
      <c r="L48" s="349"/>
      <c r="M48" s="349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spans="1:10" s="6" customFormat="1">
      <c r="A49" s="25"/>
      <c r="B49" s="31"/>
      <c r="C49" s="174"/>
      <c r="J49" s="25"/>
    </row>
    <row r="50" spans="1:10" s="6" customFormat="1">
      <c r="A50" s="25"/>
      <c r="B50" s="572"/>
      <c r="C50" s="573"/>
      <c r="D50" s="573"/>
      <c r="E50" s="573"/>
      <c r="F50" s="573"/>
      <c r="G50" s="573"/>
      <c r="J50" s="25"/>
    </row>
    <row r="51" spans="1:10">
      <c r="A51" s="90"/>
      <c r="B51" s="574" t="s">
        <v>78</v>
      </c>
      <c r="C51" s="575">
        <f>+C8+C18+C28+C37</f>
        <v>9161876946</v>
      </c>
      <c r="D51" s="575"/>
      <c r="E51" s="575">
        <f>+E8+E18+E28+E37</f>
        <v>5642036040</v>
      </c>
      <c r="F51" s="575"/>
      <c r="G51" s="575">
        <f>+G8+G18+G28+G37</f>
        <v>3519840906</v>
      </c>
    </row>
    <row r="52" spans="1:10">
      <c r="A52" s="90"/>
      <c r="B52" s="576"/>
      <c r="C52" s="575">
        <f>+C54+C58</f>
        <v>9161876946</v>
      </c>
      <c r="D52" s="575"/>
      <c r="E52" s="575">
        <f>+E9+E19+E29+E38</f>
        <v>0</v>
      </c>
      <c r="F52" s="575"/>
      <c r="G52" s="575">
        <f>+G54+G58</f>
        <v>3519840906</v>
      </c>
    </row>
    <row r="53" spans="1:10">
      <c r="A53" s="90"/>
      <c r="B53" s="574"/>
      <c r="C53" s="575"/>
      <c r="D53" s="575"/>
      <c r="E53" s="575"/>
      <c r="F53" s="575"/>
      <c r="G53" s="575"/>
    </row>
    <row r="54" spans="1:10">
      <c r="B54" s="574" t="s">
        <v>190</v>
      </c>
      <c r="C54" s="575">
        <f>+'Asset Classification'!C13</f>
        <v>2396481791</v>
      </c>
      <c r="D54" s="575"/>
      <c r="E54" s="575"/>
      <c r="F54" s="575"/>
      <c r="G54" s="575">
        <f>+'Asset Classification'!D13</f>
        <v>0</v>
      </c>
      <c r="H54" s="467"/>
    </row>
    <row r="55" spans="1:10">
      <c r="B55" s="574"/>
      <c r="C55" s="575">
        <f>C8+C18</f>
        <v>2396481791</v>
      </c>
      <c r="D55" s="575"/>
      <c r="E55" s="575"/>
      <c r="F55" s="575"/>
      <c r="G55" s="575">
        <f>G8+G18</f>
        <v>0</v>
      </c>
      <c r="H55" s="467"/>
    </row>
    <row r="56" spans="1:10">
      <c r="B56" s="574"/>
      <c r="C56" s="575">
        <f>+C54-C55</f>
        <v>0</v>
      </c>
      <c r="D56" s="575"/>
      <c r="E56" s="575"/>
      <c r="F56" s="575"/>
      <c r="G56" s="575">
        <f>+G54-G55</f>
        <v>0</v>
      </c>
      <c r="H56" s="467"/>
    </row>
    <row r="57" spans="1:10">
      <c r="B57" s="574"/>
      <c r="C57" s="577"/>
      <c r="D57" s="577"/>
      <c r="E57" s="577"/>
      <c r="F57" s="577"/>
      <c r="G57" s="577"/>
      <c r="H57" s="467"/>
    </row>
    <row r="58" spans="1:10">
      <c r="B58" s="574" t="s">
        <v>191</v>
      </c>
      <c r="C58" s="575">
        <f>+'Asset Classification'!C31-'Asset Classification'!C13</f>
        <v>6765395155</v>
      </c>
      <c r="D58" s="575"/>
      <c r="E58" s="575"/>
      <c r="F58" s="575"/>
      <c r="G58" s="575">
        <f>+'Asset Classification'!D31-'Asset Classification'!D13</f>
        <v>3519840906</v>
      </c>
      <c r="H58" s="467"/>
    </row>
    <row r="59" spans="1:10">
      <c r="B59" s="574"/>
      <c r="C59" s="575">
        <f>C28+C37</f>
        <v>6765395155</v>
      </c>
      <c r="D59" s="575"/>
      <c r="E59" s="575"/>
      <c r="F59" s="575"/>
      <c r="G59" s="575">
        <f>G28+G37</f>
        <v>3519840906</v>
      </c>
      <c r="H59" s="467"/>
    </row>
    <row r="60" spans="1:10">
      <c r="B60" s="574"/>
      <c r="C60" s="575">
        <f>+C58-C59</f>
        <v>0</v>
      </c>
      <c r="D60" s="575"/>
      <c r="E60" s="575"/>
      <c r="F60" s="575"/>
      <c r="G60" s="575">
        <f>+G58-G59</f>
        <v>0</v>
      </c>
      <c r="H60" s="467"/>
    </row>
    <row r="61" spans="1:10">
      <c r="B61" s="574"/>
      <c r="C61" s="578"/>
      <c r="D61" s="578"/>
      <c r="E61" s="578"/>
      <c r="F61" s="578"/>
      <c r="G61" s="578"/>
      <c r="H61" s="467"/>
    </row>
    <row r="62" spans="1:10">
      <c r="B62" s="574"/>
      <c r="C62" s="578"/>
      <c r="D62" s="578"/>
      <c r="E62" s="578"/>
      <c r="F62" s="578"/>
      <c r="G62" s="578"/>
      <c r="H62" s="467"/>
    </row>
    <row r="63" spans="1:10">
      <c r="B63" s="574"/>
      <c r="C63" s="576"/>
      <c r="D63" s="579"/>
      <c r="E63" s="576"/>
      <c r="F63" s="576"/>
      <c r="G63" s="576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7">
    <cfRule type="cellIs" dxfId="202" priority="38" operator="notEqual">
      <formula>$C$58-$C$28</formula>
    </cfRule>
  </conditionalFormatting>
  <conditionalFormatting sqref="C18">
    <cfRule type="cellIs" dxfId="201" priority="39" operator="notEqual">
      <formula>$C$54-$C$8</formula>
    </cfRule>
  </conditionalFormatting>
  <printOptions horizontalCentered="1"/>
  <pageMargins left="0.23622047244094491" right="0.19685039370078741" top="0.62992125984251968" bottom="0.15748031496062992" header="0" footer="0"/>
  <pageSetup paperSize="9" scale="64" orientation="portrait" r:id="rId1"/>
  <ignoredErrors>
    <ignoredError sqref="F3" unlockedFormula="1"/>
    <ignoredError sqref="D9 E28:H29 E9:J9 E17:J17 I10:J10 D17 I11:J16 I20:J22 D27 E38:H38 D37:D38 E45:H46 D45:D57 E8 G8 I8:J8 D19 E19:J19 E18 G18 I18:J18 D29 E37:G3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6" customWidth="1"/>
    <col min="2" max="2" width="105.140625" style="36" customWidth="1"/>
    <col min="3" max="3" width="19.7109375" style="69" customWidth="1"/>
    <col min="4" max="4" width="10.28515625" style="123" bestFit="1" customWidth="1"/>
    <col min="5" max="5" width="19.42578125" style="124" bestFit="1" customWidth="1"/>
    <col min="6" max="6" width="9.28515625" style="123" bestFit="1" customWidth="1"/>
    <col min="7" max="7" width="9.140625" style="123"/>
    <col min="8" max="8" width="17.42578125" style="123" bestFit="1" customWidth="1"/>
    <col min="9" max="16384" width="9.140625" style="36"/>
  </cols>
  <sheetData>
    <row r="1" spans="1:8" ht="23.25" customHeight="1">
      <c r="A1" s="780" t="s">
        <v>181</v>
      </c>
      <c r="B1" s="781"/>
      <c r="C1" s="35" t="s">
        <v>174</v>
      </c>
    </row>
    <row r="2" spans="1:8">
      <c r="A2" s="71"/>
      <c r="B2" s="71"/>
      <c r="C2" s="71"/>
    </row>
    <row r="3" spans="1:8" ht="15.75">
      <c r="A3" s="37"/>
      <c r="B3" s="94" t="e">
        <f>#REF!</f>
        <v>#REF!</v>
      </c>
      <c r="C3" s="93" t="e">
        <f>+#REF!</f>
        <v>#REF!</v>
      </c>
    </row>
    <row r="4" spans="1:8" s="38" customFormat="1" ht="43.5" customHeight="1">
      <c r="A4" s="116" t="s">
        <v>62</v>
      </c>
      <c r="B4" s="116" t="s">
        <v>36</v>
      </c>
      <c r="C4" s="116" t="s">
        <v>10</v>
      </c>
      <c r="D4" s="125"/>
      <c r="E4" s="126"/>
      <c r="F4" s="125"/>
      <c r="G4" s="125"/>
      <c r="H4" s="125"/>
    </row>
    <row r="5" spans="1:8" ht="12.75" customHeight="1">
      <c r="A5" s="102" t="s">
        <v>40</v>
      </c>
      <c r="B5" s="40" t="s">
        <v>107</v>
      </c>
      <c r="C5" s="41"/>
    </row>
    <row r="6" spans="1:8" ht="12.75" customHeight="1">
      <c r="A6" s="39">
        <v>1</v>
      </c>
      <c r="B6" s="40" t="s">
        <v>108</v>
      </c>
      <c r="C6" s="42"/>
    </row>
    <row r="7" spans="1:8" s="49" customFormat="1" ht="18" customHeight="1">
      <c r="A7" s="46" t="s">
        <v>111</v>
      </c>
      <c r="B7" s="47" t="s">
        <v>109</v>
      </c>
      <c r="C7" s="77" t="s">
        <v>97</v>
      </c>
      <c r="D7" s="127"/>
      <c r="E7" s="85"/>
      <c r="F7" s="127"/>
      <c r="G7" s="127"/>
      <c r="H7" s="127"/>
    </row>
    <row r="8" spans="1:8" s="38" customFormat="1" ht="18" customHeight="1">
      <c r="A8" s="56" t="s">
        <v>41</v>
      </c>
      <c r="B8" s="111" t="s">
        <v>42</v>
      </c>
      <c r="C8" s="72"/>
      <c r="D8" s="125"/>
      <c r="E8" s="126"/>
      <c r="F8" s="125"/>
      <c r="G8" s="125"/>
      <c r="H8" s="125"/>
    </row>
    <row r="9" spans="1:8" s="38" customFormat="1" ht="18" customHeight="1">
      <c r="A9" s="56" t="s">
        <v>43</v>
      </c>
      <c r="B9" s="111" t="s">
        <v>44</v>
      </c>
      <c r="C9" s="73"/>
      <c r="D9" s="125"/>
      <c r="E9" s="126"/>
      <c r="F9" s="125"/>
      <c r="G9" s="125"/>
      <c r="H9" s="125"/>
    </row>
    <row r="10" spans="1:8" s="49" customFormat="1" ht="18" customHeight="1">
      <c r="A10" s="46" t="s">
        <v>112</v>
      </c>
      <c r="B10" s="47" t="s">
        <v>110</v>
      </c>
      <c r="C10" s="82">
        <v>0</v>
      </c>
      <c r="D10" s="127"/>
      <c r="E10" s="85"/>
      <c r="F10" s="127"/>
      <c r="G10" s="127"/>
      <c r="H10" s="127"/>
    </row>
    <row r="11" spans="1:8" s="38" customFormat="1" ht="18" customHeight="1">
      <c r="A11" s="56" t="s">
        <v>113</v>
      </c>
      <c r="B11" s="111" t="s">
        <v>114</v>
      </c>
      <c r="C11" s="77" t="s">
        <v>97</v>
      </c>
      <c r="D11" s="125"/>
      <c r="E11" s="126"/>
      <c r="F11" s="125"/>
      <c r="G11" s="125"/>
      <c r="H11" s="125"/>
    </row>
    <row r="12" spans="1:8" s="38" customFormat="1" ht="18" customHeight="1">
      <c r="A12" s="56" t="s">
        <v>47</v>
      </c>
      <c r="B12" s="111" t="s">
        <v>50</v>
      </c>
      <c r="C12" s="84"/>
      <c r="D12" s="125"/>
      <c r="E12" s="126"/>
      <c r="F12" s="125"/>
      <c r="G12" s="125"/>
      <c r="H12" s="125"/>
    </row>
    <row r="13" spans="1:8" s="38" customFormat="1" ht="18" customHeight="1">
      <c r="A13" s="51" t="s">
        <v>43</v>
      </c>
      <c r="B13" s="112" t="s">
        <v>51</v>
      </c>
      <c r="C13" s="84"/>
      <c r="D13" s="125"/>
      <c r="E13" s="126"/>
      <c r="F13" s="125"/>
      <c r="G13" s="125"/>
      <c r="H13" s="125"/>
    </row>
    <row r="14" spans="1:8" s="49" customFormat="1" ht="18" customHeight="1">
      <c r="A14" s="61" t="s">
        <v>45</v>
      </c>
      <c r="B14" s="109" t="s">
        <v>115</v>
      </c>
      <c r="C14" s="81"/>
      <c r="D14" s="127"/>
      <c r="E14" s="85"/>
      <c r="F14" s="127"/>
      <c r="G14" s="127"/>
      <c r="H14" s="127"/>
    </row>
    <row r="15" spans="1:8" s="49" customFormat="1" ht="18" customHeight="1">
      <c r="A15" s="61" t="s">
        <v>52</v>
      </c>
      <c r="B15" s="109" t="s">
        <v>116</v>
      </c>
      <c r="C15" s="81"/>
      <c r="D15" s="127"/>
      <c r="E15" s="85"/>
      <c r="F15" s="127"/>
      <c r="G15" s="127"/>
      <c r="H15" s="127"/>
    </row>
    <row r="16" spans="1:8" s="38" customFormat="1" ht="18" customHeight="1">
      <c r="A16" s="51" t="s">
        <v>117</v>
      </c>
      <c r="B16" s="112" t="s">
        <v>53</v>
      </c>
      <c r="C16" s="82"/>
      <c r="D16" s="125"/>
      <c r="E16" s="126"/>
      <c r="F16" s="125"/>
      <c r="G16" s="125"/>
      <c r="H16" s="125"/>
    </row>
    <row r="17" spans="1:8" s="38" customFormat="1" ht="18" customHeight="1">
      <c r="A17" s="51" t="s">
        <v>118</v>
      </c>
      <c r="B17" s="112" t="s">
        <v>11</v>
      </c>
      <c r="C17" s="82"/>
      <c r="D17" s="125"/>
      <c r="E17" s="126"/>
      <c r="F17" s="125"/>
      <c r="G17" s="125"/>
      <c r="H17" s="125"/>
    </row>
    <row r="18" spans="1:8" s="38" customFormat="1" ht="18" customHeight="1">
      <c r="A18" s="51"/>
      <c r="B18" s="112" t="s">
        <v>119</v>
      </c>
      <c r="C18" s="77" t="s">
        <v>97</v>
      </c>
      <c r="D18" s="125"/>
      <c r="E18" s="126"/>
      <c r="F18" s="125"/>
      <c r="G18" s="125"/>
      <c r="H18" s="125"/>
    </row>
    <row r="19" spans="1:8" s="38" customFormat="1" ht="18" customHeight="1">
      <c r="A19" s="51" t="s">
        <v>147</v>
      </c>
      <c r="B19" s="112" t="s">
        <v>120</v>
      </c>
      <c r="C19" s="77" t="s">
        <v>97</v>
      </c>
      <c r="D19" s="125"/>
      <c r="E19" s="126"/>
      <c r="F19" s="125"/>
      <c r="G19" s="125"/>
      <c r="H19" s="125"/>
    </row>
    <row r="20" spans="1:8" s="49" customFormat="1" ht="18" customHeight="1">
      <c r="A20" s="101" t="s">
        <v>47</v>
      </c>
      <c r="B20" s="186" t="s">
        <v>55</v>
      </c>
      <c r="C20" s="81"/>
      <c r="D20" s="127"/>
      <c r="E20" s="85"/>
      <c r="F20" s="127"/>
      <c r="G20" s="127"/>
      <c r="H20" s="127"/>
    </row>
    <row r="21" spans="1:8" s="48" customFormat="1" ht="25.5">
      <c r="A21" s="101" t="s">
        <v>43</v>
      </c>
      <c r="B21" s="109" t="s">
        <v>20</v>
      </c>
      <c r="C21" s="81"/>
      <c r="D21" s="127"/>
      <c r="E21" s="85"/>
      <c r="F21" s="127"/>
      <c r="G21" s="127"/>
      <c r="H21" s="127"/>
    </row>
    <row r="22" spans="1:8" s="49" customFormat="1" ht="18" customHeight="1">
      <c r="A22" s="101" t="s">
        <v>45</v>
      </c>
      <c r="B22" s="109" t="s">
        <v>12</v>
      </c>
      <c r="C22" s="81"/>
      <c r="D22" s="127"/>
      <c r="E22" s="85"/>
      <c r="F22" s="127"/>
      <c r="G22" s="127"/>
      <c r="H22" s="127"/>
    </row>
    <row r="23" spans="1:8" s="49" customFormat="1" ht="15" customHeight="1">
      <c r="A23" s="46" t="s">
        <v>121</v>
      </c>
      <c r="B23" s="47" t="s">
        <v>122</v>
      </c>
      <c r="C23" s="77" t="s">
        <v>97</v>
      </c>
      <c r="D23" s="127"/>
      <c r="E23" s="85"/>
      <c r="F23" s="127"/>
      <c r="G23" s="127"/>
      <c r="H23" s="127"/>
    </row>
    <row r="24" spans="1:8" ht="16.5" customHeight="1">
      <c r="A24" s="43">
        <v>2</v>
      </c>
      <c r="B24" s="50" t="s">
        <v>123</v>
      </c>
      <c r="C24" s="44"/>
    </row>
    <row r="25" spans="1:8" s="49" customFormat="1" ht="18" customHeight="1">
      <c r="A25" s="61" t="s">
        <v>124</v>
      </c>
      <c r="B25" s="109" t="s">
        <v>46</v>
      </c>
      <c r="C25" s="108">
        <f>+C26+C27</f>
        <v>0</v>
      </c>
      <c r="D25" s="127"/>
      <c r="E25" s="85"/>
      <c r="F25" s="127"/>
      <c r="G25" s="127"/>
      <c r="H25" s="127"/>
    </row>
    <row r="26" spans="1:8" s="49" customFormat="1" ht="18" customHeight="1">
      <c r="A26" s="61" t="s">
        <v>47</v>
      </c>
      <c r="B26" s="109" t="s">
        <v>48</v>
      </c>
      <c r="C26" s="81"/>
      <c r="D26" s="127"/>
      <c r="E26" s="85"/>
      <c r="F26" s="127"/>
      <c r="G26" s="127"/>
      <c r="H26" s="127"/>
    </row>
    <row r="27" spans="1:8" s="49" customFormat="1" ht="18" customHeight="1">
      <c r="A27" s="61" t="s">
        <v>43</v>
      </c>
      <c r="B27" s="109" t="s">
        <v>49</v>
      </c>
      <c r="C27" s="81"/>
      <c r="D27" s="127"/>
      <c r="E27" s="85"/>
      <c r="F27" s="127"/>
      <c r="G27" s="127"/>
      <c r="H27" s="127"/>
    </row>
    <row r="28" spans="1:8" s="49" customFormat="1" ht="18" customHeight="1">
      <c r="A28" s="61" t="s">
        <v>125</v>
      </c>
      <c r="B28" s="109" t="s">
        <v>126</v>
      </c>
      <c r="C28" s="81">
        <v>0</v>
      </c>
      <c r="D28" s="127"/>
      <c r="E28" s="85"/>
      <c r="F28" s="127"/>
      <c r="G28" s="127"/>
      <c r="H28" s="127"/>
    </row>
    <row r="29" spans="1:8">
      <c r="A29" s="51" t="s">
        <v>127</v>
      </c>
      <c r="B29" s="110" t="s">
        <v>128</v>
      </c>
      <c r="C29" s="74">
        <v>0</v>
      </c>
    </row>
    <row r="30" spans="1:8" s="49" customFormat="1" ht="29.25" customHeight="1">
      <c r="A30" s="61" t="s">
        <v>129</v>
      </c>
      <c r="B30" s="109" t="s">
        <v>19</v>
      </c>
      <c r="C30" s="81">
        <v>0</v>
      </c>
      <c r="D30" s="127"/>
      <c r="E30" s="85"/>
      <c r="F30" s="127"/>
      <c r="G30" s="127"/>
      <c r="H30" s="127"/>
    </row>
    <row r="31" spans="1:8" s="53" customFormat="1">
      <c r="A31" s="52" t="s">
        <v>54</v>
      </c>
      <c r="B31" s="87" t="s">
        <v>130</v>
      </c>
      <c r="C31" s="83">
        <f>+C25+C28+C29+C30</f>
        <v>0</v>
      </c>
      <c r="D31" s="128"/>
      <c r="E31" s="129"/>
      <c r="F31" s="130"/>
      <c r="G31" s="130"/>
      <c r="H31" s="130"/>
    </row>
    <row r="32" spans="1:8" s="53" customFormat="1" ht="16.5" customHeight="1">
      <c r="A32" s="52" t="s">
        <v>56</v>
      </c>
      <c r="B32" s="120" t="s">
        <v>131</v>
      </c>
      <c r="C32" s="77" t="s">
        <v>97</v>
      </c>
      <c r="D32" s="130"/>
      <c r="E32" s="129"/>
      <c r="F32" s="130"/>
      <c r="G32" s="130"/>
      <c r="H32" s="130"/>
    </row>
    <row r="33" spans="1:8" s="55" customFormat="1" ht="13.5" customHeight="1">
      <c r="A33" s="54"/>
      <c r="B33" s="54" t="s">
        <v>58</v>
      </c>
      <c r="C33" s="45"/>
      <c r="D33" s="131"/>
      <c r="E33" s="132"/>
      <c r="F33" s="131"/>
      <c r="G33" s="131"/>
      <c r="H33" s="133"/>
    </row>
    <row r="34" spans="1:8" s="49" customFormat="1" ht="18" customHeight="1">
      <c r="A34" s="61" t="s">
        <v>132</v>
      </c>
      <c r="B34" s="179" t="s">
        <v>193</v>
      </c>
      <c r="C34" s="81"/>
      <c r="D34" s="127"/>
      <c r="E34" s="85"/>
      <c r="F34" s="127"/>
      <c r="G34" s="127"/>
      <c r="H34" s="127"/>
    </row>
    <row r="35" spans="1:8" s="49" customFormat="1" ht="25.5">
      <c r="A35" s="61" t="s">
        <v>133</v>
      </c>
      <c r="B35" s="109" t="s">
        <v>21</v>
      </c>
      <c r="C35" s="176" t="e">
        <f>IF(#REF!&lt;(C43*1.25%),#REF!,(C43*1.25%))</f>
        <v>#REF!</v>
      </c>
      <c r="D35" s="127"/>
      <c r="E35" s="85"/>
      <c r="F35" s="127"/>
      <c r="G35" s="127"/>
      <c r="H35" s="127"/>
    </row>
    <row r="36" spans="1:8" s="49" customFormat="1" ht="18" customHeight="1">
      <c r="A36" s="61" t="s">
        <v>134</v>
      </c>
      <c r="B36" s="109" t="s">
        <v>13</v>
      </c>
      <c r="C36" s="81"/>
      <c r="D36" s="127"/>
      <c r="E36" s="85"/>
      <c r="F36" s="127"/>
      <c r="G36" s="127"/>
      <c r="H36" s="127"/>
    </row>
    <row r="37" spans="1:8" s="49" customFormat="1" ht="18" customHeight="1">
      <c r="A37" s="61" t="s">
        <v>135</v>
      </c>
      <c r="B37" s="109" t="s">
        <v>136</v>
      </c>
      <c r="C37" s="81"/>
      <c r="D37" s="127"/>
      <c r="E37" s="85"/>
      <c r="F37" s="127"/>
      <c r="G37" s="127"/>
      <c r="H37" s="127"/>
    </row>
    <row r="38" spans="1:8" s="49" customFormat="1" ht="18" customHeight="1">
      <c r="A38" s="61" t="s">
        <v>137</v>
      </c>
      <c r="B38" s="109" t="s">
        <v>14</v>
      </c>
      <c r="C38" s="81"/>
      <c r="D38" s="127"/>
      <c r="E38" s="85"/>
      <c r="F38" s="127"/>
      <c r="G38" s="127"/>
      <c r="H38" s="127"/>
    </row>
    <row r="39" spans="1:8" s="49" customFormat="1" ht="18" customHeight="1">
      <c r="A39" s="61" t="s">
        <v>138</v>
      </c>
      <c r="B39" s="109" t="s">
        <v>59</v>
      </c>
      <c r="C39" s="77" t="s">
        <v>97</v>
      </c>
      <c r="D39" s="127"/>
      <c r="E39" s="85"/>
      <c r="F39" s="127"/>
      <c r="G39" s="127"/>
      <c r="H39" s="127"/>
    </row>
    <row r="40" spans="1:8" ht="18.75" customHeight="1">
      <c r="A40" s="56"/>
      <c r="B40" s="57" t="s">
        <v>27</v>
      </c>
      <c r="C40" s="45" t="e">
        <f>SUM(C34:C38)</f>
        <v>#REF!</v>
      </c>
      <c r="D40" s="128"/>
    </row>
    <row r="41" spans="1:8" s="38" customFormat="1" ht="22.5" customHeight="1">
      <c r="A41" s="75" t="s">
        <v>57</v>
      </c>
      <c r="B41" s="58" t="s">
        <v>28</v>
      </c>
      <c r="C41" s="77" t="s">
        <v>97</v>
      </c>
      <c r="D41" s="134"/>
      <c r="E41" s="126"/>
      <c r="F41" s="125"/>
      <c r="G41" s="125"/>
      <c r="H41" s="125"/>
    </row>
    <row r="42" spans="1:8" s="38" customFormat="1" ht="15.75" customHeight="1">
      <c r="A42" s="54" t="s">
        <v>60</v>
      </c>
      <c r="B42" s="58" t="s">
        <v>139</v>
      </c>
      <c r="C42" s="77" t="s">
        <v>97</v>
      </c>
      <c r="D42" s="134"/>
      <c r="E42" s="126"/>
      <c r="F42" s="125"/>
      <c r="G42" s="125"/>
      <c r="H42" s="125"/>
    </row>
    <row r="43" spans="1:8" s="38" customFormat="1" ht="21.75" customHeight="1">
      <c r="A43" s="54" t="s">
        <v>17</v>
      </c>
      <c r="B43" s="47" t="s">
        <v>140</v>
      </c>
      <c r="C43" s="59" t="e">
        <f>+C44+C45+C46</f>
        <v>#REF!</v>
      </c>
      <c r="D43" s="125"/>
      <c r="E43" s="126"/>
      <c r="F43" s="125"/>
      <c r="G43" s="125"/>
      <c r="H43" s="125"/>
    </row>
    <row r="44" spans="1:8" s="49" customFormat="1" ht="18" customHeight="1">
      <c r="A44" s="61" t="s">
        <v>47</v>
      </c>
      <c r="B44" s="109" t="s">
        <v>22</v>
      </c>
      <c r="C44" s="108" t="e">
        <f>+#REF!</f>
        <v>#REF!</v>
      </c>
      <c r="D44" s="127"/>
      <c r="E44" s="85"/>
      <c r="F44" s="127"/>
      <c r="G44" s="127"/>
      <c r="H44" s="127"/>
    </row>
    <row r="45" spans="1:8" s="49" customFormat="1" ht="18" customHeight="1">
      <c r="A45" s="61" t="s">
        <v>43</v>
      </c>
      <c r="B45" s="109" t="s">
        <v>15</v>
      </c>
      <c r="C45" s="108" t="e">
        <f>+#REF!</f>
        <v>#REF!</v>
      </c>
      <c r="D45" s="127"/>
      <c r="E45" s="85"/>
      <c r="F45" s="127"/>
      <c r="G45" s="127"/>
      <c r="H45" s="127"/>
    </row>
    <row r="46" spans="1:8" s="49" customFormat="1" ht="18" customHeight="1">
      <c r="A46" s="61" t="s">
        <v>45</v>
      </c>
      <c r="B46" s="109" t="s">
        <v>16</v>
      </c>
      <c r="C46" s="108" t="e">
        <f>+#REF!</f>
        <v>#REF!</v>
      </c>
      <c r="D46" s="127"/>
      <c r="E46" s="85" t="e">
        <f>+#REF!</f>
        <v>#REF!</v>
      </c>
      <c r="F46" s="127"/>
      <c r="G46" s="127"/>
      <c r="H46" s="127"/>
    </row>
    <row r="47" spans="1:8" s="55" customFormat="1" ht="21.75" customHeight="1">
      <c r="A47" s="75" t="s">
        <v>18</v>
      </c>
      <c r="B47" s="76" t="s">
        <v>141</v>
      </c>
      <c r="C47" s="77" t="s">
        <v>97</v>
      </c>
      <c r="D47" s="131"/>
      <c r="E47" s="132"/>
      <c r="F47" s="131"/>
      <c r="G47" s="131"/>
      <c r="H47" s="131"/>
    </row>
    <row r="48" spans="1:8" s="55" customFormat="1" ht="21.75" customHeight="1">
      <c r="A48" s="75" t="s">
        <v>61</v>
      </c>
      <c r="B48" s="76" t="s">
        <v>142</v>
      </c>
      <c r="C48" s="77" t="s">
        <v>97</v>
      </c>
      <c r="D48" s="131"/>
      <c r="E48" s="132"/>
      <c r="F48" s="131"/>
      <c r="G48" s="131"/>
      <c r="H48" s="131"/>
    </row>
    <row r="49" spans="1:8" s="55" customFormat="1" ht="21.75" customHeight="1">
      <c r="A49" s="75" t="s">
        <v>29</v>
      </c>
      <c r="B49" s="76" t="s">
        <v>143</v>
      </c>
      <c r="C49" s="77" t="s">
        <v>97</v>
      </c>
      <c r="D49" s="131"/>
      <c r="E49" s="132"/>
      <c r="F49" s="131"/>
      <c r="G49" s="131"/>
      <c r="H49" s="131"/>
    </row>
    <row r="50" spans="1:8" s="60" customFormat="1" ht="21.75" customHeight="1">
      <c r="A50" s="54" t="s">
        <v>30</v>
      </c>
      <c r="B50" s="47" t="s">
        <v>24</v>
      </c>
      <c r="C50" s="77" t="s">
        <v>97</v>
      </c>
      <c r="D50" s="135"/>
      <c r="E50" s="136"/>
      <c r="F50" s="137"/>
      <c r="G50" s="135"/>
      <c r="H50" s="135"/>
    </row>
    <row r="51" spans="1:8" s="64" customFormat="1" ht="21.75" customHeight="1">
      <c r="A51" s="61" t="s">
        <v>47</v>
      </c>
      <c r="B51" s="62" t="s">
        <v>33</v>
      </c>
      <c r="C51" s="63" t="e">
        <f>+#REF!</f>
        <v>#REF!</v>
      </c>
      <c r="D51" s="138"/>
      <c r="E51" s="139"/>
      <c r="F51" s="140"/>
      <c r="G51" s="138"/>
      <c r="H51" s="138"/>
    </row>
    <row r="52" spans="1:8" s="64" customFormat="1" ht="21.75" customHeight="1">
      <c r="A52" s="61" t="s">
        <v>43</v>
      </c>
      <c r="B52" s="62" t="s">
        <v>144</v>
      </c>
      <c r="C52" s="147" t="e">
        <f>SUM(#REF!)</f>
        <v>#REF!</v>
      </c>
      <c r="D52" s="140" t="e">
        <f>+#REF!</f>
        <v>#REF!</v>
      </c>
      <c r="E52" s="139"/>
      <c r="F52" s="140"/>
      <c r="G52" s="138"/>
      <c r="H52" s="138"/>
    </row>
    <row r="53" spans="1:8" s="67" customFormat="1" ht="21.75" customHeight="1">
      <c r="A53" s="65" t="s">
        <v>45</v>
      </c>
      <c r="B53" s="66" t="s">
        <v>145</v>
      </c>
      <c r="C53" s="149" t="e">
        <f>SUM(#REF!)</f>
        <v>#REF!</v>
      </c>
      <c r="D53" s="146"/>
      <c r="E53" s="148"/>
      <c r="F53" s="141"/>
      <c r="G53" s="141"/>
      <c r="H53" s="141"/>
    </row>
    <row r="54" spans="1:8" s="67" customFormat="1" ht="21.75" customHeight="1">
      <c r="A54" s="65" t="s">
        <v>52</v>
      </c>
      <c r="B54" s="66" t="s">
        <v>146</v>
      </c>
      <c r="C54" s="89" t="str">
        <f>+C19</f>
        <v>Формула</v>
      </c>
      <c r="D54" s="141"/>
      <c r="E54" s="142"/>
      <c r="F54" s="141"/>
      <c r="G54" s="141"/>
      <c r="H54" s="141"/>
    </row>
    <row r="55" spans="1:8" s="55" customFormat="1" ht="21.75" customHeight="1">
      <c r="A55" s="75" t="s">
        <v>31</v>
      </c>
      <c r="B55" s="76" t="s">
        <v>34</v>
      </c>
      <c r="C55" s="77" t="s">
        <v>97</v>
      </c>
      <c r="D55" s="131"/>
      <c r="E55" s="132"/>
      <c r="F55" s="131"/>
      <c r="G55" s="131"/>
      <c r="H55" s="131"/>
    </row>
    <row r="56" spans="1:8">
      <c r="B56" s="68"/>
    </row>
    <row r="57" spans="1:8" s="1" customFormat="1">
      <c r="A57" s="14"/>
      <c r="B57" s="2" t="s">
        <v>0</v>
      </c>
      <c r="D57" s="32"/>
      <c r="E57" s="32"/>
      <c r="F57" s="32"/>
      <c r="G57" s="32"/>
      <c r="H57" s="32"/>
    </row>
    <row r="58" spans="1:8" s="1" customFormat="1">
      <c r="A58" s="14"/>
      <c r="B58" s="2"/>
      <c r="D58" s="32"/>
      <c r="E58" s="32"/>
      <c r="F58" s="32"/>
      <c r="G58" s="32"/>
      <c r="H58" s="32"/>
    </row>
    <row r="59" spans="1:8" s="1" customFormat="1">
      <c r="A59" s="14"/>
      <c r="B59" s="2" t="s">
        <v>1</v>
      </c>
      <c r="D59" s="32"/>
      <c r="E59" s="32"/>
      <c r="F59" s="32"/>
      <c r="G59" s="32"/>
      <c r="H59" s="32"/>
    </row>
    <row r="60" spans="1:8">
      <c r="B60" s="70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30">
    <pageSetUpPr fitToPage="1"/>
  </sheetPr>
  <dimension ref="A1:AI51"/>
  <sheetViews>
    <sheetView view="pageBreakPreview" zoomScale="25" zoomScaleNormal="50" zoomScaleSheetLayoutView="25" workbookViewId="0">
      <pane xSplit="2" ySplit="7" topLeftCell="C11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T17" sqref="T17"/>
    </sheetView>
  </sheetViews>
  <sheetFormatPr defaultRowHeight="18.75"/>
  <cols>
    <col min="1" max="1" width="9.5703125" style="180" customWidth="1"/>
    <col min="2" max="2" width="61.7109375" style="180" customWidth="1"/>
    <col min="3" max="3" width="19.140625" style="180" customWidth="1"/>
    <col min="4" max="4" width="19.140625" style="181" customWidth="1"/>
    <col min="5" max="8" width="19.140625" style="180" customWidth="1"/>
    <col min="9" max="25" width="18.85546875" style="180" customWidth="1"/>
    <col min="26" max="26" width="21.7109375" style="180" customWidth="1"/>
    <col min="27" max="29" width="27.42578125" style="180" customWidth="1"/>
    <col min="30" max="34" width="22.140625" style="180" customWidth="1"/>
    <col min="35" max="16384" width="9.140625" style="180"/>
  </cols>
  <sheetData>
    <row r="1" spans="1:35">
      <c r="Z1" s="193" t="s">
        <v>506</v>
      </c>
    </row>
    <row r="2" spans="1:35" s="182" customFormat="1" ht="50.25" customHeight="1">
      <c r="A2" s="783" t="s">
        <v>505</v>
      </c>
      <c r="B2" s="783"/>
      <c r="C2" s="783"/>
      <c r="D2" s="783"/>
      <c r="E2" s="783"/>
      <c r="F2" s="783"/>
      <c r="G2" s="783"/>
      <c r="H2" s="783"/>
      <c r="I2" s="783"/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3"/>
      <c r="V2" s="783"/>
      <c r="W2" s="783"/>
      <c r="X2" s="783"/>
      <c r="Y2" s="783"/>
      <c r="Z2" s="783"/>
    </row>
    <row r="3" spans="1:35" ht="19.5" customHeight="1">
      <c r="B3" s="468" t="str">
        <f>+'Asset quality'!B3</f>
        <v>"Алоқабанк"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V3" s="796">
        <f>+'Asset quality'!Q3</f>
        <v>44926</v>
      </c>
      <c r="W3" s="796"/>
      <c r="Z3" s="91" t="str">
        <f>+'Asset quality'!T3</f>
        <v>минг. сўмда</v>
      </c>
    </row>
    <row r="4" spans="1:35" s="183" customFormat="1" ht="29.25" customHeight="1">
      <c r="A4" s="784" t="s">
        <v>62</v>
      </c>
      <c r="B4" s="784" t="s">
        <v>490</v>
      </c>
      <c r="C4" s="787" t="s">
        <v>235</v>
      </c>
      <c r="D4" s="788"/>
      <c r="E4" s="788"/>
      <c r="F4" s="788"/>
      <c r="G4" s="788"/>
      <c r="H4" s="789"/>
      <c r="I4" s="793" t="s">
        <v>507</v>
      </c>
      <c r="J4" s="794"/>
      <c r="K4" s="794"/>
      <c r="L4" s="794"/>
      <c r="M4" s="795"/>
      <c r="N4" s="787" t="s">
        <v>508</v>
      </c>
      <c r="O4" s="788"/>
      <c r="P4" s="788"/>
      <c r="Q4" s="788"/>
      <c r="R4" s="789"/>
      <c r="S4" s="782" t="s">
        <v>234</v>
      </c>
      <c r="T4" s="782"/>
      <c r="U4" s="782"/>
      <c r="V4" s="782"/>
      <c r="W4" s="782"/>
      <c r="X4" s="782"/>
      <c r="Y4" s="784" t="s">
        <v>509</v>
      </c>
      <c r="Z4" s="784" t="s">
        <v>510</v>
      </c>
    </row>
    <row r="5" spans="1:35" s="183" customFormat="1" ht="29.25" customHeight="1">
      <c r="A5" s="785"/>
      <c r="B5" s="785"/>
      <c r="C5" s="790"/>
      <c r="D5" s="791"/>
      <c r="E5" s="791"/>
      <c r="F5" s="791"/>
      <c r="G5" s="791"/>
      <c r="H5" s="792"/>
      <c r="I5" s="782" t="s">
        <v>511</v>
      </c>
      <c r="J5" s="782" t="s">
        <v>512</v>
      </c>
      <c r="K5" s="782" t="s">
        <v>513</v>
      </c>
      <c r="L5" s="782" t="s">
        <v>514</v>
      </c>
      <c r="M5" s="782" t="s">
        <v>515</v>
      </c>
      <c r="N5" s="790"/>
      <c r="O5" s="791"/>
      <c r="P5" s="791"/>
      <c r="Q5" s="791"/>
      <c r="R5" s="792"/>
      <c r="S5" s="782" t="s">
        <v>235</v>
      </c>
      <c r="T5" s="793" t="s">
        <v>516</v>
      </c>
      <c r="U5" s="794"/>
      <c r="V5" s="794"/>
      <c r="W5" s="794"/>
      <c r="X5" s="795"/>
      <c r="Y5" s="785"/>
      <c r="Z5" s="785"/>
    </row>
    <row r="6" spans="1:35" s="183" customFormat="1" ht="90" customHeight="1">
      <c r="A6" s="785"/>
      <c r="B6" s="786"/>
      <c r="C6" s="319" t="s">
        <v>494</v>
      </c>
      <c r="D6" s="319" t="s">
        <v>495</v>
      </c>
      <c r="E6" s="319" t="s">
        <v>286</v>
      </c>
      <c r="F6" s="319" t="s">
        <v>495</v>
      </c>
      <c r="G6" s="319" t="s">
        <v>287</v>
      </c>
      <c r="H6" s="319" t="s">
        <v>495</v>
      </c>
      <c r="I6" s="782"/>
      <c r="J6" s="782"/>
      <c r="K6" s="782"/>
      <c r="L6" s="782"/>
      <c r="M6" s="782"/>
      <c r="N6" s="469" t="s">
        <v>121</v>
      </c>
      <c r="O6" s="469" t="s">
        <v>54</v>
      </c>
      <c r="P6" s="469" t="s">
        <v>56</v>
      </c>
      <c r="Q6" s="469" t="s">
        <v>57</v>
      </c>
      <c r="R6" s="469" t="s">
        <v>60</v>
      </c>
      <c r="S6" s="782"/>
      <c r="T6" s="469" t="s">
        <v>121</v>
      </c>
      <c r="U6" s="469" t="s">
        <v>54</v>
      </c>
      <c r="V6" s="469" t="s">
        <v>56</v>
      </c>
      <c r="W6" s="469" t="s">
        <v>57</v>
      </c>
      <c r="X6" s="469" t="s">
        <v>60</v>
      </c>
      <c r="Y6" s="786"/>
      <c r="Z6" s="786"/>
      <c r="AA6" s="470"/>
      <c r="AB6" s="470"/>
      <c r="AC6" s="470"/>
      <c r="AD6" s="469" t="s">
        <v>121</v>
      </c>
      <c r="AE6" s="469" t="s">
        <v>54</v>
      </c>
      <c r="AF6" s="469" t="s">
        <v>56</v>
      </c>
      <c r="AG6" s="469" t="s">
        <v>57</v>
      </c>
      <c r="AH6" s="469" t="s">
        <v>60</v>
      </c>
    </row>
    <row r="7" spans="1:35" s="183" customFormat="1">
      <c r="A7" s="786"/>
      <c r="B7" s="319" t="s">
        <v>79</v>
      </c>
      <c r="C7" s="319" t="s">
        <v>80</v>
      </c>
      <c r="D7" s="319" t="s">
        <v>90</v>
      </c>
      <c r="E7" s="319" t="s">
        <v>81</v>
      </c>
      <c r="F7" s="319" t="s">
        <v>82</v>
      </c>
      <c r="G7" s="319" t="s">
        <v>91</v>
      </c>
      <c r="H7" s="319" t="s">
        <v>83</v>
      </c>
      <c r="I7" s="319" t="s">
        <v>84</v>
      </c>
      <c r="J7" s="319" t="s">
        <v>85</v>
      </c>
      <c r="K7" s="319" t="s">
        <v>86</v>
      </c>
      <c r="L7" s="319" t="s">
        <v>87</v>
      </c>
      <c r="M7" s="319" t="s">
        <v>88</v>
      </c>
      <c r="N7" s="319" t="s">
        <v>89</v>
      </c>
      <c r="O7" s="319" t="s">
        <v>155</v>
      </c>
      <c r="P7" s="319" t="s">
        <v>156</v>
      </c>
      <c r="Q7" s="319" t="s">
        <v>157</v>
      </c>
      <c r="R7" s="319" t="s">
        <v>158</v>
      </c>
      <c r="S7" s="319" t="s">
        <v>180</v>
      </c>
      <c r="T7" s="319" t="s">
        <v>189</v>
      </c>
      <c r="U7" s="319" t="s">
        <v>194</v>
      </c>
      <c r="V7" s="319" t="s">
        <v>195</v>
      </c>
      <c r="W7" s="319" t="s">
        <v>196</v>
      </c>
      <c r="X7" s="319" t="s">
        <v>197</v>
      </c>
      <c r="Y7" s="319" t="s">
        <v>198</v>
      </c>
      <c r="Z7" s="319" t="s">
        <v>517</v>
      </c>
      <c r="AA7" s="470"/>
      <c r="AB7" s="470"/>
      <c r="AC7" s="470"/>
    </row>
    <row r="8" spans="1:35" s="183" customFormat="1" ht="49.5" customHeight="1">
      <c r="A8" s="471"/>
      <c r="B8" s="472" t="s">
        <v>518</v>
      </c>
      <c r="C8" s="184">
        <f>+C9+C27</f>
        <v>9161876946</v>
      </c>
      <c r="D8" s="473">
        <f>IFERROR(((C9*D9)/C8)+((C27*D27)/C8),0)</f>
        <v>0.16876697976462368</v>
      </c>
      <c r="E8" s="184">
        <f t="shared" ref="E8:G8" si="0">+E9+E27</f>
        <v>5642036040</v>
      </c>
      <c r="F8" s="473">
        <f>IFERROR(((E9*F9)/E8)+((E27*F27)/E8),0)</f>
        <v>0.22259215063256985</v>
      </c>
      <c r="G8" s="184">
        <f t="shared" si="0"/>
        <v>3519840906</v>
      </c>
      <c r="H8" s="473">
        <f>IFERROR(((G9*H9)/G8)+((G27*H27)/G8),0)</f>
        <v>8.2489343358260928E-2</v>
      </c>
      <c r="I8" s="184">
        <f t="shared" ref="I8:Z8" si="1">+I9+I27</f>
        <v>436866714</v>
      </c>
      <c r="J8" s="184">
        <f t="shared" si="1"/>
        <v>5502333178</v>
      </c>
      <c r="K8" s="184">
        <f t="shared" si="1"/>
        <v>2474983173</v>
      </c>
      <c r="L8" s="184">
        <f t="shared" si="1"/>
        <v>500129849</v>
      </c>
      <c r="M8" s="184">
        <f t="shared" si="1"/>
        <v>247564032</v>
      </c>
      <c r="N8" s="184">
        <f t="shared" si="1"/>
        <v>8874674380</v>
      </c>
      <c r="O8" s="184">
        <f t="shared" si="1"/>
        <v>101350120</v>
      </c>
      <c r="P8" s="184">
        <f t="shared" si="1"/>
        <v>69693118</v>
      </c>
      <c r="Q8" s="184">
        <f t="shared" si="1"/>
        <v>80293320</v>
      </c>
      <c r="R8" s="184">
        <f t="shared" si="1"/>
        <v>35866008</v>
      </c>
      <c r="S8" s="184">
        <f t="shared" si="1"/>
        <v>126907340</v>
      </c>
      <c r="T8" s="184">
        <f t="shared" si="1"/>
        <v>69994518</v>
      </c>
      <c r="U8" s="184">
        <f t="shared" si="1"/>
        <v>11224998</v>
      </c>
      <c r="V8" s="184">
        <f t="shared" si="1"/>
        <v>9975700</v>
      </c>
      <c r="W8" s="184">
        <f t="shared" si="1"/>
        <v>17020649</v>
      </c>
      <c r="X8" s="184">
        <f t="shared" si="1"/>
        <v>18691475</v>
      </c>
      <c r="Y8" s="184">
        <f t="shared" si="1"/>
        <v>75544014</v>
      </c>
      <c r="Z8" s="184">
        <f t="shared" si="1"/>
        <v>46465273</v>
      </c>
      <c r="AA8" s="470">
        <f>+'Loans Receivable'!C85</f>
        <v>9161876946</v>
      </c>
      <c r="AB8" s="470">
        <f>+AA8-AC8</f>
        <v>5642036040</v>
      </c>
      <c r="AC8" s="470">
        <f>+'Asset Classification'!D31</f>
        <v>3519840906</v>
      </c>
      <c r="AD8" s="474">
        <f>+'Asset Classification'!E31</f>
        <v>8874674380</v>
      </c>
      <c r="AE8" s="474">
        <f>+'Asset Classification'!I31</f>
        <v>101350120</v>
      </c>
      <c r="AF8" s="474">
        <f>+'Asset Classification'!M31</f>
        <v>69693118</v>
      </c>
      <c r="AG8" s="474">
        <f>+'Asset Classification'!Q31</f>
        <v>80293320</v>
      </c>
      <c r="AH8" s="474">
        <f>+'Asset Classification'!U31</f>
        <v>35866008</v>
      </c>
    </row>
    <row r="9" spans="1:35" s="189" customFormat="1" ht="49.5" customHeight="1">
      <c r="A9" s="472" t="s">
        <v>121</v>
      </c>
      <c r="B9" s="472" t="s">
        <v>519</v>
      </c>
      <c r="C9" s="184">
        <f>+C11+C16+C21+C22+C24+C25+C26</f>
        <v>2396481791</v>
      </c>
      <c r="D9" s="473">
        <f>IFERROR(((C11*D11)/C9)+((C16*D16)/C9)+((C21*D21)/C9)+((C22*D22)/C9)+((C24*D24)/C9)+((C25*D25)/C9)+((C26*D26)/C9),0)</f>
        <v>0.22976253225036997</v>
      </c>
      <c r="E9" s="184">
        <f>+E11+E16+E21+E22+E24+E25+E26</f>
        <v>2396481791</v>
      </c>
      <c r="F9" s="473">
        <f>IFERROR(((E11*F11)/E9)+((E16*F16)/E9)+((E21*F21)/E9)+((E22*F22)/E9)+((E24*F24)/E9)+((E25*F25)/E9)+((E26*F26)/E9),0)</f>
        <v>0.22976253225036997</v>
      </c>
      <c r="G9" s="184">
        <f>+G11+G16+G21+G22+G24+G25+G26</f>
        <v>0</v>
      </c>
      <c r="H9" s="473">
        <f>IFERROR(((G11*H11)/G9)+((G16*H16)/G9)+((G21*H21)/G9)+((G22*H22)/G9)+((G24*H24)/G9)+((G25*H25)/G9)+((G26*H26)/G9),0)</f>
        <v>0</v>
      </c>
      <c r="I9" s="184">
        <f>+I11+I16+I21+I22+I24+I25+I26</f>
        <v>31706318</v>
      </c>
      <c r="J9" s="184">
        <f t="shared" ref="J9:Z9" si="2">+J11+J16+J21+J22+J24+J25+J26</f>
        <v>2001421786</v>
      </c>
      <c r="K9" s="184">
        <f t="shared" si="2"/>
        <v>43157682</v>
      </c>
      <c r="L9" s="184">
        <f t="shared" si="2"/>
        <v>72631973</v>
      </c>
      <c r="M9" s="184">
        <f t="shared" si="2"/>
        <v>247564032</v>
      </c>
      <c r="N9" s="184">
        <f t="shared" si="2"/>
        <v>2336461440</v>
      </c>
      <c r="O9" s="184">
        <f t="shared" si="2"/>
        <v>20225474</v>
      </c>
      <c r="P9" s="184">
        <f t="shared" si="2"/>
        <v>12736796</v>
      </c>
      <c r="Q9" s="184">
        <f t="shared" si="2"/>
        <v>15789714</v>
      </c>
      <c r="R9" s="184">
        <f t="shared" si="2"/>
        <v>11268367</v>
      </c>
      <c r="S9" s="184">
        <f t="shared" si="2"/>
        <v>37256760</v>
      </c>
      <c r="T9" s="184">
        <f t="shared" si="2"/>
        <v>12697556</v>
      </c>
      <c r="U9" s="184">
        <f t="shared" si="2"/>
        <v>2382390</v>
      </c>
      <c r="V9" s="184">
        <f t="shared" si="2"/>
        <v>2978649</v>
      </c>
      <c r="W9" s="184">
        <f t="shared" si="2"/>
        <v>7968526</v>
      </c>
      <c r="X9" s="184">
        <f t="shared" si="2"/>
        <v>11229639</v>
      </c>
      <c r="Y9" s="184">
        <f t="shared" si="2"/>
        <v>16968998</v>
      </c>
      <c r="Z9" s="184">
        <f t="shared" si="2"/>
        <v>0</v>
      </c>
      <c r="AA9" s="470">
        <f>+'Loans Receivable'!C73</f>
        <v>2396481791</v>
      </c>
      <c r="AB9" s="470">
        <f>+'Loans Receivable'!D71</f>
        <v>2396481791</v>
      </c>
      <c r="AC9" s="470">
        <f>+'Loans Receivable'!E71</f>
        <v>0</v>
      </c>
      <c r="AD9" s="592">
        <f>+N8-AD8</f>
        <v>0</v>
      </c>
      <c r="AE9" s="592">
        <f>+O8-AE8</f>
        <v>0</v>
      </c>
      <c r="AF9" s="592">
        <f>+P8-AF8</f>
        <v>0</v>
      </c>
      <c r="AG9" s="592">
        <f>+Q8-AG8</f>
        <v>0</v>
      </c>
      <c r="AH9" s="592">
        <f>+R8-AH8</f>
        <v>0</v>
      </c>
      <c r="AI9" s="183"/>
    </row>
    <row r="10" spans="1:35" s="183" customFormat="1" ht="33.75" customHeight="1">
      <c r="A10" s="471"/>
      <c r="B10" s="472" t="s">
        <v>497</v>
      </c>
      <c r="C10" s="184"/>
      <c r="D10" s="184"/>
      <c r="E10" s="591"/>
      <c r="F10" s="591"/>
      <c r="G10" s="591"/>
      <c r="H10" s="591"/>
      <c r="I10" s="591"/>
      <c r="J10" s="591"/>
      <c r="K10" s="591"/>
      <c r="L10" s="591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470"/>
      <c r="AB10" s="470"/>
      <c r="AC10" s="470"/>
      <c r="AD10" s="470">
        <f>+'Asset Classification'!G31</f>
        <v>69994518</v>
      </c>
      <c r="AE10" s="470">
        <f>+'Asset Classification'!K31</f>
        <v>11224998</v>
      </c>
      <c r="AF10" s="470">
        <f>+'Asset Classification'!O53</f>
        <v>9975700</v>
      </c>
      <c r="AG10" s="470">
        <f>+'Asset Classification'!S53</f>
        <v>17020649</v>
      </c>
      <c r="AH10" s="470">
        <f>+'Asset Classification'!W53</f>
        <v>18691475</v>
      </c>
      <c r="AI10" s="189"/>
    </row>
    <row r="11" spans="1:35" s="183" customFormat="1" ht="49.5" customHeight="1">
      <c r="A11" s="475">
        <v>1</v>
      </c>
      <c r="B11" s="476" t="s">
        <v>755</v>
      </c>
      <c r="C11" s="196">
        <f>SUM(C12:C15)</f>
        <v>51824910</v>
      </c>
      <c r="D11" s="477">
        <f>IFERROR(((C12*D12)/C11)+((C13*D13)/C11)+((C14*D14)/C11)+((C15*D15)/C11),0)</f>
        <v>0.16788652932537654</v>
      </c>
      <c r="E11" s="196">
        <f t="shared" ref="E11:Z11" si="3">SUM(E12:E15)</f>
        <v>51824910</v>
      </c>
      <c r="F11" s="477">
        <f>IFERROR(((E12*F12)/E11)+((E13*F13)/E11)+((E14*F14)/E11)+((E15*F15)/E11),0)</f>
        <v>0.16788652932537654</v>
      </c>
      <c r="G11" s="196">
        <f t="shared" si="3"/>
        <v>0</v>
      </c>
      <c r="H11" s="477">
        <f>IFERROR(((G12*H12)/G11)+((G13*H13)/G11)+((G14*H14)/G11)+((G15*H15)/G11),0)</f>
        <v>0</v>
      </c>
      <c r="I11" s="196">
        <f t="shared" si="3"/>
        <v>0</v>
      </c>
      <c r="J11" s="196">
        <f t="shared" si="3"/>
        <v>1421832</v>
      </c>
      <c r="K11" s="196">
        <f t="shared" si="3"/>
        <v>27939245</v>
      </c>
      <c r="L11" s="196">
        <f t="shared" si="3"/>
        <v>16174877</v>
      </c>
      <c r="M11" s="196">
        <f t="shared" si="3"/>
        <v>6288956</v>
      </c>
      <c r="N11" s="196">
        <f t="shared" si="3"/>
        <v>26423406</v>
      </c>
      <c r="O11" s="196">
        <f t="shared" si="3"/>
        <v>9031319</v>
      </c>
      <c r="P11" s="196">
        <f t="shared" si="3"/>
        <v>3770496</v>
      </c>
      <c r="Q11" s="196">
        <f t="shared" si="3"/>
        <v>7254853</v>
      </c>
      <c r="R11" s="196">
        <f t="shared" si="3"/>
        <v>5344836</v>
      </c>
      <c r="S11" s="196">
        <f t="shared" si="3"/>
        <v>10849649</v>
      </c>
      <c r="T11" s="196">
        <f t="shared" si="3"/>
        <v>0</v>
      </c>
      <c r="U11" s="196">
        <f t="shared" si="3"/>
        <v>906385</v>
      </c>
      <c r="V11" s="196">
        <f t="shared" si="3"/>
        <v>944399</v>
      </c>
      <c r="W11" s="196">
        <f t="shared" si="3"/>
        <v>3652405</v>
      </c>
      <c r="X11" s="196">
        <f t="shared" si="3"/>
        <v>5346460</v>
      </c>
      <c r="Y11" s="196">
        <f t="shared" si="3"/>
        <v>6509919</v>
      </c>
      <c r="Z11" s="196">
        <f t="shared" si="3"/>
        <v>0</v>
      </c>
      <c r="AA11" s="470">
        <f>+'loans_av rate'!C10</f>
        <v>51824910</v>
      </c>
      <c r="AB11" s="183">
        <f>+'loans_av rate'!E10</f>
        <v>51824910</v>
      </c>
      <c r="AC11" s="183">
        <f>+'loans_av rate'!G10</f>
        <v>0</v>
      </c>
      <c r="AD11" s="613">
        <f>+T8-AD10</f>
        <v>0</v>
      </c>
      <c r="AE11" s="613">
        <f t="shared" ref="AE11:AH11" si="4">+U8-AE10</f>
        <v>0</v>
      </c>
      <c r="AF11" s="613">
        <f t="shared" si="4"/>
        <v>0</v>
      </c>
      <c r="AG11" s="613">
        <f t="shared" si="4"/>
        <v>0</v>
      </c>
      <c r="AH11" s="613">
        <f t="shared" si="4"/>
        <v>0</v>
      </c>
    </row>
    <row r="12" spans="1:35" s="183" customFormat="1" ht="49.5" customHeight="1">
      <c r="A12" s="478" t="s">
        <v>111</v>
      </c>
      <c r="B12" s="479" t="s">
        <v>520</v>
      </c>
      <c r="C12" s="194">
        <f>+E12+G12</f>
        <v>50774243</v>
      </c>
      <c r="D12" s="640">
        <f>IFERROR((((E12*F12)+(G12*H12))/C12),0)</f>
        <v>0.16830000000000003</v>
      </c>
      <c r="E12" s="195">
        <v>50774243</v>
      </c>
      <c r="F12" s="480">
        <v>0.16830000000000001</v>
      </c>
      <c r="G12" s="195">
        <v>0</v>
      </c>
      <c r="H12" s="480" t="s">
        <v>813</v>
      </c>
      <c r="I12" s="195">
        <v>0</v>
      </c>
      <c r="J12" s="195">
        <v>1421832</v>
      </c>
      <c r="K12" s="195">
        <v>27545402</v>
      </c>
      <c r="L12" s="195">
        <v>15842638</v>
      </c>
      <c r="M12" s="195">
        <v>5964371</v>
      </c>
      <c r="N12" s="195">
        <v>25372739</v>
      </c>
      <c r="O12" s="195">
        <v>9031319</v>
      </c>
      <c r="P12" s="195">
        <v>3770496</v>
      </c>
      <c r="Q12" s="195">
        <v>7254853</v>
      </c>
      <c r="R12" s="195">
        <v>5344836</v>
      </c>
      <c r="S12" s="194">
        <f>SUM(T12:X12)</f>
        <v>10849649</v>
      </c>
      <c r="T12" s="195">
        <v>0</v>
      </c>
      <c r="U12" s="195">
        <v>906385</v>
      </c>
      <c r="V12" s="195">
        <v>944399</v>
      </c>
      <c r="W12" s="195">
        <v>3652405</v>
      </c>
      <c r="X12" s="195">
        <v>5346460</v>
      </c>
      <c r="Y12" s="195">
        <v>6509919</v>
      </c>
      <c r="Z12" s="195">
        <v>0</v>
      </c>
      <c r="AA12" s="619">
        <f>+'loans_av rate'!D10</f>
        <v>0.11592751791793683</v>
      </c>
      <c r="AB12" s="619">
        <f>+'loans_av rate'!F10</f>
        <v>0.11592751791793683</v>
      </c>
      <c r="AC12" s="619">
        <f>+'loans_av rate'!H10</f>
        <v>0</v>
      </c>
    </row>
    <row r="13" spans="1:35" s="183" customFormat="1" ht="49.5" customHeight="1">
      <c r="A13" s="478" t="s">
        <v>112</v>
      </c>
      <c r="B13" s="479" t="s">
        <v>521</v>
      </c>
      <c r="C13" s="194">
        <f>+E13+G13</f>
        <v>0</v>
      </c>
      <c r="D13" s="640">
        <f>IFERROR((((E13*F13)+(G13*H13))/C13),0)</f>
        <v>0</v>
      </c>
      <c r="E13" s="195">
        <v>0</v>
      </c>
      <c r="F13" s="480" t="s">
        <v>813</v>
      </c>
      <c r="G13" s="195">
        <v>0</v>
      </c>
      <c r="H13" s="480" t="s">
        <v>813</v>
      </c>
      <c r="I13" s="195">
        <v>0</v>
      </c>
      <c r="J13" s="195">
        <v>0</v>
      </c>
      <c r="K13" s="195">
        <v>0</v>
      </c>
      <c r="L13" s="195">
        <v>0</v>
      </c>
      <c r="M13" s="195">
        <v>0</v>
      </c>
      <c r="N13" s="195">
        <v>0</v>
      </c>
      <c r="O13" s="195">
        <v>0</v>
      </c>
      <c r="P13" s="195">
        <v>0</v>
      </c>
      <c r="Q13" s="195">
        <v>0</v>
      </c>
      <c r="R13" s="195">
        <v>0</v>
      </c>
      <c r="S13" s="194">
        <f t="shared" ref="S13:S26" si="5">SUM(T13:X13)</f>
        <v>0</v>
      </c>
      <c r="T13" s="195">
        <v>0</v>
      </c>
      <c r="U13" s="195">
        <v>0</v>
      </c>
      <c r="V13" s="195">
        <v>0</v>
      </c>
      <c r="W13" s="195">
        <v>0</v>
      </c>
      <c r="X13" s="195">
        <v>0</v>
      </c>
      <c r="Y13" s="195">
        <v>0</v>
      </c>
      <c r="Z13" s="195">
        <v>0</v>
      </c>
      <c r="AA13" s="470"/>
      <c r="AD13" s="470">
        <f>+'Asset Classification'!E13</f>
        <v>2336461440</v>
      </c>
      <c r="AE13" s="470">
        <f>+'Asset Classification'!I13</f>
        <v>20225474</v>
      </c>
      <c r="AF13" s="470">
        <f>+'Asset Classification'!M13</f>
        <v>12736796</v>
      </c>
      <c r="AG13" s="470">
        <f>+'Asset Classification'!Q13</f>
        <v>15789714</v>
      </c>
      <c r="AH13" s="470">
        <f>+'Asset Classification'!U13</f>
        <v>11268367</v>
      </c>
    </row>
    <row r="14" spans="1:35" s="183" customFormat="1" ht="49.5" customHeight="1">
      <c r="A14" s="478" t="s">
        <v>113</v>
      </c>
      <c r="B14" s="479" t="s">
        <v>522</v>
      </c>
      <c r="C14" s="194">
        <f>+E14+G14</f>
        <v>464604</v>
      </c>
      <c r="D14" s="640">
        <f>IFERROR((((E14*F14)+(G14*H14))/C14),0)</f>
        <v>0.16039999999999999</v>
      </c>
      <c r="E14" s="195">
        <v>464604</v>
      </c>
      <c r="F14" s="480">
        <v>0.16039999999999999</v>
      </c>
      <c r="G14" s="195">
        <v>0</v>
      </c>
      <c r="H14" s="480" t="s">
        <v>813</v>
      </c>
      <c r="I14" s="195">
        <v>0</v>
      </c>
      <c r="J14" s="195">
        <v>0</v>
      </c>
      <c r="K14" s="195">
        <v>331998</v>
      </c>
      <c r="L14" s="195">
        <v>97332</v>
      </c>
      <c r="M14" s="195">
        <v>35274</v>
      </c>
      <c r="N14" s="195">
        <v>464604</v>
      </c>
      <c r="O14" s="195">
        <v>0</v>
      </c>
      <c r="P14" s="195">
        <v>0</v>
      </c>
      <c r="Q14" s="195">
        <v>0</v>
      </c>
      <c r="R14" s="195">
        <v>0</v>
      </c>
      <c r="S14" s="194">
        <f t="shared" si="5"/>
        <v>0</v>
      </c>
      <c r="T14" s="195">
        <v>0</v>
      </c>
      <c r="U14" s="195">
        <v>0</v>
      </c>
      <c r="V14" s="195">
        <v>0</v>
      </c>
      <c r="W14" s="195">
        <v>0</v>
      </c>
      <c r="X14" s="195">
        <v>0</v>
      </c>
      <c r="Y14" s="195">
        <v>0</v>
      </c>
      <c r="Z14" s="195">
        <v>0</v>
      </c>
      <c r="AA14" s="470"/>
      <c r="AD14" s="613">
        <f>+N9-AD13</f>
        <v>0</v>
      </c>
      <c r="AE14" s="613">
        <f t="shared" ref="AE14:AH14" si="6">+O9-AE13</f>
        <v>0</v>
      </c>
      <c r="AF14" s="613">
        <f t="shared" si="6"/>
        <v>0</v>
      </c>
      <c r="AG14" s="613">
        <f t="shared" si="6"/>
        <v>0</v>
      </c>
      <c r="AH14" s="613">
        <f t="shared" si="6"/>
        <v>0</v>
      </c>
    </row>
    <row r="15" spans="1:35" s="183" customFormat="1" ht="49.5" customHeight="1">
      <c r="A15" s="478" t="s">
        <v>117</v>
      </c>
      <c r="B15" s="479" t="s">
        <v>523</v>
      </c>
      <c r="C15" s="194">
        <f>+E15+G15</f>
        <v>586063</v>
      </c>
      <c r="D15" s="640">
        <f>IFERROR((((E15*F15)+(G15*H15))/C15),0)</f>
        <v>0.13800000000000001</v>
      </c>
      <c r="E15" s="195">
        <v>586063</v>
      </c>
      <c r="F15" s="480">
        <v>0.13800000000000001</v>
      </c>
      <c r="G15" s="195">
        <v>0</v>
      </c>
      <c r="H15" s="480" t="s">
        <v>813</v>
      </c>
      <c r="I15" s="195">
        <v>0</v>
      </c>
      <c r="J15" s="195">
        <v>0</v>
      </c>
      <c r="K15" s="195">
        <v>61845</v>
      </c>
      <c r="L15" s="195">
        <v>234907</v>
      </c>
      <c r="M15" s="195">
        <v>289311</v>
      </c>
      <c r="N15" s="195">
        <v>586063</v>
      </c>
      <c r="O15" s="195">
        <v>0</v>
      </c>
      <c r="P15" s="195">
        <v>0</v>
      </c>
      <c r="Q15" s="195">
        <v>0</v>
      </c>
      <c r="R15" s="195">
        <v>0</v>
      </c>
      <c r="S15" s="194">
        <f t="shared" si="5"/>
        <v>0</v>
      </c>
      <c r="T15" s="195">
        <v>0</v>
      </c>
      <c r="U15" s="195">
        <v>0</v>
      </c>
      <c r="V15" s="195">
        <v>0</v>
      </c>
      <c r="W15" s="195">
        <v>0</v>
      </c>
      <c r="X15" s="195">
        <v>0</v>
      </c>
      <c r="Y15" s="195">
        <v>0</v>
      </c>
      <c r="Z15" s="195">
        <v>0</v>
      </c>
      <c r="AA15" s="470"/>
      <c r="AD15" s="470">
        <f>+'Asset Classification'!G13</f>
        <v>12697556</v>
      </c>
      <c r="AE15" s="470">
        <f>+'Asset Classification'!K13</f>
        <v>2382390</v>
      </c>
      <c r="AF15" s="470">
        <f>+'Asset Classification'!O13</f>
        <v>2978649</v>
      </c>
      <c r="AG15" s="470">
        <f>+'Asset Classification'!S13</f>
        <v>7968526</v>
      </c>
      <c r="AH15" s="470">
        <f>+'Asset Classification'!W13</f>
        <v>11229639</v>
      </c>
    </row>
    <row r="16" spans="1:35" s="183" customFormat="1" ht="49.5" customHeight="1">
      <c r="A16" s="475">
        <v>2</v>
      </c>
      <c r="B16" s="476" t="s">
        <v>756</v>
      </c>
      <c r="C16" s="196">
        <f>SUM(C17:C20)</f>
        <v>489544874</v>
      </c>
      <c r="D16" s="477">
        <f>IFERROR(((C17*D17)/C16)+((C18*D18)/C16)+((C19*D19)/C16)+((C20*D20)/C16),0)</f>
        <v>0.17665881512283999</v>
      </c>
      <c r="E16" s="196">
        <f t="shared" ref="E16:Z16" si="7">SUM(E17:E20)</f>
        <v>489544874</v>
      </c>
      <c r="F16" s="477">
        <f>IFERROR(((E17*F17)/E16)+((E18*F18)/E16)+((E19*F19)/E16)+((E20*F20)/E16),0)</f>
        <v>0.17665881512283999</v>
      </c>
      <c r="G16" s="196">
        <f t="shared" si="7"/>
        <v>0</v>
      </c>
      <c r="H16" s="477">
        <f>IFERROR(((G17*H17)/G16)+((G18*H18)/G16)+((G19*H19)/G16)+((G20*H20)/G16),0)</f>
        <v>0</v>
      </c>
      <c r="I16" s="196">
        <f t="shared" si="7"/>
        <v>0</v>
      </c>
      <c r="J16" s="196">
        <f t="shared" si="7"/>
        <v>207186120</v>
      </c>
      <c r="K16" s="196">
        <f t="shared" si="7"/>
        <v>6177442</v>
      </c>
      <c r="L16" s="196">
        <f t="shared" si="7"/>
        <v>34906236</v>
      </c>
      <c r="M16" s="196">
        <f t="shared" si="7"/>
        <v>241275076</v>
      </c>
      <c r="N16" s="196">
        <f t="shared" si="7"/>
        <v>483635656</v>
      </c>
      <c r="O16" s="196">
        <f t="shared" si="7"/>
        <v>911536</v>
      </c>
      <c r="P16" s="196">
        <f t="shared" si="7"/>
        <v>2574374</v>
      </c>
      <c r="Q16" s="196">
        <f t="shared" si="7"/>
        <v>1399388</v>
      </c>
      <c r="R16" s="196">
        <f t="shared" si="7"/>
        <v>1023920</v>
      </c>
      <c r="S16" s="196">
        <f>SUM(S17:S20)</f>
        <v>652432</v>
      </c>
      <c r="T16" s="196">
        <f t="shared" si="7"/>
        <v>0</v>
      </c>
      <c r="U16" s="196">
        <f t="shared" si="7"/>
        <v>23450</v>
      </c>
      <c r="V16" s="196">
        <f t="shared" si="7"/>
        <v>201537</v>
      </c>
      <c r="W16" s="196">
        <f t="shared" si="7"/>
        <v>224431</v>
      </c>
      <c r="X16" s="196">
        <f t="shared" si="7"/>
        <v>203014</v>
      </c>
      <c r="Y16" s="196">
        <f t="shared" si="7"/>
        <v>0</v>
      </c>
      <c r="Z16" s="196">
        <f t="shared" si="7"/>
        <v>0</v>
      </c>
      <c r="AA16" s="470">
        <f>+'loans_av rate'!C20</f>
        <v>489544874</v>
      </c>
      <c r="AB16" s="183">
        <f>+'loans_av rate'!E20</f>
        <v>489544874</v>
      </c>
      <c r="AC16" s="183">
        <f>+'loans_av rate'!G20</f>
        <v>0</v>
      </c>
      <c r="AD16" s="613">
        <f>+AD15-T9</f>
        <v>0</v>
      </c>
      <c r="AE16" s="613">
        <f t="shared" ref="AE16:AH16" si="8">+AE15-U9</f>
        <v>0</v>
      </c>
      <c r="AF16" s="613">
        <f t="shared" si="8"/>
        <v>0</v>
      </c>
      <c r="AG16" s="613">
        <f t="shared" si="8"/>
        <v>0</v>
      </c>
      <c r="AH16" s="613">
        <f t="shared" si="8"/>
        <v>0</v>
      </c>
    </row>
    <row r="17" spans="1:29" s="185" customFormat="1" ht="49.5" customHeight="1">
      <c r="A17" s="481" t="s">
        <v>124</v>
      </c>
      <c r="B17" s="482" t="s">
        <v>520</v>
      </c>
      <c r="C17" s="194">
        <f t="shared" ref="C17:C26" si="9">+E17+G17</f>
        <v>429084837</v>
      </c>
      <c r="D17" s="640">
        <f t="shared" ref="D17:D26" si="10">IFERROR((((E17*F17)+(G17*H17))/C17),0)</f>
        <v>0.17709999999999998</v>
      </c>
      <c r="E17" s="195">
        <v>429084837</v>
      </c>
      <c r="F17" s="480">
        <v>0.17710000000000001</v>
      </c>
      <c r="G17" s="195">
        <v>0</v>
      </c>
      <c r="H17" s="480" t="s">
        <v>813</v>
      </c>
      <c r="I17" s="195">
        <v>0</v>
      </c>
      <c r="J17" s="195">
        <v>207186120</v>
      </c>
      <c r="K17" s="195">
        <v>5915098</v>
      </c>
      <c r="L17" s="195">
        <v>34081236</v>
      </c>
      <c r="M17" s="195">
        <v>181902383</v>
      </c>
      <c r="N17" s="195">
        <v>423963726</v>
      </c>
      <c r="O17" s="195">
        <v>911536</v>
      </c>
      <c r="P17" s="195">
        <v>2113643</v>
      </c>
      <c r="Q17" s="195">
        <v>1072012</v>
      </c>
      <c r="R17" s="195">
        <v>1023920</v>
      </c>
      <c r="S17" s="194">
        <f t="shared" si="5"/>
        <v>652432</v>
      </c>
      <c r="T17" s="195">
        <v>0</v>
      </c>
      <c r="U17" s="195">
        <v>23450</v>
      </c>
      <c r="V17" s="195">
        <v>201537</v>
      </c>
      <c r="W17" s="195">
        <v>224431</v>
      </c>
      <c r="X17" s="195">
        <v>203014</v>
      </c>
      <c r="Y17" s="195">
        <v>0</v>
      </c>
      <c r="Z17" s="195">
        <v>0</v>
      </c>
      <c r="AA17" s="619">
        <f>+'loans_av rate'!D20</f>
        <v>0.1784271974144524</v>
      </c>
      <c r="AB17" s="619">
        <f>+'loans_av rate'!F20</f>
        <v>0.1784271974144524</v>
      </c>
      <c r="AC17" s="619">
        <f>+'loans_av rate'!H20</f>
        <v>0</v>
      </c>
    </row>
    <row r="18" spans="1:29" s="185" customFormat="1" ht="49.5" customHeight="1">
      <c r="A18" s="481" t="s">
        <v>125</v>
      </c>
      <c r="B18" s="482" t="s">
        <v>521</v>
      </c>
      <c r="C18" s="194">
        <f t="shared" si="9"/>
        <v>0</v>
      </c>
      <c r="D18" s="640">
        <f t="shared" si="10"/>
        <v>0</v>
      </c>
      <c r="E18" s="195">
        <v>0</v>
      </c>
      <c r="F18" s="480" t="s">
        <v>813</v>
      </c>
      <c r="G18" s="195">
        <v>0</v>
      </c>
      <c r="H18" s="480" t="s">
        <v>813</v>
      </c>
      <c r="I18" s="195">
        <v>0</v>
      </c>
      <c r="J18" s="195">
        <v>0</v>
      </c>
      <c r="K18" s="195">
        <v>0</v>
      </c>
      <c r="L18" s="195">
        <v>0</v>
      </c>
      <c r="M18" s="195">
        <v>0</v>
      </c>
      <c r="N18" s="195">
        <v>0</v>
      </c>
      <c r="O18" s="195">
        <v>0</v>
      </c>
      <c r="P18" s="195">
        <v>0</v>
      </c>
      <c r="Q18" s="195">
        <v>0</v>
      </c>
      <c r="R18" s="195">
        <v>0</v>
      </c>
      <c r="S18" s="194">
        <f t="shared" si="5"/>
        <v>0</v>
      </c>
      <c r="T18" s="195">
        <v>0</v>
      </c>
      <c r="U18" s="195">
        <v>0</v>
      </c>
      <c r="V18" s="195">
        <v>0</v>
      </c>
      <c r="W18" s="195">
        <v>0</v>
      </c>
      <c r="X18" s="195">
        <v>0</v>
      </c>
      <c r="Y18" s="195">
        <v>0</v>
      </c>
      <c r="Z18" s="195">
        <v>0</v>
      </c>
      <c r="AA18" s="470"/>
    </row>
    <row r="19" spans="1:29" s="185" customFormat="1" ht="49.5" customHeight="1">
      <c r="A19" s="481" t="s">
        <v>127</v>
      </c>
      <c r="B19" s="482" t="s">
        <v>522</v>
      </c>
      <c r="C19" s="194">
        <f t="shared" si="9"/>
        <v>58639343</v>
      </c>
      <c r="D19" s="640">
        <f t="shared" si="10"/>
        <v>0.1736</v>
      </c>
      <c r="E19" s="195">
        <v>58639343</v>
      </c>
      <c r="F19" s="480">
        <v>0.1736</v>
      </c>
      <c r="G19" s="195">
        <v>0</v>
      </c>
      <c r="H19" s="480" t="s">
        <v>813</v>
      </c>
      <c r="I19" s="195">
        <v>0</v>
      </c>
      <c r="J19" s="195">
        <v>0</v>
      </c>
      <c r="K19" s="195">
        <v>262344</v>
      </c>
      <c r="L19" s="195">
        <v>825000</v>
      </c>
      <c r="M19" s="195">
        <v>57551999</v>
      </c>
      <c r="N19" s="195">
        <v>57851236</v>
      </c>
      <c r="O19" s="195">
        <v>0</v>
      </c>
      <c r="P19" s="195">
        <v>460731</v>
      </c>
      <c r="Q19" s="195">
        <v>327376</v>
      </c>
      <c r="R19" s="195">
        <v>0</v>
      </c>
      <c r="S19" s="194">
        <f t="shared" si="5"/>
        <v>0</v>
      </c>
      <c r="T19" s="195">
        <v>0</v>
      </c>
      <c r="U19" s="195">
        <v>0</v>
      </c>
      <c r="V19" s="195">
        <v>0</v>
      </c>
      <c r="W19" s="195">
        <v>0</v>
      </c>
      <c r="X19" s="195">
        <v>0</v>
      </c>
      <c r="Y19" s="195">
        <v>0</v>
      </c>
      <c r="Z19" s="195">
        <v>0</v>
      </c>
      <c r="AA19" s="470"/>
    </row>
    <row r="20" spans="1:29" s="185" customFormat="1" ht="49.5" customHeight="1">
      <c r="A20" s="481" t="s">
        <v>129</v>
      </c>
      <c r="B20" s="482" t="s">
        <v>523</v>
      </c>
      <c r="C20" s="194">
        <f t="shared" si="9"/>
        <v>1820694</v>
      </c>
      <c r="D20" s="640">
        <f t="shared" si="10"/>
        <v>0.17119999999999996</v>
      </c>
      <c r="E20" s="195">
        <v>1820694</v>
      </c>
      <c r="F20" s="480">
        <v>0.17119999999999999</v>
      </c>
      <c r="G20" s="195">
        <v>0</v>
      </c>
      <c r="H20" s="480" t="s">
        <v>813</v>
      </c>
      <c r="I20" s="195">
        <v>0</v>
      </c>
      <c r="J20" s="195">
        <v>0</v>
      </c>
      <c r="K20" s="195">
        <v>0</v>
      </c>
      <c r="L20" s="195">
        <v>0</v>
      </c>
      <c r="M20" s="195">
        <v>1820694</v>
      </c>
      <c r="N20" s="195">
        <v>1820694</v>
      </c>
      <c r="O20" s="195">
        <v>0</v>
      </c>
      <c r="P20" s="195">
        <v>0</v>
      </c>
      <c r="Q20" s="195">
        <v>0</v>
      </c>
      <c r="R20" s="195">
        <v>0</v>
      </c>
      <c r="S20" s="194">
        <f t="shared" si="5"/>
        <v>0</v>
      </c>
      <c r="T20" s="195">
        <v>0</v>
      </c>
      <c r="U20" s="195">
        <v>0</v>
      </c>
      <c r="V20" s="195">
        <v>0</v>
      </c>
      <c r="W20" s="195">
        <v>0</v>
      </c>
      <c r="X20" s="195">
        <v>0</v>
      </c>
      <c r="Y20" s="195">
        <v>0</v>
      </c>
      <c r="Z20" s="195">
        <v>0</v>
      </c>
      <c r="AA20" s="470"/>
    </row>
    <row r="21" spans="1:29" s="183" customFormat="1" ht="49.5" customHeight="1">
      <c r="A21" s="478">
        <v>3</v>
      </c>
      <c r="B21" s="483" t="s">
        <v>498</v>
      </c>
      <c r="C21" s="194">
        <f t="shared" si="9"/>
        <v>425135983</v>
      </c>
      <c r="D21" s="640">
        <f t="shared" si="10"/>
        <v>0.27225226781642614</v>
      </c>
      <c r="E21" s="195">
        <v>425135983</v>
      </c>
      <c r="F21" s="480">
        <v>0.27225226781642614</v>
      </c>
      <c r="G21" s="195">
        <v>0</v>
      </c>
      <c r="H21" s="480" t="s">
        <v>813</v>
      </c>
      <c r="I21" s="195">
        <v>13389294</v>
      </c>
      <c r="J21" s="195">
        <v>411715401</v>
      </c>
      <c r="K21" s="195">
        <v>31288</v>
      </c>
      <c r="L21" s="195">
        <v>0</v>
      </c>
      <c r="M21" s="195">
        <v>0</v>
      </c>
      <c r="N21" s="195">
        <v>403476250</v>
      </c>
      <c r="O21" s="195">
        <v>7830615</v>
      </c>
      <c r="P21" s="195">
        <v>4797153</v>
      </c>
      <c r="Q21" s="195">
        <v>4986417</v>
      </c>
      <c r="R21" s="195">
        <v>4045548</v>
      </c>
      <c r="S21" s="194">
        <f t="shared" si="5"/>
        <v>22909289</v>
      </c>
      <c r="T21" s="195">
        <v>12697556</v>
      </c>
      <c r="U21" s="195">
        <v>946716</v>
      </c>
      <c r="V21" s="195">
        <v>1494016</v>
      </c>
      <c r="W21" s="195">
        <v>3485577</v>
      </c>
      <c r="X21" s="195">
        <v>4285424</v>
      </c>
      <c r="Y21" s="195">
        <v>7638804</v>
      </c>
      <c r="Z21" s="195">
        <v>0</v>
      </c>
      <c r="AA21" s="470">
        <f>+'loans_av rate'!C12+'loans_av rate'!C22</f>
        <v>425135983</v>
      </c>
      <c r="AB21" s="470">
        <f>+'loans_av rate'!E12+'loans_av rate'!E22</f>
        <v>425135983</v>
      </c>
      <c r="AC21" s="470">
        <f>+'loans_av rate'!G12+'loans_av rate'!G22</f>
        <v>0</v>
      </c>
    </row>
    <row r="22" spans="1:29" s="183" customFormat="1" ht="49.5" customHeight="1">
      <c r="A22" s="478">
        <v>4</v>
      </c>
      <c r="B22" s="483" t="s">
        <v>481</v>
      </c>
      <c r="C22" s="194">
        <f t="shared" si="9"/>
        <v>1392711737</v>
      </c>
      <c r="D22" s="640">
        <f t="shared" si="10"/>
        <v>0.23949330085838597</v>
      </c>
      <c r="E22" s="195">
        <v>1392711737</v>
      </c>
      <c r="F22" s="480">
        <v>0.23949330085838594</v>
      </c>
      <c r="G22" s="195">
        <v>0</v>
      </c>
      <c r="H22" s="480" t="s">
        <v>813</v>
      </c>
      <c r="I22" s="195">
        <v>11160403</v>
      </c>
      <c r="J22" s="195">
        <v>1380955378</v>
      </c>
      <c r="K22" s="195">
        <v>213147</v>
      </c>
      <c r="L22" s="195">
        <v>382809</v>
      </c>
      <c r="M22" s="195">
        <v>0</v>
      </c>
      <c r="N22" s="195">
        <v>1385750583</v>
      </c>
      <c r="O22" s="195">
        <v>2393893</v>
      </c>
      <c r="P22" s="195">
        <v>1581168</v>
      </c>
      <c r="Q22" s="195">
        <v>2149056</v>
      </c>
      <c r="R22" s="195">
        <v>837037</v>
      </c>
      <c r="S22" s="194">
        <f t="shared" si="5"/>
        <v>2816343</v>
      </c>
      <c r="T22" s="195">
        <v>0</v>
      </c>
      <c r="U22" s="195">
        <v>500027</v>
      </c>
      <c r="V22" s="195">
        <v>335295</v>
      </c>
      <c r="W22" s="195">
        <v>606113</v>
      </c>
      <c r="X22" s="195">
        <v>1374908</v>
      </c>
      <c r="Y22" s="195">
        <v>2804153</v>
      </c>
      <c r="Z22" s="195">
        <v>0</v>
      </c>
      <c r="AA22" s="470">
        <f>+'loans_av rate'!C11+'loans_av rate'!C13+'loans_av rate'!C21+'loans_av rate'!C23</f>
        <v>1392711737</v>
      </c>
      <c r="AB22" s="470">
        <f>+'loans_av rate'!E11+'loans_av rate'!E13+'loans_av rate'!E21+'loans_av rate'!E23</f>
        <v>1392711737</v>
      </c>
      <c r="AC22" s="470">
        <f>+'loans_av rate'!G11+'loans_av rate'!G13+'loans_av rate'!G21+'loans_av rate'!G23</f>
        <v>0</v>
      </c>
    </row>
    <row r="23" spans="1:29" s="183" customFormat="1" ht="49.5" customHeight="1">
      <c r="A23" s="478" t="s">
        <v>162</v>
      </c>
      <c r="B23" s="483" t="s">
        <v>524</v>
      </c>
      <c r="C23" s="194">
        <f t="shared" si="9"/>
        <v>1371713569</v>
      </c>
      <c r="D23" s="640">
        <f t="shared" si="10"/>
        <v>0.24337672446711556</v>
      </c>
      <c r="E23" s="195">
        <v>1371713569</v>
      </c>
      <c r="F23" s="480">
        <v>0.24337672446711556</v>
      </c>
      <c r="G23" s="195">
        <v>0</v>
      </c>
      <c r="H23" s="480" t="s">
        <v>813</v>
      </c>
      <c r="I23" s="195">
        <v>11040099</v>
      </c>
      <c r="J23" s="195">
        <v>1360673470</v>
      </c>
      <c r="K23" s="195">
        <v>0</v>
      </c>
      <c r="L23" s="195">
        <v>0</v>
      </c>
      <c r="M23" s="195">
        <v>0</v>
      </c>
      <c r="N23" s="195">
        <v>1363983268</v>
      </c>
      <c r="O23" s="195">
        <v>5010680</v>
      </c>
      <c r="P23" s="195">
        <v>1236804</v>
      </c>
      <c r="Q23" s="195">
        <v>952591</v>
      </c>
      <c r="R23" s="195">
        <v>530226</v>
      </c>
      <c r="S23" s="194">
        <f t="shared" si="5"/>
        <v>1809747</v>
      </c>
      <c r="T23" s="195">
        <v>0</v>
      </c>
      <c r="U23" s="195">
        <v>482654</v>
      </c>
      <c r="V23" s="195">
        <v>318693</v>
      </c>
      <c r="W23" s="195">
        <v>478174</v>
      </c>
      <c r="X23" s="195">
        <v>530226</v>
      </c>
      <c r="Y23" s="195">
        <v>902653</v>
      </c>
      <c r="Z23" s="195">
        <v>0</v>
      </c>
      <c r="AA23" s="470">
        <f>+'loans_av rate'!C11+'loans_av rate'!C21</f>
        <v>1371713569</v>
      </c>
      <c r="AB23" s="470">
        <f>+'loans_av rate'!E11+'loans_av rate'!E21</f>
        <v>1371713569</v>
      </c>
      <c r="AC23" s="470">
        <f>+'loans_av rate'!G11+'loans_av rate'!G21</f>
        <v>0</v>
      </c>
    </row>
    <row r="24" spans="1:29" s="183" customFormat="1" ht="49.5" customHeight="1">
      <c r="A24" s="478">
        <v>5</v>
      </c>
      <c r="B24" s="483" t="s">
        <v>525</v>
      </c>
      <c r="C24" s="194">
        <f t="shared" si="9"/>
        <v>30107666</v>
      </c>
      <c r="D24" s="640">
        <f t="shared" si="10"/>
        <v>0.14030000000000001</v>
      </c>
      <c r="E24" s="195">
        <v>30107666</v>
      </c>
      <c r="F24" s="480">
        <v>0.14030000000000001</v>
      </c>
      <c r="G24" s="195">
        <v>0</v>
      </c>
      <c r="H24" s="480" t="s">
        <v>813</v>
      </c>
      <c r="I24" s="195">
        <v>0</v>
      </c>
      <c r="J24" s="195">
        <v>143055</v>
      </c>
      <c r="K24" s="195">
        <v>8796560</v>
      </c>
      <c r="L24" s="195">
        <v>21168051</v>
      </c>
      <c r="M24" s="195">
        <v>0</v>
      </c>
      <c r="N24" s="195">
        <v>30034773</v>
      </c>
      <c r="O24" s="195">
        <v>58111</v>
      </c>
      <c r="P24" s="195">
        <v>13605</v>
      </c>
      <c r="Q24" s="195">
        <v>0</v>
      </c>
      <c r="R24" s="195">
        <v>1177</v>
      </c>
      <c r="S24" s="194">
        <f t="shared" si="5"/>
        <v>13198</v>
      </c>
      <c r="T24" s="195">
        <v>0</v>
      </c>
      <c r="U24" s="195">
        <v>5812</v>
      </c>
      <c r="V24" s="195">
        <v>3402</v>
      </c>
      <c r="W24" s="195">
        <v>0</v>
      </c>
      <c r="X24" s="195">
        <v>3984</v>
      </c>
      <c r="Y24" s="195">
        <v>8706</v>
      </c>
      <c r="Z24" s="195">
        <v>0</v>
      </c>
      <c r="AA24" s="470">
        <f>+'loans_av rate'!C14+'loans_av rate'!C24</f>
        <v>30107666</v>
      </c>
      <c r="AB24" s="470">
        <f>+'loans_av rate'!E14+'loans_av rate'!E24</f>
        <v>30107666</v>
      </c>
      <c r="AC24" s="470">
        <f>+'loans_av rate'!G14+'loans_av rate'!G24</f>
        <v>0</v>
      </c>
    </row>
    <row r="25" spans="1:29" s="183" customFormat="1" ht="49.5" customHeight="1">
      <c r="A25" s="478">
        <v>6</v>
      </c>
      <c r="B25" s="483" t="s">
        <v>526</v>
      </c>
      <c r="C25" s="194">
        <f t="shared" si="9"/>
        <v>0</v>
      </c>
      <c r="D25" s="640">
        <f t="shared" si="10"/>
        <v>0</v>
      </c>
      <c r="E25" s="195">
        <v>0</v>
      </c>
      <c r="F25" s="480">
        <v>0</v>
      </c>
      <c r="G25" s="195">
        <v>0</v>
      </c>
      <c r="H25" s="480" t="s">
        <v>813</v>
      </c>
      <c r="I25" s="195">
        <v>0</v>
      </c>
      <c r="J25" s="195">
        <v>0</v>
      </c>
      <c r="K25" s="195">
        <v>0</v>
      </c>
      <c r="L25" s="195">
        <v>0</v>
      </c>
      <c r="M25" s="195">
        <v>0</v>
      </c>
      <c r="N25" s="195">
        <v>0</v>
      </c>
      <c r="O25" s="195">
        <v>0</v>
      </c>
      <c r="P25" s="195">
        <v>0</v>
      </c>
      <c r="Q25" s="195">
        <v>0</v>
      </c>
      <c r="R25" s="195">
        <v>0</v>
      </c>
      <c r="S25" s="194">
        <f t="shared" si="5"/>
        <v>0</v>
      </c>
      <c r="T25" s="195">
        <v>0</v>
      </c>
      <c r="U25" s="195">
        <v>0</v>
      </c>
      <c r="V25" s="195">
        <v>0</v>
      </c>
      <c r="W25" s="195">
        <v>0</v>
      </c>
      <c r="X25" s="195">
        <v>0</v>
      </c>
      <c r="Y25" s="195">
        <v>7416</v>
      </c>
      <c r="Z25" s="195">
        <v>0</v>
      </c>
      <c r="AA25" s="470">
        <f>+'loans_av rate'!C15+'loans_av rate'!C25</f>
        <v>0</v>
      </c>
      <c r="AB25" s="470">
        <f>+'loans_av rate'!E15+'loans_av rate'!E25</f>
        <v>0</v>
      </c>
      <c r="AC25" s="470">
        <f>+'loans_av rate'!G15+'loans_av rate'!G25</f>
        <v>0</v>
      </c>
    </row>
    <row r="26" spans="1:29" s="183" customFormat="1" ht="49.5" customHeight="1">
      <c r="A26" s="478">
        <v>7</v>
      </c>
      <c r="B26" s="483" t="s">
        <v>482</v>
      </c>
      <c r="C26" s="194">
        <f t="shared" si="9"/>
        <v>7156621</v>
      </c>
      <c r="D26" s="640">
        <f t="shared" si="10"/>
        <v>0.26900000000000002</v>
      </c>
      <c r="E26" s="195">
        <v>7156621</v>
      </c>
      <c r="F26" s="480">
        <v>0.26900000000000002</v>
      </c>
      <c r="G26" s="195">
        <v>0</v>
      </c>
      <c r="H26" s="480" t="s">
        <v>813</v>
      </c>
      <c r="I26" s="195">
        <v>7156621</v>
      </c>
      <c r="J26" s="195">
        <v>0</v>
      </c>
      <c r="K26" s="195">
        <v>0</v>
      </c>
      <c r="L26" s="195">
        <v>0</v>
      </c>
      <c r="M26" s="195">
        <v>0</v>
      </c>
      <c r="N26" s="195">
        <v>7140772</v>
      </c>
      <c r="O26" s="195">
        <v>0</v>
      </c>
      <c r="P26" s="195">
        <v>0</v>
      </c>
      <c r="Q26" s="195">
        <v>0</v>
      </c>
      <c r="R26" s="195">
        <v>15849</v>
      </c>
      <c r="S26" s="194">
        <f t="shared" si="5"/>
        <v>15849</v>
      </c>
      <c r="T26" s="195">
        <v>0</v>
      </c>
      <c r="U26" s="195">
        <v>0</v>
      </c>
      <c r="V26" s="195">
        <v>0</v>
      </c>
      <c r="W26" s="195">
        <v>0</v>
      </c>
      <c r="X26" s="195">
        <v>15849</v>
      </c>
      <c r="Y26" s="195">
        <v>0</v>
      </c>
      <c r="Z26" s="195">
        <v>0</v>
      </c>
      <c r="AA26" s="470">
        <f>+'loans_av rate'!C16+'loans_av rate'!C26</f>
        <v>7156621</v>
      </c>
      <c r="AB26" s="470">
        <f>+'loans_av rate'!E16+'loans_av rate'!E26</f>
        <v>7156621</v>
      </c>
      <c r="AC26" s="470">
        <f>+'loans_av rate'!G16+'loans_av rate'!G26</f>
        <v>0</v>
      </c>
    </row>
    <row r="27" spans="1:29" s="189" customFormat="1" ht="49.5" customHeight="1">
      <c r="A27" s="472" t="s">
        <v>54</v>
      </c>
      <c r="B27" s="472" t="s">
        <v>527</v>
      </c>
      <c r="C27" s="184">
        <f>+C28</f>
        <v>6765395155</v>
      </c>
      <c r="D27" s="473">
        <f>IFERROR(((C29*D29)/C27)+((C30*D30)/C27)+((C31*D31)/C27)+((C32*D32)/C27)+((C33*D33)/C27)+((C34*D34)/C27)+((C35*D35)/C27),0)</f>
        <v>0.14716074280209465</v>
      </c>
      <c r="E27" s="184">
        <f t="shared" ref="E27:Z27" si="11">+E28</f>
        <v>3245554249</v>
      </c>
      <c r="F27" s="473">
        <f>IFERROR(((E29*F29)/E27)+((E30*F30)/E27)+((E31*F31)/E27)+((E32*F32)/E27)+((E33*F33)/E27)+((E34*F34)/E27)+((E35*F35)/E27),0)</f>
        <v>0.21729761920180615</v>
      </c>
      <c r="G27" s="184">
        <f t="shared" si="11"/>
        <v>3519840906</v>
      </c>
      <c r="H27" s="473">
        <f>IFERROR(((G29*H29)/G27)+((G30*H30)/G27)+((G31*H31)/G27)+((G32*H32)/G27)+((G33*H33)/G27)+((G34*H34)/G27)+((G35*H35)/G27),0)</f>
        <v>8.2489343358260928E-2</v>
      </c>
      <c r="I27" s="184">
        <f t="shared" si="11"/>
        <v>405160396</v>
      </c>
      <c r="J27" s="184">
        <f t="shared" si="11"/>
        <v>3500911392</v>
      </c>
      <c r="K27" s="184">
        <f t="shared" si="11"/>
        <v>2431825491</v>
      </c>
      <c r="L27" s="184">
        <f t="shared" si="11"/>
        <v>427497876</v>
      </c>
      <c r="M27" s="184">
        <f t="shared" si="11"/>
        <v>0</v>
      </c>
      <c r="N27" s="184">
        <f t="shared" si="11"/>
        <v>6538212940</v>
      </c>
      <c r="O27" s="184">
        <f t="shared" si="11"/>
        <v>81124646</v>
      </c>
      <c r="P27" s="184">
        <f t="shared" si="11"/>
        <v>56956322</v>
      </c>
      <c r="Q27" s="184">
        <f t="shared" si="11"/>
        <v>64503606</v>
      </c>
      <c r="R27" s="184">
        <f t="shared" si="11"/>
        <v>24597641</v>
      </c>
      <c r="S27" s="184">
        <f t="shared" si="11"/>
        <v>89650580</v>
      </c>
      <c r="T27" s="184">
        <f t="shared" si="11"/>
        <v>57296962</v>
      </c>
      <c r="U27" s="184">
        <f t="shared" si="11"/>
        <v>8842608</v>
      </c>
      <c r="V27" s="184">
        <f t="shared" si="11"/>
        <v>6997051</v>
      </c>
      <c r="W27" s="184">
        <f t="shared" si="11"/>
        <v>9052123</v>
      </c>
      <c r="X27" s="184">
        <f t="shared" si="11"/>
        <v>7461836</v>
      </c>
      <c r="Y27" s="184">
        <f t="shared" si="11"/>
        <v>58575016</v>
      </c>
      <c r="Z27" s="184">
        <f t="shared" si="11"/>
        <v>46465273</v>
      </c>
      <c r="AA27" s="470">
        <f>+'loans_av rate'!C28+'loans_av rate'!C37</f>
        <v>6765395155</v>
      </c>
      <c r="AB27" s="470">
        <f>+'loans_av rate'!E28+'loans_av rate'!E37</f>
        <v>3245554249</v>
      </c>
      <c r="AC27" s="470">
        <f>+'loans_av rate'!G28+'loans_av rate'!G37</f>
        <v>3519840906</v>
      </c>
    </row>
    <row r="28" spans="1:29" s="189" customFormat="1" ht="33.75" customHeight="1">
      <c r="A28" s="472"/>
      <c r="B28" s="472" t="s">
        <v>528</v>
      </c>
      <c r="C28" s="184">
        <f>SUM(C29:C35)</f>
        <v>6765395155</v>
      </c>
      <c r="D28" s="473">
        <f>IFERROR(((C29*D29)/C28)+((C30*D30)/C28)+((C31*D31)/C28)+((C32*D32)/C28)+((C33*D33)/C28)+((C34*D34)/C28)+((C35*D35)/C28),0)</f>
        <v>0.14716074280209465</v>
      </c>
      <c r="E28" s="184">
        <f>SUM(E29:E35)</f>
        <v>3245554249</v>
      </c>
      <c r="F28" s="473">
        <f>IFERROR(((E29*F29)/E28)+((E30*F30)/E28)+((E31*F31)/E28)+((E32*F32)/E28)+((E33*F33)/E28)+((E34*F34)/E28)+((E35*F35)/E28),0)</f>
        <v>0.21729761920180615</v>
      </c>
      <c r="G28" s="184">
        <f>SUM(G29:G35)</f>
        <v>3519840906</v>
      </c>
      <c r="H28" s="473">
        <f>IFERROR(+((G29*H29)/G28)+((G30*H30)/G28)+((G31*H31)/G28)+((G32*H32)/G28)+((G33*H33)/G28)+((G34*H34)/G28)+((G35*H35)/G28),0)</f>
        <v>8.2489343358260928E-2</v>
      </c>
      <c r="I28" s="184">
        <f>SUM(I29:I35)</f>
        <v>405160396</v>
      </c>
      <c r="J28" s="184">
        <f t="shared" ref="J28:R28" si="12">SUM(J29:J35)</f>
        <v>3500911392</v>
      </c>
      <c r="K28" s="184">
        <f t="shared" si="12"/>
        <v>2431825491</v>
      </c>
      <c r="L28" s="184">
        <f t="shared" si="12"/>
        <v>427497876</v>
      </c>
      <c r="M28" s="184">
        <f t="shared" si="12"/>
        <v>0</v>
      </c>
      <c r="N28" s="184">
        <f t="shared" si="12"/>
        <v>6538212940</v>
      </c>
      <c r="O28" s="184">
        <f t="shared" si="12"/>
        <v>81124646</v>
      </c>
      <c r="P28" s="184">
        <f t="shared" si="12"/>
        <v>56956322</v>
      </c>
      <c r="Q28" s="184">
        <f t="shared" si="12"/>
        <v>64503606</v>
      </c>
      <c r="R28" s="184">
        <f t="shared" si="12"/>
        <v>24597641</v>
      </c>
      <c r="S28" s="184">
        <f t="shared" ref="S28" si="13">SUM(S29:S35)</f>
        <v>89650580</v>
      </c>
      <c r="T28" s="184">
        <f t="shared" ref="T28" si="14">SUM(T29:T35)</f>
        <v>57296962</v>
      </c>
      <c r="U28" s="184">
        <f t="shared" ref="U28" si="15">SUM(U29:U35)</f>
        <v>8842608</v>
      </c>
      <c r="V28" s="184">
        <f t="shared" ref="V28" si="16">SUM(V29:V35)</f>
        <v>6997051</v>
      </c>
      <c r="W28" s="184">
        <f t="shared" ref="W28" si="17">SUM(W29:W35)</f>
        <v>9052123</v>
      </c>
      <c r="X28" s="184">
        <f t="shared" ref="X28" si="18">SUM(X29:X35)</f>
        <v>7461836</v>
      </c>
      <c r="Y28" s="184">
        <f t="shared" ref="Y28" si="19">SUM(Y29:Y35)</f>
        <v>58575016</v>
      </c>
      <c r="Z28" s="184">
        <f t="shared" ref="Z28" si="20">SUM(Z29:Z35)</f>
        <v>46465273</v>
      </c>
      <c r="AA28" s="470">
        <f>+'loans_av rate'!C28+'loans_av rate'!C37</f>
        <v>6765395155</v>
      </c>
      <c r="AB28" s="470">
        <f>+'loans_av rate'!E28+'loans_av rate'!E37</f>
        <v>3245554249</v>
      </c>
      <c r="AC28" s="470">
        <f>+'loans_av rate'!G28+'loans_av rate'!G37</f>
        <v>3519840906</v>
      </c>
    </row>
    <row r="29" spans="1:29" s="183" customFormat="1" ht="49.5" customHeight="1">
      <c r="A29" s="478">
        <v>1</v>
      </c>
      <c r="B29" s="483" t="s">
        <v>177</v>
      </c>
      <c r="C29" s="194">
        <f t="shared" ref="C29:C34" si="21">+E29+G29</f>
        <v>11295654</v>
      </c>
      <c r="D29" s="640">
        <f t="shared" ref="D29:D35" si="22">IFERROR((((E29*F29)+(G29*H29))/C29),0)</f>
        <v>0.2270970444355534</v>
      </c>
      <c r="E29" s="195">
        <v>10363229</v>
      </c>
      <c r="F29" s="480">
        <v>0.23722890336769534</v>
      </c>
      <c r="G29" s="195">
        <v>932425</v>
      </c>
      <c r="H29" s="480">
        <v>0.11448876568982844</v>
      </c>
      <c r="I29" s="195">
        <v>85112</v>
      </c>
      <c r="J29" s="195">
        <v>9922241</v>
      </c>
      <c r="K29" s="195">
        <v>1148770</v>
      </c>
      <c r="L29" s="195">
        <v>139531</v>
      </c>
      <c r="M29" s="195">
        <v>0</v>
      </c>
      <c r="N29" s="195">
        <v>10907243</v>
      </c>
      <c r="O29" s="195">
        <v>0</v>
      </c>
      <c r="P29" s="195">
        <v>0</v>
      </c>
      <c r="Q29" s="195">
        <v>0</v>
      </c>
      <c r="R29" s="195">
        <v>388411</v>
      </c>
      <c r="S29" s="194">
        <f t="shared" ref="S29:S35" si="23">SUM(T29:X29)</f>
        <v>178475</v>
      </c>
      <c r="T29" s="195">
        <v>0</v>
      </c>
      <c r="U29" s="195">
        <v>0</v>
      </c>
      <c r="V29" s="195">
        <v>0</v>
      </c>
      <c r="W29" s="195">
        <v>0</v>
      </c>
      <c r="X29" s="195">
        <v>178475</v>
      </c>
      <c r="Y29" s="195">
        <v>155172</v>
      </c>
      <c r="Z29" s="195">
        <v>0</v>
      </c>
      <c r="AA29" s="470">
        <f>+'loans_av rate'!C30+'loans_av rate'!C39</f>
        <v>11295654</v>
      </c>
      <c r="AB29" s="470">
        <f>+'loans_av rate'!E30+'loans_av rate'!E39</f>
        <v>10363229</v>
      </c>
      <c r="AC29" s="470">
        <f>+'loans_av rate'!G30+'loans_av rate'!G39</f>
        <v>932425</v>
      </c>
    </row>
    <row r="30" spans="1:29" s="183" customFormat="1" ht="49.5" customHeight="1">
      <c r="A30" s="478">
        <v>2</v>
      </c>
      <c r="B30" s="483" t="s">
        <v>501</v>
      </c>
      <c r="C30" s="194">
        <f t="shared" si="21"/>
        <v>0</v>
      </c>
      <c r="D30" s="640">
        <f t="shared" si="22"/>
        <v>0</v>
      </c>
      <c r="E30" s="195">
        <v>0</v>
      </c>
      <c r="F30" s="480" t="s">
        <v>813</v>
      </c>
      <c r="G30" s="195">
        <v>0</v>
      </c>
      <c r="H30" s="480" t="s">
        <v>813</v>
      </c>
      <c r="I30" s="195">
        <v>0</v>
      </c>
      <c r="J30" s="195">
        <v>0</v>
      </c>
      <c r="K30" s="195">
        <v>0</v>
      </c>
      <c r="L30" s="195">
        <v>0</v>
      </c>
      <c r="M30" s="195">
        <v>0</v>
      </c>
      <c r="N30" s="195">
        <v>0</v>
      </c>
      <c r="O30" s="195">
        <v>0</v>
      </c>
      <c r="P30" s="195">
        <v>0</v>
      </c>
      <c r="Q30" s="195">
        <v>0</v>
      </c>
      <c r="R30" s="195">
        <v>0</v>
      </c>
      <c r="S30" s="194">
        <f t="shared" si="23"/>
        <v>0</v>
      </c>
      <c r="T30" s="195">
        <v>0</v>
      </c>
      <c r="U30" s="195">
        <v>0</v>
      </c>
      <c r="V30" s="195">
        <v>0</v>
      </c>
      <c r="W30" s="195">
        <v>0</v>
      </c>
      <c r="X30" s="195">
        <v>0</v>
      </c>
      <c r="Y30" s="195">
        <v>0</v>
      </c>
      <c r="Z30" s="195">
        <v>0</v>
      </c>
      <c r="AA30" s="470">
        <f>+'loans_av rate'!C31+'loans_av rate'!C40</f>
        <v>0</v>
      </c>
      <c r="AB30" s="470">
        <f>+'loans_av rate'!E31+'loans_av rate'!E40</f>
        <v>0</v>
      </c>
      <c r="AC30" s="470">
        <f>+'loans_av rate'!G31+'loans_av rate'!G40</f>
        <v>0</v>
      </c>
    </row>
    <row r="31" spans="1:29" s="183" customFormat="1" ht="49.5" customHeight="1">
      <c r="A31" s="478">
        <v>3</v>
      </c>
      <c r="B31" s="483" t="s">
        <v>178</v>
      </c>
      <c r="C31" s="194">
        <f t="shared" si="21"/>
        <v>0</v>
      </c>
      <c r="D31" s="640">
        <f t="shared" si="22"/>
        <v>0</v>
      </c>
      <c r="E31" s="195">
        <v>0</v>
      </c>
      <c r="F31" s="480" t="s">
        <v>813</v>
      </c>
      <c r="G31" s="195">
        <v>0</v>
      </c>
      <c r="H31" s="480" t="s">
        <v>813</v>
      </c>
      <c r="I31" s="195">
        <v>0</v>
      </c>
      <c r="J31" s="195">
        <v>0</v>
      </c>
      <c r="K31" s="195">
        <v>0</v>
      </c>
      <c r="L31" s="195">
        <v>0</v>
      </c>
      <c r="M31" s="195">
        <v>0</v>
      </c>
      <c r="N31" s="195">
        <v>0</v>
      </c>
      <c r="O31" s="195">
        <v>0</v>
      </c>
      <c r="P31" s="195">
        <v>0</v>
      </c>
      <c r="Q31" s="195">
        <v>0</v>
      </c>
      <c r="R31" s="195">
        <v>0</v>
      </c>
      <c r="S31" s="194">
        <f t="shared" si="23"/>
        <v>0</v>
      </c>
      <c r="T31" s="195">
        <v>0</v>
      </c>
      <c r="U31" s="195">
        <v>0</v>
      </c>
      <c r="V31" s="195">
        <v>0</v>
      </c>
      <c r="W31" s="195">
        <v>0</v>
      </c>
      <c r="X31" s="195">
        <v>0</v>
      </c>
      <c r="Y31" s="195">
        <v>0</v>
      </c>
      <c r="Z31" s="195">
        <v>0</v>
      </c>
      <c r="AA31" s="470">
        <f>+'loans_av rate'!C32+'loans_av rate'!C41</f>
        <v>0</v>
      </c>
      <c r="AB31" s="470">
        <f>+'loans_av rate'!E32+'loans_av rate'!E41</f>
        <v>0</v>
      </c>
      <c r="AC31" s="470">
        <f>+'loans_av rate'!G32+'loans_av rate'!G41</f>
        <v>0</v>
      </c>
    </row>
    <row r="32" spans="1:29" s="183" customFormat="1" ht="49.5" customHeight="1">
      <c r="A32" s="478">
        <v>4</v>
      </c>
      <c r="B32" s="483" t="s">
        <v>179</v>
      </c>
      <c r="C32" s="194">
        <f t="shared" si="21"/>
        <v>0</v>
      </c>
      <c r="D32" s="640">
        <f t="shared" si="22"/>
        <v>0</v>
      </c>
      <c r="E32" s="195">
        <v>0</v>
      </c>
      <c r="F32" s="480" t="s">
        <v>813</v>
      </c>
      <c r="G32" s="195">
        <v>0</v>
      </c>
      <c r="H32" s="480" t="s">
        <v>813</v>
      </c>
      <c r="I32" s="195">
        <v>0</v>
      </c>
      <c r="J32" s="195">
        <v>0</v>
      </c>
      <c r="K32" s="195">
        <v>0</v>
      </c>
      <c r="L32" s="195">
        <v>0</v>
      </c>
      <c r="M32" s="195">
        <v>0</v>
      </c>
      <c r="N32" s="195">
        <v>0</v>
      </c>
      <c r="O32" s="195">
        <v>0</v>
      </c>
      <c r="P32" s="195">
        <v>0</v>
      </c>
      <c r="Q32" s="195">
        <v>0</v>
      </c>
      <c r="R32" s="195">
        <v>0</v>
      </c>
      <c r="S32" s="194">
        <f t="shared" si="23"/>
        <v>0</v>
      </c>
      <c r="T32" s="195">
        <v>0</v>
      </c>
      <c r="U32" s="195">
        <v>0</v>
      </c>
      <c r="V32" s="195">
        <v>0</v>
      </c>
      <c r="W32" s="195">
        <v>0</v>
      </c>
      <c r="X32" s="195">
        <v>0</v>
      </c>
      <c r="Y32" s="195">
        <v>0</v>
      </c>
      <c r="Z32" s="195">
        <v>0</v>
      </c>
      <c r="AA32" s="470">
        <f>+'loans_av rate'!C33+'loans_av rate'!C42</f>
        <v>0</v>
      </c>
      <c r="AB32" s="470">
        <f>+'loans_av rate'!E33+'loans_av rate'!E42</f>
        <v>0</v>
      </c>
      <c r="AC32" s="470">
        <f>+'loans_av rate'!G33+'loans_av rate'!G42</f>
        <v>0</v>
      </c>
    </row>
    <row r="33" spans="1:30" s="183" customFormat="1" ht="49.5" customHeight="1">
      <c r="A33" s="478">
        <v>5</v>
      </c>
      <c r="B33" s="483" t="s">
        <v>502</v>
      </c>
      <c r="C33" s="194">
        <f t="shared" si="21"/>
        <v>0</v>
      </c>
      <c r="D33" s="640">
        <f t="shared" si="22"/>
        <v>0</v>
      </c>
      <c r="E33" s="195">
        <v>0</v>
      </c>
      <c r="F33" s="480" t="s">
        <v>813</v>
      </c>
      <c r="G33" s="195">
        <v>0</v>
      </c>
      <c r="H33" s="480" t="s">
        <v>813</v>
      </c>
      <c r="I33" s="195">
        <v>0</v>
      </c>
      <c r="J33" s="195">
        <v>0</v>
      </c>
      <c r="K33" s="195">
        <v>0</v>
      </c>
      <c r="L33" s="195">
        <v>0</v>
      </c>
      <c r="M33" s="195">
        <v>0</v>
      </c>
      <c r="N33" s="195">
        <v>0</v>
      </c>
      <c r="O33" s="195">
        <v>0</v>
      </c>
      <c r="P33" s="195">
        <v>0</v>
      </c>
      <c r="Q33" s="195">
        <v>0</v>
      </c>
      <c r="R33" s="195">
        <v>0</v>
      </c>
      <c r="S33" s="194">
        <f t="shared" si="23"/>
        <v>0</v>
      </c>
      <c r="T33" s="195">
        <v>0</v>
      </c>
      <c r="U33" s="195">
        <v>0</v>
      </c>
      <c r="V33" s="195">
        <v>0</v>
      </c>
      <c r="W33" s="195">
        <v>0</v>
      </c>
      <c r="X33" s="195">
        <v>0</v>
      </c>
      <c r="Y33" s="195">
        <v>0</v>
      </c>
      <c r="Z33" s="195">
        <v>0</v>
      </c>
      <c r="AA33" s="470">
        <f>+'loans_av rate'!C34+'loans_av rate'!C43</f>
        <v>0</v>
      </c>
      <c r="AB33" s="470">
        <f>+'loans_av rate'!E34+'loans_av rate'!E43</f>
        <v>0</v>
      </c>
      <c r="AC33" s="470">
        <f>+'loans_av rate'!G34+'loans_av rate'!G43</f>
        <v>0</v>
      </c>
    </row>
    <row r="34" spans="1:30" s="183" customFormat="1" ht="49.5" customHeight="1">
      <c r="A34" s="478">
        <v>6</v>
      </c>
      <c r="B34" s="483" t="s">
        <v>529</v>
      </c>
      <c r="C34" s="194">
        <f t="shared" si="21"/>
        <v>0</v>
      </c>
      <c r="D34" s="640">
        <f t="shared" si="22"/>
        <v>0</v>
      </c>
      <c r="E34" s="195">
        <v>0</v>
      </c>
      <c r="F34" s="480">
        <v>0</v>
      </c>
      <c r="G34" s="195">
        <v>0</v>
      </c>
      <c r="H34" s="480">
        <v>0</v>
      </c>
      <c r="I34" s="195">
        <v>0</v>
      </c>
      <c r="J34" s="195">
        <v>0</v>
      </c>
      <c r="K34" s="195">
        <v>0</v>
      </c>
      <c r="L34" s="195">
        <v>0</v>
      </c>
      <c r="M34" s="195">
        <v>0</v>
      </c>
      <c r="N34" s="195">
        <v>0</v>
      </c>
      <c r="O34" s="195">
        <v>0</v>
      </c>
      <c r="P34" s="195">
        <v>0</v>
      </c>
      <c r="Q34" s="195">
        <v>0</v>
      </c>
      <c r="R34" s="195">
        <v>0</v>
      </c>
      <c r="S34" s="194">
        <f t="shared" si="23"/>
        <v>0</v>
      </c>
      <c r="T34" s="195">
        <v>0</v>
      </c>
      <c r="U34" s="195">
        <v>0</v>
      </c>
      <c r="V34" s="195">
        <v>0</v>
      </c>
      <c r="W34" s="195">
        <v>0</v>
      </c>
      <c r="X34" s="195">
        <v>0</v>
      </c>
      <c r="Y34" s="195">
        <v>0</v>
      </c>
      <c r="Z34" s="195">
        <v>0</v>
      </c>
      <c r="AA34" s="470"/>
      <c r="AB34" s="470"/>
      <c r="AC34" s="470"/>
    </row>
    <row r="35" spans="1:30" s="183" customFormat="1" ht="49.5" customHeight="1">
      <c r="A35" s="478">
        <v>7</v>
      </c>
      <c r="B35" s="483" t="s">
        <v>530</v>
      </c>
      <c r="C35" s="194">
        <f t="shared" ref="C35" si="24">+E35+G35</f>
        <v>6754099501</v>
      </c>
      <c r="D35" s="640">
        <f t="shared" si="22"/>
        <v>0.14702705617145537</v>
      </c>
      <c r="E35" s="195">
        <v>3235191020</v>
      </c>
      <c r="F35" s="480">
        <v>0.21723377367899213</v>
      </c>
      <c r="G35" s="195">
        <v>3518908481</v>
      </c>
      <c r="H35" s="480">
        <v>8.2480864291093192E-2</v>
      </c>
      <c r="I35" s="195">
        <v>405075284</v>
      </c>
      <c r="J35" s="195">
        <v>3490989151</v>
      </c>
      <c r="K35" s="195">
        <v>2430676721</v>
      </c>
      <c r="L35" s="195">
        <v>427358345</v>
      </c>
      <c r="M35" s="195">
        <v>0</v>
      </c>
      <c r="N35" s="195">
        <v>6527305697</v>
      </c>
      <c r="O35" s="195">
        <v>81124646</v>
      </c>
      <c r="P35" s="195">
        <v>56956322</v>
      </c>
      <c r="Q35" s="195">
        <v>64503606</v>
      </c>
      <c r="R35" s="195">
        <v>24209230</v>
      </c>
      <c r="S35" s="194">
        <f t="shared" si="23"/>
        <v>89472105</v>
      </c>
      <c r="T35" s="195">
        <v>57296962</v>
      </c>
      <c r="U35" s="195">
        <v>8842608</v>
      </c>
      <c r="V35" s="195">
        <v>6997051</v>
      </c>
      <c r="W35" s="195">
        <v>9052123</v>
      </c>
      <c r="X35" s="195">
        <v>7283361</v>
      </c>
      <c r="Y35" s="195">
        <v>58419844</v>
      </c>
      <c r="Z35" s="195">
        <v>46465273</v>
      </c>
      <c r="AA35" s="470">
        <f>+'loans_av rate'!C35+'loans_av rate'!C44</f>
        <v>6754099501</v>
      </c>
      <c r="AB35" s="470">
        <f>+'loans_av rate'!E35+'loans_av rate'!E44</f>
        <v>3235191020</v>
      </c>
      <c r="AC35" s="470">
        <f>+'loans_av rate'!G35+'loans_av rate'!G44</f>
        <v>3518908481</v>
      </c>
    </row>
    <row r="36" spans="1:30" s="189" customFormat="1" ht="33.75" customHeight="1">
      <c r="A36" s="472"/>
      <c r="B36" s="472" t="s">
        <v>531</v>
      </c>
      <c r="C36" s="184">
        <f>SUM(C37:C42)</f>
        <v>6765395155</v>
      </c>
      <c r="D36" s="473">
        <f>IFERROR(((C37*D37)/C36)+((C38*D38)/C36)+((C39*D39)/C36)+((C40*D40)/C36)+((C41*D41)/C36)+((C42*D42)/C36),0)</f>
        <v>0.13498295317240785</v>
      </c>
      <c r="E36" s="184">
        <f>SUM(E37:E42)</f>
        <v>3245554249</v>
      </c>
      <c r="F36" s="473">
        <f>IFERROR(((E37*F37)/E36)+((E38*F38)/E36)+((E39*F39)/E36)+((E40*F40)/E36)+((E41*F41)/E36)+((E42*F42)/E36),0)</f>
        <v>0.19209706109346253</v>
      </c>
      <c r="G36" s="184">
        <f>SUM(G37:G42)</f>
        <v>3519840906</v>
      </c>
      <c r="H36" s="473">
        <f>IFERROR(((G37*H37)/G36)+((G38*H38)/G36)+((G39*H39)/G36)+((G40*H40)/G36)+((G41*H41)/G36)+((G42*H42)/G36),0)</f>
        <v>8.2319511672809695E-2</v>
      </c>
      <c r="I36" s="184">
        <f t="shared" ref="I36:Z36" si="25">SUM(I37:I42)</f>
        <v>405160396</v>
      </c>
      <c r="J36" s="184">
        <f t="shared" si="25"/>
        <v>3500911392</v>
      </c>
      <c r="K36" s="184">
        <f t="shared" si="25"/>
        <v>2431825491</v>
      </c>
      <c r="L36" s="184">
        <f t="shared" si="25"/>
        <v>427497876</v>
      </c>
      <c r="M36" s="184">
        <f t="shared" si="25"/>
        <v>0</v>
      </c>
      <c r="N36" s="184">
        <f t="shared" si="25"/>
        <v>6538212940</v>
      </c>
      <c r="O36" s="184">
        <f t="shared" si="25"/>
        <v>81124646</v>
      </c>
      <c r="P36" s="184">
        <f t="shared" si="25"/>
        <v>56956322</v>
      </c>
      <c r="Q36" s="184">
        <f t="shared" si="25"/>
        <v>64503606</v>
      </c>
      <c r="R36" s="184">
        <f t="shared" si="25"/>
        <v>24597641</v>
      </c>
      <c r="S36" s="184">
        <f t="shared" si="25"/>
        <v>89650580</v>
      </c>
      <c r="T36" s="184">
        <f t="shared" si="25"/>
        <v>57296962</v>
      </c>
      <c r="U36" s="184">
        <f t="shared" si="25"/>
        <v>8842608</v>
      </c>
      <c r="V36" s="184">
        <f t="shared" si="25"/>
        <v>6997051</v>
      </c>
      <c r="W36" s="184">
        <f t="shared" si="25"/>
        <v>9052123</v>
      </c>
      <c r="X36" s="184">
        <f t="shared" si="25"/>
        <v>7461836</v>
      </c>
      <c r="Y36" s="184">
        <f t="shared" si="25"/>
        <v>58575016</v>
      </c>
      <c r="Z36" s="184">
        <f t="shared" si="25"/>
        <v>46465273</v>
      </c>
      <c r="AA36" s="470">
        <f>+'loans_av rate'!C28+'loans_av rate'!C37</f>
        <v>6765395155</v>
      </c>
      <c r="AB36" s="470">
        <f>+'loans_av rate'!E28+'loans_av rate'!E37</f>
        <v>3245554249</v>
      </c>
      <c r="AC36" s="470">
        <f>+'loans_av rate'!G28+'loans_av rate'!G37</f>
        <v>3519840906</v>
      </c>
    </row>
    <row r="37" spans="1:30" s="183" customFormat="1" ht="49.5" customHeight="1">
      <c r="A37" s="478">
        <v>1</v>
      </c>
      <c r="B37" s="483" t="s">
        <v>532</v>
      </c>
      <c r="C37" s="194">
        <f t="shared" ref="C37:C42" si="26">+E37+G37</f>
        <v>50504676</v>
      </c>
      <c r="D37" s="640">
        <f t="shared" ref="D37:D42" si="27">IFERROR((((E37*F37)+(G37*H37))/C37),0)</f>
        <v>0.19336540613981965</v>
      </c>
      <c r="E37" s="195">
        <v>40078019</v>
      </c>
      <c r="F37" s="480">
        <v>0.21560000000000001</v>
      </c>
      <c r="G37" s="195">
        <v>10426657</v>
      </c>
      <c r="H37" s="480">
        <v>0.1079</v>
      </c>
      <c r="I37" s="195">
        <v>21789060</v>
      </c>
      <c r="J37" s="195">
        <v>26128614</v>
      </c>
      <c r="K37" s="195">
        <v>1509663</v>
      </c>
      <c r="L37" s="195">
        <v>1077339</v>
      </c>
      <c r="M37" s="195">
        <v>0</v>
      </c>
      <c r="N37" s="195">
        <v>37089739</v>
      </c>
      <c r="O37" s="195">
        <v>8102427</v>
      </c>
      <c r="P37" s="195">
        <v>2969019</v>
      </c>
      <c r="Q37" s="195">
        <v>1470472</v>
      </c>
      <c r="R37" s="195">
        <v>873019</v>
      </c>
      <c r="S37" s="194">
        <f t="shared" ref="S37:S42" si="28">SUM(T37:X37)</f>
        <v>2001419</v>
      </c>
      <c r="T37" s="195">
        <v>0</v>
      </c>
      <c r="U37" s="195">
        <v>810243</v>
      </c>
      <c r="V37" s="195">
        <v>742255</v>
      </c>
      <c r="W37" s="195">
        <v>448921</v>
      </c>
      <c r="X37" s="195">
        <v>0</v>
      </c>
      <c r="Y37" s="195">
        <v>0</v>
      </c>
      <c r="Z37" s="195">
        <v>0</v>
      </c>
    </row>
    <row r="38" spans="1:30" s="183" customFormat="1" ht="49.5" customHeight="1">
      <c r="A38" s="478">
        <v>2</v>
      </c>
      <c r="B38" s="483" t="s">
        <v>533</v>
      </c>
      <c r="C38" s="194">
        <f t="shared" si="26"/>
        <v>984735922</v>
      </c>
      <c r="D38" s="640">
        <f t="shared" si="27"/>
        <v>0.17685993467678129</v>
      </c>
      <c r="E38" s="195">
        <v>588754794</v>
      </c>
      <c r="F38" s="480">
        <v>0.23380000000000001</v>
      </c>
      <c r="G38" s="195">
        <v>395981128</v>
      </c>
      <c r="H38" s="480">
        <v>9.2200000000000004E-2</v>
      </c>
      <c r="I38" s="195">
        <v>215025711</v>
      </c>
      <c r="J38" s="195">
        <v>766734805</v>
      </c>
      <c r="K38" s="195">
        <v>2442433</v>
      </c>
      <c r="L38" s="195">
        <v>532973</v>
      </c>
      <c r="M38" s="195">
        <v>0</v>
      </c>
      <c r="N38" s="195">
        <v>885432948</v>
      </c>
      <c r="O38" s="195">
        <v>50867757</v>
      </c>
      <c r="P38" s="195">
        <v>29814724</v>
      </c>
      <c r="Q38" s="195">
        <v>18288063</v>
      </c>
      <c r="R38" s="195">
        <v>332430</v>
      </c>
      <c r="S38" s="194">
        <f t="shared" si="28"/>
        <v>6535151</v>
      </c>
      <c r="T38" s="195">
        <v>0</v>
      </c>
      <c r="U38" s="195">
        <v>58210</v>
      </c>
      <c r="V38" s="195">
        <v>3945981</v>
      </c>
      <c r="W38" s="195">
        <v>2342282</v>
      </c>
      <c r="X38" s="195">
        <v>188678</v>
      </c>
      <c r="Y38" s="195">
        <v>16740141</v>
      </c>
      <c r="Z38" s="195">
        <v>0</v>
      </c>
    </row>
    <row r="39" spans="1:30" s="183" customFormat="1" ht="58.5" customHeight="1">
      <c r="A39" s="478">
        <v>3</v>
      </c>
      <c r="B39" s="483" t="s">
        <v>534</v>
      </c>
      <c r="C39" s="194">
        <f t="shared" si="26"/>
        <v>4073379320</v>
      </c>
      <c r="D39" s="640">
        <f t="shared" si="27"/>
        <v>0.13023781544201976</v>
      </c>
      <c r="E39" s="195">
        <v>1847493515</v>
      </c>
      <c r="F39" s="480">
        <v>0.1845</v>
      </c>
      <c r="G39" s="195">
        <v>2225885805</v>
      </c>
      <c r="H39" s="480">
        <v>8.5199999999999998E-2</v>
      </c>
      <c r="I39" s="195">
        <v>134168053</v>
      </c>
      <c r="J39" s="195">
        <v>1779515746</v>
      </c>
      <c r="K39" s="195">
        <v>1839759042</v>
      </c>
      <c r="L39" s="195">
        <v>319936479</v>
      </c>
      <c r="M39" s="195">
        <v>0</v>
      </c>
      <c r="N39" s="195">
        <v>3996670925</v>
      </c>
      <c r="O39" s="195">
        <v>15944384</v>
      </c>
      <c r="P39" s="195">
        <v>9120660</v>
      </c>
      <c r="Q39" s="195">
        <v>37611931</v>
      </c>
      <c r="R39" s="195">
        <v>14031420</v>
      </c>
      <c r="S39" s="194">
        <f t="shared" si="28"/>
        <v>15502736</v>
      </c>
      <c r="T39" s="195">
        <v>0</v>
      </c>
      <c r="U39" s="195">
        <v>1477541</v>
      </c>
      <c r="V39" s="195">
        <v>1290166</v>
      </c>
      <c r="W39" s="195">
        <v>6219114</v>
      </c>
      <c r="X39" s="195">
        <v>6515915</v>
      </c>
      <c r="Y39" s="195">
        <v>17508094</v>
      </c>
      <c r="Z39" s="195">
        <v>46465273</v>
      </c>
    </row>
    <row r="40" spans="1:30" s="183" customFormat="1" ht="49.5" customHeight="1">
      <c r="A40" s="478">
        <v>4</v>
      </c>
      <c r="B40" s="483" t="s">
        <v>535</v>
      </c>
      <c r="C40" s="194">
        <f t="shared" si="26"/>
        <v>0</v>
      </c>
      <c r="D40" s="640">
        <f t="shared" si="27"/>
        <v>0</v>
      </c>
      <c r="E40" s="195">
        <v>0</v>
      </c>
      <c r="F40" s="480" t="s">
        <v>813</v>
      </c>
      <c r="G40" s="195">
        <v>0</v>
      </c>
      <c r="H40" s="480" t="s">
        <v>813</v>
      </c>
      <c r="I40" s="195">
        <v>0</v>
      </c>
      <c r="J40" s="195">
        <v>0</v>
      </c>
      <c r="K40" s="195">
        <v>0</v>
      </c>
      <c r="L40" s="195">
        <v>0</v>
      </c>
      <c r="M40" s="195">
        <v>0</v>
      </c>
      <c r="N40" s="195">
        <v>0</v>
      </c>
      <c r="O40" s="195">
        <v>0</v>
      </c>
      <c r="P40" s="195">
        <v>0</v>
      </c>
      <c r="Q40" s="195">
        <v>0</v>
      </c>
      <c r="R40" s="195">
        <v>0</v>
      </c>
      <c r="S40" s="194">
        <f t="shared" si="28"/>
        <v>0</v>
      </c>
      <c r="T40" s="195">
        <v>0</v>
      </c>
      <c r="U40" s="195">
        <v>0</v>
      </c>
      <c r="V40" s="195">
        <v>0</v>
      </c>
      <c r="W40" s="195">
        <v>0</v>
      </c>
      <c r="X40" s="195">
        <v>0</v>
      </c>
      <c r="Y40" s="195">
        <v>0</v>
      </c>
      <c r="Z40" s="195">
        <v>0</v>
      </c>
    </row>
    <row r="41" spans="1:30" s="183" customFormat="1" ht="49.5" customHeight="1">
      <c r="A41" s="478">
        <v>5</v>
      </c>
      <c r="B41" s="483" t="s">
        <v>536</v>
      </c>
      <c r="C41" s="194">
        <f t="shared" si="26"/>
        <v>10154137</v>
      </c>
      <c r="D41" s="640">
        <f t="shared" si="27"/>
        <v>0.1385220159231651</v>
      </c>
      <c r="E41" s="195">
        <v>3288026</v>
      </c>
      <c r="F41" s="480">
        <v>0.1772</v>
      </c>
      <c r="G41" s="195">
        <v>6866111</v>
      </c>
      <c r="H41" s="480" t="s">
        <v>814</v>
      </c>
      <c r="I41" s="195">
        <v>0</v>
      </c>
      <c r="J41" s="195">
        <v>10154137</v>
      </c>
      <c r="K41" s="195">
        <v>0</v>
      </c>
      <c r="L41" s="195">
        <v>0</v>
      </c>
      <c r="M41" s="195">
        <v>0</v>
      </c>
      <c r="N41" s="195">
        <v>9572875</v>
      </c>
      <c r="O41" s="195">
        <v>0</v>
      </c>
      <c r="P41" s="195">
        <v>581262</v>
      </c>
      <c r="Q41" s="195">
        <v>0</v>
      </c>
      <c r="R41" s="195">
        <v>0</v>
      </c>
      <c r="S41" s="194">
        <f t="shared" si="28"/>
        <v>145315</v>
      </c>
      <c r="T41" s="195">
        <v>0</v>
      </c>
      <c r="U41" s="195">
        <v>0</v>
      </c>
      <c r="V41" s="195">
        <v>145315</v>
      </c>
      <c r="W41" s="195">
        <v>0</v>
      </c>
      <c r="X41" s="195">
        <v>0</v>
      </c>
      <c r="Y41" s="195">
        <v>0</v>
      </c>
      <c r="Z41" s="195">
        <v>0</v>
      </c>
    </row>
    <row r="42" spans="1:30" s="183" customFormat="1" ht="49.5" customHeight="1">
      <c r="A42" s="478">
        <v>6</v>
      </c>
      <c r="B42" s="483" t="s">
        <v>537</v>
      </c>
      <c r="C42" s="194">
        <f t="shared" si="26"/>
        <v>1646621100</v>
      </c>
      <c r="D42" s="640">
        <f t="shared" si="27"/>
        <v>0.11986499732330651</v>
      </c>
      <c r="E42" s="195">
        <v>765939895</v>
      </c>
      <c r="F42" s="480">
        <v>0.1772</v>
      </c>
      <c r="G42" s="195">
        <v>880681205</v>
      </c>
      <c r="H42" s="480" t="s">
        <v>815</v>
      </c>
      <c r="I42" s="195">
        <v>34177572</v>
      </c>
      <c r="J42" s="195">
        <v>918378090</v>
      </c>
      <c r="K42" s="195">
        <v>588114353</v>
      </c>
      <c r="L42" s="195">
        <v>105951085</v>
      </c>
      <c r="M42" s="195">
        <v>0</v>
      </c>
      <c r="N42" s="195">
        <v>1609446453</v>
      </c>
      <c r="O42" s="195">
        <v>6210078</v>
      </c>
      <c r="P42" s="195">
        <v>14470657</v>
      </c>
      <c r="Q42" s="195">
        <v>7133140</v>
      </c>
      <c r="R42" s="195">
        <v>9360772</v>
      </c>
      <c r="S42" s="194">
        <f t="shared" si="28"/>
        <v>65465959</v>
      </c>
      <c r="T42" s="195">
        <v>57296962</v>
      </c>
      <c r="U42" s="195">
        <v>6496614</v>
      </c>
      <c r="V42" s="195">
        <v>873334</v>
      </c>
      <c r="W42" s="195">
        <v>41806</v>
      </c>
      <c r="X42" s="195">
        <v>757243</v>
      </c>
      <c r="Y42" s="195">
        <v>24326781</v>
      </c>
      <c r="Z42" s="195">
        <v>0</v>
      </c>
    </row>
    <row r="43" spans="1:30" s="183" customFormat="1" ht="37.5" customHeight="1">
      <c r="A43" s="484"/>
      <c r="B43" s="485"/>
      <c r="C43" s="190"/>
      <c r="D43" s="486"/>
      <c r="E43" s="190"/>
      <c r="F43" s="190"/>
      <c r="G43" s="190"/>
      <c r="H43" s="190"/>
      <c r="I43" s="485"/>
      <c r="J43" s="485"/>
      <c r="K43" s="485"/>
      <c r="L43" s="485"/>
      <c r="M43" s="485"/>
      <c r="N43" s="486"/>
      <c r="O43" s="486"/>
      <c r="P43" s="486"/>
      <c r="Q43" s="486"/>
      <c r="R43" s="486"/>
      <c r="S43" s="486"/>
      <c r="T43" s="486"/>
      <c r="U43" s="486"/>
      <c r="V43" s="486"/>
      <c r="W43" s="486"/>
      <c r="X43" s="486"/>
      <c r="Y43" s="486"/>
      <c r="Z43" s="486"/>
    </row>
    <row r="44" spans="1:30" s="269" customFormat="1" ht="21" customHeight="1">
      <c r="A44" s="34"/>
      <c r="B44" s="596" t="s">
        <v>788</v>
      </c>
      <c r="C44" s="34"/>
      <c r="D44" s="34"/>
      <c r="E44" s="34"/>
      <c r="F44" s="349"/>
      <c r="G44" s="349"/>
      <c r="H44" s="349"/>
      <c r="I44" s="349"/>
      <c r="J44" s="349"/>
      <c r="K44" s="349"/>
      <c r="L44" s="349"/>
      <c r="M44" s="349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spans="1:30" s="269" customFormat="1" ht="21" customHeight="1">
      <c r="A45" s="34"/>
      <c r="B45" s="596"/>
      <c r="C45" s="34"/>
      <c r="D45" s="34"/>
      <c r="E45" s="34"/>
      <c r="F45" s="349"/>
      <c r="G45" s="349"/>
      <c r="H45" s="349"/>
      <c r="I45" s="349"/>
      <c r="J45" s="349"/>
      <c r="K45" s="349"/>
      <c r="L45" s="349"/>
      <c r="M45" s="349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spans="1:30" s="269" customFormat="1" ht="21" customHeight="1">
      <c r="A46" s="34"/>
      <c r="B46" s="596" t="s">
        <v>789</v>
      </c>
      <c r="C46" s="34"/>
      <c r="D46" s="34"/>
      <c r="E46" s="34"/>
      <c r="F46" s="349"/>
      <c r="G46" s="349"/>
      <c r="H46" s="349"/>
      <c r="I46" s="349"/>
      <c r="J46" s="349"/>
      <c r="K46" s="349"/>
      <c r="L46" s="349"/>
      <c r="M46" s="349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spans="1:30" s="78" customFormat="1" ht="15.75">
      <c r="A47" s="90"/>
    </row>
    <row r="48" spans="1:30" s="174" customFormat="1" ht="15.75">
      <c r="A48" s="197"/>
      <c r="B48" s="198"/>
      <c r="J48" s="197"/>
    </row>
    <row r="49" spans="1:10" s="174" customFormat="1" ht="15.75">
      <c r="A49" s="197"/>
      <c r="B49" s="198"/>
      <c r="J49" s="197"/>
    </row>
    <row r="50" spans="1:10" s="174" customFormat="1" ht="15.75">
      <c r="A50" s="197"/>
      <c r="B50" s="198"/>
      <c r="J50" s="197"/>
    </row>
    <row r="51" spans="1:10" s="192" customFormat="1" ht="15.75">
      <c r="A51" s="191"/>
    </row>
  </sheetData>
  <sheetProtection password="CACA" sheet="1" objects="1" scenarios="1"/>
  <mergeCells count="17"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  <mergeCell ref="L5:L6"/>
  </mergeCells>
  <conditionalFormatting sqref="C12">
    <cfRule type="cellIs" dxfId="200" priority="419" operator="notEqual">
      <formula>N12+O12+P12+Q12+R12</formula>
    </cfRule>
    <cfRule type="cellIs" dxfId="199" priority="420" operator="notEqual">
      <formula>I12+J12+K12+L12+M12</formula>
    </cfRule>
  </conditionalFormatting>
  <conditionalFormatting sqref="C13">
    <cfRule type="cellIs" dxfId="198" priority="417" operator="notEqual">
      <formula>N13+O13+P13+Q13+R13</formula>
    </cfRule>
    <cfRule type="cellIs" dxfId="197" priority="418" operator="notEqual">
      <formula>I13+J13+K13+L13+M13</formula>
    </cfRule>
  </conditionalFormatting>
  <conditionalFormatting sqref="C15">
    <cfRule type="cellIs" dxfId="196" priority="413" operator="notEqual">
      <formula>N15+O15+P15+Q15+R15</formula>
    </cfRule>
    <cfRule type="cellIs" dxfId="195" priority="414" operator="notEqual">
      <formula>I15+J15+K15+L15+M15</formula>
    </cfRule>
  </conditionalFormatting>
  <conditionalFormatting sqref="C17">
    <cfRule type="cellIs" dxfId="194" priority="411" operator="notEqual">
      <formula>N17+O17+P17+Q17+R17</formula>
    </cfRule>
    <cfRule type="cellIs" dxfId="193" priority="412" operator="notEqual">
      <formula>I17+J17+K17+L17+M17</formula>
    </cfRule>
  </conditionalFormatting>
  <conditionalFormatting sqref="C18">
    <cfRule type="cellIs" dxfId="192" priority="409" operator="notEqual">
      <formula>N18+O18+P18+Q18+R18</formula>
    </cfRule>
    <cfRule type="cellIs" dxfId="191" priority="410" operator="notEqual">
      <formula>I18+J18+K18+L18+M18</formula>
    </cfRule>
  </conditionalFormatting>
  <conditionalFormatting sqref="C19">
    <cfRule type="cellIs" dxfId="190" priority="407" operator="notEqual">
      <formula>N19+O19+P19+Q19+R19</formula>
    </cfRule>
    <cfRule type="cellIs" dxfId="189" priority="408" operator="notEqual">
      <formula>I19+J19+K19+L19+M19</formula>
    </cfRule>
  </conditionalFormatting>
  <conditionalFormatting sqref="C20">
    <cfRule type="cellIs" dxfId="188" priority="405" operator="notEqual">
      <formula>N20+O20+P20+Q20+R20</formula>
    </cfRule>
    <cfRule type="cellIs" dxfId="187" priority="406" operator="notEqual">
      <formula>I20+J20+K20+L20+M20</formula>
    </cfRule>
  </conditionalFormatting>
  <conditionalFormatting sqref="C37">
    <cfRule type="cellIs" dxfId="186" priority="383" operator="notEqual">
      <formula>N37+O37+P37+Q37+R37</formula>
    </cfRule>
    <cfRule type="cellIs" dxfId="185" priority="384" operator="notEqual">
      <formula>I37+J37+K37+L37+M37</formula>
    </cfRule>
  </conditionalFormatting>
  <conditionalFormatting sqref="C38">
    <cfRule type="cellIs" dxfId="184" priority="381" operator="notEqual">
      <formula>N38+O38+P38+Q38+R38</formula>
    </cfRule>
    <cfRule type="cellIs" dxfId="183" priority="382" operator="notEqual">
      <formula>I38+J38+K38+L38+M38</formula>
    </cfRule>
  </conditionalFormatting>
  <conditionalFormatting sqref="C39">
    <cfRule type="cellIs" dxfId="182" priority="379" operator="notEqual">
      <formula>N39+O39+P39+Q39+R39</formula>
    </cfRule>
    <cfRule type="cellIs" dxfId="181" priority="380" operator="notEqual">
      <formula>I39+J39+K39+L39+M39</formula>
    </cfRule>
  </conditionalFormatting>
  <conditionalFormatting sqref="C41">
    <cfRule type="cellIs" dxfId="180" priority="375" operator="notEqual">
      <formula>N41+O41+P41+Q41+R41</formula>
    </cfRule>
    <cfRule type="cellIs" dxfId="179" priority="376" operator="notEqual">
      <formula>I41+J41+K41+L41+M41</formula>
    </cfRule>
  </conditionalFormatting>
  <conditionalFormatting sqref="C42">
    <cfRule type="cellIs" dxfId="178" priority="373" operator="notEqual">
      <formula>N42+O42+P42+Q42+R42</formula>
    </cfRule>
    <cfRule type="cellIs" dxfId="177" priority="374" operator="notEqual">
      <formula>I42+J42+K42+L42+M42</formula>
    </cfRule>
  </conditionalFormatting>
  <conditionalFormatting sqref="T8">
    <cfRule type="cellIs" dxfId="176" priority="372" operator="notEqual">
      <formula>$AD$10</formula>
    </cfRule>
  </conditionalFormatting>
  <conditionalFormatting sqref="U8">
    <cfRule type="cellIs" dxfId="175" priority="371" operator="notEqual">
      <formula>$AE$10</formula>
    </cfRule>
  </conditionalFormatting>
  <conditionalFormatting sqref="V8">
    <cfRule type="cellIs" dxfId="174" priority="370" operator="notEqual">
      <formula>$AF$10</formula>
    </cfRule>
  </conditionalFormatting>
  <conditionalFormatting sqref="W8">
    <cfRule type="cellIs" dxfId="173" priority="369" operator="notEqual">
      <formula>$AG$10</formula>
    </cfRule>
  </conditionalFormatting>
  <conditionalFormatting sqref="X8">
    <cfRule type="cellIs" dxfId="172" priority="368" operator="notEqual">
      <formula>$AH$10</formula>
    </cfRule>
  </conditionalFormatting>
  <conditionalFormatting sqref="E36">
    <cfRule type="cellIs" dxfId="171" priority="93" operator="notEqual">
      <formula>E27</formula>
    </cfRule>
    <cfRule type="cellIs" dxfId="170" priority="361" operator="notEqual">
      <formula>$AB$36</formula>
    </cfRule>
  </conditionalFormatting>
  <conditionalFormatting sqref="G36">
    <cfRule type="cellIs" dxfId="169" priority="92" operator="notEqual">
      <formula>G27</formula>
    </cfRule>
    <cfRule type="cellIs" dxfId="168" priority="360" operator="notEqual">
      <formula>$AC$36</formula>
    </cfRule>
  </conditionalFormatting>
  <conditionalFormatting sqref="C14">
    <cfRule type="cellIs" dxfId="167" priority="309" operator="notEqual">
      <formula>N14+O14+P14+Q14+R14</formula>
    </cfRule>
    <cfRule type="cellIs" dxfId="166" priority="310" operator="notEqual">
      <formula>I14+J14+K14+L14+M14</formula>
    </cfRule>
  </conditionalFormatting>
  <conditionalFormatting sqref="C11 C16">
    <cfRule type="cellIs" dxfId="165" priority="829" operator="notEqual">
      <formula>AA11</formula>
    </cfRule>
    <cfRule type="cellIs" dxfId="164" priority="830" operator="notEqual">
      <formula>N11+O11+P11+Q11+R11</formula>
    </cfRule>
    <cfRule type="cellIs" dxfId="163" priority="831" operator="notEqual">
      <formula>I11+J11+K11+L11+M11</formula>
    </cfRule>
  </conditionalFormatting>
  <conditionalFormatting sqref="N8">
    <cfRule type="cellIs" dxfId="162" priority="832" operator="notEqual">
      <formula>AD8</formula>
    </cfRule>
  </conditionalFormatting>
  <conditionalFormatting sqref="O8">
    <cfRule type="cellIs" dxfId="161" priority="833" operator="notEqual">
      <formula>$AE$8</formula>
    </cfRule>
  </conditionalFormatting>
  <conditionalFormatting sqref="P8">
    <cfRule type="cellIs" dxfId="160" priority="834" operator="notEqual">
      <formula>$AF$8</formula>
    </cfRule>
  </conditionalFormatting>
  <conditionalFormatting sqref="Q8">
    <cfRule type="cellIs" dxfId="159" priority="835" operator="notEqual">
      <formula>$AG$8</formula>
    </cfRule>
  </conditionalFormatting>
  <conditionalFormatting sqref="R8">
    <cfRule type="cellIs" dxfId="158" priority="836" operator="notEqual">
      <formula>$AH$8</formula>
    </cfRule>
  </conditionalFormatting>
  <conditionalFormatting sqref="N9">
    <cfRule type="cellIs" dxfId="157" priority="235" operator="notEqual">
      <formula>$AD$13</formula>
    </cfRule>
  </conditionalFormatting>
  <conditionalFormatting sqref="O9">
    <cfRule type="cellIs" dxfId="156" priority="234" operator="notEqual">
      <formula>$AE$13</formula>
    </cfRule>
  </conditionalFormatting>
  <conditionalFormatting sqref="P9">
    <cfRule type="cellIs" dxfId="155" priority="233" operator="notEqual">
      <formula>$AF$13</formula>
    </cfRule>
  </conditionalFormatting>
  <conditionalFormatting sqref="Q9">
    <cfRule type="cellIs" dxfId="154" priority="232" operator="notEqual">
      <formula>$AG$13</formula>
    </cfRule>
  </conditionalFormatting>
  <conditionalFormatting sqref="R9">
    <cfRule type="cellIs" dxfId="153" priority="231" operator="notEqual">
      <formula>$AH$13</formula>
    </cfRule>
  </conditionalFormatting>
  <conditionalFormatting sqref="T9">
    <cfRule type="cellIs" dxfId="152" priority="230" operator="notEqual">
      <formula>$AD$15</formula>
    </cfRule>
  </conditionalFormatting>
  <conditionalFormatting sqref="U9">
    <cfRule type="cellIs" dxfId="151" priority="229" operator="notEqual">
      <formula>$AE$15</formula>
    </cfRule>
  </conditionalFormatting>
  <conditionalFormatting sqref="V9">
    <cfRule type="cellIs" dxfId="150" priority="228" operator="notEqual">
      <formula>$AF$15</formula>
    </cfRule>
  </conditionalFormatting>
  <conditionalFormatting sqref="W9">
    <cfRule type="cellIs" dxfId="149" priority="227" operator="notEqual">
      <formula>$AG$15</formula>
    </cfRule>
  </conditionalFormatting>
  <conditionalFormatting sqref="X9">
    <cfRule type="cellIs" dxfId="148" priority="226" operator="notEqual">
      <formula>$AH$15</formula>
    </cfRule>
  </conditionalFormatting>
  <conditionalFormatting sqref="C21">
    <cfRule type="cellIs" dxfId="147" priority="200" operator="notEqual">
      <formula>AA21</formula>
    </cfRule>
    <cfRule type="cellIs" dxfId="146" priority="201" operator="notEqual">
      <formula>N21+O21+P21+Q21+R21</formula>
    </cfRule>
    <cfRule type="cellIs" dxfId="145" priority="202" operator="notEqual">
      <formula>I21+J21+K21+L21+M21</formula>
    </cfRule>
  </conditionalFormatting>
  <conditionalFormatting sqref="C22">
    <cfRule type="cellIs" dxfId="144" priority="195" operator="notEqual">
      <formula>AA22</formula>
    </cfRule>
    <cfRule type="cellIs" dxfId="143" priority="196" operator="notEqual">
      <formula>N22+O22+P22+Q22+R22</formula>
    </cfRule>
    <cfRule type="cellIs" dxfId="142" priority="197" operator="notEqual">
      <formula>I22+J22+K22+L22+M22</formula>
    </cfRule>
  </conditionalFormatting>
  <conditionalFormatting sqref="C23">
    <cfRule type="cellIs" dxfId="141" priority="192" operator="notEqual">
      <formula>AA23</formula>
    </cfRule>
    <cfRule type="cellIs" dxfId="140" priority="193" operator="notEqual">
      <formula>N23+O23+P23+Q23+R23</formula>
    </cfRule>
    <cfRule type="cellIs" dxfId="139" priority="194" operator="notEqual">
      <formula>I23+J23+K23+L23+M23</formula>
    </cfRule>
  </conditionalFormatting>
  <conditionalFormatting sqref="C8">
    <cfRule type="cellIs" dxfId="138" priority="189" operator="notEqual">
      <formula>AA8</formula>
    </cfRule>
    <cfRule type="cellIs" dxfId="137" priority="190" operator="notEqual">
      <formula>N8+O8+P8+Q8+R8</formula>
    </cfRule>
    <cfRule type="cellIs" dxfId="136" priority="191" operator="notEqual">
      <formula>I8+J8+K8+L8+M8</formula>
    </cfRule>
  </conditionalFormatting>
  <conditionalFormatting sqref="C9">
    <cfRule type="cellIs" dxfId="135" priority="186" operator="notEqual">
      <formula>AA9</formula>
    </cfRule>
    <cfRule type="cellIs" dxfId="134" priority="187" operator="notEqual">
      <formula>N9+O9+P9+Q9+R9</formula>
    </cfRule>
    <cfRule type="cellIs" dxfId="133" priority="188" operator="notEqual">
      <formula>I9+J9+K9+L9+M9</formula>
    </cfRule>
  </conditionalFormatting>
  <conditionalFormatting sqref="E8">
    <cfRule type="cellIs" dxfId="132" priority="185" operator="notEqual">
      <formula>$AB$8</formula>
    </cfRule>
  </conditionalFormatting>
  <conditionalFormatting sqref="G8">
    <cfRule type="cellIs" dxfId="131" priority="184" operator="notEqual">
      <formula>$AC$8</formula>
    </cfRule>
  </conditionalFormatting>
  <conditionalFormatting sqref="E9">
    <cfRule type="cellIs" dxfId="130" priority="183" operator="notEqual">
      <formula>$AB$9</formula>
    </cfRule>
  </conditionalFormatting>
  <conditionalFormatting sqref="G9">
    <cfRule type="cellIs" dxfId="129" priority="182" operator="notEqual">
      <formula>$AC$9</formula>
    </cfRule>
  </conditionalFormatting>
  <conditionalFormatting sqref="E11">
    <cfRule type="cellIs" dxfId="128" priority="181" operator="notEqual">
      <formula>$AB$11</formula>
    </cfRule>
  </conditionalFormatting>
  <conditionalFormatting sqref="G11">
    <cfRule type="cellIs" dxfId="127" priority="180" operator="notEqual">
      <formula>$AC$11</formula>
    </cfRule>
  </conditionalFormatting>
  <conditionalFormatting sqref="E16">
    <cfRule type="cellIs" dxfId="126" priority="179" operator="notEqual">
      <formula>$AB$16</formula>
    </cfRule>
  </conditionalFormatting>
  <conditionalFormatting sqref="G16">
    <cfRule type="cellIs" dxfId="125" priority="178" operator="notEqual">
      <formula>$AC$16</formula>
    </cfRule>
  </conditionalFormatting>
  <conditionalFormatting sqref="C27">
    <cfRule type="cellIs" dxfId="124" priority="80" operator="notEqual">
      <formula>C36</formula>
    </cfRule>
    <cfRule type="cellIs" dxfId="123" priority="172" operator="notEqual">
      <formula>AA27</formula>
    </cfRule>
    <cfRule type="cellIs" dxfId="122" priority="173" operator="notEqual">
      <formula>N27+O27+P27+Q27+R27</formula>
    </cfRule>
    <cfRule type="cellIs" dxfId="121" priority="174" operator="notEqual">
      <formula>I27+J27+K27+L27+M27</formula>
    </cfRule>
  </conditionalFormatting>
  <conditionalFormatting sqref="E27">
    <cfRule type="cellIs" dxfId="120" priority="79" operator="notEqual">
      <formula>E36</formula>
    </cfRule>
    <cfRule type="cellIs" dxfId="119" priority="171" operator="notEqual">
      <formula>AB27</formula>
    </cfRule>
  </conditionalFormatting>
  <conditionalFormatting sqref="G27">
    <cfRule type="cellIs" dxfId="118" priority="78" operator="notEqual">
      <formula>$G$36</formula>
    </cfRule>
    <cfRule type="cellIs" dxfId="117" priority="170" operator="notEqual">
      <formula>$AC$27</formula>
    </cfRule>
  </conditionalFormatting>
  <conditionalFormatting sqref="C28">
    <cfRule type="cellIs" dxfId="116" priority="167" operator="notEqual">
      <formula>AA28</formula>
    </cfRule>
    <cfRule type="cellIs" dxfId="115" priority="168" operator="notEqual">
      <formula>N28+O28+P28+Q28+R28</formula>
    </cfRule>
    <cfRule type="cellIs" dxfId="114" priority="169" operator="notEqual">
      <formula>I28+J28+K28+L28+M28</formula>
    </cfRule>
  </conditionalFormatting>
  <conditionalFormatting sqref="E28">
    <cfRule type="cellIs" dxfId="113" priority="166" operator="notEqual">
      <formula>AB28</formula>
    </cfRule>
  </conditionalFormatting>
  <conditionalFormatting sqref="G28">
    <cfRule type="cellIs" dxfId="112" priority="165" operator="notEqual">
      <formula>$AC$28</formula>
    </cfRule>
  </conditionalFormatting>
  <conditionalFormatting sqref="C29">
    <cfRule type="cellIs" dxfId="111" priority="162" operator="notEqual">
      <formula>AA29</formula>
    </cfRule>
    <cfRule type="cellIs" dxfId="110" priority="163" operator="notEqual">
      <formula>N29+O29+P29+Q29+R29</formula>
    </cfRule>
    <cfRule type="cellIs" dxfId="109" priority="164" operator="notEqual">
      <formula>I29+J29+K29+L29+M29</formula>
    </cfRule>
  </conditionalFormatting>
  <conditionalFormatting sqref="C31">
    <cfRule type="cellIs" dxfId="108" priority="152" operator="notEqual">
      <formula>AA31</formula>
    </cfRule>
    <cfRule type="cellIs" dxfId="107" priority="153" operator="notEqual">
      <formula>N31+O31+P31+Q31+R31</formula>
    </cfRule>
    <cfRule type="cellIs" dxfId="106" priority="154" operator="notEqual">
      <formula>I31+J31+K31+L31+M31</formula>
    </cfRule>
  </conditionalFormatting>
  <conditionalFormatting sqref="C40">
    <cfRule type="cellIs" dxfId="105" priority="138" operator="notEqual">
      <formula>N40+O40+P40+Q40+R40</formula>
    </cfRule>
    <cfRule type="cellIs" dxfId="104" priority="139" operator="notEqual">
      <formula>I40+J40+K40+L40+M40</formula>
    </cfRule>
  </conditionalFormatting>
  <conditionalFormatting sqref="C32">
    <cfRule type="cellIs" dxfId="103" priority="128" operator="notEqual">
      <formula>AA32</formula>
    </cfRule>
    <cfRule type="cellIs" dxfId="102" priority="129" operator="notEqual">
      <formula>N32+O32+P32+Q32+R32</formula>
    </cfRule>
    <cfRule type="cellIs" dxfId="101" priority="130" operator="notEqual">
      <formula>I32+J32+K32+L32+M32</formula>
    </cfRule>
  </conditionalFormatting>
  <conditionalFormatting sqref="C33">
    <cfRule type="cellIs" dxfId="100" priority="125" operator="notEqual">
      <formula>AA33</formula>
    </cfRule>
    <cfRule type="cellIs" dxfId="99" priority="126" operator="notEqual">
      <formula>N33+O33+P33+Q33+R33</formula>
    </cfRule>
    <cfRule type="cellIs" dxfId="98" priority="127" operator="notEqual">
      <formula>I33+J33+K33+L33+M33</formula>
    </cfRule>
  </conditionalFormatting>
  <conditionalFormatting sqref="C30">
    <cfRule type="cellIs" dxfId="97" priority="122" operator="notEqual">
      <formula>AA30</formula>
    </cfRule>
    <cfRule type="cellIs" dxfId="96" priority="123" operator="notEqual">
      <formula>N30+O30+P30+Q30+R30</formula>
    </cfRule>
    <cfRule type="cellIs" dxfId="95" priority="124" operator="notEqual">
      <formula>I30+J30+K30+L30+M30</formula>
    </cfRule>
  </conditionalFormatting>
  <conditionalFormatting sqref="C35">
    <cfRule type="cellIs" dxfId="94" priority="120" operator="notEqual">
      <formula>N35+O35+P35+Q35+R35</formula>
    </cfRule>
    <cfRule type="cellIs" dxfId="93" priority="121" operator="notEqual">
      <formula>I35+J35+K35+L35+M35</formula>
    </cfRule>
  </conditionalFormatting>
  <conditionalFormatting sqref="C24">
    <cfRule type="cellIs" dxfId="92" priority="116" operator="notEqual">
      <formula>AA24</formula>
    </cfRule>
    <cfRule type="cellIs" dxfId="91" priority="117" operator="notEqual">
      <formula>N24+O24+P24+Q24+R24</formula>
    </cfRule>
    <cfRule type="cellIs" dxfId="90" priority="118" operator="notEqual">
      <formula>I24+J24+K24+L24+M24</formula>
    </cfRule>
  </conditionalFormatting>
  <conditionalFormatting sqref="C25">
    <cfRule type="cellIs" dxfId="89" priority="106" operator="notEqual">
      <formula>AA25</formula>
    </cfRule>
    <cfRule type="cellIs" dxfId="88" priority="107" operator="notEqual">
      <formula>N25+O25+P25+Q25+R25</formula>
    </cfRule>
    <cfRule type="cellIs" dxfId="87" priority="108" operator="notEqual">
      <formula>I25+J25+K25+L25+M25</formula>
    </cfRule>
  </conditionalFormatting>
  <conditionalFormatting sqref="C36">
    <cfRule type="cellIs" dxfId="86" priority="94" operator="notEqual">
      <formula>C27</formula>
    </cfRule>
    <cfRule type="cellIs" dxfId="85" priority="95" operator="notEqual">
      <formula>AA36</formula>
    </cfRule>
    <cfRule type="cellIs" dxfId="84" priority="96" operator="notEqual">
      <formula>N36+O36+P36+Q36+R36</formula>
    </cfRule>
    <cfRule type="cellIs" dxfId="83" priority="97" operator="notEqual">
      <formula>I36+J36+K36+L36+M36</formula>
    </cfRule>
  </conditionalFormatting>
  <conditionalFormatting sqref="I27">
    <cfRule type="cellIs" dxfId="82" priority="75" operator="notEqual">
      <formula>I36</formula>
    </cfRule>
    <cfRule type="cellIs" dxfId="81" priority="77" operator="notEqual">
      <formula>I28</formula>
    </cfRule>
  </conditionalFormatting>
  <conditionalFormatting sqref="I28">
    <cfRule type="cellIs" dxfId="80" priority="76" operator="notEqual">
      <formula>I27</formula>
    </cfRule>
  </conditionalFormatting>
  <conditionalFormatting sqref="J27">
    <cfRule type="cellIs" dxfId="79" priority="72" operator="notEqual">
      <formula>J36</formula>
    </cfRule>
    <cfRule type="cellIs" dxfId="78" priority="74" operator="notEqual">
      <formula>J28</formula>
    </cfRule>
  </conditionalFormatting>
  <conditionalFormatting sqref="J28">
    <cfRule type="cellIs" dxfId="77" priority="73" operator="notEqual">
      <formula>J27</formula>
    </cfRule>
  </conditionalFormatting>
  <conditionalFormatting sqref="K27">
    <cfRule type="cellIs" dxfId="76" priority="69" operator="notEqual">
      <formula>K36</formula>
    </cfRule>
    <cfRule type="cellIs" dxfId="75" priority="71" operator="notEqual">
      <formula>K28</formula>
    </cfRule>
  </conditionalFormatting>
  <conditionalFormatting sqref="K28">
    <cfRule type="cellIs" dxfId="74" priority="70" operator="notEqual">
      <formula>K27</formula>
    </cfRule>
  </conditionalFormatting>
  <conditionalFormatting sqref="L27">
    <cfRule type="cellIs" dxfId="73" priority="66" operator="notEqual">
      <formula>L36</formula>
    </cfRule>
    <cfRule type="cellIs" dxfId="72" priority="68" operator="notEqual">
      <formula>L28</formula>
    </cfRule>
  </conditionalFormatting>
  <conditionalFormatting sqref="L28">
    <cfRule type="cellIs" dxfId="71" priority="67" operator="notEqual">
      <formula>L27</formula>
    </cfRule>
  </conditionalFormatting>
  <conditionalFormatting sqref="M27">
    <cfRule type="cellIs" dxfId="70" priority="63" operator="notEqual">
      <formula>M36</formula>
    </cfRule>
    <cfRule type="cellIs" dxfId="69" priority="65" operator="notEqual">
      <formula>M28</formula>
    </cfRule>
  </conditionalFormatting>
  <conditionalFormatting sqref="M28">
    <cfRule type="cellIs" dxfId="68" priority="64" operator="notEqual">
      <formula>M27</formula>
    </cfRule>
  </conditionalFormatting>
  <conditionalFormatting sqref="N27">
    <cfRule type="cellIs" dxfId="67" priority="60" operator="notEqual">
      <formula>N36</formula>
    </cfRule>
    <cfRule type="cellIs" dxfId="66" priority="62" operator="notEqual">
      <formula>N28</formula>
    </cfRule>
  </conditionalFormatting>
  <conditionalFormatting sqref="N28">
    <cfRule type="cellIs" dxfId="65" priority="61" operator="notEqual">
      <formula>N27</formula>
    </cfRule>
  </conditionalFormatting>
  <conditionalFormatting sqref="O27">
    <cfRule type="cellIs" dxfId="64" priority="57" operator="notEqual">
      <formula>O36</formula>
    </cfRule>
    <cfRule type="cellIs" dxfId="63" priority="59" operator="notEqual">
      <formula>O28</formula>
    </cfRule>
  </conditionalFormatting>
  <conditionalFormatting sqref="O28">
    <cfRule type="cellIs" dxfId="62" priority="58" operator="notEqual">
      <formula>O27</formula>
    </cfRule>
  </conditionalFormatting>
  <conditionalFormatting sqref="P27">
    <cfRule type="cellIs" dxfId="61" priority="54" operator="notEqual">
      <formula>P36</formula>
    </cfRule>
    <cfRule type="cellIs" dxfId="60" priority="56" operator="notEqual">
      <formula>P28</formula>
    </cfRule>
  </conditionalFormatting>
  <conditionalFormatting sqref="P28">
    <cfRule type="cellIs" dxfId="59" priority="55" operator="notEqual">
      <formula>P27</formula>
    </cfRule>
  </conditionalFormatting>
  <conditionalFormatting sqref="Q27">
    <cfRule type="cellIs" dxfId="58" priority="51" operator="notEqual">
      <formula>Q36</formula>
    </cfRule>
    <cfRule type="cellIs" dxfId="57" priority="53" operator="notEqual">
      <formula>Q28</formula>
    </cfRule>
  </conditionalFormatting>
  <conditionalFormatting sqref="Q28">
    <cfRule type="cellIs" dxfId="56" priority="52" operator="notEqual">
      <formula>Q27</formula>
    </cfRule>
  </conditionalFormatting>
  <conditionalFormatting sqref="R27">
    <cfRule type="cellIs" dxfId="55" priority="48" operator="notEqual">
      <formula>R36</formula>
    </cfRule>
    <cfRule type="cellIs" dxfId="54" priority="50" operator="notEqual">
      <formula>R28</formula>
    </cfRule>
  </conditionalFormatting>
  <conditionalFormatting sqref="R28">
    <cfRule type="cellIs" dxfId="53" priority="49" operator="notEqual">
      <formula>R27</formula>
    </cfRule>
  </conditionalFormatting>
  <conditionalFormatting sqref="S27">
    <cfRule type="cellIs" dxfId="52" priority="45" operator="notEqual">
      <formula>S36</formula>
    </cfRule>
    <cfRule type="cellIs" dxfId="51" priority="47" operator="notEqual">
      <formula>S28</formula>
    </cfRule>
  </conditionalFormatting>
  <conditionalFormatting sqref="S28">
    <cfRule type="cellIs" dxfId="50" priority="46" operator="notEqual">
      <formula>S27</formula>
    </cfRule>
  </conditionalFormatting>
  <conditionalFormatting sqref="T27">
    <cfRule type="cellIs" dxfId="49" priority="42" operator="notEqual">
      <formula>T36</formula>
    </cfRule>
    <cfRule type="cellIs" dxfId="48" priority="44" operator="notEqual">
      <formula>T28</formula>
    </cfRule>
  </conditionalFormatting>
  <conditionalFormatting sqref="T28">
    <cfRule type="cellIs" dxfId="47" priority="43" operator="notEqual">
      <formula>T27</formula>
    </cfRule>
  </conditionalFormatting>
  <conditionalFormatting sqref="U27">
    <cfRule type="cellIs" dxfId="46" priority="39" operator="notEqual">
      <formula>U36</formula>
    </cfRule>
    <cfRule type="cellIs" dxfId="45" priority="41" operator="notEqual">
      <formula>U28</formula>
    </cfRule>
  </conditionalFormatting>
  <conditionalFormatting sqref="U28">
    <cfRule type="cellIs" dxfId="44" priority="40" operator="notEqual">
      <formula>U27</formula>
    </cfRule>
  </conditionalFormatting>
  <conditionalFormatting sqref="V27">
    <cfRule type="cellIs" dxfId="43" priority="36" operator="notEqual">
      <formula>V36</formula>
    </cfRule>
    <cfRule type="cellIs" dxfId="42" priority="38" operator="notEqual">
      <formula>V28</formula>
    </cfRule>
  </conditionalFormatting>
  <conditionalFormatting sqref="V28">
    <cfRule type="cellIs" dxfId="41" priority="37" operator="notEqual">
      <formula>V27</formula>
    </cfRule>
  </conditionalFormatting>
  <conditionalFormatting sqref="W27">
    <cfRule type="cellIs" dxfId="40" priority="33" operator="notEqual">
      <formula>W36</formula>
    </cfRule>
    <cfRule type="cellIs" dxfId="39" priority="35" operator="notEqual">
      <formula>W28</formula>
    </cfRule>
  </conditionalFormatting>
  <conditionalFormatting sqref="W28">
    <cfRule type="cellIs" dxfId="38" priority="34" operator="notEqual">
      <formula>W27</formula>
    </cfRule>
  </conditionalFormatting>
  <conditionalFormatting sqref="X27">
    <cfRule type="cellIs" dxfId="37" priority="30" operator="notEqual">
      <formula>X36</formula>
    </cfRule>
    <cfRule type="cellIs" dxfId="36" priority="32" operator="notEqual">
      <formula>X28</formula>
    </cfRule>
  </conditionalFormatting>
  <conditionalFormatting sqref="X28">
    <cfRule type="cellIs" dxfId="35" priority="31" operator="notEqual">
      <formula>X27</formula>
    </cfRule>
  </conditionalFormatting>
  <conditionalFormatting sqref="Y27">
    <cfRule type="cellIs" dxfId="34" priority="27" operator="notEqual">
      <formula>Y36</formula>
    </cfRule>
    <cfRule type="cellIs" dxfId="33" priority="29" operator="notEqual">
      <formula>Y28</formula>
    </cfRule>
  </conditionalFormatting>
  <conditionalFormatting sqref="Y28">
    <cfRule type="cellIs" dxfId="32" priority="28" operator="notEqual">
      <formula>Y27</formula>
    </cfRule>
  </conditionalFormatting>
  <conditionalFormatting sqref="Z27">
    <cfRule type="cellIs" dxfId="31" priority="24" operator="notEqual">
      <formula>Z36</formula>
    </cfRule>
    <cfRule type="cellIs" dxfId="30" priority="26" operator="notEqual">
      <formula>Z28</formula>
    </cfRule>
  </conditionalFormatting>
  <conditionalFormatting sqref="Z28">
    <cfRule type="cellIs" dxfId="29" priority="25" operator="notEqual">
      <formula>Z27</formula>
    </cfRule>
  </conditionalFormatting>
  <conditionalFormatting sqref="I36">
    <cfRule type="cellIs" dxfId="28" priority="23" operator="notEqual">
      <formula>I27</formula>
    </cfRule>
  </conditionalFormatting>
  <conditionalFormatting sqref="J36">
    <cfRule type="cellIs" dxfId="27" priority="22" operator="notEqual">
      <formula>J27</formula>
    </cfRule>
  </conditionalFormatting>
  <conditionalFormatting sqref="K36">
    <cfRule type="cellIs" dxfId="26" priority="21" operator="notEqual">
      <formula>K27</formula>
    </cfRule>
  </conditionalFormatting>
  <conditionalFormatting sqref="L36">
    <cfRule type="cellIs" dxfId="25" priority="20" operator="notEqual">
      <formula>L27</formula>
    </cfRule>
  </conditionalFormatting>
  <conditionalFormatting sqref="M36">
    <cfRule type="cellIs" dxfId="24" priority="19" operator="notEqual">
      <formula>M27</formula>
    </cfRule>
  </conditionalFormatting>
  <conditionalFormatting sqref="N36">
    <cfRule type="cellIs" dxfId="23" priority="18" operator="notEqual">
      <formula>N27</formula>
    </cfRule>
  </conditionalFormatting>
  <conditionalFormatting sqref="O36">
    <cfRule type="cellIs" dxfId="22" priority="17" operator="notEqual">
      <formula>O27</formula>
    </cfRule>
  </conditionalFormatting>
  <conditionalFormatting sqref="P36">
    <cfRule type="cellIs" dxfId="21" priority="16" operator="notEqual">
      <formula>P27</formula>
    </cfRule>
  </conditionalFormatting>
  <conditionalFormatting sqref="Q36">
    <cfRule type="cellIs" dxfId="20" priority="15" operator="notEqual">
      <formula>Q27</formula>
    </cfRule>
  </conditionalFormatting>
  <conditionalFormatting sqref="R36">
    <cfRule type="cellIs" dxfId="19" priority="14" operator="notEqual">
      <formula>R27</formula>
    </cfRule>
  </conditionalFormatting>
  <conditionalFormatting sqref="S36">
    <cfRule type="cellIs" dxfId="18" priority="13" operator="notEqual">
      <formula>S27</formula>
    </cfRule>
  </conditionalFormatting>
  <conditionalFormatting sqref="T36">
    <cfRule type="cellIs" dxfId="17" priority="12" operator="notEqual">
      <formula>T27</formula>
    </cfRule>
  </conditionalFormatting>
  <conditionalFormatting sqref="U36">
    <cfRule type="cellIs" dxfId="16" priority="11" operator="notEqual">
      <formula>U27</formula>
    </cfRule>
  </conditionalFormatting>
  <conditionalFormatting sqref="V36">
    <cfRule type="cellIs" dxfId="15" priority="10" operator="notEqual">
      <formula>V27</formula>
    </cfRule>
  </conditionalFormatting>
  <conditionalFormatting sqref="W36">
    <cfRule type="cellIs" dxfId="14" priority="9" operator="notEqual">
      <formula>W27</formula>
    </cfRule>
  </conditionalFormatting>
  <conditionalFormatting sqref="X36">
    <cfRule type="cellIs" dxfId="13" priority="8" operator="notEqual">
      <formula>X27</formula>
    </cfRule>
  </conditionalFormatting>
  <conditionalFormatting sqref="Y36">
    <cfRule type="cellIs" dxfId="12" priority="7" operator="notEqual">
      <formula>Y27</formula>
    </cfRule>
  </conditionalFormatting>
  <conditionalFormatting sqref="Z36">
    <cfRule type="cellIs" dxfId="11" priority="6" operator="notEqual">
      <formula>Z27</formula>
    </cfRule>
  </conditionalFormatting>
  <conditionalFormatting sqref="C26">
    <cfRule type="cellIs" dxfId="10" priority="3" operator="notEqual">
      <formula>AA26</formula>
    </cfRule>
    <cfRule type="cellIs" dxfId="9" priority="4" operator="notEqual">
      <formula>N26+O26+P26+Q26+R26</formula>
    </cfRule>
    <cfRule type="cellIs" dxfId="8" priority="5" operator="notEqual">
      <formula>I26+J26+K26+L26+M26</formula>
    </cfRule>
  </conditionalFormatting>
  <printOptions horizontalCentered="1"/>
  <pageMargins left="0.16" right="0.24" top="0.32" bottom="0.15748031496062992" header="0.31" footer="0.28000000000000003"/>
  <pageSetup paperSize="9" scale="27" orientation="landscape" r:id="rId1"/>
  <ignoredErrors>
    <ignoredError sqref="C17 C16 D8:I8 C36:C37 AA29:AA33 I36:Z36 I28:Z28 S29:S33 S37:S42 I27:Z27 AA37:AA42 AA35 S17 S35 D10:E11 D9:E9 I9 I10:I11 G9 F10:H11 F9 H9" formula="1"/>
    <ignoredError sqref="I16:Z16" formula="1" formulaRange="1"/>
    <ignoredError sqref="D27:H27 D16 E28 G28 E36 G36 H36 F36 D36 D37:D39 H28 F28 D28 D29:D35" formula="1" unlockedFormula="1"/>
    <ignoredError sqref="E16:H16" formula="1" formulaRange="1" unlockedFormula="1"/>
    <ignoredError sqref="D12:D15 D17:D26 D40:D42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24"/>
  <dimension ref="A1:AD29"/>
  <sheetViews>
    <sheetView view="pageBreakPreview" zoomScale="75" zoomScaleNormal="65" zoomScaleSheetLayoutView="75" workbookViewId="0">
      <pane xSplit="2" ySplit="7" topLeftCell="C8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O46" sqref="O46"/>
    </sheetView>
  </sheetViews>
  <sheetFormatPr defaultRowHeight="15.75"/>
  <cols>
    <col min="1" max="1" width="9.7109375" style="90" customWidth="1"/>
    <col min="2" max="2" width="31.7109375" style="78" customWidth="1"/>
    <col min="3" max="3" width="17.140625" style="78" customWidth="1"/>
    <col min="4" max="4" width="16.5703125" style="78" customWidth="1"/>
    <col min="5" max="5" width="17.140625" style="78" customWidth="1"/>
    <col min="6" max="6" width="16.5703125" style="78" customWidth="1"/>
    <col min="7" max="7" width="17.140625" style="78" customWidth="1"/>
    <col min="8" max="8" width="16.5703125" style="78" customWidth="1"/>
    <col min="9" max="9" width="19" style="78" customWidth="1"/>
    <col min="10" max="10" width="16.5703125" style="78" customWidth="1"/>
    <col min="11" max="11" width="17.140625" style="78" customWidth="1"/>
    <col min="12" max="12" width="16.5703125" style="78" customWidth="1"/>
    <col min="13" max="13" width="19" style="78" customWidth="1"/>
    <col min="14" max="14" width="16.5703125" style="78" customWidth="1"/>
    <col min="15" max="15" width="9.140625" style="78"/>
    <col min="16" max="17" width="26.7109375" style="78" customWidth="1"/>
    <col min="18" max="16384" width="9.140625" style="78"/>
  </cols>
  <sheetData>
    <row r="1" spans="1:26" s="80" customFormat="1" ht="48.75" customHeight="1">
      <c r="A1" s="770" t="s">
        <v>538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193" t="s">
        <v>539</v>
      </c>
    </row>
    <row r="2" spans="1:26" ht="18.75">
      <c r="B2" s="97" t="str">
        <f>+'Asset quality'!B3</f>
        <v>"Алоқабанк"</v>
      </c>
      <c r="K2" s="706">
        <f>+'loans_av rate'!F3</f>
        <v>44926</v>
      </c>
      <c r="L2" s="706"/>
      <c r="N2" s="91" t="str">
        <f>+'Asset quality'!T3</f>
        <v>минг. сўмда</v>
      </c>
    </row>
    <row r="3" spans="1:26" s="79" customFormat="1" ht="38.25" customHeight="1">
      <c r="A3" s="797" t="s">
        <v>62</v>
      </c>
      <c r="B3" s="797" t="s">
        <v>540</v>
      </c>
      <c r="C3" s="797" t="s">
        <v>541</v>
      </c>
      <c r="D3" s="797"/>
      <c r="E3" s="797"/>
      <c r="F3" s="797"/>
      <c r="G3" s="797"/>
      <c r="H3" s="797"/>
      <c r="I3" s="797" t="s">
        <v>542</v>
      </c>
      <c r="J3" s="797"/>
      <c r="K3" s="797"/>
      <c r="L3" s="797"/>
      <c r="M3" s="797"/>
      <c r="N3" s="797"/>
    </row>
    <row r="4" spans="1:26" s="79" customFormat="1" ht="24" customHeight="1">
      <c r="A4" s="797"/>
      <c r="B4" s="797"/>
      <c r="C4" s="797" t="s">
        <v>543</v>
      </c>
      <c r="D4" s="797" t="s">
        <v>495</v>
      </c>
      <c r="E4" s="797" t="s">
        <v>492</v>
      </c>
      <c r="F4" s="797"/>
      <c r="G4" s="797"/>
      <c r="H4" s="797"/>
      <c r="I4" s="797" t="s">
        <v>543</v>
      </c>
      <c r="J4" s="797" t="s">
        <v>495</v>
      </c>
      <c r="K4" s="797" t="s">
        <v>492</v>
      </c>
      <c r="L4" s="797"/>
      <c r="M4" s="797"/>
      <c r="N4" s="797"/>
    </row>
    <row r="5" spans="1:26" s="79" customFormat="1" ht="54.75" customHeight="1">
      <c r="A5" s="797"/>
      <c r="B5" s="797"/>
      <c r="C5" s="797"/>
      <c r="D5" s="797"/>
      <c r="E5" s="797" t="s">
        <v>286</v>
      </c>
      <c r="F5" s="797"/>
      <c r="G5" s="797" t="s">
        <v>493</v>
      </c>
      <c r="H5" s="797"/>
      <c r="I5" s="797"/>
      <c r="J5" s="797"/>
      <c r="K5" s="797" t="s">
        <v>286</v>
      </c>
      <c r="L5" s="797"/>
      <c r="M5" s="797" t="s">
        <v>493</v>
      </c>
      <c r="N5" s="797"/>
    </row>
    <row r="6" spans="1:26" s="79" customFormat="1" ht="63" customHeight="1">
      <c r="A6" s="797"/>
      <c r="B6" s="797"/>
      <c r="C6" s="797"/>
      <c r="D6" s="797"/>
      <c r="E6" s="487" t="s">
        <v>494</v>
      </c>
      <c r="F6" s="487" t="s">
        <v>495</v>
      </c>
      <c r="G6" s="487" t="s">
        <v>494</v>
      </c>
      <c r="H6" s="487" t="s">
        <v>495</v>
      </c>
      <c r="I6" s="797"/>
      <c r="J6" s="797"/>
      <c r="K6" s="487" t="s">
        <v>494</v>
      </c>
      <c r="L6" s="487" t="s">
        <v>495</v>
      </c>
      <c r="M6" s="487" t="s">
        <v>494</v>
      </c>
      <c r="N6" s="487" t="s">
        <v>495</v>
      </c>
    </row>
    <row r="7" spans="1:26" s="79" customFormat="1" ht="22.5" customHeight="1">
      <c r="A7" s="797"/>
      <c r="B7" s="487" t="s">
        <v>79</v>
      </c>
      <c r="C7" s="487" t="s">
        <v>80</v>
      </c>
      <c r="D7" s="487" t="s">
        <v>90</v>
      </c>
      <c r="E7" s="487" t="s">
        <v>81</v>
      </c>
      <c r="F7" s="487" t="s">
        <v>82</v>
      </c>
      <c r="G7" s="487" t="s">
        <v>91</v>
      </c>
      <c r="H7" s="487" t="s">
        <v>83</v>
      </c>
      <c r="I7" s="487" t="s">
        <v>84</v>
      </c>
      <c r="J7" s="487" t="s">
        <v>85</v>
      </c>
      <c r="K7" s="487" t="s">
        <v>86</v>
      </c>
      <c r="L7" s="487" t="s">
        <v>87</v>
      </c>
      <c r="M7" s="487" t="s">
        <v>88</v>
      </c>
      <c r="N7" s="487" t="s">
        <v>89</v>
      </c>
      <c r="P7" s="331"/>
    </row>
    <row r="8" spans="1:26" s="165" customFormat="1" ht="41.25" customHeight="1">
      <c r="A8" s="488">
        <v>1</v>
      </c>
      <c r="B8" s="489" t="s">
        <v>544</v>
      </c>
      <c r="C8" s="175">
        <f>+E8+G8</f>
        <v>670763115</v>
      </c>
      <c r="D8" s="641">
        <f t="shared" ref="D8:D15" si="0">IFERROR((((E8*F8)+(G8*H8))/C8),0)</f>
        <v>0</v>
      </c>
      <c r="E8" s="171">
        <v>545509149</v>
      </c>
      <c r="F8" s="163" t="s">
        <v>813</v>
      </c>
      <c r="G8" s="171">
        <v>125253966</v>
      </c>
      <c r="H8" s="163" t="s">
        <v>813</v>
      </c>
      <c r="I8" s="175">
        <f>+K8+M8</f>
        <v>2115513723</v>
      </c>
      <c r="J8" s="641">
        <f t="shared" ref="J8:J15" si="1">IFERROR((((K8*L8)+(M8*N8))/I8),0)</f>
        <v>0</v>
      </c>
      <c r="K8" s="171">
        <v>1661116225</v>
      </c>
      <c r="L8" s="163" t="s">
        <v>813</v>
      </c>
      <c r="M8" s="171">
        <v>454397498</v>
      </c>
      <c r="N8" s="163" t="s">
        <v>813</v>
      </c>
      <c r="O8" s="164"/>
      <c r="P8" s="490">
        <f>+'[8]Bank Liabilities Analysis'!$C$20</f>
        <v>2786276838</v>
      </c>
      <c r="Q8" s="614">
        <f t="shared" ref="Q8:Q15" si="2">+P8-C8-I8</f>
        <v>0</v>
      </c>
      <c r="R8" s="164"/>
      <c r="S8" s="164"/>
      <c r="T8" s="164"/>
      <c r="U8" s="164"/>
      <c r="V8" s="164"/>
      <c r="W8" s="164"/>
      <c r="X8" s="164"/>
      <c r="Y8" s="164"/>
      <c r="Z8" s="164"/>
    </row>
    <row r="9" spans="1:26" s="165" customFormat="1" ht="41.25" customHeight="1">
      <c r="A9" s="488">
        <v>2</v>
      </c>
      <c r="B9" s="489" t="s">
        <v>545</v>
      </c>
      <c r="C9" s="175">
        <f t="shared" ref="C9" si="3">+E9+G9</f>
        <v>3299254</v>
      </c>
      <c r="D9" s="641">
        <f t="shared" si="0"/>
        <v>0.21199999999999999</v>
      </c>
      <c r="E9" s="171">
        <v>3299254</v>
      </c>
      <c r="F9" s="163">
        <v>0.21199999999999999</v>
      </c>
      <c r="G9" s="171">
        <v>0</v>
      </c>
      <c r="H9" s="163" t="s">
        <v>817</v>
      </c>
      <c r="I9" s="175">
        <f t="shared" ref="I9" si="4">+K9+M9</f>
        <v>300000.12405967712</v>
      </c>
      <c r="J9" s="641">
        <f t="shared" si="1"/>
        <v>0.14299999999999999</v>
      </c>
      <c r="K9" s="171">
        <v>300000.12405967712</v>
      </c>
      <c r="L9" s="163">
        <v>0.14299999999999999</v>
      </c>
      <c r="M9" s="171">
        <v>0</v>
      </c>
      <c r="N9" s="163">
        <v>0</v>
      </c>
      <c r="O9" s="164"/>
      <c r="P9" s="490">
        <f>+'[8]Bank Liabilities Analysis'!$E$20</f>
        <v>3599254.1240596771</v>
      </c>
      <c r="Q9" s="614">
        <f t="shared" si="2"/>
        <v>0</v>
      </c>
      <c r="R9" s="164"/>
      <c r="S9" s="164"/>
      <c r="T9" s="164"/>
      <c r="U9" s="164"/>
      <c r="V9" s="164"/>
      <c r="W9" s="164"/>
      <c r="X9" s="164"/>
      <c r="Y9" s="164"/>
      <c r="Z9" s="164"/>
    </row>
    <row r="10" spans="1:26" s="165" customFormat="1" ht="41.25" customHeight="1">
      <c r="A10" s="488">
        <v>3</v>
      </c>
      <c r="B10" s="489" t="s">
        <v>546</v>
      </c>
      <c r="C10" s="175">
        <f t="shared" ref="C10:C15" si="5">+E10+G10</f>
        <v>16038526</v>
      </c>
      <c r="D10" s="641">
        <f t="shared" si="0"/>
        <v>0.20200813366515102</v>
      </c>
      <c r="E10" s="171">
        <v>15106812</v>
      </c>
      <c r="F10" s="163">
        <v>0.21199999999999999</v>
      </c>
      <c r="G10" s="171">
        <v>931714</v>
      </c>
      <c r="H10" s="163" t="s">
        <v>818</v>
      </c>
      <c r="I10" s="175">
        <f t="shared" ref="I10:I15" si="6">+K10+M10</f>
        <v>22804761.265500002</v>
      </c>
      <c r="J10" s="641">
        <f t="shared" si="1"/>
        <v>0.151</v>
      </c>
      <c r="K10" s="171">
        <v>22804761.265500002</v>
      </c>
      <c r="L10" s="163">
        <v>0.151</v>
      </c>
      <c r="M10" s="171">
        <v>0</v>
      </c>
      <c r="N10" s="163">
        <v>0</v>
      </c>
      <c r="O10" s="164"/>
      <c r="P10" s="490">
        <f>+'[8]Bank Liabilities Analysis'!$G$20</f>
        <v>38843287.265500002</v>
      </c>
      <c r="Q10" s="614">
        <f t="shared" si="2"/>
        <v>0</v>
      </c>
      <c r="R10" s="164"/>
      <c r="S10" s="164"/>
      <c r="T10" s="164"/>
      <c r="U10" s="164"/>
      <c r="V10" s="164"/>
      <c r="W10" s="164"/>
      <c r="X10" s="164"/>
      <c r="Y10" s="164"/>
      <c r="Z10" s="164"/>
    </row>
    <row r="11" spans="1:26" s="165" customFormat="1" ht="41.25" customHeight="1">
      <c r="A11" s="488">
        <v>4</v>
      </c>
      <c r="B11" s="489" t="s">
        <v>547</v>
      </c>
      <c r="C11" s="175">
        <f t="shared" si="5"/>
        <v>57953748</v>
      </c>
      <c r="D11" s="641">
        <f t="shared" si="0"/>
        <v>0.1832675284435443</v>
      </c>
      <c r="E11" s="171">
        <v>50226888</v>
      </c>
      <c r="F11" s="163">
        <v>0.20499999999999999</v>
      </c>
      <c r="G11" s="171">
        <v>7726860</v>
      </c>
      <c r="H11" s="163">
        <v>4.2000000000000003E-2</v>
      </c>
      <c r="I11" s="175">
        <f t="shared" si="6"/>
        <v>47582129.423000008</v>
      </c>
      <c r="J11" s="641">
        <f t="shared" si="1"/>
        <v>0.17399999999999999</v>
      </c>
      <c r="K11" s="171">
        <v>47582129.423000008</v>
      </c>
      <c r="L11" s="163">
        <v>0.17399999999999999</v>
      </c>
      <c r="M11" s="171">
        <v>0</v>
      </c>
      <c r="N11" s="163">
        <v>0</v>
      </c>
      <c r="O11" s="164"/>
      <c r="P11" s="490">
        <f>+'[8]Bank Liabilities Analysis'!$I$20</f>
        <v>105535877.42300001</v>
      </c>
      <c r="Q11" s="614">
        <f t="shared" si="2"/>
        <v>0</v>
      </c>
      <c r="R11" s="164"/>
      <c r="S11" s="164"/>
      <c r="T11" s="164"/>
      <c r="U11" s="164"/>
      <c r="V11" s="164"/>
      <c r="W11" s="164"/>
      <c r="X11" s="164"/>
      <c r="Y11" s="164"/>
      <c r="Z11" s="164"/>
    </row>
    <row r="12" spans="1:26" s="165" customFormat="1" ht="41.25" customHeight="1">
      <c r="A12" s="488">
        <v>5</v>
      </c>
      <c r="B12" s="489" t="s">
        <v>548</v>
      </c>
      <c r="C12" s="175">
        <f t="shared" si="5"/>
        <v>404749370</v>
      </c>
      <c r="D12" s="641">
        <f t="shared" si="0"/>
        <v>0.21206658671760253</v>
      </c>
      <c r="E12" s="171">
        <v>397925823</v>
      </c>
      <c r="F12" s="163">
        <v>0.215</v>
      </c>
      <c r="G12" s="171">
        <v>6823547</v>
      </c>
      <c r="H12" s="163">
        <v>4.1000000000000002E-2</v>
      </c>
      <c r="I12" s="175">
        <f t="shared" si="6"/>
        <v>644021679</v>
      </c>
      <c r="J12" s="641">
        <f t="shared" si="1"/>
        <v>0.16937413267710935</v>
      </c>
      <c r="K12" s="171">
        <v>631112400.51054001</v>
      </c>
      <c r="L12" s="163">
        <v>0.17199999999999999</v>
      </c>
      <c r="M12" s="171">
        <v>12909278.489459991</v>
      </c>
      <c r="N12" s="163">
        <v>4.1000000000000002E-2</v>
      </c>
      <c r="O12" s="164"/>
      <c r="P12" s="490">
        <f>+'[8]Bank Liabilities Analysis'!$K$20</f>
        <v>1048771049</v>
      </c>
      <c r="Q12" s="614">
        <f t="shared" si="2"/>
        <v>0</v>
      </c>
      <c r="R12" s="164"/>
      <c r="S12" s="164"/>
      <c r="T12" s="164"/>
      <c r="U12" s="164"/>
      <c r="V12" s="164"/>
      <c r="W12" s="164"/>
      <c r="X12" s="164"/>
      <c r="Y12" s="164"/>
      <c r="Z12" s="164"/>
    </row>
    <row r="13" spans="1:26" s="165" customFormat="1" ht="41.25" customHeight="1">
      <c r="A13" s="488">
        <v>6</v>
      </c>
      <c r="B13" s="489" t="s">
        <v>549</v>
      </c>
      <c r="C13" s="175">
        <f t="shared" si="5"/>
        <v>560082849</v>
      </c>
      <c r="D13" s="641">
        <f t="shared" si="0"/>
        <v>0.2131629054650806</v>
      </c>
      <c r="E13" s="171">
        <v>541818846</v>
      </c>
      <c r="F13" s="163">
        <v>0.219</v>
      </c>
      <c r="G13" s="171">
        <v>18264003</v>
      </c>
      <c r="H13" s="163" t="s">
        <v>818</v>
      </c>
      <c r="I13" s="175">
        <f t="shared" si="6"/>
        <v>883781410.49555016</v>
      </c>
      <c r="J13" s="641">
        <f t="shared" si="1"/>
        <v>0.15306646263506393</v>
      </c>
      <c r="K13" s="171">
        <v>718093620.89555013</v>
      </c>
      <c r="L13" s="163">
        <v>0.184</v>
      </c>
      <c r="M13" s="171">
        <v>165687789.59999999</v>
      </c>
      <c r="N13" s="163">
        <v>1.9E-2</v>
      </c>
      <c r="O13" s="164"/>
      <c r="P13" s="490">
        <f>+'[8]Bank Liabilities Analysis'!$M$20</f>
        <v>1443864259.4955502</v>
      </c>
      <c r="Q13" s="614">
        <f t="shared" si="2"/>
        <v>0</v>
      </c>
      <c r="R13" s="164"/>
      <c r="S13" s="164"/>
      <c r="T13" s="164"/>
      <c r="U13" s="164"/>
      <c r="V13" s="164"/>
      <c r="W13" s="164"/>
      <c r="X13" s="164"/>
      <c r="Y13" s="164"/>
      <c r="Z13" s="164"/>
    </row>
    <row r="14" spans="1:26" s="165" customFormat="1" ht="41.25" customHeight="1">
      <c r="A14" s="488">
        <v>7</v>
      </c>
      <c r="B14" s="489" t="s">
        <v>550</v>
      </c>
      <c r="C14" s="175">
        <f t="shared" si="5"/>
        <v>32739551</v>
      </c>
      <c r="D14" s="641">
        <f t="shared" si="0"/>
        <v>0.21372340078823926</v>
      </c>
      <c r="E14" s="171">
        <v>31597923</v>
      </c>
      <c r="F14" s="163" t="s">
        <v>816</v>
      </c>
      <c r="G14" s="171">
        <v>1141628</v>
      </c>
      <c r="H14" s="163" t="s">
        <v>818</v>
      </c>
      <c r="I14" s="175">
        <f t="shared" si="6"/>
        <v>1498239223.77231</v>
      </c>
      <c r="J14" s="641">
        <f t="shared" si="1"/>
        <v>0.14237777203419696</v>
      </c>
      <c r="K14" s="171">
        <v>974154841.86176991</v>
      </c>
      <c r="L14" s="163">
        <v>0.191</v>
      </c>
      <c r="M14" s="171">
        <v>524084381.91054004</v>
      </c>
      <c r="N14" s="163">
        <v>5.1999999999999998E-2</v>
      </c>
      <c r="O14" s="164"/>
      <c r="P14" s="490">
        <f>+'[8]Bank Liabilities Analysis'!$O$20</f>
        <v>1530978774.77231</v>
      </c>
      <c r="Q14" s="614">
        <f t="shared" si="2"/>
        <v>0</v>
      </c>
      <c r="R14" s="164"/>
      <c r="S14" s="164"/>
      <c r="T14" s="164"/>
      <c r="U14" s="164"/>
      <c r="V14" s="164"/>
      <c r="W14" s="164"/>
      <c r="X14" s="164"/>
      <c r="Y14" s="164"/>
      <c r="Z14" s="164"/>
    </row>
    <row r="15" spans="1:26" s="165" customFormat="1" ht="41.25" customHeight="1">
      <c r="A15" s="488">
        <v>8</v>
      </c>
      <c r="B15" s="489" t="s">
        <v>551</v>
      </c>
      <c r="C15" s="175">
        <f t="shared" si="5"/>
        <v>991597</v>
      </c>
      <c r="D15" s="641">
        <f t="shared" si="0"/>
        <v>0.16600000000000001</v>
      </c>
      <c r="E15" s="171">
        <v>991597</v>
      </c>
      <c r="F15" s="163">
        <v>0.16600000000000001</v>
      </c>
      <c r="G15" s="171">
        <v>0</v>
      </c>
      <c r="H15" s="163" t="s">
        <v>813</v>
      </c>
      <c r="I15" s="175">
        <f t="shared" si="6"/>
        <v>738796150.9195801</v>
      </c>
      <c r="J15" s="641">
        <f t="shared" si="1"/>
        <v>9.1692650281566285E-2</v>
      </c>
      <c r="K15" s="171">
        <v>536737870.9195801</v>
      </c>
      <c r="L15" s="163">
        <v>0.104</v>
      </c>
      <c r="M15" s="171">
        <v>202058280</v>
      </c>
      <c r="N15" s="163">
        <v>5.8999999999999997E-2</v>
      </c>
      <c r="O15" s="164"/>
      <c r="P15" s="490">
        <f>+'[8]Bank Liabilities Analysis'!$Q$20</f>
        <v>739787747.9195801</v>
      </c>
      <c r="Q15" s="614">
        <f t="shared" si="2"/>
        <v>0</v>
      </c>
      <c r="R15" s="164"/>
      <c r="S15" s="164"/>
      <c r="T15" s="164"/>
      <c r="U15" s="164"/>
      <c r="V15" s="164"/>
      <c r="W15" s="164"/>
      <c r="X15" s="164"/>
      <c r="Y15" s="164"/>
      <c r="Z15" s="164"/>
    </row>
    <row r="16" spans="1:26" s="165" customFormat="1" ht="41.25" customHeight="1">
      <c r="A16" s="488">
        <v>9</v>
      </c>
      <c r="B16" s="491" t="s">
        <v>552</v>
      </c>
      <c r="C16" s="172">
        <f>SUM(C8:C15)</f>
        <v>1746618010</v>
      </c>
      <c r="D16" s="173">
        <f>IFERROR(((C8*D8)/C16)+((C9*D9)/C16)+((C10*D10)/C16)+((C11*D11)/C16)+((C12*D12)/C16)+((C13*D13)/C16)+((C14*D14)/C16)+((C15*D15)/C16),0)</f>
        <v>0.12993391311704153</v>
      </c>
      <c r="E16" s="172">
        <f t="shared" ref="E16:M16" si="7">SUM(E8:E15)</f>
        <v>1586476292</v>
      </c>
      <c r="F16" s="173">
        <f>IFERROR(((E8*F8)/E16)+((E9*F9)/E16)+((E10*F10)/E16)+((E11*F11)/E16)+((E12*F12)/E16)+((E13*F13)/E16)+((E14*F14)/E16)+((E15*F15)/E16),0)</f>
        <v>0.14215600103843215</v>
      </c>
      <c r="G16" s="172">
        <f t="shared" si="7"/>
        <v>160141718</v>
      </c>
      <c r="H16" s="173">
        <f>IFERROR(((G8*H8)/G16)+((G9*H9)/G16)+((G10*H10)/G16)+((G11*H11)/G16)+((G12*H12)/G16)+((G13*H13)/G16)+((G14*H14)/G16)+((G15*H15)/G16),0)</f>
        <v>8.8533291930838406E-3</v>
      </c>
      <c r="I16" s="172">
        <f t="shared" si="7"/>
        <v>5951039078</v>
      </c>
      <c r="J16" s="173">
        <f>IFERROR(((I8*J8)/I16)+((I9*J9)/I16)+((I10*J10)/I16)+((I11*J11)/I16)+((I12*J12)/I16)+((I13*J13)/I16)+((I14*J14)/I16)+((I15*J15)/I16),0)</f>
        <v>9.0266884446776524E-2</v>
      </c>
      <c r="K16" s="172">
        <f t="shared" si="7"/>
        <v>4591901850.000001</v>
      </c>
      <c r="L16" s="173">
        <f>IFERROR(((K8*L8)/K16)+((K9*L9)/K16)+((K10*L10)/K16)+((K11*L11)/K16)+((K12*L12)/K16)+((K13*L13)/K16)+((K14*L14)/K16)+((K15*L15)/K16),0)</f>
        <v>0.10765268904697113</v>
      </c>
      <c r="M16" s="172">
        <f t="shared" si="7"/>
        <v>1359137228</v>
      </c>
      <c r="N16" s="173">
        <f>IFERROR(((M8*N8)/M16)+((M9*N9)/M16)+((M10*N10)/M16)+((M11*N11)/M16)+((M12*N12)/M16)+((M13*N13)/M16)+((M14*N14)/M16)+((M15*N15)/M16),0)</f>
        <v>3.1528217987871893E-2</v>
      </c>
      <c r="O16" s="164"/>
      <c r="P16" s="492">
        <f>+'[8]Bank Liabilities Analysis'!$S$20</f>
        <v>7697657088</v>
      </c>
      <c r="Q16" s="614">
        <f>+P16-C16-I16</f>
        <v>0</v>
      </c>
      <c r="R16" s="164"/>
      <c r="S16" s="164"/>
      <c r="T16" s="164"/>
      <c r="U16" s="164"/>
      <c r="V16" s="164"/>
      <c r="W16" s="164"/>
      <c r="X16" s="164"/>
      <c r="Y16" s="164"/>
      <c r="Z16" s="164"/>
    </row>
    <row r="17" spans="1:30" s="16" customFormat="1" ht="15.75" customHeight="1">
      <c r="B17" s="466"/>
      <c r="C17" s="276"/>
      <c r="I17" s="276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spans="1:30" s="269" customFormat="1" ht="15" customHeight="1">
      <c r="A18" s="34"/>
      <c r="B18" s="593" t="s">
        <v>788</v>
      </c>
      <c r="C18" s="34"/>
      <c r="D18" s="34"/>
      <c r="E18" s="34"/>
      <c r="F18" s="349"/>
      <c r="G18" s="349"/>
      <c r="H18" s="349"/>
      <c r="I18" s="349"/>
      <c r="J18" s="349"/>
      <c r="K18" s="349"/>
      <c r="L18" s="349"/>
      <c r="M18" s="349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spans="1:30" s="269" customFormat="1" ht="11.25" customHeight="1">
      <c r="A19" s="34"/>
      <c r="B19" s="593"/>
      <c r="C19" s="34"/>
      <c r="D19" s="34"/>
      <c r="E19" s="34"/>
      <c r="F19" s="349"/>
      <c r="G19" s="349"/>
      <c r="H19" s="349"/>
      <c r="I19" s="349"/>
      <c r="J19" s="349"/>
      <c r="K19" s="349"/>
      <c r="L19" s="349"/>
      <c r="M19" s="349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spans="1:30" s="269" customFormat="1" ht="15" customHeight="1">
      <c r="A20" s="34"/>
      <c r="B20" s="593" t="s">
        <v>789</v>
      </c>
      <c r="C20" s="34"/>
      <c r="D20" s="34"/>
      <c r="E20" s="34"/>
      <c r="F20" s="349"/>
      <c r="G20" s="349"/>
      <c r="H20" s="349"/>
      <c r="I20" s="349"/>
      <c r="J20" s="349"/>
      <c r="K20" s="349"/>
      <c r="L20" s="349"/>
      <c r="M20" s="349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spans="1:30" s="6" customFormat="1">
      <c r="A21" s="25"/>
      <c r="B21" s="31"/>
      <c r="J21" s="25"/>
    </row>
    <row r="24" spans="1:30">
      <c r="B24" s="78" t="s">
        <v>190</v>
      </c>
      <c r="C24" s="615">
        <f>+'[8]Deposits by Client'!$C$6+'[8]Deposits by Client'!$C$15</f>
        <v>1746618010</v>
      </c>
      <c r="D24" s="615"/>
      <c r="E24" s="615">
        <f>+C24-G24</f>
        <v>1586476292</v>
      </c>
      <c r="F24" s="615"/>
      <c r="G24" s="615">
        <f>+'[8]Deposits by Client'!$D$6+'[8]Deposits by Client'!$D$15</f>
        <v>160141718</v>
      </c>
      <c r="H24" s="555"/>
      <c r="I24" s="555"/>
      <c r="J24" s="555"/>
      <c r="K24" s="555"/>
      <c r="L24" s="555"/>
      <c r="M24" s="555"/>
      <c r="N24" s="556"/>
    </row>
    <row r="25" spans="1:30">
      <c r="C25" s="615">
        <f>+C16</f>
        <v>1746618010</v>
      </c>
      <c r="D25" s="615"/>
      <c r="E25" s="615">
        <f>+C16-G16</f>
        <v>1586476292</v>
      </c>
      <c r="F25" s="615"/>
      <c r="G25" s="615">
        <f>+G16</f>
        <v>160141718</v>
      </c>
      <c r="H25" s="555"/>
      <c r="I25" s="557"/>
      <c r="J25" s="557"/>
      <c r="K25" s="557"/>
      <c r="L25" s="557"/>
      <c r="M25" s="557"/>
      <c r="N25" s="556"/>
    </row>
    <row r="26" spans="1:30">
      <c r="C26" s="555">
        <f>+C24-C25</f>
        <v>0</v>
      </c>
      <c r="D26" s="555"/>
      <c r="E26" s="555">
        <f>+E24-E25</f>
        <v>0</v>
      </c>
      <c r="F26" s="555"/>
      <c r="G26" s="555">
        <f>+G24-G25</f>
        <v>0</v>
      </c>
      <c r="H26" s="555"/>
      <c r="I26" s="557"/>
      <c r="J26" s="557"/>
      <c r="K26" s="557"/>
      <c r="L26" s="557"/>
      <c r="M26" s="557"/>
      <c r="N26" s="556"/>
    </row>
    <row r="27" spans="1:30">
      <c r="B27" s="78" t="s">
        <v>191</v>
      </c>
      <c r="C27" s="557"/>
      <c r="D27" s="557"/>
      <c r="E27" s="557"/>
      <c r="F27" s="557"/>
      <c r="G27" s="557"/>
      <c r="H27" s="557"/>
      <c r="I27" s="615">
        <f>+'[8]Deposits by Client'!$C$22-'[8]Deposits by Client'!$C$6-'[8]Deposits by Client'!$C$15</f>
        <v>5951039078</v>
      </c>
      <c r="J27" s="615"/>
      <c r="K27" s="615">
        <f>+I27-M27</f>
        <v>4591901850</v>
      </c>
      <c r="L27" s="615"/>
      <c r="M27" s="615">
        <f>+'[8]Deposits by Client'!$D$22-'[8]Deposits by Client'!$D$6-'[8]Deposits by Client'!$D$15</f>
        <v>1359137228</v>
      </c>
      <c r="N27" s="558"/>
    </row>
    <row r="28" spans="1:30">
      <c r="C28" s="557"/>
      <c r="D28" s="557"/>
      <c r="E28" s="557"/>
      <c r="F28" s="557"/>
      <c r="G28" s="557"/>
      <c r="H28" s="557"/>
      <c r="I28" s="615">
        <f>+I16</f>
        <v>5951039078</v>
      </c>
      <c r="J28" s="615"/>
      <c r="K28" s="615">
        <f>+I16-M16</f>
        <v>4591901850</v>
      </c>
      <c r="L28" s="615"/>
      <c r="M28" s="615">
        <f>+M16</f>
        <v>1359137228</v>
      </c>
      <c r="N28" s="558"/>
    </row>
    <row r="29" spans="1:30">
      <c r="C29" s="557"/>
      <c r="D29" s="557"/>
      <c r="E29" s="557"/>
      <c r="F29" s="557"/>
      <c r="G29" s="557"/>
      <c r="H29" s="557"/>
      <c r="I29" s="555">
        <f>+I27-I28</f>
        <v>0</v>
      </c>
      <c r="J29" s="557"/>
      <c r="K29" s="555">
        <f>+K27-K28</f>
        <v>0</v>
      </c>
      <c r="L29" s="557"/>
      <c r="M29" s="555">
        <f>+M27-M28</f>
        <v>0</v>
      </c>
      <c r="N29" s="558"/>
    </row>
  </sheetData>
  <sheetProtection password="CACA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conditionalFormatting sqref="C16">
    <cfRule type="cellIs" dxfId="7" priority="6" operator="notEqual">
      <formula>C24</formula>
    </cfRule>
  </conditionalFormatting>
  <conditionalFormatting sqref="E16">
    <cfRule type="cellIs" dxfId="6" priority="5" operator="notEqual">
      <formula>E24</formula>
    </cfRule>
  </conditionalFormatting>
  <conditionalFormatting sqref="G16">
    <cfRule type="cellIs" dxfId="5" priority="4" operator="notEqual">
      <formula>G24</formula>
    </cfRule>
  </conditionalFormatting>
  <conditionalFormatting sqref="I16">
    <cfRule type="cellIs" dxfId="4" priority="3" operator="notEqual">
      <formula>I27</formula>
    </cfRule>
  </conditionalFormatting>
  <conditionalFormatting sqref="K16">
    <cfRule type="cellIs" dxfId="3" priority="2" operator="notEqual">
      <formula>K27</formula>
    </cfRule>
  </conditionalFormatting>
  <conditionalFormatting sqref="M16">
    <cfRule type="cellIs" dxfId="2" priority="1" operator="notEqual">
      <formula>M27</formula>
    </cfRule>
  </conditionalFormatting>
  <printOptions horizontalCentered="1"/>
  <pageMargins left="0.39370078740157483" right="0.31" top="0.31496062992125984" bottom="0.35433070866141736" header="0.31496062992125984" footer="0.31496062992125984"/>
  <pageSetup paperSize="9" scale="57" orientation="landscape" r:id="rId1"/>
  <ignoredErrors>
    <ignoredError sqref="D16:N1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0"/>
  <dimension ref="A1:AD51"/>
  <sheetViews>
    <sheetView tabSelected="1" view="pageBreakPreview" zoomScale="85" zoomScaleSheetLayoutView="85" workbookViewId="0">
      <pane xSplit="1" ySplit="5" topLeftCell="B6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K25" sqref="K25:K26"/>
    </sheetView>
  </sheetViews>
  <sheetFormatPr defaultColWidth="9" defaultRowHeight="12.75"/>
  <cols>
    <col min="1" max="1" width="5" style="276" customWidth="1"/>
    <col min="2" max="3" width="9" style="269" customWidth="1"/>
    <col min="4" max="4" width="25.42578125" style="269" customWidth="1"/>
    <col min="5" max="5" width="46.85546875" style="269" customWidth="1"/>
    <col min="6" max="6" width="15.42578125" style="269" bestFit="1" customWidth="1"/>
    <col min="7" max="7" width="9" style="269" customWidth="1"/>
    <col min="8" max="8" width="40.5703125" style="269" customWidth="1"/>
    <col min="9" max="9" width="18.42578125" style="269" customWidth="1"/>
    <col min="10" max="10" width="15" style="276" customWidth="1"/>
    <col min="11" max="11" width="15.5703125" style="269" customWidth="1"/>
    <col min="12" max="12" width="9" style="269"/>
    <col min="13" max="13" width="9" style="587"/>
    <col min="14" max="16384" width="9" style="269"/>
  </cols>
  <sheetData>
    <row r="1" spans="1:13" s="33" customFormat="1" ht="27" customHeight="1">
      <c r="A1" s="798" t="s">
        <v>795</v>
      </c>
      <c r="B1" s="798"/>
      <c r="C1" s="798"/>
      <c r="D1" s="798"/>
      <c r="E1" s="798"/>
      <c r="F1" s="798"/>
      <c r="G1" s="798"/>
      <c r="H1" s="798"/>
      <c r="I1" s="799" t="s">
        <v>553</v>
      </c>
      <c r="J1" s="799"/>
      <c r="K1" s="799"/>
      <c r="M1" s="586"/>
    </row>
    <row r="2" spans="1:13" ht="21" customHeight="1">
      <c r="A2" s="493"/>
      <c r="B2" s="824" t="str">
        <f>+'Asset quality'!B3</f>
        <v>"Алоқабанк"</v>
      </c>
      <c r="C2" s="824"/>
      <c r="D2" s="824"/>
      <c r="E2" s="494"/>
      <c r="F2" s="494"/>
      <c r="G2" s="494"/>
      <c r="H2" s="494"/>
      <c r="I2" s="674">
        <f>+'Asset quality'!Q3</f>
        <v>44926</v>
      </c>
      <c r="J2" s="103"/>
      <c r="K2" s="8"/>
    </row>
    <row r="3" spans="1:13" ht="6.75" customHeight="1">
      <c r="A3" s="800"/>
      <c r="B3" s="801"/>
      <c r="C3" s="801"/>
      <c r="D3" s="801"/>
      <c r="E3" s="801"/>
      <c r="F3" s="801"/>
      <c r="G3" s="801"/>
      <c r="H3" s="801"/>
      <c r="I3" s="801"/>
      <c r="J3" s="801"/>
      <c r="K3" s="802"/>
    </row>
    <row r="4" spans="1:13" s="244" customFormat="1" ht="48.75" customHeight="1">
      <c r="A4" s="813" t="s">
        <v>62</v>
      </c>
      <c r="B4" s="813" t="s">
        <v>554</v>
      </c>
      <c r="C4" s="813"/>
      <c r="D4" s="813"/>
      <c r="E4" s="813"/>
      <c r="F4" s="813" t="s">
        <v>555</v>
      </c>
      <c r="G4" s="813"/>
      <c r="H4" s="813"/>
      <c r="I4" s="330" t="s">
        <v>556</v>
      </c>
      <c r="J4" s="330" t="s">
        <v>557</v>
      </c>
      <c r="K4" s="330" t="s">
        <v>468</v>
      </c>
      <c r="M4" s="588"/>
    </row>
    <row r="5" spans="1:13" s="244" customFormat="1" ht="14.25" customHeight="1">
      <c r="A5" s="813"/>
      <c r="B5" s="813" t="s">
        <v>98</v>
      </c>
      <c r="C5" s="813"/>
      <c r="D5" s="813"/>
      <c r="E5" s="813"/>
      <c r="F5" s="813" t="s">
        <v>80</v>
      </c>
      <c r="G5" s="813"/>
      <c r="H5" s="813"/>
      <c r="I5" s="330" t="s">
        <v>90</v>
      </c>
      <c r="J5" s="330" t="s">
        <v>81</v>
      </c>
      <c r="K5" s="330" t="s">
        <v>82</v>
      </c>
      <c r="M5" s="588"/>
    </row>
    <row r="6" spans="1:13" s="496" customFormat="1">
      <c r="A6" s="495">
        <v>1</v>
      </c>
      <c r="B6" s="808" t="s">
        <v>558</v>
      </c>
      <c r="C6" s="809"/>
      <c r="D6" s="809"/>
      <c r="E6" s="809"/>
      <c r="F6" s="810"/>
      <c r="G6" s="810"/>
      <c r="H6" s="810"/>
      <c r="I6" s="810"/>
      <c r="J6" s="810"/>
      <c r="K6" s="810"/>
      <c r="M6" s="589"/>
    </row>
    <row r="7" spans="1:13" ht="24" customHeight="1">
      <c r="A7" s="814" t="s">
        <v>93</v>
      </c>
      <c r="B7" s="805" t="s">
        <v>559</v>
      </c>
      <c r="C7" s="816"/>
      <c r="D7" s="816"/>
      <c r="E7" s="817"/>
      <c r="F7" s="821" t="s">
        <v>562</v>
      </c>
      <c r="G7" s="822"/>
      <c r="H7" s="823"/>
      <c r="I7" s="803">
        <f>+'[9]Bank Capital Calc'!$C$51</f>
        <v>0.12485154779596784</v>
      </c>
      <c r="J7" s="497" t="s">
        <v>99</v>
      </c>
      <c r="K7" s="811">
        <f>IF(I7="",0-J8,(IF((I7-J8)&gt;0,"",I7-J8)))</f>
        <v>-5.148452204032164E-3</v>
      </c>
    </row>
    <row r="8" spans="1:13">
      <c r="A8" s="815"/>
      <c r="B8" s="818"/>
      <c r="C8" s="819"/>
      <c r="D8" s="819"/>
      <c r="E8" s="820"/>
      <c r="F8" s="805" t="s">
        <v>563</v>
      </c>
      <c r="G8" s="806"/>
      <c r="H8" s="807"/>
      <c r="I8" s="804"/>
      <c r="J8" s="498">
        <v>0.13</v>
      </c>
      <c r="K8" s="812"/>
    </row>
    <row r="9" spans="1:13">
      <c r="A9" s="814" t="s">
        <v>94</v>
      </c>
      <c r="B9" s="805" t="s">
        <v>560</v>
      </c>
      <c r="C9" s="816"/>
      <c r="D9" s="816"/>
      <c r="E9" s="817"/>
      <c r="F9" s="837" t="s">
        <v>564</v>
      </c>
      <c r="G9" s="838"/>
      <c r="H9" s="839"/>
      <c r="I9" s="803">
        <f>+'[9]Bank Capital Calc'!$C$50</f>
        <v>9.3957151010296849E-2</v>
      </c>
      <c r="J9" s="497" t="s">
        <v>99</v>
      </c>
      <c r="K9" s="811">
        <f>IF(I9="",0-J10,(IF((I9-J10)&gt;0,"",I9-J10)))</f>
        <v>-6.0428489897031562E-3</v>
      </c>
    </row>
    <row r="10" spans="1:13">
      <c r="A10" s="815"/>
      <c r="B10" s="825"/>
      <c r="C10" s="826"/>
      <c r="D10" s="826"/>
      <c r="E10" s="827"/>
      <c r="F10" s="831" t="s">
        <v>563</v>
      </c>
      <c r="G10" s="832"/>
      <c r="H10" s="833"/>
      <c r="I10" s="804"/>
      <c r="J10" s="498">
        <v>0.1</v>
      </c>
      <c r="K10" s="812"/>
    </row>
    <row r="11" spans="1:13" ht="12.75" customHeight="1">
      <c r="A11" s="814" t="s">
        <v>95</v>
      </c>
      <c r="B11" s="834" t="s">
        <v>561</v>
      </c>
      <c r="C11" s="835"/>
      <c r="D11" s="835"/>
      <c r="E11" s="836"/>
      <c r="F11" s="837" t="s">
        <v>565</v>
      </c>
      <c r="G11" s="838"/>
      <c r="H11" s="839"/>
      <c r="I11" s="803">
        <f>+'[9]Bank Capital Calc'!$C$49</f>
        <v>9.3815032880390364E-2</v>
      </c>
      <c r="J11" s="497" t="s">
        <v>99</v>
      </c>
      <c r="K11" s="811" t="str">
        <f>IF(I11="",0-J12,(IF((I11-J12)&gt;0,"",I11-J12)))</f>
        <v/>
      </c>
    </row>
    <row r="12" spans="1:13" ht="24.75" customHeight="1">
      <c r="A12" s="815"/>
      <c r="B12" s="818"/>
      <c r="C12" s="819"/>
      <c r="D12" s="819"/>
      <c r="E12" s="820"/>
      <c r="F12" s="821" t="s">
        <v>563</v>
      </c>
      <c r="G12" s="822"/>
      <c r="H12" s="823"/>
      <c r="I12" s="804"/>
      <c r="J12" s="498">
        <v>0.08</v>
      </c>
      <c r="K12" s="812"/>
    </row>
    <row r="13" spans="1:13">
      <c r="A13" s="814" t="s">
        <v>96</v>
      </c>
      <c r="B13" s="834" t="s">
        <v>100</v>
      </c>
      <c r="C13" s="835"/>
      <c r="D13" s="835"/>
      <c r="E13" s="836"/>
      <c r="F13" s="828" t="s">
        <v>564</v>
      </c>
      <c r="G13" s="829"/>
      <c r="H13" s="830"/>
      <c r="I13" s="803">
        <f>+'[9]Bank Capital Calc'!$C$57</f>
        <v>7.8807186214779404E-2</v>
      </c>
      <c r="J13" s="497" t="s">
        <v>99</v>
      </c>
      <c r="K13" s="811" t="str">
        <f>IF(I13="",0-J14,(IF((I13-J14)&gt;0,"",I13-J14)))</f>
        <v/>
      </c>
    </row>
    <row r="14" spans="1:13" ht="24.75" customHeight="1">
      <c r="A14" s="815"/>
      <c r="B14" s="818"/>
      <c r="C14" s="819"/>
      <c r="D14" s="819"/>
      <c r="E14" s="820"/>
      <c r="F14" s="821" t="s">
        <v>566</v>
      </c>
      <c r="G14" s="822"/>
      <c r="H14" s="823"/>
      <c r="I14" s="804"/>
      <c r="J14" s="498">
        <v>0.06</v>
      </c>
      <c r="K14" s="812"/>
    </row>
    <row r="15" spans="1:13" s="496" customFormat="1">
      <c r="A15" s="222">
        <v>2</v>
      </c>
      <c r="B15" s="808" t="s">
        <v>567</v>
      </c>
      <c r="C15" s="809"/>
      <c r="D15" s="809"/>
      <c r="E15" s="809"/>
      <c r="F15" s="810"/>
      <c r="G15" s="810"/>
      <c r="H15" s="810"/>
      <c r="I15" s="810"/>
      <c r="J15" s="810"/>
      <c r="K15" s="810"/>
      <c r="M15" s="589"/>
    </row>
    <row r="16" spans="1:13" s="496" customFormat="1" ht="12.75" customHeight="1">
      <c r="A16" s="814" t="s">
        <v>101</v>
      </c>
      <c r="B16" s="834" t="s">
        <v>568</v>
      </c>
      <c r="C16" s="835"/>
      <c r="D16" s="835"/>
      <c r="E16" s="836"/>
      <c r="F16" s="837" t="s">
        <v>572</v>
      </c>
      <c r="G16" s="838"/>
      <c r="H16" s="839"/>
      <c r="I16" s="849">
        <f>+'[8]Liquidity Analysis'!$C$18</f>
        <v>0.14719364752463404</v>
      </c>
      <c r="J16" s="497" t="s">
        <v>99</v>
      </c>
      <c r="K16" s="811" t="str">
        <f>IF(I16="",0-J17,(IF((I16-J17)&gt;0,"",I16-J17)))</f>
        <v/>
      </c>
      <c r="M16" s="589"/>
    </row>
    <row r="17" spans="1:13" s="496" customFormat="1">
      <c r="A17" s="815"/>
      <c r="B17" s="818"/>
      <c r="C17" s="819"/>
      <c r="D17" s="819"/>
      <c r="E17" s="820"/>
      <c r="F17" s="821" t="s">
        <v>282</v>
      </c>
      <c r="G17" s="822"/>
      <c r="H17" s="823"/>
      <c r="I17" s="850"/>
      <c r="J17" s="498">
        <v>0.1</v>
      </c>
      <c r="K17" s="812"/>
      <c r="M17" s="589"/>
    </row>
    <row r="18" spans="1:13" s="33" customFormat="1" ht="15.75" customHeight="1">
      <c r="A18" s="840" t="s">
        <v>35</v>
      </c>
      <c r="B18" s="843" t="s">
        <v>569</v>
      </c>
      <c r="C18" s="844"/>
      <c r="D18" s="844"/>
      <c r="E18" s="499" t="s">
        <v>235</v>
      </c>
      <c r="F18" s="855" t="s">
        <v>572</v>
      </c>
      <c r="G18" s="856"/>
      <c r="H18" s="857"/>
      <c r="I18" s="563">
        <f>+'[8]Liquidity Analysis'!$C$24</f>
        <v>2.2680144748073383</v>
      </c>
      <c r="J18" s="861" t="s">
        <v>99</v>
      </c>
      <c r="K18" s="329" t="str">
        <f>IF(I18="",0-$J$20,(IF((I18-$J$20)&gt;0,"",I18-$J$20)))</f>
        <v/>
      </c>
      <c r="M18" s="586"/>
    </row>
    <row r="19" spans="1:13" s="33" customFormat="1" ht="15.75" customHeight="1">
      <c r="A19" s="841"/>
      <c r="B19" s="864"/>
      <c r="C19" s="865"/>
      <c r="D19" s="865"/>
      <c r="E19" s="500" t="s">
        <v>286</v>
      </c>
      <c r="F19" s="858"/>
      <c r="G19" s="859"/>
      <c r="H19" s="860"/>
      <c r="I19" s="563">
        <f>+'[8]Liquidity Analysis'!$D$24</f>
        <v>1.3992993515374768</v>
      </c>
      <c r="J19" s="862"/>
      <c r="K19" s="329" t="str">
        <f>IF(I19="",0-$J$20,(IF((I19-$J$20)&gt;0,"",I19-$J$20)))</f>
        <v/>
      </c>
      <c r="M19" s="586"/>
    </row>
    <row r="20" spans="1:13" s="33" customFormat="1" ht="15.75" customHeight="1">
      <c r="A20" s="842"/>
      <c r="B20" s="866"/>
      <c r="C20" s="867"/>
      <c r="D20" s="867"/>
      <c r="E20" s="500" t="s">
        <v>493</v>
      </c>
      <c r="F20" s="854" t="s">
        <v>573</v>
      </c>
      <c r="G20" s="854"/>
      <c r="H20" s="854"/>
      <c r="I20" s="563">
        <f>+'[8]Liquidity Analysis'!$E$24</f>
        <v>5.0842544855188123</v>
      </c>
      <c r="J20" s="229">
        <v>1</v>
      </c>
      <c r="K20" s="329" t="str">
        <f>IF(I20="",0-$J$20,(IF((I20-$J$20)&gt;0,"",I20-$J$20)))</f>
        <v/>
      </c>
      <c r="M20" s="586"/>
    </row>
    <row r="21" spans="1:13" s="33" customFormat="1" ht="15" customHeight="1">
      <c r="A21" s="840" t="s">
        <v>570</v>
      </c>
      <c r="B21" s="843" t="s">
        <v>571</v>
      </c>
      <c r="C21" s="844"/>
      <c r="D21" s="844"/>
      <c r="E21" s="499" t="s">
        <v>235</v>
      </c>
      <c r="F21" s="855" t="s">
        <v>574</v>
      </c>
      <c r="G21" s="856"/>
      <c r="H21" s="857"/>
      <c r="I21" s="563">
        <f>+'[8]Liquidity Analysis'!$C$29</f>
        <v>1.0094710886287941</v>
      </c>
      <c r="J21" s="861" t="s">
        <v>99</v>
      </c>
      <c r="K21" s="329" t="str">
        <f>IF(I21="",0-$J$23,(IF((I21-$J$23)&gt;0,"",I21-$J$23)))</f>
        <v/>
      </c>
      <c r="M21" s="586"/>
    </row>
    <row r="22" spans="1:13" s="33" customFormat="1" ht="15" customHeight="1">
      <c r="A22" s="841"/>
      <c r="B22" s="864"/>
      <c r="C22" s="865"/>
      <c r="D22" s="865"/>
      <c r="E22" s="500" t="s">
        <v>286</v>
      </c>
      <c r="F22" s="858"/>
      <c r="G22" s="859"/>
      <c r="H22" s="860"/>
      <c r="I22" s="563">
        <f>+'[8]Liquidity Analysis'!$D$29</f>
        <v>1.0066989995785218</v>
      </c>
      <c r="J22" s="862"/>
      <c r="K22" s="329" t="str">
        <f>IF(I22="",0-$J$23,(IF((I22-$J$23)&gt;0,"",I22-$J$23)))</f>
        <v/>
      </c>
      <c r="M22" s="586"/>
    </row>
    <row r="23" spans="1:13" s="33" customFormat="1" ht="15" customHeight="1">
      <c r="A23" s="842"/>
      <c r="B23" s="866"/>
      <c r="C23" s="867"/>
      <c r="D23" s="867"/>
      <c r="E23" s="500" t="s">
        <v>493</v>
      </c>
      <c r="F23" s="854" t="s">
        <v>575</v>
      </c>
      <c r="G23" s="854"/>
      <c r="H23" s="854"/>
      <c r="I23" s="563">
        <f>+'[8]Liquidity Analysis'!$E$29</f>
        <v>1.0147331159791524</v>
      </c>
      <c r="J23" s="228">
        <v>1</v>
      </c>
      <c r="K23" s="329" t="str">
        <f>IF(I23="",0-$J$23,(IF((I23-$J$23)&gt;0,"",I23-$J$23)))</f>
        <v/>
      </c>
      <c r="M23" s="586"/>
    </row>
    <row r="24" spans="1:13" s="496" customFormat="1">
      <c r="A24" s="222">
        <v>3</v>
      </c>
      <c r="B24" s="852" t="s">
        <v>576</v>
      </c>
      <c r="C24" s="853"/>
      <c r="D24" s="853"/>
      <c r="E24" s="853"/>
      <c r="F24" s="810"/>
      <c r="G24" s="810"/>
      <c r="H24" s="810"/>
      <c r="I24" s="810"/>
      <c r="J24" s="810"/>
      <c r="K24" s="810"/>
      <c r="M24" s="589"/>
    </row>
    <row r="25" spans="1:13" ht="24" customHeight="1">
      <c r="A25" s="814" t="s">
        <v>102</v>
      </c>
      <c r="B25" s="843" t="s">
        <v>577</v>
      </c>
      <c r="C25" s="844"/>
      <c r="D25" s="844"/>
      <c r="E25" s="845"/>
      <c r="F25" s="887" t="s">
        <v>581</v>
      </c>
      <c r="G25" s="888"/>
      <c r="H25" s="889"/>
      <c r="I25" s="849">
        <f>IFERROR((+' Largest risk'!Z90/'[9]Bank Capital Calc'!$C$34),0)</f>
        <v>0.31426970259600534</v>
      </c>
      <c r="J25" s="230" t="s">
        <v>103</v>
      </c>
      <c r="K25" s="849">
        <f>IF(I25="","",IF(I25&lt;0,"ОТР",IF((I25-J26)&lt;0,"",I25-J26)))</f>
        <v>6.426970259600534E-2</v>
      </c>
    </row>
    <row r="26" spans="1:13">
      <c r="A26" s="815"/>
      <c r="B26" s="846"/>
      <c r="C26" s="847"/>
      <c r="D26" s="847"/>
      <c r="E26" s="848"/>
      <c r="F26" s="828" t="s">
        <v>564</v>
      </c>
      <c r="G26" s="829"/>
      <c r="H26" s="830"/>
      <c r="I26" s="850"/>
      <c r="J26" s="229">
        <v>0.25</v>
      </c>
      <c r="K26" s="851"/>
    </row>
    <row r="27" spans="1:13" s="33" customFormat="1" ht="28.5" customHeight="1">
      <c r="A27" s="840" t="s">
        <v>104</v>
      </c>
      <c r="B27" s="863" t="s">
        <v>578</v>
      </c>
      <c r="C27" s="844"/>
      <c r="D27" s="844"/>
      <c r="E27" s="845"/>
      <c r="F27" s="876" t="s">
        <v>582</v>
      </c>
      <c r="G27" s="880"/>
      <c r="H27" s="881"/>
      <c r="I27" s="869">
        <f>IFERROR((' Largest risk'!H33/'[9]Bank Capital Calc'!$C$34),0)</f>
        <v>0</v>
      </c>
      <c r="J27" s="230" t="s">
        <v>103</v>
      </c>
      <c r="K27" s="811" t="str">
        <f>IF(I27&lt;0,"ОТР",IF((I27-J28)&lt;0,"",I27-J28))</f>
        <v/>
      </c>
      <c r="M27" s="586" t="s">
        <v>784</v>
      </c>
    </row>
    <row r="28" spans="1:13" s="33" customFormat="1">
      <c r="A28" s="842"/>
      <c r="B28" s="858"/>
      <c r="C28" s="859"/>
      <c r="D28" s="859"/>
      <c r="E28" s="860"/>
      <c r="F28" s="828" t="s">
        <v>564</v>
      </c>
      <c r="G28" s="829"/>
      <c r="H28" s="830"/>
      <c r="I28" s="870"/>
      <c r="J28" s="229">
        <v>0.25</v>
      </c>
      <c r="K28" s="812"/>
      <c r="M28" s="586"/>
    </row>
    <row r="29" spans="1:13" s="33" customFormat="1" ht="36" customHeight="1">
      <c r="A29" s="840" t="s">
        <v>23</v>
      </c>
      <c r="B29" s="843" t="s">
        <v>579</v>
      </c>
      <c r="C29" s="844"/>
      <c r="D29" s="844"/>
      <c r="E29" s="845"/>
      <c r="F29" s="887" t="s">
        <v>583</v>
      </c>
      <c r="G29" s="888"/>
      <c r="H29" s="889"/>
      <c r="I29" s="869">
        <f>IFERROR((0/'[9]Bank Capital Calc'!$C$34),0)</f>
        <v>0</v>
      </c>
      <c r="J29" s="230" t="s">
        <v>103</v>
      </c>
      <c r="K29" s="811" t="str">
        <f>IF(I29&lt;0,"ОТР",IF((I29-J30)&lt;0,"",I29-J30))</f>
        <v/>
      </c>
      <c r="M29" s="586" t="s">
        <v>784</v>
      </c>
    </row>
    <row r="30" spans="1:13" s="33" customFormat="1">
      <c r="A30" s="842"/>
      <c r="B30" s="858"/>
      <c r="C30" s="859"/>
      <c r="D30" s="859"/>
      <c r="E30" s="860"/>
      <c r="F30" s="828" t="s">
        <v>564</v>
      </c>
      <c r="G30" s="829"/>
      <c r="H30" s="830"/>
      <c r="I30" s="870"/>
      <c r="J30" s="229">
        <v>0.05</v>
      </c>
      <c r="K30" s="812"/>
      <c r="M30" s="586"/>
    </row>
    <row r="31" spans="1:13" s="33" customFormat="1" ht="14.25" customHeight="1">
      <c r="A31" s="840" t="s">
        <v>165</v>
      </c>
      <c r="B31" s="874" t="s">
        <v>580</v>
      </c>
      <c r="C31" s="865"/>
      <c r="D31" s="865"/>
      <c r="E31" s="875"/>
      <c r="F31" s="871" t="s">
        <v>584</v>
      </c>
      <c r="G31" s="872"/>
      <c r="H31" s="873"/>
      <c r="I31" s="849">
        <f>IFERROR((+' Largest risk'!Z89/'[9]Bank Capital Calc'!$C$34),0)</f>
        <v>1.6230684888654126</v>
      </c>
      <c r="J31" s="228" t="s">
        <v>103</v>
      </c>
      <c r="K31" s="811" t="str">
        <f>IF(I31="","",IF(I31&lt;0,"ОТР",IF((I31-J32)&lt;0,"",I31-J32)))</f>
        <v/>
      </c>
      <c r="M31" s="586"/>
    </row>
    <row r="32" spans="1:13" s="33" customFormat="1">
      <c r="A32" s="842"/>
      <c r="B32" s="858"/>
      <c r="C32" s="859"/>
      <c r="D32" s="859"/>
      <c r="E32" s="860"/>
      <c r="F32" s="828" t="s">
        <v>564</v>
      </c>
      <c r="G32" s="829"/>
      <c r="H32" s="830"/>
      <c r="I32" s="850"/>
      <c r="J32" s="228">
        <v>5</v>
      </c>
      <c r="K32" s="812"/>
      <c r="M32" s="586"/>
    </row>
    <row r="33" spans="1:13" s="245" customFormat="1">
      <c r="A33" s="501">
        <v>4</v>
      </c>
      <c r="B33" s="886" t="s">
        <v>585</v>
      </c>
      <c r="C33" s="853"/>
      <c r="D33" s="853"/>
      <c r="E33" s="853"/>
      <c r="F33" s="810"/>
      <c r="G33" s="810"/>
      <c r="H33" s="810"/>
      <c r="I33" s="810"/>
      <c r="J33" s="810"/>
      <c r="K33" s="810"/>
      <c r="M33" s="590"/>
    </row>
    <row r="34" spans="1:13" s="33" customFormat="1" ht="12.75" customHeight="1">
      <c r="A34" s="840" t="s">
        <v>105</v>
      </c>
      <c r="B34" s="868" t="s">
        <v>586</v>
      </c>
      <c r="C34" s="856"/>
      <c r="D34" s="856"/>
      <c r="E34" s="857"/>
      <c r="F34" s="876" t="s">
        <v>589</v>
      </c>
      <c r="G34" s="880"/>
      <c r="H34" s="881"/>
      <c r="I34" s="869">
        <f>IFERROR((+'Transactions of related parties'!J11/'[9]Bank Capital Calc'!$C$34),0)</f>
        <v>3.4159541463412331E-2</v>
      </c>
      <c r="J34" s="230" t="s">
        <v>103</v>
      </c>
      <c r="K34" s="811" t="str">
        <f>IF(I34&lt;0,"ОТР",IF((I34-J35)&lt;0,"",I34-J35))</f>
        <v/>
      </c>
      <c r="M34" s="586" t="s">
        <v>784</v>
      </c>
    </row>
    <row r="35" spans="1:13" s="33" customFormat="1">
      <c r="A35" s="842"/>
      <c r="B35" s="847"/>
      <c r="C35" s="847"/>
      <c r="D35" s="847"/>
      <c r="E35" s="848"/>
      <c r="F35" s="828" t="s">
        <v>564</v>
      </c>
      <c r="G35" s="829"/>
      <c r="H35" s="830"/>
      <c r="I35" s="870"/>
      <c r="J35" s="229">
        <v>0.15</v>
      </c>
      <c r="K35" s="812"/>
      <c r="M35" s="586"/>
    </row>
    <row r="36" spans="1:13" s="33" customFormat="1" ht="24.75" customHeight="1">
      <c r="A36" s="840" t="s">
        <v>25</v>
      </c>
      <c r="B36" s="868" t="s">
        <v>587</v>
      </c>
      <c r="C36" s="856"/>
      <c r="D36" s="856"/>
      <c r="E36" s="857"/>
      <c r="F36" s="876" t="s">
        <v>587</v>
      </c>
      <c r="G36" s="877"/>
      <c r="H36" s="878"/>
      <c r="I36" s="849">
        <f>IFERROR((+('[8]Investment Securities'!$B$22+'[8]Investment Securities'!$B$23+'[8]Investment Securities'!$B$24+'[8]Investment Securities'!$B$25-'[8]Investment Securities'!$B$28)/'[9]Bank Capital Calc'!$C$34),0)</f>
        <v>0</v>
      </c>
      <c r="J36" s="230" t="s">
        <v>103</v>
      </c>
      <c r="K36" s="811" t="str">
        <f>IF(I36="","",IF(I36&lt;0,"ОТР",IF((I36-J37)&lt;0,"",I36-J37)))</f>
        <v/>
      </c>
      <c r="M36" s="586"/>
    </row>
    <row r="37" spans="1:13" s="33" customFormat="1">
      <c r="A37" s="842"/>
      <c r="B37" s="847"/>
      <c r="C37" s="847"/>
      <c r="D37" s="847"/>
      <c r="E37" s="848"/>
      <c r="F37" s="871" t="s">
        <v>564</v>
      </c>
      <c r="G37" s="872"/>
      <c r="H37" s="873"/>
      <c r="I37" s="879"/>
      <c r="J37" s="229">
        <v>0.25</v>
      </c>
      <c r="K37" s="812"/>
      <c r="M37" s="586"/>
    </row>
    <row r="38" spans="1:13" s="33" customFormat="1" ht="36" customHeight="1">
      <c r="A38" s="840" t="s">
        <v>26</v>
      </c>
      <c r="B38" s="868" t="s">
        <v>588</v>
      </c>
      <c r="C38" s="856"/>
      <c r="D38" s="856"/>
      <c r="E38" s="857"/>
      <c r="F38" s="876" t="s">
        <v>590</v>
      </c>
      <c r="G38" s="877"/>
      <c r="H38" s="878"/>
      <c r="I38" s="849">
        <f>IFERROR((+(+'[8]Investment Securities'!$B$15-'[8]Investment Securities'!$B$6-'[8]Investment Securities'!$B$7+'[8]Investment Securities'!$B$22+'[8]Investment Securities'!$B$23+'[8]Investment Securities'!$B$24+'[8]Investment Securities'!$B$25-'[8]Investment Securities'!$B$28)/'[9]Bank Capital Calc'!$C$34),0)</f>
        <v>6.5481412241963383E-2</v>
      </c>
      <c r="J38" s="228" t="s">
        <v>103</v>
      </c>
      <c r="K38" s="811" t="str">
        <f>IF(I38="","",IF(I38&lt;0,"ОТР",IF((I38-J39)&lt;0,"",I38-J39)))</f>
        <v/>
      </c>
      <c r="M38" s="586"/>
    </row>
    <row r="39" spans="1:13" s="33" customFormat="1">
      <c r="A39" s="842"/>
      <c r="B39" s="847"/>
      <c r="C39" s="847"/>
      <c r="D39" s="847"/>
      <c r="E39" s="848"/>
      <c r="F39" s="871" t="s">
        <v>564</v>
      </c>
      <c r="G39" s="872"/>
      <c r="H39" s="873"/>
      <c r="I39" s="850"/>
      <c r="J39" s="228">
        <v>0.5</v>
      </c>
      <c r="K39" s="812"/>
      <c r="M39" s="586"/>
    </row>
    <row r="40" spans="1:13" s="245" customFormat="1">
      <c r="A40" s="501">
        <v>5</v>
      </c>
      <c r="B40" s="886" t="s">
        <v>591</v>
      </c>
      <c r="C40" s="853"/>
      <c r="D40" s="853"/>
      <c r="E40" s="853"/>
      <c r="F40" s="810"/>
      <c r="G40" s="810"/>
      <c r="H40" s="810"/>
      <c r="I40" s="810"/>
      <c r="J40" s="810"/>
      <c r="K40" s="810"/>
      <c r="M40" s="590"/>
    </row>
    <row r="41" spans="1:13" s="33" customFormat="1" ht="23.25" customHeight="1">
      <c r="A41" s="840" t="s">
        <v>106</v>
      </c>
      <c r="B41" s="882" t="s">
        <v>592</v>
      </c>
      <c r="C41" s="854"/>
      <c r="D41" s="854"/>
      <c r="E41" s="854"/>
      <c r="F41" s="876" t="s">
        <v>596</v>
      </c>
      <c r="G41" s="880"/>
      <c r="H41" s="881"/>
      <c r="I41" s="849">
        <f>IFERROR(((+'Transactions of related parties'!Z90-'[9]Bank Capital Calc'!$C$24)/'[9]Bank Capital Calc'!$C$34),0)</f>
        <v>0.16039225529902312</v>
      </c>
      <c r="J41" s="230" t="s">
        <v>103</v>
      </c>
      <c r="K41" s="811" t="str">
        <f>IF(I41="","",IF(I41&lt;0,"ОТР",IF((I41-J42)&lt;0,"",I41-J42)))</f>
        <v/>
      </c>
      <c r="M41" s="586"/>
    </row>
    <row r="42" spans="1:13" s="33" customFormat="1">
      <c r="A42" s="842"/>
      <c r="B42" s="854"/>
      <c r="C42" s="854"/>
      <c r="D42" s="854"/>
      <c r="E42" s="854"/>
      <c r="F42" s="828" t="s">
        <v>564</v>
      </c>
      <c r="G42" s="829"/>
      <c r="H42" s="830"/>
      <c r="I42" s="885"/>
      <c r="J42" s="229">
        <v>0.25</v>
      </c>
      <c r="K42" s="812"/>
      <c r="M42" s="586"/>
    </row>
    <row r="43" spans="1:13" s="33" customFormat="1">
      <c r="A43" s="840" t="s">
        <v>218</v>
      </c>
      <c r="B43" s="882" t="s">
        <v>593</v>
      </c>
      <c r="C43" s="854"/>
      <c r="D43" s="854"/>
      <c r="E43" s="854"/>
      <c r="F43" s="866" t="s">
        <v>597</v>
      </c>
      <c r="G43" s="883"/>
      <c r="H43" s="884"/>
      <c r="I43" s="849">
        <f>IFERROR(((+'Transactions of related parties'!Z89-'[9]Bank Capital Calc'!$C$24)/'[9]Bank Capital Calc'!$C$34),0)</f>
        <v>0.29166040391326731</v>
      </c>
      <c r="J43" s="228" t="s">
        <v>103</v>
      </c>
      <c r="K43" s="811" t="str">
        <f>IF(I43="","",IF(I43&lt;0,"ОТР",IF((I43-J44)&lt;0,"",I43-J44)))</f>
        <v/>
      </c>
      <c r="M43" s="586"/>
    </row>
    <row r="44" spans="1:13" s="33" customFormat="1">
      <c r="A44" s="842"/>
      <c r="B44" s="854"/>
      <c r="C44" s="854"/>
      <c r="D44" s="854"/>
      <c r="E44" s="854"/>
      <c r="F44" s="828" t="s">
        <v>564</v>
      </c>
      <c r="G44" s="829"/>
      <c r="H44" s="830"/>
      <c r="I44" s="885"/>
      <c r="J44" s="228">
        <v>0.5</v>
      </c>
      <c r="K44" s="812"/>
      <c r="M44" s="586"/>
    </row>
    <row r="45" spans="1:13" s="245" customFormat="1">
      <c r="A45" s="501">
        <v>6</v>
      </c>
      <c r="B45" s="886" t="s">
        <v>594</v>
      </c>
      <c r="C45" s="853"/>
      <c r="D45" s="853"/>
      <c r="E45" s="853"/>
      <c r="F45" s="810"/>
      <c r="G45" s="810"/>
      <c r="H45" s="810"/>
      <c r="I45" s="810"/>
      <c r="J45" s="810"/>
      <c r="K45" s="810"/>
      <c r="M45" s="590"/>
    </row>
    <row r="46" spans="1:13" s="33" customFormat="1">
      <c r="A46" s="840" t="s">
        <v>200</v>
      </c>
      <c r="B46" s="863" t="s">
        <v>595</v>
      </c>
      <c r="C46" s="856"/>
      <c r="D46" s="856"/>
      <c r="E46" s="857"/>
      <c r="F46" s="876" t="s">
        <v>598</v>
      </c>
      <c r="G46" s="880"/>
      <c r="H46" s="881"/>
      <c r="I46" s="869">
        <f>IFERROR((1303669250/'[9]Bank Capital Calc'!$C$34),0)</f>
        <v>0.89065487599901305</v>
      </c>
      <c r="J46" s="228" t="s">
        <v>103</v>
      </c>
      <c r="K46" s="811" t="str">
        <f>IF(I46="","",IF(I46&lt;0,"ОТР",IF((I46-J47)&lt;0,"",I46-J47)))</f>
        <v/>
      </c>
      <c r="M46" s="586" t="s">
        <v>784</v>
      </c>
    </row>
    <row r="47" spans="1:13" s="33" customFormat="1">
      <c r="A47" s="842"/>
      <c r="B47" s="858"/>
      <c r="C47" s="859"/>
      <c r="D47" s="859"/>
      <c r="E47" s="860"/>
      <c r="F47" s="828" t="s">
        <v>564</v>
      </c>
      <c r="G47" s="829"/>
      <c r="H47" s="830"/>
      <c r="I47" s="870"/>
      <c r="J47" s="229">
        <v>1</v>
      </c>
      <c r="K47" s="812"/>
      <c r="M47" s="586"/>
    </row>
    <row r="48" spans="1:13" s="33" customFormat="1">
      <c r="A48" s="231"/>
      <c r="J48" s="231"/>
      <c r="M48" s="586"/>
    </row>
    <row r="49" spans="1:30" ht="15" customHeight="1">
      <c r="A49" s="34"/>
      <c r="B49" s="239" t="s">
        <v>788</v>
      </c>
      <c r="C49" s="34"/>
      <c r="D49" s="34"/>
      <c r="E49" s="34"/>
      <c r="F49" s="349"/>
      <c r="G49" s="349"/>
      <c r="H49" s="349"/>
      <c r="I49" s="349"/>
      <c r="J49" s="349"/>
      <c r="K49" s="349"/>
      <c r="L49" s="349"/>
      <c r="M49" s="349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spans="1:30" ht="11.25" customHeight="1">
      <c r="A50" s="34"/>
      <c r="B50" s="239"/>
      <c r="C50" s="34"/>
      <c r="D50" s="34"/>
      <c r="E50" s="34"/>
      <c r="F50" s="349"/>
      <c r="G50" s="349"/>
      <c r="H50" s="349"/>
      <c r="I50" s="349"/>
      <c r="J50" s="349"/>
      <c r="K50" s="349"/>
      <c r="L50" s="349"/>
      <c r="M50" s="349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spans="1:30" ht="15" customHeight="1">
      <c r="A51" s="34"/>
      <c r="B51" s="239" t="s">
        <v>789</v>
      </c>
      <c r="C51" s="34"/>
      <c r="D51" s="34"/>
      <c r="E51" s="34"/>
      <c r="F51" s="349"/>
      <c r="G51" s="349"/>
      <c r="H51" s="349"/>
      <c r="I51" s="349"/>
      <c r="J51" s="349"/>
      <c r="K51" s="349"/>
      <c r="L51" s="349"/>
      <c r="M51" s="349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</sheetData>
  <sheetProtection password="CACA" sheet="1" objects="1" scenarios="1"/>
  <mergeCells count="121">
    <mergeCell ref="F41:H41"/>
    <mergeCell ref="I41:I42"/>
    <mergeCell ref="F42:H42"/>
    <mergeCell ref="B45:E45"/>
    <mergeCell ref="F45:K45"/>
    <mergeCell ref="F40:K40"/>
    <mergeCell ref="A16:A17"/>
    <mergeCell ref="B16:E17"/>
    <mergeCell ref="F16:H16"/>
    <mergeCell ref="F17:H17"/>
    <mergeCell ref="F25:H25"/>
    <mergeCell ref="F27:H27"/>
    <mergeCell ref="F29:H29"/>
    <mergeCell ref="F31:H31"/>
    <mergeCell ref="F34:H34"/>
    <mergeCell ref="I27:I28"/>
    <mergeCell ref="K27:K28"/>
    <mergeCell ref="F28:H28"/>
    <mergeCell ref="B29:E30"/>
    <mergeCell ref="I29:I30"/>
    <mergeCell ref="B21:D23"/>
    <mergeCell ref="B33:E33"/>
    <mergeCell ref="F33:K33"/>
    <mergeCell ref="K34:K35"/>
    <mergeCell ref="K38:K39"/>
    <mergeCell ref="F39:H39"/>
    <mergeCell ref="F38:H38"/>
    <mergeCell ref="I36:I37"/>
    <mergeCell ref="F36:H36"/>
    <mergeCell ref="A46:A47"/>
    <mergeCell ref="B46:E47"/>
    <mergeCell ref="F46:H46"/>
    <mergeCell ref="I46:I47"/>
    <mergeCell ref="K46:K47"/>
    <mergeCell ref="F47:H47"/>
    <mergeCell ref="I38:I39"/>
    <mergeCell ref="A43:A44"/>
    <mergeCell ref="B43:E44"/>
    <mergeCell ref="F43:H43"/>
    <mergeCell ref="A41:A42"/>
    <mergeCell ref="B41:E42"/>
    <mergeCell ref="I43:I44"/>
    <mergeCell ref="K43:K44"/>
    <mergeCell ref="F44:H44"/>
    <mergeCell ref="K41:K42"/>
    <mergeCell ref="B40:E40"/>
    <mergeCell ref="A38:A39"/>
    <mergeCell ref="B38:E39"/>
    <mergeCell ref="A18:A20"/>
    <mergeCell ref="F20:H20"/>
    <mergeCell ref="K13:K14"/>
    <mergeCell ref="F14:H14"/>
    <mergeCell ref="B18:D20"/>
    <mergeCell ref="F18:H19"/>
    <mergeCell ref="A29:A30"/>
    <mergeCell ref="J18:J19"/>
    <mergeCell ref="B36:E37"/>
    <mergeCell ref="B34:E35"/>
    <mergeCell ref="I34:I35"/>
    <mergeCell ref="K36:K37"/>
    <mergeCell ref="F37:H37"/>
    <mergeCell ref="F35:H35"/>
    <mergeCell ref="A34:A35"/>
    <mergeCell ref="A36:A37"/>
    <mergeCell ref="I16:I17"/>
    <mergeCell ref="K16:K17"/>
    <mergeCell ref="B31:E32"/>
    <mergeCell ref="I31:I32"/>
    <mergeCell ref="K31:K32"/>
    <mergeCell ref="F32:H32"/>
    <mergeCell ref="K29:K30"/>
    <mergeCell ref="F30:H30"/>
    <mergeCell ref="A21:A23"/>
    <mergeCell ref="A31:A32"/>
    <mergeCell ref="A25:A26"/>
    <mergeCell ref="B25:E26"/>
    <mergeCell ref="I25:I26"/>
    <mergeCell ref="K25:K26"/>
    <mergeCell ref="F26:H26"/>
    <mergeCell ref="B24:E24"/>
    <mergeCell ref="F24:K24"/>
    <mergeCell ref="F23:H23"/>
    <mergeCell ref="F21:H22"/>
    <mergeCell ref="J21:J22"/>
    <mergeCell ref="A27:A28"/>
    <mergeCell ref="B27:E28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9:H9"/>
    <mergeCell ref="I9:I10"/>
    <mergeCell ref="A13:A14"/>
    <mergeCell ref="B13:E14"/>
    <mergeCell ref="A9:A10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</mergeCells>
  <phoneticPr fontId="15" type="noConversion"/>
  <dataValidations xWindow="1149" yWindow="77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16:I23 I7:I14 I41:I44 I31:I32 I46:I47 I36:I38" xr:uid="{00000000-0002-0000-0F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 xr:uid="{00000000-0002-0000-0F00-000001000000}"/>
  </dataValidations>
  <printOptions horizontalCentered="1" verticalCentered="1"/>
  <pageMargins left="0.16" right="0.18" top="0.22" bottom="0.15" header="0.51181102362204722" footer="0.51181102362204722"/>
  <pageSetup paperSize="9" scale="66" orientation="landscape" r:id="rId1"/>
  <headerFooter alignWithMargins="0"/>
  <ignoredErrors>
    <ignoredError sqref="I28 I30" unlocked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1">
    <pageSetUpPr fitToPage="1"/>
  </sheetPr>
  <dimension ref="A1:AD30"/>
  <sheetViews>
    <sheetView view="pageBreakPreview" zoomScaleSheetLayoutView="100" workbookViewId="0">
      <pane xSplit="1" ySplit="2" topLeftCell="B9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C18" sqref="C18"/>
    </sheetView>
  </sheetViews>
  <sheetFormatPr defaultRowHeight="12.75"/>
  <cols>
    <col min="1" max="1" width="6" style="273" customWidth="1"/>
    <col min="2" max="2" width="71.85546875" style="519" customWidth="1"/>
    <col min="3" max="3" width="19.28515625" style="273" customWidth="1"/>
    <col min="4" max="16384" width="9.140625" style="273"/>
  </cols>
  <sheetData>
    <row r="1" spans="1:5" s="16" customFormat="1" ht="39.75" customHeight="1">
      <c r="B1" s="502" t="s">
        <v>599</v>
      </c>
      <c r="C1" s="17" t="s">
        <v>600</v>
      </c>
    </row>
    <row r="2" spans="1:5" s="16" customFormat="1" ht="35.25" customHeight="1">
      <c r="A2" s="224"/>
      <c r="B2" s="224" t="str">
        <f>+'Asset quality'!B3</f>
        <v>"Алоқабанк"</v>
      </c>
      <c r="C2" s="554">
        <f>+'Economic Normatives'!I2</f>
        <v>44926</v>
      </c>
    </row>
    <row r="3" spans="1:5" s="16" customFormat="1" ht="32.25" customHeight="1">
      <c r="A3" s="503">
        <v>1</v>
      </c>
      <c r="B3" s="504" t="s">
        <v>601</v>
      </c>
      <c r="C3" s="19"/>
    </row>
    <row r="4" spans="1:5" s="20" customFormat="1" ht="30" customHeight="1">
      <c r="A4" s="505" t="s">
        <v>47</v>
      </c>
      <c r="B4" s="506" t="s">
        <v>602</v>
      </c>
      <c r="C4" s="19">
        <v>1571</v>
      </c>
    </row>
    <row r="5" spans="1:5" s="20" customFormat="1" ht="30" customHeight="1">
      <c r="A5" s="505" t="s">
        <v>43</v>
      </c>
      <c r="B5" s="506" t="s">
        <v>603</v>
      </c>
      <c r="C5" s="19">
        <v>1558</v>
      </c>
    </row>
    <row r="6" spans="1:5" s="16" customFormat="1" ht="32.25" customHeight="1">
      <c r="A6" s="503">
        <v>2</v>
      </c>
      <c r="B6" s="504" t="s">
        <v>604</v>
      </c>
      <c r="C6" s="19"/>
    </row>
    <row r="7" spans="1:5" s="16" customFormat="1">
      <c r="A7" s="503"/>
      <c r="B7" s="507" t="s">
        <v>605</v>
      </c>
      <c r="C7" s="508"/>
    </row>
    <row r="8" spans="1:5" s="20" customFormat="1" ht="30" customHeight="1">
      <c r="A8" s="505" t="s">
        <v>47</v>
      </c>
      <c r="B8" s="506" t="s">
        <v>606</v>
      </c>
      <c r="C8" s="19">
        <v>0</v>
      </c>
    </row>
    <row r="9" spans="1:5" s="20" customFormat="1" ht="30" customHeight="1">
      <c r="A9" s="505" t="s">
        <v>43</v>
      </c>
      <c r="B9" s="506" t="s">
        <v>607</v>
      </c>
      <c r="C9" s="19">
        <v>0</v>
      </c>
    </row>
    <row r="10" spans="1:5" s="20" customFormat="1" ht="30" customHeight="1">
      <c r="A10" s="505" t="s">
        <v>45</v>
      </c>
      <c r="B10" s="506" t="s">
        <v>608</v>
      </c>
      <c r="C10" s="19">
        <v>105</v>
      </c>
    </row>
    <row r="11" spans="1:5" s="227" customFormat="1" ht="30" customHeight="1">
      <c r="A11" s="509" t="s">
        <v>52</v>
      </c>
      <c r="B11" s="510" t="s">
        <v>609</v>
      </c>
      <c r="C11" s="226">
        <v>89</v>
      </c>
    </row>
    <row r="12" spans="1:5" s="177" customFormat="1" ht="30" customHeight="1">
      <c r="A12" s="511">
        <v>3</v>
      </c>
      <c r="B12" s="512" t="s">
        <v>610</v>
      </c>
      <c r="C12" s="274">
        <f>C14+C15+C16</f>
        <v>1734421</v>
      </c>
    </row>
    <row r="13" spans="1:5" s="177" customFormat="1">
      <c r="A13" s="513"/>
      <c r="B13" s="514" t="s">
        <v>605</v>
      </c>
      <c r="C13" s="304"/>
    </row>
    <row r="14" spans="1:5" s="227" customFormat="1" ht="30" customHeight="1">
      <c r="A14" s="225" t="s">
        <v>47</v>
      </c>
      <c r="B14" s="514" t="s">
        <v>611</v>
      </c>
      <c r="C14" s="226">
        <v>1693145</v>
      </c>
    </row>
    <row r="15" spans="1:5" s="227" customFormat="1" ht="30" customHeight="1">
      <c r="A15" s="225" t="s">
        <v>43</v>
      </c>
      <c r="B15" s="514" t="s">
        <v>612</v>
      </c>
      <c r="C15" s="226">
        <v>13602</v>
      </c>
    </row>
    <row r="16" spans="1:5" s="227" customFormat="1" ht="30" customHeight="1">
      <c r="A16" s="225" t="s">
        <v>45</v>
      </c>
      <c r="B16" s="514" t="s">
        <v>613</v>
      </c>
      <c r="C16" s="275">
        <f>+C18+C19+C20+C21+C22</f>
        <v>27674</v>
      </c>
      <c r="E16" s="227" t="s">
        <v>785</v>
      </c>
    </row>
    <row r="17" spans="1:30" s="227" customFormat="1">
      <c r="A17" s="225"/>
      <c r="B17" s="514" t="s">
        <v>614</v>
      </c>
      <c r="C17" s="226"/>
      <c r="E17" s="227" t="s">
        <v>786</v>
      </c>
    </row>
    <row r="18" spans="1:30" s="227" customFormat="1" ht="30" customHeight="1">
      <c r="A18" s="225" t="s">
        <v>219</v>
      </c>
      <c r="B18" s="515" t="s">
        <v>615</v>
      </c>
      <c r="C18" s="226">
        <v>701</v>
      </c>
    </row>
    <row r="19" spans="1:30" s="227" customFormat="1" ht="29.25" customHeight="1">
      <c r="A19" s="225" t="s">
        <v>219</v>
      </c>
      <c r="B19" s="515" t="s">
        <v>616</v>
      </c>
      <c r="C19" s="226">
        <v>23710</v>
      </c>
    </row>
    <row r="20" spans="1:30" s="227" customFormat="1" ht="30" customHeight="1">
      <c r="A20" s="225" t="s">
        <v>219</v>
      </c>
      <c r="B20" s="515" t="s">
        <v>617</v>
      </c>
      <c r="C20" s="226">
        <v>781</v>
      </c>
    </row>
    <row r="21" spans="1:30" s="227" customFormat="1" ht="30" customHeight="1">
      <c r="A21" s="225" t="s">
        <v>219</v>
      </c>
      <c r="B21" s="515" t="s">
        <v>618</v>
      </c>
      <c r="C21" s="226">
        <v>8</v>
      </c>
    </row>
    <row r="22" spans="1:30" s="227" customFormat="1" ht="30" customHeight="1">
      <c r="A22" s="225" t="s">
        <v>219</v>
      </c>
      <c r="B22" s="515" t="s">
        <v>619</v>
      </c>
      <c r="C22" s="226">
        <v>2474</v>
      </c>
    </row>
    <row r="23" spans="1:30" s="16" customFormat="1" ht="32.25" customHeight="1">
      <c r="A23" s="516">
        <v>4</v>
      </c>
      <c r="B23" s="517" t="s">
        <v>620</v>
      </c>
      <c r="C23" s="518"/>
    </row>
    <row r="24" spans="1:30" s="227" customFormat="1" ht="30" customHeight="1">
      <c r="A24" s="225" t="s">
        <v>47</v>
      </c>
      <c r="B24" s="514" t="s">
        <v>621</v>
      </c>
      <c r="C24" s="19" t="s">
        <v>843</v>
      </c>
    </row>
    <row r="25" spans="1:30" s="227" customFormat="1" ht="30" customHeight="1">
      <c r="A25" s="225" t="s">
        <v>43</v>
      </c>
      <c r="B25" s="514" t="s">
        <v>622</v>
      </c>
      <c r="C25" s="19" t="s">
        <v>844</v>
      </c>
    </row>
    <row r="26" spans="1:30" s="16" customFormat="1" ht="12" customHeight="1">
      <c r="B26" s="466"/>
    </row>
    <row r="27" spans="1:30" s="269" customFormat="1" ht="15" customHeight="1">
      <c r="A27" s="34"/>
      <c r="B27" s="239" t="s">
        <v>788</v>
      </c>
      <c r="C27" s="34"/>
      <c r="D27" s="34"/>
      <c r="E27" s="34"/>
      <c r="F27" s="349"/>
      <c r="G27" s="349"/>
      <c r="H27" s="349"/>
      <c r="I27" s="349"/>
      <c r="J27" s="349"/>
      <c r="K27" s="349"/>
      <c r="L27" s="349"/>
      <c r="M27" s="349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269" customFormat="1" ht="11.25" customHeight="1">
      <c r="A28" s="34"/>
      <c r="B28" s="239"/>
      <c r="C28" s="34"/>
      <c r="D28" s="34"/>
      <c r="E28" s="34"/>
      <c r="F28" s="349"/>
      <c r="G28" s="349"/>
      <c r="H28" s="349"/>
      <c r="I28" s="349"/>
      <c r="J28" s="349"/>
      <c r="K28" s="349"/>
      <c r="L28" s="349"/>
      <c r="M28" s="349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269" customFormat="1" ht="15" customHeight="1">
      <c r="A29" s="34"/>
      <c r="B29" s="239" t="s">
        <v>789</v>
      </c>
      <c r="C29" s="34"/>
      <c r="D29" s="34"/>
      <c r="E29" s="34"/>
      <c r="F29" s="349"/>
      <c r="G29" s="349"/>
      <c r="H29" s="349"/>
      <c r="I29" s="349"/>
      <c r="J29" s="349"/>
      <c r="K29" s="349"/>
      <c r="L29" s="349"/>
      <c r="M29" s="349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>
      <c r="A30" s="16"/>
      <c r="B30" s="399"/>
    </row>
  </sheetData>
  <sheetProtection password="CACA" sheet="1" objects="1" scenarios="1"/>
  <phoneticPr fontId="15" type="noConversion"/>
  <dataValidations count="1">
    <dataValidation type="whole" operator="greaterThanOrEqual" allowBlank="1" showErrorMessage="1" error="Введите как целое положительное число." sqref="C8 C4:C5" xr:uid="{00000000-0002-0000-10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31"/>
  <dimension ref="A1:AD54"/>
  <sheetViews>
    <sheetView view="pageBreakPreview" zoomScale="70" zoomScaleNormal="40" zoomScaleSheetLayoutView="70" workbookViewId="0">
      <pane xSplit="1" ySplit="3" topLeftCell="B4" activePane="bottomRight" state="frozen"/>
      <selection activeCell="F18" sqref="F18:H19"/>
      <selection pane="topRight" activeCell="F18" sqref="F18:H19"/>
      <selection pane="bottomLeft" activeCell="F18" sqref="F18:H19"/>
      <selection pane="bottomRight" activeCell="J15" sqref="J15"/>
    </sheetView>
  </sheetViews>
  <sheetFormatPr defaultColWidth="97.7109375" defaultRowHeight="18.75"/>
  <cols>
    <col min="1" max="1" width="103.140625" style="206" customWidth="1"/>
    <col min="2" max="2" width="24.85546875" style="207" bestFit="1" customWidth="1"/>
    <col min="3" max="3" width="14.7109375" style="203" customWidth="1"/>
    <col min="4" max="4" width="16.5703125" style="334" customWidth="1"/>
    <col min="5" max="5" width="25.85546875" style="207" bestFit="1" customWidth="1"/>
    <col min="6" max="6" width="9.7109375" style="207" customWidth="1"/>
    <col min="7" max="7" width="10.7109375" style="203" bestFit="1" customWidth="1"/>
    <col min="8" max="9" width="9.7109375" style="203" customWidth="1"/>
    <col min="10" max="10" width="19.140625" style="203" bestFit="1" customWidth="1"/>
    <col min="11" max="11" width="10.140625" style="207" customWidth="1"/>
    <col min="12" max="13" width="19.5703125" style="203" customWidth="1"/>
    <col min="14" max="14" width="3.85546875" style="203" bestFit="1" customWidth="1"/>
    <col min="15" max="16" width="26.140625" style="203" customWidth="1"/>
    <col min="17" max="16384" width="97.7109375" style="203"/>
  </cols>
  <sheetData>
    <row r="1" spans="1:16" s="208" customFormat="1" ht="33.75" customHeight="1">
      <c r="A1" s="890" t="s">
        <v>623</v>
      </c>
      <c r="B1" s="890"/>
      <c r="D1" s="332"/>
    </row>
    <row r="2" spans="1:16" ht="20.25">
      <c r="A2" s="595" t="str">
        <f>+'Asset quality'!B3</f>
        <v>"Алоқабанк"</v>
      </c>
      <c r="B2" s="350" t="str">
        <f>+'Asset quality'!T3</f>
        <v>минг. сўмда</v>
      </c>
      <c r="C2" s="210" t="s">
        <v>205</v>
      </c>
      <c r="D2" s="333"/>
      <c r="E2" s="233"/>
      <c r="F2" s="233"/>
      <c r="K2" s="203"/>
      <c r="M2" s="204"/>
    </row>
    <row r="3" spans="1:16" s="205" customFormat="1" ht="47.25" customHeight="1">
      <c r="A3" s="224" t="s">
        <v>624</v>
      </c>
      <c r="B3" s="327">
        <f>+'Asset quality'!Q3</f>
        <v>44926</v>
      </c>
      <c r="C3" s="223"/>
      <c r="D3" s="333"/>
      <c r="E3" s="233"/>
      <c r="F3" s="233"/>
      <c r="K3" s="210" t="s">
        <v>757</v>
      </c>
      <c r="L3" s="212" t="s">
        <v>203</v>
      </c>
      <c r="M3" s="210" t="s">
        <v>204</v>
      </c>
      <c r="N3" s="233"/>
      <c r="O3" s="211" t="s">
        <v>201</v>
      </c>
      <c r="P3" s="213" t="s">
        <v>202</v>
      </c>
    </row>
    <row r="4" spans="1:16" ht="37.5">
      <c r="A4" s="376" t="s">
        <v>625</v>
      </c>
      <c r="B4" s="218">
        <f>IFERROR((B5/B6),0)</f>
        <v>0.12485154779596784</v>
      </c>
      <c r="D4" s="333"/>
      <c r="E4" s="233"/>
      <c r="F4" s="233"/>
      <c r="G4" s="205"/>
      <c r="H4" s="205"/>
      <c r="I4" s="205"/>
      <c r="J4" s="377" t="s">
        <v>217</v>
      </c>
      <c r="K4" s="207">
        <v>1</v>
      </c>
      <c r="L4" s="246">
        <v>12638456623</v>
      </c>
      <c r="M4" s="246">
        <v>1673505943</v>
      </c>
      <c r="N4" s="233"/>
      <c r="O4" s="205"/>
      <c r="P4" s="205"/>
    </row>
    <row r="5" spans="1:16" ht="24" customHeight="1">
      <c r="A5" s="378" t="s">
        <v>562</v>
      </c>
      <c r="B5" s="219">
        <f>+'[9]Bank Capital Calc'!$C$44</f>
        <v>1945011006</v>
      </c>
      <c r="D5" s="333"/>
      <c r="E5" s="233"/>
      <c r="F5" s="233"/>
      <c r="G5" s="205"/>
      <c r="H5" s="205"/>
      <c r="I5" s="205"/>
      <c r="J5" s="377" t="s">
        <v>206</v>
      </c>
      <c r="K5" s="207">
        <v>2</v>
      </c>
      <c r="L5" s="246">
        <v>12472180205</v>
      </c>
      <c r="M5" s="246">
        <v>1713776335</v>
      </c>
      <c r="N5" s="203">
        <v>1</v>
      </c>
      <c r="O5" s="520">
        <f>+(L4+L5)/2</f>
        <v>12555318414</v>
      </c>
      <c r="P5" s="520">
        <f>+(M4+M5)/2</f>
        <v>1693641139</v>
      </c>
    </row>
    <row r="6" spans="1:16" ht="24" customHeight="1">
      <c r="A6" s="379" t="s">
        <v>626</v>
      </c>
      <c r="B6" s="220">
        <f>+'[9]Bank Capital Calc'!$C$45</f>
        <v>15578589455.523077</v>
      </c>
      <c r="D6" s="333"/>
      <c r="E6" s="233"/>
      <c r="F6" s="233"/>
      <c r="G6" s="205"/>
      <c r="H6" s="205"/>
      <c r="I6" s="205"/>
      <c r="J6" s="377" t="s">
        <v>207</v>
      </c>
      <c r="K6" s="207">
        <v>3</v>
      </c>
      <c r="L6" s="246">
        <v>12756872397</v>
      </c>
      <c r="M6" s="246">
        <v>1697388605</v>
      </c>
      <c r="N6" s="203">
        <v>2</v>
      </c>
      <c r="O6" s="520">
        <f>+(L4+L5+L6)/3</f>
        <v>12622503075</v>
      </c>
      <c r="P6" s="520">
        <f>+(M4+M5+M6)/3</f>
        <v>1694890294.3333333</v>
      </c>
    </row>
    <row r="7" spans="1:16" ht="37.5">
      <c r="A7" s="376" t="s">
        <v>627</v>
      </c>
      <c r="B7" s="218">
        <f>IFERROR((B8/B9),0)</f>
        <v>9.3957151010296849E-2</v>
      </c>
      <c r="D7" s="333"/>
      <c r="E7" s="233"/>
      <c r="F7" s="233"/>
      <c r="G7" s="205"/>
      <c r="H7" s="205"/>
      <c r="I7" s="205"/>
      <c r="J7" s="377" t="s">
        <v>208</v>
      </c>
      <c r="K7" s="207">
        <v>4</v>
      </c>
      <c r="L7" s="246">
        <v>12273975805</v>
      </c>
      <c r="M7" s="246">
        <v>1694144414</v>
      </c>
      <c r="N7" s="203">
        <v>3</v>
      </c>
      <c r="O7" s="521">
        <f>+(L4+L7)/2</f>
        <v>12456216214</v>
      </c>
      <c r="P7" s="521">
        <f>+(M4+M7)/2</f>
        <v>1683825178.5</v>
      </c>
    </row>
    <row r="8" spans="1:16" ht="24" customHeight="1">
      <c r="A8" s="378" t="s">
        <v>564</v>
      </c>
      <c r="B8" s="219">
        <f>+'[9]Bank Capital Calc'!$C$34</f>
        <v>1463719882</v>
      </c>
      <c r="D8" s="333"/>
      <c r="E8" s="233"/>
      <c r="F8" s="233"/>
      <c r="G8" s="205"/>
      <c r="H8" s="205"/>
      <c r="I8" s="205"/>
      <c r="J8" s="377" t="s">
        <v>209</v>
      </c>
      <c r="K8" s="207">
        <v>5</v>
      </c>
      <c r="L8" s="246">
        <v>13932599669</v>
      </c>
      <c r="M8" s="246">
        <v>1631350251</v>
      </c>
      <c r="N8" s="203">
        <v>4</v>
      </c>
      <c r="O8" s="520">
        <f>+(+L4+L5+L6+L7+L8)/5</f>
        <v>12814816939.799999</v>
      </c>
      <c r="P8" s="520">
        <f>+(+M4+M5+M6+M7+M8)/5</f>
        <v>1682033109.5999999</v>
      </c>
    </row>
    <row r="9" spans="1:16" ht="24" customHeight="1">
      <c r="A9" s="379" t="s">
        <v>626</v>
      </c>
      <c r="B9" s="220">
        <f>+'[9]Bank Capital Calc'!$C$45</f>
        <v>15578589455.523077</v>
      </c>
      <c r="D9" s="333"/>
      <c r="E9" s="233"/>
      <c r="F9" s="233"/>
      <c r="G9" s="205"/>
      <c r="H9" s="205"/>
      <c r="I9" s="205"/>
      <c r="J9" s="377" t="s">
        <v>210</v>
      </c>
      <c r="K9" s="207">
        <v>6</v>
      </c>
      <c r="L9" s="246">
        <v>13491601983</v>
      </c>
      <c r="M9" s="246">
        <v>1630298395</v>
      </c>
      <c r="N9" s="203">
        <v>5</v>
      </c>
      <c r="O9" s="520">
        <f>+(+L4+L5+L6+L7+L8+L9)/6</f>
        <v>12927614447</v>
      </c>
      <c r="P9" s="520">
        <f>+(+M4+M5+M6+M7+M8+M9)/6</f>
        <v>1673410657.1666667</v>
      </c>
    </row>
    <row r="10" spans="1:16" ht="24" customHeight="1">
      <c r="A10" s="376" t="s">
        <v>628</v>
      </c>
      <c r="B10" s="218">
        <f>IFERROR((B11/B12),0)</f>
        <v>7.8071628200854878E-2</v>
      </c>
      <c r="D10" s="333"/>
      <c r="E10" s="233"/>
      <c r="F10" s="233"/>
      <c r="G10" s="205"/>
      <c r="H10" s="205"/>
      <c r="I10" s="205"/>
      <c r="J10" s="377" t="s">
        <v>211</v>
      </c>
      <c r="K10" s="207">
        <v>7</v>
      </c>
      <c r="L10" s="246">
        <v>13352343280</v>
      </c>
      <c r="M10" s="246">
        <v>1679262761</v>
      </c>
      <c r="N10" s="203">
        <v>6</v>
      </c>
      <c r="O10" s="521">
        <f>+(L4+L7+L10)/3</f>
        <v>12754925236</v>
      </c>
      <c r="P10" s="521">
        <f>+(M4+M7+M10)/3</f>
        <v>1682304372.6666667</v>
      </c>
    </row>
    <row r="11" spans="1:16" ht="24" customHeight="1">
      <c r="A11" s="378" t="s">
        <v>629</v>
      </c>
      <c r="B11" s="219">
        <f>+('Asset Classification'!M31-'Asset Classification'!O31+'Asset Classification'!Q31-'Asset Classification'!S31+'Asset Classification'!U31-'Asset Classification'!W31)</f>
        <v>140164622</v>
      </c>
      <c r="D11" s="333"/>
      <c r="E11" s="233"/>
      <c r="F11" s="233"/>
      <c r="G11" s="205"/>
      <c r="H11" s="205"/>
      <c r="I11" s="205"/>
      <c r="J11" s="377" t="s">
        <v>212</v>
      </c>
      <c r="K11" s="207">
        <v>8</v>
      </c>
      <c r="L11" s="246">
        <v>13794014764</v>
      </c>
      <c r="M11" s="246">
        <v>1644675527</v>
      </c>
      <c r="N11" s="203">
        <v>7</v>
      </c>
      <c r="O11" s="520">
        <f>(L4+L5+L6+L7+L8+L9+L10+L11)/8</f>
        <v>13089005590.75</v>
      </c>
      <c r="P11" s="520">
        <f>(M4+M5+M6+M7+M8+M9+M10+M11)/8</f>
        <v>1670550278.875</v>
      </c>
    </row>
    <row r="12" spans="1:16" ht="24" customHeight="1">
      <c r="A12" s="379" t="s">
        <v>630</v>
      </c>
      <c r="B12" s="220">
        <f>+B35</f>
        <v>1795333660</v>
      </c>
      <c r="D12" s="333"/>
      <c r="E12" s="233"/>
      <c r="F12" s="233"/>
      <c r="G12" s="205"/>
      <c r="H12" s="205"/>
      <c r="I12" s="205"/>
      <c r="J12" s="377" t="s">
        <v>213</v>
      </c>
      <c r="K12" s="207">
        <v>9</v>
      </c>
      <c r="L12" s="246">
        <v>13998970271</v>
      </c>
      <c r="M12" s="246">
        <v>1663037416</v>
      </c>
      <c r="N12" s="203">
        <v>8</v>
      </c>
      <c r="O12" s="520">
        <f>(L4+L5+L6+L7+L8+L9+L10+L11+L12)/9</f>
        <v>13190112777.444445</v>
      </c>
      <c r="P12" s="520">
        <f>(M4+M5+M6+M7+M8+M9+M10+M11+M12)/9</f>
        <v>1669715516.3333333</v>
      </c>
    </row>
    <row r="13" spans="1:16" ht="24" customHeight="1">
      <c r="A13" s="376" t="s">
        <v>631</v>
      </c>
      <c r="B13" s="218">
        <f>IFERROR((B14/B15),0)</f>
        <v>2.0285411722446418E-2</v>
      </c>
      <c r="D13" s="333"/>
      <c r="E13" s="233"/>
      <c r="F13" s="233"/>
      <c r="G13" s="205"/>
      <c r="H13" s="205"/>
      <c r="I13" s="205"/>
      <c r="J13" s="377" t="s">
        <v>214</v>
      </c>
      <c r="K13" s="207">
        <v>10</v>
      </c>
      <c r="L13" s="246">
        <v>15118804253</v>
      </c>
      <c r="M13" s="246">
        <v>1724716099</v>
      </c>
      <c r="N13" s="203">
        <v>9</v>
      </c>
      <c r="O13" s="521">
        <f>+(L4+L7+L10+L13)/4</f>
        <v>13345894990.25</v>
      </c>
      <c r="P13" s="521">
        <f>+(M4+M7+M10+M13)/4</f>
        <v>1692907304.25</v>
      </c>
    </row>
    <row r="14" spans="1:16" ht="24" customHeight="1">
      <c r="A14" s="378" t="s">
        <v>632</v>
      </c>
      <c r="B14" s="219">
        <f>+('Asset Classification'!M31+'Asset Classification'!Q31+'Asset Classification'!U31)</f>
        <v>185852446</v>
      </c>
      <c r="D14" s="333"/>
      <c r="E14" s="233"/>
      <c r="F14" s="233"/>
      <c r="G14" s="205"/>
      <c r="H14" s="205"/>
      <c r="I14" s="205"/>
      <c r="J14" s="377" t="s">
        <v>215</v>
      </c>
      <c r="K14" s="207">
        <v>11</v>
      </c>
      <c r="L14" s="246">
        <v>14794234176</v>
      </c>
      <c r="M14" s="246">
        <v>1706109853</v>
      </c>
      <c r="N14" s="203">
        <v>10</v>
      </c>
      <c r="O14" s="520">
        <f>(+L4+L5+L6+L7+L8+L9+L10+L11+L12+L13+L14)/11</f>
        <v>13511277584.181818</v>
      </c>
      <c r="P14" s="520">
        <f>(+M4+M5+M6+M7+M8+M9+M10+M11+M12+M13+M14)/11</f>
        <v>1678024145.3636363</v>
      </c>
    </row>
    <row r="15" spans="1:16" ht="24" customHeight="1">
      <c r="A15" s="379" t="s">
        <v>633</v>
      </c>
      <c r="B15" s="220">
        <f>+'Loans Receivable'!C85</f>
        <v>9161876946</v>
      </c>
      <c r="D15" s="333"/>
      <c r="E15" s="233"/>
      <c r="F15" s="233"/>
      <c r="G15" s="205"/>
      <c r="H15" s="205"/>
      <c r="I15" s="205"/>
      <c r="J15" s="377" t="s">
        <v>216</v>
      </c>
      <c r="K15" s="207">
        <v>12</v>
      </c>
      <c r="L15" s="246">
        <v>15081709254</v>
      </c>
      <c r="M15" s="246">
        <v>1729918195</v>
      </c>
      <c r="N15" s="203">
        <v>11</v>
      </c>
      <c r="O15" s="520">
        <f>(+L4+L5+L6+L7+L8+L9+L10+L11+L12+L13+L14+L15)/12</f>
        <v>13642146890</v>
      </c>
      <c r="P15" s="520">
        <f>(+M4+M5+M6+M7+M8+M9+M10+M11+M12+M13+M14+M15)/12</f>
        <v>1682348649.5</v>
      </c>
    </row>
    <row r="16" spans="1:16" ht="24" customHeight="1">
      <c r="A16" s="376" t="s">
        <v>634</v>
      </c>
      <c r="B16" s="218">
        <f>IFERROR((B17/B18),0)</f>
        <v>2.1725309131716122E-2</v>
      </c>
      <c r="D16" s="333"/>
      <c r="E16" s="233"/>
      <c r="F16" s="233"/>
      <c r="G16" s="205"/>
      <c r="H16" s="205"/>
      <c r="I16" s="205"/>
      <c r="J16" s="377" t="s">
        <v>217</v>
      </c>
      <c r="K16" s="207">
        <v>13</v>
      </c>
      <c r="L16" s="246">
        <v>16083550327</v>
      </c>
      <c r="M16" s="246">
        <v>1795333660</v>
      </c>
      <c r="N16" s="203">
        <v>12</v>
      </c>
      <c r="O16" s="521">
        <f>+(L4+L7+L10+L13+L16)/5</f>
        <v>13893426057.6</v>
      </c>
      <c r="P16" s="521">
        <f>+(M4+M7+M10+M13+M16)/5</f>
        <v>1713392575.4000001</v>
      </c>
    </row>
    <row r="17" spans="1:16" ht="24" customHeight="1">
      <c r="A17" s="378" t="s">
        <v>635</v>
      </c>
      <c r="B17" s="219">
        <f>(+'Income '!C71)/MONTH(B3)*12</f>
        <v>301838976</v>
      </c>
      <c r="C17" s="217"/>
      <c r="D17" s="333"/>
      <c r="E17" s="233"/>
      <c r="F17" s="233"/>
      <c r="G17" s="205"/>
      <c r="H17" s="205"/>
      <c r="I17" s="205"/>
      <c r="J17" s="334"/>
      <c r="K17" s="203"/>
      <c r="O17" s="520"/>
      <c r="P17" s="520"/>
    </row>
    <row r="18" spans="1:16" ht="24" customHeight="1">
      <c r="A18" s="379" t="s">
        <v>636</v>
      </c>
      <c r="B18" s="220">
        <f>VLOOKUP(MONTH(B3),$N$4:$P$16,2,0)</f>
        <v>13893426057.6</v>
      </c>
      <c r="D18" s="333"/>
      <c r="E18" s="233"/>
      <c r="F18" s="233"/>
      <c r="G18" s="205"/>
      <c r="H18" s="205"/>
      <c r="I18" s="205"/>
      <c r="J18" s="334"/>
      <c r="K18" s="203"/>
    </row>
    <row r="19" spans="1:16" ht="24" customHeight="1">
      <c r="A19" s="380" t="s">
        <v>637</v>
      </c>
      <c r="B19" s="218">
        <f>IFERROR((B20/B21),0)</f>
        <v>0.1332995375836038</v>
      </c>
      <c r="D19" s="333"/>
      <c r="E19" s="233"/>
      <c r="F19" s="233"/>
      <c r="G19" s="205"/>
      <c r="H19" s="205"/>
      <c r="I19" s="205"/>
      <c r="K19" s="203"/>
    </row>
    <row r="20" spans="1:16" ht="24" customHeight="1">
      <c r="A20" s="381" t="s">
        <v>638</v>
      </c>
      <c r="B20" s="219">
        <f>(+'Income '!C78)/MONTH(B3)*12</f>
        <v>228394438</v>
      </c>
      <c r="D20" s="333"/>
      <c r="E20" s="233"/>
      <c r="F20" s="233"/>
      <c r="G20" s="205"/>
      <c r="H20" s="205"/>
      <c r="I20" s="205"/>
      <c r="K20" s="203"/>
    </row>
    <row r="21" spans="1:16" ht="24" customHeight="1">
      <c r="A21" s="382" t="s">
        <v>639</v>
      </c>
      <c r="B21" s="220">
        <f>VLOOKUP(MONTH(B3),$N$4:$P$16,3,0)</f>
        <v>1713392575.4000001</v>
      </c>
      <c r="D21" s="333"/>
      <c r="E21" s="233"/>
      <c r="F21" s="233"/>
      <c r="G21" s="205"/>
      <c r="H21" s="205"/>
      <c r="I21" s="205"/>
      <c r="K21" s="203"/>
    </row>
    <row r="22" spans="1:16" ht="24" customHeight="1">
      <c r="A22" s="380" t="s">
        <v>640</v>
      </c>
      <c r="B22" s="218">
        <f>IFERROR((B23/B24),0)</f>
        <v>0.37687809024491203</v>
      </c>
      <c r="D22" s="333"/>
      <c r="E22" s="233"/>
      <c r="F22" s="233"/>
      <c r="G22" s="205"/>
      <c r="H22" s="205"/>
      <c r="I22" s="205"/>
      <c r="K22" s="203"/>
    </row>
    <row r="23" spans="1:16" ht="24" customHeight="1">
      <c r="A23" s="381" t="s">
        <v>641</v>
      </c>
      <c r="B23" s="219">
        <f>+'Income '!C29</f>
        <v>505712858</v>
      </c>
      <c r="D23" s="333"/>
      <c r="E23" s="233"/>
      <c r="F23" s="233"/>
      <c r="G23" s="205"/>
      <c r="H23" s="205"/>
      <c r="I23" s="205"/>
      <c r="K23" s="203"/>
    </row>
    <row r="24" spans="1:16" ht="24" customHeight="1">
      <c r="A24" s="382" t="s">
        <v>642</v>
      </c>
      <c r="B24" s="220">
        <f>+B27</f>
        <v>1341847327</v>
      </c>
      <c r="D24" s="333"/>
      <c r="E24" s="233"/>
      <c r="F24" s="233"/>
      <c r="G24" s="205"/>
      <c r="H24" s="205"/>
      <c r="I24" s="205"/>
      <c r="K24" s="203"/>
    </row>
    <row r="25" spans="1:16" ht="24" customHeight="1">
      <c r="A25" s="380" t="s">
        <v>643</v>
      </c>
      <c r="B25" s="218">
        <f>IFERROR((B26/B27),0)</f>
        <v>0.66143912659893833</v>
      </c>
      <c r="D25" s="333"/>
      <c r="E25" s="233"/>
      <c r="F25" s="233"/>
      <c r="G25" s="205"/>
      <c r="H25" s="205"/>
      <c r="I25" s="205"/>
      <c r="K25" s="203"/>
    </row>
    <row r="26" spans="1:16" ht="24" customHeight="1">
      <c r="A26" s="381" t="s">
        <v>644</v>
      </c>
      <c r="B26" s="219">
        <f>+'Income '!C53+'Income '!C69</f>
        <v>887550324</v>
      </c>
      <c r="D26" s="333"/>
      <c r="E26" s="233"/>
      <c r="F26" s="233"/>
      <c r="G26" s="205"/>
      <c r="H26" s="205"/>
      <c r="I26" s="205"/>
      <c r="K26" s="203"/>
    </row>
    <row r="27" spans="1:16" ht="24" customHeight="1">
      <c r="A27" s="382" t="s">
        <v>642</v>
      </c>
      <c r="B27" s="220">
        <f>+'Income '!C29+'Income '!C45</f>
        <v>1341847327</v>
      </c>
      <c r="D27" s="333"/>
      <c r="E27" s="233"/>
      <c r="F27" s="233"/>
      <c r="G27" s="205"/>
      <c r="H27" s="205"/>
      <c r="I27" s="205"/>
      <c r="K27" s="203"/>
    </row>
    <row r="28" spans="1:16" ht="24" customHeight="1">
      <c r="A28" s="380" t="s">
        <v>645</v>
      </c>
      <c r="B28" s="218">
        <f>IFERROR((B29/B30),0)</f>
        <v>0.24603140597366441</v>
      </c>
      <c r="D28" s="333"/>
      <c r="E28" s="233"/>
      <c r="F28" s="233"/>
      <c r="G28" s="205"/>
      <c r="H28" s="205"/>
      <c r="I28" s="205"/>
      <c r="K28" s="203"/>
    </row>
    <row r="29" spans="1:16" ht="24" customHeight="1">
      <c r="A29" s="381" t="s">
        <v>646</v>
      </c>
      <c r="B29" s="219">
        <f>+B32</f>
        <v>3957058500</v>
      </c>
      <c r="D29" s="333"/>
      <c r="E29" s="233"/>
      <c r="F29" s="233"/>
      <c r="G29" s="205"/>
      <c r="H29" s="205"/>
      <c r="I29" s="205"/>
      <c r="K29" s="203"/>
    </row>
    <row r="30" spans="1:16" ht="24" customHeight="1">
      <c r="A30" s="382" t="s">
        <v>282</v>
      </c>
      <c r="B30" s="220">
        <f>+B36</f>
        <v>16083550327</v>
      </c>
      <c r="D30" s="333"/>
      <c r="E30" s="233"/>
      <c r="F30" s="233"/>
      <c r="G30" s="205"/>
      <c r="H30" s="205"/>
      <c r="I30" s="205"/>
      <c r="K30" s="203"/>
    </row>
    <row r="31" spans="1:16" ht="24" customHeight="1">
      <c r="A31" s="380" t="s">
        <v>647</v>
      </c>
      <c r="B31" s="218">
        <f>IFERROR((B29/B33),0)</f>
        <v>0.38556166727122759</v>
      </c>
      <c r="D31" s="333"/>
      <c r="E31" s="233"/>
      <c r="F31" s="233"/>
      <c r="G31" s="205"/>
      <c r="H31" s="205"/>
      <c r="I31" s="205"/>
      <c r="K31" s="203"/>
    </row>
    <row r="32" spans="1:16" ht="24" customHeight="1">
      <c r="A32" s="381" t="s">
        <v>646</v>
      </c>
      <c r="B32" s="219">
        <f>+B54</f>
        <v>3957058500</v>
      </c>
      <c r="D32" s="333"/>
      <c r="E32" s="233"/>
      <c r="F32" s="233"/>
      <c r="G32" s="205"/>
      <c r="H32" s="205"/>
      <c r="I32" s="205"/>
      <c r="K32" s="203"/>
    </row>
    <row r="33" spans="1:30" ht="24" customHeight="1">
      <c r="A33" s="382" t="s">
        <v>648</v>
      </c>
      <c r="B33" s="220">
        <f>+('[8]Bank Liabilities Analysis'!$C$40+'[8]Bank Liabilities Analysis'!$E$40+'[8]Bank Liabilities Analysis'!$G$40+'[8]Bank Liabilities Analysis'!$I$40+'[8]Bank Liabilities Analysis'!$K$40+'[8]Bank Liabilities Analysis'!$M$40)</f>
        <v>10263101433.308109</v>
      </c>
      <c r="D33" s="333"/>
      <c r="E33" s="233"/>
      <c r="F33" s="233"/>
      <c r="G33" s="205"/>
      <c r="H33" s="205"/>
      <c r="I33" s="205"/>
      <c r="K33" s="203"/>
    </row>
    <row r="34" spans="1:30" ht="24" customHeight="1">
      <c r="A34" s="380" t="s">
        <v>649</v>
      </c>
      <c r="B34" s="218">
        <f>IFERROR((B35/B36),0)</f>
        <v>0.11162545728390035</v>
      </c>
      <c r="D34" s="333"/>
      <c r="E34" s="233"/>
      <c r="F34" s="233"/>
      <c r="G34" s="205"/>
      <c r="H34" s="205"/>
      <c r="I34" s="205"/>
      <c r="K34" s="203"/>
    </row>
    <row r="35" spans="1:30" ht="24" customHeight="1">
      <c r="A35" s="381" t="s">
        <v>630</v>
      </c>
      <c r="B35" s="219">
        <f>+[8]Balance!$C$78</f>
        <v>1795333660</v>
      </c>
      <c r="D35" s="333"/>
      <c r="E35" s="233"/>
      <c r="F35" s="233"/>
      <c r="G35" s="205"/>
      <c r="H35" s="205"/>
      <c r="I35" s="205"/>
      <c r="K35" s="203"/>
    </row>
    <row r="36" spans="1:30" ht="24" customHeight="1">
      <c r="A36" s="382" t="s">
        <v>282</v>
      </c>
      <c r="B36" s="220">
        <f>+[8]Balance!$C$47</f>
        <v>16083550327</v>
      </c>
      <c r="D36" s="333"/>
      <c r="E36" s="233"/>
      <c r="F36" s="233"/>
      <c r="G36" s="205"/>
      <c r="H36" s="205"/>
      <c r="I36" s="205"/>
      <c r="K36" s="203"/>
    </row>
    <row r="37" spans="1:30" ht="24" customHeight="1">
      <c r="A37" s="380" t="s">
        <v>650</v>
      </c>
      <c r="B37" s="218">
        <f>IFERROR((B38/B39),0)</f>
        <v>0.13980718603582579</v>
      </c>
      <c r="D37" s="333"/>
      <c r="E37" s="233"/>
      <c r="F37" s="233"/>
      <c r="G37" s="205"/>
      <c r="H37" s="205"/>
      <c r="I37" s="205"/>
      <c r="K37" s="203"/>
    </row>
    <row r="38" spans="1:30" ht="24" customHeight="1">
      <c r="A38" s="381" t="s">
        <v>651</v>
      </c>
      <c r="B38" s="219">
        <f>+'[9]Calculation of Risk'!$C$26</f>
        <v>251000547</v>
      </c>
      <c r="D38" s="333"/>
      <c r="E38" s="233"/>
      <c r="F38" s="233"/>
      <c r="G38" s="205"/>
      <c r="H38" s="205"/>
      <c r="I38" s="205"/>
      <c r="K38" s="203"/>
    </row>
    <row r="39" spans="1:30" ht="24" customHeight="1">
      <c r="A39" s="382" t="s">
        <v>630</v>
      </c>
      <c r="B39" s="220">
        <f>+B35</f>
        <v>1795333660</v>
      </c>
      <c r="D39" s="333"/>
      <c r="E39" s="233"/>
      <c r="F39" s="233"/>
      <c r="G39" s="205"/>
      <c r="H39" s="205"/>
      <c r="I39" s="205"/>
      <c r="K39" s="203"/>
    </row>
    <row r="40" spans="1:30">
      <c r="E40" s="203"/>
      <c r="F40" s="203"/>
      <c r="K40" s="203"/>
    </row>
    <row r="41" spans="1:30" s="269" customFormat="1" ht="18">
      <c r="A41" s="594" t="s">
        <v>788</v>
      </c>
      <c r="C41" s="34"/>
      <c r="D41" s="34"/>
      <c r="E41" s="34"/>
      <c r="F41" s="349"/>
      <c r="G41" s="349"/>
      <c r="H41" s="349"/>
      <c r="I41" s="349"/>
      <c r="J41" s="349"/>
      <c r="K41" s="349"/>
      <c r="L41" s="349"/>
      <c r="M41" s="349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spans="1:30" s="269" customFormat="1" ht="11.25" customHeight="1">
      <c r="A42" s="594"/>
      <c r="C42" s="34"/>
      <c r="D42" s="34"/>
      <c r="E42" s="34"/>
      <c r="F42" s="349"/>
      <c r="G42" s="349"/>
      <c r="H42" s="349"/>
      <c r="I42" s="349"/>
      <c r="J42" s="349"/>
      <c r="K42" s="349"/>
      <c r="L42" s="349"/>
      <c r="M42" s="349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spans="1:30" s="269" customFormat="1" ht="18">
      <c r="A43" s="594" t="s">
        <v>789</v>
      </c>
      <c r="C43" s="34"/>
      <c r="D43" s="34"/>
      <c r="E43" s="34"/>
      <c r="F43" s="349"/>
      <c r="G43" s="349"/>
      <c r="H43" s="349"/>
      <c r="I43" s="349"/>
      <c r="J43" s="349"/>
      <c r="K43" s="349"/>
      <c r="L43" s="349"/>
      <c r="M43" s="349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spans="1:30" s="201" customFormat="1" ht="15.75">
      <c r="A44" s="200"/>
      <c r="D44" s="335"/>
      <c r="J44" s="199"/>
    </row>
    <row r="46" spans="1:30">
      <c r="A46" s="115" t="s">
        <v>758</v>
      </c>
      <c r="B46" s="115" t="s">
        <v>235</v>
      </c>
    </row>
    <row r="47" spans="1:30" s="33" customFormat="1" ht="13.5" customHeight="1">
      <c r="A47" s="209" t="s">
        <v>759</v>
      </c>
      <c r="B47" s="581">
        <f>+'[8]Liquidity Analysis'!C51</f>
        <v>483941378</v>
      </c>
      <c r="C47" s="203"/>
      <c r="D47" s="334"/>
      <c r="E47" s="207"/>
      <c r="F47" s="214"/>
      <c r="G47" s="214"/>
      <c r="H47" s="215"/>
      <c r="I47" s="215"/>
      <c r="J47" s="214"/>
      <c r="K47" s="214"/>
      <c r="L47" s="214"/>
    </row>
    <row r="48" spans="1:30" s="33" customFormat="1" ht="13.5" customHeight="1">
      <c r="A48" s="209" t="s">
        <v>760</v>
      </c>
      <c r="B48" s="581">
        <f>+'[8]Liquidity Analysis'!C52</f>
        <v>1620915397</v>
      </c>
      <c r="C48" s="203"/>
      <c r="D48" s="334"/>
      <c r="E48" s="207"/>
      <c r="F48" s="214"/>
      <c r="G48" s="214"/>
      <c r="H48" s="215"/>
      <c r="I48" s="215"/>
      <c r="J48" s="214"/>
      <c r="K48" s="214"/>
      <c r="L48" s="214"/>
    </row>
    <row r="49" spans="1:12" s="33" customFormat="1" ht="13.5" customHeight="1">
      <c r="A49" s="209" t="s">
        <v>761</v>
      </c>
      <c r="B49" s="581">
        <f>+'[8]Liquidity Analysis'!C53</f>
        <v>622556835</v>
      </c>
      <c r="C49" s="203"/>
      <c r="D49" s="334"/>
      <c r="E49" s="207"/>
      <c r="F49" s="214"/>
      <c r="G49" s="214"/>
      <c r="H49" s="215"/>
      <c r="I49" s="215"/>
      <c r="J49" s="214"/>
      <c r="K49" s="214"/>
      <c r="L49" s="214"/>
    </row>
    <row r="50" spans="1:12" s="33" customFormat="1" ht="13.5" customHeight="1">
      <c r="A50" s="209" t="s">
        <v>762</v>
      </c>
      <c r="B50" s="581">
        <f>+'[8]Liquidity Analysis'!C54</f>
        <v>409644890</v>
      </c>
      <c r="C50" s="203"/>
      <c r="D50" s="334"/>
      <c r="E50" s="207"/>
      <c r="F50" s="216"/>
      <c r="G50" s="216"/>
      <c r="H50" s="216"/>
      <c r="I50" s="215"/>
      <c r="J50" s="214"/>
      <c r="K50" s="214"/>
      <c r="L50" s="214"/>
    </row>
    <row r="51" spans="1:12" s="33" customFormat="1" ht="27.75" customHeight="1">
      <c r="A51" s="209" t="s">
        <v>763</v>
      </c>
      <c r="B51" s="581">
        <f>+'[8]Liquidity Analysis'!C55</f>
        <v>820000000</v>
      </c>
      <c r="C51" s="203"/>
      <c r="D51" s="334"/>
      <c r="E51" s="207"/>
      <c r="F51" s="214"/>
      <c r="G51" s="214"/>
      <c r="H51" s="215"/>
      <c r="I51" s="215"/>
      <c r="J51" s="214"/>
      <c r="K51" s="214"/>
      <c r="L51" s="214"/>
    </row>
    <row r="52" spans="1:12" s="33" customFormat="1" ht="13.5" customHeight="1">
      <c r="A52" s="209" t="s">
        <v>764</v>
      </c>
      <c r="B52" s="581">
        <f>+'[8]Liquidity Analysis'!C56</f>
        <v>0</v>
      </c>
      <c r="C52" s="203"/>
      <c r="D52" s="334"/>
      <c r="E52" s="207"/>
      <c r="F52" s="214"/>
      <c r="G52" s="214"/>
      <c r="H52" s="215"/>
      <c r="I52" s="215"/>
      <c r="J52" s="214"/>
      <c r="K52" s="214"/>
      <c r="L52" s="214"/>
    </row>
    <row r="53" spans="1:12" s="33" customFormat="1" ht="13.5" customHeight="1">
      <c r="A53" s="209" t="s">
        <v>765</v>
      </c>
      <c r="B53" s="581">
        <f>+'[8]Liquidity Analysis'!C57</f>
        <v>0</v>
      </c>
      <c r="C53" s="203"/>
      <c r="D53" s="334"/>
      <c r="E53" s="207"/>
      <c r="F53" s="214"/>
      <c r="G53" s="214"/>
      <c r="H53" s="215"/>
      <c r="I53" s="215"/>
      <c r="J53" s="214"/>
      <c r="K53" s="214"/>
      <c r="L53" s="214"/>
    </row>
    <row r="54" spans="1:12" s="33" customFormat="1" ht="13.5" customHeight="1">
      <c r="A54" s="221" t="s">
        <v>766</v>
      </c>
      <c r="B54" s="629">
        <f>+'[8]Liquidity Analysis'!C58</f>
        <v>3957058500</v>
      </c>
      <c r="C54" s="203"/>
      <c r="D54" s="334"/>
      <c r="E54" s="207"/>
      <c r="F54" s="214"/>
      <c r="G54" s="214"/>
      <c r="H54" s="215"/>
      <c r="I54" s="216"/>
      <c r="J54" s="214"/>
      <c r="K54" s="214"/>
      <c r="L54" s="214"/>
    </row>
  </sheetData>
  <sheetProtection password="CACA" sheet="1" objects="1" scenarios="1"/>
  <mergeCells count="1">
    <mergeCell ref="A1:B1"/>
  </mergeCells>
  <conditionalFormatting sqref="B34 B37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disablePrompts="1" count="1">
    <dataValidation allowBlank="1" showErrorMessage="1" prompt="Введите самостоятельно рассчитанный коэффициент" sqref="B46" xr:uid="{00000000-0002-0000-1100-000000000000}"/>
  </dataValidations>
  <printOptions horizontalCentered="1"/>
  <pageMargins left="0" right="0" top="0.31496062992125984" bottom="0.39370078740157483" header="0.23622047244094491" footer="0.15748031496062992"/>
  <pageSetup paperSize="9" scale="7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18</vt:i4>
      </vt:variant>
    </vt:vector>
  </HeadingPairs>
  <TitlesOfParts>
    <vt:vector size="36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Asset Provisioning</vt:lpstr>
      <vt:lpstr>Transactions of related parties</vt:lpstr>
      <vt:lpstr> Largest risk</vt:lpstr>
      <vt:lpstr>Charge-offs and Recoveries</vt:lpstr>
      <vt:lpstr>loans_av rate</vt:lpstr>
      <vt:lpstr>Bank Capital Calc (2)</vt:lpstr>
      <vt:lpstr>loans type</vt:lpstr>
      <vt:lpstr>Deposits_av rate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Provisioning'!Область_печати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'Deposits_av rate'!Область_печати</vt:lpstr>
      <vt:lpstr>'Economic Normatives'!Область_печати</vt:lpstr>
      <vt:lpstr>'Income 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USER</cp:lastModifiedBy>
  <cp:lastPrinted>2022-12-24T04:55:07Z</cp:lastPrinted>
  <dcterms:created xsi:type="dcterms:W3CDTF">2014-01-27T05:06:32Z</dcterms:created>
  <dcterms:modified xsi:type="dcterms:W3CDTF">2023-03-24T13:08:10Z</dcterms:modified>
</cp:coreProperties>
</file>