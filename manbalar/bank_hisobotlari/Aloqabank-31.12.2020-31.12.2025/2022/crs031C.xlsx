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D:\Баланс\2023\01.01.2023\"/>
    </mc:Choice>
  </mc:AlternateContent>
  <xr:revisionPtr revIDLastSave="0" documentId="8_{66E8E0A0-D9A5-4B35-B05E-1DA2099AD5FA}" xr6:coauthVersionLast="47" xr6:coauthVersionMax="47" xr10:uidLastSave="{00000000-0000-0000-0000-000000000000}"/>
  <workbookProtection workbookPassword="CACA" lockStructure="1"/>
  <bookViews>
    <workbookView xWindow="-120" yWindow="-120" windowWidth="29040" windowHeight="15840" tabRatio="889"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ин'!$A$1:$I$73</definedName>
    <definedName name="_xlnm.Print_Area" localSheetId="3">'Calculation of Risk Weighte нац'!$A$1:$I$73</definedName>
    <definedName name="_xlnm.Print_Area" localSheetId="2">'Calculation of Risk Weighted As'!$A$1:$I$73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5" i="39" l="1"/>
  <c r="I34" i="39"/>
  <c r="C53" i="27" l="1"/>
  <c r="F38" i="27"/>
  <c r="E24" i="27"/>
  <c r="K71" i="5"/>
  <c r="K61" i="5"/>
  <c r="K56" i="5"/>
  <c r="K54" i="5"/>
  <c r="K42" i="5"/>
  <c r="K71" i="38"/>
  <c r="K61" i="38"/>
  <c r="K56" i="38"/>
  <c r="K54" i="38"/>
  <c r="K42" i="38"/>
  <c r="K71" i="39"/>
  <c r="K61" i="39"/>
  <c r="K56" i="39"/>
  <c r="K54" i="39"/>
  <c r="K42" i="39"/>
  <c r="C39" i="39" l="1"/>
  <c r="G39" i="39"/>
  <c r="I40" i="39"/>
  <c r="I39" i="39"/>
  <c r="C25" i="39"/>
  <c r="D14" i="39"/>
  <c r="H18" i="39" l="1"/>
  <c r="G18" i="39"/>
  <c r="F18" i="39"/>
  <c r="D18" i="39"/>
  <c r="C18" i="39"/>
  <c r="C14" i="39" l="1"/>
  <c r="D13" i="39"/>
  <c r="E41" i="39" l="1"/>
  <c r="F41" i="39"/>
  <c r="G41" i="39"/>
  <c r="H41" i="39"/>
  <c r="I41" i="39"/>
  <c r="H35" i="39" l="1"/>
  <c r="J61" i="38" l="1"/>
  <c r="J56" i="38"/>
  <c r="J54" i="38"/>
  <c r="J56" i="5"/>
  <c r="L56" i="5" s="1"/>
  <c r="J54" i="5"/>
  <c r="L54" i="5" s="1"/>
  <c r="L56" i="38" l="1"/>
  <c r="L54" i="38"/>
  <c r="J61" i="5" l="1"/>
  <c r="C27" i="27" l="1"/>
  <c r="C7" i="27"/>
  <c r="C16" i="39" l="1"/>
  <c r="E10" i="23" l="1"/>
  <c r="C28" i="23" l="1"/>
  <c r="B10" i="23"/>
  <c r="B15" i="23"/>
  <c r="B5" i="23"/>
  <c r="C54" i="27" l="1"/>
  <c r="I42" i="38" l="1"/>
  <c r="H42" i="38"/>
  <c r="H43" i="38" s="1"/>
  <c r="G42" i="38"/>
  <c r="G43" i="38" s="1"/>
  <c r="F42" i="38"/>
  <c r="F43" i="38" s="1"/>
  <c r="E42" i="38"/>
  <c r="E43" i="38" s="1"/>
  <c r="D42" i="38"/>
  <c r="D43" i="38" s="1"/>
  <c r="C42" i="38"/>
  <c r="E71" i="5"/>
  <c r="E42" i="5"/>
  <c r="E43" i="5" s="1"/>
  <c r="I42" i="5"/>
  <c r="I43" i="5" s="1"/>
  <c r="H42" i="5"/>
  <c r="H43" i="5" s="1"/>
  <c r="G42" i="5"/>
  <c r="F42" i="5"/>
  <c r="F43" i="5" s="1"/>
  <c r="D42" i="5"/>
  <c r="D43" i="5" s="1"/>
  <c r="C42" i="5"/>
  <c r="F61" i="39"/>
  <c r="F56" i="39"/>
  <c r="C38" i="39"/>
  <c r="C36" i="39"/>
  <c r="D41" i="39"/>
  <c r="C41" i="39"/>
  <c r="G38" i="39"/>
  <c r="G37" i="39"/>
  <c r="I30" i="39"/>
  <c r="I29" i="39"/>
  <c r="H29" i="39"/>
  <c r="I28" i="39"/>
  <c r="H28" i="39"/>
  <c r="H34" i="39"/>
  <c r="G33" i="39"/>
  <c r="G32" i="39"/>
  <c r="C24" i="39"/>
  <c r="C23" i="39"/>
  <c r="C22" i="39"/>
  <c r="G29" i="39"/>
  <c r="G28" i="39"/>
  <c r="G27" i="39"/>
  <c r="G26" i="39"/>
  <c r="H27" i="39"/>
  <c r="F27" i="39"/>
  <c r="E27" i="39"/>
  <c r="E42" i="39" s="1"/>
  <c r="E43" i="39" s="1"/>
  <c r="D24" i="39"/>
  <c r="D20" i="39"/>
  <c r="C20" i="39"/>
  <c r="G19" i="39"/>
  <c r="H20" i="39"/>
  <c r="G20" i="39"/>
  <c r="F20" i="39"/>
  <c r="H17" i="39"/>
  <c r="G17" i="39"/>
  <c r="F17" i="39"/>
  <c r="H16" i="39"/>
  <c r="G16" i="39"/>
  <c r="F16" i="39"/>
  <c r="H15" i="39"/>
  <c r="G15" i="39"/>
  <c r="F15" i="39"/>
  <c r="C17" i="39"/>
  <c r="D17" i="39"/>
  <c r="D16" i="39"/>
  <c r="D15" i="39"/>
  <c r="C15" i="39"/>
  <c r="C13" i="39"/>
  <c r="H11" i="39"/>
  <c r="G11" i="39"/>
  <c r="F11" i="39"/>
  <c r="D11" i="39"/>
  <c r="D10" i="39"/>
  <c r="D9" i="39"/>
  <c r="C10" i="39"/>
  <c r="J42" i="38" l="1"/>
  <c r="J42" i="5"/>
  <c r="I43" i="38"/>
  <c r="I44" i="38" s="1"/>
  <c r="G43" i="5"/>
  <c r="F42" i="39"/>
  <c r="F43" i="39" s="1"/>
  <c r="I42" i="39"/>
  <c r="I43" i="39" s="1"/>
  <c r="H42" i="39"/>
  <c r="H43" i="39" s="1"/>
  <c r="D42" i="39"/>
  <c r="D43" i="39" s="1"/>
  <c r="G42" i="39"/>
  <c r="G43" i="39" s="1"/>
  <c r="I44" i="39" l="1"/>
  <c r="I44" i="5" l="1"/>
  <c r="C3" i="23" l="1"/>
  <c r="B2" i="23" s="1"/>
  <c r="G2" i="39"/>
  <c r="G2" i="38"/>
  <c r="G2" i="5"/>
  <c r="B3" i="23"/>
  <c r="B2" i="39"/>
  <c r="B2" i="38"/>
  <c r="B2" i="5"/>
  <c r="C8" i="39" l="1"/>
  <c r="C42" i="39" s="1"/>
  <c r="C52" i="41" l="1"/>
  <c r="C25" i="41"/>
  <c r="C31" i="41" s="1"/>
  <c r="C54" i="41"/>
  <c r="C3" i="41"/>
  <c r="B3" i="41"/>
  <c r="H70" i="39" l="1"/>
  <c r="G70" i="39"/>
  <c r="F70" i="39"/>
  <c r="E70" i="39"/>
  <c r="H69" i="39"/>
  <c r="G69" i="39"/>
  <c r="F69" i="39"/>
  <c r="E69" i="39"/>
  <c r="H68" i="39"/>
  <c r="G68" i="39"/>
  <c r="F68" i="39"/>
  <c r="E68" i="39"/>
  <c r="H66" i="39"/>
  <c r="G66" i="39"/>
  <c r="F66" i="39"/>
  <c r="E66" i="39"/>
  <c r="H65" i="39"/>
  <c r="G65" i="39"/>
  <c r="F65" i="39"/>
  <c r="E65" i="39"/>
  <c r="H64" i="39"/>
  <c r="G64" i="39"/>
  <c r="F64" i="39"/>
  <c r="E64" i="39"/>
  <c r="E61" i="39"/>
  <c r="H61" i="39"/>
  <c r="H60" i="39"/>
  <c r="G60" i="39"/>
  <c r="F60" i="39"/>
  <c r="E60" i="39"/>
  <c r="H59" i="39"/>
  <c r="G59" i="39"/>
  <c r="F59" i="39"/>
  <c r="E59" i="39"/>
  <c r="H58" i="39"/>
  <c r="G58" i="39"/>
  <c r="F58" i="39"/>
  <c r="E58" i="39"/>
  <c r="H56" i="39"/>
  <c r="E56" i="39"/>
  <c r="H55" i="39"/>
  <c r="G55" i="39"/>
  <c r="F55" i="39"/>
  <c r="E55" i="39"/>
  <c r="H54" i="39"/>
  <c r="G54" i="39"/>
  <c r="F54" i="39"/>
  <c r="E54" i="39"/>
  <c r="H53" i="39"/>
  <c r="G53" i="39"/>
  <c r="F53" i="39"/>
  <c r="E53" i="39"/>
  <c r="I64" i="39" l="1"/>
  <c r="J56" i="39"/>
  <c r="L56" i="39" s="1"/>
  <c r="J54" i="39"/>
  <c r="L54" i="39" s="1"/>
  <c r="J61" i="39"/>
  <c r="H71" i="39"/>
  <c r="G71" i="39"/>
  <c r="F71" i="39"/>
  <c r="E71" i="39"/>
  <c r="I70" i="39"/>
  <c r="I69" i="39"/>
  <c r="I68" i="39"/>
  <c r="I66" i="39"/>
  <c r="I65" i="39"/>
  <c r="I61" i="39"/>
  <c r="I60" i="39"/>
  <c r="I59" i="39"/>
  <c r="I58" i="39"/>
  <c r="I56" i="39"/>
  <c r="I55" i="39"/>
  <c r="I54" i="39"/>
  <c r="I53" i="39"/>
  <c r="H71" i="38"/>
  <c r="G71" i="38"/>
  <c r="F71" i="38"/>
  <c r="E71" i="38"/>
  <c r="I70" i="38"/>
  <c r="I69" i="38"/>
  <c r="I68" i="38"/>
  <c r="I66" i="38"/>
  <c r="I65" i="38"/>
  <c r="I64" i="38"/>
  <c r="I61" i="38"/>
  <c r="I60" i="38"/>
  <c r="I59" i="38"/>
  <c r="I58" i="38"/>
  <c r="I56" i="38"/>
  <c r="I55" i="38"/>
  <c r="I54" i="38"/>
  <c r="I53" i="38"/>
  <c r="J71" i="38" l="1"/>
  <c r="I72" i="38"/>
  <c r="I72" i="39"/>
  <c r="J71" i="39"/>
  <c r="C26" i="23" l="1"/>
  <c r="D26" i="23" l="1"/>
  <c r="I60" i="5"/>
  <c r="I59" i="5"/>
  <c r="I61" i="5"/>
  <c r="I58" i="5"/>
  <c r="I56" i="5"/>
  <c r="C33" i="27"/>
  <c r="I73" i="38" l="1"/>
  <c r="J73" i="38" s="1"/>
  <c r="I73" i="39" l="1"/>
  <c r="J73" i="39" s="1"/>
  <c r="C15" i="23"/>
  <c r="C10" i="23"/>
  <c r="C5" i="23"/>
  <c r="J42" i="39" l="1"/>
  <c r="C11" i="27" l="1"/>
  <c r="C18" i="27" l="1"/>
  <c r="E25" i="27" s="1"/>
  <c r="C24" i="27" s="1"/>
  <c r="C19" i="27" l="1"/>
  <c r="I70" i="5"/>
  <c r="H71" i="5"/>
  <c r="G71" i="5"/>
  <c r="F71" i="5"/>
  <c r="I69" i="5"/>
  <c r="I68" i="5"/>
  <c r="I66" i="5"/>
  <c r="I65" i="5"/>
  <c r="I64" i="5"/>
  <c r="I55" i="5"/>
  <c r="I54" i="5"/>
  <c r="I53" i="5"/>
  <c r="C55" i="27" l="1"/>
  <c r="J71" i="5"/>
  <c r="C53" i="41"/>
  <c r="C20" i="23"/>
  <c r="I72" i="5"/>
  <c r="C21" i="23" l="1"/>
  <c r="C47" i="27" s="1"/>
  <c r="I73" i="5"/>
  <c r="C46" i="27" l="1"/>
  <c r="D54" i="27"/>
  <c r="J73" i="5"/>
  <c r="E46" i="41"/>
  <c r="C45" i="41"/>
  <c r="C44" i="41"/>
  <c r="D52" i="41"/>
  <c r="C27" i="23"/>
  <c r="C48" i="27" s="1"/>
  <c r="C45" i="27" l="1"/>
  <c r="C46" i="41"/>
  <c r="C43" i="41" s="1"/>
  <c r="C35" i="41" s="1"/>
  <c r="C40" i="41" s="1"/>
  <c r="C37" i="27" l="1"/>
  <c r="C51" i="41"/>
  <c r="C42" i="27" l="1"/>
  <c r="C56" i="27" l="1"/>
  <c r="C25" i="27" l="1"/>
  <c r="C34" i="27" s="1"/>
  <c r="C49" i="27" l="1"/>
  <c r="C50" i="27"/>
  <c r="C41" i="27"/>
  <c r="C43" i="27" s="1"/>
  <c r="C44" i="27" l="1"/>
  <c r="C51" i="27" l="1"/>
  <c r="L42" i="39" l="1"/>
  <c r="L61" i="39" l="1"/>
  <c r="L71" i="39"/>
  <c r="L61" i="38" l="1"/>
  <c r="L71" i="38"/>
  <c r="L61" i="5" l="1"/>
  <c r="L71" i="5"/>
  <c r="F39" i="27" l="1"/>
  <c r="L42" i="38" l="1"/>
  <c r="L42" i="5" l="1"/>
  <c r="C52" i="27"/>
  <c r="C57" i="27" s="1"/>
</calcChain>
</file>

<file path=xl/sharedStrings.xml><?xml version="1.0" encoding="utf-8"?>
<sst xmlns="http://schemas.openxmlformats.org/spreadsheetml/2006/main" count="755" uniqueCount="296">
  <si>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</si>
  <si>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</si>
  <si>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</si>
  <si>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</si>
  <si>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</si>
  <si>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</si>
  <si>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</si>
  <si>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</si>
  <si>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</si>
  <si>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</si>
  <si>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</si>
  <si>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</si>
  <si>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</si>
  <si>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</si>
  <si>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</si>
  <si>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</si>
  <si>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</si>
  <si>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</si>
  <si>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</si>
  <si>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</si>
  <si>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</si>
  <si>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</si>
  <si>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</si>
  <si>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</si>
  <si>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</si>
  <si>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</si>
  <si>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</si>
  <si>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</si>
  <si>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</si>
  <si>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</si>
  <si>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</si>
  <si>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</si>
  <si>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</si>
  <si>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</si>
  <si>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</si>
  <si>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</si>
  <si>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</si>
  <si>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</si>
  <si>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</si>
  <si>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</si>
  <si>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</si>
  <si>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</si>
  <si>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</si>
  <si>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</si>
  <si>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</si>
  <si>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</si>
  <si>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</si>
  <si>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</si>
  <si>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</si>
  <si>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</si>
  <si>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</si>
  <si>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</si>
  <si>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</si>
  <si>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</si>
  <si>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</si>
  <si>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</si>
  <si>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</si>
  <si>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</si>
  <si>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</si>
  <si>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</si>
  <si>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</si>
  <si>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</si>
  <si>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</si>
  <si>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</si>
  <si>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</si>
  <si>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</si>
  <si>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</si>
  <si>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</si>
  <si>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</si>
  <si>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</si>
  <si>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</si>
  <si>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</si>
  <si>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</si>
  <si>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</si>
  <si>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</si>
  <si>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</si>
  <si>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</si>
  <si>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</si>
  <si>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</si>
  <si>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</si>
  <si>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</si>
  <si>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</si>
  <si>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</si>
  <si>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</si>
  <si>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</si>
  <si>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</si>
  <si>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</si>
  <si>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</si>
  <si>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</si>
  <si>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</si>
  <si>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</si>
  <si>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</si>
  <si>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</si>
  <si>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</si>
  <si>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</si>
  <si>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</si>
  <si>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</si>
  <si>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</si>
  <si>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</si>
  <si>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</si>
  <si>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</si>
  <si>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</si>
  <si>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</si>
  <si>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</si>
  <si>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</si>
  <si>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</si>
  <si>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</si>
  <si>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</si>
  <si>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</si>
  <si>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</si>
  <si>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</si>
  <si>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</si>
  <si>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</si>
  <si>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</si>
  <si>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</si>
  <si>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</si>
  <si>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</si>
  <si>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</si>
  <si>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</si>
  <si>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</si>
  <si>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</si>
  <si>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</si>
  <si>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</si>
  <si>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</si>
  <si>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</si>
  <si>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</si>
  <si>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</si>
  <si>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</si>
  <si>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</si>
  <si>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</si>
  <si>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</si>
  <si>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</si>
  <si>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 xml:space="preserve">Жами капитал </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</si>
  <si>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</si>
  <si>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</si>
  <si>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</si>
  <si>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</si>
  <si>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</si>
  <si>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</si>
  <si>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</si>
  <si>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</si>
  <si>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</si>
  <si>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</si>
  <si>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</si>
  <si>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</si>
  <si>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</si>
  <si>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</si>
  <si>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</si>
  <si>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</si>
  <si>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</si>
  <si>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Бирлашмаган (консолидация қилинмаган) хўжалик юритувчи субъектлар капиталига барча инвестициялар суммаси, шу жумладан ушбу хўжалик юритувчи субъектлар капиталини ташкил қилувчи қарз мажбуриятлари</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</si>
  <si>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</si>
  <si>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</si>
  <si>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</si>
  <si>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</si>
  <si>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</si>
  <si>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</si>
  <si>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</si>
  <si>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</si>
  <si>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</si>
  <si>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</si>
  <si>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</si>
  <si>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</si>
  <si>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</si>
  <si>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</si>
  <si>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</si>
  <si>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</si>
  <si>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</si>
  <si>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</si>
  <si>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</si>
  <si>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</si>
  <si>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</si>
  <si>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</si>
  <si>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</si>
  <si>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</si>
  <si>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</si>
  <si>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</si>
  <si>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</si>
  <si>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</si>
  <si>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</si>
  <si>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</si>
  <si>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</si>
  <si>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</si>
  <si>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Минус: 1.6-қатор. Жами I даражали асосий капиталдан чегирмалар</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</si>
  <si>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</si>
  <si>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</si>
  <si>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</si>
  <si>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</si>
  <si>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</si>
  <si>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</si>
  <si>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</si>
  <si>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</si>
  <si>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</si>
  <si>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</si>
  <si>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</si>
  <si>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</si>
  <si>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</si>
  <si>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</si>
  <si>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</si>
  <si>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</si>
  <si>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</si>
  <si>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</si>
  <si>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</si>
  <si>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</si>
  <si>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</si>
  <si>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</si>
  <si>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</si>
  <si>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</si>
  <si>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</si>
  <si>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</si>
  <si>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</si>
  <si>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</si>
  <si>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</si>
  <si>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</si>
  <si>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</si>
  <si>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</si>
  <si>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</si>
  <si>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</si>
  <si>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</si>
  <si>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</si>
  <si>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</si>
  <si>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</si>
  <si>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</si>
  <si>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Консолидация қилинмаган хўжалик юритувчи субъектларнинг капиталига киритилган барча инвестициялар, шу жумладан, хўжалик юритувчи субъектларнинг капиталини шакллантирувчи қарз мажбуриятлари, бошқа банкларнинг капиталига қўйилган инвестициялар, соф</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</si>
  <si>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</si>
  <si>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</si>
  <si>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</si>
  <si>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</si>
  <si>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</si>
  <si>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</si>
  <si>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</si>
  <si>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</si>
  <si>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</si>
  <si>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</si>
  <si>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</si>
  <si>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</si>
  <si>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</si>
  <si>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</si>
  <si>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</si>
  <si>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</si>
  <si>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</si>
  <si>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</si>
  <si>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</si>
  <si>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</si>
  <si>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</si>
  <si>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</si>
  <si>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</si>
  <si>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</si>
  <si>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</si>
  <si>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</si>
  <si>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</si>
  <si>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</si>
  <si>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</si>
  <si>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</si>
  <si>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</si>
  <si>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</si>
  <si>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</si>
  <si>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</si>
  <si>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</si>
  <si>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</si>
  <si>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</si>
  <si>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</si>
  <si>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</si>
  <si>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</si>
  <si>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</si>
  <si>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</si>
  <si>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</si>
  <si>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</si>
  <si>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</si>
  <si>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</si>
  <si>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</si>
  <si>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</si>
  <si>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Достаточность капитала - К1</t>
  </si>
  <si>
    <t>Коэффициент достаточности капитала I уровня K2</t>
  </si>
  <si>
    <t>Доля основного капитала I уровня к регулятивному капиталу</t>
  </si>
  <si>
    <t>Коэффициент нормы покрытия ликвидности</t>
  </si>
  <si>
    <t xml:space="preserve">Норма чистого стабильного финансирования  (НЧСФ) </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</si>
  <si>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</si>
  <si>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</si>
  <si>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</si>
  <si>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</si>
  <si>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</si>
  <si>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</si>
  <si>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</si>
  <si>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</si>
  <si>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</si>
  <si>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</si>
  <si>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</si>
  <si>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</si>
  <si>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</si>
  <si>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</si>
  <si>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</si>
  <si>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</si>
  <si>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</si>
  <si>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№6</t>
  </si>
  <si>
    <t>"Алоқабанк"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</si>
</sst>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4">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FF0000"/>
      <name val="Times New Roman Cyr"/>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18">
      <protection locked="0"/>
    </xf>
    <xf numFmtId="172" fontId="34" fillId="0" borderId="0">
      <protection locked="0"/>
    </xf>
    <xf numFmtId="173" fontId="34" fillId="0" borderId="18">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3">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9" applyNumberFormat="0" applyAlignment="0" applyProtection="0"/>
    <xf numFmtId="0" fontId="57" fillId="38" borderId="20"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21"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9" applyNumberFormat="0" applyAlignment="0" applyProtection="0"/>
    <xf numFmtId="0" fontId="66" fillId="0" borderId="22"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23" applyNumberFormat="0" applyFont="0" applyAlignment="0" applyProtection="0"/>
    <xf numFmtId="0" fontId="69" fillId="37" borderId="24"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25" applyNumberFormat="0" applyFont="0" applyFill="0" applyAlignment="0" applyProtection="0"/>
    <xf numFmtId="0" fontId="71" fillId="0" borderId="0" applyNumberFormat="0" applyFill="0" applyBorder="0" applyAlignment="0" applyProtection="0"/>
  </cellStyleXfs>
  <cellXfs count="282">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3" fontId="13" fillId="0" borderId="1" xfId="0" applyNumberFormat="1" applyFont="1" applyFill="1" applyBorder="1" applyAlignment="1" applyProtection="1">
      <alignment horizontal="right" vertical="center"/>
      <protection locked="0"/>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3" fontId="13" fillId="0" borderId="1" xfId="0" applyNumberFormat="1" applyFont="1" applyFill="1" applyBorder="1" applyAlignment="1" applyProtection="1">
      <alignment horizontal="right" vertical="center"/>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pplyProtection="1">
      <alignment vertical="center"/>
    </xf>
    <xf numFmtId="3" fontId="13" fillId="3" borderId="1" xfId="0" applyNumberFormat="1" applyFont="1" applyFill="1" applyBorder="1" applyAlignment="1" applyProtection="1">
      <alignment horizontal="right" vertical="center"/>
    </xf>
    <xf numFmtId="3" fontId="13" fillId="3" borderId="13" xfId="0" applyNumberFormat="1" applyFont="1" applyFill="1" applyBorder="1" applyAlignment="1" applyProtection="1">
      <alignment horizontal="right" vertical="center"/>
    </xf>
    <xf numFmtId="0" fontId="13" fillId="0" borderId="0" xfId="0" applyFont="1" applyBorder="1" applyAlignment="1" applyProtection="1">
      <alignment vertical="center"/>
    </xf>
    <xf numFmtId="0" fontId="13" fillId="0" borderId="0" xfId="0" applyFont="1" applyAlignment="1" applyProtection="1">
      <alignment vertical="center"/>
    </xf>
    <xf numFmtId="3" fontId="13" fillId="0" borderId="5" xfId="0" applyNumberFormat="1" applyFont="1" applyBorder="1" applyAlignment="1" applyProtection="1">
      <alignment vertical="center"/>
    </xf>
    <xf numFmtId="3" fontId="13" fillId="3" borderId="5" xfId="0" applyNumberFormat="1" applyFont="1" applyFill="1" applyBorder="1" applyAlignment="1" applyProtection="1">
      <alignment horizontal="right" vertical="center"/>
    </xf>
    <xf numFmtId="3" fontId="13" fillId="0" borderId="7" xfId="0" applyNumberFormat="1" applyFont="1" applyBorder="1" applyAlignment="1" applyProtection="1">
      <alignment vertical="center"/>
    </xf>
    <xf numFmtId="0" fontId="13" fillId="0" borderId="0" xfId="0" applyFont="1" applyProtection="1"/>
    <xf numFmtId="0" fontId="31" fillId="18" borderId="1" xfId="0" applyFont="1" applyFill="1" applyBorder="1" applyAlignment="1" applyProtection="1">
      <alignment horizontal="left" vertical="center" wrapText="1" indent="1"/>
    </xf>
    <xf numFmtId="0" fontId="22" fillId="18" borderId="1" xfId="0" applyFont="1" applyFill="1" applyBorder="1" applyAlignment="1" applyProtection="1">
      <alignment horizontal="left" vertical="center" wrapText="1" indent="1"/>
    </xf>
    <xf numFmtId="3" fontId="13" fillId="0" borderId="0" xfId="0" applyNumberFormat="1" applyFont="1" applyBorder="1" applyAlignment="1" applyProtection="1">
      <alignment horizontal="centerContinuous"/>
    </xf>
    <xf numFmtId="0" fontId="10" fillId="0" borderId="0" xfId="0" applyFont="1" applyAlignment="1" applyProtection="1">
      <alignment horizontal="center" vertical="center"/>
    </xf>
    <xf numFmtId="3" fontId="8" fillId="0" borderId="0" xfId="0" applyNumberFormat="1" applyFont="1" applyBorder="1" applyAlignment="1" applyProtection="1">
      <alignment horizontal="centerContinuous"/>
    </xf>
    <xf numFmtId="3" fontId="10" fillId="0" borderId="1" xfId="0" applyNumberFormat="1" applyFont="1" applyBorder="1" applyAlignment="1" applyProtection="1">
      <alignment horizontal="centerContinuous"/>
    </xf>
    <xf numFmtId="167" fontId="13" fillId="0" borderId="0" xfId="3" applyNumberFormat="1" applyFont="1" applyAlignment="1" applyProtection="1">
      <alignment vertical="center"/>
    </xf>
    <xf numFmtId="0" fontId="13" fillId="4" borderId="0" xfId="0" applyFont="1" applyFill="1" applyAlignment="1" applyProtection="1">
      <alignment vertical="center"/>
    </xf>
    <xf numFmtId="0" fontId="10" fillId="0" borderId="0" xfId="0" applyFont="1" applyBorder="1" applyAlignment="1" applyProtection="1">
      <alignment horizontal="center" vertical="center"/>
    </xf>
    <xf numFmtId="0" fontId="13" fillId="0" borderId="0" xfId="0" applyFont="1" applyBorder="1" applyAlignment="1" applyProtection="1">
      <alignment vertical="center" wrapText="1"/>
    </xf>
    <xf numFmtId="0" fontId="13" fillId="0" borderId="0" xfId="0" applyFont="1" applyBorder="1" applyAlignment="1" applyProtection="1">
      <alignment horizontal="left" vertical="center" wrapText="1"/>
    </xf>
    <xf numFmtId="3" fontId="13" fillId="3" borderId="1" xfId="0" applyNumberFormat="1" applyFont="1" applyFill="1" applyBorder="1" applyAlignment="1" applyProtection="1">
      <alignment horizontal="center" vertical="center"/>
    </xf>
    <xf numFmtId="3" fontId="13" fillId="3" borderId="13" xfId="0" applyNumberFormat="1" applyFont="1" applyFill="1" applyBorder="1" applyAlignment="1" applyProtection="1">
      <alignment horizontal="center" vertical="center"/>
    </xf>
    <xf numFmtId="0" fontId="13" fillId="0" borderId="0" xfId="1" applyFont="1" applyAlignment="1" applyProtection="1">
      <alignment vertical="center"/>
    </xf>
    <xf numFmtId="0" fontId="13" fillId="0" borderId="0" xfId="1" applyFont="1" applyProtection="1"/>
    <xf numFmtId="3" fontId="8" fillId="0" borderId="0" xfId="0" applyNumberFormat="1" applyFont="1" applyBorder="1" applyAlignment="1" applyProtection="1">
      <alignment horizontal="center"/>
    </xf>
    <xf numFmtId="0" fontId="72" fillId="0" borderId="0" xfId="1" applyFont="1" applyProtection="1"/>
    <xf numFmtId="0" fontId="7" fillId="0" borderId="0" xfId="0" applyFont="1" applyFill="1" applyAlignment="1" applyProtection="1">
      <alignment vertical="center"/>
    </xf>
    <xf numFmtId="166" fontId="7" fillId="0" borderId="0" xfId="3" applyFont="1" applyFill="1" applyBorder="1" applyAlignment="1" applyProtection="1">
      <alignment vertical="center"/>
    </xf>
    <xf numFmtId="9" fontId="13" fillId="0" borderId="2" xfId="0" applyNumberFormat="1" applyFont="1" applyBorder="1" applyAlignment="1" applyProtection="1">
      <alignment horizontal="center" vertical="center"/>
    </xf>
    <xf numFmtId="169" fontId="13" fillId="0" borderId="2" xfId="0" applyNumberFormat="1" applyFont="1" applyBorder="1" applyAlignment="1" applyProtection="1">
      <alignment horizontal="center" vertical="center"/>
    </xf>
    <xf numFmtId="0" fontId="10" fillId="0" borderId="11" xfId="0" applyFont="1" applyBorder="1" applyAlignment="1" applyProtection="1">
      <alignment vertical="center"/>
    </xf>
    <xf numFmtId="0" fontId="10" fillId="0" borderId="14" xfId="0" applyFont="1" applyBorder="1" applyAlignment="1" applyProtection="1">
      <alignment vertical="center"/>
    </xf>
    <xf numFmtId="167" fontId="13" fillId="0" borderId="0" xfId="3" applyNumberFormat="1" applyFont="1" applyProtection="1"/>
    <xf numFmtId="3" fontId="73" fillId="3" borderId="1" xfId="0" applyNumberFormat="1" applyFont="1" applyFill="1" applyBorder="1" applyAlignment="1" applyProtection="1">
      <alignment horizontal="left" vertical="center"/>
    </xf>
    <xf numFmtId="0" fontId="13" fillId="0" borderId="1" xfId="0" applyFont="1" applyBorder="1" applyAlignment="1" applyProtection="1">
      <alignment horizontal="center" vertical="center"/>
    </xf>
    <xf numFmtId="0" fontId="10" fillId="0" borderId="1" xfId="0" applyFont="1" applyBorder="1" applyAlignment="1" applyProtection="1">
      <alignment vertical="center"/>
    </xf>
    <xf numFmtId="9" fontId="13" fillId="0" borderId="1" xfId="0" applyNumberFormat="1" applyFont="1" applyBorder="1" applyAlignment="1" applyProtection="1">
      <alignment horizontal="center" vertical="center"/>
    </xf>
    <xf numFmtId="169" fontId="13" fillId="0" borderId="1" xfId="0" applyNumberFormat="1" applyFont="1" applyBorder="1" applyAlignment="1" applyProtection="1">
      <alignment horizontal="center" vertical="center"/>
    </xf>
    <xf numFmtId="0" fontId="10" fillId="0" borderId="5" xfId="0" applyFont="1" applyBorder="1" applyAlignment="1" applyProtection="1">
      <alignment vertical="center"/>
    </xf>
    <xf numFmtId="0" fontId="13" fillId="0" borderId="5" xfId="0" applyFont="1" applyBorder="1" applyAlignment="1" applyProtection="1">
      <alignment horizontal="center" vertical="center"/>
    </xf>
    <xf numFmtId="3" fontId="10" fillId="0" borderId="5" xfId="0" applyNumberFormat="1" applyFont="1" applyBorder="1" applyAlignment="1" applyProtection="1">
      <alignment horizontal="centerContinuous"/>
    </xf>
    <xf numFmtId="3" fontId="13" fillId="0" borderId="5" xfId="0" applyNumberFormat="1" applyFont="1" applyFill="1" applyBorder="1" applyAlignment="1" applyProtection="1">
      <alignment horizontal="right" vertical="center"/>
    </xf>
    <xf numFmtId="3" fontId="13" fillId="0" borderId="5" xfId="0" applyNumberFormat="1" applyFont="1" applyFill="1" applyBorder="1" applyAlignment="1" applyProtection="1">
      <alignment horizontal="right" vertical="center"/>
      <protection locked="0"/>
    </xf>
    <xf numFmtId="3" fontId="11" fillId="0" borderId="5" xfId="3" applyNumberFormat="1" applyFont="1" applyBorder="1" applyAlignment="1" applyProtection="1">
      <alignment horizontal="center" vertical="center"/>
    </xf>
    <xf numFmtId="0" fontId="11" fillId="0" borderId="4" xfId="0" applyFont="1" applyFill="1" applyBorder="1" applyAlignment="1" applyProtection="1">
      <alignment horizontal="center" vertical="center" wrapText="1"/>
    </xf>
    <xf numFmtId="3" fontId="22" fillId="0" borderId="5" xfId="3" applyNumberFormat="1" applyFont="1" applyFill="1" applyBorder="1" applyAlignment="1" applyProtection="1">
      <alignment horizontal="center" vertical="center" wrapText="1"/>
      <protection locked="0"/>
    </xf>
    <xf numFmtId="3" fontId="19" fillId="0" borderId="5" xfId="3" applyNumberFormat="1" applyFont="1" applyFill="1" applyBorder="1" applyAlignment="1" applyProtection="1">
      <alignment horizontal="center" vertical="center" wrapText="1"/>
    </xf>
    <xf numFmtId="0" fontId="22" fillId="0" borderId="4" xfId="0"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wrapText="1"/>
      <protection locked="0"/>
    </xf>
    <xf numFmtId="0" fontId="7" fillId="0" borderId="4" xfId="0"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wrapText="1"/>
    </xf>
    <xf numFmtId="3" fontId="7" fillId="0" borderId="5" xfId="3" applyNumberFormat="1" applyFont="1" applyFill="1" applyBorder="1" applyAlignment="1" applyProtection="1">
      <alignment horizontal="center" vertical="center" wrapText="1"/>
      <protection locked="0"/>
    </xf>
    <xf numFmtId="3" fontId="7" fillId="0" borderId="5" xfId="3" applyNumberFormat="1" applyFont="1" applyFill="1" applyBorder="1" applyAlignment="1" applyProtection="1">
      <alignment horizontal="center" wrapText="1"/>
      <protection locked="0"/>
    </xf>
    <xf numFmtId="3" fontId="7" fillId="0" borderId="5" xfId="3" applyNumberFormat="1"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xf>
    <xf numFmtId="3" fontId="19" fillId="0" borderId="5" xfId="3" applyNumberFormat="1" applyFont="1" applyBorder="1" applyAlignment="1" applyProtection="1">
      <alignment horizontal="center" vertical="center" wrapText="1"/>
    </xf>
    <xf numFmtId="10" fontId="19" fillId="0" borderId="5" xfId="2" applyNumberFormat="1" applyFont="1" applyFill="1" applyBorder="1" applyAlignment="1" applyProtection="1">
      <alignment horizontal="center" vertical="center"/>
    </xf>
    <xf numFmtId="10" fontId="19" fillId="0" borderId="7" xfId="2" applyNumberFormat="1" applyFont="1" applyFill="1" applyBorder="1" applyAlignment="1" applyProtection="1">
      <alignment horizontal="center" vertical="center"/>
    </xf>
    <xf numFmtId="0" fontId="19" fillId="0" borderId="26" xfId="0" applyFont="1" applyBorder="1" applyAlignment="1" applyProtection="1">
      <alignment horizontal="center" wrapText="1"/>
    </xf>
    <xf numFmtId="167" fontId="11" fillId="0" borderId="29" xfId="3" applyNumberFormat="1" applyFont="1" applyBorder="1" applyAlignment="1" applyProtection="1">
      <alignment horizontal="left" vertical="center"/>
    </xf>
    <xf numFmtId="3" fontId="20" fillId="2" borderId="31" xfId="0" applyNumberFormat="1" applyFont="1" applyFill="1" applyBorder="1" applyAlignment="1" applyProtection="1">
      <alignment horizontal="center" vertical="center" wrapText="1"/>
    </xf>
    <xf numFmtId="192" fontId="10" fillId="0" borderId="34"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32" xfId="0" applyNumberFormat="1" applyFont="1" applyFill="1" applyBorder="1" applyAlignment="1" applyProtection="1">
      <alignment horizontal="center" vertical="center" wrapText="1"/>
    </xf>
    <xf numFmtId="3" fontId="20" fillId="2" borderId="33"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28" xfId="0" applyFont="1" applyFill="1" applyBorder="1" applyAlignment="1" applyProtection="1">
      <alignment horizontal="center" vertical="center"/>
    </xf>
    <xf numFmtId="0" fontId="7" fillId="0" borderId="4"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4"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4" xfId="0" applyFont="1" applyFill="1" applyBorder="1" applyAlignment="1" applyProtection="1">
      <alignment horizontal="center" wrapText="1"/>
    </xf>
    <xf numFmtId="3" fontId="7" fillId="0" borderId="5" xfId="3" applyNumberFormat="1" applyFont="1" applyFill="1" applyBorder="1" applyAlignment="1" applyProtection="1">
      <alignment horizontal="center" wrapText="1"/>
    </xf>
    <xf numFmtId="0" fontId="19" fillId="0" borderId="4" xfId="0" applyFont="1" applyFill="1" applyBorder="1" applyAlignment="1" applyProtection="1">
      <alignment horizontal="center" wrapText="1"/>
    </xf>
    <xf numFmtId="3" fontId="19" fillId="0" borderId="0" xfId="0" applyNumberFormat="1" applyFont="1" applyProtection="1"/>
    <xf numFmtId="166" fontId="19" fillId="0" borderId="0" xfId="3" applyFont="1" applyBorder="1" applyProtection="1"/>
    <xf numFmtId="0" fontId="19" fillId="0" borderId="4" xfId="0" applyFont="1" applyFill="1" applyBorder="1" applyAlignment="1" applyProtection="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pplyProtection="1">
      <alignment horizontal="left" vertical="center" wrapText="1" indent="2"/>
    </xf>
    <xf numFmtId="170" fontId="20" fillId="41" borderId="1" xfId="3" applyNumberFormat="1" applyFont="1" applyFill="1" applyBorder="1" applyAlignment="1" applyProtection="1">
      <alignment horizontal="center" vertical="center" wrapText="1"/>
      <protection locked="0"/>
    </xf>
    <xf numFmtId="0" fontId="19" fillId="0" borderId="4" xfId="0" applyFont="1" applyBorder="1" applyAlignment="1" applyProtection="1">
      <alignment horizontal="center" vertical="center" wrapText="1"/>
    </xf>
    <xf numFmtId="3" fontId="7" fillId="0" borderId="0" xfId="0" applyNumberFormat="1" applyFont="1" applyAlignment="1" applyProtection="1">
      <alignment vertical="center"/>
    </xf>
    <xf numFmtId="3" fontId="7" fillId="0" borderId="0" xfId="0" applyNumberFormat="1" applyFont="1" applyFill="1" applyAlignment="1" applyProtection="1">
      <alignment vertical="center"/>
    </xf>
    <xf numFmtId="166" fontId="22" fillId="0" borderId="0" xfId="3" applyFont="1" applyFill="1" applyBorder="1" applyAlignment="1" applyProtection="1">
      <alignment vertical="center"/>
    </xf>
    <xf numFmtId="3" fontId="22" fillId="0" borderId="0" xfId="0" applyNumberFormat="1" applyFont="1" applyFill="1" applyAlignment="1" applyProtection="1">
      <alignment vertical="center"/>
    </xf>
    <xf numFmtId="0" fontId="22" fillId="0" borderId="4" xfId="0" applyFont="1" applyBorder="1" applyAlignment="1" applyProtection="1">
      <alignment horizontal="center" vertical="center" wrapText="1"/>
    </xf>
    <xf numFmtId="166" fontId="22" fillId="0" borderId="0" xfId="3" applyFont="1" applyBorder="1" applyAlignment="1" applyProtection="1">
      <alignment vertical="center"/>
    </xf>
    <xf numFmtId="0" fontId="19" fillId="0" borderId="10" xfId="0" applyFont="1" applyBorder="1" applyAlignment="1" applyProtection="1">
      <alignment horizontal="center" vertical="center" wrapText="1"/>
    </xf>
    <xf numFmtId="0" fontId="19" fillId="0" borderId="13" xfId="0" applyFont="1" applyBorder="1" applyAlignment="1" applyProtection="1">
      <alignment horizontal="left" vertical="center" wrapText="1" indent="2"/>
    </xf>
    <xf numFmtId="167" fontId="7" fillId="0" borderId="0" xfId="3" applyNumberFormat="1" applyFont="1" applyProtection="1"/>
    <xf numFmtId="0" fontId="8" fillId="0" borderId="0" xfId="0" applyFont="1" applyAlignment="1" applyProtection="1">
      <alignment horizontal="center" vertical="center" wrapText="1"/>
    </xf>
    <xf numFmtId="15" fontId="0" fillId="0" borderId="0" xfId="0" applyNumberFormat="1" applyFont="1" applyBorder="1" applyAlignment="1" applyProtection="1">
      <alignment horizontal="center"/>
    </xf>
    <xf numFmtId="9" fontId="13" fillId="0" borderId="12" xfId="2" applyFont="1" applyBorder="1" applyAlignment="1" applyProtection="1">
      <alignment horizontal="center" vertical="center"/>
    </xf>
    <xf numFmtId="9" fontId="13" fillId="0" borderId="9" xfId="2" applyFont="1" applyBorder="1" applyAlignment="1" applyProtection="1">
      <alignment horizontal="center" vertical="center"/>
    </xf>
    <xf numFmtId="0" fontId="10" fillId="0" borderId="5" xfId="0" applyFont="1" applyBorder="1" applyAlignment="1" applyProtection="1">
      <alignment horizontal="center" vertical="center"/>
    </xf>
    <xf numFmtId="0" fontId="10" fillId="0" borderId="1" xfId="0" applyFont="1" applyBorder="1" applyAlignment="1" applyProtection="1">
      <alignment horizontal="right" vertical="center"/>
    </xf>
    <xf numFmtId="0" fontId="13" fillId="0" borderId="1" xfId="0" applyFont="1" applyFill="1" applyBorder="1" applyAlignment="1" applyProtection="1">
      <alignment vertical="center" wrapText="1"/>
    </xf>
    <xf numFmtId="0" fontId="10" fillId="0" borderId="10" xfId="0" applyFont="1" applyBorder="1" applyAlignment="1" applyProtection="1">
      <alignment horizontal="center" vertical="center"/>
    </xf>
    <xf numFmtId="0" fontId="10" fillId="0" borderId="1" xfId="0" applyFont="1" applyFill="1" applyBorder="1" applyAlignment="1" applyProtection="1">
      <alignment horizontal="center" vertical="center"/>
    </xf>
    <xf numFmtId="0" fontId="13" fillId="0" borderId="30" xfId="0" applyFont="1" applyBorder="1" applyAlignment="1" applyProtection="1">
      <alignment vertical="center"/>
    </xf>
    <xf numFmtId="0" fontId="10" fillId="0" borderId="10" xfId="0" applyFont="1" applyBorder="1" applyAlignment="1" applyProtection="1">
      <alignment horizontal="center" vertical="center" wrapText="1"/>
    </xf>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13" fillId="0" borderId="13" xfId="0" applyFont="1" applyFill="1" applyBorder="1" applyAlignment="1" applyProtection="1">
      <alignment vertical="center" wrapTex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193" fontId="81" fillId="0" borderId="0" xfId="3" applyNumberFormat="1" applyFont="1" applyProtection="1"/>
    <xf numFmtId="3" fontId="11" fillId="0" borderId="0" xfId="0" applyNumberFormat="1" applyFont="1" applyFill="1" applyAlignment="1" applyProtection="1">
      <alignment horizontal="center" vertical="center"/>
    </xf>
    <xf numFmtId="0" fontId="2" fillId="0" borderId="0" xfId="0" applyFont="1" applyBorder="1" applyProtection="1"/>
    <xf numFmtId="0" fontId="9" fillId="0" borderId="0" xfId="0" applyFont="1" applyBorder="1" applyProtection="1"/>
    <xf numFmtId="0" fontId="2" fillId="0" borderId="0" xfId="0" applyFont="1" applyProtection="1"/>
    <xf numFmtId="0" fontId="82"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0" fontId="83" fillId="0" borderId="0" xfId="0" applyFont="1" applyAlignment="1" applyProtection="1">
      <alignment horizontal="center"/>
    </xf>
    <xf numFmtId="192" fontId="10" fillId="0" borderId="34" xfId="4" applyNumberFormat="1" applyFont="1" applyFill="1" applyBorder="1" applyAlignment="1" applyProtection="1">
      <alignment vertical="center" wrapText="1"/>
    </xf>
    <xf numFmtId="3" fontId="13" fillId="0" borderId="5" xfId="0" applyNumberFormat="1" applyFont="1" applyBorder="1" applyAlignment="1" applyProtection="1">
      <alignment horizontal="right" vertical="center"/>
      <protection locked="0"/>
    </xf>
    <xf numFmtId="3" fontId="22" fillId="0" borderId="5" xfId="3" applyNumberFormat="1" applyFont="1" applyFill="1" applyBorder="1" applyAlignment="1" applyProtection="1">
      <alignment horizontal="center" vertical="center"/>
      <protection locked="0"/>
    </xf>
    <xf numFmtId="3" fontId="22" fillId="0" borderId="5" xfId="3" applyNumberFormat="1" applyFont="1" applyFill="1" applyBorder="1" applyAlignment="1" applyProtection="1">
      <alignment horizontal="center" vertical="center"/>
    </xf>
    <xf numFmtId="0" fontId="10" fillId="0" borderId="4" xfId="0" applyFont="1" applyBorder="1" applyAlignment="1" applyProtection="1">
      <alignment horizontal="center" vertical="center"/>
    </xf>
    <xf numFmtId="0" fontId="10" fillId="0" borderId="1" xfId="0" applyFont="1" applyBorder="1" applyAlignment="1" applyProtection="1">
      <alignment horizontal="center" vertical="center"/>
    </xf>
    <xf numFmtId="0" fontId="10" fillId="0" borderId="4" xfId="0" applyFont="1" applyBorder="1" applyAlignment="1" applyProtection="1">
      <alignment horizontal="center" vertical="center" wrapText="1"/>
    </xf>
    <xf numFmtId="0" fontId="13" fillId="0" borderId="0" xfId="0" applyFont="1" applyAlignment="1" applyProtection="1">
      <alignment horizontal="center" vertical="center"/>
    </xf>
    <xf numFmtId="165" fontId="13" fillId="0" borderId="0" xfId="0" applyNumberFormat="1" applyFont="1" applyAlignment="1" applyProtection="1">
      <alignment vertical="center"/>
    </xf>
    <xf numFmtId="3" fontId="13" fillId="0" borderId="0" xfId="0" applyNumberFormat="1" applyFont="1" applyAlignment="1" applyProtection="1">
      <alignment vertical="center"/>
    </xf>
    <xf numFmtId="166" fontId="13" fillId="0" borderId="0" xfId="3" applyFont="1" applyAlignment="1" applyProtection="1">
      <alignment vertical="center"/>
    </xf>
    <xf numFmtId="167" fontId="13" fillId="0" borderId="0" xfId="0" applyNumberFormat="1" applyFont="1" applyAlignment="1" applyProtection="1">
      <alignment vertical="center"/>
    </xf>
    <xf numFmtId="170" fontId="20" fillId="41" borderId="0" xfId="3" applyNumberFormat="1" applyFont="1" applyFill="1" applyBorder="1" applyAlignment="1" applyProtection="1">
      <alignment horizontal="center" vertical="center" wrapText="1"/>
    </xf>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0" fontId="10" fillId="0" borderId="12" xfId="0" applyFont="1" applyFill="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0" fillId="0" borderId="8" xfId="0" applyFont="1" applyBorder="1" applyAlignment="1" applyProtection="1">
      <alignment horizontal="center" vertical="center"/>
    </xf>
    <xf numFmtId="0" fontId="10" fillId="0" borderId="4" xfId="0" applyFont="1" applyBorder="1" applyAlignment="1" applyProtection="1">
      <alignment horizontal="center" vertical="center"/>
    </xf>
    <xf numFmtId="0" fontId="10" fillId="0" borderId="12" xfId="0" applyFont="1" applyBorder="1" applyAlignment="1" applyProtection="1">
      <alignment horizontal="center" vertical="center"/>
    </xf>
    <xf numFmtId="0" fontId="10" fillId="0" borderId="1" xfId="0" applyFont="1" applyBorder="1" applyAlignment="1" applyProtection="1">
      <alignment horizontal="center" vertical="center"/>
    </xf>
    <xf numFmtId="0" fontId="10" fillId="0" borderId="8" xfId="0" applyFont="1" applyBorder="1" applyAlignment="1" applyProtection="1">
      <alignment horizontal="center" vertical="center" wrapText="1"/>
    </xf>
    <xf numFmtId="0" fontId="10" fillId="0" borderId="4" xfId="0" applyFont="1" applyBorder="1" applyAlignment="1" applyProtection="1">
      <alignment horizontal="center" vertical="center" wrapText="1"/>
    </xf>
    <xf numFmtId="0" fontId="10" fillId="0" borderId="9"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192" fontId="10" fillId="0" borderId="35" xfId="4" applyNumberFormat="1" applyFont="1" applyFill="1" applyBorder="1" applyAlignment="1" applyProtection="1">
      <alignment horizontal="center" wrapText="1"/>
    </xf>
    <xf numFmtId="0" fontId="13" fillId="0" borderId="2" xfId="0" applyFont="1" applyFill="1" applyBorder="1" applyAlignment="1" applyProtection="1">
      <alignment horizontal="left" vertical="center" wrapText="1"/>
    </xf>
    <xf numFmtId="0" fontId="13" fillId="0" borderId="6" xfId="0" applyFont="1" applyFill="1" applyBorder="1" applyAlignment="1" applyProtection="1">
      <alignment horizontal="left" vertical="center" wrapText="1"/>
    </xf>
    <xf numFmtId="9" fontId="10" fillId="0" borderId="27" xfId="0" applyNumberFormat="1" applyFont="1" applyFill="1" applyBorder="1" applyAlignment="1" applyProtection="1">
      <alignment horizontal="center" vertical="center"/>
    </xf>
    <xf numFmtId="9" fontId="10" fillId="0" borderId="28" xfId="0" applyNumberFormat="1" applyFont="1" applyFill="1" applyBorder="1" applyAlignment="1" applyProtection="1">
      <alignment horizontal="center" vertical="center"/>
    </xf>
    <xf numFmtId="0" fontId="10" fillId="0" borderId="2" xfId="0" applyFont="1" applyBorder="1" applyAlignment="1" applyProtection="1">
      <alignment horizontal="center" vertical="center"/>
    </xf>
    <xf numFmtId="0" fontId="10" fillId="0" borderId="6" xfId="0" applyFont="1" applyBorder="1" applyAlignment="1" applyProtection="1">
      <alignment horizontal="center" vertical="center"/>
    </xf>
    <xf numFmtId="0" fontId="13" fillId="0" borderId="1" xfId="0" applyFont="1" applyFill="1" applyBorder="1" applyAlignment="1" applyProtection="1">
      <alignment horizontal="left" vertical="center" wrapText="1" indent="1"/>
    </xf>
    <xf numFmtId="0" fontId="13" fillId="0" borderId="1" xfId="0" applyFont="1" applyFill="1" applyBorder="1" applyAlignment="1" applyProtection="1">
      <alignment horizontal="left" vertical="center" wrapText="1" indent="2"/>
    </xf>
    <xf numFmtId="0" fontId="13" fillId="0" borderId="15" xfId="0" applyFont="1" applyFill="1" applyBorder="1" applyAlignment="1" applyProtection="1">
      <alignment horizontal="left" vertical="center" wrapText="1"/>
    </xf>
    <xf numFmtId="0" fontId="13" fillId="0" borderId="16" xfId="0" applyFont="1" applyFill="1" applyBorder="1" applyAlignment="1" applyProtection="1">
      <alignment horizontal="left" vertical="center" wrapText="1"/>
    </xf>
    <xf numFmtId="0" fontId="13" fillId="0" borderId="1" xfId="0" applyFont="1" applyFill="1" applyBorder="1" applyAlignment="1" applyProtection="1">
      <alignment horizontal="left" vertical="center" wrapText="1"/>
    </xf>
    <xf numFmtId="0" fontId="10" fillId="0" borderId="0" xfId="1" applyFont="1" applyAlignment="1" applyProtection="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25">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s>
  <tableStyles count="0" defaultTableStyle="TableStyleMedium9" defaultPivotStyle="PivotStyleLight16"/>
  <colors>
    <mruColors>
      <color rgb="FFFF00FF"/>
      <color rgb="FF35E2EB"/>
      <color rgb="FFD9F29C"/>
      <color rgb="FFFF33CC"/>
      <color rgb="FFFF66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lb-fs.aloqabank.local\Profiles$\islombek\Desktop\23%20talik%20Islom\2022.12.30\crs031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lb-fs.aloqabank.local\Profiles$\islombek\Desktop\23%20talik%20Islom\2022.12.30\crs031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tab 19"/>
      <sheetName val="жадвал"/>
      <sheetName val="Танишиб чиқиш учун"/>
      <sheetName val="UZB redtab Jan 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s>
    <sheetDataSet>
      <sheetData sheetId="0"/>
      <sheetData sheetId="1"/>
      <sheetData sheetId="2"/>
      <sheetData sheetId="3"/>
      <sheetData sheetId="4"/>
      <sheetData sheetId="5"/>
      <sheetData sheetId="6"/>
      <sheetData sheetId="7"/>
      <sheetData sheetId="8">
        <row r="89">
          <cell r="Z89">
            <v>426909132</v>
          </cell>
        </row>
        <row r="90">
          <cell r="Z90">
            <v>234769333</v>
          </cell>
        </row>
      </sheetData>
      <sheetData sheetId="9"/>
      <sheetData sheetId="10"/>
      <sheetData sheetId="11"/>
      <sheetData sheetId="12"/>
      <sheetData sheetId="13"/>
      <sheetData sheetId="14"/>
      <sheetData sheetId="15"/>
      <sheetData sheetId="16"/>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102193771</v>
          </cell>
          <cell r="D39">
            <v>102193771</v>
          </cell>
          <cell r="E39">
            <v>0</v>
          </cell>
        </row>
        <row r="47">
          <cell r="C47">
            <v>16083550327</v>
          </cell>
          <cell r="D47">
            <v>10461629339</v>
          </cell>
          <cell r="E47">
            <v>5621920988</v>
          </cell>
        </row>
        <row r="61">
          <cell r="C61">
            <v>0</v>
          </cell>
        </row>
        <row r="73">
          <cell r="C73">
            <v>0</v>
          </cell>
        </row>
      </sheetData>
      <sheetData sheetId="1"/>
      <sheetData sheetId="2"/>
      <sheetData sheetId="3"/>
      <sheetData sheetId="4"/>
      <sheetData sheetId="5"/>
      <sheetData sheetId="6"/>
      <sheetData sheetId="7">
        <row r="4">
          <cell r="C4">
            <v>724319555</v>
          </cell>
          <cell r="D4">
            <v>457795446</v>
          </cell>
          <cell r="E4">
            <v>266524109</v>
          </cell>
        </row>
        <row r="7">
          <cell r="C7">
            <v>326918043</v>
          </cell>
          <cell r="D7">
            <v>1100000</v>
          </cell>
          <cell r="E7">
            <v>325818043</v>
          </cell>
        </row>
        <row r="10">
          <cell r="C10">
            <v>714520714</v>
          </cell>
          <cell r="D10">
            <v>0</v>
          </cell>
          <cell r="E10">
            <v>714520714</v>
          </cell>
        </row>
        <row r="19">
          <cell r="C19">
            <v>56127300</v>
          </cell>
          <cell r="D19">
            <v>0</v>
          </cell>
          <cell r="E19">
            <v>56127300</v>
          </cell>
        </row>
        <row r="20">
          <cell r="C20">
            <v>0</v>
          </cell>
          <cell r="D20">
            <v>0</v>
          </cell>
          <cell r="E20">
            <v>0</v>
          </cell>
        </row>
        <row r="21">
          <cell r="C21">
            <v>314886600</v>
          </cell>
          <cell r="D21">
            <v>157730160</v>
          </cell>
          <cell r="E21">
            <v>157156440</v>
          </cell>
        </row>
        <row r="22">
          <cell r="C22">
            <v>0</v>
          </cell>
          <cell r="D22">
            <v>0</v>
          </cell>
          <cell r="E22">
            <v>0</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AD62"/>
  <sheetViews>
    <sheetView tabSelected="1" view="pageBreakPreview" zoomScale="85" zoomScaleNormal="100" zoomScaleSheetLayoutView="85" workbookViewId="0">
      <pane xSplit="2" ySplit="4" topLeftCell="C17" activePane="bottomRight" state="frozen"/>
      <selection activeCell="C51" sqref="C51"/>
      <selection pane="topRight" activeCell="C51" sqref="C51"/>
      <selection pane="bottomLeft" activeCell="C51" sqref="C51"/>
      <selection pane="bottomRight" activeCell="E24" sqref="E24"/>
    </sheetView>
  </sheetViews>
  <sheetFormatPr defaultRowHeight="12.75"/>
  <cols>
    <col min="1" max="1" width="6" style="156" customWidth="1"/>
    <col min="2" max="2" width="105.140625" style="156" customWidth="1"/>
    <col min="3" max="3" width="19.7109375" style="190" customWidth="1"/>
    <col min="4" max="4" width="14.5703125" style="156" customWidth="1"/>
    <col min="5" max="5" width="27.42578125" style="158" customWidth="1"/>
    <col min="6" max="6" width="14.140625" style="156" customWidth="1"/>
    <col min="7" max="7" width="9.140625" style="156"/>
    <col min="8" max="8" width="17.42578125" style="156" bestFit="1" customWidth="1"/>
    <col min="9" max="16384" width="9.140625" style="156"/>
  </cols>
  <sheetData>
    <row r="1" spans="1:5" ht="23.25" customHeight="1">
      <c r="A1" s="256" t="s">
        <v>129</v>
      </c>
      <c r="B1" s="257"/>
      <c r="C1" s="7" t="s">
        <v>130</v>
      </c>
      <c r="E1" s="242" t="s">
        <v>294</v>
      </c>
    </row>
    <row r="2" spans="1:5">
      <c r="A2" s="157"/>
      <c r="B2" s="157"/>
      <c r="C2" s="157"/>
    </row>
    <row r="3" spans="1:5" ht="16.5" thickBot="1">
      <c r="A3" s="159"/>
      <c r="B3" s="241" t="s">
        <v>295</v>
      </c>
      <c r="C3" s="155">
        <v>44926</v>
      </c>
    </row>
    <row r="4" spans="1:5" s="162" customFormat="1" ht="43.5" customHeight="1" thickBot="1">
      <c r="A4" s="154" t="s">
        <v>52</v>
      </c>
      <c r="B4" s="160" t="s">
        <v>131</v>
      </c>
      <c r="C4" s="161" t="s">
        <v>132</v>
      </c>
      <c r="E4" s="163"/>
    </row>
    <row r="5" spans="1:5" ht="12.75" customHeight="1">
      <c r="A5" s="152" t="s">
        <v>30</v>
      </c>
      <c r="B5" s="164" t="s">
        <v>133</v>
      </c>
      <c r="C5" s="153"/>
    </row>
    <row r="6" spans="1:5" ht="12.75" customHeight="1">
      <c r="A6" s="165">
        <v>1</v>
      </c>
      <c r="B6" s="166" t="s">
        <v>134</v>
      </c>
      <c r="C6" s="137"/>
    </row>
    <row r="7" spans="1:5" s="21" customFormat="1" ht="18" customHeight="1">
      <c r="A7" s="138" t="s">
        <v>86</v>
      </c>
      <c r="B7" s="19" t="s">
        <v>135</v>
      </c>
      <c r="C7" s="137">
        <f>+C8-C9</f>
        <v>948876837</v>
      </c>
      <c r="E7" s="167"/>
    </row>
    <row r="8" spans="1:5" s="162" customFormat="1" ht="18" customHeight="1">
      <c r="A8" s="168" t="s">
        <v>31</v>
      </c>
      <c r="B8" s="169" t="s">
        <v>136</v>
      </c>
      <c r="C8" s="139">
        <v>948876837</v>
      </c>
      <c r="E8" s="163"/>
    </row>
    <row r="9" spans="1:5" s="162" customFormat="1" ht="18" customHeight="1">
      <c r="A9" s="168" t="s">
        <v>33</v>
      </c>
      <c r="B9" s="169" t="s">
        <v>137</v>
      </c>
      <c r="C9" s="139">
        <v>0</v>
      </c>
      <c r="E9" s="163"/>
    </row>
    <row r="10" spans="1:5" s="21" customFormat="1" ht="18" customHeight="1">
      <c r="A10" s="138" t="s">
        <v>87</v>
      </c>
      <c r="B10" s="19" t="s">
        <v>138</v>
      </c>
      <c r="C10" s="139">
        <v>3870139</v>
      </c>
      <c r="E10" s="167"/>
    </row>
    <row r="11" spans="1:5" s="162" customFormat="1" ht="18" customHeight="1">
      <c r="A11" s="168" t="s">
        <v>88</v>
      </c>
      <c r="B11" s="170" t="s">
        <v>139</v>
      </c>
      <c r="C11" s="140">
        <f>+C12+C13-C14-C15</f>
        <v>606491024</v>
      </c>
      <c r="E11" s="163"/>
    </row>
    <row r="12" spans="1:5" s="162" customFormat="1" ht="18" customHeight="1">
      <c r="A12" s="168" t="s">
        <v>37</v>
      </c>
      <c r="B12" s="170" t="s">
        <v>140</v>
      </c>
      <c r="C12" s="139">
        <v>504719608</v>
      </c>
      <c r="E12" s="163"/>
    </row>
    <row r="13" spans="1:5" s="162" customFormat="1" ht="18" customHeight="1">
      <c r="A13" s="143" t="s">
        <v>33</v>
      </c>
      <c r="B13" s="169" t="s">
        <v>141</v>
      </c>
      <c r="C13" s="139">
        <v>101771416</v>
      </c>
      <c r="E13" s="163"/>
    </row>
    <row r="14" spans="1:5" s="21" customFormat="1" ht="18" customHeight="1">
      <c r="A14" s="141" t="s">
        <v>35</v>
      </c>
      <c r="B14" s="169" t="s">
        <v>142</v>
      </c>
      <c r="C14" s="139">
        <v>0</v>
      </c>
      <c r="E14" s="167"/>
    </row>
    <row r="15" spans="1:5" s="21" customFormat="1" ht="18" customHeight="1">
      <c r="A15" s="141" t="s">
        <v>42</v>
      </c>
      <c r="B15" s="169" t="s">
        <v>143</v>
      </c>
      <c r="C15" s="139">
        <v>0</v>
      </c>
      <c r="E15" s="167"/>
    </row>
    <row r="16" spans="1:5" s="162" customFormat="1" ht="18" customHeight="1">
      <c r="A16" s="143" t="s">
        <v>92</v>
      </c>
      <c r="B16" s="169" t="s">
        <v>144</v>
      </c>
      <c r="C16" s="142">
        <v>0</v>
      </c>
      <c r="E16" s="217"/>
    </row>
    <row r="17" spans="1:6" s="162" customFormat="1" ht="18" customHeight="1">
      <c r="A17" s="143" t="s">
        <v>93</v>
      </c>
      <c r="B17" s="169" t="s">
        <v>145</v>
      </c>
      <c r="C17" s="142">
        <v>0</v>
      </c>
    </row>
    <row r="18" spans="1:6" s="162" customFormat="1" ht="18" customHeight="1">
      <c r="A18" s="143" t="s">
        <v>122</v>
      </c>
      <c r="B18" s="169" t="s">
        <v>146</v>
      </c>
      <c r="C18" s="140">
        <f>+C7+C10+C11+C16+C17</f>
        <v>1559238000</v>
      </c>
      <c r="E18" s="217"/>
    </row>
    <row r="19" spans="1:6" s="162" customFormat="1" ht="18" customHeight="1">
      <c r="A19" s="143" t="s">
        <v>147</v>
      </c>
      <c r="B19" s="169" t="s">
        <v>148</v>
      </c>
      <c r="C19" s="140">
        <f>C20+C21+C22+C23+C24</f>
        <v>97732118</v>
      </c>
      <c r="E19" s="217"/>
    </row>
    <row r="20" spans="1:6" s="162" customFormat="1" ht="22.5" customHeight="1">
      <c r="A20" s="143" t="s">
        <v>37</v>
      </c>
      <c r="B20" s="169" t="s">
        <v>149</v>
      </c>
      <c r="C20" s="139">
        <v>1885673</v>
      </c>
      <c r="E20" s="163"/>
    </row>
    <row r="21" spans="1:6" s="162" customFormat="1" ht="29.25" customHeight="1">
      <c r="A21" s="143" t="s">
        <v>33</v>
      </c>
      <c r="B21" s="169" t="s">
        <v>150</v>
      </c>
      <c r="C21" s="139">
        <v>95846445</v>
      </c>
      <c r="E21" s="163"/>
    </row>
    <row r="22" spans="1:6" s="162" customFormat="1" ht="22.5" customHeight="1">
      <c r="A22" s="143" t="s">
        <v>35</v>
      </c>
      <c r="B22" s="169" t="s">
        <v>151</v>
      </c>
      <c r="C22" s="142">
        <v>0</v>
      </c>
      <c r="E22" s="163"/>
    </row>
    <row r="23" spans="1:6" s="120" customFormat="1" ht="22.5" customHeight="1">
      <c r="A23" s="143" t="s">
        <v>42</v>
      </c>
      <c r="B23" s="169" t="s">
        <v>152</v>
      </c>
      <c r="C23" s="142">
        <v>0</v>
      </c>
      <c r="E23" s="121"/>
    </row>
    <row r="24" spans="1:6" s="120" customFormat="1" ht="22.5" customHeight="1">
      <c r="A24" s="143" t="s">
        <v>128</v>
      </c>
      <c r="B24" s="169" t="s">
        <v>153</v>
      </c>
      <c r="C24" s="142">
        <f>+IF(MAX('[6]Transactions of related parties'!$Z$90-E25*25%,'[6]Transactions of related parties'!$Z$89-E25*50%)&lt;0,0,MAX('[6]Transactions of related parties'!$Z$90-E25*25%,'[6]Transactions of related parties'!$Z$89-E25*50%))</f>
        <v>0</v>
      </c>
      <c r="E24" s="217">
        <f>+'[6]Transactions of related parties'!$Z$89</f>
        <v>426909132</v>
      </c>
      <c r="F24" s="183"/>
    </row>
    <row r="25" spans="1:6" s="21" customFormat="1" ht="15" customHeight="1">
      <c r="A25" s="138" t="s">
        <v>96</v>
      </c>
      <c r="B25" s="19" t="s">
        <v>134</v>
      </c>
      <c r="C25" s="144">
        <f>+C18-C19</f>
        <v>1461505882</v>
      </c>
      <c r="E25" s="217">
        <f>C18-C20-C21-C22-C23</f>
        <v>1461505882</v>
      </c>
    </row>
    <row r="26" spans="1:6" ht="16.5" customHeight="1">
      <c r="A26" s="171">
        <v>2</v>
      </c>
      <c r="B26" s="22" t="s">
        <v>154</v>
      </c>
      <c r="C26" s="172"/>
    </row>
    <row r="27" spans="1:6" s="21" customFormat="1" ht="18" customHeight="1">
      <c r="A27" s="141" t="s">
        <v>99</v>
      </c>
      <c r="B27" s="63" t="s">
        <v>155</v>
      </c>
      <c r="C27" s="137">
        <f>+C28-C29</f>
        <v>2178000</v>
      </c>
      <c r="E27" s="167"/>
    </row>
    <row r="28" spans="1:6" s="21" customFormat="1" ht="18" customHeight="1">
      <c r="A28" s="141" t="s">
        <v>37</v>
      </c>
      <c r="B28" s="63" t="s">
        <v>156</v>
      </c>
      <c r="C28" s="145">
        <v>2178000</v>
      </c>
      <c r="E28" s="167"/>
    </row>
    <row r="29" spans="1:6" s="21" customFormat="1" ht="18" customHeight="1">
      <c r="A29" s="141" t="s">
        <v>33</v>
      </c>
      <c r="B29" s="63" t="s">
        <v>157</v>
      </c>
      <c r="C29" s="145">
        <v>0</v>
      </c>
      <c r="E29" s="167"/>
    </row>
    <row r="30" spans="1:6" s="21" customFormat="1" ht="18" customHeight="1">
      <c r="A30" s="141" t="s">
        <v>100</v>
      </c>
      <c r="B30" s="63" t="s">
        <v>158</v>
      </c>
      <c r="C30" s="145">
        <v>36000</v>
      </c>
      <c r="E30" s="167"/>
    </row>
    <row r="31" spans="1:6">
      <c r="A31" s="141" t="s">
        <v>102</v>
      </c>
      <c r="B31" s="64" t="s">
        <v>144</v>
      </c>
      <c r="C31" s="146">
        <v>0</v>
      </c>
    </row>
    <row r="32" spans="1:6" s="21" customFormat="1" ht="29.25" customHeight="1">
      <c r="A32" s="141" t="s">
        <v>104</v>
      </c>
      <c r="B32" s="63" t="s">
        <v>159</v>
      </c>
      <c r="C32" s="145">
        <v>0</v>
      </c>
      <c r="E32" s="167"/>
    </row>
    <row r="33" spans="1:8" s="25" customFormat="1">
      <c r="A33" s="173" t="s">
        <v>44</v>
      </c>
      <c r="B33" s="55" t="s">
        <v>160</v>
      </c>
      <c r="C33" s="140">
        <f>+C27+C30+C31+C32</f>
        <v>2214000</v>
      </c>
      <c r="D33" s="174"/>
      <c r="E33" s="175"/>
    </row>
    <row r="34" spans="1:8" s="25" customFormat="1" ht="16.5" customHeight="1">
      <c r="A34" s="173" t="s">
        <v>46</v>
      </c>
      <c r="B34" s="68" t="s">
        <v>161</v>
      </c>
      <c r="C34" s="144">
        <f>+C25+C33</f>
        <v>1463719882</v>
      </c>
      <c r="E34" s="175"/>
    </row>
    <row r="35" spans="1:8" s="27" customFormat="1" ht="13.5" customHeight="1">
      <c r="A35" s="176"/>
      <c r="B35" s="26" t="s">
        <v>162</v>
      </c>
      <c r="C35" s="144"/>
      <c r="E35" s="177"/>
      <c r="H35" s="178"/>
    </row>
    <row r="36" spans="1:8" s="21" customFormat="1" ht="18" customHeight="1">
      <c r="A36" s="141" t="s">
        <v>107</v>
      </c>
      <c r="B36" s="63" t="s">
        <v>163</v>
      </c>
      <c r="C36" s="145">
        <v>228394438</v>
      </c>
      <c r="E36" s="167"/>
    </row>
    <row r="37" spans="1:8" s="21" customFormat="1" ht="25.5">
      <c r="A37" s="141" t="s">
        <v>108</v>
      </c>
      <c r="B37" s="63" t="s">
        <v>164</v>
      </c>
      <c r="C37" s="147">
        <f>IF(F37&lt;(C45*1.25%),F37,(C45*1.25%))</f>
        <v>102193771</v>
      </c>
      <c r="E37" s="179" t="s">
        <v>124</v>
      </c>
      <c r="F37" s="180">
        <v>102193771</v>
      </c>
    </row>
    <row r="38" spans="1:8" s="21" customFormat="1" ht="18" customHeight="1">
      <c r="A38" s="141" t="s">
        <v>109</v>
      </c>
      <c r="B38" s="63" t="s">
        <v>165</v>
      </c>
      <c r="C38" s="139"/>
      <c r="E38" s="167"/>
      <c r="F38" s="255">
        <f>+[7]Balance!$C$39+[7]Balance!$C$61+[7]Balance!$C$73</f>
        <v>102193771</v>
      </c>
    </row>
    <row r="39" spans="1:8" s="21" customFormat="1" ht="18" customHeight="1">
      <c r="A39" s="141" t="s">
        <v>110</v>
      </c>
      <c r="B39" s="63" t="s">
        <v>166</v>
      </c>
      <c r="C39" s="139">
        <v>148235464</v>
      </c>
      <c r="E39" s="167"/>
      <c r="F39" s="235">
        <f>+F37-F38</f>
        <v>0</v>
      </c>
    </row>
    <row r="40" spans="1:8" s="21" customFormat="1" ht="18" customHeight="1">
      <c r="A40" s="141" t="s">
        <v>112</v>
      </c>
      <c r="B40" s="63" t="s">
        <v>167</v>
      </c>
      <c r="C40" s="145">
        <v>2467451</v>
      </c>
      <c r="E40" s="167"/>
    </row>
    <row r="41" spans="1:8" s="21" customFormat="1" ht="18" customHeight="1">
      <c r="A41" s="141" t="s">
        <v>113</v>
      </c>
      <c r="B41" s="63" t="s">
        <v>168</v>
      </c>
      <c r="C41" s="147">
        <f>IF(C42&lt;(C34/3),0,(C42-C34/3)*-1)</f>
        <v>0</v>
      </c>
      <c r="E41" s="167"/>
    </row>
    <row r="42" spans="1:8" ht="18.75" customHeight="1">
      <c r="A42" s="168"/>
      <c r="B42" s="29" t="s">
        <v>169</v>
      </c>
      <c r="C42" s="144">
        <f>SUM(C36:C40)</f>
        <v>481291124</v>
      </c>
      <c r="D42" s="174"/>
    </row>
    <row r="43" spans="1:8" s="162" customFormat="1" ht="22.5" customHeight="1">
      <c r="A43" s="181" t="s">
        <v>47</v>
      </c>
      <c r="B43" s="48" t="s">
        <v>170</v>
      </c>
      <c r="C43" s="148">
        <f>+C41+C42</f>
        <v>481291124</v>
      </c>
      <c r="D43" s="182"/>
      <c r="E43" s="163"/>
    </row>
    <row r="44" spans="1:8" s="162" customFormat="1" ht="15.75" customHeight="1">
      <c r="A44" s="176" t="s">
        <v>50</v>
      </c>
      <c r="B44" s="48" t="s">
        <v>171</v>
      </c>
      <c r="C44" s="149">
        <f>+C34+C41+C42</f>
        <v>1945011006</v>
      </c>
      <c r="D44" s="182"/>
      <c r="E44" s="163"/>
    </row>
    <row r="45" spans="1:8" s="162" customFormat="1" ht="21.75" customHeight="1">
      <c r="A45" s="176" t="s">
        <v>9</v>
      </c>
      <c r="B45" s="68" t="s">
        <v>172</v>
      </c>
      <c r="C45" s="149">
        <f>+C46+C47+C48</f>
        <v>15578589455.523077</v>
      </c>
      <c r="E45" s="163"/>
    </row>
    <row r="46" spans="1:8" s="21" customFormat="1" ht="18" customHeight="1">
      <c r="A46" s="141" t="s">
        <v>37</v>
      </c>
      <c r="B46" s="63" t="s">
        <v>173</v>
      </c>
      <c r="C46" s="147">
        <f>+'Calculation of Risk Weighted As'!I73</f>
        <v>14764486638.6</v>
      </c>
      <c r="E46" s="167"/>
    </row>
    <row r="47" spans="1:8" s="21" customFormat="1" ht="18" customHeight="1">
      <c r="A47" s="141" t="s">
        <v>33</v>
      </c>
      <c r="B47" s="63" t="s">
        <v>174</v>
      </c>
      <c r="C47" s="147">
        <f>+'Calculation of Risk'!C21</f>
        <v>621025473.07692301</v>
      </c>
      <c r="E47" s="167"/>
    </row>
    <row r="48" spans="1:8" s="21" customFormat="1" ht="18" customHeight="1">
      <c r="A48" s="141" t="s">
        <v>35</v>
      </c>
      <c r="B48" s="63" t="s">
        <v>175</v>
      </c>
      <c r="C48" s="147">
        <f>+'Calculation of Risk'!C27</f>
        <v>193077343.84615389</v>
      </c>
      <c r="E48" s="167"/>
    </row>
    <row r="49" spans="1:30" s="27" customFormat="1" ht="21.75" customHeight="1">
      <c r="A49" s="181" t="s">
        <v>10</v>
      </c>
      <c r="B49" s="48" t="s">
        <v>176</v>
      </c>
      <c r="C49" s="150">
        <f>IFERROR((+C25/C45),0)</f>
        <v>9.3815032880390364E-2</v>
      </c>
      <c r="E49" s="177"/>
    </row>
    <row r="50" spans="1:30" s="27" customFormat="1" ht="21.75" customHeight="1">
      <c r="A50" s="181" t="s">
        <v>51</v>
      </c>
      <c r="B50" s="48" t="s">
        <v>177</v>
      </c>
      <c r="C50" s="150">
        <f>IFERROR((+C34/C45),0)</f>
        <v>9.3957151010296849E-2</v>
      </c>
      <c r="E50" s="177"/>
    </row>
    <row r="51" spans="1:30" s="27" customFormat="1" ht="21.75" customHeight="1">
      <c r="A51" s="181" t="s">
        <v>20</v>
      </c>
      <c r="B51" s="48" t="s">
        <v>178</v>
      </c>
      <c r="C51" s="150">
        <f>IFERROR((+C44/C45),0)</f>
        <v>0.12485154779596784</v>
      </c>
      <c r="E51" s="177"/>
    </row>
    <row r="52" spans="1:30" s="120" customFormat="1" ht="21.75" customHeight="1">
      <c r="A52" s="176" t="s">
        <v>21</v>
      </c>
      <c r="B52" s="68" t="s">
        <v>179</v>
      </c>
      <c r="C52" s="148">
        <f>SUM(C53:C55)-C56</f>
        <v>18573431590.5</v>
      </c>
      <c r="E52" s="121"/>
      <c r="F52" s="183"/>
    </row>
    <row r="53" spans="1:30" s="36" customFormat="1" ht="21.75" customHeight="1">
      <c r="A53" s="141" t="s">
        <v>37</v>
      </c>
      <c r="B53" s="34" t="s">
        <v>180</v>
      </c>
      <c r="C53" s="246">
        <f>+[7]Balance!$C$47</f>
        <v>16083550327</v>
      </c>
      <c r="E53" s="184"/>
      <c r="F53" s="185"/>
    </row>
    <row r="54" spans="1:30" s="36" customFormat="1" ht="21.75" customHeight="1">
      <c r="A54" s="141" t="s">
        <v>33</v>
      </c>
      <c r="B54" s="34" t="s">
        <v>181</v>
      </c>
      <c r="C54" s="245">
        <f>+'Calculation of Risk Weighted As'!E53+'Calculation of Risk Weighted As'!F53+'Calculation of Risk Weighted As'!G53+'Calculation of Risk Weighted As'!H53+'Calculation of Risk Weighted As'!E54+'Calculation of Risk Weighted As'!F54+'Calculation of Risk Weighted As'!G54+'Calculation of Risk Weighted As'!H54+'Calculation of Risk Weighted As'!E55+'Calculation of Risk Weighted As'!F55+'Calculation of Risk Weighted As'!G55+'Calculation of Risk Weighted As'!H55+'Calculation of Risk Weighted As'!E56+'Calculation of Risk Weighted As'!F56+'Calculation of Risk Weighted As'!H56+'Calculation of Risk Weighted As'!E58+'Calculation of Risk Weighted As'!F58+'Calculation of Risk Weighted As'!G58+'Calculation of Risk Weighted As'!H58+'Calculation of Risk Weighted As'!E59+'Calculation of Risk Weighted As'!F59+'Calculation of Risk Weighted As'!G59+'Calculation of Risk Weighted As'!H59+'Calculation of Risk Weighted As'!E60+'Calculation of Risk Weighted As'!F60+'Calculation of Risk Weighted As'!G60+'Calculation of Risk Weighted As'!H60+'Calculation of Risk Weighted As'!E61+'Calculation of Risk Weighted As'!F61+'Calculation of Risk Weighted As'!H61</f>
        <v>2585758312</v>
      </c>
      <c r="D54" s="86">
        <f>+'Calculation of Risk Weighted As'!I73</f>
        <v>14764486638.6</v>
      </c>
      <c r="E54" s="184"/>
      <c r="F54" s="185"/>
    </row>
    <row r="55" spans="1:30" s="39" customFormat="1" ht="21.75" customHeight="1">
      <c r="A55" s="186" t="s">
        <v>35</v>
      </c>
      <c r="B55" s="38" t="s">
        <v>182</v>
      </c>
      <c r="C55" s="246">
        <f>SUM('Calculation of Risk Weighted As'!I64:I70)</f>
        <v>1855069.5</v>
      </c>
      <c r="E55" s="187"/>
    </row>
    <row r="56" spans="1:30" s="39" customFormat="1" ht="21.75" customHeight="1">
      <c r="A56" s="186" t="s">
        <v>42</v>
      </c>
      <c r="B56" s="38" t="s">
        <v>183</v>
      </c>
      <c r="C56" s="246">
        <f>+C19</f>
        <v>97732118</v>
      </c>
      <c r="E56" s="187"/>
    </row>
    <row r="57" spans="1:30" s="27" customFormat="1" ht="21.75" customHeight="1" thickBot="1">
      <c r="A57" s="188" t="s">
        <v>22</v>
      </c>
      <c r="B57" s="189" t="s">
        <v>184</v>
      </c>
      <c r="C57" s="151">
        <f>IFERROR((+C34/C52),0)</f>
        <v>7.8807186214779404E-2</v>
      </c>
      <c r="E57" s="177"/>
    </row>
    <row r="58" spans="1:30">
      <c r="B58" s="40"/>
    </row>
    <row r="59" spans="1:30" s="238" customFormat="1" ht="18" customHeight="1">
      <c r="A59" s="236"/>
      <c r="B59" s="216" t="s">
        <v>278</v>
      </c>
      <c r="C59" s="236"/>
      <c r="D59" s="236"/>
      <c r="E59" s="236"/>
      <c r="F59" s="237"/>
      <c r="G59" s="237"/>
      <c r="H59" s="237"/>
      <c r="I59" s="237"/>
      <c r="J59" s="237"/>
      <c r="K59" s="237"/>
      <c r="L59" s="237"/>
      <c r="M59" s="237"/>
      <c r="N59" s="236"/>
      <c r="O59" s="236"/>
      <c r="P59" s="236"/>
      <c r="Q59" s="236"/>
      <c r="R59" s="236"/>
      <c r="S59" s="236"/>
      <c r="T59" s="236"/>
      <c r="U59" s="236"/>
      <c r="V59" s="236"/>
      <c r="W59" s="236"/>
      <c r="X59" s="236"/>
      <c r="Y59" s="236"/>
      <c r="Z59" s="236"/>
      <c r="AA59" s="236"/>
      <c r="AB59" s="236"/>
      <c r="AC59" s="236"/>
      <c r="AD59" s="236"/>
    </row>
    <row r="60" spans="1:30" s="238" customFormat="1" ht="14.25" customHeight="1">
      <c r="A60" s="236"/>
      <c r="B60" s="216"/>
      <c r="C60" s="236"/>
      <c r="D60" s="236"/>
      <c r="E60" s="236"/>
      <c r="F60" s="237"/>
      <c r="G60" s="237"/>
      <c r="H60" s="237"/>
      <c r="I60" s="237"/>
      <c r="J60" s="237"/>
      <c r="K60" s="237"/>
      <c r="L60" s="237"/>
      <c r="M60" s="237"/>
      <c r="N60" s="236"/>
      <c r="O60" s="236"/>
      <c r="P60" s="236"/>
      <c r="Q60" s="236"/>
      <c r="R60" s="236"/>
      <c r="S60" s="236"/>
      <c r="T60" s="236"/>
      <c r="U60" s="236"/>
      <c r="V60" s="236"/>
      <c r="W60" s="236"/>
      <c r="X60" s="236"/>
      <c r="Y60" s="236"/>
      <c r="Z60" s="236"/>
      <c r="AA60" s="236"/>
      <c r="AB60" s="236"/>
      <c r="AC60" s="236"/>
      <c r="AD60" s="236"/>
    </row>
    <row r="61" spans="1:30" s="238" customFormat="1" ht="18" customHeight="1">
      <c r="A61" s="236"/>
      <c r="B61" s="216" t="s">
        <v>279</v>
      </c>
      <c r="C61" s="236"/>
      <c r="D61" s="236"/>
      <c r="E61" s="236"/>
      <c r="F61" s="237"/>
      <c r="G61" s="237"/>
      <c r="H61" s="237"/>
      <c r="I61" s="237"/>
      <c r="J61" s="237"/>
      <c r="K61" s="237"/>
      <c r="L61" s="237"/>
      <c r="M61" s="237"/>
      <c r="N61" s="236"/>
      <c r="O61" s="236"/>
      <c r="P61" s="236"/>
      <c r="Q61" s="236"/>
      <c r="R61" s="236"/>
      <c r="S61" s="236"/>
      <c r="T61" s="236"/>
      <c r="U61" s="236"/>
      <c r="V61" s="236"/>
      <c r="W61" s="236"/>
      <c r="X61" s="236"/>
      <c r="Y61" s="236"/>
      <c r="Z61" s="236"/>
      <c r="AA61" s="236"/>
      <c r="AB61" s="236"/>
      <c r="AC61" s="236"/>
      <c r="AD61" s="236"/>
    </row>
    <row r="62" spans="1:30">
      <c r="B62" s="42"/>
    </row>
  </sheetData>
  <sheetProtection password="CACA" sheet="1" objects="1" scenarios="1"/>
  <mergeCells count="1">
    <mergeCell ref="A1:B1"/>
  </mergeCells>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73" orientation="portrait" r:id="rId1"/>
  <headerFooter alignWithMargins="0"/>
  <ignoredErrors>
    <ignoredError sqref="C5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8" customWidth="1"/>
    <col min="2" max="2" width="105.140625" style="8" customWidth="1"/>
    <col min="3" max="3" width="19.7109375" style="41" customWidth="1"/>
    <col min="4" max="4" width="10.28515625" style="69" bestFit="1" customWidth="1"/>
    <col min="5" max="5" width="19.42578125" style="70" bestFit="1" customWidth="1"/>
    <col min="6" max="6" width="9.28515625" style="69" bestFit="1" customWidth="1"/>
    <col min="7" max="7" width="9.140625" style="69"/>
    <col min="8" max="8" width="17.42578125" style="69" bestFit="1" customWidth="1"/>
    <col min="9" max="16384" width="9.140625" style="8"/>
  </cols>
  <sheetData>
    <row r="1" spans="1:8" ht="23.25" customHeight="1">
      <c r="A1" s="256" t="s">
        <v>126</v>
      </c>
      <c r="B1" s="257"/>
      <c r="C1" s="7" t="s">
        <v>125</v>
      </c>
    </row>
    <row r="2" spans="1:8">
      <c r="A2" s="43"/>
      <c r="B2" s="43"/>
      <c r="C2" s="43"/>
    </row>
    <row r="3" spans="1:8" ht="15.75">
      <c r="A3" s="9"/>
      <c r="B3" s="58" t="e">
        <f>#REF!</f>
        <v>#REF!</v>
      </c>
      <c r="C3" s="57" t="e">
        <f>+#REF!</f>
        <v>#REF!</v>
      </c>
    </row>
    <row r="4" spans="1:8" s="10" customFormat="1" ht="43.5" customHeight="1">
      <c r="A4" s="67" t="s">
        <v>52</v>
      </c>
      <c r="B4" s="67" t="s">
        <v>25</v>
      </c>
      <c r="C4" s="67" t="s">
        <v>2</v>
      </c>
      <c r="D4" s="71"/>
      <c r="E4" s="72"/>
      <c r="F4" s="71"/>
      <c r="G4" s="71"/>
      <c r="H4" s="71"/>
    </row>
    <row r="5" spans="1:8" ht="12.75" customHeight="1">
      <c r="A5" s="60" t="s">
        <v>30</v>
      </c>
      <c r="B5" s="12" t="s">
        <v>82</v>
      </c>
      <c r="C5" s="13"/>
    </row>
    <row r="6" spans="1:8" ht="12.75" customHeight="1">
      <c r="A6" s="11">
        <v>1</v>
      </c>
      <c r="B6" s="12" t="s">
        <v>83</v>
      </c>
      <c r="C6" s="14"/>
    </row>
    <row r="7" spans="1:8" s="21" customFormat="1" ht="18" customHeight="1">
      <c r="A7" s="18" t="s">
        <v>86</v>
      </c>
      <c r="B7" s="19" t="s">
        <v>84</v>
      </c>
      <c r="C7" s="49" t="s">
        <v>81</v>
      </c>
      <c r="D7" s="73"/>
      <c r="E7" s="54"/>
      <c r="F7" s="73"/>
      <c r="G7" s="73"/>
      <c r="H7" s="73"/>
    </row>
    <row r="8" spans="1:8" s="10" customFormat="1" ht="18" customHeight="1">
      <c r="A8" s="28" t="s">
        <v>31</v>
      </c>
      <c r="B8" s="65" t="s">
        <v>32</v>
      </c>
      <c r="C8" s="44"/>
      <c r="D8" s="71"/>
      <c r="E8" s="72"/>
      <c r="F8" s="71"/>
      <c r="G8" s="71"/>
      <c r="H8" s="71"/>
    </row>
    <row r="9" spans="1:8" s="10" customFormat="1" ht="18" customHeight="1">
      <c r="A9" s="28" t="s">
        <v>33</v>
      </c>
      <c r="B9" s="65" t="s">
        <v>34</v>
      </c>
      <c r="C9" s="45"/>
      <c r="D9" s="71"/>
      <c r="E9" s="72"/>
      <c r="F9" s="71"/>
      <c r="G9" s="71"/>
      <c r="H9" s="71"/>
    </row>
    <row r="10" spans="1:8" s="21" customFormat="1" ht="18" customHeight="1">
      <c r="A10" s="18" t="s">
        <v>87</v>
      </c>
      <c r="B10" s="19" t="s">
        <v>85</v>
      </c>
      <c r="C10" s="51">
        <v>0</v>
      </c>
      <c r="D10" s="73"/>
      <c r="E10" s="54"/>
      <c r="F10" s="73"/>
      <c r="G10" s="73"/>
      <c r="H10" s="73"/>
    </row>
    <row r="11" spans="1:8" s="10" customFormat="1" ht="18" customHeight="1">
      <c r="A11" s="28" t="s">
        <v>88</v>
      </c>
      <c r="B11" s="65" t="s">
        <v>89</v>
      </c>
      <c r="C11" s="49" t="s">
        <v>81</v>
      </c>
      <c r="D11" s="71"/>
      <c r="E11" s="72"/>
      <c r="F11" s="71"/>
      <c r="G11" s="71"/>
      <c r="H11" s="71"/>
    </row>
    <row r="12" spans="1:8" s="10" customFormat="1" ht="18" customHeight="1">
      <c r="A12" s="28" t="s">
        <v>37</v>
      </c>
      <c r="B12" s="65" t="s">
        <v>40</v>
      </c>
      <c r="C12" s="53"/>
      <c r="D12" s="71"/>
      <c r="E12" s="72"/>
      <c r="F12" s="71"/>
      <c r="G12" s="71"/>
      <c r="H12" s="71"/>
    </row>
    <row r="13" spans="1:8" s="10" customFormat="1" ht="18" customHeight="1">
      <c r="A13" s="23" t="s">
        <v>33</v>
      </c>
      <c r="B13" s="66" t="s">
        <v>41</v>
      </c>
      <c r="C13" s="53"/>
      <c r="D13" s="71"/>
      <c r="E13" s="72"/>
      <c r="F13" s="71"/>
      <c r="G13" s="71"/>
      <c r="H13" s="71"/>
    </row>
    <row r="14" spans="1:8" s="21" customFormat="1" ht="18" customHeight="1">
      <c r="A14" s="33" t="s">
        <v>35</v>
      </c>
      <c r="B14" s="63" t="s">
        <v>90</v>
      </c>
      <c r="C14" s="50"/>
      <c r="D14" s="73"/>
      <c r="E14" s="54"/>
      <c r="F14" s="73"/>
      <c r="G14" s="73"/>
      <c r="H14" s="73"/>
    </row>
    <row r="15" spans="1:8" s="21" customFormat="1" ht="18" customHeight="1">
      <c r="A15" s="33" t="s">
        <v>42</v>
      </c>
      <c r="B15" s="63" t="s">
        <v>91</v>
      </c>
      <c r="C15" s="50"/>
      <c r="D15" s="73"/>
      <c r="E15" s="54"/>
      <c r="F15" s="73"/>
      <c r="G15" s="73"/>
      <c r="H15" s="73"/>
    </row>
    <row r="16" spans="1:8" s="10" customFormat="1" ht="18" customHeight="1">
      <c r="A16" s="23" t="s">
        <v>92</v>
      </c>
      <c r="B16" s="66" t="s">
        <v>43</v>
      </c>
      <c r="C16" s="51"/>
      <c r="D16" s="71"/>
      <c r="E16" s="72"/>
      <c r="F16" s="71"/>
      <c r="G16" s="71"/>
      <c r="H16" s="71"/>
    </row>
    <row r="17" spans="1:8" s="10" customFormat="1" ht="18" customHeight="1">
      <c r="A17" s="23" t="s">
        <v>93</v>
      </c>
      <c r="B17" s="66" t="s">
        <v>3</v>
      </c>
      <c r="C17" s="51"/>
      <c r="D17" s="71"/>
      <c r="E17" s="72"/>
      <c r="F17" s="71"/>
      <c r="G17" s="71"/>
      <c r="H17" s="71"/>
    </row>
    <row r="18" spans="1:8" s="10" customFormat="1" ht="18" customHeight="1">
      <c r="A18" s="23"/>
      <c r="B18" s="66" t="s">
        <v>94</v>
      </c>
      <c r="C18" s="49" t="s">
        <v>81</v>
      </c>
      <c r="D18" s="71"/>
      <c r="E18" s="72"/>
      <c r="F18" s="71"/>
      <c r="G18" s="71"/>
      <c r="H18" s="71"/>
    </row>
    <row r="19" spans="1:8" s="10" customFormat="1" ht="18" customHeight="1">
      <c r="A19" s="23" t="s">
        <v>122</v>
      </c>
      <c r="B19" s="66" t="s">
        <v>95</v>
      </c>
      <c r="C19" s="49" t="s">
        <v>81</v>
      </c>
      <c r="D19" s="71"/>
      <c r="E19" s="72"/>
      <c r="F19" s="71"/>
      <c r="G19" s="71"/>
      <c r="H19" s="71"/>
    </row>
    <row r="20" spans="1:8" s="21" customFormat="1" ht="18" customHeight="1">
      <c r="A20" s="59" t="s">
        <v>37</v>
      </c>
      <c r="B20" s="104" t="s">
        <v>45</v>
      </c>
      <c r="C20" s="50"/>
      <c r="D20" s="73"/>
      <c r="E20" s="54"/>
      <c r="F20" s="73"/>
      <c r="G20" s="73"/>
      <c r="H20" s="73"/>
    </row>
    <row r="21" spans="1:8" s="20" customFormat="1" ht="25.5">
      <c r="A21" s="59" t="s">
        <v>33</v>
      </c>
      <c r="B21" s="63" t="s">
        <v>12</v>
      </c>
      <c r="C21" s="50"/>
      <c r="D21" s="73"/>
      <c r="E21" s="54"/>
      <c r="F21" s="73"/>
      <c r="G21" s="73"/>
      <c r="H21" s="73"/>
    </row>
    <row r="22" spans="1:8" s="21" customFormat="1" ht="18" customHeight="1">
      <c r="A22" s="59" t="s">
        <v>35</v>
      </c>
      <c r="B22" s="63" t="s">
        <v>4</v>
      </c>
      <c r="C22" s="50"/>
      <c r="D22" s="73"/>
      <c r="E22" s="54"/>
      <c r="F22" s="73"/>
      <c r="G22" s="73"/>
      <c r="H22" s="73"/>
    </row>
    <row r="23" spans="1:8" s="21" customFormat="1" ht="15" customHeight="1">
      <c r="A23" s="18" t="s">
        <v>96</v>
      </c>
      <c r="B23" s="19" t="s">
        <v>97</v>
      </c>
      <c r="C23" s="49" t="s">
        <v>81</v>
      </c>
      <c r="D23" s="73"/>
      <c r="E23" s="54"/>
      <c r="F23" s="73"/>
      <c r="G23" s="73"/>
      <c r="H23" s="73"/>
    </row>
    <row r="24" spans="1:8" ht="16.5" customHeight="1">
      <c r="A24" s="15">
        <v>2</v>
      </c>
      <c r="B24" s="22" t="s">
        <v>98</v>
      </c>
      <c r="C24" s="16"/>
    </row>
    <row r="25" spans="1:8" s="21" customFormat="1" ht="18" customHeight="1">
      <c r="A25" s="33" t="s">
        <v>99</v>
      </c>
      <c r="B25" s="63" t="s">
        <v>36</v>
      </c>
      <c r="C25" s="61">
        <f>+C26+C27</f>
        <v>0</v>
      </c>
      <c r="D25" s="73"/>
      <c r="E25" s="54"/>
      <c r="F25" s="73"/>
      <c r="G25" s="73"/>
      <c r="H25" s="73"/>
    </row>
    <row r="26" spans="1:8" s="21" customFormat="1" ht="18" customHeight="1">
      <c r="A26" s="33" t="s">
        <v>37</v>
      </c>
      <c r="B26" s="63" t="s">
        <v>38</v>
      </c>
      <c r="C26" s="50"/>
      <c r="D26" s="73"/>
      <c r="E26" s="54"/>
      <c r="F26" s="73"/>
      <c r="G26" s="73"/>
      <c r="H26" s="73"/>
    </row>
    <row r="27" spans="1:8" s="21" customFormat="1" ht="18" customHeight="1">
      <c r="A27" s="33" t="s">
        <v>33</v>
      </c>
      <c r="B27" s="63" t="s">
        <v>39</v>
      </c>
      <c r="C27" s="50"/>
      <c r="D27" s="73"/>
      <c r="E27" s="54"/>
      <c r="F27" s="73"/>
      <c r="G27" s="73"/>
      <c r="H27" s="73"/>
    </row>
    <row r="28" spans="1:8" s="21" customFormat="1" ht="18" customHeight="1">
      <c r="A28" s="33" t="s">
        <v>100</v>
      </c>
      <c r="B28" s="63" t="s">
        <v>101</v>
      </c>
      <c r="C28" s="50">
        <v>0</v>
      </c>
      <c r="D28" s="73"/>
      <c r="E28" s="54"/>
      <c r="F28" s="73"/>
      <c r="G28" s="73"/>
      <c r="H28" s="73"/>
    </row>
    <row r="29" spans="1:8">
      <c r="A29" s="23" t="s">
        <v>102</v>
      </c>
      <c r="B29" s="64" t="s">
        <v>103</v>
      </c>
      <c r="C29" s="46">
        <v>0</v>
      </c>
    </row>
    <row r="30" spans="1:8" s="21" customFormat="1" ht="29.25" customHeight="1">
      <c r="A30" s="33" t="s">
        <v>104</v>
      </c>
      <c r="B30" s="63" t="s">
        <v>11</v>
      </c>
      <c r="C30" s="50">
        <v>0</v>
      </c>
      <c r="D30" s="73"/>
      <c r="E30" s="54"/>
      <c r="F30" s="73"/>
      <c r="G30" s="73"/>
      <c r="H30" s="73"/>
    </row>
    <row r="31" spans="1:8" s="25" customFormat="1">
      <c r="A31" s="24" t="s">
        <v>44</v>
      </c>
      <c r="B31" s="55" t="s">
        <v>105</v>
      </c>
      <c r="C31" s="52">
        <f>+C25+C28+C29+C30</f>
        <v>0</v>
      </c>
      <c r="D31" s="74"/>
      <c r="E31" s="75"/>
      <c r="F31" s="76"/>
      <c r="G31" s="76"/>
      <c r="H31" s="76"/>
    </row>
    <row r="32" spans="1:8" s="25" customFormat="1" ht="16.5" customHeight="1">
      <c r="A32" s="24" t="s">
        <v>46</v>
      </c>
      <c r="B32" s="68" t="s">
        <v>106</v>
      </c>
      <c r="C32" s="49" t="s">
        <v>81</v>
      </c>
      <c r="D32" s="76"/>
      <c r="E32" s="75"/>
      <c r="F32" s="76"/>
      <c r="G32" s="76"/>
      <c r="H32" s="76"/>
    </row>
    <row r="33" spans="1:8" s="27" customFormat="1" ht="13.5" customHeight="1">
      <c r="A33" s="26"/>
      <c r="B33" s="26" t="s">
        <v>48</v>
      </c>
      <c r="C33" s="17"/>
      <c r="D33" s="77"/>
      <c r="E33" s="78"/>
      <c r="F33" s="77"/>
      <c r="G33" s="77"/>
      <c r="H33" s="79"/>
    </row>
    <row r="34" spans="1:8" s="21" customFormat="1" ht="18" customHeight="1">
      <c r="A34" s="33" t="s">
        <v>107</v>
      </c>
      <c r="B34" s="103" t="s">
        <v>127</v>
      </c>
      <c r="C34" s="50"/>
      <c r="D34" s="73"/>
      <c r="E34" s="54"/>
      <c r="F34" s="73"/>
      <c r="G34" s="73"/>
      <c r="H34" s="73"/>
    </row>
    <row r="35" spans="1:8" s="21" customFormat="1" ht="25.5">
      <c r="A35" s="33" t="s">
        <v>108</v>
      </c>
      <c r="B35" s="63" t="s">
        <v>13</v>
      </c>
      <c r="C35" s="93" t="e">
        <f>IF(#REF!&lt;(C43*1.25%),#REF!,(C43*1.25%))</f>
        <v>#REF!</v>
      </c>
      <c r="D35" s="73"/>
      <c r="E35" s="54"/>
      <c r="F35" s="73"/>
      <c r="G35" s="73"/>
      <c r="H35" s="73"/>
    </row>
    <row r="36" spans="1:8" s="21" customFormat="1" ht="18" customHeight="1">
      <c r="A36" s="33" t="s">
        <v>109</v>
      </c>
      <c r="B36" s="63" t="s">
        <v>5</v>
      </c>
      <c r="C36" s="50"/>
      <c r="D36" s="73"/>
      <c r="E36" s="54"/>
      <c r="F36" s="73"/>
      <c r="G36" s="73"/>
      <c r="H36" s="73"/>
    </row>
    <row r="37" spans="1:8" s="21" customFormat="1" ht="18" customHeight="1">
      <c r="A37" s="33" t="s">
        <v>110</v>
      </c>
      <c r="B37" s="63" t="s">
        <v>111</v>
      </c>
      <c r="C37" s="50"/>
      <c r="D37" s="73"/>
      <c r="E37" s="54"/>
      <c r="F37" s="73"/>
      <c r="G37" s="73"/>
      <c r="H37" s="73"/>
    </row>
    <row r="38" spans="1:8" s="21" customFormat="1" ht="18" customHeight="1">
      <c r="A38" s="33" t="s">
        <v>112</v>
      </c>
      <c r="B38" s="63" t="s">
        <v>6</v>
      </c>
      <c r="C38" s="50"/>
      <c r="D38" s="73"/>
      <c r="E38" s="54"/>
      <c r="F38" s="73"/>
      <c r="G38" s="73"/>
      <c r="H38" s="73"/>
    </row>
    <row r="39" spans="1:8" s="21" customFormat="1" ht="18" customHeight="1">
      <c r="A39" s="33" t="s">
        <v>113</v>
      </c>
      <c r="B39" s="63" t="s">
        <v>49</v>
      </c>
      <c r="C39" s="49" t="s">
        <v>81</v>
      </c>
      <c r="D39" s="73"/>
      <c r="E39" s="54"/>
      <c r="F39" s="73"/>
      <c r="G39" s="73"/>
      <c r="H39" s="73"/>
    </row>
    <row r="40" spans="1:8" ht="18.75" customHeight="1">
      <c r="A40" s="28"/>
      <c r="B40" s="29" t="s">
        <v>18</v>
      </c>
      <c r="C40" s="17" t="e">
        <f>SUM(C34:C38)</f>
        <v>#REF!</v>
      </c>
      <c r="D40" s="74"/>
    </row>
    <row r="41" spans="1:8" s="10" customFormat="1" ht="22.5" customHeight="1">
      <c r="A41" s="47" t="s">
        <v>47</v>
      </c>
      <c r="B41" s="30" t="s">
        <v>19</v>
      </c>
      <c r="C41" s="49" t="s">
        <v>81</v>
      </c>
      <c r="D41" s="80"/>
      <c r="E41" s="72"/>
      <c r="F41" s="71"/>
      <c r="G41" s="71"/>
      <c r="H41" s="71"/>
    </row>
    <row r="42" spans="1:8" s="10" customFormat="1" ht="15.75" customHeight="1">
      <c r="A42" s="26" t="s">
        <v>50</v>
      </c>
      <c r="B42" s="30" t="s">
        <v>114</v>
      </c>
      <c r="C42" s="49" t="s">
        <v>81</v>
      </c>
      <c r="D42" s="80"/>
      <c r="E42" s="72"/>
      <c r="F42" s="71"/>
      <c r="G42" s="71"/>
      <c r="H42" s="71"/>
    </row>
    <row r="43" spans="1:8" s="10" customFormat="1" ht="21.75" customHeight="1">
      <c r="A43" s="26" t="s">
        <v>9</v>
      </c>
      <c r="B43" s="19" t="s">
        <v>115</v>
      </c>
      <c r="C43" s="31">
        <f>+C44+C45+C46</f>
        <v>15578589455.523077</v>
      </c>
      <c r="D43" s="71"/>
      <c r="E43" s="72"/>
      <c r="F43" s="71"/>
      <c r="G43" s="71"/>
      <c r="H43" s="71"/>
    </row>
    <row r="44" spans="1:8" s="21" customFormat="1" ht="18" customHeight="1">
      <c r="A44" s="33" t="s">
        <v>37</v>
      </c>
      <c r="B44" s="63" t="s">
        <v>14</v>
      </c>
      <c r="C44" s="61">
        <f>+'Calculation of Risk Weighted As'!I73</f>
        <v>14764486638.6</v>
      </c>
      <c r="D44" s="73"/>
      <c r="E44" s="54"/>
      <c r="F44" s="73"/>
      <c r="G44" s="73"/>
      <c r="H44" s="73"/>
    </row>
    <row r="45" spans="1:8" s="21" customFormat="1" ht="18" customHeight="1">
      <c r="A45" s="33" t="s">
        <v>33</v>
      </c>
      <c r="B45" s="63" t="s">
        <v>7</v>
      </c>
      <c r="C45" s="61">
        <f>+'Calculation of Risk'!C21</f>
        <v>621025473.07692301</v>
      </c>
      <c r="D45" s="73"/>
      <c r="E45" s="54"/>
      <c r="F45" s="73"/>
      <c r="G45" s="73"/>
      <c r="H45" s="73"/>
    </row>
    <row r="46" spans="1:8" s="21" customFormat="1" ht="18" customHeight="1">
      <c r="A46" s="33" t="s">
        <v>35</v>
      </c>
      <c r="B46" s="63" t="s">
        <v>8</v>
      </c>
      <c r="C46" s="61">
        <f>+'Calculation of Risk'!C27</f>
        <v>193077343.84615389</v>
      </c>
      <c r="D46" s="73"/>
      <c r="E46" s="54">
        <f>+'Calculation of Risk'!G12</f>
        <v>0</v>
      </c>
      <c r="F46" s="73"/>
      <c r="G46" s="73"/>
      <c r="H46" s="73"/>
    </row>
    <row r="47" spans="1:8" s="27" customFormat="1" ht="21.75" customHeight="1">
      <c r="A47" s="47" t="s">
        <v>10</v>
      </c>
      <c r="B47" s="48" t="s">
        <v>116</v>
      </c>
      <c r="C47" s="49" t="s">
        <v>81</v>
      </c>
      <c r="D47" s="77"/>
      <c r="E47" s="78"/>
      <c r="F47" s="77"/>
      <c r="G47" s="77"/>
      <c r="H47" s="77"/>
    </row>
    <row r="48" spans="1:8" s="27" customFormat="1" ht="21.75" customHeight="1">
      <c r="A48" s="47" t="s">
        <v>51</v>
      </c>
      <c r="B48" s="48" t="s">
        <v>117</v>
      </c>
      <c r="C48" s="49" t="s">
        <v>81</v>
      </c>
      <c r="D48" s="77"/>
      <c r="E48" s="78"/>
      <c r="F48" s="77"/>
      <c r="G48" s="77"/>
      <c r="H48" s="77"/>
    </row>
    <row r="49" spans="1:8" s="27" customFormat="1" ht="21.75" customHeight="1">
      <c r="A49" s="47" t="s">
        <v>20</v>
      </c>
      <c r="B49" s="48" t="s">
        <v>118</v>
      </c>
      <c r="C49" s="49" t="s">
        <v>81</v>
      </c>
      <c r="D49" s="77"/>
      <c r="E49" s="78"/>
      <c r="F49" s="77"/>
      <c r="G49" s="77"/>
      <c r="H49" s="77"/>
    </row>
    <row r="50" spans="1:8" s="32" customFormat="1" ht="21.75" customHeight="1">
      <c r="A50" s="26" t="s">
        <v>21</v>
      </c>
      <c r="B50" s="19" t="s">
        <v>17</v>
      </c>
      <c r="C50" s="49" t="s">
        <v>81</v>
      </c>
      <c r="D50" s="81"/>
      <c r="E50" s="82"/>
      <c r="F50" s="83"/>
      <c r="G50" s="81"/>
      <c r="H50" s="81"/>
    </row>
    <row r="51" spans="1:8" s="36" customFormat="1" ht="21.75" customHeight="1">
      <c r="A51" s="33" t="s">
        <v>37</v>
      </c>
      <c r="B51" s="34" t="s">
        <v>23</v>
      </c>
      <c r="C51" s="35" t="e">
        <f>+#REF!</f>
        <v>#REF!</v>
      </c>
      <c r="D51" s="84"/>
      <c r="E51" s="85"/>
      <c r="F51" s="86"/>
      <c r="G51" s="84"/>
      <c r="H51" s="84"/>
    </row>
    <row r="52" spans="1:8" s="36" customFormat="1" ht="21.75" customHeight="1">
      <c r="A52" s="33" t="s">
        <v>33</v>
      </c>
      <c r="B52" s="34" t="s">
        <v>119</v>
      </c>
      <c r="C52" s="90">
        <f>SUM('Calculation of Risk Weighted As'!E53:H61)</f>
        <v>2585758312</v>
      </c>
      <c r="D52" s="86">
        <f>+'Calculation of Risk Weighted As'!I73</f>
        <v>14764486638.6</v>
      </c>
      <c r="E52" s="85"/>
      <c r="F52" s="86"/>
      <c r="G52" s="84"/>
      <c r="H52" s="84"/>
    </row>
    <row r="53" spans="1:8" s="39" customFormat="1" ht="21.75" customHeight="1">
      <c r="A53" s="37" t="s">
        <v>35</v>
      </c>
      <c r="B53" s="38" t="s">
        <v>120</v>
      </c>
      <c r="C53" s="92">
        <f>SUM('Calculation of Risk Weighted As'!I64:I70)</f>
        <v>1855069.5</v>
      </c>
      <c r="D53" s="89"/>
      <c r="E53" s="91"/>
      <c r="F53" s="87"/>
      <c r="G53" s="87"/>
      <c r="H53" s="87"/>
    </row>
    <row r="54" spans="1:8" s="39" customFormat="1" ht="21.75" customHeight="1">
      <c r="A54" s="37" t="s">
        <v>42</v>
      </c>
      <c r="B54" s="38" t="s">
        <v>121</v>
      </c>
      <c r="C54" s="56" t="str">
        <f>+C19</f>
        <v>Формула</v>
      </c>
      <c r="D54" s="87"/>
      <c r="E54" s="88"/>
      <c r="F54" s="87"/>
      <c r="G54" s="87"/>
      <c r="H54" s="87"/>
    </row>
    <row r="55" spans="1:8" s="27" customFormat="1" ht="21.75" customHeight="1">
      <c r="A55" s="47" t="s">
        <v>22</v>
      </c>
      <c r="B55" s="48" t="s">
        <v>24</v>
      </c>
      <c r="C55" s="49" t="s">
        <v>81</v>
      </c>
      <c r="D55" s="77"/>
      <c r="E55" s="78"/>
      <c r="F55" s="77"/>
      <c r="G55" s="77"/>
      <c r="H55" s="77"/>
    </row>
    <row r="56" spans="1:8">
      <c r="B56" s="40"/>
    </row>
    <row r="57" spans="1:8" s="1" customFormat="1">
      <c r="A57" s="3"/>
      <c r="B57" s="2" t="s">
        <v>0</v>
      </c>
      <c r="D57" s="6"/>
      <c r="E57" s="6"/>
      <c r="F57" s="6"/>
      <c r="G57" s="6"/>
      <c r="H57" s="6"/>
    </row>
    <row r="58" spans="1:8" s="1" customFormat="1">
      <c r="A58" s="3"/>
      <c r="B58" s="2"/>
      <c r="D58" s="6"/>
      <c r="E58" s="6"/>
      <c r="F58" s="6"/>
      <c r="G58" s="6"/>
      <c r="H58" s="6"/>
    </row>
    <row r="59" spans="1:8" s="1" customFormat="1">
      <c r="A59" s="3"/>
      <c r="B59" s="2" t="s">
        <v>1</v>
      </c>
      <c r="D59" s="6"/>
      <c r="E59" s="6"/>
      <c r="F59" s="6"/>
      <c r="G59" s="6"/>
      <c r="H59" s="6"/>
    </row>
    <row r="60" spans="1:8">
      <c r="B60" s="4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XFC77"/>
  <sheetViews>
    <sheetView view="pageBreakPreview" zoomScaleNormal="85" zoomScaleSheetLayoutView="100" workbookViewId="0">
      <pane xSplit="2" ySplit="7" topLeftCell="C17" activePane="bottomRight" state="frozen"/>
      <selection activeCell="K40" sqref="K40"/>
      <selection pane="topRight" activeCell="K40" sqref="K40"/>
      <selection pane="bottomLeft" activeCell="K40" sqref="K40"/>
      <selection pane="bottomRight" activeCell="I40" sqref="I40"/>
    </sheetView>
  </sheetViews>
  <sheetFormatPr defaultRowHeight="12.75"/>
  <cols>
    <col min="1" max="1" width="5.42578125" style="106" customWidth="1"/>
    <col min="2" max="2" width="67" style="102" customWidth="1"/>
    <col min="3" max="3" width="12.5703125" style="102" customWidth="1"/>
    <col min="4" max="5" width="14.7109375" style="102" customWidth="1"/>
    <col min="6" max="8" width="15.28515625" style="102" customWidth="1"/>
    <col min="9" max="9" width="18.140625" style="126" customWidth="1"/>
    <col min="10" max="11" width="16.42578125" style="102" customWidth="1"/>
    <col min="12" max="12" width="16" style="102" customWidth="1"/>
    <col min="13" max="15" width="10.28515625" style="102" customWidth="1"/>
    <col min="16" max="16384" width="9.140625" style="102"/>
  </cols>
  <sheetData>
    <row r="1" spans="1:11" ht="26.25" customHeight="1">
      <c r="A1" s="258" t="s">
        <v>186</v>
      </c>
      <c r="B1" s="258"/>
      <c r="C1" s="258"/>
      <c r="D1" s="258"/>
      <c r="E1" s="258"/>
      <c r="F1" s="258"/>
      <c r="G1" s="258"/>
      <c r="H1" s="258"/>
      <c r="I1" s="191" t="s">
        <v>185</v>
      </c>
    </row>
    <row r="2" spans="1:11" ht="25.5" customHeight="1" thickBot="1">
      <c r="B2" s="107" t="str">
        <f>+'Bank Capital Calc'!B3</f>
        <v>"Алоқабанк"</v>
      </c>
      <c r="D2" s="105"/>
      <c r="E2" s="105"/>
      <c r="G2" s="269">
        <f>+'Bank Capital Calc'!C3</f>
        <v>44926</v>
      </c>
      <c r="H2" s="269"/>
      <c r="I2" s="192" t="s">
        <v>271</v>
      </c>
      <c r="J2" s="126"/>
    </row>
    <row r="3" spans="1:11">
      <c r="A3" s="261" t="s">
        <v>52</v>
      </c>
      <c r="B3" s="263" t="s">
        <v>131</v>
      </c>
      <c r="C3" s="193">
        <v>0</v>
      </c>
      <c r="D3" s="193">
        <v>0.2</v>
      </c>
      <c r="E3" s="193">
        <v>0.35</v>
      </c>
      <c r="F3" s="193">
        <v>0.5</v>
      </c>
      <c r="G3" s="193">
        <v>1</v>
      </c>
      <c r="H3" s="193">
        <v>1.5</v>
      </c>
      <c r="I3" s="194">
        <v>2</v>
      </c>
      <c r="J3" s="250"/>
      <c r="K3" s="126"/>
    </row>
    <row r="4" spans="1:11" ht="20.25" customHeight="1">
      <c r="A4" s="262"/>
      <c r="B4" s="264"/>
      <c r="C4" s="248" t="s">
        <v>187</v>
      </c>
      <c r="D4" s="248" t="s">
        <v>187</v>
      </c>
      <c r="E4" s="248" t="s">
        <v>187</v>
      </c>
      <c r="F4" s="248" t="s">
        <v>187</v>
      </c>
      <c r="G4" s="248" t="s">
        <v>187</v>
      </c>
      <c r="H4" s="248" t="s">
        <v>187</v>
      </c>
      <c r="I4" s="195" t="s">
        <v>187</v>
      </c>
      <c r="K4" s="126"/>
    </row>
    <row r="5" spans="1:11" ht="20.25" customHeight="1">
      <c r="A5" s="262"/>
      <c r="B5" s="264"/>
      <c r="C5" s="248" t="s">
        <v>188</v>
      </c>
      <c r="D5" s="248" t="s">
        <v>189</v>
      </c>
      <c r="E5" s="248" t="s">
        <v>190</v>
      </c>
      <c r="F5" s="248" t="s">
        <v>191</v>
      </c>
      <c r="G5" s="248" t="s">
        <v>192</v>
      </c>
      <c r="H5" s="248" t="s">
        <v>193</v>
      </c>
      <c r="I5" s="195" t="s">
        <v>194</v>
      </c>
      <c r="K5" s="126"/>
    </row>
    <row r="6" spans="1:11">
      <c r="A6" s="247"/>
      <c r="B6" s="128" t="s">
        <v>26</v>
      </c>
      <c r="C6" s="128" t="s">
        <v>27</v>
      </c>
      <c r="D6" s="128" t="s">
        <v>28</v>
      </c>
      <c r="E6" s="128" t="s">
        <v>29</v>
      </c>
      <c r="F6" s="128" t="s">
        <v>53</v>
      </c>
      <c r="G6" s="128" t="s">
        <v>54</v>
      </c>
      <c r="H6" s="128" t="s">
        <v>57</v>
      </c>
      <c r="I6" s="133" t="s">
        <v>64</v>
      </c>
      <c r="K6" s="126"/>
    </row>
    <row r="7" spans="1:11">
      <c r="A7" s="247"/>
      <c r="B7" s="196" t="s">
        <v>195</v>
      </c>
      <c r="C7" s="108"/>
      <c r="D7" s="108"/>
      <c r="E7" s="108"/>
      <c r="F7" s="108"/>
      <c r="G7" s="108"/>
      <c r="H7" s="108"/>
      <c r="I7" s="134"/>
      <c r="K7" s="126"/>
    </row>
    <row r="8" spans="1:11" s="98" customFormat="1">
      <c r="A8" s="247" t="s">
        <v>55</v>
      </c>
      <c r="B8" s="197" t="s">
        <v>196</v>
      </c>
      <c r="C8" s="4">
        <v>465425696</v>
      </c>
      <c r="D8" s="95"/>
      <c r="E8" s="95"/>
      <c r="F8" s="95"/>
      <c r="G8" s="95"/>
      <c r="H8" s="95"/>
      <c r="I8" s="100"/>
      <c r="J8" s="251"/>
      <c r="K8" s="109"/>
    </row>
    <row r="9" spans="1:11" s="98" customFormat="1">
      <c r="A9" s="247" t="s">
        <v>65</v>
      </c>
      <c r="B9" s="197" t="s">
        <v>197</v>
      </c>
      <c r="C9" s="95"/>
      <c r="D9" s="4">
        <v>18515682</v>
      </c>
      <c r="E9" s="95"/>
      <c r="F9" s="95"/>
      <c r="G9" s="95"/>
      <c r="H9" s="95"/>
      <c r="I9" s="100"/>
      <c r="J9" s="251"/>
      <c r="K9" s="109"/>
    </row>
    <row r="10" spans="1:11" s="98" customFormat="1">
      <c r="A10" s="247" t="s">
        <v>66</v>
      </c>
      <c r="B10" s="197" t="s">
        <v>198</v>
      </c>
      <c r="C10" s="4">
        <v>1355760159</v>
      </c>
      <c r="D10" s="4">
        <v>265155239</v>
      </c>
      <c r="E10" s="95"/>
      <c r="F10" s="95"/>
      <c r="G10" s="95"/>
      <c r="H10" s="95"/>
      <c r="I10" s="100"/>
      <c r="J10" s="251"/>
      <c r="K10" s="109"/>
    </row>
    <row r="11" spans="1:11" s="98" customFormat="1" ht="25.5">
      <c r="A11" s="247" t="s">
        <v>67</v>
      </c>
      <c r="B11" s="197" t="s">
        <v>286</v>
      </c>
      <c r="C11" s="95"/>
      <c r="D11" s="4">
        <v>149857095</v>
      </c>
      <c r="E11" s="95"/>
      <c r="F11" s="4">
        <v>1462389386</v>
      </c>
      <c r="G11" s="4">
        <v>960000</v>
      </c>
      <c r="H11" s="4"/>
      <c r="I11" s="100"/>
      <c r="J11" s="251"/>
      <c r="K11" s="109"/>
    </row>
    <row r="12" spans="1:11" s="98" customFormat="1">
      <c r="A12" s="247" t="s">
        <v>68</v>
      </c>
      <c r="B12" s="197" t="s">
        <v>199</v>
      </c>
      <c r="C12" s="95"/>
      <c r="D12" s="95"/>
      <c r="E12" s="95"/>
      <c r="F12" s="95"/>
      <c r="G12" s="95"/>
      <c r="H12" s="95"/>
      <c r="I12" s="100"/>
      <c r="J12" s="251"/>
      <c r="K12" s="109"/>
    </row>
    <row r="13" spans="1:11" s="98" customFormat="1" ht="25.5">
      <c r="A13" s="247" t="s">
        <v>37</v>
      </c>
      <c r="B13" s="197" t="s">
        <v>200</v>
      </c>
      <c r="C13" s="4">
        <v>789666477</v>
      </c>
      <c r="D13" s="4"/>
      <c r="E13" s="95"/>
      <c r="F13" s="95"/>
      <c r="G13" s="95"/>
      <c r="H13" s="95"/>
      <c r="I13" s="100"/>
      <c r="J13" s="251"/>
      <c r="K13" s="109"/>
    </row>
    <row r="14" spans="1:11" s="98" customFormat="1" ht="25.5">
      <c r="A14" s="247" t="s">
        <v>33</v>
      </c>
      <c r="B14" s="197" t="s">
        <v>288</v>
      </c>
      <c r="C14" s="4"/>
      <c r="D14" s="4"/>
      <c r="E14" s="95"/>
      <c r="F14" s="95"/>
      <c r="G14" s="95"/>
      <c r="H14" s="95"/>
      <c r="I14" s="100"/>
      <c r="J14" s="251"/>
      <c r="K14" s="109"/>
    </row>
    <row r="15" spans="1:11" s="98" customFormat="1" ht="38.25">
      <c r="A15" s="247" t="s">
        <v>35</v>
      </c>
      <c r="B15" s="197" t="s">
        <v>201</v>
      </c>
      <c r="C15" s="4"/>
      <c r="D15" s="4"/>
      <c r="E15" s="95"/>
      <c r="F15" s="4"/>
      <c r="G15" s="4"/>
      <c r="H15" s="4"/>
      <c r="I15" s="100"/>
      <c r="J15" s="251"/>
      <c r="K15" s="109"/>
    </row>
    <row r="16" spans="1:11" s="98" customFormat="1">
      <c r="A16" s="247" t="s">
        <v>42</v>
      </c>
      <c r="B16" s="197" t="s">
        <v>202</v>
      </c>
      <c r="C16" s="4"/>
      <c r="D16" s="4"/>
      <c r="E16" s="95"/>
      <c r="F16" s="4"/>
      <c r="G16" s="4"/>
      <c r="H16" s="4"/>
      <c r="I16" s="100"/>
      <c r="J16" s="251"/>
      <c r="K16" s="109"/>
    </row>
    <row r="17" spans="1:16383" s="98" customFormat="1">
      <c r="A17" s="247" t="s">
        <v>128</v>
      </c>
      <c r="B17" s="197" t="s">
        <v>203</v>
      </c>
      <c r="C17" s="4"/>
      <c r="D17" s="4"/>
      <c r="E17" s="95"/>
      <c r="F17" s="4"/>
      <c r="G17" s="4"/>
      <c r="H17" s="4"/>
      <c r="I17" s="100"/>
      <c r="J17" s="251"/>
      <c r="K17" s="109"/>
    </row>
    <row r="18" spans="1:16383" s="98" customFormat="1">
      <c r="A18" s="247" t="s">
        <v>211</v>
      </c>
      <c r="B18" s="197" t="s">
        <v>284</v>
      </c>
      <c r="C18" s="4"/>
      <c r="D18" s="4"/>
      <c r="E18" s="95"/>
      <c r="F18" s="4"/>
      <c r="G18" s="4"/>
      <c r="H18" s="4"/>
      <c r="I18" s="100"/>
      <c r="J18" s="251"/>
      <c r="K18" s="109"/>
    </row>
    <row r="19" spans="1:16383" s="98" customFormat="1" ht="25.5">
      <c r="A19" s="247" t="s">
        <v>69</v>
      </c>
      <c r="B19" s="197" t="s">
        <v>204</v>
      </c>
      <c r="C19" s="95"/>
      <c r="D19" s="95"/>
      <c r="E19" s="95"/>
      <c r="F19" s="95"/>
      <c r="G19" s="4"/>
      <c r="H19" s="95"/>
      <c r="I19" s="100"/>
      <c r="J19" s="251"/>
      <c r="K19" s="109"/>
    </row>
    <row r="20" spans="1:16383" s="98" customFormat="1" ht="51">
      <c r="A20" s="247" t="s">
        <v>70</v>
      </c>
      <c r="B20" s="197" t="s">
        <v>205</v>
      </c>
      <c r="C20" s="4"/>
      <c r="D20" s="4"/>
      <c r="E20" s="95"/>
      <c r="F20" s="4"/>
      <c r="G20" s="4"/>
      <c r="H20" s="4"/>
      <c r="I20" s="100"/>
      <c r="J20" s="251"/>
      <c r="K20" s="109"/>
    </row>
    <row r="21" spans="1:16383" s="98" customFormat="1">
      <c r="A21" s="247" t="s">
        <v>71</v>
      </c>
      <c r="B21" s="197" t="s">
        <v>206</v>
      </c>
      <c r="C21" s="95"/>
      <c r="D21" s="95"/>
      <c r="E21" s="95"/>
      <c r="F21" s="95"/>
      <c r="G21" s="95"/>
      <c r="H21" s="95"/>
      <c r="I21" s="100"/>
      <c r="J21" s="251"/>
      <c r="K21" s="109"/>
    </row>
    <row r="22" spans="1:16383" s="98" customFormat="1" ht="25.5">
      <c r="A22" s="247" t="s">
        <v>37</v>
      </c>
      <c r="B22" s="197" t="s">
        <v>207</v>
      </c>
      <c r="C22" s="4"/>
      <c r="D22" s="95"/>
      <c r="E22" s="95"/>
      <c r="F22" s="95"/>
      <c r="G22" s="95"/>
      <c r="H22" s="95"/>
      <c r="I22" s="100"/>
      <c r="J22" s="251"/>
      <c r="K22" s="109"/>
    </row>
    <row r="23" spans="1:16383" s="98" customFormat="1" ht="38.25">
      <c r="A23" s="247" t="s">
        <v>33</v>
      </c>
      <c r="B23" s="197" t="s">
        <v>285</v>
      </c>
      <c r="C23" s="4"/>
      <c r="D23" s="95"/>
      <c r="E23" s="95"/>
      <c r="F23" s="95"/>
      <c r="G23" s="95"/>
      <c r="H23" s="95"/>
      <c r="I23" s="100"/>
      <c r="J23" s="251"/>
      <c r="K23" s="109"/>
    </row>
    <row r="24" spans="1:16383" s="98" customFormat="1">
      <c r="A24" s="247" t="s">
        <v>35</v>
      </c>
      <c r="B24" s="197" t="s">
        <v>208</v>
      </c>
      <c r="C24" s="4">
        <v>687374863</v>
      </c>
      <c r="D24" s="4"/>
      <c r="E24" s="95"/>
      <c r="F24" s="95"/>
      <c r="G24" s="95"/>
      <c r="H24" s="95"/>
      <c r="I24" s="100"/>
      <c r="J24" s="251"/>
      <c r="K24" s="109"/>
    </row>
    <row r="25" spans="1:16383" s="98" customFormat="1" ht="51">
      <c r="A25" s="247" t="s">
        <v>42</v>
      </c>
      <c r="B25" s="197" t="s">
        <v>293</v>
      </c>
      <c r="C25" s="4"/>
      <c r="D25" s="95"/>
      <c r="E25" s="95"/>
      <c r="F25" s="95"/>
      <c r="G25" s="95"/>
      <c r="H25" s="95"/>
      <c r="I25" s="100"/>
      <c r="J25" s="251"/>
      <c r="K25" s="109"/>
    </row>
    <row r="26" spans="1:16383" s="98" customFormat="1">
      <c r="A26" s="247" t="s">
        <v>128</v>
      </c>
      <c r="B26" s="197" t="s">
        <v>210</v>
      </c>
      <c r="C26" s="95"/>
      <c r="D26" s="95"/>
      <c r="E26" s="95"/>
      <c r="F26" s="95"/>
      <c r="G26" s="4"/>
      <c r="H26" s="95"/>
      <c r="I26" s="100"/>
      <c r="J26" s="251"/>
      <c r="K26" s="109"/>
    </row>
    <row r="27" spans="1:16383" s="98" customFormat="1" ht="25.5">
      <c r="A27" s="247" t="s">
        <v>211</v>
      </c>
      <c r="B27" s="197" t="s">
        <v>212</v>
      </c>
      <c r="C27" s="95"/>
      <c r="D27" s="95"/>
      <c r="E27" s="5">
        <v>57629358</v>
      </c>
      <c r="F27" s="5">
        <v>95700220</v>
      </c>
      <c r="G27" s="5">
        <v>197517708</v>
      </c>
      <c r="H27" s="5">
        <v>167341068</v>
      </c>
      <c r="I27" s="100"/>
      <c r="J27" s="251"/>
      <c r="K27" s="109"/>
    </row>
    <row r="28" spans="1:16383" s="98" customFormat="1">
      <c r="A28" s="247" t="s">
        <v>213</v>
      </c>
      <c r="B28" s="197" t="s">
        <v>214</v>
      </c>
      <c r="C28" s="95"/>
      <c r="D28" s="95"/>
      <c r="E28" s="95"/>
      <c r="F28" s="95"/>
      <c r="G28" s="5">
        <v>632712404</v>
      </c>
      <c r="H28" s="5">
        <v>1083713463</v>
      </c>
      <c r="I28" s="244">
        <v>106333771</v>
      </c>
      <c r="J28" s="251"/>
      <c r="K28" s="109"/>
    </row>
    <row r="29" spans="1:16383" s="98" customFormat="1">
      <c r="A29" s="247" t="s">
        <v>215</v>
      </c>
      <c r="B29" s="197" t="s">
        <v>216</v>
      </c>
      <c r="C29" s="95"/>
      <c r="D29" s="95"/>
      <c r="E29" s="95"/>
      <c r="F29" s="95"/>
      <c r="G29" s="4">
        <v>3748038328</v>
      </c>
      <c r="H29" s="4">
        <v>982834711</v>
      </c>
      <c r="I29" s="244">
        <v>1206302889</v>
      </c>
      <c r="J29" s="251"/>
      <c r="K29" s="109"/>
    </row>
    <row r="30" spans="1:16383" s="98" customFormat="1">
      <c r="A30" s="247" t="s">
        <v>217</v>
      </c>
      <c r="B30" s="197" t="s">
        <v>287</v>
      </c>
      <c r="C30" s="95"/>
      <c r="D30" s="95"/>
      <c r="E30" s="95"/>
      <c r="F30" s="95"/>
      <c r="G30" s="95"/>
      <c r="H30" s="95"/>
      <c r="I30" s="244">
        <v>139465341</v>
      </c>
      <c r="J30" s="251"/>
      <c r="K30" s="251"/>
      <c r="L30" s="251"/>
    </row>
    <row r="31" spans="1:16383" s="110" customFormat="1">
      <c r="A31" s="247" t="s">
        <v>72</v>
      </c>
      <c r="B31" s="197" t="s">
        <v>218</v>
      </c>
      <c r="C31" s="95"/>
      <c r="D31" s="95"/>
      <c r="E31" s="95"/>
      <c r="F31" s="95"/>
      <c r="G31" s="95"/>
      <c r="H31" s="95"/>
      <c r="I31" s="100"/>
      <c r="J31" s="251"/>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7" t="s">
        <v>37</v>
      </c>
      <c r="B32" s="197" t="s">
        <v>219</v>
      </c>
      <c r="C32" s="95"/>
      <c r="D32" s="95"/>
      <c r="E32" s="95"/>
      <c r="F32" s="95"/>
      <c r="G32" s="4">
        <v>1181906279</v>
      </c>
      <c r="H32" s="95"/>
      <c r="I32" s="100"/>
      <c r="J32" s="251"/>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7" t="s">
        <v>33</v>
      </c>
      <c r="B33" s="197" t="s">
        <v>220</v>
      </c>
      <c r="C33" s="95"/>
      <c r="D33" s="95"/>
      <c r="E33" s="95"/>
      <c r="F33" s="95"/>
      <c r="G33" s="4">
        <v>0</v>
      </c>
      <c r="H33" s="95"/>
      <c r="I33" s="100"/>
      <c r="J33" s="251"/>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7" t="s">
        <v>35</v>
      </c>
      <c r="B34" s="197" t="s">
        <v>221</v>
      </c>
      <c r="C34" s="95"/>
      <c r="D34" s="95"/>
      <c r="E34" s="95"/>
      <c r="F34" s="95"/>
      <c r="G34" s="95"/>
      <c r="H34" s="4">
        <v>149057251</v>
      </c>
      <c r="I34" s="244"/>
      <c r="J34" s="251"/>
      <c r="K34" s="109"/>
    </row>
    <row r="35" spans="1:16383" s="98" customFormat="1" ht="25.5">
      <c r="A35" s="247" t="s">
        <v>42</v>
      </c>
      <c r="B35" s="197" t="s">
        <v>222</v>
      </c>
      <c r="C35" s="95"/>
      <c r="D35" s="95"/>
      <c r="E35" s="95"/>
      <c r="F35" s="95"/>
      <c r="G35" s="95"/>
      <c r="H35" s="4">
        <v>0</v>
      </c>
      <c r="I35" s="244"/>
      <c r="J35" s="251"/>
      <c r="K35" s="109"/>
    </row>
    <row r="36" spans="1:16383" s="98" customFormat="1" ht="51">
      <c r="A36" s="247" t="s">
        <v>79</v>
      </c>
      <c r="B36" s="197" t="s">
        <v>223</v>
      </c>
      <c r="C36" s="4">
        <v>95846445</v>
      </c>
      <c r="D36" s="95"/>
      <c r="E36" s="95"/>
      <c r="F36" s="95"/>
      <c r="G36" s="95"/>
      <c r="H36" s="95"/>
      <c r="I36" s="100"/>
      <c r="J36" s="251"/>
      <c r="K36" s="109"/>
    </row>
    <row r="37" spans="1:16383" s="98" customFormat="1" ht="21" customHeight="1">
      <c r="A37" s="247" t="s">
        <v>80</v>
      </c>
      <c r="B37" s="197" t="s">
        <v>292</v>
      </c>
      <c r="C37" s="95"/>
      <c r="D37" s="127"/>
      <c r="E37" s="95"/>
      <c r="F37" s="95"/>
      <c r="G37" s="4"/>
      <c r="H37" s="95"/>
      <c r="I37" s="100"/>
      <c r="J37" s="251"/>
      <c r="K37" s="109"/>
    </row>
    <row r="38" spans="1:16383" s="98" customFormat="1" ht="21" customHeight="1">
      <c r="A38" s="247" t="s">
        <v>73</v>
      </c>
      <c r="B38" s="197" t="s">
        <v>224</v>
      </c>
      <c r="C38" s="4">
        <v>1885673</v>
      </c>
      <c r="D38" s="127"/>
      <c r="E38" s="95"/>
      <c r="F38" s="95"/>
      <c r="G38" s="4">
        <v>54496316</v>
      </c>
      <c r="H38" s="95"/>
      <c r="I38" s="100"/>
      <c r="J38" s="251"/>
      <c r="K38" s="109"/>
    </row>
    <row r="39" spans="1:16383" s="98" customFormat="1" ht="21" customHeight="1">
      <c r="A39" s="247" t="s">
        <v>74</v>
      </c>
      <c r="B39" s="197" t="s">
        <v>290</v>
      </c>
      <c r="C39" s="4"/>
      <c r="D39" s="127"/>
      <c r="E39" s="95"/>
      <c r="F39" s="95"/>
      <c r="G39" s="4">
        <v>329584914</v>
      </c>
      <c r="H39" s="95"/>
      <c r="I39" s="244"/>
      <c r="J39" s="251"/>
      <c r="K39" s="109"/>
    </row>
    <row r="40" spans="1:16383" s="98" customFormat="1">
      <c r="A40" s="247" t="s">
        <v>75</v>
      </c>
      <c r="B40" s="197" t="s">
        <v>291</v>
      </c>
      <c r="C40" s="95"/>
      <c r="D40" s="95"/>
      <c r="E40" s="95"/>
      <c r="F40" s="95"/>
      <c r="G40" s="95"/>
      <c r="H40" s="95"/>
      <c r="I40" s="244">
        <v>12180</v>
      </c>
      <c r="J40" s="251"/>
      <c r="K40" s="109"/>
    </row>
    <row r="41" spans="1:16383" s="98" customFormat="1">
      <c r="A41" s="247" t="s">
        <v>76</v>
      </c>
      <c r="B41" s="197" t="s">
        <v>225</v>
      </c>
      <c r="C41" s="4">
        <v>6812363</v>
      </c>
      <c r="D41" s="4"/>
      <c r="E41" s="4"/>
      <c r="F41" s="4"/>
      <c r="G41" s="4">
        <v>753448819</v>
      </c>
      <c r="H41" s="4"/>
      <c r="I41" s="244"/>
      <c r="J41" s="251"/>
      <c r="K41" s="109"/>
    </row>
    <row r="42" spans="1:16383" s="98" customFormat="1">
      <c r="A42" s="247" t="s">
        <v>77</v>
      </c>
      <c r="B42" s="197" t="s">
        <v>226</v>
      </c>
      <c r="C42" s="94">
        <f t="shared" ref="C42:I42" si="0">SUM(C8:C41)</f>
        <v>3402771676</v>
      </c>
      <c r="D42" s="94">
        <f t="shared" si="0"/>
        <v>433528016</v>
      </c>
      <c r="E42" s="94">
        <f t="shared" si="0"/>
        <v>57629358</v>
      </c>
      <c r="F42" s="94">
        <f t="shared" si="0"/>
        <v>1558089606</v>
      </c>
      <c r="G42" s="94">
        <f t="shared" si="0"/>
        <v>6898664768</v>
      </c>
      <c r="H42" s="94">
        <f t="shared" si="0"/>
        <v>2382946493</v>
      </c>
      <c r="I42" s="99">
        <f t="shared" si="0"/>
        <v>1452114181</v>
      </c>
      <c r="J42" s="251">
        <f>SUM(C42:I42)</f>
        <v>16185744098</v>
      </c>
      <c r="K42" s="109">
        <f>+[7]Balance!$C$47+[7]Balance!$C$39</f>
        <v>16185744098</v>
      </c>
      <c r="L42" s="251">
        <f>+J42-K42</f>
        <v>0</v>
      </c>
    </row>
    <row r="43" spans="1:16383" s="98" customFormat="1" ht="25.5">
      <c r="A43" s="247" t="s">
        <v>78</v>
      </c>
      <c r="B43" s="197" t="s">
        <v>227</v>
      </c>
      <c r="C43" s="95"/>
      <c r="D43" s="94">
        <f t="shared" ref="D43:I43" si="1">D42*D3</f>
        <v>86705603.200000003</v>
      </c>
      <c r="E43" s="94">
        <f t="shared" si="1"/>
        <v>20170275.299999997</v>
      </c>
      <c r="F43" s="94">
        <f t="shared" si="1"/>
        <v>779044803</v>
      </c>
      <c r="G43" s="94">
        <f t="shared" si="1"/>
        <v>6898664768</v>
      </c>
      <c r="H43" s="94">
        <f t="shared" si="1"/>
        <v>3574419739.5</v>
      </c>
      <c r="I43" s="99">
        <f t="shared" si="1"/>
        <v>2904228362</v>
      </c>
      <c r="J43" s="251"/>
      <c r="K43" s="109"/>
    </row>
    <row r="44" spans="1:16383" s="98" customFormat="1" ht="13.5" thickBot="1">
      <c r="A44" s="198" t="s">
        <v>289</v>
      </c>
      <c r="B44" s="226" t="s">
        <v>228</v>
      </c>
      <c r="C44" s="96"/>
      <c r="D44" s="96"/>
      <c r="E44" s="96"/>
      <c r="F44" s="96"/>
      <c r="G44" s="96"/>
      <c r="H44" s="96"/>
      <c r="I44" s="101">
        <f>SUM(D43:I43)</f>
        <v>14263233551</v>
      </c>
      <c r="J44" s="251"/>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65" t="s">
        <v>52</v>
      </c>
      <c r="B47" s="263" t="s">
        <v>131</v>
      </c>
      <c r="C47" s="263"/>
      <c r="D47" s="259" t="s">
        <v>229</v>
      </c>
      <c r="E47" s="272">
        <v>0</v>
      </c>
      <c r="F47" s="272">
        <v>0.2</v>
      </c>
      <c r="G47" s="272">
        <v>0.5</v>
      </c>
      <c r="H47" s="272">
        <v>1</v>
      </c>
      <c r="I47" s="267" t="s">
        <v>230</v>
      </c>
      <c r="J47" s="109"/>
    </row>
    <row r="48" spans="1:16383" s="98" customFormat="1" ht="9.75" customHeight="1">
      <c r="A48" s="266"/>
      <c r="B48" s="264"/>
      <c r="C48" s="264"/>
      <c r="D48" s="260"/>
      <c r="E48" s="273"/>
      <c r="F48" s="273"/>
      <c r="G48" s="273"/>
      <c r="H48" s="273"/>
      <c r="I48" s="268"/>
      <c r="J48" s="109"/>
    </row>
    <row r="49" spans="1:12" s="98" customFormat="1" ht="17.25" customHeight="1">
      <c r="A49" s="266"/>
      <c r="B49" s="264"/>
      <c r="C49" s="264"/>
      <c r="D49" s="260"/>
      <c r="E49" s="199" t="s">
        <v>187</v>
      </c>
      <c r="F49" s="199" t="s">
        <v>187</v>
      </c>
      <c r="G49" s="199" t="s">
        <v>187</v>
      </c>
      <c r="H49" s="199" t="s">
        <v>187</v>
      </c>
      <c r="I49" s="268"/>
      <c r="J49" s="109"/>
    </row>
    <row r="50" spans="1:12" s="98" customFormat="1">
      <c r="A50" s="266"/>
      <c r="B50" s="264" t="s">
        <v>26</v>
      </c>
      <c r="C50" s="264"/>
      <c r="D50" s="248" t="s">
        <v>27</v>
      </c>
      <c r="E50" s="199" t="s">
        <v>28</v>
      </c>
      <c r="F50" s="248" t="s">
        <v>29</v>
      </c>
      <c r="G50" s="248" t="s">
        <v>53</v>
      </c>
      <c r="H50" s="248" t="s">
        <v>54</v>
      </c>
      <c r="I50" s="195" t="s">
        <v>57</v>
      </c>
      <c r="J50" s="109"/>
    </row>
    <row r="51" spans="1:12" s="98" customFormat="1">
      <c r="A51" s="200"/>
      <c r="B51" s="274" t="s">
        <v>231</v>
      </c>
      <c r="C51" s="275"/>
      <c r="D51" s="129"/>
      <c r="E51" s="129"/>
      <c r="F51" s="129"/>
      <c r="G51" s="129"/>
      <c r="H51" s="129"/>
      <c r="I51" s="132"/>
      <c r="J51" s="109"/>
    </row>
    <row r="52" spans="1:12" s="98" customFormat="1">
      <c r="A52" s="249">
        <v>1</v>
      </c>
      <c r="B52" s="280" t="s">
        <v>232</v>
      </c>
      <c r="C52" s="280"/>
      <c r="D52" s="95"/>
      <c r="E52" s="95"/>
      <c r="F52" s="95"/>
      <c r="G52" s="95"/>
      <c r="H52" s="95"/>
      <c r="I52" s="100"/>
      <c r="J52" s="109"/>
    </row>
    <row r="53" spans="1:12" s="98" customFormat="1">
      <c r="A53" s="249" t="s">
        <v>31</v>
      </c>
      <c r="B53" s="276" t="s">
        <v>233</v>
      </c>
      <c r="C53" s="276"/>
      <c r="D53" s="130">
        <v>0.5</v>
      </c>
      <c r="E53" s="5"/>
      <c r="F53" s="5"/>
      <c r="G53" s="5"/>
      <c r="H53" s="5">
        <v>92053547</v>
      </c>
      <c r="I53" s="99">
        <f>(F53*0.1)+(G53*0.25)+(H53*0.5)</f>
        <v>46026773.5</v>
      </c>
      <c r="J53" s="109"/>
    </row>
    <row r="54" spans="1:12" s="98" customFormat="1">
      <c r="A54" s="249" t="s">
        <v>33</v>
      </c>
      <c r="B54" s="276" t="s">
        <v>234</v>
      </c>
      <c r="C54" s="276"/>
      <c r="D54" s="130">
        <v>0.2</v>
      </c>
      <c r="E54" s="5">
        <v>176054500</v>
      </c>
      <c r="F54" s="5"/>
      <c r="G54" s="5"/>
      <c r="H54" s="5">
        <v>456211508</v>
      </c>
      <c r="I54" s="99">
        <f>(F54*0.04)+(G54*0.1)+(H54*0.2)</f>
        <v>91242301.600000009</v>
      </c>
      <c r="J54" s="251">
        <f>SUM(E53:H54)</f>
        <v>724319555</v>
      </c>
      <c r="K54" s="252">
        <f>+[7]Commitments!$C$4</f>
        <v>724319555</v>
      </c>
      <c r="L54" s="253">
        <f>+J54-K54</f>
        <v>0</v>
      </c>
    </row>
    <row r="55" spans="1:12" s="98" customFormat="1" ht="26.25" customHeight="1">
      <c r="A55" s="249">
        <v>2</v>
      </c>
      <c r="B55" s="280" t="s">
        <v>235</v>
      </c>
      <c r="C55" s="280"/>
      <c r="D55" s="130">
        <v>1</v>
      </c>
      <c r="E55" s="5">
        <v>820000000</v>
      </c>
      <c r="F55" s="5"/>
      <c r="G55" s="5"/>
      <c r="H55" s="5"/>
      <c r="I55" s="99">
        <f>(F55*0.2)+(G55*0.5)+(H55*1)</f>
        <v>0</v>
      </c>
      <c r="J55" s="109"/>
      <c r="L55" s="253"/>
    </row>
    <row r="56" spans="1:12" s="98" customFormat="1">
      <c r="A56" s="249">
        <v>3</v>
      </c>
      <c r="B56" s="280" t="s">
        <v>236</v>
      </c>
      <c r="C56" s="280"/>
      <c r="D56" s="130">
        <v>1</v>
      </c>
      <c r="E56" s="5"/>
      <c r="F56" s="5"/>
      <c r="G56" s="95"/>
      <c r="H56" s="5">
        <v>326918043</v>
      </c>
      <c r="I56" s="99">
        <f>(F56*0.2)+(G56*0.5)+(H56*1)</f>
        <v>326918043</v>
      </c>
      <c r="J56" s="251">
        <f>SUM(E56:H56)</f>
        <v>326918043</v>
      </c>
      <c r="K56" s="252">
        <f>+[7]Commitments!$C$7</f>
        <v>326918043</v>
      </c>
      <c r="L56" s="253">
        <f>+J56-K56</f>
        <v>0</v>
      </c>
    </row>
    <row r="57" spans="1:12" s="98" customFormat="1">
      <c r="A57" s="249">
        <v>4</v>
      </c>
      <c r="B57" s="280" t="s">
        <v>237</v>
      </c>
      <c r="C57" s="280"/>
      <c r="D57" s="114"/>
      <c r="E57" s="95"/>
      <c r="F57" s="95"/>
      <c r="G57" s="95"/>
      <c r="H57" s="95"/>
      <c r="I57" s="100"/>
      <c r="J57" s="109"/>
      <c r="L57" s="253"/>
    </row>
    <row r="58" spans="1:12" s="98" customFormat="1">
      <c r="A58" s="249" t="s">
        <v>31</v>
      </c>
      <c r="B58" s="276" t="s">
        <v>238</v>
      </c>
      <c r="C58" s="276"/>
      <c r="D58" s="130">
        <v>1</v>
      </c>
      <c r="E58" s="5"/>
      <c r="F58" s="5"/>
      <c r="G58" s="5"/>
      <c r="H58" s="5"/>
      <c r="I58" s="99">
        <f>(F58*0.2)+(G58*0.5)+(H58*1)</f>
        <v>0</v>
      </c>
      <c r="J58" s="109"/>
      <c r="L58" s="253"/>
    </row>
    <row r="59" spans="1:12" s="98" customFormat="1">
      <c r="A59" s="249" t="s">
        <v>33</v>
      </c>
      <c r="B59" s="276" t="s">
        <v>239</v>
      </c>
      <c r="C59" s="276"/>
      <c r="D59" s="130">
        <v>0.5</v>
      </c>
      <c r="E59" s="5"/>
      <c r="F59" s="5"/>
      <c r="G59" s="5"/>
      <c r="H59" s="5"/>
      <c r="I59" s="99">
        <f>(F59*0.1)+(G59*0.25)+(H59*0.5)</f>
        <v>0</v>
      </c>
      <c r="J59" s="109"/>
      <c r="L59" s="253"/>
    </row>
    <row r="60" spans="1:12" s="98" customFormat="1" ht="12.75" customHeight="1">
      <c r="A60" s="249" t="s">
        <v>35</v>
      </c>
      <c r="B60" s="276" t="s">
        <v>240</v>
      </c>
      <c r="C60" s="276"/>
      <c r="D60" s="130">
        <v>0.2</v>
      </c>
      <c r="E60" s="5"/>
      <c r="F60" s="5"/>
      <c r="G60" s="5"/>
      <c r="H60" s="5">
        <v>176054500</v>
      </c>
      <c r="I60" s="99">
        <f>(F60*0.04)+(G60*0.1)+(H60*0.2)</f>
        <v>35210900</v>
      </c>
      <c r="L60" s="253"/>
    </row>
    <row r="61" spans="1:12" s="98" customFormat="1">
      <c r="A61" s="249" t="s">
        <v>42</v>
      </c>
      <c r="B61" s="276" t="s">
        <v>241</v>
      </c>
      <c r="C61" s="276"/>
      <c r="D61" s="130">
        <v>1</v>
      </c>
      <c r="E61" s="5">
        <v>538466214</v>
      </c>
      <c r="F61" s="5"/>
      <c r="G61" s="95"/>
      <c r="H61" s="5"/>
      <c r="I61" s="99">
        <f>(F61*0.2)+(G61*0.5)+(H61*1)</f>
        <v>0</v>
      </c>
      <c r="J61" s="251">
        <f>SUM(E58:H61)</f>
        <v>714520714</v>
      </c>
      <c r="K61" s="252">
        <f>+[7]Commitments!$C$10</f>
        <v>714520714</v>
      </c>
      <c r="L61" s="253">
        <f>+J61-K61</f>
        <v>0</v>
      </c>
    </row>
    <row r="62" spans="1:12" s="98" customFormat="1" ht="16.5" customHeight="1">
      <c r="A62" s="249">
        <v>5</v>
      </c>
      <c r="B62" s="276" t="s">
        <v>277</v>
      </c>
      <c r="C62" s="276"/>
      <c r="D62" s="114"/>
      <c r="E62" s="95"/>
      <c r="F62" s="95"/>
      <c r="G62" s="95"/>
      <c r="H62" s="95"/>
      <c r="I62" s="100"/>
      <c r="J62" s="109"/>
      <c r="L62" s="253"/>
    </row>
    <row r="63" spans="1:12" s="98" customFormat="1">
      <c r="A63" s="249" t="s">
        <v>31</v>
      </c>
      <c r="B63" s="276" t="s">
        <v>242</v>
      </c>
      <c r="C63" s="276"/>
      <c r="D63" s="114"/>
      <c r="E63" s="95"/>
      <c r="F63" s="95"/>
      <c r="G63" s="95"/>
      <c r="H63" s="95"/>
      <c r="I63" s="100"/>
      <c r="J63" s="109"/>
      <c r="L63" s="253"/>
    </row>
    <row r="64" spans="1:12" s="98" customFormat="1">
      <c r="A64" s="249" t="s">
        <v>58</v>
      </c>
      <c r="B64" s="277" t="s">
        <v>243</v>
      </c>
      <c r="C64" s="277"/>
      <c r="D64" s="131">
        <v>5.0000000000000001E-3</v>
      </c>
      <c r="E64" s="5"/>
      <c r="F64" s="5"/>
      <c r="G64" s="5"/>
      <c r="H64" s="5">
        <v>371013900</v>
      </c>
      <c r="I64" s="99">
        <f>(F64*0.001)+(G64*0.0025)+(H64*0.005)</f>
        <v>1855069.5</v>
      </c>
      <c r="J64" s="109"/>
      <c r="L64" s="253"/>
    </row>
    <row r="65" spans="1:30" s="98" customFormat="1">
      <c r="A65" s="249" t="s">
        <v>59</v>
      </c>
      <c r="B65" s="277" t="s">
        <v>244</v>
      </c>
      <c r="C65" s="277"/>
      <c r="D65" s="130">
        <v>0.01</v>
      </c>
      <c r="E65" s="5"/>
      <c r="F65" s="5"/>
      <c r="G65" s="5"/>
      <c r="H65" s="5"/>
      <c r="I65" s="99">
        <f>(F65*0.002)+(G65*0.005)+(H65*0.01)</f>
        <v>0</v>
      </c>
      <c r="J65" s="109"/>
      <c r="L65" s="253"/>
    </row>
    <row r="66" spans="1:30" s="98" customFormat="1">
      <c r="A66" s="249" t="s">
        <v>60</v>
      </c>
      <c r="B66" s="277" t="s">
        <v>245</v>
      </c>
      <c r="C66" s="277"/>
      <c r="D66" s="130">
        <v>0.02</v>
      </c>
      <c r="E66" s="5"/>
      <c r="F66" s="5"/>
      <c r="G66" s="5"/>
      <c r="H66" s="5"/>
      <c r="I66" s="99">
        <f>(F66*0.004)+(G66*0.01)+(H66*0.02)</f>
        <v>0</v>
      </c>
      <c r="J66" s="109"/>
      <c r="L66" s="253"/>
    </row>
    <row r="67" spans="1:30" s="98" customFormat="1">
      <c r="A67" s="249" t="s">
        <v>33</v>
      </c>
      <c r="B67" s="276" t="s">
        <v>246</v>
      </c>
      <c r="C67" s="276"/>
      <c r="D67" s="114"/>
      <c r="E67" s="95"/>
      <c r="F67" s="95"/>
      <c r="G67" s="95"/>
      <c r="H67" s="95"/>
      <c r="I67" s="100"/>
      <c r="J67" s="109"/>
      <c r="L67" s="253"/>
    </row>
    <row r="68" spans="1:30" s="98" customFormat="1">
      <c r="A68" s="249" t="s">
        <v>61</v>
      </c>
      <c r="B68" s="277" t="s">
        <v>247</v>
      </c>
      <c r="C68" s="277"/>
      <c r="D68" s="130">
        <v>0.02</v>
      </c>
      <c r="E68" s="5"/>
      <c r="F68" s="5"/>
      <c r="G68" s="5"/>
      <c r="H68" s="5">
        <v>0</v>
      </c>
      <c r="I68" s="99">
        <f>(F68*0.004)+(G68*0.01)+(H68*0.02)</f>
        <v>0</v>
      </c>
      <c r="J68" s="251"/>
      <c r="K68" s="252"/>
      <c r="L68" s="109"/>
    </row>
    <row r="69" spans="1:30" s="98" customFormat="1">
      <c r="A69" s="249" t="s">
        <v>62</v>
      </c>
      <c r="B69" s="277" t="s">
        <v>248</v>
      </c>
      <c r="C69" s="277"/>
      <c r="D69" s="130">
        <v>0.05</v>
      </c>
      <c r="E69" s="5"/>
      <c r="F69" s="5"/>
      <c r="G69" s="5"/>
      <c r="H69" s="5"/>
      <c r="I69" s="99">
        <f>(F69*0.01)+(G69*0.025)+(H69*0.05)</f>
        <v>0</v>
      </c>
      <c r="J69" s="109"/>
    </row>
    <row r="70" spans="1:30" s="98" customFormat="1">
      <c r="A70" s="249" t="s">
        <v>63</v>
      </c>
      <c r="B70" s="277" t="s">
        <v>249</v>
      </c>
      <c r="C70" s="277"/>
      <c r="D70" s="130">
        <v>0.08</v>
      </c>
      <c r="E70" s="5"/>
      <c r="F70" s="5"/>
      <c r="G70" s="5"/>
      <c r="H70" s="5"/>
      <c r="I70" s="99">
        <f>(F70*0.016)+(G70*0.04)+(H70*0.08)</f>
        <v>0</v>
      </c>
      <c r="J70" s="109"/>
    </row>
    <row r="71" spans="1:30" s="98" customFormat="1">
      <c r="A71" s="249">
        <v>6</v>
      </c>
      <c r="B71" s="270" t="s">
        <v>250</v>
      </c>
      <c r="C71" s="271"/>
      <c r="D71" s="114"/>
      <c r="E71" s="94">
        <f>SUM(E53:E70)</f>
        <v>1534520714</v>
      </c>
      <c r="F71" s="94">
        <f>SUM(F53:F70)</f>
        <v>0</v>
      </c>
      <c r="G71" s="94">
        <f>SUM(G53:G70)</f>
        <v>0</v>
      </c>
      <c r="H71" s="94">
        <f>SUM(H53:H70)</f>
        <v>1422251498</v>
      </c>
      <c r="I71" s="100"/>
      <c r="J71" s="252">
        <f>SUM(E71:H71)</f>
        <v>2956772212</v>
      </c>
      <c r="K71" s="252">
        <f>+[7]Commitments!$C$4+[7]Commitments!$C$7+[7]Commitments!$C$10+[7]Commitments!$C$19+[7]Commitments!$C$20+[7]Commitments!$C$21+[7]Commitments!$C$22</f>
        <v>2136772212</v>
      </c>
      <c r="L71" s="254">
        <f>+J71-K71</f>
        <v>820000000</v>
      </c>
    </row>
    <row r="72" spans="1:30" s="98" customFormat="1">
      <c r="A72" s="249">
        <v>7</v>
      </c>
      <c r="B72" s="270" t="s">
        <v>251</v>
      </c>
      <c r="C72" s="271"/>
      <c r="D72" s="114"/>
      <c r="E72" s="95"/>
      <c r="F72" s="95"/>
      <c r="G72" s="95"/>
      <c r="H72" s="95"/>
      <c r="I72" s="99">
        <f>SUM(I53:I70)</f>
        <v>501253087.60000002</v>
      </c>
      <c r="J72" s="109"/>
    </row>
    <row r="73" spans="1:30" s="98" customFormat="1" ht="13.5" thickBot="1">
      <c r="A73" s="201">
        <v>8</v>
      </c>
      <c r="B73" s="278" t="s">
        <v>252</v>
      </c>
      <c r="C73" s="279"/>
      <c r="D73" s="115"/>
      <c r="E73" s="96"/>
      <c r="F73" s="96"/>
      <c r="G73" s="96"/>
      <c r="H73" s="96"/>
      <c r="I73" s="101">
        <f>SUM(I72+I44)</f>
        <v>14764486638.6</v>
      </c>
      <c r="J73" s="109">
        <f>+I73*0.15</f>
        <v>2214672995.79</v>
      </c>
    </row>
    <row r="74" spans="1:30">
      <c r="I74" s="102"/>
      <c r="J74" s="126"/>
    </row>
    <row r="75" spans="1:30" s="238" customFormat="1" ht="15" customHeight="1">
      <c r="A75" s="236"/>
      <c r="B75" s="216" t="s">
        <v>278</v>
      </c>
      <c r="C75" s="236"/>
      <c r="D75" s="236"/>
      <c r="E75" s="236"/>
      <c r="F75" s="237"/>
      <c r="G75" s="237"/>
      <c r="H75" s="237"/>
      <c r="I75" s="237"/>
      <c r="J75" s="237"/>
      <c r="K75" s="237"/>
      <c r="L75" s="237"/>
      <c r="M75" s="237"/>
      <c r="N75" s="236"/>
      <c r="O75" s="236"/>
      <c r="P75" s="236"/>
      <c r="Q75" s="236"/>
      <c r="R75" s="236"/>
      <c r="S75" s="236"/>
      <c r="T75" s="236"/>
      <c r="U75" s="236"/>
      <c r="V75" s="236"/>
      <c r="W75" s="236"/>
      <c r="X75" s="236"/>
      <c r="Y75" s="236"/>
      <c r="Z75" s="236"/>
      <c r="AA75" s="236"/>
      <c r="AB75" s="236"/>
      <c r="AC75" s="236"/>
      <c r="AD75" s="236"/>
    </row>
    <row r="76" spans="1:30" s="238" customFormat="1" ht="11.25" customHeight="1">
      <c r="A76" s="236"/>
      <c r="B76" s="216"/>
      <c r="C76" s="236"/>
      <c r="D76" s="236"/>
      <c r="E76" s="236"/>
      <c r="F76" s="237"/>
      <c r="G76" s="237"/>
      <c r="H76" s="237"/>
      <c r="I76" s="237"/>
      <c r="J76" s="237"/>
      <c r="K76" s="237"/>
      <c r="L76" s="237"/>
      <c r="M76" s="237"/>
      <c r="N76" s="236"/>
      <c r="O76" s="236"/>
      <c r="P76" s="236"/>
      <c r="Q76" s="236"/>
      <c r="R76" s="236"/>
      <c r="S76" s="236"/>
      <c r="T76" s="236"/>
      <c r="U76" s="236"/>
      <c r="V76" s="236"/>
      <c r="W76" s="236"/>
      <c r="X76" s="236"/>
      <c r="Y76" s="236"/>
      <c r="Z76" s="236"/>
      <c r="AA76" s="236"/>
      <c r="AB76" s="236"/>
      <c r="AC76" s="236"/>
      <c r="AD76" s="236"/>
    </row>
    <row r="77" spans="1:30" s="238" customFormat="1" ht="15" customHeight="1">
      <c r="A77" s="236"/>
      <c r="B77" s="216" t="s">
        <v>279</v>
      </c>
      <c r="C77" s="236"/>
      <c r="D77" s="236"/>
      <c r="E77" s="236"/>
      <c r="F77" s="237"/>
      <c r="G77" s="237"/>
      <c r="H77" s="237"/>
      <c r="I77" s="237"/>
      <c r="J77" s="237"/>
      <c r="K77" s="237"/>
      <c r="L77" s="237"/>
      <c r="M77" s="237"/>
      <c r="N77" s="236"/>
      <c r="O77" s="236"/>
      <c r="P77" s="236"/>
      <c r="Q77" s="236"/>
      <c r="R77" s="236"/>
      <c r="S77" s="236"/>
      <c r="T77" s="236"/>
      <c r="U77" s="236"/>
      <c r="V77" s="236"/>
      <c r="W77" s="236"/>
      <c r="X77" s="236"/>
      <c r="Y77" s="236"/>
      <c r="Z77" s="236"/>
      <c r="AA77" s="236"/>
      <c r="AB77" s="236"/>
      <c r="AC77" s="236"/>
      <c r="AD77" s="236"/>
    </row>
  </sheetData>
  <sheetProtection password="CACA" sheet="1" objects="1" scenarios="1"/>
  <mergeCells count="36">
    <mergeCell ref="B72:C72"/>
    <mergeCell ref="B73:C73"/>
    <mergeCell ref="B50:C50"/>
    <mergeCell ref="B60:C60"/>
    <mergeCell ref="B61:C61"/>
    <mergeCell ref="B55:C55"/>
    <mergeCell ref="B56:C56"/>
    <mergeCell ref="B57:C57"/>
    <mergeCell ref="B58:C58"/>
    <mergeCell ref="B59:C59"/>
    <mergeCell ref="B52:C52"/>
    <mergeCell ref="B53:C53"/>
    <mergeCell ref="B54:C54"/>
    <mergeCell ref="B69:C69"/>
    <mergeCell ref="B70:C70"/>
    <mergeCell ref="I47:I49"/>
    <mergeCell ref="B47:C49"/>
    <mergeCell ref="G2:H2"/>
    <mergeCell ref="B71:C71"/>
    <mergeCell ref="E47:E48"/>
    <mergeCell ref="F47:F48"/>
    <mergeCell ref="G47:G48"/>
    <mergeCell ref="H47:H48"/>
    <mergeCell ref="B51:C51"/>
    <mergeCell ref="B62:C62"/>
    <mergeCell ref="B63:C63"/>
    <mergeCell ref="B64:C64"/>
    <mergeCell ref="B65:C65"/>
    <mergeCell ref="B66:C66"/>
    <mergeCell ref="B67:C67"/>
    <mergeCell ref="B68:C68"/>
    <mergeCell ref="A1:H1"/>
    <mergeCell ref="D47:D49"/>
    <mergeCell ref="A3:A5"/>
    <mergeCell ref="B3:B5"/>
    <mergeCell ref="A47:A50"/>
  </mergeCells>
  <phoneticPr fontId="9" type="noConversion"/>
  <conditionalFormatting sqref="J42">
    <cfRule type="cellIs" dxfId="24" priority="7" operator="notEqual">
      <formula>K42</formula>
    </cfRule>
  </conditionalFormatting>
  <conditionalFormatting sqref="J54">
    <cfRule type="cellIs" dxfId="23" priority="4" operator="notEqual">
      <formula>K54</formula>
    </cfRule>
  </conditionalFormatting>
  <conditionalFormatting sqref="J56">
    <cfRule type="cellIs" dxfId="22" priority="3" operator="notEqual">
      <formula>K56</formula>
    </cfRule>
  </conditionalFormatting>
  <conditionalFormatting sqref="J61">
    <cfRule type="cellIs" dxfId="21" priority="2" operator="notEqual">
      <formula>K61</formula>
    </cfRule>
  </conditionalFormatting>
  <conditionalFormatting sqref="J68">
    <cfRule type="cellIs" dxfId="20" priority="1" operator="notEqual">
      <formula>K68</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58:H59 E27:F27 H17:H18 E64:H66 H60:H61 G53:G55 F17:F18 E53:F56 C8 G17:G20 F20 D11 D9 C20:D20 H20 E60:G60 E68:H70 I26:I30 F11:H11 C10:D10 C13:D18 G37:G39 G26:H29 C36 G31:G35 D24 H53:H56 F15:H16 E61:F61 C22:C25 C38:C39 C41:I41 I39:I40 H34:I35" xr:uid="{00000000-0002-0000-0200-000000000000}">
      <formula1>-1E+22</formula1>
      <formula2>1E+22</formula2>
    </dataValidation>
    <dataValidation type="whole" operator="greaterThanOrEqual" allowBlank="1" showInputMessage="1" showErrorMessage="1" sqref="E57:H57 G56 E67:H67 E62:H63 G61"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H57:I59 I54:I56 I6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XFC77"/>
  <sheetViews>
    <sheetView view="pageBreakPreview" zoomScale="115" zoomScaleNormal="85" zoomScaleSheetLayoutView="115" workbookViewId="0">
      <pane xSplit="2" ySplit="6" topLeftCell="C10" activePane="bottomRight" state="frozen"/>
      <selection activeCell="K40" sqref="K40"/>
      <selection pane="topRight" activeCell="K40" sqref="K40"/>
      <selection pane="bottomLeft" activeCell="K40" sqref="K40"/>
      <selection pane="bottomRight" activeCell="I31" sqref="I31"/>
    </sheetView>
  </sheetViews>
  <sheetFormatPr defaultRowHeight="12.75"/>
  <cols>
    <col min="1" max="1" width="5.42578125" style="106" customWidth="1"/>
    <col min="2" max="2" width="67" style="102" customWidth="1"/>
    <col min="3" max="3" width="12.5703125" style="102" customWidth="1"/>
    <col min="4" max="7" width="14.7109375" style="102" customWidth="1"/>
    <col min="8" max="8" width="16.140625" style="102" customWidth="1"/>
    <col min="9" max="9" width="18.140625" style="126" customWidth="1"/>
    <col min="10" max="11" width="16.42578125" style="102" customWidth="1"/>
    <col min="12" max="12" width="15.28515625" style="102" customWidth="1"/>
    <col min="13" max="15" width="10.28515625" style="102" customWidth="1"/>
    <col min="16" max="16384" width="9.140625" style="102"/>
  </cols>
  <sheetData>
    <row r="1" spans="1:11" ht="26.25" customHeight="1">
      <c r="A1" s="258" t="s">
        <v>253</v>
      </c>
      <c r="B1" s="258"/>
      <c r="C1" s="258"/>
      <c r="D1" s="258"/>
      <c r="E1" s="258"/>
      <c r="F1" s="258"/>
      <c r="G1" s="258"/>
      <c r="H1" s="258"/>
      <c r="I1" s="191" t="s">
        <v>256</v>
      </c>
    </row>
    <row r="2" spans="1:11" ht="25.5" customHeight="1" thickBot="1">
      <c r="B2" s="118" t="str">
        <f>+'Bank Capital Calc'!B3</f>
        <v>"Алоқабанк"</v>
      </c>
      <c r="D2" s="105"/>
      <c r="E2" s="105"/>
      <c r="G2" s="269">
        <f>+'Bank Capital Calc'!C3</f>
        <v>44926</v>
      </c>
      <c r="H2" s="269"/>
      <c r="I2" s="192" t="s">
        <v>271</v>
      </c>
      <c r="J2" s="126"/>
    </row>
    <row r="3" spans="1:11">
      <c r="A3" s="261" t="s">
        <v>52</v>
      </c>
      <c r="B3" s="263" t="s">
        <v>131</v>
      </c>
      <c r="C3" s="193">
        <v>0</v>
      </c>
      <c r="D3" s="193">
        <v>0.2</v>
      </c>
      <c r="E3" s="193">
        <v>0.35</v>
      </c>
      <c r="F3" s="193">
        <v>0.5</v>
      </c>
      <c r="G3" s="193">
        <v>1</v>
      </c>
      <c r="H3" s="193">
        <v>1.5</v>
      </c>
      <c r="I3" s="194">
        <v>2</v>
      </c>
      <c r="J3" s="250"/>
      <c r="K3" s="126"/>
    </row>
    <row r="4" spans="1:11" ht="20.25" customHeight="1">
      <c r="A4" s="262"/>
      <c r="B4" s="264"/>
      <c r="C4" s="248" t="s">
        <v>187</v>
      </c>
      <c r="D4" s="248" t="s">
        <v>187</v>
      </c>
      <c r="E4" s="248" t="s">
        <v>187</v>
      </c>
      <c r="F4" s="248" t="s">
        <v>187</v>
      </c>
      <c r="G4" s="248" t="s">
        <v>187</v>
      </c>
      <c r="H4" s="248" t="s">
        <v>187</v>
      </c>
      <c r="I4" s="195" t="s">
        <v>187</v>
      </c>
      <c r="K4" s="126"/>
    </row>
    <row r="5" spans="1:11" ht="20.25" customHeight="1">
      <c r="A5" s="262"/>
      <c r="B5" s="264"/>
      <c r="C5" s="248" t="s">
        <v>188</v>
      </c>
      <c r="D5" s="248" t="s">
        <v>189</v>
      </c>
      <c r="E5" s="248" t="s">
        <v>190</v>
      </c>
      <c r="F5" s="248" t="s">
        <v>191</v>
      </c>
      <c r="G5" s="248" t="s">
        <v>192</v>
      </c>
      <c r="H5" s="248" t="s">
        <v>193</v>
      </c>
      <c r="I5" s="195" t="s">
        <v>194</v>
      </c>
      <c r="K5" s="126"/>
    </row>
    <row r="6" spans="1:11">
      <c r="A6" s="247"/>
      <c r="B6" s="128" t="s">
        <v>26</v>
      </c>
      <c r="C6" s="128" t="s">
        <v>27</v>
      </c>
      <c r="D6" s="128" t="s">
        <v>28</v>
      </c>
      <c r="E6" s="128" t="s">
        <v>29</v>
      </c>
      <c r="F6" s="128" t="s">
        <v>53</v>
      </c>
      <c r="G6" s="128" t="s">
        <v>54</v>
      </c>
      <c r="H6" s="128" t="s">
        <v>57</v>
      </c>
      <c r="I6" s="133" t="s">
        <v>64</v>
      </c>
      <c r="K6" s="126"/>
    </row>
    <row r="7" spans="1:11">
      <c r="A7" s="247"/>
      <c r="B7" s="196" t="s">
        <v>195</v>
      </c>
      <c r="C7" s="108"/>
      <c r="D7" s="108"/>
      <c r="E7" s="108"/>
      <c r="F7" s="108"/>
      <c r="G7" s="108"/>
      <c r="H7" s="108"/>
      <c r="I7" s="134"/>
      <c r="K7" s="126"/>
    </row>
    <row r="8" spans="1:11" s="98" customFormat="1">
      <c r="A8" s="247" t="s">
        <v>55</v>
      </c>
      <c r="B8" s="197" t="s">
        <v>196</v>
      </c>
      <c r="C8" s="4">
        <v>167799552</v>
      </c>
      <c r="D8" s="95"/>
      <c r="E8" s="95"/>
      <c r="F8" s="95"/>
      <c r="G8" s="95"/>
      <c r="H8" s="95"/>
      <c r="I8" s="100"/>
      <c r="J8" s="251"/>
      <c r="K8" s="109"/>
    </row>
    <row r="9" spans="1:11" s="98" customFormat="1">
      <c r="A9" s="247" t="s">
        <v>65</v>
      </c>
      <c r="B9" s="197" t="s">
        <v>197</v>
      </c>
      <c r="C9" s="95"/>
      <c r="D9" s="4">
        <v>7686000</v>
      </c>
      <c r="E9" s="95"/>
      <c r="F9" s="95"/>
      <c r="G9" s="95"/>
      <c r="H9" s="95"/>
      <c r="I9" s="100"/>
      <c r="J9" s="251"/>
      <c r="K9" s="109"/>
    </row>
    <row r="10" spans="1:11" s="98" customFormat="1">
      <c r="A10" s="247" t="s">
        <v>66</v>
      </c>
      <c r="B10" s="197" t="s">
        <v>198</v>
      </c>
      <c r="C10" s="4">
        <v>1355760159</v>
      </c>
      <c r="D10" s="4"/>
      <c r="E10" s="95"/>
      <c r="F10" s="95"/>
      <c r="G10" s="95"/>
      <c r="H10" s="95"/>
      <c r="I10" s="100"/>
      <c r="J10" s="251"/>
      <c r="K10" s="109"/>
    </row>
    <row r="11" spans="1:11" s="98" customFormat="1" ht="25.5">
      <c r="A11" s="247" t="s">
        <v>67</v>
      </c>
      <c r="B11" s="197" t="s">
        <v>286</v>
      </c>
      <c r="C11" s="95"/>
      <c r="D11" s="4"/>
      <c r="E11" s="95"/>
      <c r="F11" s="4">
        <v>508043695</v>
      </c>
      <c r="G11" s="4">
        <v>960000</v>
      </c>
      <c r="H11" s="4"/>
      <c r="I11" s="100"/>
      <c r="J11" s="251"/>
      <c r="K11" s="109"/>
    </row>
    <row r="12" spans="1:11" s="98" customFormat="1">
      <c r="A12" s="247" t="s">
        <v>68</v>
      </c>
      <c r="B12" s="197" t="s">
        <v>199</v>
      </c>
      <c r="C12" s="95"/>
      <c r="D12" s="95"/>
      <c r="E12" s="95"/>
      <c r="F12" s="95"/>
      <c r="G12" s="95"/>
      <c r="H12" s="95"/>
      <c r="I12" s="100"/>
      <c r="J12" s="251"/>
      <c r="K12" s="109"/>
    </row>
    <row r="13" spans="1:11" s="98" customFormat="1" ht="25.5">
      <c r="A13" s="247" t="s">
        <v>37</v>
      </c>
      <c r="B13" s="197" t="s">
        <v>200</v>
      </c>
      <c r="C13" s="4">
        <v>789666477</v>
      </c>
      <c r="D13" s="4"/>
      <c r="E13" s="95"/>
      <c r="F13" s="95"/>
      <c r="G13" s="95"/>
      <c r="H13" s="95"/>
      <c r="I13" s="100"/>
      <c r="J13" s="251"/>
      <c r="K13" s="109"/>
    </row>
    <row r="14" spans="1:11" s="98" customFormat="1" ht="25.5">
      <c r="A14" s="247" t="s">
        <v>33</v>
      </c>
      <c r="B14" s="197" t="s">
        <v>288</v>
      </c>
      <c r="C14" s="4"/>
      <c r="D14" s="4"/>
      <c r="E14" s="95"/>
      <c r="F14" s="95"/>
      <c r="G14" s="95"/>
      <c r="H14" s="95"/>
      <c r="I14" s="100"/>
      <c r="J14" s="251"/>
      <c r="K14" s="109"/>
    </row>
    <row r="15" spans="1:11" s="98" customFormat="1" ht="38.25">
      <c r="A15" s="247" t="s">
        <v>35</v>
      </c>
      <c r="B15" s="197" t="s">
        <v>201</v>
      </c>
      <c r="C15" s="4"/>
      <c r="D15" s="4"/>
      <c r="E15" s="95"/>
      <c r="F15" s="4"/>
      <c r="G15" s="4"/>
      <c r="H15" s="4"/>
      <c r="I15" s="100"/>
      <c r="J15" s="251"/>
      <c r="K15" s="109"/>
    </row>
    <row r="16" spans="1:11" s="98" customFormat="1">
      <c r="A16" s="247" t="s">
        <v>42</v>
      </c>
      <c r="B16" s="197" t="s">
        <v>202</v>
      </c>
      <c r="C16" s="4"/>
      <c r="D16" s="4"/>
      <c r="E16" s="95"/>
      <c r="F16" s="4"/>
      <c r="G16" s="4"/>
      <c r="H16" s="4"/>
      <c r="I16" s="100"/>
      <c r="J16" s="251"/>
      <c r="K16" s="109"/>
    </row>
    <row r="17" spans="1:16383" s="98" customFormat="1">
      <c r="A17" s="247" t="s">
        <v>128</v>
      </c>
      <c r="B17" s="197" t="s">
        <v>203</v>
      </c>
      <c r="C17" s="4"/>
      <c r="D17" s="4"/>
      <c r="E17" s="95"/>
      <c r="F17" s="4"/>
      <c r="G17" s="4"/>
      <c r="H17" s="4"/>
      <c r="I17" s="100"/>
      <c r="J17" s="251"/>
      <c r="K17" s="109"/>
    </row>
    <row r="18" spans="1:16383" s="98" customFormat="1">
      <c r="A18" s="247" t="s">
        <v>211</v>
      </c>
      <c r="B18" s="197" t="s">
        <v>284</v>
      </c>
      <c r="C18" s="4"/>
      <c r="D18" s="4"/>
      <c r="E18" s="95"/>
      <c r="F18" s="4"/>
      <c r="G18" s="4"/>
      <c r="H18" s="4"/>
      <c r="I18" s="100"/>
      <c r="J18" s="251"/>
      <c r="K18" s="109"/>
    </row>
    <row r="19" spans="1:16383" s="98" customFormat="1" ht="25.5">
      <c r="A19" s="247" t="s">
        <v>69</v>
      </c>
      <c r="B19" s="197" t="s">
        <v>204</v>
      </c>
      <c r="C19" s="95"/>
      <c r="D19" s="95"/>
      <c r="E19" s="95"/>
      <c r="F19" s="95"/>
      <c r="G19" s="4"/>
      <c r="H19" s="95"/>
      <c r="I19" s="100"/>
      <c r="J19" s="251"/>
      <c r="K19" s="109"/>
    </row>
    <row r="20" spans="1:16383" s="98" customFormat="1" ht="51">
      <c r="A20" s="247" t="s">
        <v>70</v>
      </c>
      <c r="B20" s="197" t="s">
        <v>205</v>
      </c>
      <c r="C20" s="4"/>
      <c r="D20" s="4"/>
      <c r="E20" s="95"/>
      <c r="F20" s="4"/>
      <c r="G20" s="4"/>
      <c r="H20" s="4"/>
      <c r="I20" s="100"/>
      <c r="J20" s="251"/>
      <c r="K20" s="109"/>
    </row>
    <row r="21" spans="1:16383" s="98" customFormat="1">
      <c r="A21" s="247" t="s">
        <v>71</v>
      </c>
      <c r="B21" s="197" t="s">
        <v>206</v>
      </c>
      <c r="C21" s="95"/>
      <c r="D21" s="95"/>
      <c r="E21" s="95"/>
      <c r="F21" s="95"/>
      <c r="G21" s="95"/>
      <c r="H21" s="95"/>
      <c r="I21" s="100"/>
      <c r="J21" s="251"/>
      <c r="K21" s="109"/>
    </row>
    <row r="22" spans="1:16383" s="98" customFormat="1" ht="25.5">
      <c r="A22" s="247" t="s">
        <v>37</v>
      </c>
      <c r="B22" s="197" t="s">
        <v>207</v>
      </c>
      <c r="C22" s="4"/>
      <c r="D22" s="95"/>
      <c r="E22" s="95"/>
      <c r="F22" s="95"/>
      <c r="G22" s="95"/>
      <c r="H22" s="95"/>
      <c r="I22" s="100"/>
      <c r="J22" s="251"/>
      <c r="K22" s="109"/>
    </row>
    <row r="23" spans="1:16383" s="98" customFormat="1" ht="38.25">
      <c r="A23" s="247" t="s">
        <v>33</v>
      </c>
      <c r="B23" s="197" t="s">
        <v>285</v>
      </c>
      <c r="C23" s="4"/>
      <c r="D23" s="95"/>
      <c r="E23" s="95"/>
      <c r="F23" s="95"/>
      <c r="G23" s="95"/>
      <c r="H23" s="95"/>
      <c r="I23" s="100"/>
      <c r="J23" s="251"/>
      <c r="K23" s="109"/>
    </row>
    <row r="24" spans="1:16383" s="98" customFormat="1">
      <c r="A24" s="247" t="s">
        <v>35</v>
      </c>
      <c r="B24" s="197" t="s">
        <v>208</v>
      </c>
      <c r="C24" s="4">
        <v>511392962</v>
      </c>
      <c r="D24" s="4"/>
      <c r="E24" s="95"/>
      <c r="F24" s="95"/>
      <c r="G24" s="95"/>
      <c r="H24" s="95"/>
      <c r="I24" s="100"/>
      <c r="J24" s="251"/>
      <c r="K24" s="109"/>
    </row>
    <row r="25" spans="1:16383" s="98" customFormat="1" ht="51">
      <c r="A25" s="247" t="s">
        <v>42</v>
      </c>
      <c r="B25" s="197" t="s">
        <v>209</v>
      </c>
      <c r="C25" s="4"/>
      <c r="D25" s="95"/>
      <c r="E25" s="95"/>
      <c r="F25" s="95"/>
      <c r="G25" s="95"/>
      <c r="H25" s="95"/>
      <c r="I25" s="100"/>
      <c r="J25" s="251"/>
      <c r="K25" s="109"/>
    </row>
    <row r="26" spans="1:16383" s="98" customFormat="1">
      <c r="A26" s="247" t="s">
        <v>128</v>
      </c>
      <c r="B26" s="197" t="s">
        <v>210</v>
      </c>
      <c r="C26" s="95"/>
      <c r="D26" s="95"/>
      <c r="E26" s="95"/>
      <c r="F26" s="95"/>
      <c r="G26" s="4"/>
      <c r="H26" s="95"/>
      <c r="I26" s="100"/>
      <c r="J26" s="251"/>
      <c r="K26" s="109"/>
    </row>
    <row r="27" spans="1:16383" s="98" customFormat="1" ht="25.5">
      <c r="A27" s="247" t="s">
        <v>211</v>
      </c>
      <c r="B27" s="197" t="s">
        <v>212</v>
      </c>
      <c r="C27" s="95"/>
      <c r="D27" s="95"/>
      <c r="E27" s="5">
        <v>57629358</v>
      </c>
      <c r="F27" s="5">
        <v>95700220</v>
      </c>
      <c r="G27" s="5">
        <v>197517708</v>
      </c>
      <c r="H27" s="5">
        <v>167341068</v>
      </c>
      <c r="I27" s="100"/>
      <c r="J27" s="251"/>
      <c r="K27" s="109"/>
    </row>
    <row r="28" spans="1:16383" s="98" customFormat="1">
      <c r="A28" s="247" t="s">
        <v>213</v>
      </c>
      <c r="B28" s="197" t="s">
        <v>214</v>
      </c>
      <c r="C28" s="95"/>
      <c r="D28" s="95"/>
      <c r="E28" s="95"/>
      <c r="F28" s="95"/>
      <c r="G28" s="5">
        <v>632712404</v>
      </c>
      <c r="H28" s="5">
        <v>1083713463</v>
      </c>
      <c r="I28" s="244">
        <v>106333771</v>
      </c>
      <c r="J28" s="251"/>
      <c r="K28" s="109"/>
    </row>
    <row r="29" spans="1:16383" s="98" customFormat="1">
      <c r="A29" s="247" t="s">
        <v>215</v>
      </c>
      <c r="B29" s="197" t="s">
        <v>216</v>
      </c>
      <c r="C29" s="95"/>
      <c r="D29" s="95"/>
      <c r="E29" s="95"/>
      <c r="F29" s="95"/>
      <c r="G29" s="4">
        <v>1399220659</v>
      </c>
      <c r="H29" s="4">
        <v>298744058</v>
      </c>
      <c r="I29" s="136">
        <v>943460754</v>
      </c>
      <c r="J29" s="251"/>
      <c r="K29" s="109"/>
    </row>
    <row r="30" spans="1:16383" s="98" customFormat="1">
      <c r="A30" s="247" t="s">
        <v>217</v>
      </c>
      <c r="B30" s="197" t="s">
        <v>287</v>
      </c>
      <c r="C30" s="95"/>
      <c r="D30" s="95"/>
      <c r="E30" s="95"/>
      <c r="F30" s="95"/>
      <c r="G30" s="95"/>
      <c r="H30" s="95"/>
      <c r="I30" s="136">
        <v>97835233</v>
      </c>
      <c r="J30" s="251"/>
      <c r="K30" s="109"/>
      <c r="L30" s="251"/>
    </row>
    <row r="31" spans="1:16383" s="110" customFormat="1">
      <c r="A31" s="247" t="s">
        <v>72</v>
      </c>
      <c r="B31" s="197" t="s">
        <v>218</v>
      </c>
      <c r="C31" s="95"/>
      <c r="D31" s="95"/>
      <c r="E31" s="95"/>
      <c r="F31" s="95"/>
      <c r="G31" s="95"/>
      <c r="H31" s="95"/>
      <c r="I31" s="100"/>
      <c r="J31" s="251"/>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7" t="s">
        <v>37</v>
      </c>
      <c r="B32" s="197" t="s">
        <v>219</v>
      </c>
      <c r="C32" s="95"/>
      <c r="D32" s="95"/>
      <c r="E32" s="95"/>
      <c r="F32" s="95"/>
      <c r="G32" s="4">
        <v>1181906279</v>
      </c>
      <c r="H32" s="95"/>
      <c r="I32" s="100"/>
      <c r="J32" s="251"/>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7" t="s">
        <v>33</v>
      </c>
      <c r="B33" s="197" t="s">
        <v>220</v>
      </c>
      <c r="C33" s="95"/>
      <c r="D33" s="95"/>
      <c r="E33" s="95"/>
      <c r="F33" s="95"/>
      <c r="G33" s="4"/>
      <c r="H33" s="95"/>
      <c r="I33" s="100"/>
      <c r="J33" s="251"/>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7" t="s">
        <v>35</v>
      </c>
      <c r="B34" s="197" t="s">
        <v>221</v>
      </c>
      <c r="C34" s="95"/>
      <c r="D34" s="95"/>
      <c r="E34" s="95"/>
      <c r="F34" s="95"/>
      <c r="G34" s="95"/>
      <c r="H34" s="4">
        <v>149057251</v>
      </c>
      <c r="I34" s="136"/>
      <c r="J34" s="251"/>
      <c r="K34" s="109"/>
    </row>
    <row r="35" spans="1:16383" s="98" customFormat="1" ht="25.5">
      <c r="A35" s="247" t="s">
        <v>42</v>
      </c>
      <c r="B35" s="197" t="s">
        <v>222</v>
      </c>
      <c r="C35" s="95"/>
      <c r="D35" s="95"/>
      <c r="E35" s="95"/>
      <c r="F35" s="95"/>
      <c r="G35" s="95"/>
      <c r="H35" s="4"/>
      <c r="I35" s="136"/>
      <c r="J35" s="251"/>
      <c r="K35" s="109"/>
    </row>
    <row r="36" spans="1:16383" s="98" customFormat="1" ht="51">
      <c r="A36" s="247" t="s">
        <v>79</v>
      </c>
      <c r="B36" s="197" t="s">
        <v>223</v>
      </c>
      <c r="C36" s="4">
        <v>95846445</v>
      </c>
      <c r="D36" s="95"/>
      <c r="E36" s="95"/>
      <c r="F36" s="95"/>
      <c r="G36" s="95"/>
      <c r="H36" s="95"/>
      <c r="I36" s="100"/>
      <c r="J36" s="251"/>
      <c r="K36" s="109"/>
    </row>
    <row r="37" spans="1:16383" s="98" customFormat="1" ht="18.75" customHeight="1">
      <c r="A37" s="247" t="s">
        <v>80</v>
      </c>
      <c r="B37" s="197" t="s">
        <v>292</v>
      </c>
      <c r="C37" s="95"/>
      <c r="D37" s="127"/>
      <c r="E37" s="95"/>
      <c r="F37" s="95"/>
      <c r="G37" s="4"/>
      <c r="H37" s="95"/>
      <c r="I37" s="100"/>
      <c r="J37" s="251"/>
      <c r="K37" s="109"/>
    </row>
    <row r="38" spans="1:16383" s="98" customFormat="1" ht="18.75" customHeight="1">
      <c r="A38" s="247" t="s">
        <v>73</v>
      </c>
      <c r="B38" s="197" t="s">
        <v>224</v>
      </c>
      <c r="C38" s="4">
        <v>1885673</v>
      </c>
      <c r="D38" s="127"/>
      <c r="E38" s="95"/>
      <c r="F38" s="95"/>
      <c r="G38" s="4">
        <v>54496316</v>
      </c>
      <c r="H38" s="95"/>
      <c r="I38" s="100"/>
      <c r="J38" s="251"/>
      <c r="K38" s="109"/>
    </row>
    <row r="39" spans="1:16383" s="98" customFormat="1" ht="17.25" customHeight="1">
      <c r="A39" s="247" t="s">
        <v>74</v>
      </c>
      <c r="B39" s="197" t="s">
        <v>290</v>
      </c>
      <c r="C39" s="4"/>
      <c r="D39" s="127"/>
      <c r="E39" s="95"/>
      <c r="F39" s="95"/>
      <c r="G39" s="4"/>
      <c r="H39" s="95"/>
      <c r="I39" s="136"/>
      <c r="J39" s="251"/>
      <c r="K39" s="109"/>
    </row>
    <row r="40" spans="1:16383" s="98" customFormat="1">
      <c r="A40" s="247" t="s">
        <v>75</v>
      </c>
      <c r="B40" s="197" t="s">
        <v>291</v>
      </c>
      <c r="C40" s="95"/>
      <c r="D40" s="95"/>
      <c r="E40" s="95"/>
      <c r="F40" s="95"/>
      <c r="G40" s="95"/>
      <c r="H40" s="95"/>
      <c r="I40" s="244">
        <v>12180</v>
      </c>
      <c r="J40" s="251"/>
      <c r="K40" s="109"/>
    </row>
    <row r="41" spans="1:16383" s="98" customFormat="1">
      <c r="A41" s="247" t="s">
        <v>76</v>
      </c>
      <c r="B41" s="197" t="s">
        <v>225</v>
      </c>
      <c r="C41" s="4">
        <v>6812363</v>
      </c>
      <c r="D41" s="4"/>
      <c r="E41" s="4"/>
      <c r="F41" s="4"/>
      <c r="G41" s="4">
        <v>652289062</v>
      </c>
      <c r="H41" s="4"/>
      <c r="I41" s="136"/>
      <c r="J41" s="251"/>
      <c r="K41" s="109"/>
    </row>
    <row r="42" spans="1:16383" s="98" customFormat="1">
      <c r="A42" s="247" t="s">
        <v>77</v>
      </c>
      <c r="B42" s="197" t="s">
        <v>226</v>
      </c>
      <c r="C42" s="94">
        <f t="shared" ref="C42:I42" si="0">SUM(C8:C41)</f>
        <v>2929163631</v>
      </c>
      <c r="D42" s="94">
        <f t="shared" si="0"/>
        <v>7686000</v>
      </c>
      <c r="E42" s="94">
        <f t="shared" si="0"/>
        <v>57629358</v>
      </c>
      <c r="F42" s="94">
        <f t="shared" si="0"/>
        <v>603743915</v>
      </c>
      <c r="G42" s="94">
        <f t="shared" si="0"/>
        <v>4119102428</v>
      </c>
      <c r="H42" s="94">
        <f t="shared" si="0"/>
        <v>1698855840</v>
      </c>
      <c r="I42" s="99">
        <f t="shared" si="0"/>
        <v>1147641938</v>
      </c>
      <c r="J42" s="251">
        <f>SUM(C42:I42)</f>
        <v>10563823110</v>
      </c>
      <c r="K42" s="109">
        <f>+[7]Balance!$D$47+[7]Balance!$D$39</f>
        <v>10563823110</v>
      </c>
      <c r="L42" s="251">
        <f>+J42-K42</f>
        <v>0</v>
      </c>
    </row>
    <row r="43" spans="1:16383" s="98" customFormat="1" ht="25.5">
      <c r="A43" s="247" t="s">
        <v>78</v>
      </c>
      <c r="B43" s="197" t="s">
        <v>227</v>
      </c>
      <c r="C43" s="95"/>
      <c r="D43" s="94">
        <f t="shared" ref="D43:I43" si="1">D42*D3</f>
        <v>1537200</v>
      </c>
      <c r="E43" s="94">
        <f t="shared" si="1"/>
        <v>20170275.299999997</v>
      </c>
      <c r="F43" s="94">
        <f t="shared" si="1"/>
        <v>301871957.5</v>
      </c>
      <c r="G43" s="94">
        <f t="shared" si="1"/>
        <v>4119102428</v>
      </c>
      <c r="H43" s="94">
        <f t="shared" si="1"/>
        <v>2548283760</v>
      </c>
      <c r="I43" s="99">
        <f t="shared" si="1"/>
        <v>2295283876</v>
      </c>
      <c r="J43" s="251"/>
      <c r="K43" s="109"/>
    </row>
    <row r="44" spans="1:16383" s="98" customFormat="1" ht="13.5" thickBot="1">
      <c r="A44" s="198" t="s">
        <v>289</v>
      </c>
      <c r="B44" s="226" t="s">
        <v>228</v>
      </c>
      <c r="C44" s="96"/>
      <c r="D44" s="96"/>
      <c r="E44" s="96"/>
      <c r="F44" s="96"/>
      <c r="G44" s="96"/>
      <c r="H44" s="96"/>
      <c r="I44" s="101">
        <f>SUM(D43:I43)</f>
        <v>9286249496.7999992</v>
      </c>
      <c r="J44" s="251"/>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65" t="s">
        <v>52</v>
      </c>
      <c r="B47" s="263" t="s">
        <v>131</v>
      </c>
      <c r="C47" s="263"/>
      <c r="D47" s="259" t="s">
        <v>229</v>
      </c>
      <c r="E47" s="272">
        <v>0</v>
      </c>
      <c r="F47" s="272">
        <v>0.2</v>
      </c>
      <c r="G47" s="272">
        <v>0.5</v>
      </c>
      <c r="H47" s="272">
        <v>1</v>
      </c>
      <c r="I47" s="267" t="s">
        <v>230</v>
      </c>
      <c r="J47" s="109"/>
    </row>
    <row r="48" spans="1:16383" s="98" customFormat="1" ht="9.75" customHeight="1">
      <c r="A48" s="266"/>
      <c r="B48" s="264"/>
      <c r="C48" s="264"/>
      <c r="D48" s="260"/>
      <c r="E48" s="273"/>
      <c r="F48" s="273"/>
      <c r="G48" s="273"/>
      <c r="H48" s="273"/>
      <c r="I48" s="268"/>
      <c r="J48" s="109"/>
    </row>
    <row r="49" spans="1:12" s="98" customFormat="1" ht="17.25" customHeight="1">
      <c r="A49" s="266"/>
      <c r="B49" s="264"/>
      <c r="C49" s="264"/>
      <c r="D49" s="260"/>
      <c r="E49" s="199" t="s">
        <v>187</v>
      </c>
      <c r="F49" s="199" t="s">
        <v>187</v>
      </c>
      <c r="G49" s="199" t="s">
        <v>187</v>
      </c>
      <c r="H49" s="199" t="s">
        <v>187</v>
      </c>
      <c r="I49" s="268"/>
      <c r="J49" s="109"/>
    </row>
    <row r="50" spans="1:12" s="98" customFormat="1">
      <c r="A50" s="266"/>
      <c r="B50" s="264" t="s">
        <v>26</v>
      </c>
      <c r="C50" s="264"/>
      <c r="D50" s="248" t="s">
        <v>27</v>
      </c>
      <c r="E50" s="199" t="s">
        <v>28</v>
      </c>
      <c r="F50" s="248" t="s">
        <v>29</v>
      </c>
      <c r="G50" s="248" t="s">
        <v>53</v>
      </c>
      <c r="H50" s="248" t="s">
        <v>54</v>
      </c>
      <c r="I50" s="195" t="s">
        <v>57</v>
      </c>
      <c r="J50" s="109"/>
    </row>
    <row r="51" spans="1:12" s="98" customFormat="1">
      <c r="A51" s="200"/>
      <c r="B51" s="274" t="s">
        <v>231</v>
      </c>
      <c r="C51" s="275"/>
      <c r="D51" s="124"/>
      <c r="E51" s="124"/>
      <c r="F51" s="124"/>
      <c r="G51" s="124"/>
      <c r="H51" s="124"/>
      <c r="I51" s="125"/>
      <c r="J51" s="109"/>
    </row>
    <row r="52" spans="1:12" s="98" customFormat="1">
      <c r="A52" s="249">
        <v>1</v>
      </c>
      <c r="B52" s="280" t="s">
        <v>232</v>
      </c>
      <c r="C52" s="280"/>
      <c r="D52" s="95"/>
      <c r="E52" s="95"/>
      <c r="F52" s="95"/>
      <c r="G52" s="95"/>
      <c r="H52" s="95"/>
      <c r="I52" s="100"/>
      <c r="J52" s="109"/>
    </row>
    <row r="53" spans="1:12" s="98" customFormat="1">
      <c r="A53" s="249" t="s">
        <v>31</v>
      </c>
      <c r="B53" s="276" t="s">
        <v>233</v>
      </c>
      <c r="C53" s="276"/>
      <c r="D53" s="122">
        <v>0.5</v>
      </c>
      <c r="E53" s="5"/>
      <c r="F53" s="5"/>
      <c r="G53" s="5"/>
      <c r="H53" s="4">
        <v>88018812</v>
      </c>
      <c r="I53" s="99">
        <f>(F53*0.1)+(G53*0.25)+(H53*0.5)</f>
        <v>44009406</v>
      </c>
      <c r="J53" s="109"/>
    </row>
    <row r="54" spans="1:12" s="98" customFormat="1">
      <c r="A54" s="249" t="s">
        <v>33</v>
      </c>
      <c r="B54" s="276" t="s">
        <v>234</v>
      </c>
      <c r="C54" s="276"/>
      <c r="D54" s="122">
        <v>0.2</v>
      </c>
      <c r="E54" s="5"/>
      <c r="F54" s="5"/>
      <c r="G54" s="5"/>
      <c r="H54" s="4">
        <v>369776634</v>
      </c>
      <c r="I54" s="99">
        <f>(F54*0.04)+(G54*0.1)+(H54*0.2)</f>
        <v>73955326.799999997</v>
      </c>
      <c r="J54" s="251">
        <f>SUM(E53:H54)</f>
        <v>457795446</v>
      </c>
      <c r="K54" s="252">
        <f>+[7]Commitments!$D$4</f>
        <v>457795446</v>
      </c>
      <c r="L54" s="253">
        <f>+J54-K54</f>
        <v>0</v>
      </c>
    </row>
    <row r="55" spans="1:12" s="98" customFormat="1" ht="26.25" customHeight="1">
      <c r="A55" s="249">
        <v>2</v>
      </c>
      <c r="B55" s="280" t="s">
        <v>235</v>
      </c>
      <c r="C55" s="280"/>
      <c r="D55" s="122">
        <v>1</v>
      </c>
      <c r="E55" s="4">
        <v>820000000</v>
      </c>
      <c r="F55" s="5"/>
      <c r="G55" s="5"/>
      <c r="H55" s="4"/>
      <c r="I55" s="99">
        <f>(F55*0.2)+(G55*0.5)+(H55*1)</f>
        <v>0</v>
      </c>
      <c r="J55" s="109"/>
      <c r="L55" s="253"/>
    </row>
    <row r="56" spans="1:12" s="98" customFormat="1">
      <c r="A56" s="249">
        <v>3</v>
      </c>
      <c r="B56" s="280" t="s">
        <v>236</v>
      </c>
      <c r="C56" s="280"/>
      <c r="D56" s="122">
        <v>1</v>
      </c>
      <c r="E56" s="4">
        <v>0</v>
      </c>
      <c r="F56" s="5">
        <v>0</v>
      </c>
      <c r="G56" s="95"/>
      <c r="H56" s="4">
        <v>1100000</v>
      </c>
      <c r="I56" s="99">
        <f>(F56*0.2)+(G56*0.5)+(H56*1)</f>
        <v>1100000</v>
      </c>
      <c r="J56" s="251">
        <f>SUM(E56:H56)</f>
        <v>1100000</v>
      </c>
      <c r="K56" s="252">
        <f>+[7]Commitments!$D$7</f>
        <v>1100000</v>
      </c>
      <c r="L56" s="253">
        <f>+J56-K56</f>
        <v>0</v>
      </c>
    </row>
    <row r="57" spans="1:12" s="98" customFormat="1">
      <c r="A57" s="249">
        <v>4</v>
      </c>
      <c r="B57" s="280" t="s">
        <v>237</v>
      </c>
      <c r="C57" s="280"/>
      <c r="D57" s="114"/>
      <c r="E57" s="95"/>
      <c r="F57" s="95"/>
      <c r="G57" s="95"/>
      <c r="H57" s="95"/>
      <c r="I57" s="100"/>
      <c r="J57" s="109"/>
      <c r="L57" s="253"/>
    </row>
    <row r="58" spans="1:12" s="98" customFormat="1">
      <c r="A58" s="249" t="s">
        <v>31</v>
      </c>
      <c r="B58" s="276" t="s">
        <v>238</v>
      </c>
      <c r="C58" s="276"/>
      <c r="D58" s="122">
        <v>1</v>
      </c>
      <c r="E58" s="5"/>
      <c r="F58" s="5"/>
      <c r="G58" s="5"/>
      <c r="H58" s="5"/>
      <c r="I58" s="99">
        <f>(F58*0.2)+(G58*0.5)+(H58*1)</f>
        <v>0</v>
      </c>
      <c r="J58" s="109"/>
      <c r="L58" s="253"/>
    </row>
    <row r="59" spans="1:12" s="98" customFormat="1">
      <c r="A59" s="249" t="s">
        <v>33</v>
      </c>
      <c r="B59" s="276" t="s">
        <v>239</v>
      </c>
      <c r="C59" s="276"/>
      <c r="D59" s="122">
        <v>0.5</v>
      </c>
      <c r="E59" s="5"/>
      <c r="F59" s="5"/>
      <c r="G59" s="5"/>
      <c r="H59" s="5"/>
      <c r="I59" s="99">
        <f>(F59*0.1)+(G59*0.25)+(H59*0.5)</f>
        <v>0</v>
      </c>
      <c r="J59" s="109"/>
      <c r="L59" s="253"/>
    </row>
    <row r="60" spans="1:12" s="98" customFormat="1" ht="12.75" customHeight="1">
      <c r="A60" s="249" t="s">
        <v>35</v>
      </c>
      <c r="B60" s="276" t="s">
        <v>240</v>
      </c>
      <c r="C60" s="276"/>
      <c r="D60" s="122">
        <v>0.2</v>
      </c>
      <c r="E60" s="5">
        <v>0</v>
      </c>
      <c r="F60" s="5"/>
      <c r="G60" s="5"/>
      <c r="H60" s="5">
        <v>0</v>
      </c>
      <c r="I60" s="99">
        <f>(F60*0.04)+(G60*0.1)+(H60*0.2)</f>
        <v>0</v>
      </c>
      <c r="L60" s="253"/>
    </row>
    <row r="61" spans="1:12" s="98" customFormat="1">
      <c r="A61" s="249" t="s">
        <v>42</v>
      </c>
      <c r="B61" s="276" t="s">
        <v>241</v>
      </c>
      <c r="C61" s="276"/>
      <c r="D61" s="122">
        <v>1</v>
      </c>
      <c r="E61" s="5"/>
      <c r="F61" s="5"/>
      <c r="G61" s="95"/>
      <c r="H61" s="5"/>
      <c r="I61" s="99">
        <f>(F61*0.2)+(G61*0.5)+(H61*1)</f>
        <v>0</v>
      </c>
      <c r="J61" s="251">
        <f>SUM(E58:H61)</f>
        <v>0</v>
      </c>
      <c r="K61" s="253">
        <f>+[7]Commitments!$D$10</f>
        <v>0</v>
      </c>
      <c r="L61" s="253">
        <f>+J61-K61</f>
        <v>0</v>
      </c>
    </row>
    <row r="62" spans="1:12" s="98" customFormat="1">
      <c r="A62" s="249">
        <v>5</v>
      </c>
      <c r="B62" s="276" t="s">
        <v>277</v>
      </c>
      <c r="C62" s="276"/>
      <c r="D62" s="114"/>
      <c r="E62" s="95"/>
      <c r="F62" s="95"/>
      <c r="G62" s="95"/>
      <c r="H62" s="95"/>
      <c r="I62" s="100"/>
      <c r="J62" s="109"/>
      <c r="L62" s="253"/>
    </row>
    <row r="63" spans="1:12" s="98" customFormat="1">
      <c r="A63" s="249" t="s">
        <v>31</v>
      </c>
      <c r="B63" s="276" t="s">
        <v>242</v>
      </c>
      <c r="C63" s="276"/>
      <c r="D63" s="114"/>
      <c r="E63" s="95"/>
      <c r="F63" s="95"/>
      <c r="G63" s="95"/>
      <c r="H63" s="95"/>
      <c r="I63" s="100"/>
      <c r="J63" s="109"/>
      <c r="L63" s="253"/>
    </row>
    <row r="64" spans="1:12" s="98" customFormat="1">
      <c r="A64" s="249" t="s">
        <v>58</v>
      </c>
      <c r="B64" s="277" t="s">
        <v>243</v>
      </c>
      <c r="C64" s="277"/>
      <c r="D64" s="123">
        <v>5.0000000000000001E-3</v>
      </c>
      <c r="E64" s="5"/>
      <c r="F64" s="5"/>
      <c r="G64" s="5"/>
      <c r="H64" s="5">
        <v>157730160</v>
      </c>
      <c r="I64" s="99">
        <f>(F64*0.001)+(G64*0.0025)+(H64*0.005)</f>
        <v>788650.8</v>
      </c>
      <c r="J64" s="109"/>
      <c r="L64" s="253"/>
    </row>
    <row r="65" spans="1:30" s="98" customFormat="1">
      <c r="A65" s="249" t="s">
        <v>59</v>
      </c>
      <c r="B65" s="277" t="s">
        <v>244</v>
      </c>
      <c r="C65" s="277"/>
      <c r="D65" s="122">
        <v>0.01</v>
      </c>
      <c r="E65" s="5"/>
      <c r="F65" s="5"/>
      <c r="G65" s="5"/>
      <c r="H65" s="5"/>
      <c r="I65" s="99">
        <f>(F65*0.002)+(G65*0.005)+(H65*0.01)</f>
        <v>0</v>
      </c>
      <c r="J65" s="109"/>
      <c r="L65" s="253"/>
    </row>
    <row r="66" spans="1:30" s="98" customFormat="1">
      <c r="A66" s="249" t="s">
        <v>60</v>
      </c>
      <c r="B66" s="277" t="s">
        <v>245</v>
      </c>
      <c r="C66" s="277"/>
      <c r="D66" s="122">
        <v>0.02</v>
      </c>
      <c r="E66" s="5"/>
      <c r="F66" s="5"/>
      <c r="G66" s="5"/>
      <c r="H66" s="5"/>
      <c r="I66" s="99">
        <f>(F66*0.004)+(G66*0.01)+(H66*0.02)</f>
        <v>0</v>
      </c>
      <c r="J66" s="109"/>
      <c r="L66" s="253"/>
    </row>
    <row r="67" spans="1:30" s="98" customFormat="1">
      <c r="A67" s="249" t="s">
        <v>33</v>
      </c>
      <c r="B67" s="276" t="s">
        <v>246</v>
      </c>
      <c r="C67" s="276"/>
      <c r="D67" s="114"/>
      <c r="E67" s="95"/>
      <c r="F67" s="95"/>
      <c r="G67" s="95"/>
      <c r="H67" s="95"/>
      <c r="I67" s="100"/>
      <c r="J67" s="109"/>
      <c r="L67" s="253"/>
    </row>
    <row r="68" spans="1:30" s="98" customFormat="1">
      <c r="A68" s="249" t="s">
        <v>61</v>
      </c>
      <c r="B68" s="277" t="s">
        <v>247</v>
      </c>
      <c r="C68" s="277"/>
      <c r="D68" s="122">
        <v>0.02</v>
      </c>
      <c r="E68" s="5"/>
      <c r="F68" s="5"/>
      <c r="G68" s="5"/>
      <c r="H68" s="5">
        <v>0</v>
      </c>
      <c r="I68" s="99">
        <f>(F68*0.004)+(G68*0.01)+(H68*0.02)</f>
        <v>0</v>
      </c>
      <c r="J68" s="251"/>
      <c r="K68" s="252"/>
      <c r="L68" s="253"/>
    </row>
    <row r="69" spans="1:30" s="98" customFormat="1">
      <c r="A69" s="249" t="s">
        <v>62</v>
      </c>
      <c r="B69" s="277" t="s">
        <v>248</v>
      </c>
      <c r="C69" s="277"/>
      <c r="D69" s="122">
        <v>0.05</v>
      </c>
      <c r="E69" s="5"/>
      <c r="F69" s="5"/>
      <c r="G69" s="5"/>
      <c r="H69" s="5"/>
      <c r="I69" s="99">
        <f>(F69*0.01)+(G69*0.025)+(H69*0.05)</f>
        <v>0</v>
      </c>
      <c r="J69" s="109"/>
    </row>
    <row r="70" spans="1:30" s="98" customFormat="1">
      <c r="A70" s="249" t="s">
        <v>63</v>
      </c>
      <c r="B70" s="277" t="s">
        <v>249</v>
      </c>
      <c r="C70" s="277"/>
      <c r="D70" s="122">
        <v>0.08</v>
      </c>
      <c r="E70" s="5"/>
      <c r="F70" s="5"/>
      <c r="G70" s="5"/>
      <c r="H70" s="5"/>
      <c r="I70" s="99">
        <f>(F70*0.016)+(G70*0.04)+(H70*0.08)</f>
        <v>0</v>
      </c>
      <c r="J70" s="109"/>
    </row>
    <row r="71" spans="1:30" s="98" customFormat="1">
      <c r="A71" s="249">
        <v>6</v>
      </c>
      <c r="B71" s="270" t="s">
        <v>250</v>
      </c>
      <c r="C71" s="271"/>
      <c r="D71" s="114"/>
      <c r="E71" s="94">
        <f>SUM(E53:E70)</f>
        <v>820000000</v>
      </c>
      <c r="F71" s="94">
        <f>SUM(F53:F70)</f>
        <v>0</v>
      </c>
      <c r="G71" s="94">
        <f>SUM(G53:G70)</f>
        <v>0</v>
      </c>
      <c r="H71" s="94">
        <f>SUM(H53:H70)</f>
        <v>616625606</v>
      </c>
      <c r="I71" s="100"/>
      <c r="J71" s="252">
        <f>SUM(E71:H71)</f>
        <v>1436625606</v>
      </c>
      <c r="K71" s="252">
        <f>+[7]Commitments!$D$4+[7]Commitments!$D$7+[7]Commitments!$D$10+[7]Commitments!$D$19+[7]Commitments!$D$20+[7]Commitments!$D$21+[7]Commitments!$D$22</f>
        <v>616625606</v>
      </c>
      <c r="L71" s="254">
        <f>+J71-K71</f>
        <v>820000000</v>
      </c>
    </row>
    <row r="72" spans="1:30" s="98" customFormat="1">
      <c r="A72" s="249">
        <v>7</v>
      </c>
      <c r="B72" s="270" t="s">
        <v>251</v>
      </c>
      <c r="C72" s="271"/>
      <c r="D72" s="114"/>
      <c r="E72" s="95"/>
      <c r="F72" s="95"/>
      <c r="G72" s="95"/>
      <c r="H72" s="95"/>
      <c r="I72" s="99">
        <f>SUM(I53:I70)</f>
        <v>119853383.59999999</v>
      </c>
      <c r="J72" s="109"/>
    </row>
    <row r="73" spans="1:30" s="98" customFormat="1" ht="13.5" thickBot="1">
      <c r="A73" s="201">
        <v>8</v>
      </c>
      <c r="B73" s="278" t="s">
        <v>252</v>
      </c>
      <c r="C73" s="279"/>
      <c r="D73" s="115"/>
      <c r="E73" s="96"/>
      <c r="F73" s="96"/>
      <c r="G73" s="96"/>
      <c r="H73" s="96"/>
      <c r="I73" s="101">
        <f>SUM(I72+I44)</f>
        <v>9406102880.3999996</v>
      </c>
      <c r="J73" s="109">
        <f>+I73*0.15</f>
        <v>1410915432.0599999</v>
      </c>
    </row>
    <row r="74" spans="1:30">
      <c r="I74" s="102"/>
      <c r="J74" s="126"/>
    </row>
    <row r="75" spans="1:30" s="238" customFormat="1" ht="15" customHeight="1">
      <c r="A75" s="236"/>
      <c r="B75" s="216" t="s">
        <v>278</v>
      </c>
      <c r="C75" s="236"/>
      <c r="D75" s="236"/>
      <c r="E75" s="236"/>
      <c r="F75" s="237"/>
      <c r="G75" s="237"/>
      <c r="H75" s="237"/>
      <c r="I75" s="237"/>
      <c r="J75" s="237"/>
      <c r="K75" s="237"/>
      <c r="L75" s="237"/>
      <c r="M75" s="237"/>
      <c r="N75" s="236"/>
      <c r="O75" s="236"/>
      <c r="P75" s="236"/>
      <c r="Q75" s="236"/>
      <c r="R75" s="236"/>
      <c r="S75" s="236"/>
      <c r="T75" s="236"/>
      <c r="U75" s="236"/>
      <c r="V75" s="236"/>
      <c r="W75" s="236"/>
      <c r="X75" s="236"/>
      <c r="Y75" s="236"/>
      <c r="Z75" s="236"/>
      <c r="AA75" s="236"/>
      <c r="AB75" s="236"/>
      <c r="AC75" s="236"/>
      <c r="AD75" s="236"/>
    </row>
    <row r="76" spans="1:30" s="238" customFormat="1" ht="11.25" customHeight="1">
      <c r="A76" s="236"/>
      <c r="B76" s="216"/>
      <c r="C76" s="236"/>
      <c r="D76" s="236"/>
      <c r="E76" s="236"/>
      <c r="F76" s="237"/>
      <c r="G76" s="237"/>
      <c r="H76" s="237"/>
      <c r="I76" s="237"/>
      <c r="J76" s="237"/>
      <c r="K76" s="237"/>
      <c r="L76" s="237"/>
      <c r="M76" s="237"/>
      <c r="N76" s="236"/>
      <c r="O76" s="236"/>
      <c r="P76" s="236"/>
      <c r="Q76" s="236"/>
      <c r="R76" s="236"/>
      <c r="S76" s="236"/>
      <c r="T76" s="236"/>
      <c r="U76" s="236"/>
      <c r="V76" s="236"/>
      <c r="W76" s="236"/>
      <c r="X76" s="236"/>
      <c r="Y76" s="236"/>
      <c r="Z76" s="236"/>
      <c r="AA76" s="236"/>
      <c r="AB76" s="236"/>
      <c r="AC76" s="236"/>
      <c r="AD76" s="236"/>
    </row>
    <row r="77" spans="1:30" s="238" customFormat="1" ht="15" customHeight="1">
      <c r="A77" s="236"/>
      <c r="B77" s="216" t="s">
        <v>279</v>
      </c>
      <c r="C77" s="236"/>
      <c r="D77" s="236"/>
      <c r="E77" s="236"/>
      <c r="F77" s="237"/>
      <c r="G77" s="237"/>
      <c r="H77" s="237"/>
      <c r="I77" s="237"/>
      <c r="J77" s="237"/>
      <c r="K77" s="237"/>
      <c r="L77" s="237"/>
      <c r="M77" s="237"/>
      <c r="N77" s="236"/>
      <c r="O77" s="236"/>
      <c r="P77" s="236"/>
      <c r="Q77" s="236"/>
      <c r="R77" s="236"/>
      <c r="S77" s="236"/>
      <c r="T77" s="236"/>
      <c r="U77" s="236"/>
      <c r="V77" s="236"/>
      <c r="W77" s="236"/>
      <c r="X77" s="236"/>
      <c r="Y77" s="236"/>
      <c r="Z77" s="236"/>
      <c r="AA77" s="236"/>
      <c r="AB77" s="236"/>
      <c r="AC77" s="236"/>
      <c r="AD77" s="236"/>
    </row>
  </sheetData>
  <sheetProtection password="CACA" sheet="1" objects="1" scenarios="1"/>
  <mergeCells count="36">
    <mergeCell ref="A3:A5"/>
    <mergeCell ref="B3:B5"/>
    <mergeCell ref="B52:C52"/>
    <mergeCell ref="A1:H1"/>
    <mergeCell ref="G2:H2"/>
    <mergeCell ref="A47:A50"/>
    <mergeCell ref="B47:C49"/>
    <mergeCell ref="E47:E48"/>
    <mergeCell ref="F47:F48"/>
    <mergeCell ref="G47:G48"/>
    <mergeCell ref="H47:H48"/>
    <mergeCell ref="I47:I49"/>
    <mergeCell ref="B50:C50"/>
    <mergeCell ref="B53:C53"/>
    <mergeCell ref="B54:C54"/>
    <mergeCell ref="D47:D49"/>
    <mergeCell ref="B51:C51"/>
    <mergeCell ref="B55:C55"/>
    <mergeCell ref="B56:C56"/>
    <mergeCell ref="B57:C57"/>
    <mergeCell ref="B58:C58"/>
    <mergeCell ref="B59:C59"/>
    <mergeCell ref="B60:C60"/>
    <mergeCell ref="B61:C61"/>
    <mergeCell ref="B71:C71"/>
    <mergeCell ref="B72:C72"/>
    <mergeCell ref="B73:C73"/>
    <mergeCell ref="B62:C62"/>
    <mergeCell ref="B63:C63"/>
    <mergeCell ref="B64:C64"/>
    <mergeCell ref="B65:C65"/>
    <mergeCell ref="B66:C66"/>
    <mergeCell ref="B67:C67"/>
    <mergeCell ref="B68:C68"/>
    <mergeCell ref="B69:C69"/>
    <mergeCell ref="B70:C70"/>
  </mergeCells>
  <conditionalFormatting sqref="J30">
    <cfRule type="cellIs" dxfId="19" priority="6" operator="notEqual">
      <formula>K30</formula>
    </cfRule>
  </conditionalFormatting>
  <conditionalFormatting sqref="J54">
    <cfRule type="cellIs" dxfId="18" priority="5" operator="notEqual">
      <formula>K54</formula>
    </cfRule>
  </conditionalFormatting>
  <conditionalFormatting sqref="J56">
    <cfRule type="cellIs" dxfId="17" priority="4" operator="notEqual">
      <formula>K56</formula>
    </cfRule>
  </conditionalFormatting>
  <conditionalFormatting sqref="J61">
    <cfRule type="cellIs" dxfId="16" priority="3" operator="notEqual">
      <formula>K61</formula>
    </cfRule>
  </conditionalFormatting>
  <conditionalFormatting sqref="J68">
    <cfRule type="cellIs" dxfId="15" priority="2" operator="notEqual">
      <formula>K68</formula>
    </cfRule>
  </conditionalFormatting>
  <conditionalFormatting sqref="J42">
    <cfRule type="cellIs" dxfId="14" priority="1" operator="notEqual">
      <formula>K42</formula>
    </cfRule>
  </conditionalFormatting>
  <dataValidations count="2">
    <dataValidation type="whole" operator="greaterThanOrEqual" allowBlank="1" showInputMessage="1" showErrorMessage="1" sqref="E57:H57 G56 E67:H67 E62:H63 G61" xr:uid="{00000000-0002-0000-0300-000000000000}">
      <formula1>0</formula1>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3:H55 E61:F61 E53:E56 H58:H61 E58:G60 E68:H70 H56 E64:H66 C20:D20 G26:I26 D11 C8 F20:H20 D9 G17:G19 F17:F18 C10:D10 E27:F27 F56 H17:H18 C38:C39 F11:H11 C22:C25 C41:I41 C13:D18 D24 G31:G34 G35:I35 H34:I34 C36 F15:H16 G27:H29 G37:G39 I27:I30 I39:I40" xr:uid="{00000000-0002-0000-0300-000001000000}">
      <formula1>-1E+22</formula1>
      <formula2>1E+22</formula2>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J5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XFC77"/>
  <sheetViews>
    <sheetView view="pageBreakPreview" zoomScale="85" zoomScaleNormal="75" zoomScaleSheetLayoutView="85" workbookViewId="0">
      <pane xSplit="2" ySplit="6" topLeftCell="C43" activePane="bottomRight" state="frozen"/>
      <selection activeCell="K40" sqref="K40"/>
      <selection pane="topRight" activeCell="K40" sqref="K40"/>
      <selection pane="bottomLeft" activeCell="K40" sqref="K40"/>
      <selection pane="bottomRight" activeCell="E42" sqref="E42"/>
    </sheetView>
  </sheetViews>
  <sheetFormatPr defaultRowHeight="12.75"/>
  <cols>
    <col min="1" max="1" width="5.42578125" style="106" customWidth="1"/>
    <col min="2" max="2" width="67" style="102" customWidth="1"/>
    <col min="3" max="3" width="12.5703125" style="102" customWidth="1"/>
    <col min="4" max="7" width="14.7109375" style="102" customWidth="1"/>
    <col min="8" max="8" width="16.140625" style="102" customWidth="1"/>
    <col min="9" max="9" width="18.140625" style="126" customWidth="1"/>
    <col min="10" max="12" width="16.42578125" style="102" customWidth="1"/>
    <col min="13" max="13" width="11.28515625" style="102" bestFit="1" customWidth="1"/>
    <col min="14" max="15" width="10.28515625" style="102" customWidth="1"/>
    <col min="16" max="16384" width="9.140625" style="102"/>
  </cols>
  <sheetData>
    <row r="1" spans="1:11" ht="26.25" customHeight="1">
      <c r="A1" s="258" t="s">
        <v>254</v>
      </c>
      <c r="B1" s="258"/>
      <c r="C1" s="258"/>
      <c r="D1" s="258"/>
      <c r="E1" s="258"/>
      <c r="F1" s="258"/>
      <c r="G1" s="258"/>
      <c r="H1" s="258"/>
      <c r="I1" s="191" t="s">
        <v>255</v>
      </c>
    </row>
    <row r="2" spans="1:11" ht="25.5" customHeight="1" thickBot="1">
      <c r="B2" s="118" t="str">
        <f>+'Bank Capital Calc'!B3</f>
        <v>"Алоқабанк"</v>
      </c>
      <c r="D2" s="105"/>
      <c r="E2" s="105"/>
      <c r="G2" s="269">
        <f>+'Bank Capital Calc'!C3</f>
        <v>44926</v>
      </c>
      <c r="H2" s="269"/>
      <c r="I2" s="192" t="s">
        <v>271</v>
      </c>
      <c r="J2" s="126"/>
    </row>
    <row r="3" spans="1:11">
      <c r="A3" s="261" t="s">
        <v>52</v>
      </c>
      <c r="B3" s="263" t="s">
        <v>131</v>
      </c>
      <c r="C3" s="193">
        <v>0</v>
      </c>
      <c r="D3" s="193">
        <v>0.2</v>
      </c>
      <c r="E3" s="193">
        <v>0.35</v>
      </c>
      <c r="F3" s="193">
        <v>0.5</v>
      </c>
      <c r="G3" s="193">
        <v>1</v>
      </c>
      <c r="H3" s="193">
        <v>1.5</v>
      </c>
      <c r="I3" s="194">
        <v>2</v>
      </c>
      <c r="J3" s="250"/>
      <c r="K3" s="126"/>
    </row>
    <row r="4" spans="1:11" ht="20.25" customHeight="1">
      <c r="A4" s="262"/>
      <c r="B4" s="264"/>
      <c r="C4" s="248" t="s">
        <v>187</v>
      </c>
      <c r="D4" s="248" t="s">
        <v>187</v>
      </c>
      <c r="E4" s="248" t="s">
        <v>187</v>
      </c>
      <c r="F4" s="248" t="s">
        <v>187</v>
      </c>
      <c r="G4" s="248" t="s">
        <v>187</v>
      </c>
      <c r="H4" s="248" t="s">
        <v>187</v>
      </c>
      <c r="I4" s="195" t="s">
        <v>187</v>
      </c>
      <c r="K4" s="126"/>
    </row>
    <row r="5" spans="1:11" ht="20.25" customHeight="1">
      <c r="A5" s="262"/>
      <c r="B5" s="264"/>
      <c r="C5" s="248" t="s">
        <v>188</v>
      </c>
      <c r="D5" s="248" t="s">
        <v>189</v>
      </c>
      <c r="E5" s="248" t="s">
        <v>190</v>
      </c>
      <c r="F5" s="248" t="s">
        <v>191</v>
      </c>
      <c r="G5" s="248" t="s">
        <v>192</v>
      </c>
      <c r="H5" s="248" t="s">
        <v>193</v>
      </c>
      <c r="I5" s="195" t="s">
        <v>194</v>
      </c>
      <c r="K5" s="126"/>
    </row>
    <row r="6" spans="1:11">
      <c r="A6" s="247"/>
      <c r="B6" s="128" t="s">
        <v>26</v>
      </c>
      <c r="C6" s="128" t="s">
        <v>27</v>
      </c>
      <c r="D6" s="128" t="s">
        <v>28</v>
      </c>
      <c r="E6" s="128" t="s">
        <v>29</v>
      </c>
      <c r="F6" s="128" t="s">
        <v>53</v>
      </c>
      <c r="G6" s="128" t="s">
        <v>54</v>
      </c>
      <c r="H6" s="128" t="s">
        <v>57</v>
      </c>
      <c r="I6" s="133" t="s">
        <v>64</v>
      </c>
      <c r="K6" s="126"/>
    </row>
    <row r="7" spans="1:11">
      <c r="A7" s="247"/>
      <c r="B7" s="196" t="s">
        <v>195</v>
      </c>
      <c r="C7" s="108"/>
      <c r="D7" s="108"/>
      <c r="E7" s="108"/>
      <c r="F7" s="108"/>
      <c r="G7" s="108"/>
      <c r="H7" s="108"/>
      <c r="I7" s="134"/>
      <c r="K7" s="126"/>
    </row>
    <row r="8" spans="1:11" s="98" customFormat="1">
      <c r="A8" s="247" t="s">
        <v>55</v>
      </c>
      <c r="B8" s="197" t="s">
        <v>196</v>
      </c>
      <c r="C8" s="62">
        <f>+'Calculation of Risk Weighted As'!C8-'Calculation of Risk Weighte нац'!C8</f>
        <v>297626144</v>
      </c>
      <c r="D8" s="95"/>
      <c r="E8" s="95"/>
      <c r="F8" s="95"/>
      <c r="G8" s="95"/>
      <c r="H8" s="95"/>
      <c r="I8" s="100"/>
      <c r="J8" s="251"/>
      <c r="K8" s="109"/>
    </row>
    <row r="9" spans="1:11" s="98" customFormat="1">
      <c r="A9" s="247" t="s">
        <v>65</v>
      </c>
      <c r="B9" s="197" t="s">
        <v>197</v>
      </c>
      <c r="C9" s="95"/>
      <c r="D9" s="62">
        <f>+'Calculation of Risk Weighted As'!D9-'Calculation of Risk Weighte нац'!D9</f>
        <v>10829682</v>
      </c>
      <c r="E9" s="95"/>
      <c r="F9" s="95"/>
      <c r="G9" s="95"/>
      <c r="H9" s="95"/>
      <c r="I9" s="100"/>
      <c r="J9" s="251"/>
      <c r="K9" s="109"/>
    </row>
    <row r="10" spans="1:11" s="98" customFormat="1">
      <c r="A10" s="247" t="s">
        <v>66</v>
      </c>
      <c r="B10" s="197" t="s">
        <v>198</v>
      </c>
      <c r="C10" s="62">
        <f>+'Calculation of Risk Weighted As'!C10-'Calculation of Risk Weighte нац'!C10</f>
        <v>0</v>
      </c>
      <c r="D10" s="62">
        <f>+'Calculation of Risk Weighted As'!D10-'Calculation of Risk Weighte нац'!D10</f>
        <v>265155239</v>
      </c>
      <c r="E10" s="95"/>
      <c r="F10" s="95"/>
      <c r="G10" s="95"/>
      <c r="H10" s="95"/>
      <c r="I10" s="100"/>
      <c r="J10" s="251"/>
      <c r="K10" s="109"/>
    </row>
    <row r="11" spans="1:11" s="98" customFormat="1" ht="25.5">
      <c r="A11" s="247" t="s">
        <v>67</v>
      </c>
      <c r="B11" s="197" t="s">
        <v>286</v>
      </c>
      <c r="C11" s="95"/>
      <c r="D11" s="62">
        <f>+'Calculation of Risk Weighted As'!D11-'Calculation of Risk Weighte нац'!D11</f>
        <v>149857095</v>
      </c>
      <c r="E11" s="95"/>
      <c r="F11" s="62">
        <f>+'Calculation of Risk Weighted As'!F11-'Calculation of Risk Weighte нац'!F11</f>
        <v>954345691</v>
      </c>
      <c r="G11" s="62">
        <f>+'Calculation of Risk Weighted As'!G11-'Calculation of Risk Weighte нац'!G11</f>
        <v>0</v>
      </c>
      <c r="H11" s="62">
        <f>+'Calculation of Risk Weighted As'!H11-'Calculation of Risk Weighte нац'!H11</f>
        <v>0</v>
      </c>
      <c r="I11" s="100"/>
      <c r="J11" s="251"/>
      <c r="K11" s="109"/>
    </row>
    <row r="12" spans="1:11" s="98" customFormat="1">
      <c r="A12" s="247" t="s">
        <v>68</v>
      </c>
      <c r="B12" s="197" t="s">
        <v>199</v>
      </c>
      <c r="C12" s="95"/>
      <c r="D12" s="95"/>
      <c r="E12" s="95"/>
      <c r="F12" s="95"/>
      <c r="G12" s="95"/>
      <c r="H12" s="95"/>
      <c r="I12" s="100"/>
      <c r="J12" s="251"/>
      <c r="K12" s="109"/>
    </row>
    <row r="13" spans="1:11" s="98" customFormat="1" ht="25.5">
      <c r="A13" s="247" t="s">
        <v>37</v>
      </c>
      <c r="B13" s="197" t="s">
        <v>200</v>
      </c>
      <c r="C13" s="62">
        <f>+'Calculation of Risk Weighted As'!C13-'Calculation of Risk Weighte нац'!C13</f>
        <v>0</v>
      </c>
      <c r="D13" s="62">
        <f>+'Calculation of Risk Weighted As'!D13-'Calculation of Risk Weighte нац'!D13</f>
        <v>0</v>
      </c>
      <c r="E13" s="95"/>
      <c r="F13" s="95"/>
      <c r="G13" s="95"/>
      <c r="H13" s="95"/>
      <c r="I13" s="100"/>
      <c r="J13" s="251"/>
      <c r="K13" s="109"/>
    </row>
    <row r="14" spans="1:11" s="98" customFormat="1" ht="25.5">
      <c r="A14" s="247" t="s">
        <v>33</v>
      </c>
      <c r="B14" s="197" t="s">
        <v>288</v>
      </c>
      <c r="C14" s="62">
        <f>+'Calculation of Risk Weighted As'!C14-'Calculation of Risk Weighte нац'!C14</f>
        <v>0</v>
      </c>
      <c r="D14" s="62">
        <f>+'Calculation of Risk Weighted As'!D14-'Calculation of Risk Weighte нац'!D14</f>
        <v>0</v>
      </c>
      <c r="E14" s="95"/>
      <c r="F14" s="95"/>
      <c r="G14" s="95"/>
      <c r="H14" s="95"/>
      <c r="I14" s="100"/>
      <c r="J14" s="251"/>
      <c r="K14" s="109"/>
    </row>
    <row r="15" spans="1:11" s="98" customFormat="1" ht="38.25">
      <c r="A15" s="247" t="s">
        <v>35</v>
      </c>
      <c r="B15" s="197" t="s">
        <v>201</v>
      </c>
      <c r="C15" s="62">
        <f>+'Calculation of Risk Weighted As'!C15-'Calculation of Risk Weighte нац'!C15</f>
        <v>0</v>
      </c>
      <c r="D15" s="62">
        <f>+'Calculation of Risk Weighted As'!D15-'Calculation of Risk Weighte нац'!D15</f>
        <v>0</v>
      </c>
      <c r="E15" s="95"/>
      <c r="F15" s="62">
        <f>+'Calculation of Risk Weighted As'!F15-'Calculation of Risk Weighte нац'!F15</f>
        <v>0</v>
      </c>
      <c r="G15" s="62">
        <f>+'Calculation of Risk Weighted As'!G15-'Calculation of Risk Weighte нац'!G15</f>
        <v>0</v>
      </c>
      <c r="H15" s="62">
        <f>+'Calculation of Risk Weighted As'!H15-'Calculation of Risk Weighte нац'!H15</f>
        <v>0</v>
      </c>
      <c r="I15" s="100"/>
      <c r="J15" s="251"/>
      <c r="K15" s="109"/>
    </row>
    <row r="16" spans="1:11" s="98" customFormat="1">
      <c r="A16" s="247" t="s">
        <v>42</v>
      </c>
      <c r="B16" s="197" t="s">
        <v>202</v>
      </c>
      <c r="C16" s="62">
        <f>+'Calculation of Risk Weighted As'!C16-'Calculation of Risk Weighte нац'!C16</f>
        <v>0</v>
      </c>
      <c r="D16" s="62">
        <f>+'Calculation of Risk Weighted As'!D16-'Calculation of Risk Weighte нац'!D16</f>
        <v>0</v>
      </c>
      <c r="E16" s="95"/>
      <c r="F16" s="62">
        <f>+'Calculation of Risk Weighted As'!F16-'Calculation of Risk Weighte нац'!F16</f>
        <v>0</v>
      </c>
      <c r="G16" s="62">
        <f>+'Calculation of Risk Weighted As'!G16-'Calculation of Risk Weighte нац'!G16</f>
        <v>0</v>
      </c>
      <c r="H16" s="62">
        <f>+'Calculation of Risk Weighted As'!H16-'Calculation of Risk Weighte нац'!H16</f>
        <v>0</v>
      </c>
      <c r="I16" s="100"/>
      <c r="J16" s="251"/>
      <c r="K16" s="109"/>
    </row>
    <row r="17" spans="1:16383" s="98" customFormat="1">
      <c r="A17" s="247" t="s">
        <v>128</v>
      </c>
      <c r="B17" s="197" t="s">
        <v>203</v>
      </c>
      <c r="C17" s="62">
        <f>+'Calculation of Risk Weighted As'!C17-'Calculation of Risk Weighte нац'!C17</f>
        <v>0</v>
      </c>
      <c r="D17" s="62">
        <f>+'Calculation of Risk Weighted As'!D17-'Calculation of Risk Weighte нац'!D17</f>
        <v>0</v>
      </c>
      <c r="E17" s="95"/>
      <c r="F17" s="62">
        <f>+'Calculation of Risk Weighted As'!F17-'Calculation of Risk Weighte нац'!F17</f>
        <v>0</v>
      </c>
      <c r="G17" s="62">
        <f>+'Calculation of Risk Weighted As'!G17-'Calculation of Risk Weighte нац'!G17</f>
        <v>0</v>
      </c>
      <c r="H17" s="62">
        <f>+'Calculation of Risk Weighted As'!H17-'Calculation of Risk Weighte нац'!H17</f>
        <v>0</v>
      </c>
      <c r="I17" s="100"/>
      <c r="J17" s="251"/>
      <c r="K17" s="109"/>
    </row>
    <row r="18" spans="1:16383" s="98" customFormat="1">
      <c r="A18" s="247" t="s">
        <v>211</v>
      </c>
      <c r="B18" s="197" t="s">
        <v>284</v>
      </c>
      <c r="C18" s="62">
        <f>+'Calculation of Risk Weighted As'!C18-'Calculation of Risk Weighte нац'!C18</f>
        <v>0</v>
      </c>
      <c r="D18" s="62">
        <f>+'Calculation of Risk Weighted As'!D18-'Calculation of Risk Weighte нац'!D18</f>
        <v>0</v>
      </c>
      <c r="E18" s="95"/>
      <c r="F18" s="62">
        <f>+'Calculation of Risk Weighted As'!F18-'Calculation of Risk Weighte нац'!F18</f>
        <v>0</v>
      </c>
      <c r="G18" s="62">
        <f>+'Calculation of Risk Weighted As'!G18-'Calculation of Risk Weighte нац'!G18</f>
        <v>0</v>
      </c>
      <c r="H18" s="62">
        <f>+'Calculation of Risk Weighted As'!H18-'Calculation of Risk Weighte нац'!H18</f>
        <v>0</v>
      </c>
      <c r="I18" s="100"/>
      <c r="J18" s="251"/>
      <c r="K18" s="109"/>
    </row>
    <row r="19" spans="1:16383" s="98" customFormat="1" ht="25.5">
      <c r="A19" s="247" t="s">
        <v>69</v>
      </c>
      <c r="B19" s="197" t="s">
        <v>204</v>
      </c>
      <c r="C19" s="95"/>
      <c r="D19" s="95"/>
      <c r="E19" s="95"/>
      <c r="F19" s="95"/>
      <c r="G19" s="62">
        <f>+'Calculation of Risk Weighted As'!G19-'Calculation of Risk Weighte нац'!G19</f>
        <v>0</v>
      </c>
      <c r="H19" s="95"/>
      <c r="I19" s="100"/>
      <c r="J19" s="251"/>
      <c r="K19" s="109"/>
    </row>
    <row r="20" spans="1:16383" s="98" customFormat="1" ht="51">
      <c r="A20" s="247" t="s">
        <v>70</v>
      </c>
      <c r="B20" s="197" t="s">
        <v>205</v>
      </c>
      <c r="C20" s="62">
        <f>+'Calculation of Risk Weighted As'!C20-'Calculation of Risk Weighte нац'!C20</f>
        <v>0</v>
      </c>
      <c r="D20" s="62">
        <f>+'Calculation of Risk Weighted As'!D20-'Calculation of Risk Weighte нац'!D20</f>
        <v>0</v>
      </c>
      <c r="E20" s="95"/>
      <c r="F20" s="62">
        <f>+'Calculation of Risk Weighted As'!F20-'Calculation of Risk Weighte нац'!F20</f>
        <v>0</v>
      </c>
      <c r="G20" s="62">
        <f>+'Calculation of Risk Weighted As'!G20-'Calculation of Risk Weighte нац'!G20</f>
        <v>0</v>
      </c>
      <c r="H20" s="62">
        <f>+'Calculation of Risk Weighted As'!H20-'Calculation of Risk Weighte нац'!H20</f>
        <v>0</v>
      </c>
      <c r="I20" s="100"/>
      <c r="J20" s="251"/>
      <c r="K20" s="109"/>
    </row>
    <row r="21" spans="1:16383" s="98" customFormat="1">
      <c r="A21" s="247" t="s">
        <v>71</v>
      </c>
      <c r="B21" s="197" t="s">
        <v>206</v>
      </c>
      <c r="C21" s="95"/>
      <c r="D21" s="95"/>
      <c r="E21" s="95"/>
      <c r="F21" s="95"/>
      <c r="G21" s="95"/>
      <c r="H21" s="95"/>
      <c r="I21" s="100"/>
      <c r="J21" s="251"/>
      <c r="K21" s="109"/>
    </row>
    <row r="22" spans="1:16383" s="98" customFormat="1" ht="25.5">
      <c r="A22" s="247" t="s">
        <v>37</v>
      </c>
      <c r="B22" s="197" t="s">
        <v>207</v>
      </c>
      <c r="C22" s="62">
        <f>+'Calculation of Risk Weighted As'!C22-'Calculation of Risk Weighte нац'!C22</f>
        <v>0</v>
      </c>
      <c r="D22" s="95"/>
      <c r="E22" s="95"/>
      <c r="F22" s="95"/>
      <c r="G22" s="95"/>
      <c r="H22" s="95"/>
      <c r="I22" s="100"/>
      <c r="J22" s="251"/>
      <c r="K22" s="109"/>
    </row>
    <row r="23" spans="1:16383" s="98" customFormat="1" ht="38.25">
      <c r="A23" s="247" t="s">
        <v>33</v>
      </c>
      <c r="B23" s="197" t="s">
        <v>285</v>
      </c>
      <c r="C23" s="62">
        <f>+'Calculation of Risk Weighted As'!C23-'Calculation of Risk Weighte нац'!C23</f>
        <v>0</v>
      </c>
      <c r="D23" s="95"/>
      <c r="E23" s="95"/>
      <c r="F23" s="95"/>
      <c r="G23" s="95"/>
      <c r="H23" s="95"/>
      <c r="I23" s="100"/>
      <c r="J23" s="251"/>
      <c r="K23" s="109"/>
    </row>
    <row r="24" spans="1:16383" s="98" customFormat="1">
      <c r="A24" s="247" t="s">
        <v>35</v>
      </c>
      <c r="B24" s="197" t="s">
        <v>208</v>
      </c>
      <c r="C24" s="62">
        <f>+'Calculation of Risk Weighted As'!C24-'Calculation of Risk Weighte нац'!C24</f>
        <v>175981901</v>
      </c>
      <c r="D24" s="62">
        <f>+'Calculation of Risk Weighted As'!D24-'Calculation of Risk Weighte нац'!D24</f>
        <v>0</v>
      </c>
      <c r="E24" s="95"/>
      <c r="F24" s="95"/>
      <c r="G24" s="95"/>
      <c r="H24" s="95"/>
      <c r="I24" s="100"/>
      <c r="J24" s="251"/>
      <c r="K24" s="109"/>
    </row>
    <row r="25" spans="1:16383" s="98" customFormat="1" ht="51">
      <c r="A25" s="247" t="s">
        <v>42</v>
      </c>
      <c r="B25" s="197" t="s">
        <v>209</v>
      </c>
      <c r="C25" s="62">
        <f>+'Calculation of Risk Weighted As'!C25-'Calculation of Risk Weighte нац'!C25</f>
        <v>0</v>
      </c>
      <c r="D25" s="95"/>
      <c r="E25" s="95"/>
      <c r="F25" s="95"/>
      <c r="G25" s="95"/>
      <c r="H25" s="95"/>
      <c r="I25" s="100"/>
      <c r="J25" s="251"/>
      <c r="K25" s="109"/>
    </row>
    <row r="26" spans="1:16383" s="98" customFormat="1">
      <c r="A26" s="247" t="s">
        <v>128</v>
      </c>
      <c r="B26" s="197" t="s">
        <v>210</v>
      </c>
      <c r="C26" s="95"/>
      <c r="D26" s="95"/>
      <c r="E26" s="95"/>
      <c r="F26" s="95"/>
      <c r="G26" s="62">
        <f>+'Calculation of Risk Weighted As'!G26-'Calculation of Risk Weighte нац'!G26</f>
        <v>0</v>
      </c>
      <c r="H26" s="95"/>
      <c r="I26" s="100"/>
      <c r="J26" s="251"/>
      <c r="K26" s="109"/>
    </row>
    <row r="27" spans="1:16383" s="98" customFormat="1" ht="25.5">
      <c r="A27" s="247" t="s">
        <v>211</v>
      </c>
      <c r="B27" s="197" t="s">
        <v>212</v>
      </c>
      <c r="C27" s="95"/>
      <c r="D27" s="95"/>
      <c r="E27" s="62">
        <f>+'Calculation of Risk Weighted As'!E27-'Calculation of Risk Weighte нац'!E27</f>
        <v>0</v>
      </c>
      <c r="F27" s="62">
        <f>+'Calculation of Risk Weighted As'!F27-'Calculation of Risk Weighte нац'!F27</f>
        <v>0</v>
      </c>
      <c r="G27" s="62">
        <f>+'Calculation of Risk Weighted As'!G27-'Calculation of Risk Weighte нац'!G27</f>
        <v>0</v>
      </c>
      <c r="H27" s="62">
        <f>+'Calculation of Risk Weighted As'!H27-'Calculation of Risk Weighte нац'!H27</f>
        <v>0</v>
      </c>
      <c r="I27" s="100"/>
      <c r="J27" s="251"/>
      <c r="K27" s="109"/>
    </row>
    <row r="28" spans="1:16383" s="98" customFormat="1">
      <c r="A28" s="247" t="s">
        <v>213</v>
      </c>
      <c r="B28" s="197" t="s">
        <v>214</v>
      </c>
      <c r="C28" s="95"/>
      <c r="D28" s="95"/>
      <c r="E28" s="95"/>
      <c r="F28" s="95"/>
      <c r="G28" s="62">
        <f>+'Calculation of Risk Weighted As'!G28-'Calculation of Risk Weighte нац'!G28</f>
        <v>0</v>
      </c>
      <c r="H28" s="62">
        <f>+'Calculation of Risk Weighted As'!H28-'Calculation of Risk Weighte нац'!H28</f>
        <v>0</v>
      </c>
      <c r="I28" s="135">
        <f>+'Calculation of Risk Weighted As'!I28-'Calculation of Risk Weighte нац'!I28</f>
        <v>0</v>
      </c>
      <c r="J28" s="251"/>
      <c r="K28" s="109"/>
    </row>
    <row r="29" spans="1:16383" s="98" customFormat="1">
      <c r="A29" s="247" t="s">
        <v>215</v>
      </c>
      <c r="B29" s="197" t="s">
        <v>216</v>
      </c>
      <c r="C29" s="95"/>
      <c r="D29" s="95"/>
      <c r="E29" s="95"/>
      <c r="F29" s="95"/>
      <c r="G29" s="62">
        <f>+'Calculation of Risk Weighted As'!G29-'Calculation of Risk Weighte нац'!G29</f>
        <v>2348817669</v>
      </c>
      <c r="H29" s="62">
        <f>+'Calculation of Risk Weighted As'!H29-'Calculation of Risk Weighte нац'!H29</f>
        <v>684090653</v>
      </c>
      <c r="I29" s="135">
        <f>+'Calculation of Risk Weighted As'!I29-'Calculation of Risk Weighte нац'!I29</f>
        <v>262842135</v>
      </c>
      <c r="J29" s="251"/>
      <c r="K29" s="109"/>
    </row>
    <row r="30" spans="1:16383" s="98" customFormat="1">
      <c r="A30" s="247" t="s">
        <v>217</v>
      </c>
      <c r="B30" s="197" t="s">
        <v>287</v>
      </c>
      <c r="C30" s="95"/>
      <c r="D30" s="95"/>
      <c r="E30" s="95"/>
      <c r="F30" s="95"/>
      <c r="G30" s="95"/>
      <c r="H30" s="95"/>
      <c r="I30" s="135">
        <f>+'Calculation of Risk Weighted As'!I30-'Calculation of Risk Weighte нац'!I30</f>
        <v>41630108</v>
      </c>
      <c r="J30" s="251"/>
      <c r="K30" s="109"/>
    </row>
    <row r="31" spans="1:16383" s="110" customFormat="1">
      <c r="A31" s="247" t="s">
        <v>72</v>
      </c>
      <c r="B31" s="197" t="s">
        <v>218</v>
      </c>
      <c r="C31" s="95"/>
      <c r="D31" s="95"/>
      <c r="E31" s="95"/>
      <c r="F31" s="95"/>
      <c r="G31" s="95"/>
      <c r="H31" s="95"/>
      <c r="I31" s="100"/>
      <c r="J31" s="251"/>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7" t="s">
        <v>37</v>
      </c>
      <c r="B32" s="197" t="s">
        <v>219</v>
      </c>
      <c r="C32" s="95"/>
      <c r="D32" s="95"/>
      <c r="E32" s="95"/>
      <c r="F32" s="95"/>
      <c r="G32" s="62">
        <f>+'Calculation of Risk Weighted As'!G32-'Calculation of Risk Weighte нац'!G32</f>
        <v>0</v>
      </c>
      <c r="H32" s="95"/>
      <c r="I32" s="100"/>
      <c r="J32" s="251"/>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7" t="s">
        <v>33</v>
      </c>
      <c r="B33" s="197" t="s">
        <v>220</v>
      </c>
      <c r="C33" s="95"/>
      <c r="D33" s="95"/>
      <c r="E33" s="95"/>
      <c r="F33" s="95"/>
      <c r="G33" s="62">
        <f>+'Calculation of Risk Weighted As'!G33-'Calculation of Risk Weighte нац'!G33</f>
        <v>0</v>
      </c>
      <c r="H33" s="95"/>
      <c r="I33" s="100"/>
      <c r="J33" s="251"/>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7" t="s">
        <v>35</v>
      </c>
      <c r="B34" s="197" t="s">
        <v>221</v>
      </c>
      <c r="C34" s="95"/>
      <c r="D34" s="95"/>
      <c r="E34" s="95"/>
      <c r="F34" s="95"/>
      <c r="G34" s="95"/>
      <c r="H34" s="62">
        <f>+'Calculation of Risk Weighted As'!H34-'Calculation of Risk Weighte нац'!H34</f>
        <v>0</v>
      </c>
      <c r="I34" s="135">
        <f>+'Calculation of Risk Weighted As'!I34-'Calculation of Risk Weighte нац'!I34</f>
        <v>0</v>
      </c>
      <c r="J34" s="251"/>
      <c r="K34" s="109"/>
    </row>
    <row r="35" spans="1:16383" s="98" customFormat="1" ht="25.5">
      <c r="A35" s="247" t="s">
        <v>42</v>
      </c>
      <c r="B35" s="197" t="s">
        <v>222</v>
      </c>
      <c r="C35" s="95"/>
      <c r="D35" s="95"/>
      <c r="E35" s="95"/>
      <c r="F35" s="95"/>
      <c r="G35" s="95"/>
      <c r="H35" s="62">
        <f>+'Calculation of Risk Weighted As'!H35-'Calculation of Risk Weighte нац'!H35</f>
        <v>0</v>
      </c>
      <c r="I35" s="135">
        <f>+'Calculation of Risk Weighted As'!I35-'Calculation of Risk Weighte нац'!I35</f>
        <v>0</v>
      </c>
      <c r="J35" s="251"/>
      <c r="K35" s="109"/>
    </row>
    <row r="36" spans="1:16383" s="98" customFormat="1" ht="51">
      <c r="A36" s="247" t="s">
        <v>79</v>
      </c>
      <c r="B36" s="197" t="s">
        <v>223</v>
      </c>
      <c r="C36" s="62">
        <f>+'Calculation of Risk Weighted As'!C36-'Calculation of Risk Weighte нац'!C36</f>
        <v>0</v>
      </c>
      <c r="D36" s="95"/>
      <c r="E36" s="95"/>
      <c r="F36" s="95"/>
      <c r="G36" s="95"/>
      <c r="H36" s="95"/>
      <c r="I36" s="100"/>
      <c r="J36" s="251"/>
      <c r="K36" s="109"/>
    </row>
    <row r="37" spans="1:16383" s="98" customFormat="1" ht="19.5" customHeight="1">
      <c r="A37" s="247" t="s">
        <v>80</v>
      </c>
      <c r="B37" s="197" t="s">
        <v>292</v>
      </c>
      <c r="C37" s="95"/>
      <c r="D37" s="127"/>
      <c r="E37" s="95"/>
      <c r="F37" s="95"/>
      <c r="G37" s="62">
        <f>+'Calculation of Risk Weighted As'!G37-'Calculation of Risk Weighte нац'!G37</f>
        <v>0</v>
      </c>
      <c r="H37" s="95"/>
      <c r="I37" s="100"/>
      <c r="J37" s="251"/>
      <c r="K37" s="109"/>
    </row>
    <row r="38" spans="1:16383" s="98" customFormat="1" ht="19.5" customHeight="1">
      <c r="A38" s="247" t="s">
        <v>73</v>
      </c>
      <c r="B38" s="197" t="s">
        <v>224</v>
      </c>
      <c r="C38" s="62">
        <f>+'Calculation of Risk Weighted As'!C38-'Calculation of Risk Weighte нац'!C38</f>
        <v>0</v>
      </c>
      <c r="D38" s="127"/>
      <c r="E38" s="95"/>
      <c r="F38" s="95"/>
      <c r="G38" s="62">
        <f>+'Calculation of Risk Weighted As'!G38-'Calculation of Risk Weighte нац'!G38</f>
        <v>0</v>
      </c>
      <c r="H38" s="95"/>
      <c r="I38" s="100"/>
      <c r="J38" s="251"/>
      <c r="K38" s="109"/>
    </row>
    <row r="39" spans="1:16383" s="98" customFormat="1" ht="19.5" customHeight="1">
      <c r="A39" s="247" t="s">
        <v>74</v>
      </c>
      <c r="B39" s="197" t="s">
        <v>290</v>
      </c>
      <c r="C39" s="62">
        <f>+'Calculation of Risk Weighted As'!C39-'Calculation of Risk Weighte нац'!C39</f>
        <v>0</v>
      </c>
      <c r="D39" s="127"/>
      <c r="E39" s="95"/>
      <c r="F39" s="95"/>
      <c r="G39" s="62">
        <f>+'Calculation of Risk Weighted As'!G39-'Calculation of Risk Weighte нац'!G39</f>
        <v>329584914</v>
      </c>
      <c r="H39" s="95"/>
      <c r="I39" s="135">
        <f>+'Calculation of Risk Weighted As'!I39-'Calculation of Risk Weighte нац'!I39</f>
        <v>0</v>
      </c>
      <c r="J39" s="251"/>
      <c r="K39" s="109"/>
    </row>
    <row r="40" spans="1:16383" s="98" customFormat="1" ht="19.5" customHeight="1">
      <c r="A40" s="247" t="s">
        <v>75</v>
      </c>
      <c r="B40" s="197" t="s">
        <v>291</v>
      </c>
      <c r="C40" s="95"/>
      <c r="D40" s="95"/>
      <c r="E40" s="95"/>
      <c r="F40" s="95"/>
      <c r="G40" s="95"/>
      <c r="H40" s="95"/>
      <c r="I40" s="135">
        <f>+'Calculation of Risk Weighted As'!I40-'Calculation of Risk Weighte нац'!I40</f>
        <v>0</v>
      </c>
      <c r="J40" s="251"/>
      <c r="K40" s="109"/>
    </row>
    <row r="41" spans="1:16383" s="98" customFormat="1">
      <c r="A41" s="247" t="s">
        <v>76</v>
      </c>
      <c r="B41" s="197" t="s">
        <v>225</v>
      </c>
      <c r="C41" s="62">
        <f>+'Calculation of Risk Weighted As'!C41-'Calculation of Risk Weighte нац'!C41</f>
        <v>0</v>
      </c>
      <c r="D41" s="62">
        <f>+'Calculation of Risk Weighted As'!D41-'Calculation of Risk Weighte нац'!D41</f>
        <v>0</v>
      </c>
      <c r="E41" s="62">
        <f>+'Calculation of Risk Weighted As'!E41-'Calculation of Risk Weighte нац'!E41</f>
        <v>0</v>
      </c>
      <c r="F41" s="62">
        <f>+'Calculation of Risk Weighted As'!F41-'Calculation of Risk Weighte нац'!F41</f>
        <v>0</v>
      </c>
      <c r="G41" s="62">
        <f>+'Calculation of Risk Weighted As'!G41-'Calculation of Risk Weighte нац'!G41</f>
        <v>101159757</v>
      </c>
      <c r="H41" s="62">
        <f>+'Calculation of Risk Weighted As'!H41-'Calculation of Risk Weighte нац'!H41</f>
        <v>0</v>
      </c>
      <c r="I41" s="62">
        <f>+'Calculation of Risk Weighted As'!I41-'Calculation of Risk Weighte нац'!I41</f>
        <v>0</v>
      </c>
      <c r="J41" s="251"/>
      <c r="K41" s="109"/>
    </row>
    <row r="42" spans="1:16383" s="98" customFormat="1">
      <c r="A42" s="247" t="s">
        <v>77</v>
      </c>
      <c r="B42" s="197" t="s">
        <v>226</v>
      </c>
      <c r="C42" s="94">
        <f t="shared" ref="C42:I42" si="0">SUM(C8:C41)</f>
        <v>473608045</v>
      </c>
      <c r="D42" s="94">
        <f t="shared" si="0"/>
        <v>425842016</v>
      </c>
      <c r="E42" s="94">
        <f t="shared" si="0"/>
        <v>0</v>
      </c>
      <c r="F42" s="94">
        <f t="shared" si="0"/>
        <v>954345691</v>
      </c>
      <c r="G42" s="94">
        <f t="shared" si="0"/>
        <v>2779562340</v>
      </c>
      <c r="H42" s="94">
        <f t="shared" si="0"/>
        <v>684090653</v>
      </c>
      <c r="I42" s="99">
        <f t="shared" si="0"/>
        <v>304472243</v>
      </c>
      <c r="J42" s="251">
        <f>SUM(C42:I42)</f>
        <v>5621920988</v>
      </c>
      <c r="K42" s="109">
        <f>+[7]Balance!$E$47+[7]Balance!$E$39</f>
        <v>5621920988</v>
      </c>
      <c r="L42" s="251">
        <f>+J42-K42</f>
        <v>0</v>
      </c>
    </row>
    <row r="43" spans="1:16383" s="98" customFormat="1" ht="25.5">
      <c r="A43" s="247" t="s">
        <v>78</v>
      </c>
      <c r="B43" s="197" t="s">
        <v>227</v>
      </c>
      <c r="C43" s="95"/>
      <c r="D43" s="94">
        <f t="shared" ref="D43:I43" si="1">D42*D3</f>
        <v>85168403.200000003</v>
      </c>
      <c r="E43" s="94">
        <f t="shared" si="1"/>
        <v>0</v>
      </c>
      <c r="F43" s="94">
        <f t="shared" si="1"/>
        <v>477172845.5</v>
      </c>
      <c r="G43" s="94">
        <f t="shared" si="1"/>
        <v>2779562340</v>
      </c>
      <c r="H43" s="94">
        <f t="shared" si="1"/>
        <v>1026135979.5</v>
      </c>
      <c r="I43" s="99">
        <f t="shared" si="1"/>
        <v>608944486</v>
      </c>
      <c r="J43" s="251"/>
      <c r="K43" s="109"/>
    </row>
    <row r="44" spans="1:16383" s="98" customFormat="1" ht="13.5" thickBot="1">
      <c r="A44" s="198" t="s">
        <v>289</v>
      </c>
      <c r="B44" s="226" t="s">
        <v>228</v>
      </c>
      <c r="C44" s="96"/>
      <c r="D44" s="96"/>
      <c r="E44" s="96"/>
      <c r="F44" s="96"/>
      <c r="G44" s="96"/>
      <c r="H44" s="96"/>
      <c r="I44" s="101">
        <f>SUM(D43:I43)</f>
        <v>4976984054.1999998</v>
      </c>
      <c r="J44" s="251"/>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65" t="s">
        <v>52</v>
      </c>
      <c r="B47" s="263" t="s">
        <v>131</v>
      </c>
      <c r="C47" s="263"/>
      <c r="D47" s="259" t="s">
        <v>229</v>
      </c>
      <c r="E47" s="272">
        <v>0</v>
      </c>
      <c r="F47" s="272">
        <v>0.2</v>
      </c>
      <c r="G47" s="272">
        <v>0.5</v>
      </c>
      <c r="H47" s="272">
        <v>1</v>
      </c>
      <c r="I47" s="267" t="s">
        <v>230</v>
      </c>
      <c r="J47" s="109"/>
    </row>
    <row r="48" spans="1:16383" s="98" customFormat="1" ht="9.75" customHeight="1">
      <c r="A48" s="266"/>
      <c r="B48" s="264"/>
      <c r="C48" s="264"/>
      <c r="D48" s="260"/>
      <c r="E48" s="273"/>
      <c r="F48" s="273"/>
      <c r="G48" s="273"/>
      <c r="H48" s="273"/>
      <c r="I48" s="268"/>
      <c r="J48" s="109"/>
    </row>
    <row r="49" spans="1:12" s="98" customFormat="1" ht="17.25" customHeight="1">
      <c r="A49" s="266"/>
      <c r="B49" s="264"/>
      <c r="C49" s="264"/>
      <c r="D49" s="260"/>
      <c r="E49" s="199" t="s">
        <v>187</v>
      </c>
      <c r="F49" s="199" t="s">
        <v>187</v>
      </c>
      <c r="G49" s="199" t="s">
        <v>187</v>
      </c>
      <c r="H49" s="199" t="s">
        <v>187</v>
      </c>
      <c r="I49" s="268"/>
      <c r="J49" s="109"/>
    </row>
    <row r="50" spans="1:12" s="98" customFormat="1">
      <c r="A50" s="266"/>
      <c r="B50" s="264" t="s">
        <v>26</v>
      </c>
      <c r="C50" s="264"/>
      <c r="D50" s="248" t="s">
        <v>27</v>
      </c>
      <c r="E50" s="199" t="s">
        <v>28</v>
      </c>
      <c r="F50" s="248" t="s">
        <v>29</v>
      </c>
      <c r="G50" s="248" t="s">
        <v>53</v>
      </c>
      <c r="H50" s="248" t="s">
        <v>54</v>
      </c>
      <c r="I50" s="195" t="s">
        <v>57</v>
      </c>
      <c r="J50" s="109"/>
    </row>
    <row r="51" spans="1:12" s="98" customFormat="1">
      <c r="A51" s="200"/>
      <c r="B51" s="274" t="s">
        <v>231</v>
      </c>
      <c r="C51" s="275"/>
      <c r="D51" s="124"/>
      <c r="E51" s="124"/>
      <c r="F51" s="124"/>
      <c r="G51" s="124"/>
      <c r="H51" s="124"/>
      <c r="I51" s="125"/>
      <c r="J51" s="109"/>
    </row>
    <row r="52" spans="1:12" s="98" customFormat="1">
      <c r="A52" s="249">
        <v>1</v>
      </c>
      <c r="B52" s="280" t="s">
        <v>232</v>
      </c>
      <c r="C52" s="280"/>
      <c r="D52" s="95"/>
      <c r="E52" s="95"/>
      <c r="F52" s="95"/>
      <c r="G52" s="95"/>
      <c r="H52" s="95"/>
      <c r="I52" s="100"/>
      <c r="J52" s="109"/>
    </row>
    <row r="53" spans="1:12" s="98" customFormat="1">
      <c r="A53" s="249" t="s">
        <v>31</v>
      </c>
      <c r="B53" s="276" t="s">
        <v>233</v>
      </c>
      <c r="C53" s="276"/>
      <c r="D53" s="122">
        <v>0.5</v>
      </c>
      <c r="E53" s="62">
        <f>+'Calculation of Risk Weighted As'!E53-'Calculation of Risk Weighte нац'!E53</f>
        <v>0</v>
      </c>
      <c r="F53" s="62">
        <f>+'Calculation of Risk Weighted As'!F53-'Calculation of Risk Weighte нац'!F53</f>
        <v>0</v>
      </c>
      <c r="G53" s="62">
        <f>+'Calculation of Risk Weighted As'!G53-'Calculation of Risk Weighte нац'!G53</f>
        <v>0</v>
      </c>
      <c r="H53" s="62">
        <f>+'Calculation of Risk Weighted As'!H53-'Calculation of Risk Weighte нац'!H53</f>
        <v>4034735</v>
      </c>
      <c r="I53" s="99">
        <f>(F53*0.1)+(G53*0.25)+(H53*0.5)</f>
        <v>2017367.5</v>
      </c>
      <c r="J53" s="109"/>
    </row>
    <row r="54" spans="1:12" s="98" customFormat="1">
      <c r="A54" s="249" t="s">
        <v>33</v>
      </c>
      <c r="B54" s="276" t="s">
        <v>234</v>
      </c>
      <c r="C54" s="276"/>
      <c r="D54" s="122">
        <v>0.2</v>
      </c>
      <c r="E54" s="62">
        <f>+'Calculation of Risk Weighted As'!E54-'Calculation of Risk Weighte нац'!E54</f>
        <v>176054500</v>
      </c>
      <c r="F54" s="62">
        <f>+'Calculation of Risk Weighted As'!F54-'Calculation of Risk Weighte нац'!F54</f>
        <v>0</v>
      </c>
      <c r="G54" s="62">
        <f>+'Calculation of Risk Weighted As'!G54-'Calculation of Risk Weighte нац'!G54</f>
        <v>0</v>
      </c>
      <c r="H54" s="62">
        <f>+'Calculation of Risk Weighted As'!H54-'Calculation of Risk Weighte нац'!H54</f>
        <v>86434874</v>
      </c>
      <c r="I54" s="99">
        <f>(F54*0.04)+(G54*0.1)+(H54*0.2)</f>
        <v>17286974.800000001</v>
      </c>
      <c r="J54" s="251">
        <f>SUM(E53:H54)</f>
        <v>266524109</v>
      </c>
      <c r="K54" s="252">
        <f>+[7]Commitments!$E$4</f>
        <v>266524109</v>
      </c>
      <c r="L54" s="253">
        <f>+J54-K54</f>
        <v>0</v>
      </c>
    </row>
    <row r="55" spans="1:12" s="98" customFormat="1" ht="26.25" customHeight="1">
      <c r="A55" s="249">
        <v>2</v>
      </c>
      <c r="B55" s="280" t="s">
        <v>235</v>
      </c>
      <c r="C55" s="280"/>
      <c r="D55" s="122">
        <v>1</v>
      </c>
      <c r="E55" s="62">
        <f>+'Calculation of Risk Weighted As'!E55-'Calculation of Risk Weighte нац'!E55</f>
        <v>0</v>
      </c>
      <c r="F55" s="62">
        <f>+'Calculation of Risk Weighted As'!F55-'Calculation of Risk Weighte нац'!F55</f>
        <v>0</v>
      </c>
      <c r="G55" s="62">
        <f>+'Calculation of Risk Weighted As'!G55-'Calculation of Risk Weighte нац'!G55</f>
        <v>0</v>
      </c>
      <c r="H55" s="62">
        <f>+'Calculation of Risk Weighted As'!H55-'Calculation of Risk Weighte нац'!H55</f>
        <v>0</v>
      </c>
      <c r="I55" s="99">
        <f>(F55*0.2)+(G55*0.5)+(H55*1)</f>
        <v>0</v>
      </c>
      <c r="J55" s="109"/>
      <c r="L55" s="253"/>
    </row>
    <row r="56" spans="1:12" s="98" customFormat="1">
      <c r="A56" s="249">
        <v>3</v>
      </c>
      <c r="B56" s="280" t="s">
        <v>236</v>
      </c>
      <c r="C56" s="280"/>
      <c r="D56" s="122">
        <v>1</v>
      </c>
      <c r="E56" s="62">
        <f>+'Calculation of Risk Weighted As'!E56-'Calculation of Risk Weighte нац'!E56</f>
        <v>0</v>
      </c>
      <c r="F56" s="62">
        <f>+'Calculation of Risk Weighted As'!F56-'Calculation of Risk Weighte нац'!F56</f>
        <v>0</v>
      </c>
      <c r="G56" s="95"/>
      <c r="H56" s="62">
        <f>+'Calculation of Risk Weighted As'!H56-'Calculation of Risk Weighte нац'!H56</f>
        <v>325818043</v>
      </c>
      <c r="I56" s="99">
        <f>(F56*0.2)+(G56*0.5)+(H56*1)</f>
        <v>325818043</v>
      </c>
      <c r="J56" s="251">
        <f>SUM(E56:H56)</f>
        <v>325818043</v>
      </c>
      <c r="K56" s="252">
        <f>+[7]Commitments!$E$7</f>
        <v>325818043</v>
      </c>
      <c r="L56" s="253">
        <f>+J56-K56</f>
        <v>0</v>
      </c>
    </row>
    <row r="57" spans="1:12" s="98" customFormat="1">
      <c r="A57" s="249">
        <v>4</v>
      </c>
      <c r="B57" s="280" t="s">
        <v>237</v>
      </c>
      <c r="C57" s="280"/>
      <c r="D57" s="114"/>
      <c r="E57" s="95"/>
      <c r="F57" s="95"/>
      <c r="G57" s="95"/>
      <c r="H57" s="95"/>
      <c r="I57" s="100"/>
      <c r="J57" s="109"/>
      <c r="L57" s="253"/>
    </row>
    <row r="58" spans="1:12" s="98" customFormat="1">
      <c r="A58" s="249" t="s">
        <v>31</v>
      </c>
      <c r="B58" s="276" t="s">
        <v>238</v>
      </c>
      <c r="C58" s="276"/>
      <c r="D58" s="122">
        <v>1</v>
      </c>
      <c r="E58" s="62">
        <f>+'Calculation of Risk Weighted As'!E58-'Calculation of Risk Weighte нац'!E58</f>
        <v>0</v>
      </c>
      <c r="F58" s="62">
        <f>+'Calculation of Risk Weighted As'!F58-'Calculation of Risk Weighte нац'!F58</f>
        <v>0</v>
      </c>
      <c r="G58" s="62">
        <f>+'Calculation of Risk Weighted As'!G58-'Calculation of Risk Weighte нац'!G58</f>
        <v>0</v>
      </c>
      <c r="H58" s="62">
        <f>+'Calculation of Risk Weighted As'!H58-'Calculation of Risk Weighte нац'!H58</f>
        <v>0</v>
      </c>
      <c r="I58" s="99">
        <f>(F58*0.2)+(G58*0.5)+(H58*1)</f>
        <v>0</v>
      </c>
      <c r="J58" s="109"/>
      <c r="L58" s="253"/>
    </row>
    <row r="59" spans="1:12" s="98" customFormat="1">
      <c r="A59" s="249" t="s">
        <v>33</v>
      </c>
      <c r="B59" s="276" t="s">
        <v>239</v>
      </c>
      <c r="C59" s="276"/>
      <c r="D59" s="122">
        <v>0.5</v>
      </c>
      <c r="E59" s="62">
        <f>+'Calculation of Risk Weighted As'!E59-'Calculation of Risk Weighte нац'!E59</f>
        <v>0</v>
      </c>
      <c r="F59" s="62">
        <f>+'Calculation of Risk Weighted As'!F59-'Calculation of Risk Weighte нац'!F59</f>
        <v>0</v>
      </c>
      <c r="G59" s="62">
        <f>+'Calculation of Risk Weighted As'!G59-'Calculation of Risk Weighte нац'!G59</f>
        <v>0</v>
      </c>
      <c r="H59" s="62">
        <f>+'Calculation of Risk Weighted As'!H59-'Calculation of Risk Weighte нац'!H59</f>
        <v>0</v>
      </c>
      <c r="I59" s="99">
        <f>(F59*0.1)+(G59*0.25)+(H59*0.5)</f>
        <v>0</v>
      </c>
      <c r="J59" s="109"/>
      <c r="L59" s="253"/>
    </row>
    <row r="60" spans="1:12" s="98" customFormat="1" ht="12.75" customHeight="1">
      <c r="A60" s="249" t="s">
        <v>35</v>
      </c>
      <c r="B60" s="276" t="s">
        <v>240</v>
      </c>
      <c r="C60" s="276"/>
      <c r="D60" s="122">
        <v>0.2</v>
      </c>
      <c r="E60" s="62">
        <f>+'Calculation of Risk Weighted As'!E60-'Calculation of Risk Weighte нац'!E60</f>
        <v>0</v>
      </c>
      <c r="F60" s="62">
        <f>+'Calculation of Risk Weighted As'!F60-'Calculation of Risk Weighte нац'!F60</f>
        <v>0</v>
      </c>
      <c r="G60" s="62">
        <f>+'Calculation of Risk Weighted As'!G60-'Calculation of Risk Weighte нац'!G60</f>
        <v>0</v>
      </c>
      <c r="H60" s="62">
        <f>+'Calculation of Risk Weighted As'!H60-'Calculation of Risk Weighte нац'!H60</f>
        <v>176054500</v>
      </c>
      <c r="I60" s="99">
        <f>(F60*0.04)+(G60*0.1)+(H60*0.2)</f>
        <v>35210900</v>
      </c>
      <c r="L60" s="253"/>
    </row>
    <row r="61" spans="1:12" s="98" customFormat="1">
      <c r="A61" s="249" t="s">
        <v>42</v>
      </c>
      <c r="B61" s="276" t="s">
        <v>241</v>
      </c>
      <c r="C61" s="276"/>
      <c r="D61" s="122">
        <v>1</v>
      </c>
      <c r="E61" s="62">
        <f>+'Calculation of Risk Weighted As'!E61-'Calculation of Risk Weighte нац'!E61</f>
        <v>538466214</v>
      </c>
      <c r="F61" s="62">
        <f>+'Calculation of Risk Weighted As'!F61-'Calculation of Risk Weighte нац'!F61</f>
        <v>0</v>
      </c>
      <c r="G61" s="95"/>
      <c r="H61" s="62">
        <f>+'Calculation of Risk Weighted As'!H61-'Calculation of Risk Weighte нац'!H61</f>
        <v>0</v>
      </c>
      <c r="I61" s="99">
        <f>(F61*0.2)+(G61*0.5)+(H61*1)</f>
        <v>0</v>
      </c>
      <c r="J61" s="251">
        <f>SUM(E58:H61)</f>
        <v>714520714</v>
      </c>
      <c r="K61" s="252">
        <f>+[7]Commitments!$E$10</f>
        <v>714520714</v>
      </c>
      <c r="L61" s="253">
        <f>+J61-K61</f>
        <v>0</v>
      </c>
    </row>
    <row r="62" spans="1:12" s="98" customFormat="1">
      <c r="A62" s="249">
        <v>5</v>
      </c>
      <c r="B62" s="276" t="s">
        <v>277</v>
      </c>
      <c r="C62" s="276"/>
      <c r="D62" s="114"/>
      <c r="E62" s="95"/>
      <c r="F62" s="95"/>
      <c r="G62" s="95"/>
      <c r="H62" s="95"/>
      <c r="I62" s="100"/>
      <c r="J62" s="109"/>
      <c r="L62" s="253"/>
    </row>
    <row r="63" spans="1:12" s="98" customFormat="1">
      <c r="A63" s="249" t="s">
        <v>31</v>
      </c>
      <c r="B63" s="276" t="s">
        <v>242</v>
      </c>
      <c r="C63" s="276"/>
      <c r="D63" s="114"/>
      <c r="E63" s="95"/>
      <c r="F63" s="95"/>
      <c r="G63" s="95"/>
      <c r="H63" s="95"/>
      <c r="I63" s="100"/>
      <c r="J63" s="109"/>
      <c r="L63" s="253"/>
    </row>
    <row r="64" spans="1:12" s="98" customFormat="1">
      <c r="A64" s="249" t="s">
        <v>58</v>
      </c>
      <c r="B64" s="277" t="s">
        <v>243</v>
      </c>
      <c r="C64" s="277"/>
      <c r="D64" s="123">
        <v>5.0000000000000001E-3</v>
      </c>
      <c r="E64" s="62">
        <f>+'Calculation of Risk Weighted As'!E64-'Calculation of Risk Weighte нац'!E64</f>
        <v>0</v>
      </c>
      <c r="F64" s="62">
        <f>+'Calculation of Risk Weighted As'!F64-'Calculation of Risk Weighte нац'!F64</f>
        <v>0</v>
      </c>
      <c r="G64" s="62">
        <f>+'Calculation of Risk Weighted As'!G64-'Calculation of Risk Weighte нац'!G64</f>
        <v>0</v>
      </c>
      <c r="H64" s="62">
        <f>+'Calculation of Risk Weighted As'!H64-'Calculation of Risk Weighte нац'!H64</f>
        <v>213283740</v>
      </c>
      <c r="I64" s="99">
        <f>(F64*0.001)+(G64*0.0025)+(H64*0.005)</f>
        <v>1066418.7</v>
      </c>
      <c r="J64" s="109"/>
      <c r="L64" s="253"/>
    </row>
    <row r="65" spans="1:30" s="98" customFormat="1">
      <c r="A65" s="249" t="s">
        <v>59</v>
      </c>
      <c r="B65" s="277" t="s">
        <v>244</v>
      </c>
      <c r="C65" s="277"/>
      <c r="D65" s="122">
        <v>0.01</v>
      </c>
      <c r="E65" s="62">
        <f>+'Calculation of Risk Weighted As'!E65-'Calculation of Risk Weighte нац'!E65</f>
        <v>0</v>
      </c>
      <c r="F65" s="62">
        <f>+'Calculation of Risk Weighted As'!F65-'Calculation of Risk Weighte нац'!F65</f>
        <v>0</v>
      </c>
      <c r="G65" s="62">
        <f>+'Calculation of Risk Weighted As'!G65-'Calculation of Risk Weighte нац'!G65</f>
        <v>0</v>
      </c>
      <c r="H65" s="62">
        <f>+'Calculation of Risk Weighted As'!H65-'Calculation of Risk Weighte нац'!H65</f>
        <v>0</v>
      </c>
      <c r="I65" s="99">
        <f>(F65*0.002)+(G65*0.005)+(H65*0.01)</f>
        <v>0</v>
      </c>
      <c r="J65" s="109"/>
      <c r="L65" s="253"/>
    </row>
    <row r="66" spans="1:30" s="98" customFormat="1">
      <c r="A66" s="249" t="s">
        <v>60</v>
      </c>
      <c r="B66" s="277" t="s">
        <v>245</v>
      </c>
      <c r="C66" s="277"/>
      <c r="D66" s="122">
        <v>0.02</v>
      </c>
      <c r="E66" s="62">
        <f>+'Calculation of Risk Weighted As'!E66-'Calculation of Risk Weighte нац'!E66</f>
        <v>0</v>
      </c>
      <c r="F66" s="62">
        <f>+'Calculation of Risk Weighted As'!F66-'Calculation of Risk Weighte нац'!F66</f>
        <v>0</v>
      </c>
      <c r="G66" s="62">
        <f>+'Calculation of Risk Weighted As'!G66-'Calculation of Risk Weighte нац'!G66</f>
        <v>0</v>
      </c>
      <c r="H66" s="62">
        <f>+'Calculation of Risk Weighted As'!H66-'Calculation of Risk Weighte нац'!H66</f>
        <v>0</v>
      </c>
      <c r="I66" s="99">
        <f>(F66*0.004)+(G66*0.01)+(H66*0.02)</f>
        <v>0</v>
      </c>
      <c r="J66" s="109"/>
      <c r="L66" s="253"/>
    </row>
    <row r="67" spans="1:30" s="98" customFormat="1">
      <c r="A67" s="249" t="s">
        <v>33</v>
      </c>
      <c r="B67" s="276" t="s">
        <v>246</v>
      </c>
      <c r="C67" s="276"/>
      <c r="D67" s="114"/>
      <c r="E67" s="95"/>
      <c r="F67" s="95"/>
      <c r="G67" s="95"/>
      <c r="H67" s="95"/>
      <c r="I67" s="100"/>
      <c r="J67" s="109"/>
      <c r="L67" s="253"/>
    </row>
    <row r="68" spans="1:30" s="98" customFormat="1">
      <c r="A68" s="249" t="s">
        <v>61</v>
      </c>
      <c r="B68" s="277" t="s">
        <v>247</v>
      </c>
      <c r="C68" s="277"/>
      <c r="D68" s="122">
        <v>0.02</v>
      </c>
      <c r="E68" s="62">
        <f>+'Calculation of Risk Weighted As'!E68-'Calculation of Risk Weighte нац'!E68</f>
        <v>0</v>
      </c>
      <c r="F68" s="62">
        <f>+'Calculation of Risk Weighted As'!F68-'Calculation of Risk Weighte нац'!F68</f>
        <v>0</v>
      </c>
      <c r="G68" s="62">
        <f>+'Calculation of Risk Weighted As'!G68-'Calculation of Risk Weighte нац'!G68</f>
        <v>0</v>
      </c>
      <c r="H68" s="62">
        <f>+'Calculation of Risk Weighted As'!H68-'Calculation of Risk Weighte нац'!H68</f>
        <v>0</v>
      </c>
      <c r="I68" s="99">
        <f>(F68*0.004)+(G68*0.01)+(H68*0.02)</f>
        <v>0</v>
      </c>
      <c r="J68" s="251"/>
      <c r="K68" s="252"/>
      <c r="L68" s="253"/>
    </row>
    <row r="69" spans="1:30" s="98" customFormat="1">
      <c r="A69" s="249" t="s">
        <v>62</v>
      </c>
      <c r="B69" s="277" t="s">
        <v>248</v>
      </c>
      <c r="C69" s="277"/>
      <c r="D69" s="122">
        <v>0.05</v>
      </c>
      <c r="E69" s="62">
        <f>+'Calculation of Risk Weighted As'!E69-'Calculation of Risk Weighte нац'!E69</f>
        <v>0</v>
      </c>
      <c r="F69" s="62">
        <f>+'Calculation of Risk Weighted As'!F69-'Calculation of Risk Weighte нац'!F69</f>
        <v>0</v>
      </c>
      <c r="G69" s="62">
        <f>+'Calculation of Risk Weighted As'!G69-'Calculation of Risk Weighte нац'!G69</f>
        <v>0</v>
      </c>
      <c r="H69" s="62">
        <f>+'Calculation of Risk Weighted As'!H69-'Calculation of Risk Weighte нац'!H69</f>
        <v>0</v>
      </c>
      <c r="I69" s="99">
        <f>(F69*0.01)+(G69*0.025)+(H69*0.05)</f>
        <v>0</v>
      </c>
      <c r="J69" s="109"/>
    </row>
    <row r="70" spans="1:30" s="98" customFormat="1">
      <c r="A70" s="249" t="s">
        <v>63</v>
      </c>
      <c r="B70" s="277" t="s">
        <v>249</v>
      </c>
      <c r="C70" s="277"/>
      <c r="D70" s="122">
        <v>0.08</v>
      </c>
      <c r="E70" s="62">
        <f>+'Calculation of Risk Weighted As'!E70-'Calculation of Risk Weighte нац'!E70</f>
        <v>0</v>
      </c>
      <c r="F70" s="62">
        <f>+'Calculation of Risk Weighted As'!F70-'Calculation of Risk Weighte нац'!F70</f>
        <v>0</v>
      </c>
      <c r="G70" s="62">
        <f>+'Calculation of Risk Weighted As'!G70-'Calculation of Risk Weighte нац'!G70</f>
        <v>0</v>
      </c>
      <c r="H70" s="62">
        <f>+'Calculation of Risk Weighted As'!H70-'Calculation of Risk Weighte нац'!H70</f>
        <v>0</v>
      </c>
      <c r="I70" s="99">
        <f>(F70*0.016)+(G70*0.04)+(H70*0.08)</f>
        <v>0</v>
      </c>
      <c r="J70" s="109"/>
    </row>
    <row r="71" spans="1:30" s="98" customFormat="1">
      <c r="A71" s="249">
        <v>6</v>
      </c>
      <c r="B71" s="270" t="s">
        <v>250</v>
      </c>
      <c r="C71" s="271"/>
      <c r="D71" s="114"/>
      <c r="E71" s="94">
        <f>SUM(E53:E70)</f>
        <v>714520714</v>
      </c>
      <c r="F71" s="94">
        <f>SUM(F53:F70)</f>
        <v>0</v>
      </c>
      <c r="G71" s="94">
        <f>SUM(G53:G70)</f>
        <v>0</v>
      </c>
      <c r="H71" s="94">
        <f>SUM(H53:H70)</f>
        <v>805625892</v>
      </c>
      <c r="I71" s="100"/>
      <c r="J71" s="252">
        <f>+E71+F71+G71+H71</f>
        <v>1520146606</v>
      </c>
      <c r="K71" s="252">
        <f>+[7]Commitments!$E$4+[7]Commitments!$E$7+[7]Commitments!$E$10+[7]Commitments!$E$19+[7]Commitments!$E$20+[7]Commitments!$E$21+[7]Commitments!$E$22</f>
        <v>1520146606</v>
      </c>
      <c r="L71" s="254">
        <f>+J71-K71</f>
        <v>0</v>
      </c>
      <c r="M71" s="252"/>
    </row>
    <row r="72" spans="1:30" s="98" customFormat="1">
      <c r="A72" s="249">
        <v>7</v>
      </c>
      <c r="B72" s="270" t="s">
        <v>251</v>
      </c>
      <c r="C72" s="271"/>
      <c r="D72" s="114"/>
      <c r="E72" s="95"/>
      <c r="F72" s="95"/>
      <c r="G72" s="95"/>
      <c r="H72" s="95"/>
      <c r="I72" s="99">
        <f>SUM(I53:I70)</f>
        <v>381399704</v>
      </c>
      <c r="J72" s="109"/>
    </row>
    <row r="73" spans="1:30" s="98" customFormat="1" ht="13.5" thickBot="1">
      <c r="A73" s="201">
        <v>8</v>
      </c>
      <c r="B73" s="278" t="s">
        <v>252</v>
      </c>
      <c r="C73" s="279"/>
      <c r="D73" s="115"/>
      <c r="E73" s="96"/>
      <c r="F73" s="96"/>
      <c r="G73" s="96"/>
      <c r="H73" s="96"/>
      <c r="I73" s="101">
        <f>SUM(I72+I44)</f>
        <v>5358383758.1999998</v>
      </c>
      <c r="J73" s="109">
        <f>+I73*0.15</f>
        <v>803757563.7299999</v>
      </c>
    </row>
    <row r="74" spans="1:30">
      <c r="I74" s="102"/>
      <c r="J74" s="126"/>
    </row>
    <row r="75" spans="1:30" s="238" customFormat="1" ht="15" customHeight="1">
      <c r="A75" s="236"/>
      <c r="B75" s="216" t="s">
        <v>278</v>
      </c>
      <c r="C75" s="236"/>
      <c r="D75" s="236"/>
      <c r="E75" s="236"/>
      <c r="F75" s="237"/>
      <c r="G75" s="237"/>
      <c r="H75" s="237"/>
      <c r="I75" s="237"/>
      <c r="J75" s="237"/>
      <c r="K75" s="237"/>
      <c r="L75" s="237"/>
      <c r="M75" s="237"/>
      <c r="N75" s="236"/>
      <c r="O75" s="236"/>
      <c r="P75" s="236"/>
      <c r="Q75" s="236"/>
      <c r="R75" s="236"/>
      <c r="S75" s="236"/>
      <c r="T75" s="236"/>
      <c r="U75" s="236"/>
      <c r="V75" s="236"/>
      <c r="W75" s="236"/>
      <c r="X75" s="236"/>
      <c r="Y75" s="236"/>
      <c r="Z75" s="236"/>
      <c r="AA75" s="236"/>
      <c r="AB75" s="236"/>
      <c r="AC75" s="236"/>
      <c r="AD75" s="236"/>
    </row>
    <row r="76" spans="1:30" s="238" customFormat="1" ht="11.25" customHeight="1">
      <c r="A76" s="236"/>
      <c r="B76" s="216"/>
      <c r="C76" s="236"/>
      <c r="D76" s="236"/>
      <c r="E76" s="236"/>
      <c r="F76" s="237"/>
      <c r="G76" s="237"/>
      <c r="H76" s="237"/>
      <c r="I76" s="237"/>
      <c r="J76" s="237"/>
      <c r="K76" s="237"/>
      <c r="L76" s="237"/>
      <c r="M76" s="237"/>
      <c r="N76" s="236"/>
      <c r="O76" s="236"/>
      <c r="P76" s="236"/>
      <c r="Q76" s="236"/>
      <c r="R76" s="236"/>
      <c r="S76" s="236"/>
      <c r="T76" s="236"/>
      <c r="U76" s="236"/>
      <c r="V76" s="236"/>
      <c r="W76" s="236"/>
      <c r="X76" s="236"/>
      <c r="Y76" s="236"/>
      <c r="Z76" s="236"/>
      <c r="AA76" s="236"/>
      <c r="AB76" s="236"/>
      <c r="AC76" s="236"/>
      <c r="AD76" s="236"/>
    </row>
    <row r="77" spans="1:30" s="238" customFormat="1" ht="15" customHeight="1">
      <c r="A77" s="236"/>
      <c r="B77" s="216" t="s">
        <v>279</v>
      </c>
      <c r="C77" s="236"/>
      <c r="D77" s="236"/>
      <c r="E77" s="236"/>
      <c r="F77" s="237"/>
      <c r="G77" s="237"/>
      <c r="H77" s="237"/>
      <c r="I77" s="237"/>
      <c r="J77" s="237"/>
      <c r="K77" s="237"/>
      <c r="L77" s="237"/>
      <c r="M77" s="237"/>
      <c r="N77" s="236"/>
      <c r="O77" s="236"/>
      <c r="P77" s="236"/>
      <c r="Q77" s="236"/>
      <c r="R77" s="236"/>
      <c r="S77" s="236"/>
      <c r="T77" s="236"/>
      <c r="U77" s="236"/>
      <c r="V77" s="236"/>
      <c r="W77" s="236"/>
      <c r="X77" s="236"/>
      <c r="Y77" s="236"/>
      <c r="Z77" s="236"/>
      <c r="AA77" s="236"/>
      <c r="AB77" s="236"/>
      <c r="AC77" s="236"/>
      <c r="AD77" s="236"/>
    </row>
  </sheetData>
  <sheetProtection password="CACA" sheet="1" objects="1" scenarios="1"/>
  <mergeCells count="36">
    <mergeCell ref="A3:A5"/>
    <mergeCell ref="B3:B5"/>
    <mergeCell ref="B52:C52"/>
    <mergeCell ref="A1:H1"/>
    <mergeCell ref="G2:H2"/>
    <mergeCell ref="A47:A50"/>
    <mergeCell ref="B47:C49"/>
    <mergeCell ref="D47:D49"/>
    <mergeCell ref="H47:H48"/>
    <mergeCell ref="G47:G48"/>
    <mergeCell ref="F47:F48"/>
    <mergeCell ref="E47:E48"/>
    <mergeCell ref="I47:I49"/>
    <mergeCell ref="B50:C50"/>
    <mergeCell ref="B56:C56"/>
    <mergeCell ref="B57:C57"/>
    <mergeCell ref="B58:C58"/>
    <mergeCell ref="B53:C53"/>
    <mergeCell ref="B54:C54"/>
    <mergeCell ref="B55:C55"/>
    <mergeCell ref="B51:C51"/>
    <mergeCell ref="B59:C59"/>
    <mergeCell ref="B71:C71"/>
    <mergeCell ref="B72:C72"/>
    <mergeCell ref="B73:C73"/>
    <mergeCell ref="B60:C60"/>
    <mergeCell ref="B61:C61"/>
    <mergeCell ref="B62:C62"/>
    <mergeCell ref="B63:C63"/>
    <mergeCell ref="B64:C64"/>
    <mergeCell ref="B65:C65"/>
    <mergeCell ref="B66:C66"/>
    <mergeCell ref="B67:C67"/>
    <mergeCell ref="B68:C68"/>
    <mergeCell ref="B69:C69"/>
    <mergeCell ref="B70:C70"/>
  </mergeCells>
  <conditionalFormatting sqref="J42">
    <cfRule type="cellIs" dxfId="13" priority="17" operator="notEqual">
      <formula>K42</formula>
    </cfRule>
  </conditionalFormatting>
  <conditionalFormatting sqref="J54">
    <cfRule type="cellIs" dxfId="12" priority="15" operator="notEqual">
      <formula>K54</formula>
    </cfRule>
  </conditionalFormatting>
  <conditionalFormatting sqref="J56">
    <cfRule type="cellIs" dxfId="11" priority="14" operator="notEqual">
      <formula>K56</formula>
    </cfRule>
  </conditionalFormatting>
  <conditionalFormatting sqref="J61">
    <cfRule type="cellIs" dxfId="10" priority="13" operator="notEqual">
      <formula>K61</formula>
    </cfRule>
  </conditionalFormatting>
  <conditionalFormatting sqref="J68">
    <cfRule type="cellIs" dxfId="9" priority="12" operator="notEqual">
      <formula>K68</formula>
    </cfRule>
  </conditionalFormatting>
  <conditionalFormatting sqref="C8:I13 C14 E14:I14 C41:I44 C30:G30 I30 C40:G40 C15:I29 I40 C31:I38">
    <cfRule type="cellIs" dxfId="8" priority="11" operator="lessThan">
      <formula>0</formula>
    </cfRule>
  </conditionalFormatting>
  <conditionalFormatting sqref="E53:I73">
    <cfRule type="cellIs" dxfId="7" priority="10" operator="lessThan">
      <formula>0</formula>
    </cfRule>
  </conditionalFormatting>
  <conditionalFormatting sqref="D39:F39 H39">
    <cfRule type="cellIs" dxfId="6" priority="8" operator="lessThan">
      <formula>0</formula>
    </cfRule>
  </conditionalFormatting>
  <conditionalFormatting sqref="D14">
    <cfRule type="cellIs" dxfId="5" priority="6" operator="lessThan">
      <formula>0</formula>
    </cfRule>
  </conditionalFormatting>
  <conditionalFormatting sqref="H30">
    <cfRule type="cellIs" dxfId="4" priority="5" operator="lessThan">
      <formula>0</formula>
    </cfRule>
  </conditionalFormatting>
  <conditionalFormatting sqref="H40">
    <cfRule type="cellIs" dxfId="3" priority="4" operator="lessThan">
      <formula>0</formula>
    </cfRule>
  </conditionalFormatting>
  <conditionalFormatting sqref="I39">
    <cfRule type="cellIs" dxfId="2" priority="3" operator="lessThan">
      <formula>0</formula>
    </cfRule>
  </conditionalFormatting>
  <conditionalFormatting sqref="G39">
    <cfRule type="cellIs" dxfId="1" priority="2" operator="lessThan">
      <formula>0</formula>
    </cfRule>
  </conditionalFormatting>
  <conditionalFormatting sqref="C39">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5:G55 H60:H61 E58:H59 C8 E68:H70 E64:H66 E55:E56 E60:E61 F60:G60 E53:H54 H55:H56 H17:H18 E27:G27 F17:F18 C10 G35:I35 H27:H29 F20 F61 H34:I34 C20:D20 D9:D11 F11:H11 G37:G39 D24 C36 C13:D18 F56 G31:G34 H20 F15:H16 C41:H41 G28:G29 G26:I26 G17:G20 I39:I41 I27:I30 C22:C25 C38:C39" xr:uid="{00000000-0002-0000-0400-000000000000}">
      <formula1>-1E+22</formula1>
      <formula2>1E+22</formula2>
    </dataValidation>
    <dataValidation type="whole" operator="greaterThanOrEqual" allowBlank="1" showInputMessage="1" showErrorMessage="1" sqref="E57:H57 G56 E67:H67 E62:H63 G61"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AD32"/>
  <sheetViews>
    <sheetView view="pageBreakPreview" zoomScaleSheetLayoutView="100" workbookViewId="0">
      <selection activeCell="C51" sqref="C51"/>
    </sheetView>
  </sheetViews>
  <sheetFormatPr defaultRowHeight="12.75"/>
  <cols>
    <col min="1" max="1" width="8.85546875" style="117" customWidth="1"/>
    <col min="2" max="2" width="58.42578125" style="117" bestFit="1" customWidth="1"/>
    <col min="3" max="3" width="21.28515625" style="203" customWidth="1"/>
    <col min="4" max="4" width="15.5703125" style="219" customWidth="1"/>
    <col min="5" max="5" width="42" style="219" bestFit="1" customWidth="1"/>
    <col min="6" max="6" width="9.140625" style="219"/>
    <col min="7" max="7" width="10.5703125" style="219" bestFit="1" customWidth="1"/>
    <col min="8" max="8" width="9.140625" style="222"/>
    <col min="9" max="13" width="15.7109375" style="222" customWidth="1"/>
    <col min="14" max="14" width="9.140625" style="219"/>
    <col min="15" max="16384" width="9.140625" style="117"/>
  </cols>
  <sheetData>
    <row r="1" spans="1:15" s="116" customFormat="1" ht="48.75" customHeight="1">
      <c r="A1" s="281" t="s">
        <v>258</v>
      </c>
      <c r="B1" s="281"/>
      <c r="C1" s="202" t="s">
        <v>257</v>
      </c>
      <c r="D1" s="218"/>
      <c r="E1" s="227"/>
      <c r="F1" s="227"/>
      <c r="G1" s="227"/>
      <c r="H1" s="228"/>
      <c r="I1" s="229" t="s">
        <v>272</v>
      </c>
      <c r="J1" s="229" t="s">
        <v>273</v>
      </c>
      <c r="K1" s="229" t="s">
        <v>274</v>
      </c>
      <c r="L1" s="229" t="s">
        <v>275</v>
      </c>
      <c r="M1" s="229" t="s">
        <v>276</v>
      </c>
      <c r="N1" s="230"/>
      <c r="O1" s="227"/>
    </row>
    <row r="2" spans="1:15" ht="7.5" customHeight="1">
      <c r="B2" s="119" t="str">
        <f>IF(C3&gt;0," "&amp;TEXT(C3,"д ММММ, гггг"),"Число,Месяц,Год")</f>
        <v xml:space="preserve"> 31 Декабрь, 2022</v>
      </c>
      <c r="E2" s="231"/>
      <c r="F2" s="231"/>
      <c r="G2" s="231"/>
      <c r="H2" s="232"/>
      <c r="I2" s="232"/>
      <c r="J2" s="232"/>
      <c r="K2" s="232"/>
      <c r="L2" s="232"/>
      <c r="M2" s="232"/>
      <c r="N2" s="231"/>
      <c r="O2" s="231"/>
    </row>
    <row r="3" spans="1:15" ht="15.75" customHeight="1">
      <c r="B3" s="204" t="str">
        <f>+'Bank Capital Calc'!B3</f>
        <v>"Алоқабанк"</v>
      </c>
      <c r="C3" s="243">
        <f>+'Bank Capital Calc'!C3</f>
        <v>44926</v>
      </c>
      <c r="E3" s="231"/>
      <c r="F3" s="231"/>
      <c r="G3" s="231"/>
      <c r="H3" s="233"/>
      <c r="I3" s="232"/>
      <c r="J3" s="232"/>
      <c r="K3" s="232"/>
      <c r="L3" s="232"/>
      <c r="M3" s="232"/>
      <c r="N3" s="231"/>
      <c r="O3" s="231"/>
    </row>
    <row r="4" spans="1:15" ht="43.5" customHeight="1">
      <c r="A4" s="67" t="s">
        <v>52</v>
      </c>
      <c r="B4" s="67" t="s">
        <v>259</v>
      </c>
      <c r="C4" s="67" t="s">
        <v>271</v>
      </c>
      <c r="E4" s="231"/>
      <c r="F4" s="231"/>
      <c r="G4" s="231"/>
      <c r="H4" s="233"/>
      <c r="I4" s="232"/>
      <c r="J4" s="232"/>
      <c r="K4" s="232"/>
      <c r="L4" s="232"/>
      <c r="M4" s="232"/>
      <c r="N4" s="231"/>
      <c r="O4" s="231"/>
    </row>
    <row r="5" spans="1:15" ht="21.75" customHeight="1">
      <c r="A5" s="205" t="s">
        <v>55</v>
      </c>
      <c r="B5" s="206" t="str">
        <f>+""&amp;(E$10-3)&amp;" йилдаги банкнинг ялпи  даромади"</f>
        <v>2019 йилдаги банкнинг ялпи  даромади</v>
      </c>
      <c r="C5" s="207">
        <f>+C6+C8-C7-C9</f>
        <v>500138937</v>
      </c>
      <c r="E5" s="231"/>
      <c r="F5" s="231"/>
      <c r="G5" s="231"/>
      <c r="H5" s="233"/>
      <c r="I5" s="232"/>
      <c r="J5" s="232"/>
      <c r="K5" s="232"/>
      <c r="L5" s="232"/>
      <c r="M5" s="232"/>
      <c r="N5" s="231"/>
      <c r="O5" s="231"/>
    </row>
    <row r="6" spans="1:15" ht="21.75" customHeight="1">
      <c r="A6" s="205" t="s">
        <v>56</v>
      </c>
      <c r="B6" s="208" t="s">
        <v>260</v>
      </c>
      <c r="C6" s="209">
        <v>1152180044</v>
      </c>
      <c r="E6" s="231"/>
      <c r="F6" s="231"/>
      <c r="G6" s="231"/>
      <c r="H6" s="233"/>
      <c r="I6" s="232"/>
      <c r="J6" s="232"/>
      <c r="K6" s="232"/>
      <c r="L6" s="232"/>
      <c r="M6" s="232"/>
      <c r="N6" s="231"/>
      <c r="O6" s="231"/>
    </row>
    <row r="7" spans="1:15" ht="21.75" customHeight="1">
      <c r="A7" s="205" t="s">
        <v>15</v>
      </c>
      <c r="B7" s="208" t="s">
        <v>261</v>
      </c>
      <c r="C7" s="209">
        <v>776657589</v>
      </c>
      <c r="E7" s="231"/>
      <c r="F7" s="231"/>
      <c r="G7" s="231"/>
      <c r="H7" s="233"/>
      <c r="I7" s="232"/>
      <c r="J7" s="232"/>
      <c r="K7" s="232"/>
      <c r="L7" s="232"/>
      <c r="M7" s="232"/>
      <c r="N7" s="231"/>
      <c r="O7" s="231"/>
    </row>
    <row r="8" spans="1:15" ht="21.75" customHeight="1">
      <c r="A8" s="205" t="s">
        <v>16</v>
      </c>
      <c r="B8" s="208" t="s">
        <v>262</v>
      </c>
      <c r="C8" s="209">
        <v>192806331</v>
      </c>
      <c r="E8" s="231">
        <v>2022</v>
      </c>
      <c r="F8" s="231"/>
      <c r="G8" s="231"/>
      <c r="H8" s="232"/>
      <c r="I8" s="232"/>
      <c r="J8" s="232"/>
      <c r="K8" s="232"/>
      <c r="L8" s="232"/>
      <c r="M8" s="232"/>
      <c r="N8" s="231"/>
      <c r="O8" s="231"/>
    </row>
    <row r="9" spans="1:15" ht="21.75" customHeight="1">
      <c r="A9" s="205" t="s">
        <v>123</v>
      </c>
      <c r="B9" s="208" t="s">
        <v>263</v>
      </c>
      <c r="C9" s="209">
        <v>68189849</v>
      </c>
      <c r="E9" s="231"/>
      <c r="F9" s="231"/>
      <c r="G9" s="231"/>
      <c r="H9" s="232"/>
      <c r="I9" s="232"/>
      <c r="J9" s="232"/>
      <c r="K9" s="232"/>
      <c r="L9" s="232"/>
      <c r="M9" s="232"/>
      <c r="N9" s="231"/>
      <c r="O9" s="231"/>
    </row>
    <row r="10" spans="1:15" ht="21.75" customHeight="1">
      <c r="A10" s="205" t="s">
        <v>65</v>
      </c>
      <c r="B10" s="206" t="str">
        <f>+""&amp;(E$10-2)&amp;" йилдаги банкнинг ялпи  даромади"</f>
        <v>2020 йилдаги банкнинг ялпи  даромади</v>
      </c>
      <c r="C10" s="207">
        <f>+C11+C13-C12-C14</f>
        <v>490963020</v>
      </c>
      <c r="E10" s="231">
        <f>IF(E8&gt;H10,H9,E8)</f>
        <v>2022</v>
      </c>
      <c r="F10" s="231"/>
      <c r="G10" s="231"/>
      <c r="H10" s="232">
        <v>2022</v>
      </c>
      <c r="I10" s="232">
        <v>13</v>
      </c>
      <c r="J10" s="232">
        <v>10</v>
      </c>
      <c r="K10" s="232">
        <v>0.8</v>
      </c>
      <c r="L10" s="232">
        <v>100</v>
      </c>
      <c r="M10" s="232">
        <v>100</v>
      </c>
      <c r="N10" s="231"/>
      <c r="O10" s="231"/>
    </row>
    <row r="11" spans="1:15" ht="21.75" customHeight="1">
      <c r="A11" s="205" t="s">
        <v>56</v>
      </c>
      <c r="B11" s="208" t="s">
        <v>264</v>
      </c>
      <c r="C11" s="209">
        <v>1185874258</v>
      </c>
      <c r="E11" s="231"/>
      <c r="F11" s="231"/>
      <c r="G11" s="231"/>
      <c r="H11" s="232"/>
      <c r="I11" s="232"/>
      <c r="J11" s="232"/>
      <c r="K11" s="232"/>
      <c r="L11" s="232"/>
      <c r="M11" s="232"/>
      <c r="N11" s="231"/>
      <c r="O11" s="231"/>
    </row>
    <row r="12" spans="1:15" ht="21.75" customHeight="1">
      <c r="A12" s="205" t="s">
        <v>15</v>
      </c>
      <c r="B12" s="208" t="s">
        <v>261</v>
      </c>
      <c r="C12" s="209">
        <v>819338253</v>
      </c>
      <c r="E12" s="231"/>
      <c r="F12" s="231"/>
      <c r="G12" s="231"/>
      <c r="H12" s="232"/>
      <c r="I12" s="232"/>
      <c r="J12" s="232"/>
      <c r="K12" s="232"/>
      <c r="L12" s="232"/>
      <c r="M12" s="232"/>
      <c r="N12" s="231"/>
      <c r="O12" s="231"/>
    </row>
    <row r="13" spans="1:15" ht="21.75" customHeight="1">
      <c r="A13" s="205" t="s">
        <v>16</v>
      </c>
      <c r="B13" s="208" t="s">
        <v>262</v>
      </c>
      <c r="C13" s="209">
        <v>294481740</v>
      </c>
      <c r="E13" s="231"/>
      <c r="F13" s="231"/>
      <c r="G13" s="231"/>
      <c r="H13" s="232"/>
      <c r="I13" s="232"/>
      <c r="J13" s="232"/>
      <c r="K13" s="232"/>
      <c r="L13" s="232"/>
      <c r="M13" s="232"/>
      <c r="N13" s="231"/>
      <c r="O13" s="231"/>
    </row>
    <row r="14" spans="1:15" ht="21.75" customHeight="1">
      <c r="A14" s="205" t="s">
        <v>123</v>
      </c>
      <c r="B14" s="208" t="s">
        <v>263</v>
      </c>
      <c r="C14" s="209">
        <v>170054725</v>
      </c>
      <c r="E14" s="231"/>
      <c r="F14" s="231"/>
      <c r="G14" s="231"/>
      <c r="H14" s="232"/>
      <c r="I14" s="232"/>
      <c r="J14" s="232"/>
      <c r="K14" s="232"/>
      <c r="L14" s="232"/>
      <c r="M14" s="232"/>
      <c r="N14" s="231"/>
      <c r="O14" s="231"/>
    </row>
    <row r="15" spans="1:15" ht="21.75" customHeight="1">
      <c r="A15" s="205" t="s">
        <v>66</v>
      </c>
      <c r="B15" s="206" t="str">
        <f>+""&amp;(E$10-1)&amp;" йилдаги банкнинг ялпи  даромади"</f>
        <v>2021 йилдаги банкнинг ялпи  даромади</v>
      </c>
      <c r="C15" s="207">
        <f>+C16+C18-C17-C19</f>
        <v>623564273</v>
      </c>
      <c r="E15" s="231"/>
      <c r="F15" s="231"/>
      <c r="G15" s="231"/>
      <c r="H15" s="232"/>
      <c r="I15" s="232"/>
      <c r="J15" s="232"/>
      <c r="K15" s="232"/>
      <c r="L15" s="232"/>
      <c r="M15" s="232"/>
      <c r="N15" s="231"/>
      <c r="O15" s="231"/>
    </row>
    <row r="16" spans="1:15" ht="21.75" customHeight="1">
      <c r="A16" s="205" t="s">
        <v>56</v>
      </c>
      <c r="B16" s="208" t="s">
        <v>264</v>
      </c>
      <c r="C16" s="209">
        <v>1206690017</v>
      </c>
    </row>
    <row r="17" spans="1:30" ht="21.75" customHeight="1">
      <c r="A17" s="205" t="s">
        <v>15</v>
      </c>
      <c r="B17" s="208" t="s">
        <v>261</v>
      </c>
      <c r="C17" s="209">
        <v>798308535</v>
      </c>
    </row>
    <row r="18" spans="1:30" ht="21.75" customHeight="1">
      <c r="A18" s="205" t="s">
        <v>16</v>
      </c>
      <c r="B18" s="208" t="s">
        <v>262</v>
      </c>
      <c r="C18" s="209">
        <v>427153372</v>
      </c>
    </row>
    <row r="19" spans="1:30" ht="21.75" customHeight="1">
      <c r="A19" s="205" t="s">
        <v>123</v>
      </c>
      <c r="B19" s="208" t="s">
        <v>263</v>
      </c>
      <c r="C19" s="209">
        <v>211970581</v>
      </c>
    </row>
    <row r="20" spans="1:30" ht="31.5" customHeight="1">
      <c r="A20" s="205" t="s">
        <v>67</v>
      </c>
      <c r="B20" s="210" t="s">
        <v>265</v>
      </c>
      <c r="C20" s="207">
        <f>(C5+C10+C15)/3</f>
        <v>538222076.66666663</v>
      </c>
    </row>
    <row r="21" spans="1:30" ht="22.5" customHeight="1">
      <c r="A21" s="205" t="s">
        <v>68</v>
      </c>
      <c r="B21" s="210" t="s">
        <v>266</v>
      </c>
      <c r="C21" s="211">
        <f>+(100/C28)*C20*15%</f>
        <v>621025473.07692301</v>
      </c>
    </row>
    <row r="22" spans="1:30" ht="13.5" customHeight="1">
      <c r="A22" s="67"/>
      <c r="B22" s="67"/>
      <c r="C22" s="67"/>
    </row>
    <row r="23" spans="1:30" ht="21.75" customHeight="1">
      <c r="A23" s="205" t="s">
        <v>69</v>
      </c>
      <c r="B23" s="208" t="s">
        <v>267</v>
      </c>
      <c r="C23" s="209">
        <v>-194299527</v>
      </c>
    </row>
    <row r="24" spans="1:30" ht="21.75" customHeight="1">
      <c r="A24" s="205" t="s">
        <v>70</v>
      </c>
      <c r="B24" s="208" t="s">
        <v>280</v>
      </c>
      <c r="C24" s="209">
        <v>157156440</v>
      </c>
      <c r="D24" s="240" t="s">
        <v>282</v>
      </c>
    </row>
    <row r="25" spans="1:30" ht="22.5" customHeight="1">
      <c r="A25" s="205" t="s">
        <v>71</v>
      </c>
      <c r="B25" s="208" t="s">
        <v>281</v>
      </c>
      <c r="C25" s="209">
        <v>213857460</v>
      </c>
      <c r="D25" s="240" t="s">
        <v>283</v>
      </c>
    </row>
    <row r="26" spans="1:30" ht="22.5" customHeight="1">
      <c r="A26" s="205" t="s">
        <v>72</v>
      </c>
      <c r="B26" s="212" t="s">
        <v>268</v>
      </c>
      <c r="C26" s="207">
        <f>ABS(C23+(C24-C25))</f>
        <v>251000547</v>
      </c>
      <c r="D26" s="234">
        <f>+C26*0.1</f>
        <v>25100054.700000003</v>
      </c>
      <c r="E26" s="220"/>
      <c r="F26" s="220"/>
      <c r="G26" s="220"/>
      <c r="H26" s="223"/>
      <c r="I26" s="223"/>
      <c r="J26" s="223"/>
      <c r="K26" s="223"/>
      <c r="L26" s="223"/>
      <c r="M26" s="223"/>
      <c r="N26" s="220"/>
      <c r="O26" s="213"/>
      <c r="P26" s="213"/>
    </row>
    <row r="27" spans="1:30" ht="22.5" customHeight="1">
      <c r="A27" s="205" t="s">
        <v>79</v>
      </c>
      <c r="B27" s="214" t="s">
        <v>269</v>
      </c>
      <c r="C27" s="207">
        <f>+(100/C28)*(C26*10%)</f>
        <v>193077343.84615389</v>
      </c>
    </row>
    <row r="28" spans="1:30" s="215" customFormat="1" ht="14.25">
      <c r="A28" s="205" t="s">
        <v>80</v>
      </c>
      <c r="B28" s="208" t="s">
        <v>270</v>
      </c>
      <c r="C28" s="225">
        <f>VLOOKUP($E$10,$H$3:$I$10,2,0)</f>
        <v>13</v>
      </c>
      <c r="D28" s="219"/>
      <c r="E28" s="219"/>
      <c r="F28" s="219"/>
      <c r="G28" s="219"/>
      <c r="H28" s="222"/>
      <c r="I28" s="222"/>
      <c r="J28" s="222"/>
      <c r="K28" s="222"/>
      <c r="L28" s="222"/>
      <c r="M28" s="222"/>
      <c r="N28" s="219"/>
      <c r="O28" s="117"/>
      <c r="P28" s="117"/>
    </row>
    <row r="29" spans="1:30" ht="17.25" customHeight="1">
      <c r="D29" s="221"/>
      <c r="E29" s="221"/>
      <c r="F29" s="221"/>
      <c r="G29" s="221"/>
      <c r="H29" s="224"/>
      <c r="I29" s="224"/>
      <c r="J29" s="224"/>
      <c r="K29" s="224"/>
      <c r="L29" s="224"/>
      <c r="M29" s="224"/>
      <c r="N29" s="221"/>
      <c r="O29" s="215"/>
      <c r="P29" s="215"/>
    </row>
    <row r="30" spans="1:30" s="238" customFormat="1" ht="15" customHeight="1">
      <c r="A30" s="236"/>
      <c r="B30" s="239" t="s">
        <v>278</v>
      </c>
      <c r="C30" s="236"/>
      <c r="D30" s="236"/>
      <c r="E30" s="236"/>
      <c r="F30" s="237"/>
      <c r="G30" s="237"/>
      <c r="H30" s="237"/>
      <c r="I30" s="237"/>
      <c r="J30" s="237"/>
      <c r="K30" s="237"/>
      <c r="L30" s="237"/>
      <c r="M30" s="237"/>
      <c r="N30" s="236"/>
      <c r="O30" s="236"/>
      <c r="P30" s="236"/>
      <c r="Q30" s="236"/>
      <c r="R30" s="236"/>
      <c r="S30" s="236"/>
      <c r="T30" s="236"/>
      <c r="U30" s="236"/>
      <c r="V30" s="236"/>
      <c r="W30" s="236"/>
      <c r="X30" s="236"/>
      <c r="Y30" s="236"/>
      <c r="Z30" s="236"/>
      <c r="AA30" s="236"/>
      <c r="AB30" s="236"/>
      <c r="AC30" s="236"/>
      <c r="AD30" s="236"/>
    </row>
    <row r="31" spans="1:30" s="238" customFormat="1" ht="11.25" customHeight="1">
      <c r="A31" s="236"/>
      <c r="B31" s="239"/>
      <c r="C31" s="236"/>
      <c r="D31" s="236"/>
      <c r="E31" s="236"/>
      <c r="F31" s="237"/>
      <c r="G31" s="237"/>
      <c r="H31" s="237"/>
      <c r="I31" s="237"/>
      <c r="J31" s="237"/>
      <c r="K31" s="237"/>
      <c r="L31" s="237"/>
      <c r="M31" s="237"/>
      <c r="N31" s="236"/>
      <c r="O31" s="236"/>
      <c r="P31" s="236"/>
      <c r="Q31" s="236"/>
      <c r="R31" s="236"/>
      <c r="S31" s="236"/>
      <c r="T31" s="236"/>
      <c r="U31" s="236"/>
      <c r="V31" s="236"/>
      <c r="W31" s="236"/>
      <c r="X31" s="236"/>
      <c r="Y31" s="236"/>
      <c r="Z31" s="236"/>
      <c r="AA31" s="236"/>
      <c r="AB31" s="236"/>
      <c r="AC31" s="236"/>
      <c r="AD31" s="236"/>
    </row>
    <row r="32" spans="1:30" s="238" customFormat="1" ht="15" customHeight="1">
      <c r="A32" s="236"/>
      <c r="B32" s="239" t="s">
        <v>279</v>
      </c>
      <c r="C32" s="236"/>
      <c r="D32" s="236"/>
      <c r="E32" s="236"/>
      <c r="F32" s="237"/>
      <c r="G32" s="237"/>
      <c r="H32" s="237"/>
      <c r="I32" s="237"/>
      <c r="J32" s="237"/>
      <c r="K32" s="237"/>
      <c r="L32" s="237"/>
      <c r="M32" s="237"/>
      <c r="N32" s="236"/>
      <c r="O32" s="236"/>
      <c r="P32" s="236"/>
      <c r="Q32" s="236"/>
      <c r="R32" s="236"/>
      <c r="S32" s="236"/>
      <c r="T32" s="236"/>
      <c r="U32" s="236"/>
      <c r="V32" s="236"/>
      <c r="W32" s="236"/>
      <c r="X32" s="236"/>
      <c r="Y32" s="236"/>
      <c r="Z32" s="236"/>
      <c r="AA32" s="236"/>
      <c r="AB32" s="236"/>
      <c r="AC32" s="236"/>
      <c r="AD32" s="236"/>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USER</cp:lastModifiedBy>
  <cp:lastPrinted>2023-01-05T16:03:40Z</cp:lastPrinted>
  <dcterms:created xsi:type="dcterms:W3CDTF">2014-01-27T05:06:32Z</dcterms:created>
  <dcterms:modified xsi:type="dcterms:W3CDTF">2023-03-24T13:07:32Z</dcterms:modified>
</cp:coreProperties>
</file>