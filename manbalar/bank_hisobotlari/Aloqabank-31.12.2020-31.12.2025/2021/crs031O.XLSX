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O:\Tahlil\21 standart\2021\2021.12.31\"/>
    </mc:Choice>
  </mc:AlternateContent>
  <xr:revisionPtr revIDLastSave="0" documentId="13_ncr:1_{7143B709-0A72-466E-A9B8-DC7027782395}" xr6:coauthVersionLast="45" xr6:coauthVersionMax="45" xr10:uidLastSave="{00000000-0000-0000-0000-000000000000}"/>
  <bookViews>
    <workbookView xWindow="-120" yWindow="-120" windowWidth="29040" windowHeight="15840" tabRatio="923" activeTab="1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Transactions of related parties" sheetId="43" r:id="rId8"/>
    <sheet name=" Largest risk" sheetId="44" r:id="rId9"/>
    <sheet name="Charge-offs and Recoveries" sheetId="13" r:id="rId10"/>
    <sheet name="loans_av rate" sheetId="35" r:id="rId11"/>
    <sheet name="loans type" sheetId="40" r:id="rId12"/>
    <sheet name="Bank Capital Calc (2)" sheetId="41" state="hidden" r:id="rId13"/>
    <sheet name="Deposits_av rate" sheetId="30" r:id="rId14"/>
    <sheet name="Economic Normatives" sheetId="20" r:id="rId15"/>
    <sheet name="Miscellaneous" sheetId="21" r:id="rId16"/>
    <sheet name="ПФУ" sheetId="42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add21" localSheetId="16" hidden="1">[1]tab17!#REF!</definedName>
    <definedName name="____add21" hidden="1">[1]tab17!#REF!</definedName>
    <definedName name="___add21" localSheetId="16" hidden="1">[1]tab17!#REF!</definedName>
    <definedName name="___add21" hidden="1">[1]tab17!#REF!</definedName>
    <definedName name="__123Graph_A" localSheetId="16" hidden="1">'[2]tab 19'!#REF!</definedName>
    <definedName name="__123Graph_A" hidden="1">'[2]tab 19'!#REF!</definedName>
    <definedName name="__123Graph_B" localSheetId="16" hidden="1">[3]tab17!#REF!</definedName>
    <definedName name="__123Graph_B" hidden="1">[3]tab17!#REF!</definedName>
    <definedName name="__123Graph_X" localSheetId="16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localSheetId="16" hidden="1">[1]tab17!#REF!</definedName>
    <definedName name="__add21" hidden="1">[1]tab17!#REF!</definedName>
    <definedName name="_10__123Graph_AREALEX_WAGE" localSheetId="16" hidden="1">'[2]tab 19'!#REF!</definedName>
    <definedName name="_10__123Graph_AREALEX_WAGE" hidden="1">'[2]tab 19'!#REF!</definedName>
    <definedName name="_10__123Graph_BCHART_2" hidden="1">[4]A!$C$36:$AJ$36</definedName>
    <definedName name="_10__123Graph_BREALEX_WAGE" localSheetId="16" hidden="1">#REF!</definedName>
    <definedName name="_10__123Graph_BREALEX_WAGE" hidden="1">#REF!</definedName>
    <definedName name="_11__123Graph_BCHART_1" hidden="1">[4]A!$C$28:$AJ$28</definedName>
    <definedName name="_12__123Graph_BREALEX_WAGE" localSheetId="16" hidden="1">#REF!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6" hidden="1">#REF!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6" hidden="1">#REF!</definedName>
    <definedName name="_19__123Graph_XREALEX_WAGE" hidden="1">#REF!</definedName>
    <definedName name="_2__123Graph_ACHART_1" hidden="1">[4]A!$C$31:$AJ$31</definedName>
    <definedName name="_20__123Graph_BREALEX_WAGE" localSheetId="16" hidden="1">#REF!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localSheetId="16" hidden="1">#REF!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6" hidden="1">#REF!</definedName>
    <definedName name="_30__123Graph_XREALEX_WAGE" hidden="1">#REF!</definedName>
    <definedName name="_32__123Graph_XCHART_2" hidden="1">[4]A!$C$39:$AJ$39</definedName>
    <definedName name="_36__123Graph_XREALEX_WAGE" localSheetId="16" hidden="1">#REF!</definedName>
    <definedName name="_36__123Graph_XREALEX_WAGE" hidden="1">#REF!</definedName>
    <definedName name="_4__123Graph_ACHART_2" hidden="1">[4]A!$C$31:$AJ$31</definedName>
    <definedName name="_5__123Graph_AREALEX_WAGE" localSheetId="16" hidden="1">'[2]tab 19'!#REF!</definedName>
    <definedName name="_5__123Graph_AREALEX_WAGE" hidden="1">'[2]tab 19'!#REF!</definedName>
    <definedName name="_6__123Graph_ACHART_2" hidden="1">[4]A!$C$31:$AJ$31</definedName>
    <definedName name="_6__123Graph_AREALEX_WAGE" localSheetId="16" hidden="1">'[5]tab 19'!#REF!</definedName>
    <definedName name="_6__123Graph_AREALEX_WAGE" hidden="1">'[5]tab 19'!#REF!</definedName>
    <definedName name="_7__123Graph_BCHART_1" hidden="1">[4]A!$C$28:$AJ$28</definedName>
    <definedName name="_8__123Graph_AREALEX_WAGE" localSheetId="16" hidden="1">'[2]tab 19'!#REF!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localSheetId="16" hidden="1">[1]tab17!#REF!</definedName>
    <definedName name="_add21" hidden="1">[1]tab17!#REF!</definedName>
    <definedName name="_Key1" localSheetId="16" hidden="1">#REF!</definedName>
    <definedName name="_Key1" hidden="1">#REF!</definedName>
    <definedName name="_Key2" localSheetId="16" hidden="1">#REF!</definedName>
    <definedName name="_Key2" hidden="1">#REF!</definedName>
    <definedName name="_Order1" hidden="1">255</definedName>
    <definedName name="_Order2" hidden="1">0</definedName>
    <definedName name="_Parse_Out" localSheetId="16" hidden="1">#REF!</definedName>
    <definedName name="_Parse_Out" hidden="1">#REF!</definedName>
    <definedName name="_Sort" localSheetId="16" hidden="1">#REF!</definedName>
    <definedName name="_Sort" hidden="1">#REF!</definedName>
    <definedName name="jop" localSheetId="12">#REF!</definedName>
    <definedName name="kol" localSheetId="12">#REF!</definedName>
    <definedName name="RISKTOTASS" localSheetId="11">SUM('[6]Calculation of Risk Weighted As'!$C$38:$F$38)</definedName>
    <definedName name="RISKTOTASS" localSheetId="16">SUM('[7]Calculation of Risk Weighted As'!$C$41:$G$41)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sencount" hidden="1">2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6" hidden="1">{"BOP_TAB",#N/A,FALSE,"N";"MIDTERM_TAB",#N/A,FALSE,"O"}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6" hidden="1">{"MONA",#N/A,FALSE,"S"}</definedName>
    <definedName name="wrn.MONA." hidden="1">{"MONA",#N/A,FALSE,"S"}</definedName>
    <definedName name="wrn.Output._.tables." localSheetId="16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WEO." localSheetId="16" hidden="1">{"WEO",#N/A,FALSE,"T"}</definedName>
    <definedName name="wrn.WEO." hidden="1">{"WEO",#N/A,FALSE,"T"}</definedName>
    <definedName name="ап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2">#REF!</definedName>
    <definedName name="_xlnm.Print_Area" localSheetId="8">' Largest risk'!$A$1:$Z$70</definedName>
    <definedName name="_xlnm.Print_Area" localSheetId="5">'Aging Analysis'!$A$1:$AH$45</definedName>
    <definedName name="_xlnm.Print_Area" localSheetId="2">'Analysis of Interest'!$A$1:$J$90</definedName>
    <definedName name="_xlnm.Print_Area" localSheetId="6">'Asset Classification'!$A$1:$AB$76</definedName>
    <definedName name="_xlnm.Print_Area" localSheetId="0">'Asset quality'!$A$1:$S$73</definedName>
    <definedName name="_xlnm.Print_Area" localSheetId="12">'Bank Capital Calc (2)'!$A$1:$C$55</definedName>
    <definedName name="_xlnm.Print_Area" localSheetId="3">'Changes in Equity'!$A$1:$E$18</definedName>
    <definedName name="_xlnm.Print_Area" localSheetId="9">'Charge-offs and Recoveries'!$A$1:$J$53</definedName>
    <definedName name="_xlnm.Print_Area" localSheetId="13">'Deposits_av rate'!$A$1:$N$21</definedName>
    <definedName name="_xlnm.Print_Area" localSheetId="14">'Economic Normatives'!$A$1:$K$49</definedName>
    <definedName name="_xlnm.Print_Area" localSheetId="1">'Income '!$A$1:$J$94</definedName>
    <definedName name="_xlnm.Print_Area" localSheetId="4">'Loans Receivable'!$A$1:$AK$112</definedName>
    <definedName name="_xlnm.Print_Area" localSheetId="11">'loans type'!$A$1:$Z$54</definedName>
    <definedName name="_xlnm.Print_Area" localSheetId="10">'loans_av rate'!$A$1:$P$58</definedName>
    <definedName name="_xlnm.Print_Area" localSheetId="15">Miscellaneous!$A$1:$C$30</definedName>
    <definedName name="_xlnm.Print_Area" localSheetId="7">'Transactions of related parties'!$A$1:$Z$70</definedName>
    <definedName name="_xlnm.Print_Area" localSheetId="16">ПФУ!$A$1:$B$44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2" i="21" l="1"/>
  <c r="J17" i="13"/>
  <c r="I41" i="13" l="1"/>
  <c r="C41" i="13" l="1"/>
  <c r="K28" i="10" l="1"/>
  <c r="K48" i="10"/>
  <c r="K67" i="10"/>
  <c r="E64" i="10"/>
  <c r="E48" i="10"/>
  <c r="E28" i="10"/>
  <c r="D60" i="26"/>
  <c r="D39" i="26" l="1"/>
  <c r="G69" i="10"/>
  <c r="W64" i="10" l="1"/>
  <c r="W34" i="10"/>
  <c r="W18" i="10"/>
  <c r="S18" i="10"/>
  <c r="S12" i="10"/>
  <c r="E67" i="10" l="1"/>
  <c r="E44" i="10"/>
  <c r="E42" i="10"/>
  <c r="E40" i="10"/>
  <c r="E38" i="10"/>
  <c r="E24" i="10"/>
  <c r="E20" i="10"/>
  <c r="W67" i="10" l="1"/>
  <c r="V67" i="10"/>
  <c r="U67" i="10"/>
  <c r="S67" i="10"/>
  <c r="R66" i="10"/>
  <c r="O67" i="10"/>
  <c r="O48" i="10"/>
  <c r="M67" i="10"/>
  <c r="Q48" i="10"/>
  <c r="I67" i="10"/>
  <c r="I48" i="10"/>
  <c r="I28" i="10"/>
  <c r="F28" i="10"/>
  <c r="I44" i="20" l="1"/>
  <c r="I32" i="20" l="1"/>
  <c r="I25" i="20"/>
  <c r="I27" i="20" l="1"/>
  <c r="M27" i="30" l="1"/>
  <c r="I27" i="30"/>
  <c r="G24" i="30"/>
  <c r="C24" i="30"/>
  <c r="P16" i="30"/>
  <c r="P15" i="30"/>
  <c r="P14" i="30"/>
  <c r="P13" i="30"/>
  <c r="P12" i="30"/>
  <c r="P11" i="30"/>
  <c r="P10" i="30"/>
  <c r="P9" i="30"/>
  <c r="P8" i="30"/>
  <c r="I21" i="20"/>
  <c r="I20" i="20"/>
  <c r="I19" i="20"/>
  <c r="I18" i="20"/>
  <c r="I17" i="20"/>
  <c r="I16" i="20"/>
  <c r="D54" i="42"/>
  <c r="C54" i="42"/>
  <c r="B54" i="42"/>
  <c r="D53" i="42"/>
  <c r="C53" i="42"/>
  <c r="B53" i="42"/>
  <c r="D52" i="42"/>
  <c r="C52" i="42"/>
  <c r="B52" i="42"/>
  <c r="D51" i="42"/>
  <c r="C51" i="42"/>
  <c r="B51" i="42"/>
  <c r="D50" i="42"/>
  <c r="C50" i="42"/>
  <c r="B50" i="42"/>
  <c r="D49" i="42"/>
  <c r="C49" i="42"/>
  <c r="B49" i="42"/>
  <c r="D48" i="42"/>
  <c r="C48" i="42"/>
  <c r="B48" i="42"/>
  <c r="D47" i="42"/>
  <c r="C47" i="42"/>
  <c r="B47" i="42"/>
  <c r="B38" i="42"/>
  <c r="B36" i="42"/>
  <c r="B35" i="42"/>
  <c r="B33" i="42"/>
  <c r="B9" i="42"/>
  <c r="B6" i="42"/>
  <c r="C99" i="24"/>
  <c r="C72" i="26"/>
  <c r="D14" i="6"/>
  <c r="D8" i="6"/>
  <c r="AA63" i="44" l="1"/>
  <c r="AA62" i="44"/>
  <c r="AA61" i="44"/>
  <c r="AA60" i="44"/>
  <c r="AA59" i="44"/>
  <c r="AA58" i="44"/>
  <c r="AA57" i="44"/>
  <c r="AA56" i="44"/>
  <c r="AA55" i="44"/>
  <c r="AA54" i="44"/>
  <c r="AA53" i="44"/>
  <c r="AA52" i="44"/>
  <c r="AA51" i="44"/>
  <c r="AA50" i="44"/>
  <c r="AA49" i="44"/>
  <c r="AA48" i="44"/>
  <c r="AA47" i="44"/>
  <c r="AA46" i="44"/>
  <c r="AA45" i="44"/>
  <c r="AA44" i="44"/>
  <c r="AA43" i="44"/>
  <c r="AA42" i="44"/>
  <c r="AA41" i="44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25" i="44"/>
  <c r="AA24" i="44"/>
  <c r="AA23" i="44"/>
  <c r="AA22" i="44"/>
  <c r="Y64" i="44"/>
  <c r="X64" i="44"/>
  <c r="V64" i="44"/>
  <c r="T64" i="44"/>
  <c r="S64" i="44"/>
  <c r="R64" i="44"/>
  <c r="Q64" i="44"/>
  <c r="P64" i="44"/>
  <c r="O64" i="44"/>
  <c r="N64" i="44"/>
  <c r="M64" i="44"/>
  <c r="L64" i="44"/>
  <c r="K64" i="44"/>
  <c r="J64" i="44"/>
  <c r="I64" i="44"/>
  <c r="H64" i="44"/>
  <c r="AA63" i="43"/>
  <c r="AA62" i="43"/>
  <c r="AA61" i="43"/>
  <c r="AA60" i="43"/>
  <c r="AA59" i="43"/>
  <c r="AA58" i="43"/>
  <c r="AA57" i="43"/>
  <c r="AA56" i="43"/>
  <c r="AA55" i="43"/>
  <c r="AA54" i="43"/>
  <c r="AA53" i="43"/>
  <c r="AA52" i="43"/>
  <c r="AA51" i="43"/>
  <c r="AA50" i="43"/>
  <c r="AA49" i="43"/>
  <c r="AA48" i="43"/>
  <c r="AA47" i="43"/>
  <c r="AA46" i="43"/>
  <c r="AA45" i="43"/>
  <c r="AA44" i="43"/>
  <c r="AA43" i="43"/>
  <c r="AA42" i="43"/>
  <c r="AA41" i="43"/>
  <c r="Y64" i="43"/>
  <c r="X64" i="43"/>
  <c r="V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B3" i="44" l="1"/>
  <c r="U3" i="44"/>
  <c r="V3" i="44"/>
  <c r="G9" i="44"/>
  <c r="G10" i="44"/>
  <c r="Z10" i="44" s="1"/>
  <c r="AA10" i="44" s="1"/>
  <c r="G11" i="44"/>
  <c r="Z11" i="44" s="1"/>
  <c r="G12" i="44"/>
  <c r="Z12" i="44" s="1"/>
  <c r="G13" i="44"/>
  <c r="Z13" i="44" s="1"/>
  <c r="G14" i="44"/>
  <c r="Z14" i="44" s="1"/>
  <c r="AA14" i="44" s="1"/>
  <c r="G15" i="44"/>
  <c r="Z15" i="44" s="1"/>
  <c r="AA15" i="44" s="1"/>
  <c r="G16" i="44"/>
  <c r="Z16" i="44" s="1"/>
  <c r="AA16" i="44" s="1"/>
  <c r="G17" i="44"/>
  <c r="Z17" i="44" s="1"/>
  <c r="G18" i="44"/>
  <c r="Z18" i="44" s="1"/>
  <c r="G19" i="44"/>
  <c r="Z19" i="44" s="1"/>
  <c r="G20" i="44"/>
  <c r="Z20" i="44" s="1"/>
  <c r="G21" i="44"/>
  <c r="Z21" i="44" s="1"/>
  <c r="AA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34" i="44"/>
  <c r="Z34" i="44" s="1"/>
  <c r="G35" i="44"/>
  <c r="Z35" i="44" s="1"/>
  <c r="G36" i="44"/>
  <c r="Z36" i="44" s="1"/>
  <c r="G37" i="44"/>
  <c r="Z37" i="44" s="1"/>
  <c r="G38" i="44"/>
  <c r="Z38" i="44" s="1"/>
  <c r="G39" i="44"/>
  <c r="Z39" i="44" s="1"/>
  <c r="G40" i="44"/>
  <c r="Z40" i="44" s="1"/>
  <c r="G41" i="44"/>
  <c r="Z41" i="44" s="1"/>
  <c r="G42" i="44"/>
  <c r="Z42" i="44" s="1"/>
  <c r="G43" i="44"/>
  <c r="Z43" i="44" s="1"/>
  <c r="G44" i="44"/>
  <c r="Z44" i="44" s="1"/>
  <c r="G45" i="44"/>
  <c r="Z45" i="44" s="1"/>
  <c r="G46" i="44"/>
  <c r="Z46" i="44" s="1"/>
  <c r="G47" i="44"/>
  <c r="Z47" i="44" s="1"/>
  <c r="G48" i="44"/>
  <c r="Z48" i="44" s="1"/>
  <c r="G49" i="44"/>
  <c r="Z49" i="44" s="1"/>
  <c r="G50" i="44"/>
  <c r="Z50" i="44" s="1"/>
  <c r="G51" i="44"/>
  <c r="Z51" i="44" s="1"/>
  <c r="G52" i="44"/>
  <c r="Z52" i="44" s="1"/>
  <c r="G53" i="44"/>
  <c r="Z53" i="44" s="1"/>
  <c r="G54" i="44"/>
  <c r="Z54" i="44" s="1"/>
  <c r="G55" i="44"/>
  <c r="Z55" i="44" s="1"/>
  <c r="G56" i="44"/>
  <c r="Z56" i="44" s="1"/>
  <c r="G57" i="44"/>
  <c r="Z57" i="44" s="1"/>
  <c r="G58" i="44"/>
  <c r="Z58" i="44" s="1"/>
  <c r="G59" i="44"/>
  <c r="Z59" i="44" s="1"/>
  <c r="G60" i="44"/>
  <c r="Z60" i="44" s="1"/>
  <c r="G61" i="44"/>
  <c r="Z61" i="44" s="1"/>
  <c r="G62" i="44"/>
  <c r="Z62" i="44" s="1"/>
  <c r="G63" i="44"/>
  <c r="Z63" i="44" s="1"/>
  <c r="B3" i="43"/>
  <c r="U3" i="43"/>
  <c r="V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AA22" i="43" s="1"/>
  <c r="G23" i="43"/>
  <c r="Z23" i="43" s="1"/>
  <c r="AA23" i="43" s="1"/>
  <c r="G24" i="43"/>
  <c r="Z24" i="43" s="1"/>
  <c r="AA24" i="43" s="1"/>
  <c r="G25" i="43"/>
  <c r="Z25" i="43" s="1"/>
  <c r="G26" i="43"/>
  <c r="Z26" i="43" s="1"/>
  <c r="G27" i="43"/>
  <c r="Z27" i="43" s="1"/>
  <c r="G28" i="43"/>
  <c r="Z28" i="43" s="1"/>
  <c r="AA28" i="43" s="1"/>
  <c r="G29" i="43"/>
  <c r="Z29" i="43" s="1"/>
  <c r="G30" i="43"/>
  <c r="Z30" i="43" s="1"/>
  <c r="G31" i="43"/>
  <c r="Z31" i="43" s="1"/>
  <c r="AA31" i="43" s="1"/>
  <c r="G32" i="43"/>
  <c r="Z32" i="43" s="1"/>
  <c r="AA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AA38" i="43" s="1"/>
  <c r="G39" i="43"/>
  <c r="Z39" i="43" s="1"/>
  <c r="AA39" i="43" s="1"/>
  <c r="G40" i="43"/>
  <c r="Z40" i="43" s="1"/>
  <c r="AA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47" i="43"/>
  <c r="Z47" i="43" s="1"/>
  <c r="G48" i="43"/>
  <c r="Z48" i="43" s="1"/>
  <c r="G49" i="43"/>
  <c r="Z49" i="43" s="1"/>
  <c r="G50" i="43"/>
  <c r="Z50" i="43" s="1"/>
  <c r="G51" i="43"/>
  <c r="Z51" i="43" s="1"/>
  <c r="G52" i="43"/>
  <c r="Z52" i="43" s="1"/>
  <c r="G53" i="43"/>
  <c r="Z53" i="43" s="1"/>
  <c r="G54" i="43"/>
  <c r="Z54" i="43" s="1"/>
  <c r="G55" i="43"/>
  <c r="Z55" i="43" s="1"/>
  <c r="G56" i="43"/>
  <c r="Z56" i="43" s="1"/>
  <c r="G57" i="43"/>
  <c r="Z57" i="43" s="1"/>
  <c r="G58" i="43"/>
  <c r="Z58" i="43" s="1"/>
  <c r="G59" i="43"/>
  <c r="Z59" i="43" s="1"/>
  <c r="G60" i="43"/>
  <c r="Z60" i="43" s="1"/>
  <c r="G61" i="43"/>
  <c r="Z61" i="43" s="1"/>
  <c r="G62" i="43"/>
  <c r="Z62" i="43" s="1"/>
  <c r="G63" i="43"/>
  <c r="Z63" i="43" s="1"/>
  <c r="AA13" i="44" l="1"/>
  <c r="AA11" i="43"/>
  <c r="AA21" i="43"/>
  <c r="AA20" i="43"/>
  <c r="AA14" i="43"/>
  <c r="AA15" i="43"/>
  <c r="AA16" i="43"/>
  <c r="AA12" i="43"/>
  <c r="AA13" i="43"/>
  <c r="AA19" i="43"/>
  <c r="AA18" i="43"/>
  <c r="AA17" i="43"/>
  <c r="G64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AA12" i="44"/>
  <c r="AA11" i="44"/>
  <c r="Z9" i="44"/>
  <c r="G64" i="44"/>
  <c r="AA18" i="44"/>
  <c r="AA17" i="44"/>
  <c r="Z9" i="43"/>
  <c r="AA10" i="43" s="1"/>
  <c r="AA9" i="43" l="1"/>
  <c r="Z65" i="43" s="1"/>
  <c r="Z64" i="43"/>
  <c r="AA9" i="44"/>
  <c r="Z65" i="44" s="1"/>
  <c r="Z64" i="44"/>
  <c r="AA65" i="44" l="1"/>
  <c r="I65" i="44" s="1"/>
  <c r="AA65" i="43"/>
  <c r="K65" i="43" s="1"/>
  <c r="Q65" i="43" l="1"/>
  <c r="N65" i="43"/>
  <c r="P65" i="44"/>
  <c r="Y65" i="44"/>
  <c r="K65" i="44"/>
  <c r="V65" i="44"/>
  <c r="H65" i="44"/>
  <c r="P65" i="43"/>
  <c r="H65" i="43"/>
  <c r="J65" i="44"/>
  <c r="Q65" i="44"/>
  <c r="O65" i="43"/>
  <c r="Y65" i="43"/>
  <c r="T65" i="44"/>
  <c r="S65" i="44"/>
  <c r="S65" i="43"/>
  <c r="O65" i="44"/>
  <c r="X65" i="44"/>
  <c r="N65" i="44"/>
  <c r="V65" i="43"/>
  <c r="X65" i="43"/>
  <c r="I65" i="43"/>
  <c r="L65" i="44"/>
  <c r="M65" i="43"/>
  <c r="M65" i="44"/>
  <c r="L65" i="43"/>
  <c r="R65" i="44"/>
  <c r="T65" i="43"/>
  <c r="J65" i="43"/>
  <c r="G65" i="44"/>
  <c r="R65" i="43"/>
  <c r="G65" i="43"/>
  <c r="J8" i="13"/>
  <c r="I8" i="13"/>
  <c r="H8" i="13"/>
  <c r="G8" i="13"/>
  <c r="F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G25" i="13" l="1"/>
  <c r="H25" i="13"/>
  <c r="E25" i="13"/>
  <c r="F25" i="13"/>
  <c r="D25" i="13"/>
  <c r="J25" i="13"/>
  <c r="I25" i="13"/>
  <c r="D49" i="13"/>
  <c r="E49" i="13"/>
  <c r="F49" i="13"/>
  <c r="G49" i="13"/>
  <c r="H49" i="13"/>
  <c r="I49" i="13"/>
  <c r="C73" i="2" l="1"/>
  <c r="C16" i="21" l="1"/>
  <c r="C12" i="21" s="1"/>
  <c r="I3" i="13" l="1"/>
  <c r="J4" i="13" s="1"/>
  <c r="C28" i="13" l="1"/>
  <c r="I28" i="13"/>
  <c r="C4" i="13"/>
  <c r="AB30" i="10"/>
  <c r="AA30" i="10"/>
  <c r="AB68" i="10"/>
  <c r="AA68" i="10"/>
  <c r="AB51" i="10"/>
  <c r="AA51" i="10"/>
  <c r="AB50" i="10"/>
  <c r="AB71" i="10" s="1"/>
  <c r="AA50" i="10"/>
  <c r="AA71" i="10" s="1"/>
  <c r="C45" i="2"/>
  <c r="C44" i="2"/>
  <c r="C49" i="13" l="1"/>
  <c r="C25" i="13"/>
  <c r="D70" i="10" l="1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E33" i="40" l="1"/>
  <c r="F33" i="40" s="1"/>
  <c r="E11" i="40"/>
  <c r="G11" i="40"/>
  <c r="I11" i="40"/>
  <c r="J11" i="40"/>
  <c r="K11" i="40"/>
  <c r="L11" i="40"/>
  <c r="M11" i="40"/>
  <c r="N11" i="40"/>
  <c r="O11" i="40"/>
  <c r="P11" i="40"/>
  <c r="Q11" i="40"/>
  <c r="R11" i="40"/>
  <c r="T11" i="40"/>
  <c r="U11" i="40"/>
  <c r="V11" i="40"/>
  <c r="W11" i="40"/>
  <c r="X11" i="40"/>
  <c r="Y11" i="40"/>
  <c r="Z11" i="40"/>
  <c r="C12" i="40"/>
  <c r="S12" i="40"/>
  <c r="C13" i="40"/>
  <c r="S13" i="40"/>
  <c r="C14" i="40"/>
  <c r="S14" i="40"/>
  <c r="C15" i="40"/>
  <c r="S15" i="40"/>
  <c r="E16" i="40"/>
  <c r="F16" i="40" s="1"/>
  <c r="G16" i="40"/>
  <c r="H16" i="40" s="1"/>
  <c r="I16" i="40"/>
  <c r="J16" i="40"/>
  <c r="K16" i="40"/>
  <c r="L16" i="40"/>
  <c r="M16" i="40"/>
  <c r="N16" i="40"/>
  <c r="O16" i="40"/>
  <c r="P16" i="40"/>
  <c r="Q16" i="40"/>
  <c r="R16" i="40"/>
  <c r="T16" i="40"/>
  <c r="U16" i="40"/>
  <c r="V16" i="40"/>
  <c r="W16" i="40"/>
  <c r="X16" i="40"/>
  <c r="Y16" i="40"/>
  <c r="Z16" i="40"/>
  <c r="C17" i="40"/>
  <c r="S17" i="40"/>
  <c r="C18" i="40"/>
  <c r="S18" i="40"/>
  <c r="C19" i="40"/>
  <c r="S19" i="40"/>
  <c r="C20" i="40"/>
  <c r="S20" i="40"/>
  <c r="C21" i="40"/>
  <c r="S21" i="40"/>
  <c r="C22" i="40"/>
  <c r="S22" i="40"/>
  <c r="C23" i="40"/>
  <c r="S23" i="40"/>
  <c r="C24" i="40"/>
  <c r="S24" i="40"/>
  <c r="E26" i="40"/>
  <c r="E25" i="40" s="1"/>
  <c r="F25" i="40" s="1"/>
  <c r="G26" i="40"/>
  <c r="H26" i="40" s="1"/>
  <c r="I26" i="40"/>
  <c r="I25" i="40" s="1"/>
  <c r="J26" i="40"/>
  <c r="J25" i="40" s="1"/>
  <c r="K26" i="40"/>
  <c r="K25" i="40" s="1"/>
  <c r="L26" i="40"/>
  <c r="L25" i="40" s="1"/>
  <c r="M26" i="40"/>
  <c r="M25" i="40" s="1"/>
  <c r="N26" i="40"/>
  <c r="N25" i="40" s="1"/>
  <c r="O26" i="40"/>
  <c r="O25" i="40" s="1"/>
  <c r="P26" i="40"/>
  <c r="P25" i="40" s="1"/>
  <c r="Q26" i="40"/>
  <c r="Q25" i="40" s="1"/>
  <c r="R26" i="40"/>
  <c r="R25" i="40" s="1"/>
  <c r="T26" i="40"/>
  <c r="T25" i="40" s="1"/>
  <c r="U26" i="40"/>
  <c r="U25" i="40" s="1"/>
  <c r="V26" i="40"/>
  <c r="V25" i="40" s="1"/>
  <c r="W26" i="40"/>
  <c r="W25" i="40" s="1"/>
  <c r="X26" i="40"/>
  <c r="X25" i="40" s="1"/>
  <c r="Y26" i="40"/>
  <c r="Y25" i="40" s="1"/>
  <c r="Z26" i="40"/>
  <c r="Z25" i="40" s="1"/>
  <c r="C27" i="40"/>
  <c r="S27" i="40"/>
  <c r="C28" i="40"/>
  <c r="S28" i="40"/>
  <c r="C29" i="40"/>
  <c r="S29" i="40"/>
  <c r="C30" i="40"/>
  <c r="S30" i="40"/>
  <c r="C31" i="40"/>
  <c r="S31" i="40"/>
  <c r="C32" i="40"/>
  <c r="S32" i="40"/>
  <c r="G33" i="40"/>
  <c r="H33" i="40" s="1"/>
  <c r="I33" i="40"/>
  <c r="J33" i="40"/>
  <c r="K33" i="40"/>
  <c r="L33" i="40"/>
  <c r="M33" i="40"/>
  <c r="N33" i="40"/>
  <c r="O33" i="40"/>
  <c r="P33" i="40"/>
  <c r="Q33" i="40"/>
  <c r="R33" i="40"/>
  <c r="T33" i="40"/>
  <c r="U33" i="40"/>
  <c r="V33" i="40"/>
  <c r="W33" i="40"/>
  <c r="X33" i="40"/>
  <c r="Y33" i="40"/>
  <c r="Z33" i="40"/>
  <c r="C34" i="40"/>
  <c r="S34" i="40"/>
  <c r="C35" i="40"/>
  <c r="S35" i="40"/>
  <c r="C36" i="40"/>
  <c r="S36" i="40"/>
  <c r="C37" i="40"/>
  <c r="S37" i="40"/>
  <c r="C38" i="40"/>
  <c r="S38" i="40"/>
  <c r="C39" i="40"/>
  <c r="S39" i="40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G34" i="9"/>
  <c r="H29" i="9" s="1"/>
  <c r="E34" i="9"/>
  <c r="F28" i="9" s="1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F24" i="9" s="1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Z9" i="40" l="1"/>
  <c r="Z8" i="40" s="1"/>
  <c r="H30" i="9"/>
  <c r="V9" i="40"/>
  <c r="V8" i="40" s="1"/>
  <c r="Q9" i="40"/>
  <c r="Q8" i="40" s="1"/>
  <c r="M9" i="40"/>
  <c r="M8" i="40" s="1"/>
  <c r="I9" i="40"/>
  <c r="I8" i="40" s="1"/>
  <c r="Y9" i="40"/>
  <c r="Y8" i="40" s="1"/>
  <c r="G9" i="40"/>
  <c r="F20" i="9"/>
  <c r="H25" i="9"/>
  <c r="R9" i="40"/>
  <c r="R8" i="40" s="1"/>
  <c r="J9" i="40"/>
  <c r="J8" i="40" s="1"/>
  <c r="I34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4" i="9"/>
  <c r="S11" i="40"/>
  <c r="F17" i="9"/>
  <c r="J34" i="9"/>
  <c r="H27" i="9"/>
  <c r="H9" i="9"/>
  <c r="H10" i="9"/>
  <c r="I22" i="9"/>
  <c r="H16" i="9"/>
  <c r="H17" i="9"/>
  <c r="F25" i="9"/>
  <c r="H26" i="9"/>
  <c r="H31" i="9"/>
  <c r="H32" i="9"/>
  <c r="F34" i="9"/>
  <c r="F12" i="9"/>
  <c r="F13" i="9"/>
  <c r="F9" i="9"/>
  <c r="S33" i="40"/>
  <c r="S26" i="40"/>
  <c r="S25" i="40" s="1"/>
  <c r="W9" i="40"/>
  <c r="W8" i="40" s="1"/>
  <c r="X9" i="40"/>
  <c r="X8" i="40" s="1"/>
  <c r="T9" i="40"/>
  <c r="T8" i="40" s="1"/>
  <c r="U9" i="40"/>
  <c r="U8" i="40" s="1"/>
  <c r="S16" i="40"/>
  <c r="N9" i="40"/>
  <c r="N8" i="40" s="1"/>
  <c r="O9" i="40"/>
  <c r="O8" i="40" s="1"/>
  <c r="P9" i="40"/>
  <c r="P8" i="40" s="1"/>
  <c r="K9" i="40"/>
  <c r="K8" i="40" s="1"/>
  <c r="L9" i="40"/>
  <c r="L8" i="40" s="1"/>
  <c r="C33" i="40"/>
  <c r="D33" i="40" s="1"/>
  <c r="F26" i="40"/>
  <c r="E9" i="40"/>
  <c r="E8" i="40" s="1"/>
  <c r="F11" i="40"/>
  <c r="C26" i="40"/>
  <c r="C16" i="40"/>
  <c r="D16" i="40" s="1"/>
  <c r="C11" i="40"/>
  <c r="D11" i="40" s="1"/>
  <c r="H11" i="40"/>
  <c r="G25" i="40"/>
  <c r="H25" i="40" s="1"/>
  <c r="F10" i="9"/>
  <c r="F18" i="9"/>
  <c r="F30" i="9"/>
  <c r="F11" i="9"/>
  <c r="F19" i="9"/>
  <c r="F31" i="9"/>
  <c r="F14" i="9"/>
  <c r="F26" i="9"/>
  <c r="F15" i="9"/>
  <c r="F27" i="9"/>
  <c r="F16" i="9"/>
  <c r="H9" i="40" l="1"/>
  <c r="S9" i="40"/>
  <c r="S8" i="40" s="1"/>
  <c r="F9" i="40"/>
  <c r="F8" i="40" s="1"/>
  <c r="D26" i="40"/>
  <c r="C25" i="40"/>
  <c r="D25" i="40" s="1"/>
  <c r="C9" i="40"/>
  <c r="D9" i="40" s="1"/>
  <c r="G8" i="40"/>
  <c r="H8" i="40" l="1"/>
  <c r="C8" i="40"/>
  <c r="D8" i="40" l="1"/>
  <c r="Y91" i="24"/>
  <c r="X91" i="24"/>
  <c r="W91" i="24"/>
  <c r="V91" i="24"/>
  <c r="U91" i="24"/>
  <c r="T91" i="24"/>
  <c r="S91" i="24"/>
  <c r="R91" i="24"/>
  <c r="Q91" i="24"/>
  <c r="P91" i="24"/>
  <c r="N91" i="24"/>
  <c r="M91" i="24"/>
  <c r="L91" i="24"/>
  <c r="K91" i="24"/>
  <c r="J91" i="24"/>
  <c r="I91" i="24"/>
  <c r="H91" i="24"/>
  <c r="F91" i="24"/>
  <c r="G91" i="24" s="1"/>
  <c r="D91" i="24"/>
  <c r="E91" i="24" s="1"/>
  <c r="Y90" i="24"/>
  <c r="X90" i="24"/>
  <c r="W90" i="24"/>
  <c r="V90" i="24"/>
  <c r="U90" i="24"/>
  <c r="T90" i="24"/>
  <c r="S90" i="24"/>
  <c r="R90" i="24"/>
  <c r="Q90" i="24"/>
  <c r="P90" i="24"/>
  <c r="N90" i="24"/>
  <c r="M90" i="24"/>
  <c r="L90" i="24"/>
  <c r="K90" i="24"/>
  <c r="J90" i="24"/>
  <c r="I90" i="24"/>
  <c r="H90" i="24"/>
  <c r="G90" i="24"/>
  <c r="F90" i="24"/>
  <c r="E90" i="24"/>
  <c r="D90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I89" i="24"/>
  <c r="H89" i="24"/>
  <c r="F89" i="24"/>
  <c r="D89" i="24"/>
  <c r="Y88" i="24"/>
  <c r="X88" i="24"/>
  <c r="W88" i="24"/>
  <c r="V88" i="24"/>
  <c r="U88" i="24"/>
  <c r="T88" i="24"/>
  <c r="S88" i="24"/>
  <c r="R88" i="24"/>
  <c r="Q88" i="24"/>
  <c r="P88" i="24"/>
  <c r="N88" i="24"/>
  <c r="M88" i="24"/>
  <c r="L88" i="24"/>
  <c r="K88" i="24"/>
  <c r="J88" i="24"/>
  <c r="I88" i="24"/>
  <c r="H88" i="24"/>
  <c r="G88" i="24"/>
  <c r="F88" i="24"/>
  <c r="E88" i="24"/>
  <c r="D88" i="24"/>
  <c r="Y87" i="24"/>
  <c r="X87" i="24"/>
  <c r="W87" i="24"/>
  <c r="V87" i="24"/>
  <c r="U87" i="24"/>
  <c r="T87" i="24"/>
  <c r="S87" i="24"/>
  <c r="R87" i="24"/>
  <c r="Q87" i="24"/>
  <c r="P87" i="24"/>
  <c r="N87" i="24"/>
  <c r="M87" i="24"/>
  <c r="L87" i="24"/>
  <c r="K87" i="24"/>
  <c r="J87" i="24"/>
  <c r="I87" i="24"/>
  <c r="H87" i="24"/>
  <c r="F87" i="24"/>
  <c r="G87" i="24" s="1"/>
  <c r="D87" i="24"/>
  <c r="E87" i="24" s="1"/>
  <c r="Y86" i="24"/>
  <c r="X86" i="24"/>
  <c r="W86" i="24"/>
  <c r="V86" i="24"/>
  <c r="U86" i="24"/>
  <c r="T86" i="24"/>
  <c r="S86" i="24"/>
  <c r="R86" i="24"/>
  <c r="Q86" i="24"/>
  <c r="P86" i="24"/>
  <c r="N86" i="24"/>
  <c r="M86" i="24"/>
  <c r="L86" i="24"/>
  <c r="K86" i="24"/>
  <c r="J86" i="24"/>
  <c r="I86" i="24"/>
  <c r="H86" i="24"/>
  <c r="G86" i="24"/>
  <c r="F86" i="24"/>
  <c r="E86" i="24"/>
  <c r="D86" i="24"/>
  <c r="Y85" i="24"/>
  <c r="X85" i="24"/>
  <c r="W85" i="24"/>
  <c r="V85" i="24"/>
  <c r="U85" i="24"/>
  <c r="T85" i="24"/>
  <c r="S85" i="24"/>
  <c r="R85" i="24"/>
  <c r="Q85" i="24"/>
  <c r="P85" i="24"/>
  <c r="N85" i="24"/>
  <c r="M85" i="24"/>
  <c r="L85" i="24"/>
  <c r="K85" i="24"/>
  <c r="J85" i="24"/>
  <c r="I85" i="24"/>
  <c r="H85" i="24"/>
  <c r="G85" i="24"/>
  <c r="F85" i="24"/>
  <c r="E85" i="24"/>
  <c r="D85" i="24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G84" i="24"/>
  <c r="F84" i="24"/>
  <c r="E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G83" i="24" s="1"/>
  <c r="D83" i="24"/>
  <c r="E83" i="24" s="1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G82" i="24" s="1"/>
  <c r="D82" i="24"/>
  <c r="E82" i="24" s="1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G81" i="24" s="1"/>
  <c r="D81" i="24"/>
  <c r="E81" i="24" s="1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G80" i="24" s="1"/>
  <c r="D80" i="24"/>
  <c r="E80" i="24" s="1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D78" i="24"/>
  <c r="E78" i="24" s="1"/>
  <c r="O77" i="24"/>
  <c r="C77" i="24" s="1"/>
  <c r="O76" i="24"/>
  <c r="C76" i="24" s="1"/>
  <c r="O75" i="24"/>
  <c r="C75" i="24" s="1"/>
  <c r="O74" i="24"/>
  <c r="O88" i="24" s="1"/>
  <c r="O73" i="24"/>
  <c r="C73" i="24" s="1"/>
  <c r="O72" i="24"/>
  <c r="C72" i="24" s="1"/>
  <c r="O71" i="24"/>
  <c r="C71" i="24" s="1"/>
  <c r="O70" i="24"/>
  <c r="C70" i="24" s="1"/>
  <c r="O69" i="24"/>
  <c r="C69" i="24" s="1"/>
  <c r="O68" i="24"/>
  <c r="C68" i="24" s="1"/>
  <c r="O67" i="24"/>
  <c r="C67" i="24" s="1"/>
  <c r="Y65" i="24"/>
  <c r="X65" i="24"/>
  <c r="W65" i="24"/>
  <c r="V65" i="24"/>
  <c r="U65" i="24"/>
  <c r="T65" i="24"/>
  <c r="S65" i="24"/>
  <c r="R65" i="24"/>
  <c r="Q65" i="24"/>
  <c r="P65" i="24"/>
  <c r="N65" i="24"/>
  <c r="M65" i="24"/>
  <c r="L65" i="24"/>
  <c r="K65" i="24"/>
  <c r="J65" i="24"/>
  <c r="I65" i="24"/>
  <c r="H65" i="24"/>
  <c r="F65" i="24"/>
  <c r="G65" i="24" s="1"/>
  <c r="D65" i="24"/>
  <c r="E65" i="24" s="1"/>
  <c r="O64" i="24"/>
  <c r="C64" i="24" s="1"/>
  <c r="O63" i="24"/>
  <c r="O62" i="24"/>
  <c r="C62" i="24" s="1"/>
  <c r="O61" i="24"/>
  <c r="C61" i="24" s="1"/>
  <c r="O60" i="24"/>
  <c r="C60" i="24" s="1"/>
  <c r="O59" i="24"/>
  <c r="C59" i="24" s="1"/>
  <c r="O58" i="24"/>
  <c r="C58" i="24" s="1"/>
  <c r="Y56" i="24"/>
  <c r="X56" i="24"/>
  <c r="W56" i="24"/>
  <c r="V56" i="24"/>
  <c r="U56" i="24"/>
  <c r="T56" i="24"/>
  <c r="S56" i="24"/>
  <c r="R56" i="24"/>
  <c r="Q56" i="24"/>
  <c r="P56" i="24"/>
  <c r="N56" i="24"/>
  <c r="M56" i="24"/>
  <c r="L56" i="24"/>
  <c r="K56" i="24"/>
  <c r="J56" i="24"/>
  <c r="I56" i="24"/>
  <c r="H56" i="24"/>
  <c r="F56" i="24"/>
  <c r="G56" i="24" s="1"/>
  <c r="D56" i="24"/>
  <c r="E56" i="24" s="1"/>
  <c r="O55" i="24"/>
  <c r="C55" i="24" s="1"/>
  <c r="O54" i="24"/>
  <c r="C54" i="24" s="1"/>
  <c r="O53" i="24"/>
  <c r="C53" i="24" s="1"/>
  <c r="O52" i="24"/>
  <c r="C52" i="24" s="1"/>
  <c r="O51" i="24"/>
  <c r="C51" i="24" s="1"/>
  <c r="O50" i="24"/>
  <c r="Y48" i="24"/>
  <c r="X48" i="24"/>
  <c r="W48" i="24"/>
  <c r="V48" i="24"/>
  <c r="U48" i="24"/>
  <c r="T48" i="24"/>
  <c r="S48" i="24"/>
  <c r="R48" i="24"/>
  <c r="Q48" i="24"/>
  <c r="P48" i="24"/>
  <c r="N48" i="24"/>
  <c r="M48" i="24"/>
  <c r="L48" i="24"/>
  <c r="K48" i="24"/>
  <c r="J48" i="24"/>
  <c r="I48" i="24"/>
  <c r="H48" i="24"/>
  <c r="F48" i="24"/>
  <c r="G48" i="24" s="1"/>
  <c r="D48" i="24"/>
  <c r="E48" i="24" s="1"/>
  <c r="O47" i="24"/>
  <c r="C47" i="24" s="1"/>
  <c r="O46" i="24"/>
  <c r="C46" i="24" s="1"/>
  <c r="O45" i="24"/>
  <c r="C45" i="24" s="1"/>
  <c r="O44" i="24"/>
  <c r="C44" i="24" s="1"/>
  <c r="O43" i="24"/>
  <c r="C43" i="24" s="1"/>
  <c r="O42" i="24"/>
  <c r="Y40" i="24"/>
  <c r="X40" i="24"/>
  <c r="W40" i="24"/>
  <c r="V40" i="24"/>
  <c r="U40" i="24"/>
  <c r="T40" i="24"/>
  <c r="S40" i="24"/>
  <c r="R40" i="24"/>
  <c r="Q40" i="24"/>
  <c r="P40" i="24"/>
  <c r="N40" i="24"/>
  <c r="M40" i="24"/>
  <c r="L40" i="24"/>
  <c r="K40" i="24"/>
  <c r="J40" i="24"/>
  <c r="I40" i="24"/>
  <c r="H40" i="24"/>
  <c r="F40" i="24"/>
  <c r="G40" i="24" s="1"/>
  <c r="D40" i="24"/>
  <c r="E40" i="24" s="1"/>
  <c r="O39" i="24"/>
  <c r="C39" i="24" s="1"/>
  <c r="O38" i="24"/>
  <c r="C38" i="24" s="1"/>
  <c r="O37" i="24"/>
  <c r="C37" i="24" s="1"/>
  <c r="O36" i="24"/>
  <c r="C36" i="24" s="1"/>
  <c r="O35" i="24"/>
  <c r="C35" i="24" s="1"/>
  <c r="O34" i="24"/>
  <c r="Y32" i="24"/>
  <c r="X32" i="24"/>
  <c r="W32" i="24"/>
  <c r="V32" i="24"/>
  <c r="U32" i="24"/>
  <c r="T32" i="24"/>
  <c r="S32" i="24"/>
  <c r="R32" i="24"/>
  <c r="Q32" i="24"/>
  <c r="P32" i="24"/>
  <c r="N32" i="24"/>
  <c r="M32" i="24"/>
  <c r="L32" i="24"/>
  <c r="K32" i="24"/>
  <c r="J32" i="24"/>
  <c r="I32" i="24"/>
  <c r="H32" i="24"/>
  <c r="F32" i="24"/>
  <c r="G32" i="24" s="1"/>
  <c r="D32" i="24"/>
  <c r="E32" i="24" s="1"/>
  <c r="O31" i="24"/>
  <c r="C31" i="24" s="1"/>
  <c r="O30" i="24"/>
  <c r="C30" i="24" s="1"/>
  <c r="O29" i="24"/>
  <c r="C29" i="24" s="1"/>
  <c r="O28" i="24"/>
  <c r="C28" i="24" s="1"/>
  <c r="O27" i="24"/>
  <c r="O26" i="24"/>
  <c r="C26" i="24" s="1"/>
  <c r="Y24" i="24"/>
  <c r="X24" i="24"/>
  <c r="W24" i="24"/>
  <c r="V24" i="24"/>
  <c r="U24" i="24"/>
  <c r="T24" i="24"/>
  <c r="S24" i="24"/>
  <c r="R24" i="24"/>
  <c r="Q24" i="24"/>
  <c r="P24" i="24"/>
  <c r="N24" i="24"/>
  <c r="M24" i="24"/>
  <c r="L24" i="24"/>
  <c r="K24" i="24"/>
  <c r="J24" i="24"/>
  <c r="I24" i="24"/>
  <c r="H24" i="24"/>
  <c r="F24" i="24"/>
  <c r="G24" i="24" s="1"/>
  <c r="D24" i="24"/>
  <c r="E24" i="24" s="1"/>
  <c r="O23" i="24"/>
  <c r="C23" i="24" s="1"/>
  <c r="O22" i="24"/>
  <c r="C22" i="24" s="1"/>
  <c r="O21" i="24"/>
  <c r="C21" i="24" s="1"/>
  <c r="O20" i="24"/>
  <c r="C20" i="24" s="1"/>
  <c r="O19" i="24"/>
  <c r="O18" i="24"/>
  <c r="C18" i="24" s="1"/>
  <c r="O17" i="24"/>
  <c r="C17" i="24" s="1"/>
  <c r="Y15" i="24"/>
  <c r="X15" i="24"/>
  <c r="W15" i="24"/>
  <c r="V15" i="24"/>
  <c r="U15" i="24"/>
  <c r="T15" i="24"/>
  <c r="S15" i="24"/>
  <c r="R15" i="24"/>
  <c r="Q15" i="24"/>
  <c r="P15" i="24"/>
  <c r="N15" i="24"/>
  <c r="M15" i="24"/>
  <c r="L15" i="24"/>
  <c r="K15" i="24"/>
  <c r="J15" i="24"/>
  <c r="I15" i="24"/>
  <c r="H15" i="24"/>
  <c r="F15" i="24"/>
  <c r="G15" i="24" s="1"/>
  <c r="D15" i="24"/>
  <c r="E15" i="24" s="1"/>
  <c r="O14" i="24"/>
  <c r="C14" i="24" s="1"/>
  <c r="O13" i="24"/>
  <c r="O12" i="24"/>
  <c r="C12" i="24" s="1"/>
  <c r="O11" i="24"/>
  <c r="C11" i="24" s="1"/>
  <c r="O10" i="24"/>
  <c r="O9" i="24"/>
  <c r="C9" i="24" s="1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O89" i="24" l="1"/>
  <c r="C89" i="24" s="1"/>
  <c r="C18" i="9" s="1"/>
  <c r="O56" i="24"/>
  <c r="C56" i="24" s="1"/>
  <c r="C30" i="9" s="1"/>
  <c r="J92" i="24"/>
  <c r="O40" i="24"/>
  <c r="C40" i="24" s="1"/>
  <c r="C28" i="9" s="1"/>
  <c r="O85" i="24"/>
  <c r="C85" i="24" s="1"/>
  <c r="C10" i="9" s="1"/>
  <c r="U92" i="24"/>
  <c r="O32" i="24"/>
  <c r="C32" i="24" s="1"/>
  <c r="C27" i="9" s="1"/>
  <c r="S92" i="24"/>
  <c r="W92" i="24"/>
  <c r="O87" i="24"/>
  <c r="C87" i="24" s="1"/>
  <c r="C11" i="9" s="1"/>
  <c r="T92" i="24"/>
  <c r="O81" i="24"/>
  <c r="C81" i="24" s="1"/>
  <c r="C13" i="9" s="1"/>
  <c r="G89" i="24"/>
  <c r="K92" i="24"/>
  <c r="L92" i="24"/>
  <c r="O15" i="24"/>
  <c r="C15" i="24" s="1"/>
  <c r="C25" i="9" s="1"/>
  <c r="C10" i="24"/>
  <c r="C13" i="24"/>
  <c r="O24" i="24"/>
  <c r="C24" i="24" s="1"/>
  <c r="C26" i="9" s="1"/>
  <c r="C27" i="24"/>
  <c r="O48" i="24"/>
  <c r="C48" i="24" s="1"/>
  <c r="C29" i="9" s="1"/>
  <c r="M92" i="24"/>
  <c r="R92" i="24"/>
  <c r="V92" i="24"/>
  <c r="H92" i="24"/>
  <c r="O90" i="24"/>
  <c r="C90" i="24" s="1"/>
  <c r="C19" i="9" s="1"/>
  <c r="Q92" i="24"/>
  <c r="Y92" i="24"/>
  <c r="I92" i="24"/>
  <c r="O80" i="24"/>
  <c r="C80" i="24" s="1"/>
  <c r="O91" i="24"/>
  <c r="C91" i="24" s="1"/>
  <c r="C20" i="9" s="1"/>
  <c r="P92" i="24"/>
  <c r="X92" i="24"/>
  <c r="O86" i="24"/>
  <c r="C86" i="24" s="1"/>
  <c r="C9" i="9" s="1"/>
  <c r="C88" i="24"/>
  <c r="C17" i="9" s="1"/>
  <c r="O82" i="24"/>
  <c r="C82" i="24" s="1"/>
  <c r="C14" i="9" s="1"/>
  <c r="C19" i="24"/>
  <c r="C74" i="24"/>
  <c r="O83" i="24"/>
  <c r="C83" i="24" s="1"/>
  <c r="C15" i="9" s="1"/>
  <c r="E89" i="24"/>
  <c r="C42" i="24"/>
  <c r="C63" i="24"/>
  <c r="O65" i="24"/>
  <c r="C65" i="24" s="1"/>
  <c r="C31" i="9" s="1"/>
  <c r="O84" i="24"/>
  <c r="C84" i="24" s="1"/>
  <c r="C16" i="9" s="1"/>
  <c r="C34" i="24"/>
  <c r="G78" i="24"/>
  <c r="O78" i="24"/>
  <c r="C78" i="24" s="1"/>
  <c r="C32" i="9" s="1"/>
  <c r="D92" i="24"/>
  <c r="N92" i="24"/>
  <c r="F92" i="24"/>
  <c r="C50" i="24"/>
  <c r="C12" i="9" l="1"/>
  <c r="E92" i="24"/>
  <c r="G92" i="24"/>
  <c r="C22" i="9"/>
  <c r="O92" i="24"/>
  <c r="C92" i="24" s="1"/>
  <c r="C34" i="9"/>
  <c r="D31" i="9" l="1"/>
  <c r="D29" i="9"/>
  <c r="D27" i="9"/>
  <c r="D25" i="9"/>
  <c r="D32" i="9"/>
  <c r="D30" i="9"/>
  <c r="D34" i="9"/>
  <c r="D28" i="9"/>
  <c r="D26" i="9"/>
  <c r="D19" i="9"/>
  <c r="D22" i="9"/>
  <c r="D17" i="9"/>
  <c r="D20" i="9"/>
  <c r="D14" i="9"/>
  <c r="D16" i="9"/>
  <c r="D15" i="9"/>
  <c r="D12" i="9"/>
  <c r="D11" i="9"/>
  <c r="D10" i="9"/>
  <c r="D13" i="9"/>
  <c r="D9" i="9"/>
  <c r="D18" i="9"/>
  <c r="AB24" i="40" l="1"/>
  <c r="AB22" i="40"/>
  <c r="B3" i="42" l="1"/>
  <c r="B12" i="42" l="1"/>
  <c r="B2" i="21"/>
  <c r="A2" i="42" l="1"/>
  <c r="I2" i="20"/>
  <c r="V3" i="40"/>
  <c r="F3" i="35"/>
  <c r="U2" i="10"/>
  <c r="T3" i="9"/>
  <c r="T3" i="24"/>
  <c r="C3" i="6"/>
  <c r="C3" i="3"/>
  <c r="C3" i="2"/>
  <c r="B2" i="20"/>
  <c r="B2" i="30"/>
  <c r="B3" i="40"/>
  <c r="B3" i="35"/>
  <c r="B2" i="10"/>
  <c r="B3" i="9"/>
  <c r="B3" i="24"/>
  <c r="B3" i="6"/>
  <c r="B3" i="3"/>
  <c r="B3" i="2"/>
  <c r="W77" i="10" l="1"/>
  <c r="S77" i="10"/>
  <c r="O77" i="10"/>
  <c r="O7" i="42" l="1"/>
  <c r="P68" i="10" l="1"/>
  <c r="K68" i="10"/>
  <c r="P13" i="42" l="1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B21" i="42" s="1"/>
  <c r="O15" i="42"/>
  <c r="O14" i="42"/>
  <c r="O12" i="42"/>
  <c r="O11" i="42"/>
  <c r="O9" i="42"/>
  <c r="O8" i="42"/>
  <c r="O6" i="42"/>
  <c r="O5" i="42"/>
  <c r="B18" i="42" l="1"/>
  <c r="AC11" i="40" l="1"/>
  <c r="AB11" i="40"/>
  <c r="AC16" i="40"/>
  <c r="AB16" i="40"/>
  <c r="AC32" i="40"/>
  <c r="AC31" i="40"/>
  <c r="AC30" i="40"/>
  <c r="AC29" i="40"/>
  <c r="AC28" i="40"/>
  <c r="AC27" i="40"/>
  <c r="AC23" i="40"/>
  <c r="AC21" i="40"/>
  <c r="AB32" i="40"/>
  <c r="AB31" i="40"/>
  <c r="AB30" i="40"/>
  <c r="AB29" i="40"/>
  <c r="AB28" i="40"/>
  <c r="AB27" i="40"/>
  <c r="AB23" i="40"/>
  <c r="AB21" i="40"/>
  <c r="L9" i="35" l="1"/>
  <c r="K9" i="35" l="1"/>
  <c r="J9" i="35" l="1"/>
  <c r="C77" i="2" l="1"/>
  <c r="C76" i="2"/>
  <c r="C53" i="2"/>
  <c r="C52" i="2"/>
  <c r="C51" i="2"/>
  <c r="C50" i="2"/>
  <c r="C49" i="2"/>
  <c r="C42" i="2"/>
  <c r="C41" i="2"/>
  <c r="C40" i="2"/>
  <c r="C39" i="2"/>
  <c r="C38" i="2"/>
  <c r="C34" i="2"/>
  <c r="C33" i="2"/>
  <c r="C31" i="2"/>
  <c r="C32" i="2" s="1"/>
  <c r="C26" i="2"/>
  <c r="C25" i="2"/>
  <c r="C24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C54" i="2" l="1"/>
  <c r="D70" i="2"/>
  <c r="C52" i="41" l="1"/>
  <c r="C25" i="41"/>
  <c r="C31" i="41" s="1"/>
  <c r="C54" i="41"/>
  <c r="C3" i="41"/>
  <c r="B3" i="41"/>
  <c r="X68" i="10" l="1"/>
  <c r="W68" i="10"/>
  <c r="V68" i="10"/>
  <c r="U68" i="10"/>
  <c r="T68" i="10"/>
  <c r="S68" i="10"/>
  <c r="R68" i="10"/>
  <c r="Q68" i="10"/>
  <c r="O68" i="10"/>
  <c r="N68" i="10"/>
  <c r="M68" i="10"/>
  <c r="L68" i="10"/>
  <c r="J68" i="10"/>
  <c r="I68" i="10"/>
  <c r="H68" i="10"/>
  <c r="G68" i="10"/>
  <c r="F68" i="10"/>
  <c r="E68" i="10"/>
  <c r="Z64" i="10"/>
  <c r="Y64" i="10"/>
  <c r="C64" i="10"/>
  <c r="Z67" i="10"/>
  <c r="Y67" i="10"/>
  <c r="C67" i="10"/>
  <c r="Z66" i="10"/>
  <c r="Y66" i="10"/>
  <c r="C66" i="10"/>
  <c r="Z65" i="10"/>
  <c r="Y65" i="10"/>
  <c r="C65" i="10"/>
  <c r="Z63" i="10"/>
  <c r="Y63" i="10"/>
  <c r="C63" i="10"/>
  <c r="Z62" i="10"/>
  <c r="Y62" i="10"/>
  <c r="C62" i="10"/>
  <c r="Z61" i="10"/>
  <c r="Y61" i="10"/>
  <c r="C61" i="10"/>
  <c r="Z60" i="10"/>
  <c r="Y60" i="10"/>
  <c r="C60" i="10"/>
  <c r="Z59" i="10"/>
  <c r="Y59" i="10"/>
  <c r="C59" i="10"/>
  <c r="Z58" i="10"/>
  <c r="Y58" i="10"/>
  <c r="C58" i="10"/>
  <c r="Z57" i="10"/>
  <c r="Y57" i="10"/>
  <c r="C57" i="10"/>
  <c r="Z56" i="10"/>
  <c r="Y56" i="10"/>
  <c r="C56" i="10"/>
  <c r="Z55" i="10"/>
  <c r="Y55" i="10"/>
  <c r="C55" i="10"/>
  <c r="Z54" i="10"/>
  <c r="Y54" i="10"/>
  <c r="C54" i="10"/>
  <c r="E27" i="2"/>
  <c r="E16" i="2"/>
  <c r="D27" i="2"/>
  <c r="D16" i="2"/>
  <c r="E46" i="2"/>
  <c r="D46" i="2"/>
  <c r="E54" i="2"/>
  <c r="D54" i="2"/>
  <c r="C70" i="2"/>
  <c r="K77" i="10"/>
  <c r="I77" i="10"/>
  <c r="G77" i="10"/>
  <c r="E77" i="10"/>
  <c r="M77" i="10"/>
  <c r="Q77" i="10"/>
  <c r="U77" i="10"/>
  <c r="M50" i="10"/>
  <c r="Q50" i="10"/>
  <c r="Q71" i="10" s="1"/>
  <c r="U50" i="10"/>
  <c r="U71" i="10" s="1"/>
  <c r="Z68" i="10" l="1"/>
  <c r="D68" i="10"/>
  <c r="M71" i="10"/>
  <c r="B14" i="42"/>
  <c r="Y68" i="10"/>
  <c r="C68" i="10"/>
  <c r="E69" i="10" s="1"/>
  <c r="D23" i="2"/>
  <c r="D28" i="2" s="1"/>
  <c r="D30" i="2" s="1"/>
  <c r="D35" i="2" s="1"/>
  <c r="D56" i="2" s="1"/>
  <c r="D72" i="2" s="1"/>
  <c r="E23" i="2"/>
  <c r="E28" i="2" s="1"/>
  <c r="E30" i="2" s="1"/>
  <c r="E35" i="2" s="1"/>
  <c r="E56" i="2" s="1"/>
  <c r="E72" i="2" s="1"/>
  <c r="E75" i="2" s="1"/>
  <c r="E79" i="2" s="1"/>
  <c r="Y77" i="10"/>
  <c r="F69" i="10" l="1"/>
  <c r="D69" i="10" s="1"/>
  <c r="D75" i="2"/>
  <c r="D79" i="2" s="1"/>
  <c r="C55" i="26" l="1"/>
  <c r="I55" i="26"/>
  <c r="N64" i="26" l="1"/>
  <c r="C64" i="26" s="1"/>
  <c r="I64" i="26"/>
  <c r="N63" i="26" l="1"/>
  <c r="I9" i="30" l="1"/>
  <c r="C9" i="30"/>
  <c r="E48" i="35" l="1"/>
  <c r="Q9" i="30" l="1"/>
  <c r="C15" i="30"/>
  <c r="C14" i="30"/>
  <c r="C13" i="30"/>
  <c r="C12" i="30"/>
  <c r="C11" i="30"/>
  <c r="C10" i="30"/>
  <c r="I15" i="30"/>
  <c r="I14" i="30"/>
  <c r="I13" i="30"/>
  <c r="I12" i="30"/>
  <c r="I11" i="30"/>
  <c r="I10" i="30"/>
  <c r="I8" i="30"/>
  <c r="C8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C14" i="35"/>
  <c r="C13" i="35"/>
  <c r="C12" i="35"/>
  <c r="C11" i="35"/>
  <c r="C10" i="35"/>
  <c r="AA11" i="40" l="1"/>
  <c r="AA22" i="40"/>
  <c r="AA24" i="40"/>
  <c r="AA23" i="40"/>
  <c r="AA29" i="40"/>
  <c r="AA28" i="40"/>
  <c r="AA32" i="40"/>
  <c r="AA27" i="40"/>
  <c r="AA31" i="40"/>
  <c r="AA21" i="40"/>
  <c r="AA30" i="40"/>
  <c r="AA16" i="40"/>
  <c r="H31" i="10"/>
  <c r="P62" i="26" l="1"/>
  <c r="P9" i="26" l="1"/>
  <c r="K78" i="10" l="1"/>
  <c r="C34" i="26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C60" i="26" l="1"/>
  <c r="I60" i="26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3" i="35" l="1"/>
  <c r="E33" i="35"/>
  <c r="F33" i="35" s="1"/>
  <c r="C33" i="35"/>
  <c r="D33" i="35" s="1"/>
  <c r="G24" i="35"/>
  <c r="E24" i="35"/>
  <c r="C24" i="35"/>
  <c r="G16" i="35"/>
  <c r="H16" i="35" s="1"/>
  <c r="E16" i="35"/>
  <c r="F16" i="35" s="1"/>
  <c r="C16" i="35"/>
  <c r="D16" i="35" s="1"/>
  <c r="G8" i="35"/>
  <c r="E8" i="35"/>
  <c r="C8" i="35"/>
  <c r="C16" i="30"/>
  <c r="H33" i="35" l="1"/>
  <c r="AA25" i="40"/>
  <c r="AB25" i="40"/>
  <c r="L8" i="35"/>
  <c r="L10" i="35" s="1"/>
  <c r="D8" i="35"/>
  <c r="J8" i="35"/>
  <c r="J10" i="35" s="1"/>
  <c r="F8" i="35"/>
  <c r="K8" i="35"/>
  <c r="K10" i="35" s="1"/>
  <c r="AC25" i="40"/>
  <c r="G51" i="35"/>
  <c r="H8" i="35"/>
  <c r="C25" i="30"/>
  <c r="C26" i="30" s="1"/>
  <c r="D16" i="30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C62" i="26" l="1"/>
  <c r="I62" i="26"/>
  <c r="Z33" i="9"/>
  <c r="Z24" i="9"/>
  <c r="Z23" i="9"/>
  <c r="Z21" i="9"/>
  <c r="C6" i="10" l="1"/>
  <c r="M16" i="30" l="1"/>
  <c r="K16" i="30"/>
  <c r="L16" i="30" s="1"/>
  <c r="I16" i="30"/>
  <c r="G16" i="30"/>
  <c r="E16" i="30"/>
  <c r="F16" i="30" s="1"/>
  <c r="M28" i="30" l="1"/>
  <c r="N16" i="30"/>
  <c r="G25" i="30"/>
  <c r="G26" i="30" s="1"/>
  <c r="H16" i="30"/>
  <c r="I28" i="30"/>
  <c r="J16" i="30"/>
  <c r="M9" i="26"/>
  <c r="L9" i="26"/>
  <c r="K9" i="26"/>
  <c r="J9" i="26"/>
  <c r="D9" i="26"/>
  <c r="K2" i="30" l="1"/>
  <c r="C27" i="2" l="1"/>
  <c r="S62" i="26" l="1"/>
  <c r="R62" i="26"/>
  <c r="Q62" i="26"/>
  <c r="O62" i="26"/>
  <c r="N62" i="26"/>
  <c r="X31" i="10" l="1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AF9" i="40" s="1"/>
  <c r="AF10" i="40" s="1"/>
  <c r="T30" i="10"/>
  <c r="S30" i="10"/>
  <c r="R30" i="10"/>
  <c r="Q30" i="10"/>
  <c r="AE9" i="40" s="1"/>
  <c r="P30" i="10"/>
  <c r="O30" i="10"/>
  <c r="N30" i="10"/>
  <c r="M30" i="10"/>
  <c r="AD9" i="40" s="1"/>
  <c r="AD10" i="40" s="1"/>
  <c r="L30" i="10"/>
  <c r="K30" i="10"/>
  <c r="J30" i="10"/>
  <c r="I30" i="10"/>
  <c r="AC9" i="40" s="1"/>
  <c r="AC10" i="40" s="1"/>
  <c r="H30" i="10"/>
  <c r="G30" i="10"/>
  <c r="AB8" i="40" s="1"/>
  <c r="F30" i="10"/>
  <c r="E30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AF8" i="40" s="1"/>
  <c r="V50" i="10"/>
  <c r="V71" i="10" s="1"/>
  <c r="T50" i="10"/>
  <c r="T71" i="10" s="1"/>
  <c r="S50" i="10"/>
  <c r="AE8" i="40" s="1"/>
  <c r="R50" i="10"/>
  <c r="R71" i="10" s="1"/>
  <c r="P50" i="10"/>
  <c r="P71" i="10" s="1"/>
  <c r="O50" i="10"/>
  <c r="N50" i="10"/>
  <c r="N71" i="10" s="1"/>
  <c r="L50" i="10"/>
  <c r="L71" i="10" s="1"/>
  <c r="K50" i="10"/>
  <c r="J50" i="10"/>
  <c r="J71" i="10" s="1"/>
  <c r="I50" i="10"/>
  <c r="H50" i="10"/>
  <c r="H71" i="10" s="1"/>
  <c r="G50" i="10"/>
  <c r="F50" i="10"/>
  <c r="F71" i="10" s="1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69" i="10"/>
  <c r="Z34" i="10"/>
  <c r="G50" i="35"/>
  <c r="G52" i="35" s="1"/>
  <c r="C69" i="10"/>
  <c r="C7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50" i="35" s="1"/>
  <c r="C52" i="35" s="1"/>
  <c r="C11" i="10"/>
  <c r="C10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AC8" i="40" l="1"/>
  <c r="AB9" i="40"/>
  <c r="AB10" i="40" s="1"/>
  <c r="Y31" i="10"/>
  <c r="AD8" i="40"/>
  <c r="B11" i="42"/>
  <c r="AE10" i="40"/>
  <c r="I71" i="10"/>
  <c r="I79" i="10"/>
  <c r="M79" i="10"/>
  <c r="Q79" i="10"/>
  <c r="U79" i="10"/>
  <c r="K71" i="10"/>
  <c r="K80" i="10" s="1"/>
  <c r="K79" i="10"/>
  <c r="S71" i="10"/>
  <c r="S79" i="10"/>
  <c r="W71" i="10"/>
  <c r="W79" i="10"/>
  <c r="O71" i="10"/>
  <c r="O79" i="10"/>
  <c r="E71" i="10"/>
  <c r="E79" i="10"/>
  <c r="G71" i="10"/>
  <c r="G79" i="10"/>
  <c r="Z30" i="10"/>
  <c r="Y30" i="10"/>
  <c r="Z31" i="10"/>
  <c r="D30" i="10"/>
  <c r="G54" i="35" s="1"/>
  <c r="D31" i="10"/>
  <c r="D50" i="10"/>
  <c r="D71" i="10" s="1"/>
  <c r="C51" i="10"/>
  <c r="C31" i="10"/>
  <c r="C30" i="10"/>
  <c r="C54" i="35" s="1"/>
  <c r="D51" i="10"/>
  <c r="C50" i="10"/>
  <c r="C71" i="10" s="1"/>
  <c r="Z50" i="10"/>
  <c r="Z71" i="10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C56" i="35" l="1"/>
  <c r="C48" i="35"/>
  <c r="G48" i="35"/>
  <c r="G56" i="35"/>
  <c r="Q14" i="30" l="1"/>
  <c r="Q11" i="30"/>
  <c r="Q15" i="30" l="1"/>
  <c r="Q12" i="30"/>
  <c r="Q10" i="30" l="1"/>
  <c r="Q13" i="30"/>
  <c r="S9" i="26"/>
  <c r="R9" i="26"/>
  <c r="Q9" i="26"/>
  <c r="I12" i="26"/>
  <c r="I9" i="26" s="1"/>
  <c r="S78" i="10" l="1"/>
  <c r="S80" i="10" s="1"/>
  <c r="O78" i="10"/>
  <c r="O80" i="10" s="1"/>
  <c r="W78" i="10"/>
  <c r="W80" i="10" s="1"/>
  <c r="E9" i="26"/>
  <c r="O9" i="26"/>
  <c r="H9" i="26"/>
  <c r="G9" i="26"/>
  <c r="F9" i="26"/>
  <c r="G78" i="10" l="1"/>
  <c r="G80" i="10" s="1"/>
  <c r="Y78" i="10"/>
  <c r="N9" i="26"/>
  <c r="C12" i="26"/>
  <c r="Z22" i="9"/>
  <c r="C70" i="3"/>
  <c r="C61" i="3"/>
  <c r="C52" i="3"/>
  <c r="C36" i="3"/>
  <c r="C28" i="3"/>
  <c r="C19" i="3"/>
  <c r="C14" i="3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Y34" i="10"/>
  <c r="B26" i="42"/>
  <c r="C46" i="2"/>
  <c r="C7" i="6"/>
  <c r="K32" i="20"/>
  <c r="C9" i="26" l="1"/>
  <c r="K20" i="9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6" i="2"/>
  <c r="C23" i="2"/>
  <c r="C28" i="2" s="1"/>
  <c r="AC34" i="10"/>
  <c r="AC48" i="10"/>
  <c r="AC44" i="10"/>
  <c r="AC42" i="10"/>
  <c r="AC40" i="10"/>
  <c r="AC38" i="10"/>
  <c r="AC36" i="10"/>
  <c r="AC46" i="10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C22" i="10"/>
  <c r="AC16" i="10"/>
  <c r="AC26" i="10"/>
  <c r="AC18" i="10"/>
  <c r="AC10" i="10"/>
  <c r="AC28" i="10"/>
  <c r="AC20" i="10"/>
  <c r="AC14" i="10"/>
  <c r="AC8" i="10"/>
  <c r="AC24" i="10"/>
  <c r="Y50" i="10"/>
  <c r="Y79" i="10" s="1"/>
  <c r="C42" i="3"/>
  <c r="G16" i="2" s="1"/>
  <c r="C63" i="3"/>
  <c r="C72" i="3" s="1"/>
  <c r="G28" i="2" s="1"/>
  <c r="Z34" i="9"/>
  <c r="K32" i="9" l="1"/>
  <c r="K34" i="9"/>
  <c r="K31" i="9"/>
  <c r="K29" i="9"/>
  <c r="K28" i="9"/>
  <c r="K30" i="9"/>
  <c r="K27" i="9"/>
  <c r="K26" i="9"/>
  <c r="K25" i="9"/>
  <c r="AC12" i="10"/>
  <c r="AA9" i="40"/>
  <c r="C30" i="2"/>
  <c r="AC6" i="10"/>
  <c r="C100" i="24"/>
  <c r="Y71" i="10"/>
  <c r="Y80" i="10" s="1"/>
  <c r="C35" i="2" l="1"/>
  <c r="C56" i="2" s="1"/>
  <c r="C72" i="2" s="1"/>
  <c r="B17" i="42" s="1"/>
  <c r="B16" i="42" s="1"/>
  <c r="B27" i="42"/>
  <c r="B23" i="42"/>
  <c r="AA8" i="40"/>
  <c r="B15" i="42"/>
  <c r="B13" i="42" s="1"/>
  <c r="E46" i="41"/>
  <c r="C45" i="41"/>
  <c r="C44" i="41"/>
  <c r="D52" i="41"/>
  <c r="C75" i="2" l="1"/>
  <c r="C79" i="2" s="1"/>
  <c r="B24" i="42"/>
  <c r="B22" i="42" s="1"/>
  <c r="B25" i="42"/>
  <c r="B39" i="42"/>
  <c r="B37" i="42" s="1"/>
  <c r="B10" i="42"/>
  <c r="C46" i="41"/>
  <c r="C43" i="41" s="1"/>
  <c r="C35" i="41" s="1"/>
  <c r="C40" i="41" s="1"/>
  <c r="C8" i="6" l="1"/>
  <c r="C14" i="6" s="1"/>
  <c r="B20" i="42"/>
  <c r="B19" i="42" s="1"/>
  <c r="K44" i="20"/>
  <c r="C51" i="41"/>
  <c r="M29" i="30" l="1"/>
  <c r="B32" i="42" l="1"/>
  <c r="B29" i="42" s="1"/>
  <c r="K21" i="20" l="1"/>
  <c r="I29" i="30" l="1"/>
  <c r="K18" i="20" l="1"/>
  <c r="B30" i="42" l="1"/>
  <c r="B28" i="42" s="1"/>
  <c r="B34" i="42"/>
  <c r="Q8" i="30"/>
  <c r="B31" i="42" l="1"/>
  <c r="Q16" i="30" l="1"/>
  <c r="K16" i="20" l="1"/>
  <c r="K19" i="20"/>
  <c r="K20" i="20"/>
  <c r="K17" i="20"/>
  <c r="K27" i="20" l="1"/>
  <c r="K25" i="20"/>
  <c r="B8" i="42" l="1"/>
  <c r="B7" i="42" s="1"/>
  <c r="I29" i="20"/>
  <c r="K29" i="20" s="1"/>
  <c r="I34" i="20"/>
  <c r="K34" i="20" s="1"/>
  <c r="I36" i="20"/>
  <c r="K36" i="20" s="1"/>
  <c r="I23" i="20"/>
  <c r="K23" i="20" s="1"/>
  <c r="I41" i="20"/>
  <c r="K41" i="20" s="1"/>
  <c r="I39" i="20"/>
  <c r="K39" i="20" s="1"/>
  <c r="I11" i="20"/>
  <c r="K11" i="20" s="1"/>
  <c r="I9" i="20"/>
  <c r="K9" i="20" s="1"/>
  <c r="I13" i="20"/>
  <c r="K13" i="20" s="1"/>
  <c r="B5" i="42" l="1"/>
  <c r="B4" i="42" s="1"/>
  <c r="I7" i="20" l="1"/>
  <c r="K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Iskandarov_U</author>
  </authors>
  <commentList>
    <comment ref="R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04"/>
          </rPr>
          <t>Iskandarov_U:</t>
        </r>
        <r>
          <rPr>
            <sz val="8"/>
            <color indexed="81"/>
            <rFont val="Tahoma"/>
            <family val="2"/>
            <charset val="204"/>
          </rPr>
          <t xml:space="preserve">
Последняя редакция январь  2014 года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Iskandarov_U</author>
  </authors>
  <commentList>
    <comment ref="L4" authorId="0" shapeId="0" xr:uid="{00000000-0006-0000-1000-000001000000}">
      <text>
        <r>
          <rPr>
            <b/>
            <sz val="18"/>
            <color indexed="81"/>
            <rFont val="Tahoma"/>
            <family val="2"/>
            <charset val="204"/>
          </rPr>
          <t>Заполнить активы в ручную</t>
        </r>
      </text>
    </comment>
    <comment ref="M4" authorId="0" shapeId="0" xr:uid="{00000000-0006-0000-1000-000002000000}">
      <text>
        <r>
          <rPr>
            <b/>
            <sz val="16"/>
            <color indexed="81"/>
            <rFont val="Tahoma"/>
            <family val="2"/>
            <charset val="204"/>
          </rPr>
          <t>Заполнить Капитал
 в ручную</t>
        </r>
      </text>
    </comment>
  </commentList>
</comments>
</file>

<file path=xl/sharedStrings.xml><?xml version="1.0" encoding="utf-8"?>
<sst xmlns="http://schemas.openxmlformats.org/spreadsheetml/2006/main" count="1688" uniqueCount="938">
  <si>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</si>
  <si>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</si>
  <si>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</si>
  <si>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</si>
  <si>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</si>
  <si>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</si>
  <si>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</si>
  <si>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</si>
  <si>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</si>
  <si>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</si>
  <si>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</si>
  <si>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</si>
  <si>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</si>
  <si>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</si>
  <si>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</si>
  <si>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</si>
  <si>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</si>
  <si>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</si>
  <si>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</si>
  <si>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</si>
  <si>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</si>
  <si>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</si>
  <si>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</si>
  <si>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</si>
  <si>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</si>
  <si>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</si>
  <si>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</si>
  <si>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</si>
  <si>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</si>
  <si>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</si>
  <si>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</si>
  <si>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</si>
  <si>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</si>
  <si>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</si>
  <si>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</si>
  <si>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</si>
  <si>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</si>
  <si>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</si>
  <si>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</si>
  <si>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</si>
  <si>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</si>
  <si>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</si>
  <si>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</si>
  <si>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</si>
  <si>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</si>
  <si>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</si>
  <si>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</si>
  <si>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</si>
  <si>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</si>
  <si>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</si>
  <si>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</si>
  <si>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</si>
  <si>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</si>
  <si>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</si>
  <si>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>Гарантированные Правительством Республики Узбекистан в иностранной валюте (экв.сум)</t>
  </si>
  <si>
    <t>2.2</t>
  </si>
  <si>
    <t>Общие резервы (1%)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</si>
  <si>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</si>
  <si>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</si>
  <si>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</si>
  <si>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</si>
  <si>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</si>
  <si>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</si>
  <si>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</si>
  <si>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</si>
  <si>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</si>
  <si>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</si>
  <si>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</si>
  <si>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</si>
  <si>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</si>
  <si>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</si>
  <si>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</si>
  <si>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</si>
  <si>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</si>
  <si>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</si>
  <si>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</si>
  <si>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</si>
  <si>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</si>
  <si>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</si>
  <si>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</si>
  <si>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</si>
  <si>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</si>
  <si>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</si>
  <si>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</si>
  <si>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</si>
  <si>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</si>
  <si>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Другие ценные бумаги</t>
  </si>
  <si>
    <t>(Ж)</t>
  </si>
  <si>
    <t>Аккредитивы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</si>
  <si>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</si>
  <si>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</si>
  <si>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</si>
  <si>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</si>
  <si>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</si>
  <si>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</si>
  <si>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</si>
  <si>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</si>
  <si>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</si>
  <si>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</si>
  <si>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</si>
  <si>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</si>
  <si>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</si>
  <si>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</si>
  <si>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</si>
  <si>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</si>
  <si>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</si>
  <si>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</si>
  <si>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</si>
  <si>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</si>
  <si>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</si>
  <si>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</si>
  <si>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</si>
  <si>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</si>
  <si>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</si>
  <si>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</si>
  <si>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</si>
  <si>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</si>
  <si>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</si>
  <si>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</si>
  <si>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</si>
  <si>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</si>
  <si>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</si>
  <si>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</si>
  <si>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</si>
  <si>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</si>
  <si>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</si>
  <si>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</si>
  <si>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</si>
  <si>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</si>
  <si>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</si>
  <si>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</si>
  <si>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</si>
  <si>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</si>
  <si>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</si>
  <si>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</si>
  <si>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</si>
  <si>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</si>
  <si>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</si>
  <si>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</si>
  <si>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</si>
  <si>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</si>
  <si>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</si>
  <si>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</si>
  <si>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</si>
  <si>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</si>
  <si>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</si>
  <si>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</si>
  <si>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</si>
  <si>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</si>
  <si>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</si>
  <si>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</si>
  <si>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</si>
  <si>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</si>
  <si>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</si>
  <si>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</si>
  <si>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</si>
  <si>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</si>
  <si>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</si>
  <si>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</si>
  <si>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</si>
  <si>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</si>
  <si>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</si>
  <si>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</si>
  <si>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</si>
  <si>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</si>
  <si>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</si>
  <si>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</si>
  <si>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</si>
  <si>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</si>
  <si>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</si>
  <si>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</si>
  <si>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</si>
  <si>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</si>
  <si>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</si>
  <si>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</si>
  <si>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</si>
  <si>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</si>
  <si>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</si>
  <si>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</si>
  <si>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</si>
  <si>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</si>
  <si>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</si>
  <si>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</si>
  <si>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</si>
  <si>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</si>
  <si>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</si>
  <si>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</si>
  <si>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</si>
  <si>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</si>
  <si>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</si>
  <si>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</si>
  <si>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</si>
  <si>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</si>
  <si>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</si>
  <si>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</si>
  <si>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В</t>
  </si>
  <si>
    <t>Е</t>
  </si>
  <si>
    <t>в иностранной валюте</t>
  </si>
  <si>
    <t>ВСЕГО</t>
  </si>
  <si>
    <t>Бессрочные</t>
  </si>
  <si>
    <t>3.</t>
  </si>
  <si>
    <t>К получению из других банков</t>
  </si>
  <si>
    <t>Другие активы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</si>
  <si>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</si>
  <si>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</si>
  <si>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</si>
  <si>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</si>
  <si>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</si>
  <si>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</si>
  <si>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</si>
  <si>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</si>
  <si>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</si>
  <si>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</si>
  <si>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</si>
  <si>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</si>
  <si>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</si>
  <si>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</si>
  <si>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</si>
  <si>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</si>
  <si>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</si>
  <si>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</si>
  <si>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</si>
  <si>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</si>
  <si>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</si>
  <si>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</si>
  <si>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</si>
  <si>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</si>
  <si>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</si>
  <si>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</si>
  <si>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</si>
  <si>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</si>
  <si>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</si>
  <si>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</si>
  <si>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</si>
  <si>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</si>
  <si>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</si>
  <si>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</si>
  <si>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</si>
  <si>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</si>
  <si>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</si>
  <si>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</si>
  <si>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</si>
  <si>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</si>
  <si>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</si>
  <si>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</si>
  <si>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</si>
  <si>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</si>
  <si>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</si>
  <si>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</si>
  <si>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</si>
  <si>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</si>
  <si>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</si>
  <si>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</si>
  <si>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</si>
  <si>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</si>
  <si>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</si>
  <si>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</si>
  <si>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</si>
  <si>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</si>
  <si>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</si>
  <si>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</si>
  <si>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</si>
  <si>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</si>
  <si>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</si>
  <si>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</si>
  <si>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</si>
  <si>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</si>
  <si>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</si>
  <si>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</si>
  <si>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</si>
  <si>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</si>
  <si>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</si>
  <si>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</si>
  <si>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</si>
  <si>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</si>
  <si>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</si>
  <si>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</si>
  <si>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</si>
  <si>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</si>
  <si>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</si>
  <si>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</si>
  <si>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</si>
  <si>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</si>
  <si>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</si>
  <si>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</si>
  <si>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</si>
  <si>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</si>
  <si>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</si>
  <si>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</si>
  <si>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</si>
  <si>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</si>
  <si>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</si>
  <si>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</si>
  <si>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</si>
  <si>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</si>
  <si>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</si>
  <si>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</si>
  <si>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</si>
  <si>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</si>
  <si>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</si>
  <si>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</si>
  <si>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</si>
  <si>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</si>
  <si>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</si>
  <si>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</si>
  <si>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</si>
  <si>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</si>
  <si>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</si>
  <si>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</si>
  <si>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</si>
  <si>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</si>
  <si>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</si>
  <si>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</si>
  <si>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</si>
  <si>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</si>
  <si>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</si>
  <si>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</si>
  <si>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</si>
  <si>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</si>
  <si>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</si>
  <si>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</si>
  <si>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</si>
  <si>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</si>
  <si>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</si>
  <si>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</si>
  <si>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</si>
  <si>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</si>
  <si>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</si>
  <si>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</si>
  <si>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</si>
  <si>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</si>
  <si>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</si>
  <si>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</si>
  <si>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</si>
  <si>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</si>
  <si>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</si>
  <si>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</si>
  <si>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</si>
  <si>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</si>
  <si>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</si>
  <si>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</si>
  <si>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</si>
  <si>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</si>
  <si>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</si>
  <si>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</si>
  <si>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</si>
  <si>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</si>
  <si>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</si>
  <si>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</si>
  <si>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</si>
  <si>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</si>
  <si>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</si>
  <si>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</si>
  <si>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</si>
  <si>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</si>
  <si>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</si>
  <si>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</si>
  <si>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</si>
  <si>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</si>
  <si>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</si>
  <si>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</si>
  <si>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</si>
  <si>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</si>
  <si>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</si>
  <si>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</si>
  <si>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</si>
  <si>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</si>
  <si>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</si>
  <si>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</si>
  <si>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</si>
  <si>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</si>
  <si>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</si>
  <si>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</si>
  <si>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</si>
  <si>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</si>
  <si>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</si>
  <si>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</si>
  <si>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</si>
  <si>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</si>
  <si>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</si>
  <si>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</si>
  <si>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</si>
  <si>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</si>
  <si>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</si>
  <si>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</si>
  <si>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</si>
  <si>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</si>
  <si>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</si>
  <si>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</si>
  <si>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</si>
  <si>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</si>
  <si>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</si>
  <si>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</si>
  <si>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</si>
  <si>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</si>
  <si>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</si>
  <si>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</si>
  <si>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</si>
  <si>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</si>
  <si>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</si>
  <si>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</si>
  <si>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</si>
  <si>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</si>
  <si>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</si>
  <si>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</si>
  <si>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</si>
  <si>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</si>
  <si>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</si>
  <si>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</si>
  <si>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</si>
  <si>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</si>
  <si>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</si>
  <si>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</si>
  <si>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</si>
  <si>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</si>
  <si>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</si>
  <si>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</si>
  <si>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</si>
  <si>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</si>
  <si>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</si>
  <si>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</si>
  <si>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</si>
  <si>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</si>
  <si>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</si>
  <si>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</si>
  <si>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</si>
  <si>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</si>
  <si>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</si>
  <si>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</si>
  <si>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</si>
  <si>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</si>
  <si>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</si>
  <si>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</si>
  <si>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</si>
  <si>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</si>
  <si>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</si>
  <si>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</si>
  <si>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</si>
  <si>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</si>
  <si>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</si>
  <si>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</si>
  <si>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</si>
  <si>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</si>
  <si>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</si>
  <si>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</si>
  <si>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</si>
  <si>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</si>
  <si>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</si>
  <si>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</si>
  <si>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</si>
  <si>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</si>
  <si>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</si>
  <si>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</si>
  <si>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</si>
  <si>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</si>
  <si>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</si>
  <si>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</si>
  <si>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</si>
  <si>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</si>
  <si>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</si>
  <si>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</si>
  <si>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</si>
  <si>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</si>
  <si>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</si>
  <si>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</si>
  <si>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</si>
  <si>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</si>
  <si>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</si>
  <si>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</si>
  <si>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</si>
  <si>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</si>
  <si>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</si>
  <si>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</si>
  <si>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</si>
  <si>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</si>
  <si>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</si>
  <si>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</si>
  <si>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</si>
  <si>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</si>
  <si>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</si>
  <si>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</si>
  <si>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</si>
  <si>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</si>
  <si>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</si>
  <si>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</si>
  <si>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</si>
  <si>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</si>
  <si>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</si>
  <si>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</si>
  <si>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</si>
  <si>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</si>
  <si>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</si>
  <si>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</si>
  <si>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</si>
  <si>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</si>
  <si>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</si>
  <si>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</si>
  <si>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</si>
  <si>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</si>
  <si>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</si>
  <si>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</si>
  <si>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</si>
  <si>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</si>
  <si>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</si>
  <si>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</si>
  <si>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</si>
  <si>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</si>
  <si>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</si>
  <si>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</si>
  <si>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</si>
  <si>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</si>
  <si>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</si>
  <si>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</si>
  <si>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</si>
  <si>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</si>
  <si>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</si>
  <si>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</si>
  <si>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</si>
  <si>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</si>
  <si>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</si>
  <si>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</si>
  <si>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</si>
  <si>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</si>
  <si>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</si>
  <si>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</si>
  <si>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</si>
  <si>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</si>
  <si>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</si>
  <si>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</si>
  <si>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</si>
  <si>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</si>
  <si>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</si>
  <si>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</si>
  <si>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</si>
  <si>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</si>
  <si>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</si>
  <si>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</si>
  <si>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</si>
  <si>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</si>
  <si>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</si>
  <si>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</si>
  <si>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</si>
  <si>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</si>
  <si>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</si>
  <si>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</si>
  <si>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</si>
  <si>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</si>
  <si>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</si>
  <si>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</si>
  <si>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</si>
  <si>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</si>
  <si>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</si>
  <si>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</si>
  <si>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</si>
  <si>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</si>
  <si>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</si>
  <si>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</si>
  <si>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</si>
  <si>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</si>
  <si>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</si>
  <si>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</si>
  <si>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 xml:space="preserve">Кассовая наличность и другие платежные документы </t>
  </si>
  <si>
    <t xml:space="preserve">1.  </t>
  </si>
  <si>
    <t>Численность работников банка по штатному расписанию</t>
  </si>
  <si>
    <t>Фактическая численность работников банка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</si>
  <si>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</si>
  <si>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</si>
  <si>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</si>
  <si>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</si>
  <si>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</si>
  <si>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</si>
  <si>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</si>
  <si>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</si>
  <si>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</si>
  <si>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Коэффициент достаточности основного Капитала Уровня 1</t>
  </si>
  <si>
    <t>Основной капитал Уровня I</t>
  </si>
  <si>
    <t xml:space="preserve">3.1. </t>
  </si>
  <si>
    <t>Сумма</t>
  </si>
  <si>
    <t>От 31 до 90 дней</t>
  </si>
  <si>
    <t>От 91 до 180 дней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</si>
  <si>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</si>
  <si>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</si>
  <si>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</si>
  <si>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</si>
  <si>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</si>
  <si>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</si>
  <si>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</si>
  <si>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</si>
  <si>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</si>
  <si>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</si>
  <si>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</si>
  <si>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Таблица-13</t>
  </si>
  <si>
    <t>Таблица-20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</si>
  <si>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</si>
  <si>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</si>
  <si>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</si>
  <si>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</si>
  <si>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</si>
  <si>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</si>
  <si>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</si>
  <si>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</si>
  <si>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</si>
  <si>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</si>
  <si>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</si>
  <si>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Таблица-5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</si>
  <si>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</si>
  <si>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</si>
  <si>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</si>
  <si>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</si>
  <si>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</si>
  <si>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</si>
  <si>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</si>
  <si>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</si>
  <si>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</si>
  <si>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</si>
  <si>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</si>
  <si>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</si>
  <si>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</si>
  <si>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</si>
  <si>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</si>
  <si>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</si>
  <si>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</si>
  <si>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</si>
  <si>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</si>
  <si>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</si>
  <si>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</si>
  <si>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</si>
  <si>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</si>
  <si>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</si>
  <si>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</si>
  <si>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</si>
  <si>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</si>
  <si>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</si>
  <si>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</si>
  <si>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</si>
  <si>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</si>
  <si>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</si>
  <si>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</si>
  <si>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</si>
  <si>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</si>
  <si>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</si>
  <si>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</si>
  <si>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Показатели ликвидности</t>
  </si>
  <si>
    <t>Т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</si>
  <si>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</si>
  <si>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</si>
  <si>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</si>
  <si>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</si>
  <si>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</si>
  <si>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</si>
  <si>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</si>
  <si>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</si>
  <si>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</si>
  <si>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</si>
  <si>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</si>
  <si>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</si>
  <si>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</si>
  <si>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</si>
  <si>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</si>
  <si>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</si>
  <si>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</si>
  <si>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</si>
  <si>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</si>
  <si>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</si>
  <si>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</si>
  <si>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</si>
  <si>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</si>
  <si>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</si>
  <si>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</si>
  <si>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</si>
  <si>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</si>
  <si>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</si>
  <si>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</si>
  <si>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</si>
  <si>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Начисляемые 
кредиты</t>
  </si>
  <si>
    <t>Долгосрочные кредиты, предоставленные негосударственным некоммерческим организациям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</si>
  <si>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</si>
  <si>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</si>
  <si>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</si>
  <si>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</si>
  <si>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</si>
  <si>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</si>
  <si>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</si>
  <si>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Физлица</t>
  </si>
  <si>
    <t>Юрзлица</t>
  </si>
  <si>
    <t>Сроки, погашения средств</t>
  </si>
  <si>
    <t>От 1 до 7 дней</t>
  </si>
  <si>
    <t>От 8 до 30 дней</t>
  </si>
  <si>
    <t>Итого (сумма строк 1, 2, 3, 4, 5, 6, 7, 8 )</t>
  </si>
  <si>
    <t>Кредиты переведённые в статус ненаращивания процентов</t>
  </si>
  <si>
    <t>Нацвалюта</t>
  </si>
  <si>
    <t>Инвалюта</t>
  </si>
  <si>
    <t>51</t>
  </si>
  <si>
    <t>Отсроченная дебиторская задолженность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</si>
  <si>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</si>
  <si>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</si>
  <si>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</si>
  <si>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</si>
  <si>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</si>
  <si>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</si>
  <si>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</si>
  <si>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</si>
  <si>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</si>
  <si>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</si>
  <si>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</si>
  <si>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</si>
  <si>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</si>
  <si>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</si>
  <si>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</si>
  <si>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</si>
  <si>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</si>
  <si>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</si>
  <si>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</si>
  <si>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</si>
  <si>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</si>
  <si>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</si>
  <si>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</si>
  <si>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</si>
  <si>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</si>
  <si>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</si>
  <si>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</si>
  <si>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</si>
  <si>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</si>
  <si>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</si>
  <si>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</si>
  <si>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</si>
  <si>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</si>
  <si>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</si>
  <si>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</si>
  <si>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</si>
  <si>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</si>
  <si>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</si>
  <si>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</si>
  <si>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</si>
  <si>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</si>
  <si>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</si>
  <si>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</si>
  <si>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</si>
  <si>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</si>
  <si>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</si>
  <si>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</si>
  <si>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</si>
  <si>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</si>
  <si>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</si>
  <si>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</si>
  <si>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</si>
  <si>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</si>
  <si>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</si>
  <si>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</si>
  <si>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</si>
  <si>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</si>
  <si>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</si>
  <si>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</si>
  <si>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на реконструкцию недвижимого имущества</t>
  </si>
  <si>
    <t>из них на приобретения автомобиля</t>
  </si>
  <si>
    <t>РАСЧЕТ ПРУДЕНЦИАЛЬНЫХ НОРМАТИВОВ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</si>
  <si>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</si>
  <si>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</si>
  <si>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</si>
  <si>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</si>
  <si>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</si>
  <si>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</si>
  <si>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</si>
  <si>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</si>
  <si>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</si>
  <si>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</si>
  <si>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Информация о структуре кредитного портфеля</t>
  </si>
  <si>
    <t xml:space="preserve">  д.</t>
  </si>
  <si>
    <t>90908-90958</t>
  </si>
  <si>
    <t>Краткосрочные обязательства</t>
  </si>
  <si>
    <t xml:space="preserve">               Нормативный показатель по инвестициям банка в недвижимость</t>
  </si>
  <si>
    <t xml:space="preserve"> 6.1</t>
  </si>
  <si>
    <t>Совокупная сумма всех инвестиций банка в недвижимость</t>
  </si>
  <si>
    <t>Сумма всех инвестиций банка в недвижимость</t>
  </si>
  <si>
    <t xml:space="preserve">Количество центров банковских услуг </t>
  </si>
  <si>
    <t>в том числе имеющие основной счет в банке</t>
  </si>
  <si>
    <t xml:space="preserve">Показатели финансовой устойчивости </t>
  </si>
  <si>
    <t>Основные показатели</t>
  </si>
  <si>
    <t>Регулятивный капитал к активам взвешанных с учетом риска</t>
  </si>
  <si>
    <t>Всего Регулятивный капитал</t>
  </si>
  <si>
    <t>Активы взвешанные с учетом риска</t>
  </si>
  <si>
    <t>Регулятивный  капитал 1 - уровня к Активам взвешанных с учетом риска</t>
  </si>
  <si>
    <t>Регулятивный капитал 1- уровня</t>
  </si>
  <si>
    <t>Недействующие ссуды за вычетом резервов/общий объем капитала</t>
  </si>
  <si>
    <t>Недействующие ссуды за вычетом резервов</t>
  </si>
  <si>
    <t>Совокупный капитал на конец периода</t>
  </si>
  <si>
    <t>Недействующие ссуды/общая сумма ссуд</t>
  </si>
  <si>
    <t>Недействующие ссуды</t>
  </si>
  <si>
    <t>Общая сумма ссуд</t>
  </si>
  <si>
    <t>Рентабельность активов</t>
  </si>
  <si>
    <t>Чистая прибыль до уплаты налогов</t>
  </si>
  <si>
    <t>Всего активы (средний за период)</t>
  </si>
  <si>
    <t>Рентабельность капитала</t>
  </si>
  <si>
    <t>Совокупный капитал (средний за период)</t>
  </si>
  <si>
    <t>Процентная маржа/валовой доход</t>
  </si>
  <si>
    <t xml:space="preserve">Процентная маржа </t>
  </si>
  <si>
    <t xml:space="preserve">Валовой доход </t>
  </si>
  <si>
    <t>Непроцентные расходы/валовой доход</t>
  </si>
  <si>
    <t>Непроцентные расходы</t>
  </si>
  <si>
    <t>Валовой доход</t>
  </si>
  <si>
    <t>Ликвидные активы/всего активы</t>
  </si>
  <si>
    <t>Всего активы</t>
  </si>
  <si>
    <t>Ликвидные активы/краткосрочные обязательства</t>
  </si>
  <si>
    <t>Совокупный капитал на конец периода/Всего активы</t>
  </si>
  <si>
    <t>Чистая открытая валютная позиция /Совокупный капитал на конец периода</t>
  </si>
  <si>
    <t xml:space="preserve">Чистая открытая валютная позиция </t>
  </si>
  <si>
    <t>Актив</t>
  </si>
  <si>
    <t>Капитал</t>
  </si>
  <si>
    <t xml:space="preserve">Наличные денежные средства и Драгоценные металлы </t>
  </si>
  <si>
    <t>Месяц</t>
  </si>
  <si>
    <t>1 января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</si>
  <si>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</si>
  <si>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</si>
  <si>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</si>
  <si>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</si>
  <si>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</si>
  <si>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</si>
  <si>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</si>
  <si>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</si>
  <si>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</si>
  <si>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</si>
  <si>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</si>
  <si>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</si>
  <si>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</si>
  <si>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</si>
  <si>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Индивидуальные предприниматели</t>
  </si>
  <si>
    <t xml:space="preserve">Чистая прибыль </t>
  </si>
  <si>
    <t>Максимальный размер риска на одного заемщика или группу взаимосвязанных заемщиков, обеспеченные</t>
  </si>
  <si>
    <t>Максимальный размер риска на одного заемщика или группу взаимосвязанных заемщиков,обеспеченные</t>
  </si>
  <si>
    <t>Максимальный размер необеспеченного актива на одного заемщика или группу взаимосвязанных заемщиков (не включая риски по межбанковским операциям)</t>
  </si>
  <si>
    <t>Максимальный размер риска на одного связанного с банком лица, обеспеченные</t>
  </si>
  <si>
    <t>Возврат резервов, с формированных на покрытие потерь по активам</t>
  </si>
  <si>
    <t>Возврат списанных кредитов</t>
  </si>
  <si>
    <t>списанные кредиты за баланс в отчётном месяце</t>
  </si>
  <si>
    <t>возврат списанных кредитов в отчётном месяце</t>
  </si>
  <si>
    <t>ОТЧЕТ О CПИСАННЫХ И ВОЗВРАЩЕННЫХ КРЕДИТАХ И ЛИЗИНГАХ, 
А ТАКЖЕ РЕЗЕРВАХ ПО НИМ</t>
  </si>
  <si>
    <t>Часть 1 Списания и возврат сумму кредитов и лизинга за последние 12 месяцев</t>
  </si>
  <si>
    <t>Отрасли экономики
 и виды кредитования</t>
  </si>
  <si>
    <t>Списания и возврат кредитов и лизингов</t>
  </si>
  <si>
    <t>Списанние на 
забалансовый счет</t>
  </si>
  <si>
    <t>Возврат из 
забалансового счета</t>
  </si>
  <si>
    <t xml:space="preserve"> Итоговое списанние из забалансового счета</t>
  </si>
  <si>
    <t>1.7.</t>
  </si>
  <si>
    <t>1.8.</t>
  </si>
  <si>
    <t>Ипотечный кредит</t>
  </si>
  <si>
    <t>Автокредит</t>
  </si>
  <si>
    <t>Микрозаймы и овердрафты (все нецелевые кредиты)</t>
  </si>
  <si>
    <t>Часть 2 Списанные и возвращенные резервы по кредитам и лизингам за последние 12 месяцев</t>
  </si>
  <si>
    <t>Списания и возврат резервов по кредитам и лизингам</t>
  </si>
  <si>
    <t>Списание резервов</t>
  </si>
  <si>
    <t>Возврат резервов</t>
  </si>
  <si>
    <t>в этой строке указываются количество юридических лиц, которые имеют основной счет в банке</t>
  </si>
  <si>
    <t xml:space="preserve">в этой строке указываются количество всех юридических лиц </t>
  </si>
  <si>
    <r>
      <t xml:space="preserve">     д</t>
    </r>
    <r>
      <rPr>
        <sz val="8"/>
        <rFont val="Arial Cyr"/>
        <family val="2"/>
        <charset val="204"/>
      </rPr>
      <t xml:space="preserve">1. </t>
    </r>
  </si>
  <si>
    <r>
      <t xml:space="preserve">     д</t>
    </r>
    <r>
      <rPr>
        <sz val="8"/>
        <rFont val="Arial Cyr"/>
        <family val="2"/>
        <charset val="204"/>
      </rPr>
      <t xml:space="preserve">2. </t>
    </r>
  </si>
  <si>
    <t xml:space="preserve">               Нормативы по операциям со связанными с банком лицами</t>
  </si>
  <si>
    <t>Заполняется в ручную</t>
  </si>
  <si>
    <t xml:space="preserve">Максимальный размер риска на один банк или группу взаимосвязанных банков-заемщиков по межбанковским операциям </t>
  </si>
  <si>
    <t>Совокупная сумма всех крупных рисков</t>
  </si>
  <si>
    <t xml:space="preserve">Совокупная сумма рисков по всем связанным с банком лицам </t>
  </si>
  <si>
    <t>№4</t>
  </si>
  <si>
    <t>Подпись Председателя Правления:</t>
  </si>
  <si>
    <t>САМАЯ КРУПНАЯ СДЕЛКА, ЗАКЛЮЧЁННАЯ С ОДНИМ СВЯЗАННЫМ ЛИЦОМ</t>
  </si>
  <si>
    <t>ИТОГО СДЕЛКИ СО СВЯЗАННЫМИ ЛИЦАМИ</t>
  </si>
  <si>
    <t>Е8</t>
  </si>
  <si>
    <t>Е7</t>
  </si>
  <si>
    <t>Е6</t>
  </si>
  <si>
    <t>Е5</t>
  </si>
  <si>
    <t>Е4</t>
  </si>
  <si>
    <t>Е3</t>
  </si>
  <si>
    <t>Е2</t>
  </si>
  <si>
    <t>Е1</t>
  </si>
  <si>
    <t>по степени риска</t>
  </si>
  <si>
    <t>остаток</t>
  </si>
  <si>
    <t>Вид обеспечения</t>
  </si>
  <si>
    <t>Другие активы доходы по ним</t>
  </si>
  <si>
    <t>Неиспользованные кредитные линии/безотзывные обязательства/ другие обязательства по выдаче кредитов доходы по ним</t>
  </si>
  <si>
    <t>Гарантии/поручительства и доходы по ним</t>
  </si>
  <si>
    <t>Аккредитивы и доходы по ним</t>
  </si>
  <si>
    <t>Инвестиции и доходы по ним</t>
  </si>
  <si>
    <t>Кредиты/лизинги/факторинги и доходы по ним</t>
  </si>
  <si>
    <t>Межбанковские кредиты и депозиты, остатки на кор счетах, средства для межбанковских взаиморасчетов, другие размещенные средства (кроме овернайта и клиринговых операций) и доходы по ним</t>
  </si>
  <si>
    <t>внебалансовые</t>
  </si>
  <si>
    <t>балансовые</t>
  </si>
  <si>
    <t xml:space="preserve">Текущая задолженность,  нетто </t>
  </si>
  <si>
    <t>Источник кредита</t>
  </si>
  <si>
    <t>Резерв</t>
  </si>
  <si>
    <t>Классификация</t>
  </si>
  <si>
    <t>Вычеты из норматива</t>
  </si>
  <si>
    <t>Пересмотрения</t>
  </si>
  <si>
    <t>Текущая задолженность, брутто</t>
  </si>
  <si>
    <t>Номер группы</t>
  </si>
  <si>
    <t xml:space="preserve">Код валюты </t>
  </si>
  <si>
    <t>Вид деятельности</t>
  </si>
  <si>
    <t>ИНН</t>
  </si>
  <si>
    <t>Наименования клиента</t>
  </si>
  <si>
    <t>Таблица-11</t>
  </si>
  <si>
    <t>ОТЧЕТ О СДЕЛКАХ, ЗАКЛЮЧЕННЫХ СО СВЯЗАННЫМИ ЛИЦАМИ</t>
  </si>
  <si>
    <t xml:space="preserve">САМЫЙ КРУПНЫЙ АКТИВ, ВЫДАННЫЙ БАНКОМ </t>
  </si>
  <si>
    <t xml:space="preserve">ИТОГО КРУПНЫХ АКТИВОВ </t>
  </si>
  <si>
    <t>Таблица-12</t>
  </si>
  <si>
    <t>ОТЧЕТ О КРУПНЫХ РИСКАХ</t>
  </si>
  <si>
    <t>Движение по резервам за последние 
12 месяцев</t>
  </si>
  <si>
    <t>Moody's</t>
  </si>
  <si>
    <t>B1/NP, B1/NP, Stable</t>
  </si>
  <si>
    <t xml:space="preserve">АК "АЛОКАБАНК" </t>
  </si>
  <si>
    <t>АК "Ўзбектелеком"</t>
  </si>
  <si>
    <t>Навоийский горно-метал. ком.</t>
  </si>
  <si>
    <t>ХЁАТ "Ориент Финанс банк"</t>
  </si>
  <si>
    <t>"Ўзбектелеком" АЖ</t>
  </si>
  <si>
    <t xml:space="preserve"> "Нано Лизинг Компанияси" МЧЖ</t>
  </si>
  <si>
    <t>"Алокализинг" МЧЖ</t>
  </si>
  <si>
    <t>"Aлоқа актив" МЧЖ</t>
  </si>
  <si>
    <t xml:space="preserve"> "ИТ-Инвест" МЧЖ</t>
  </si>
  <si>
    <t>"Уздижитал ТВ" МЧЖ</t>
  </si>
  <si>
    <t>Тураев Шавкат Абдузоирович</t>
  </si>
  <si>
    <t>Мукумов Орифжон Абдурозикович</t>
  </si>
  <si>
    <t>840</t>
  </si>
  <si>
    <t>"Алоквенчурс" МЧЖ</t>
  </si>
  <si>
    <t>Набиев Умиджон Бобоқулович</t>
  </si>
  <si>
    <t>0%</t>
  </si>
  <si>
    <t>16%</t>
  </si>
  <si>
    <t>4%</t>
  </si>
  <si>
    <t>20%</t>
  </si>
  <si>
    <t>6%</t>
  </si>
  <si>
    <t>2%</t>
  </si>
  <si>
    <t>"Ўзбекистон почтаси" АЖ</t>
  </si>
  <si>
    <t>СК "Алском" АЖ</t>
  </si>
  <si>
    <t>"Арт Фарфор" МЧЖ</t>
  </si>
  <si>
    <t>"Жиззах-тоштепа текстил" МЧЖ</t>
  </si>
  <si>
    <t>860, 840</t>
  </si>
  <si>
    <t>"Мароқанд семент инвест" МЯЖ ҚК</t>
  </si>
  <si>
    <t>“Ўзбекистон Республикаси Ташқи иқтисодий фаолият миллий банки” АЖ</t>
  </si>
  <si>
    <t>392, 643, 756, 826, 840, 978, 860</t>
  </si>
  <si>
    <t>14%</t>
  </si>
  <si>
    <t>673</t>
  </si>
  <si>
    <t>23 426</t>
  </si>
  <si>
    <t>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</si>
</sst>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3" formatCode="_-* #,##0.00_-;\-* #,##0.00_-;_-* &quot;-&quot;??_-;_-@_-"/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0.000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#,##0.0_р_."/>
    <numFmt numFmtId="183" formatCode="&quot;   &quot;@"/>
    <numFmt numFmtId="184" formatCode="&quot;      &quot;@"/>
    <numFmt numFmtId="185" formatCode="&quot;            &quot;@"/>
    <numFmt numFmtId="186" formatCode="_-* #,##0.00\ &quot;сум&quot;_-;\-* #,##0.00\ &quot;сум&quot;_-;_-* &quot;-&quot;??\ &quot;сум&quot;_-;_-@_-"/>
    <numFmt numFmtId="187" formatCode="&quot;$&quot;#,##0\ ;\(&quot;$&quot;#,##0\)"/>
    <numFmt numFmtId="188" formatCode="_([$€-2]* #,##0.00_);_([$€-2]* \(#,##0.00\);_([$€-2]* &quot;-&quot;??_)"/>
    <numFmt numFmtId="189" formatCode="General_)"/>
    <numFmt numFmtId="190" formatCode="_(* #,##0_);_(* \(#,##0\);_(* &quot;-&quot;_);_(@_)"/>
    <numFmt numFmtId="191" formatCode="_(&quot;$&quot;* #,##0_);_(&quot;$&quot;* \(#,##0\);_(&quot;$&quot;* &quot;-&quot;_);_(@_)"/>
    <numFmt numFmtId="192" formatCode="_(&quot;$&quot;* #,##0.00_);_(&quot;$&quot;* \(#,##0.00\);_(&quot;$&quot;* &quot;-&quot;??_);_(@_)"/>
    <numFmt numFmtId="193" formatCode="[Black]#,##0.0;[Black]\-#,##0.0;;"/>
    <numFmt numFmtId="194" formatCode="0.0"/>
    <numFmt numFmtId="195" formatCode="#,##0_ ;[Red]\-#,##0\ "/>
    <numFmt numFmtId="196" formatCode="_-* #,##0&quot;р.&quot;_-;\-* #,##0&quot;р.&quot;_-;_-* &quot;-&quot;&quot;р.&quot;_-;_-@_-"/>
  </numFmts>
  <fonts count="15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b/>
      <sz val="20"/>
      <color rgb="FFFF0000"/>
      <name val="Arial Cyr"/>
      <charset val="204"/>
    </font>
    <font>
      <sz val="12"/>
      <color theme="0" tint="-0.249977111117893"/>
      <name val="Arial Cyr"/>
      <family val="2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9"/>
      <color rgb="FFFF0000"/>
      <name val="Arial Cyr"/>
      <family val="2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6"/>
      <color indexed="81"/>
      <name val="Tahoma"/>
      <family val="2"/>
      <charset val="204"/>
    </font>
    <font>
      <b/>
      <sz val="18"/>
      <color indexed="81"/>
      <name val="Tahoma"/>
      <family val="2"/>
      <charset val="204"/>
    </font>
    <font>
      <sz val="12"/>
      <color theme="0" tint="-0.34998626667073579"/>
      <name val="Times New Roman"/>
      <family val="1"/>
      <charset val="204"/>
    </font>
    <font>
      <b/>
      <sz val="25"/>
      <name val="Arial Cyr"/>
      <family val="2"/>
      <charset val="204"/>
    </font>
    <font>
      <i/>
      <sz val="10"/>
      <color theme="0" tint="-0.14999847407452621"/>
      <name val="Arial Cyr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b/>
      <sz val="12"/>
      <color rgb="FF7030A0"/>
      <name val="Arial Cyr"/>
      <charset val="204"/>
    </font>
    <font>
      <sz val="10"/>
      <color indexed="22"/>
      <name val="Arial Cyr"/>
      <family val="2"/>
      <charset val="204"/>
    </font>
    <font>
      <b/>
      <sz val="10"/>
      <color indexed="22"/>
      <name val="Arial Cyr"/>
      <charset val="204"/>
    </font>
    <font>
      <b/>
      <sz val="20"/>
      <color rgb="FFFFFF00"/>
      <name val="Arial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2329">
    <xf numFmtId="0" fontId="0" fillId="0" borderId="0"/>
    <xf numFmtId="0" fontId="32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166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36" fillId="0" borderId="0" applyNumberFormat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0" fillId="0" borderId="17">
      <protection locked="0"/>
    </xf>
    <xf numFmtId="173" fontId="92" fillId="0" borderId="0">
      <protection locked="0"/>
    </xf>
    <xf numFmtId="174" fontId="92" fillId="0" borderId="17">
      <protection locked="0"/>
    </xf>
    <xf numFmtId="175" fontId="92" fillId="0" borderId="0">
      <protection locked="0"/>
    </xf>
    <xf numFmtId="4" fontId="92" fillId="0" borderId="0">
      <protection locked="0"/>
    </xf>
    <xf numFmtId="176" fontId="92" fillId="0" borderId="0">
      <protection locked="0"/>
    </xf>
    <xf numFmtId="174" fontId="93" fillId="0" borderId="0">
      <protection locked="0"/>
    </xf>
    <xf numFmtId="174" fontId="94" fillId="0" borderId="0">
      <protection locked="0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95" fillId="0" borderId="5">
      <alignment horizontal="center"/>
    </xf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96" fillId="0" borderId="0"/>
    <xf numFmtId="0" fontId="36" fillId="0" borderId="0"/>
    <xf numFmtId="9" fontId="42" fillId="0" borderId="0" applyFont="0" applyFill="0" applyBorder="0" applyAlignment="0" applyProtection="0"/>
    <xf numFmtId="0" fontId="97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13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98" fillId="0" borderId="0"/>
    <xf numFmtId="0" fontId="3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7" fillId="0" borderId="0"/>
    <xf numFmtId="0" fontId="99" fillId="0" borderId="0"/>
    <xf numFmtId="0" fontId="3" fillId="0" borderId="0"/>
    <xf numFmtId="0" fontId="3" fillId="0" borderId="0"/>
    <xf numFmtId="0" fontId="98" fillId="0" borderId="0"/>
    <xf numFmtId="0" fontId="3" fillId="0" borderId="0"/>
    <xf numFmtId="0" fontId="97" fillId="0" borderId="0"/>
    <xf numFmtId="0" fontId="100" fillId="0" borderId="0"/>
    <xf numFmtId="0" fontId="10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/>
    <xf numFmtId="0" fontId="98" fillId="0" borderId="0"/>
    <xf numFmtId="0" fontId="97" fillId="0" borderId="0"/>
    <xf numFmtId="0" fontId="3" fillId="0" borderId="0"/>
    <xf numFmtId="0" fontId="9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8" fillId="0" borderId="0"/>
    <xf numFmtId="0" fontId="36" fillId="0" borderId="0"/>
    <xf numFmtId="0" fontId="97" fillId="0" borderId="0"/>
    <xf numFmtId="0" fontId="36" fillId="0" borderId="0"/>
    <xf numFmtId="0" fontId="10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" fillId="0" borderId="0"/>
    <xf numFmtId="0" fontId="99" fillId="0" borderId="0"/>
    <xf numFmtId="0" fontId="3" fillId="0" borderId="0"/>
    <xf numFmtId="0" fontId="97" fillId="0" borderId="0"/>
    <xf numFmtId="0" fontId="10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9" fillId="0" borderId="0"/>
    <xf numFmtId="0" fontId="97" fillId="0" borderId="0"/>
    <xf numFmtId="0" fontId="3" fillId="0" borderId="0"/>
    <xf numFmtId="0" fontId="3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101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6" fillId="0" borderId="0"/>
    <xf numFmtId="0" fontId="42" fillId="0" borderId="0"/>
    <xf numFmtId="0" fontId="42" fillId="0" borderId="0"/>
    <xf numFmtId="0" fontId="42" fillId="0" borderId="0"/>
    <xf numFmtId="0" fontId="99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36" fillId="0" borderId="0"/>
    <xf numFmtId="0" fontId="4" fillId="0" borderId="0"/>
    <xf numFmtId="0" fontId="42" fillId="0" borderId="0"/>
    <xf numFmtId="0" fontId="3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/>
    <xf numFmtId="0" fontId="3" fillId="0" borderId="0"/>
    <xf numFmtId="0" fontId="3" fillId="0" borderId="0"/>
    <xf numFmtId="0" fontId="101" fillId="0" borderId="0"/>
    <xf numFmtId="0" fontId="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3" fillId="0" borderId="0"/>
    <xf numFmtId="0" fontId="99" fillId="0" borderId="0"/>
    <xf numFmtId="0" fontId="97" fillId="0" borderId="0"/>
    <xf numFmtId="0" fontId="102" fillId="0" borderId="0"/>
    <xf numFmtId="0" fontId="3" fillId="0" borderId="0"/>
    <xf numFmtId="0" fontId="97" fillId="0" borderId="0"/>
    <xf numFmtId="0" fontId="3" fillId="0" borderId="0"/>
    <xf numFmtId="0" fontId="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/>
    <xf numFmtId="0" fontId="97" fillId="0" borderId="0"/>
    <xf numFmtId="0" fontId="97" fillId="0" borderId="0"/>
    <xf numFmtId="0" fontId="97" fillId="0" borderId="0"/>
    <xf numFmtId="0" fontId="42" fillId="0" borderId="0"/>
    <xf numFmtId="0" fontId="3" fillId="0" borderId="0"/>
    <xf numFmtId="0" fontId="3" fillId="0" borderId="0"/>
    <xf numFmtId="0" fontId="103" fillId="0" borderId="0"/>
    <xf numFmtId="0" fontId="36" fillId="0" borderId="0"/>
    <xf numFmtId="0" fontId="3" fillId="0" borderId="0"/>
    <xf numFmtId="0" fontId="3" fillId="0" borderId="0"/>
    <xf numFmtId="0" fontId="36" fillId="0" borderId="0"/>
    <xf numFmtId="0" fontId="3" fillId="0" borderId="0"/>
    <xf numFmtId="0" fontId="104" fillId="0" borderId="0"/>
    <xf numFmtId="0" fontId="42" fillId="0" borderId="0"/>
    <xf numFmtId="0" fontId="99" fillId="0" borderId="0"/>
    <xf numFmtId="0" fontId="97" fillId="0" borderId="0"/>
    <xf numFmtId="0" fontId="3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7" fillId="0" borderId="0"/>
    <xf numFmtId="0" fontId="42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7" fillId="0" borderId="0"/>
    <xf numFmtId="0" fontId="97" fillId="0" borderId="0"/>
    <xf numFmtId="0" fontId="42" fillId="0" borderId="0"/>
    <xf numFmtId="0" fontId="97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7" fillId="0" borderId="0"/>
    <xf numFmtId="0" fontId="99" fillId="0" borderId="0"/>
    <xf numFmtId="0" fontId="3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" fillId="0" borderId="0"/>
    <xf numFmtId="0" fontId="97" fillId="0" borderId="0"/>
    <xf numFmtId="0" fontId="3" fillId="0" borderId="0"/>
    <xf numFmtId="0" fontId="97" fillId="0" borderId="0"/>
    <xf numFmtId="0" fontId="4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42" fillId="0" borderId="0"/>
    <xf numFmtId="0" fontId="36" fillId="0" borderId="0"/>
    <xf numFmtId="0" fontId="97" fillId="0" borderId="0"/>
    <xf numFmtId="0" fontId="97" fillId="0" borderId="0"/>
    <xf numFmtId="0" fontId="36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42" fillId="0" borderId="0"/>
    <xf numFmtId="0" fontId="97" fillId="0" borderId="0"/>
    <xf numFmtId="0" fontId="10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7" fillId="0" borderId="0"/>
    <xf numFmtId="0" fontId="3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42" fillId="0" borderId="0"/>
    <xf numFmtId="0" fontId="97" fillId="0" borderId="0"/>
    <xf numFmtId="0" fontId="97" fillId="0" borderId="0"/>
    <xf numFmtId="0" fontId="42" fillId="0" borderId="0"/>
    <xf numFmtId="0" fontId="97" fillId="0" borderId="0"/>
    <xf numFmtId="0" fontId="9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1" fillId="0" borderId="0"/>
    <xf numFmtId="0" fontId="3" fillId="0" borderId="0"/>
    <xf numFmtId="0" fontId="42" fillId="0" borderId="0"/>
    <xf numFmtId="0" fontId="42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42" fillId="0" borderId="0"/>
    <xf numFmtId="0" fontId="98" fillId="0" borderId="0"/>
    <xf numFmtId="0" fontId="98" fillId="0" borderId="0"/>
    <xf numFmtId="0" fontId="42" fillId="0" borderId="0"/>
    <xf numFmtId="0" fontId="98" fillId="0" borderId="0"/>
    <xf numFmtId="0" fontId="98" fillId="0" borderId="0"/>
    <xf numFmtId="0" fontId="42" fillId="0" borderId="0"/>
    <xf numFmtId="0" fontId="42" fillId="0" borderId="0"/>
    <xf numFmtId="0" fontId="40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9" fontId="101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106" fillId="0" borderId="0"/>
    <xf numFmtId="165" fontId="4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6" fillId="0" borderId="0" applyFont="0" applyFill="0" applyBorder="0" applyAlignment="0" applyProtection="0"/>
    <xf numFmtId="166" fontId="107" fillId="0" borderId="0" applyFont="0" applyFill="0" applyBorder="0" applyAlignment="0" applyProtection="0"/>
    <xf numFmtId="170" fontId="3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7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72" fontId="101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8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107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107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1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9" fontId="3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0" fontId="10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07" fillId="0" borderId="0" applyFont="0" applyFill="0" applyBorder="0" applyAlignment="0" applyProtection="0"/>
    <xf numFmtId="181" fontId="99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109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7" fontId="36" fillId="0" borderId="0" applyFont="0" applyFill="0" applyBorder="0" applyAlignment="0" applyProtection="0"/>
    <xf numFmtId="166" fontId="109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90" fillId="0" borderId="0">
      <protection locked="0"/>
    </xf>
    <xf numFmtId="0" fontId="9" fillId="0" borderId="0">
      <alignment vertical="top"/>
    </xf>
    <xf numFmtId="183" fontId="118" fillId="0" borderId="0" applyFont="0" applyFill="0" applyBorder="0" applyAlignment="0" applyProtection="0"/>
    <xf numFmtId="184" fontId="118" fillId="0" borderId="0" applyFont="0" applyFill="0" applyBorder="0" applyAlignment="0" applyProtection="0"/>
    <xf numFmtId="0" fontId="101" fillId="22" borderId="0" applyNumberFormat="0" applyBorder="0" applyAlignment="0" applyProtection="0"/>
    <xf numFmtId="0" fontId="101" fillId="23" borderId="0" applyNumberFormat="0" applyBorder="0" applyAlignment="0" applyProtection="0"/>
    <xf numFmtId="0" fontId="101" fillId="24" borderId="0" applyNumberFormat="0" applyBorder="0" applyAlignment="0" applyProtection="0"/>
    <xf numFmtId="0" fontId="101" fillId="25" borderId="0" applyNumberFormat="0" applyBorder="0" applyAlignment="0" applyProtection="0"/>
    <xf numFmtId="0" fontId="101" fillId="26" borderId="0" applyNumberFormat="0" applyBorder="0" applyAlignment="0" applyProtection="0"/>
    <xf numFmtId="0" fontId="101" fillId="27" borderId="0" applyNumberFormat="0" applyBorder="0" applyAlignment="0" applyProtection="0"/>
    <xf numFmtId="185" fontId="118" fillId="0" borderId="0" applyFont="0" applyFill="0" applyBorder="0" applyAlignment="0" applyProtection="0"/>
    <xf numFmtId="0" fontId="101" fillId="28" borderId="0" applyNumberFormat="0" applyBorder="0" applyAlignment="0" applyProtection="0"/>
    <xf numFmtId="0" fontId="101" fillId="29" borderId="0" applyNumberFormat="0" applyBorder="0" applyAlignment="0" applyProtection="0"/>
    <xf numFmtId="0" fontId="101" fillId="30" borderId="0" applyNumberFormat="0" applyBorder="0" applyAlignment="0" applyProtection="0"/>
    <xf numFmtId="0" fontId="101" fillId="25" borderId="0" applyNumberFormat="0" applyBorder="0" applyAlignment="0" applyProtection="0"/>
    <xf numFmtId="0" fontId="101" fillId="28" borderId="0" applyNumberFormat="0" applyBorder="0" applyAlignment="0" applyProtection="0"/>
    <xf numFmtId="0" fontId="101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29" borderId="0" applyNumberFormat="0" applyBorder="0" applyAlignment="0" applyProtection="0"/>
    <xf numFmtId="0" fontId="119" fillId="30" borderId="0" applyNumberFormat="0" applyBorder="0" applyAlignment="0" applyProtection="0"/>
    <xf numFmtId="0" fontId="119" fillId="33" borderId="0" applyNumberFormat="0" applyBorder="0" applyAlignment="0" applyProtection="0"/>
    <xf numFmtId="0" fontId="119" fillId="34" borderId="0" applyNumberFormat="0" applyBorder="0" applyAlignment="0" applyProtection="0"/>
    <xf numFmtId="0" fontId="119" fillId="35" borderId="0" applyNumberFormat="0" applyBorder="0" applyAlignment="0" applyProtection="0"/>
    <xf numFmtId="0" fontId="119" fillId="36" borderId="0" applyNumberFormat="0" applyBorder="0" applyAlignment="0" applyProtection="0"/>
    <xf numFmtId="0" fontId="119" fillId="37" borderId="0" applyNumberFormat="0" applyBorder="0" applyAlignment="0" applyProtection="0"/>
    <xf numFmtId="0" fontId="119" fillId="38" borderId="0" applyNumberFormat="0" applyBorder="0" applyAlignment="0" applyProtection="0"/>
    <xf numFmtId="0" fontId="119" fillId="33" borderId="0" applyNumberFormat="0" applyBorder="0" applyAlignment="0" applyProtection="0"/>
    <xf numFmtId="0" fontId="119" fillId="34" borderId="0" applyNumberFormat="0" applyBorder="0" applyAlignment="0" applyProtection="0"/>
    <xf numFmtId="0" fontId="119" fillId="39" borderId="0" applyNumberFormat="0" applyBorder="0" applyAlignment="0" applyProtection="0"/>
    <xf numFmtId="0" fontId="120" fillId="23" borderId="0" applyNumberFormat="0" applyBorder="0" applyAlignment="0" applyProtection="0"/>
    <xf numFmtId="0" fontId="121" fillId="40" borderId="20" applyNumberFormat="0" applyAlignment="0" applyProtection="0"/>
    <xf numFmtId="0" fontId="122" fillId="41" borderId="21" applyNumberFormat="0" applyAlignment="0" applyProtection="0"/>
    <xf numFmtId="177" fontId="123" fillId="0" borderId="0" applyFont="0" applyFill="0" applyBorder="0" applyAlignment="0" applyProtection="0"/>
    <xf numFmtId="3" fontId="36" fillId="0" borderId="0" applyFont="0" applyFill="0" applyBorder="0" applyAlignment="0" applyProtection="0"/>
    <xf numFmtId="0" fontId="18" fillId="0" borderId="0" applyNumberFormat="0" applyFont="0" applyFill="0" applyBorder="0" applyAlignment="0"/>
    <xf numFmtId="186" fontId="36" fillId="0" borderId="0" applyFont="0" applyFill="0" applyBorder="0" applyAlignment="0" applyProtection="0"/>
    <xf numFmtId="187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88" fontId="25" fillId="0" borderId="0" applyFont="0" applyFill="0" applyBorder="0" applyAlignment="0" applyProtection="0"/>
    <xf numFmtId="189" fontId="124" fillId="0" borderId="0"/>
    <xf numFmtId="0" fontId="125" fillId="0" borderId="0" applyNumberFormat="0" applyFill="0" applyBorder="0" applyAlignment="0" applyProtection="0"/>
    <xf numFmtId="2" fontId="36" fillId="0" borderId="0" applyFont="0" applyFill="0" applyBorder="0" applyAlignment="0" applyProtection="0"/>
    <xf numFmtId="0" fontId="126" fillId="24" borderId="0" applyNumberFormat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22" applyNumberFormat="0" applyFill="0" applyAlignment="0" applyProtection="0"/>
    <xf numFmtId="0" fontId="129" fillId="0" borderId="0" applyNumberFormat="0" applyFill="0" applyBorder="0" applyAlignment="0" applyProtection="0"/>
    <xf numFmtId="172" fontId="118" fillId="0" borderId="0" applyFont="0" applyFill="0" applyBorder="0" applyAlignment="0" applyProtection="0"/>
    <xf numFmtId="0" fontId="130" fillId="27" borderId="20" applyNumberFormat="0" applyAlignment="0" applyProtection="0"/>
    <xf numFmtId="0" fontId="131" fillId="0" borderId="23" applyNumberFormat="0" applyFill="0" applyAlignment="0" applyProtection="0"/>
    <xf numFmtId="19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72" fontId="132" fillId="0" borderId="0" applyFill="0" applyBorder="0"/>
    <xf numFmtId="0" fontId="133" fillId="42" borderId="0" applyNumberFormat="0" applyBorder="0" applyAlignment="0" applyProtection="0"/>
    <xf numFmtId="0" fontId="132" fillId="0" borderId="0"/>
    <xf numFmtId="0" fontId="42" fillId="43" borderId="24" applyNumberFormat="0" applyFont="0" applyAlignment="0" applyProtection="0"/>
    <xf numFmtId="0" fontId="134" fillId="40" borderId="25" applyNumberFormat="0" applyAlignment="0" applyProtection="0"/>
    <xf numFmtId="9" fontId="36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35" fillId="0" borderId="0" applyNumberFormat="0" applyFill="0" applyBorder="0" applyAlignment="0" applyProtection="0"/>
    <xf numFmtId="0" fontId="36" fillId="0" borderId="26" applyNumberFormat="0" applyFont="0" applyFill="0" applyAlignment="0" applyProtection="0"/>
    <xf numFmtId="0" fontId="136" fillId="0" borderId="0" applyNumberFormat="0" applyFill="0" applyBorder="0" applyAlignment="0" applyProtection="0"/>
    <xf numFmtId="0" fontId="4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23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1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76">
    <xf numFmtId="0" fontId="0" fillId="0" borderId="0" xfId="0"/>
    <xf numFmtId="0" fontId="5" fillId="0" borderId="0" xfId="0" applyFont="1"/>
    <xf numFmtId="0" fontId="5" fillId="0" borderId="0" xfId="0" applyFont="1" applyBorder="1"/>
    <xf numFmtId="0" fontId="5" fillId="0" borderId="0" xfId="0" applyFont="1" applyProtection="1">
      <protection hidden="1"/>
    </xf>
    <xf numFmtId="0" fontId="5" fillId="0" borderId="0" xfId="0" applyFont="1" applyBorder="1" applyProtection="1">
      <protection hidden="1"/>
    </xf>
    <xf numFmtId="0" fontId="8" fillId="0" borderId="0" xfId="0" applyFont="1" applyBorder="1"/>
    <xf numFmtId="3" fontId="5" fillId="2" borderId="3" xfId="0" applyNumberFormat="1" applyFont="1" applyFill="1" applyBorder="1"/>
    <xf numFmtId="0" fontId="6" fillId="0" borderId="0" xfId="0" applyFont="1" applyBorder="1" applyAlignment="1">
      <alignment horizontal="centerContinuous"/>
    </xf>
    <xf numFmtId="3" fontId="5" fillId="0" borderId="1" xfId="0" applyNumberFormat="1" applyFont="1" applyBorder="1" applyProtection="1"/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Protection="1"/>
    <xf numFmtId="3" fontId="16" fillId="0" borderId="0" xfId="0" applyNumberFormat="1" applyFont="1" applyBorder="1" applyAlignment="1">
      <alignment horizontal="centerContinuous"/>
    </xf>
    <xf numFmtId="3" fontId="5" fillId="0" borderId="1" xfId="0" applyNumberFormat="1" applyFont="1" applyBorder="1" applyProtection="1">
      <protection locked="0"/>
    </xf>
    <xf numFmtId="3" fontId="5" fillId="0" borderId="0" xfId="0" applyNumberFormat="1" applyFont="1"/>
    <xf numFmtId="0" fontId="5" fillId="0" borderId="0" xfId="0" applyFont="1" applyFill="1"/>
    <xf numFmtId="3" fontId="5" fillId="0" borderId="0" xfId="0" applyNumberFormat="1" applyFont="1" applyAlignment="1">
      <alignment horizontal="centerContinuous"/>
    </xf>
    <xf numFmtId="3" fontId="8" fillId="0" borderId="0" xfId="0" applyNumberFormat="1" applyFont="1" applyAlignment="1">
      <alignment horizontal="centerContinuous"/>
    </xf>
    <xf numFmtId="0" fontId="16" fillId="0" borderId="0" xfId="0" applyFont="1" applyAlignment="1">
      <alignment horizontal="centerContinuous"/>
    </xf>
    <xf numFmtId="3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12" fillId="0" borderId="0" xfId="0" applyFont="1"/>
    <xf numFmtId="0" fontId="12" fillId="0" borderId="0" xfId="0" applyFont="1" applyBorder="1"/>
    <xf numFmtId="0" fontId="5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Continuous"/>
    </xf>
    <xf numFmtId="3" fontId="8" fillId="0" borderId="0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textRotation="90" wrapText="1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21" fillId="0" borderId="0" xfId="4" applyNumberFormat="1" applyFont="1" applyFill="1" applyBorder="1" applyAlignment="1" applyProtection="1">
      <alignment vertical="center"/>
    </xf>
    <xf numFmtId="0" fontId="21" fillId="0" borderId="0" xfId="4" applyNumberFormat="1" applyFont="1" applyFill="1" applyBorder="1" applyAlignment="1" applyProtection="1">
      <alignment vertical="top"/>
    </xf>
    <xf numFmtId="0" fontId="21" fillId="0" borderId="0" xfId="4" applyNumberFormat="1" applyFont="1" applyFill="1" applyBorder="1" applyAlignment="1" applyProtection="1">
      <alignment vertical="top" wrapText="1"/>
    </xf>
    <xf numFmtId="0" fontId="18" fillId="0" borderId="0" xfId="4" applyNumberFormat="1" applyFont="1" applyFill="1" applyBorder="1" applyAlignment="1" applyProtection="1">
      <alignment horizontal="center" vertical="center"/>
    </xf>
    <xf numFmtId="49" fontId="37" fillId="5" borderId="1" xfId="4" applyNumberFormat="1" applyFont="1" applyFill="1" applyBorder="1" applyAlignment="1" applyProtection="1">
      <alignment horizontal="center" vertical="center" wrapText="1"/>
    </xf>
    <xf numFmtId="49" fontId="38" fillId="0" borderId="1" xfId="4" applyNumberFormat="1" applyFont="1" applyFill="1" applyBorder="1" applyAlignment="1" applyProtection="1">
      <alignment horizontal="center" vertical="center" wrapText="1"/>
    </xf>
    <xf numFmtId="0" fontId="39" fillId="0" borderId="0" xfId="4" applyNumberFormat="1" applyFont="1" applyFill="1" applyBorder="1" applyAlignment="1" applyProtection="1">
      <alignment horizontal="center" vertical="center"/>
    </xf>
    <xf numFmtId="0" fontId="39" fillId="0" borderId="0" xfId="4" applyNumberFormat="1" applyFont="1" applyFill="1" applyBorder="1" applyAlignment="1" applyProtection="1">
      <alignment vertical="top" wrapText="1"/>
    </xf>
    <xf numFmtId="170" fontId="4" fillId="0" borderId="0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3" fontId="5" fillId="0" borderId="1" xfId="0" applyNumberFormat="1" applyFont="1" applyBorder="1" applyAlignment="1" applyProtection="1">
      <alignment horizontal="right" vertical="center"/>
      <protection locked="0"/>
    </xf>
    <xf numFmtId="3" fontId="5" fillId="0" borderId="3" xfId="0" applyNumberFormat="1" applyFont="1" applyBorder="1" applyAlignment="1" applyProtection="1">
      <alignment vertical="center"/>
      <protection locked="0"/>
    </xf>
    <xf numFmtId="167" fontId="5" fillId="0" borderId="3" xfId="0" applyNumberFormat="1" applyFont="1" applyBorder="1" applyAlignment="1" applyProtection="1">
      <alignment vertical="center"/>
      <protection locked="0"/>
    </xf>
    <xf numFmtId="3" fontId="8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Fill="1" applyBorder="1" applyAlignment="1" applyProtection="1">
      <alignment vertical="center"/>
    </xf>
    <xf numFmtId="3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5" fillId="0" borderId="0" xfId="0" applyNumberFormat="1" applyFont="1" applyBorder="1" applyProtection="1"/>
    <xf numFmtId="3" fontId="4" fillId="0" borderId="1" xfId="0" applyNumberFormat="1" applyFont="1" applyFill="1" applyBorder="1" applyAlignment="1" applyProtection="1">
      <alignment vertical="center"/>
      <protection locked="0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0" fontId="35" fillId="0" borderId="4" xfId="0" applyFont="1" applyBorder="1" applyAlignment="1">
      <alignment horizontal="center" vertical="center"/>
    </xf>
    <xf numFmtId="3" fontId="35" fillId="0" borderId="1" xfId="0" applyNumberFormat="1" applyFont="1" applyBorder="1" applyAlignment="1" applyProtection="1">
      <alignment horizontal="center" vertical="center"/>
      <protection locked="0"/>
    </xf>
    <xf numFmtId="0" fontId="35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4"/>
    </xf>
    <xf numFmtId="0" fontId="35" fillId="0" borderId="1" xfId="0" applyFont="1" applyBorder="1" applyAlignment="1">
      <alignment horizontal="left" vertical="center" wrapText="1" indent="4"/>
    </xf>
    <xf numFmtId="0" fontId="37" fillId="5" borderId="1" xfId="4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8" fillId="0" borderId="2" xfId="0" applyFont="1" applyBorder="1" applyAlignment="1">
      <alignment horizontal="left" vertical="center" indent="1"/>
    </xf>
    <xf numFmtId="3" fontId="5" fillId="0" borderId="1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3" fontId="34" fillId="0" borderId="1" xfId="0" applyNumberFormat="1" applyFont="1" applyFill="1" applyBorder="1" applyAlignment="1">
      <alignment horizontal="right" vertical="center" wrapText="1"/>
    </xf>
    <xf numFmtId="3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/>
    </xf>
    <xf numFmtId="0" fontId="5" fillId="0" borderId="0" xfId="0" applyFont="1" applyProtection="1"/>
    <xf numFmtId="0" fontId="5" fillId="0" borderId="0" xfId="0" applyFont="1" applyBorder="1" applyProtection="1"/>
    <xf numFmtId="0" fontId="43" fillId="0" borderId="0" xfId="0" applyFont="1"/>
    <xf numFmtId="3" fontId="43" fillId="0" borderId="0" xfId="0" applyNumberFormat="1" applyFont="1" applyBorder="1" applyAlignment="1">
      <alignment horizontal="centerContinuous"/>
    </xf>
    <xf numFmtId="0" fontId="12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vertical="center"/>
    </xf>
    <xf numFmtId="3" fontId="12" fillId="0" borderId="1" xfId="0" applyNumberFormat="1" applyFont="1" applyBorder="1" applyAlignment="1" applyProtection="1">
      <alignment horizontal="right" vertical="center"/>
      <protection locked="0"/>
    </xf>
    <xf numFmtId="3" fontId="12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3" fontId="12" fillId="0" borderId="1" xfId="0" applyNumberFormat="1" applyFont="1" applyBorder="1" applyAlignment="1" applyProtection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Border="1"/>
    <xf numFmtId="0" fontId="44" fillId="0" borderId="0" xfId="0" applyFont="1" applyProtection="1">
      <protection hidden="1"/>
    </xf>
    <xf numFmtId="0" fontId="4" fillId="0" borderId="0" xfId="0" applyFont="1" applyFill="1" applyProtection="1"/>
    <xf numFmtId="0" fontId="4" fillId="0" borderId="0" xfId="0" applyFont="1" applyBorder="1" applyProtection="1"/>
    <xf numFmtId="169" fontId="27" fillId="0" borderId="0" xfId="3" applyNumberFormat="1" applyFont="1" applyBorder="1" applyAlignment="1" applyProtection="1">
      <alignment horizontal="center" vertical="center" wrapText="1"/>
    </xf>
    <xf numFmtId="0" fontId="24" fillId="0" borderId="0" xfId="0" applyFont="1" applyProtection="1"/>
    <xf numFmtId="0" fontId="24" fillId="0" borderId="0" xfId="0" applyFont="1" applyBorder="1" applyAlignment="1" applyProtection="1">
      <alignment wrapText="1"/>
    </xf>
    <xf numFmtId="0" fontId="24" fillId="0" borderId="0" xfId="0" applyFont="1" applyAlignment="1" applyProtection="1">
      <alignment vertical="center"/>
    </xf>
    <xf numFmtId="0" fontId="24" fillId="0" borderId="1" xfId="0" applyFont="1" applyBorder="1" applyAlignment="1" applyProtection="1">
      <alignment horizontal="center" wrapText="1"/>
    </xf>
    <xf numFmtId="0" fontId="23" fillId="0" borderId="1" xfId="0" applyFont="1" applyBorder="1" applyAlignment="1" applyProtection="1">
      <alignment horizontal="center" vertical="center"/>
    </xf>
    <xf numFmtId="169" fontId="23" fillId="0" borderId="1" xfId="3" applyNumberFormat="1" applyFont="1" applyBorder="1" applyAlignment="1" applyProtection="1">
      <alignment horizontal="left" vertical="center"/>
    </xf>
    <xf numFmtId="3" fontId="23" fillId="0" borderId="1" xfId="3" applyNumberFormat="1" applyFont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wrapText="1"/>
    </xf>
    <xf numFmtId="3" fontId="24" fillId="0" borderId="1" xfId="3" applyNumberFormat="1" applyFont="1" applyFill="1" applyBorder="1" applyAlignment="1" applyProtection="1">
      <alignment horizontal="center" wrapText="1"/>
    </xf>
    <xf numFmtId="3" fontId="33" fillId="0" borderId="1" xfId="3" applyNumberFormat="1" applyFont="1" applyFill="1" applyBorder="1" applyAlignment="1" applyProtection="1">
      <alignment horizontal="center" wrapText="1"/>
    </xf>
    <xf numFmtId="0" fontId="23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left" vertical="center" wrapText="1" indent="2"/>
    </xf>
    <xf numFmtId="0" fontId="30" fillId="0" borderId="0" xfId="0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0" fontId="23" fillId="0" borderId="1" xfId="0" applyFont="1" applyFill="1" applyBorder="1" applyAlignment="1" applyProtection="1">
      <alignment horizontal="left" vertical="center" indent="2"/>
    </xf>
    <xf numFmtId="0" fontId="24" fillId="0" borderId="1" xfId="0" applyFont="1" applyFill="1" applyBorder="1" applyAlignment="1" applyProtection="1">
      <alignment horizontal="center" vertical="center" wrapText="1"/>
    </xf>
    <xf numFmtId="0" fontId="33" fillId="0" borderId="1" xfId="0" applyFont="1" applyFill="1" applyBorder="1" applyAlignment="1" applyProtection="1">
      <alignment horizontal="center" wrapText="1"/>
    </xf>
    <xf numFmtId="0" fontId="33" fillId="0" borderId="0" xfId="0" applyFont="1" applyProtection="1"/>
    <xf numFmtId="0" fontId="33" fillId="0" borderId="1" xfId="0" applyFont="1" applyFill="1" applyBorder="1" applyAlignment="1" applyProtection="1">
      <alignment horizontal="center" vertical="center" wrapText="1"/>
    </xf>
    <xf numFmtId="0" fontId="33" fillId="0" borderId="0" xfId="0" applyFont="1" applyAlignment="1" applyProtection="1">
      <alignment vertical="center"/>
    </xf>
    <xf numFmtId="0" fontId="24" fillId="0" borderId="1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left" vertical="center" indent="2"/>
    </xf>
    <xf numFmtId="0" fontId="23" fillId="0" borderId="1" xfId="0" applyFont="1" applyBorder="1" applyAlignment="1" applyProtection="1">
      <alignment horizontal="left" vertical="center" wrapText="1" indent="2"/>
    </xf>
    <xf numFmtId="3" fontId="33" fillId="0" borderId="1" xfId="3" applyNumberFormat="1" applyFont="1" applyBorder="1" applyAlignment="1" applyProtection="1">
      <alignment horizontal="center" vertical="center" wrapText="1"/>
    </xf>
    <xf numFmtId="0" fontId="24" fillId="0" borderId="0" xfId="0" applyFont="1" applyFill="1" applyAlignment="1" applyProtection="1">
      <alignment vertical="center"/>
    </xf>
    <xf numFmtId="0" fontId="40" fillId="0" borderId="1" xfId="0" applyFont="1" applyFill="1" applyBorder="1" applyAlignment="1" applyProtection="1">
      <alignment horizontal="center" vertical="center" wrapText="1"/>
    </xf>
    <xf numFmtId="0" fontId="40" fillId="0" borderId="1" xfId="0" applyFont="1" applyFill="1" applyBorder="1" applyAlignment="1" applyProtection="1">
      <alignment horizontal="left" vertical="center" wrapText="1" indent="2"/>
    </xf>
    <xf numFmtId="3" fontId="40" fillId="0" borderId="1" xfId="3" applyNumberFormat="1" applyFont="1" applyFill="1" applyBorder="1" applyAlignment="1" applyProtection="1">
      <alignment horizontal="center"/>
    </xf>
    <xf numFmtId="0" fontId="40" fillId="0" borderId="0" xfId="0" applyFont="1" applyFill="1" applyAlignment="1" applyProtection="1">
      <alignment vertical="center"/>
    </xf>
    <xf numFmtId="0" fontId="40" fillId="0" borderId="1" xfId="0" applyFont="1" applyBorder="1" applyAlignment="1" applyProtection="1">
      <alignment horizontal="center" vertical="center" wrapText="1"/>
    </xf>
    <xf numFmtId="0" fontId="40" fillId="0" borderId="1" xfId="0" applyFont="1" applyBorder="1" applyAlignment="1" applyProtection="1">
      <alignment horizontal="left" vertical="center" wrapText="1" indent="2"/>
    </xf>
    <xf numFmtId="0" fontId="40" fillId="0" borderId="0" xfId="0" applyFont="1" applyAlignment="1" applyProtection="1">
      <alignment vertical="center"/>
    </xf>
    <xf numFmtId="0" fontId="23" fillId="0" borderId="0" xfId="0" applyFont="1" applyBorder="1" applyProtection="1"/>
    <xf numFmtId="169" fontId="24" fillId="0" borderId="0" xfId="3" applyNumberFormat="1" applyFont="1" applyProtection="1"/>
    <xf numFmtId="0" fontId="23" fillId="0" borderId="0" xfId="0" applyFont="1" applyFill="1" applyBorder="1" applyAlignment="1" applyProtection="1">
      <alignment horizontal="right"/>
    </xf>
    <xf numFmtId="170" fontId="24" fillId="0" borderId="0" xfId="0" applyNumberFormat="1" applyFont="1" applyBorder="1" applyAlignment="1" applyProtection="1">
      <alignment wrapText="1"/>
    </xf>
    <xf numFmtId="3" fontId="40" fillId="0" borderId="1" xfId="3" applyNumberFormat="1" applyFont="1" applyBorder="1" applyAlignment="1" applyProtection="1">
      <alignment horizontal="center" vertical="center"/>
      <protection locked="0"/>
    </xf>
    <xf numFmtId="3" fontId="23" fillId="0" borderId="1" xfId="3" applyNumberFormat="1" applyFont="1" applyBorder="1" applyAlignment="1" applyProtection="1">
      <alignment horizontal="center" vertical="center"/>
      <protection locked="0"/>
    </xf>
    <xf numFmtId="3" fontId="24" fillId="0" borderId="1" xfId="3" applyNumberFormat="1" applyFont="1" applyFill="1" applyBorder="1" applyAlignment="1" applyProtection="1">
      <alignment horizontal="center" wrapText="1"/>
      <protection locked="0"/>
    </xf>
    <xf numFmtId="0" fontId="33" fillId="0" borderId="1" xfId="0" applyFont="1" applyBorder="1" applyAlignment="1" applyProtection="1">
      <alignment horizontal="center" vertical="center" wrapText="1"/>
    </xf>
    <xf numFmtId="0" fontId="33" fillId="0" borderId="1" xfId="0" applyFont="1" applyBorder="1" applyAlignment="1" applyProtection="1">
      <alignment horizontal="left" vertical="center" wrapText="1" indent="2"/>
    </xf>
    <xf numFmtId="10" fontId="33" fillId="0" borderId="1" xfId="2" applyNumberFormat="1" applyFont="1" applyFill="1" applyBorder="1" applyAlignment="1" applyProtection="1">
      <alignment horizontal="center" vertical="center"/>
    </xf>
    <xf numFmtId="0" fontId="21" fillId="0" borderId="0" xfId="5" applyNumberFormat="1" applyFont="1" applyFill="1" applyBorder="1" applyAlignment="1" applyProtection="1">
      <alignment vertical="top"/>
    </xf>
    <xf numFmtId="0" fontId="21" fillId="0" borderId="0" xfId="5" applyNumberFormat="1" applyFont="1" applyFill="1" applyBorder="1" applyAlignment="1" applyProtection="1">
      <alignment horizontal="center" vertical="center"/>
    </xf>
    <xf numFmtId="0" fontId="38" fillId="0" borderId="1" xfId="5" applyNumberFormat="1" applyFont="1" applyFill="1" applyBorder="1" applyAlignment="1" applyProtection="1">
      <alignment horizontal="left" vertical="center" wrapText="1" indent="2"/>
    </xf>
    <xf numFmtId="0" fontId="39" fillId="0" borderId="1" xfId="5" applyNumberFormat="1" applyFont="1" applyFill="1" applyBorder="1" applyAlignment="1" applyProtection="1">
      <alignment horizontal="left" vertical="center" wrapText="1" indent="2"/>
    </xf>
    <xf numFmtId="16" fontId="38" fillId="0" borderId="1" xfId="5" applyNumberFormat="1" applyFont="1" applyFill="1" applyBorder="1" applyAlignment="1" applyProtection="1">
      <alignment horizontal="left" vertical="center" wrapText="1" indent="2"/>
    </xf>
    <xf numFmtId="0" fontId="46" fillId="0" borderId="0" xfId="5" applyNumberFormat="1" applyFont="1" applyFill="1" applyBorder="1" applyAlignment="1" applyProtection="1">
      <alignment vertical="center"/>
    </xf>
    <xf numFmtId="3" fontId="24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33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33" fillId="0" borderId="1" xfId="3" applyNumberFormat="1" applyFont="1" applyFill="1" applyBorder="1" applyAlignment="1" applyProtection="1">
      <alignment horizontal="center" vertical="center" wrapText="1"/>
    </xf>
    <xf numFmtId="3" fontId="40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48" fillId="0" borderId="0" xfId="3" applyFont="1" applyFill="1" applyBorder="1" applyAlignment="1" applyProtection="1">
      <alignment vertical="center"/>
    </xf>
    <xf numFmtId="0" fontId="49" fillId="0" borderId="0" xfId="0" applyFont="1" applyBorder="1" applyProtection="1"/>
    <xf numFmtId="0" fontId="50" fillId="0" borderId="0" xfId="0" applyFont="1" applyBorder="1" applyProtection="1"/>
    <xf numFmtId="0" fontId="46" fillId="0" borderId="0" xfId="4" applyNumberFormat="1" applyFont="1" applyFill="1" applyBorder="1" applyAlignment="1" applyProtection="1">
      <alignment horizontal="center" vertical="center"/>
    </xf>
    <xf numFmtId="0" fontId="33" fillId="0" borderId="1" xfId="0" applyFont="1" applyFill="1" applyBorder="1" applyAlignment="1" applyProtection="1">
      <alignment horizontal="left" vertical="center" indent="2"/>
    </xf>
    <xf numFmtId="0" fontId="21" fillId="0" borderId="1" xfId="5" applyNumberFormat="1" applyFont="1" applyFill="1" applyBorder="1" applyAlignment="1" applyProtection="1">
      <alignment horizontal="left" vertical="center" wrapText="1" indent="2"/>
    </xf>
    <xf numFmtId="3" fontId="21" fillId="0" borderId="0" xfId="4" applyNumberFormat="1" applyFont="1" applyFill="1" applyBorder="1" applyAlignment="1" applyProtection="1">
      <alignment vertical="top"/>
    </xf>
    <xf numFmtId="3" fontId="37" fillId="5" borderId="1" xfId="4" applyNumberFormat="1" applyFont="1" applyFill="1" applyBorder="1" applyAlignment="1" applyProtection="1">
      <alignment horizontal="center" vertical="center" wrapText="1"/>
    </xf>
    <xf numFmtId="0" fontId="38" fillId="5" borderId="1" xfId="5" applyNumberFormat="1" applyFont="1" applyFill="1" applyBorder="1" applyAlignment="1" applyProtection="1">
      <alignment horizontal="left" vertical="center" wrapText="1" indent="2"/>
    </xf>
    <xf numFmtId="3" fontId="54" fillId="0" borderId="1" xfId="3" applyNumberFormat="1" applyFont="1" applyFill="1" applyBorder="1" applyAlignment="1" applyProtection="1">
      <alignment horizontal="center"/>
    </xf>
    <xf numFmtId="0" fontId="21" fillId="0" borderId="0" xfId="5" applyNumberFormat="1" applyFont="1" applyFill="1" applyBorder="1" applyAlignment="1" applyProtection="1">
      <alignment horizontal="center" vertical="top"/>
    </xf>
    <xf numFmtId="15" fontId="21" fillId="0" borderId="0" xfId="5" applyNumberFormat="1" applyFont="1" applyFill="1" applyBorder="1" applyAlignment="1" applyProtection="1">
      <alignment vertical="top"/>
    </xf>
    <xf numFmtId="0" fontId="55" fillId="0" borderId="0" xfId="0" applyFont="1" applyBorder="1" applyAlignment="1">
      <alignment horizontal="center" vertical="center"/>
    </xf>
    <xf numFmtId="170" fontId="0" fillId="0" borderId="0" xfId="0" applyNumberFormat="1" applyFont="1" applyBorder="1" applyAlignment="1">
      <alignment horizontal="left" indent="2"/>
    </xf>
    <xf numFmtId="15" fontId="40" fillId="0" borderId="0" xfId="0" applyNumberFormat="1" applyFont="1" applyBorder="1" applyAlignment="1" applyProtection="1">
      <alignment horizontal="left" wrapText="1" indent="3"/>
    </xf>
    <xf numFmtId="169" fontId="27" fillId="0" borderId="0" xfId="3" applyNumberFormat="1" applyFont="1" applyBorder="1" applyAlignment="1" applyProtection="1">
      <alignment horizontal="left" indent="2"/>
    </xf>
    <xf numFmtId="170" fontId="0" fillId="0" borderId="0" xfId="0" quotePrefix="1" applyNumberFormat="1" applyFont="1" applyBorder="1" applyAlignment="1">
      <alignment horizontal="left"/>
    </xf>
    <xf numFmtId="3" fontId="34" fillId="0" borderId="0" xfId="0" applyNumberFormat="1" applyFont="1"/>
    <xf numFmtId="3" fontId="56" fillId="0" borderId="0" xfId="0" applyNumberFormat="1" applyFont="1" applyAlignment="1">
      <alignment horizontal="center"/>
    </xf>
    <xf numFmtId="0" fontId="53" fillId="0" borderId="0" xfId="5" applyNumberFormat="1" applyFont="1" applyFill="1" applyBorder="1" applyAlignment="1" applyProtection="1">
      <alignment horizontal="center" vertical="top"/>
    </xf>
    <xf numFmtId="15" fontId="57" fillId="0" borderId="0" xfId="5" applyNumberFormat="1" applyFont="1" applyFill="1" applyBorder="1" applyAlignment="1" applyProtection="1">
      <alignment horizontal="center" vertical="center"/>
    </xf>
    <xf numFmtId="3" fontId="21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1" fillId="0" borderId="1" xfId="4" applyNumberFormat="1" applyFont="1" applyFill="1" applyBorder="1" applyAlignment="1" applyProtection="1">
      <alignment horizontal="center" vertical="top" wrapText="1"/>
      <protection locked="0"/>
    </xf>
    <xf numFmtId="3" fontId="4" fillId="0" borderId="1" xfId="0" applyNumberFormat="1" applyFont="1" applyFill="1" applyBorder="1" applyAlignment="1">
      <alignment vertical="center"/>
    </xf>
    <xf numFmtId="0" fontId="59" fillId="0" borderId="1" xfId="0" applyFont="1" applyFill="1" applyBorder="1" applyAlignment="1" applyProtection="1">
      <alignment horizontal="center" vertical="center" wrapText="1"/>
    </xf>
    <xf numFmtId="0" fontId="33" fillId="0" borderId="1" xfId="0" applyFont="1" applyBorder="1" applyAlignment="1" applyProtection="1">
      <alignment horizontal="center" wrapText="1"/>
    </xf>
    <xf numFmtId="0" fontId="9" fillId="0" borderId="0" xfId="0" applyFont="1" applyBorder="1" applyAlignment="1" applyProtection="1">
      <alignment horizontal="centerContinuous" vertical="center"/>
    </xf>
    <xf numFmtId="3" fontId="5" fillId="0" borderId="3" xfId="0" applyNumberFormat="1" applyFont="1" applyBorder="1" applyAlignment="1" applyProtection="1">
      <alignment vertical="center"/>
    </xf>
    <xf numFmtId="3" fontId="4" fillId="0" borderId="1" xfId="0" applyNumberFormat="1" applyFont="1" applyBorder="1" applyAlignment="1" applyProtection="1">
      <alignment horizontal="right"/>
      <protection locked="0"/>
    </xf>
    <xf numFmtId="0" fontId="6" fillId="0" borderId="0" xfId="0" applyFont="1" applyBorder="1" applyAlignment="1" applyProtection="1">
      <alignment horizontal="center" vertical="center" wrapText="1"/>
    </xf>
    <xf numFmtId="0" fontId="37" fillId="0" borderId="0" xfId="5" applyNumberFormat="1" applyFont="1" applyFill="1" applyBorder="1" applyAlignment="1" applyProtection="1">
      <alignment horizontal="center" vertical="center"/>
    </xf>
    <xf numFmtId="0" fontId="21" fillId="0" borderId="1" xfId="5" applyNumberFormat="1" applyFont="1" applyFill="1" applyBorder="1" applyAlignment="1" applyProtection="1">
      <alignment horizontal="center" vertical="center" wrapText="1"/>
    </xf>
    <xf numFmtId="9" fontId="4" fillId="0" borderId="1" xfId="0" applyNumberFormat="1" applyFont="1" applyBorder="1" applyAlignment="1" applyProtection="1">
      <alignment vertical="center"/>
    </xf>
    <xf numFmtId="1" fontId="12" fillId="0" borderId="1" xfId="0" applyNumberFormat="1" applyFont="1" applyBorder="1" applyAlignment="1" applyProtection="1">
      <alignment vertical="center"/>
    </xf>
    <xf numFmtId="9" fontId="12" fillId="0" borderId="1" xfId="0" applyNumberFormat="1" applyFont="1" applyBorder="1" applyAlignment="1" applyProtection="1">
      <alignment vertical="center"/>
    </xf>
    <xf numFmtId="9" fontId="4" fillId="0" borderId="1" xfId="0" applyNumberFormat="1" applyFont="1" applyBorder="1" applyProtection="1"/>
    <xf numFmtId="3" fontId="24" fillId="0" borderId="1" xfId="3" applyNumberFormat="1" applyFont="1" applyFill="1" applyBorder="1" applyAlignment="1" applyProtection="1">
      <alignment horizontal="center" vertical="center" wrapText="1"/>
    </xf>
    <xf numFmtId="0" fontId="40" fillId="0" borderId="1" xfId="0" applyFont="1" applyFill="1" applyBorder="1" applyAlignment="1" applyProtection="1">
      <alignment horizontal="left" vertical="center" wrapText="1" indent="1"/>
    </xf>
    <xf numFmtId="0" fontId="40" fillId="0" borderId="1" xfId="0" applyFont="1" applyFill="1" applyBorder="1" applyAlignment="1" applyProtection="1">
      <alignment horizontal="left" vertical="center" indent="1"/>
    </xf>
    <xf numFmtId="0" fontId="24" fillId="0" borderId="1" xfId="0" applyFont="1" applyBorder="1" applyAlignment="1" applyProtection="1">
      <alignment horizontal="left" vertical="center" wrapText="1" indent="1"/>
    </xf>
    <xf numFmtId="0" fontId="24" fillId="0" borderId="1" xfId="0" applyFont="1" applyFill="1" applyBorder="1" applyAlignment="1" applyProtection="1">
      <alignment horizontal="left" vertical="center" wrapText="1" indent="1"/>
    </xf>
    <xf numFmtId="9" fontId="37" fillId="0" borderId="0" xfId="2" applyFont="1" applyFill="1" applyBorder="1" applyAlignment="1" applyProtection="1">
      <alignment horizontal="center" vertical="center"/>
    </xf>
    <xf numFmtId="9" fontId="38" fillId="0" borderId="1" xfId="2" applyFont="1" applyFill="1" applyBorder="1" applyAlignment="1" applyProtection="1">
      <alignment horizontal="center" vertical="center" wrapText="1"/>
    </xf>
    <xf numFmtId="9" fontId="21" fillId="0" borderId="0" xfId="2" applyFont="1" applyFill="1" applyBorder="1" applyAlignment="1" applyProtection="1">
      <alignment vertical="top"/>
    </xf>
    <xf numFmtId="9" fontId="21" fillId="0" borderId="1" xfId="2" applyFont="1" applyFill="1" applyBorder="1" applyAlignment="1" applyProtection="1">
      <alignment horizontal="center" vertical="center" wrapText="1"/>
    </xf>
    <xf numFmtId="171" fontId="38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left" vertical="center" indent="2"/>
    </xf>
    <xf numFmtId="0" fontId="5" fillId="0" borderId="1" xfId="0" applyFont="1" applyFill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2"/>
    </xf>
    <xf numFmtId="0" fontId="5" fillId="0" borderId="1" xfId="0" quotePrefix="1" applyFont="1" applyBorder="1" applyAlignment="1">
      <alignment horizontal="left" vertical="center" indent="2"/>
    </xf>
    <xf numFmtId="0" fontId="8" fillId="0" borderId="1" xfId="0" quotePrefix="1" applyFont="1" applyBorder="1" applyAlignment="1">
      <alignment horizontal="left" vertical="center" indent="2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3" fontId="62" fillId="3" borderId="1" xfId="0" applyNumberFormat="1" applyFont="1" applyFill="1" applyBorder="1" applyAlignment="1" applyProtection="1">
      <alignment horizontal="center" vertical="center" wrapText="1"/>
    </xf>
    <xf numFmtId="9" fontId="62" fillId="3" borderId="1" xfId="2" applyFont="1" applyFill="1" applyBorder="1" applyAlignment="1" applyProtection="1">
      <alignment horizontal="center" vertical="center" wrapText="1"/>
    </xf>
    <xf numFmtId="3" fontId="34" fillId="3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centerContinuous" vertical="center"/>
    </xf>
    <xf numFmtId="3" fontId="21" fillId="0" borderId="1" xfId="4" applyNumberFormat="1" applyFont="1" applyFill="1" applyBorder="1" applyAlignment="1" applyProtection="1">
      <alignment horizontal="center" vertical="center" wrapText="1"/>
    </xf>
    <xf numFmtId="0" fontId="21" fillId="0" borderId="1" xfId="4" applyNumberFormat="1" applyFont="1" applyFill="1" applyBorder="1" applyAlignment="1" applyProtection="1">
      <alignment horizontal="center" vertical="center" wrapText="1"/>
    </xf>
    <xf numFmtId="0" fontId="21" fillId="0" borderId="1" xfId="4" applyNumberFormat="1" applyFont="1" applyFill="1" applyBorder="1" applyAlignment="1" applyProtection="1">
      <alignment vertical="center" wrapText="1"/>
    </xf>
    <xf numFmtId="0" fontId="21" fillId="0" borderId="0" xfId="4" applyNumberFormat="1" applyFont="1" applyFill="1" applyBorder="1" applyAlignment="1" applyProtection="1">
      <alignment vertical="center" wrapText="1"/>
    </xf>
    <xf numFmtId="0" fontId="33" fillId="0" borderId="1" xfId="0" applyFont="1" applyFill="1" applyBorder="1" applyAlignment="1" applyProtection="1">
      <alignment horizontal="left" vertical="center" wrapText="1" indent="2"/>
    </xf>
    <xf numFmtId="3" fontId="21" fillId="3" borderId="5" xfId="0" applyNumberFormat="1" applyFont="1" applyFill="1" applyBorder="1" applyAlignment="1" applyProtection="1">
      <alignment horizontal="center" vertical="center" wrapText="1"/>
    </xf>
    <xf numFmtId="3" fontId="34" fillId="0" borderId="3" xfId="0" applyNumberFormat="1" applyFont="1" applyBorder="1" applyAlignment="1" applyProtection="1">
      <alignment vertical="center"/>
    </xf>
    <xf numFmtId="3" fontId="18" fillId="3" borderId="1" xfId="0" applyNumberFormat="1" applyFont="1" applyFill="1" applyBorder="1" applyAlignment="1" applyProtection="1">
      <alignment horizontal="center" vertical="center" wrapText="1"/>
    </xf>
    <xf numFmtId="0" fontId="37" fillId="5" borderId="1" xfId="5" applyNumberFormat="1" applyFont="1" applyFill="1" applyBorder="1" applyAlignment="1" applyProtection="1">
      <alignment horizontal="left" vertical="center" wrapText="1" indent="2"/>
    </xf>
    <xf numFmtId="0" fontId="52" fillId="5" borderId="1" xfId="5" applyNumberFormat="1" applyFont="1" applyFill="1" applyBorder="1" applyAlignment="1" applyProtection="1">
      <alignment horizontal="left" vertical="center" wrapText="1" indent="4"/>
    </xf>
    <xf numFmtId="0" fontId="38" fillId="5" borderId="1" xfId="5" applyNumberFormat="1" applyFont="1" applyFill="1" applyBorder="1" applyAlignment="1" applyProtection="1">
      <alignment horizontal="left" vertical="center" wrapText="1" indent="1"/>
    </xf>
    <xf numFmtId="0" fontId="38" fillId="0" borderId="1" xfId="5" applyNumberFormat="1" applyFont="1" applyFill="1" applyBorder="1" applyAlignment="1" applyProtection="1">
      <alignment horizontal="left" vertical="center" wrapText="1" indent="1"/>
    </xf>
    <xf numFmtId="3" fontId="34" fillId="0" borderId="1" xfId="0" applyNumberFormat="1" applyFont="1" applyFill="1" applyBorder="1" applyAlignment="1">
      <alignment horizontal="center" vertical="center" wrapText="1"/>
    </xf>
    <xf numFmtId="0" fontId="65" fillId="0" borderId="0" xfId="0" applyFont="1" applyProtection="1"/>
    <xf numFmtId="166" fontId="65" fillId="0" borderId="0" xfId="3" applyFont="1" applyBorder="1" applyProtection="1"/>
    <xf numFmtId="0" fontId="65" fillId="0" borderId="0" xfId="0" applyFont="1" applyAlignment="1" applyProtection="1">
      <alignment vertical="center"/>
    </xf>
    <xf numFmtId="166" fontId="65" fillId="0" borderId="0" xfId="3" applyFont="1" applyBorder="1" applyAlignment="1" applyProtection="1">
      <alignment vertical="center"/>
    </xf>
    <xf numFmtId="0" fontId="48" fillId="0" borderId="0" xfId="0" applyFont="1" applyFill="1" applyAlignment="1" applyProtection="1">
      <alignment vertical="center"/>
    </xf>
    <xf numFmtId="3" fontId="66" fillId="0" borderId="0" xfId="0" applyNumberFormat="1" applyFont="1" applyProtection="1"/>
    <xf numFmtId="166" fontId="66" fillId="0" borderId="0" xfId="3" applyFont="1" applyBorder="1" applyProtection="1"/>
    <xf numFmtId="0" fontId="66" fillId="0" borderId="0" xfId="0" applyFont="1" applyProtection="1"/>
    <xf numFmtId="0" fontId="66" fillId="0" borderId="0" xfId="0" applyFont="1" applyAlignment="1" applyProtection="1">
      <alignment vertical="center"/>
    </xf>
    <xf numFmtId="166" fontId="66" fillId="0" borderId="0" xfId="3" applyFont="1" applyBorder="1" applyAlignment="1" applyProtection="1">
      <alignment vertical="center"/>
    </xf>
    <xf numFmtId="169" fontId="66" fillId="0" borderId="0" xfId="3" applyNumberFormat="1" applyFont="1" applyAlignment="1" applyProtection="1">
      <alignment vertical="center"/>
    </xf>
    <xf numFmtId="3" fontId="65" fillId="0" borderId="0" xfId="0" applyNumberFormat="1" applyFont="1" applyAlignment="1" applyProtection="1">
      <alignment vertical="center"/>
    </xf>
    <xf numFmtId="0" fontId="65" fillId="0" borderId="0" xfId="0" applyFont="1" applyFill="1" applyAlignment="1" applyProtection="1">
      <alignment vertical="center"/>
    </xf>
    <xf numFmtId="166" fontId="65" fillId="0" borderId="0" xfId="3" applyFont="1" applyFill="1" applyBorder="1" applyAlignment="1" applyProtection="1">
      <alignment vertical="center"/>
    </xf>
    <xf numFmtId="3" fontId="65" fillId="0" borderId="0" xfId="0" applyNumberFormat="1" applyFont="1" applyFill="1" applyAlignment="1" applyProtection="1">
      <alignment vertical="center"/>
    </xf>
    <xf numFmtId="0" fontId="67" fillId="0" borderId="0" xfId="0" applyFont="1" applyFill="1" applyAlignment="1" applyProtection="1">
      <alignment vertical="center"/>
    </xf>
    <xf numFmtId="166" fontId="67" fillId="0" borderId="0" xfId="3" applyFont="1" applyFill="1" applyBorder="1" applyAlignment="1" applyProtection="1">
      <alignment vertical="center"/>
    </xf>
    <xf numFmtId="3" fontId="67" fillId="0" borderId="0" xfId="0" applyNumberFormat="1" applyFont="1" applyFill="1" applyAlignment="1" applyProtection="1">
      <alignment vertical="center"/>
    </xf>
    <xf numFmtId="0" fontId="67" fillId="0" borderId="0" xfId="0" applyFont="1" applyAlignment="1" applyProtection="1">
      <alignment vertical="center"/>
    </xf>
    <xf numFmtId="166" fontId="67" fillId="0" borderId="0" xfId="3" applyFont="1" applyBorder="1" applyAlignment="1" applyProtection="1">
      <alignment vertical="center"/>
    </xf>
    <xf numFmtId="0" fontId="68" fillId="0" borderId="0" xfId="0" applyFont="1"/>
    <xf numFmtId="0" fontId="68" fillId="0" borderId="0" xfId="0" applyFont="1" applyAlignment="1">
      <alignment vertical="center"/>
    </xf>
    <xf numFmtId="3" fontId="68" fillId="0" borderId="0" xfId="0" applyNumberFormat="1" applyFont="1" applyAlignment="1">
      <alignment vertical="center"/>
    </xf>
    <xf numFmtId="0" fontId="21" fillId="0" borderId="0" xfId="0" applyFont="1"/>
    <xf numFmtId="0" fontId="69" fillId="0" borderId="0" xfId="0" applyFont="1"/>
    <xf numFmtId="0" fontId="61" fillId="0" borderId="0" xfId="0" applyFont="1"/>
    <xf numFmtId="49" fontId="37" fillId="6" borderId="1" xfId="4" applyNumberFormat="1" applyFont="1" applyFill="1" applyBorder="1" applyAlignment="1" applyProtection="1">
      <alignment horizontal="center" vertical="center" wrapText="1"/>
    </xf>
    <xf numFmtId="0" fontId="37" fillId="6" borderId="1" xfId="4" applyNumberFormat="1" applyFont="1" applyFill="1" applyBorder="1" applyAlignment="1" applyProtection="1">
      <alignment horizontal="center" vertical="center" wrapText="1"/>
    </xf>
    <xf numFmtId="3" fontId="37" fillId="6" borderId="1" xfId="4" applyNumberFormat="1" applyFont="1" applyFill="1" applyBorder="1" applyAlignment="1" applyProtection="1">
      <alignment horizontal="center" vertical="center" wrapText="1"/>
    </xf>
    <xf numFmtId="49" fontId="21" fillId="6" borderId="1" xfId="4" applyNumberFormat="1" applyFont="1" applyFill="1" applyBorder="1" applyAlignment="1" applyProtection="1">
      <alignment horizontal="center" vertical="center" wrapText="1"/>
    </xf>
    <xf numFmtId="0" fontId="18" fillId="6" borderId="1" xfId="4" applyNumberFormat="1" applyFont="1" applyFill="1" applyBorder="1" applyAlignment="1" applyProtection="1">
      <alignment horizontal="center" vertical="center" wrapText="1"/>
    </xf>
    <xf numFmtId="3" fontId="21" fillId="6" borderId="1" xfId="4" applyNumberFormat="1" applyFont="1" applyFill="1" applyBorder="1" applyAlignment="1" applyProtection="1">
      <alignment horizontal="center" vertical="center" wrapText="1"/>
    </xf>
    <xf numFmtId="3" fontId="17" fillId="3" borderId="1" xfId="0" applyNumberFormat="1" applyFont="1" applyFill="1" applyBorder="1" applyProtection="1"/>
    <xf numFmtId="3" fontId="17" fillId="0" borderId="1" xfId="0" applyNumberFormat="1" applyFont="1" applyBorder="1" applyAlignment="1" applyProtection="1">
      <alignment vertical="center"/>
    </xf>
    <xf numFmtId="3" fontId="17" fillId="0" borderId="1" xfId="0" applyNumberFormat="1" applyFont="1" applyBorder="1" applyAlignment="1" applyProtection="1">
      <alignment vertical="center"/>
      <protection locked="0"/>
    </xf>
    <xf numFmtId="3" fontId="17" fillId="3" borderId="1" xfId="0" applyNumberFormat="1" applyFont="1" applyFill="1" applyBorder="1" applyAlignment="1" applyProtection="1">
      <alignment vertical="center"/>
    </xf>
    <xf numFmtId="3" fontId="17" fillId="3" borderId="1" xfId="0" applyNumberFormat="1" applyFont="1" applyFill="1" applyBorder="1" applyAlignment="1" applyProtection="1">
      <alignment vertical="center"/>
      <protection locked="0"/>
    </xf>
    <xf numFmtId="3" fontId="17" fillId="3" borderId="1" xfId="0" applyNumberFormat="1" applyFont="1" applyFill="1" applyBorder="1" applyAlignment="1" applyProtection="1">
      <alignment horizontal="center" vertical="center" textRotation="90" wrapText="1"/>
    </xf>
    <xf numFmtId="0" fontId="72" fillId="0" borderId="0" xfId="0" applyFont="1" applyAlignment="1" applyProtection="1">
      <alignment vertical="center"/>
    </xf>
    <xf numFmtId="3" fontId="40" fillId="0" borderId="1" xfId="3" applyNumberFormat="1" applyFont="1" applyFill="1" applyBorder="1" applyAlignment="1" applyProtection="1">
      <alignment horizontal="center"/>
      <protection locked="0"/>
    </xf>
    <xf numFmtId="166" fontId="72" fillId="0" borderId="0" xfId="3" applyFont="1" applyBorder="1" applyAlignment="1" applyProtection="1">
      <alignment vertical="center"/>
    </xf>
    <xf numFmtId="3" fontId="72" fillId="0" borderId="1" xfId="3" applyNumberFormat="1" applyFont="1" applyFill="1" applyBorder="1" applyAlignment="1" applyProtection="1">
      <alignment horizontal="center"/>
    </xf>
    <xf numFmtId="3" fontId="47" fillId="0" borderId="0" xfId="0" applyNumberFormat="1" applyFont="1" applyBorder="1" applyAlignment="1">
      <alignment horizontal="center"/>
    </xf>
    <xf numFmtId="0" fontId="53" fillId="0" borderId="0" xfId="4" applyNumberFormat="1" applyFont="1" applyFill="1" applyBorder="1" applyAlignment="1" applyProtection="1">
      <alignment horizontal="center" vertical="center"/>
    </xf>
    <xf numFmtId="3" fontId="51" fillId="3" borderId="5" xfId="0" applyNumberFormat="1" applyFont="1" applyFill="1" applyBorder="1" applyAlignment="1" applyProtection="1">
      <alignment horizontal="center" vertical="center" wrapText="1"/>
    </xf>
    <xf numFmtId="3" fontId="12" fillId="0" borderId="10" xfId="0" applyNumberFormat="1" applyFont="1" applyBorder="1"/>
    <xf numFmtId="3" fontId="12" fillId="0" borderId="0" xfId="0" applyNumberFormat="1" applyFont="1" applyBorder="1"/>
    <xf numFmtId="3" fontId="6" fillId="0" borderId="0" xfId="0" applyNumberFormat="1" applyFont="1" applyBorder="1"/>
    <xf numFmtId="170" fontId="16" fillId="0" borderId="10" xfId="0" applyNumberFormat="1" applyFont="1" applyBorder="1" applyAlignment="1">
      <alignment horizontal="centerContinuous"/>
    </xf>
    <xf numFmtId="0" fontId="43" fillId="0" borderId="0" xfId="0" applyFont="1" applyBorder="1"/>
    <xf numFmtId="3" fontId="75" fillId="0" borderId="0" xfId="0" applyNumberFormat="1" applyFont="1" applyBorder="1" applyAlignment="1">
      <alignment horizontal="centerContinuous"/>
    </xf>
    <xf numFmtId="3" fontId="76" fillId="0" borderId="0" xfId="0" applyNumberFormat="1" applyFont="1" applyBorder="1" applyAlignment="1">
      <alignment horizontal="centerContinuous"/>
    </xf>
    <xf numFmtId="0" fontId="76" fillId="0" borderId="0" xfId="0" applyFont="1" applyBorder="1"/>
    <xf numFmtId="3" fontId="75" fillId="0" borderId="0" xfId="0" applyNumberFormat="1" applyFont="1" applyBorder="1" applyAlignment="1">
      <alignment horizontal="center"/>
    </xf>
    <xf numFmtId="0" fontId="77" fillId="0" borderId="0" xfId="0" applyFont="1"/>
    <xf numFmtId="0" fontId="76" fillId="0" borderId="0" xfId="0" applyFont="1"/>
    <xf numFmtId="0" fontId="78" fillId="0" borderId="0" xfId="4" applyNumberFormat="1" applyFont="1" applyFill="1" applyBorder="1" applyAlignment="1" applyProtection="1">
      <alignment horizontal="right" vertical="top" indent="2"/>
    </xf>
    <xf numFmtId="0" fontId="79" fillId="0" borderId="0" xfId="4" applyNumberFormat="1" applyFont="1" applyFill="1" applyBorder="1" applyAlignment="1" applyProtection="1">
      <alignment vertical="top"/>
    </xf>
    <xf numFmtId="3" fontId="79" fillId="0" borderId="0" xfId="4" applyNumberFormat="1" applyFont="1" applyFill="1" applyBorder="1" applyAlignment="1" applyProtection="1">
      <alignment vertical="top"/>
    </xf>
    <xf numFmtId="0" fontId="80" fillId="5" borderId="1" xfId="5" applyNumberFormat="1" applyFont="1" applyFill="1" applyBorder="1" applyAlignment="1" applyProtection="1">
      <alignment horizontal="center" vertical="center" wrapText="1"/>
    </xf>
    <xf numFmtId="0" fontId="80" fillId="5" borderId="1" xfId="5" applyNumberFormat="1" applyFont="1" applyFill="1" applyBorder="1" applyAlignment="1" applyProtection="1">
      <alignment horizontal="left" vertical="center" wrapText="1" indent="2"/>
    </xf>
    <xf numFmtId="9" fontId="63" fillId="5" borderId="1" xfId="2" applyFont="1" applyFill="1" applyBorder="1" applyAlignment="1" applyProtection="1">
      <alignment horizontal="center" vertical="center" wrapText="1"/>
      <protection locked="0"/>
    </xf>
    <xf numFmtId="0" fontId="63" fillId="0" borderId="0" xfId="5" applyNumberFormat="1" applyFont="1" applyFill="1" applyBorder="1" applyAlignment="1" applyProtection="1">
      <alignment horizontal="center" vertical="center"/>
    </xf>
    <xf numFmtId="0" fontId="63" fillId="0" borderId="0" xfId="5" applyNumberFormat="1" applyFont="1" applyFill="1" applyBorder="1" applyAlignment="1" applyProtection="1">
      <alignment vertical="center"/>
    </xf>
    <xf numFmtId="0" fontId="81" fillId="5" borderId="1" xfId="5" applyNumberFormat="1" applyFont="1" applyFill="1" applyBorder="1" applyAlignment="1" applyProtection="1">
      <alignment horizontal="left" vertical="center" wrapText="1" indent="1"/>
    </xf>
    <xf numFmtId="172" fontId="21" fillId="0" borderId="1" xfId="5" applyNumberFormat="1" applyFont="1" applyFill="1" applyBorder="1" applyAlignment="1" applyProtection="1">
      <alignment horizontal="center" vertical="center" wrapText="1"/>
    </xf>
    <xf numFmtId="172" fontId="21" fillId="0" borderId="1" xfId="5" applyNumberFormat="1" applyFont="1" applyFill="1" applyBorder="1" applyAlignment="1" applyProtection="1">
      <alignment horizontal="center" vertical="center" wrapText="1"/>
      <protection locked="0"/>
    </xf>
    <xf numFmtId="172" fontId="18" fillId="0" borderId="1" xfId="5" applyNumberFormat="1" applyFont="1" applyFill="1" applyBorder="1" applyAlignment="1" applyProtection="1">
      <alignment horizontal="center" vertical="center" wrapText="1"/>
    </xf>
    <xf numFmtId="171" fontId="37" fillId="0" borderId="1" xfId="2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9" fontId="12" fillId="0" borderId="1" xfId="2" applyFont="1" applyBorder="1" applyAlignment="1" applyProtection="1">
      <alignment horizontal="right" vertical="center"/>
      <protection locked="0"/>
    </xf>
    <xf numFmtId="9" fontId="17" fillId="0" borderId="1" xfId="2" applyFont="1" applyBorder="1" applyAlignment="1" applyProtection="1">
      <alignment vertical="center"/>
      <protection locked="0"/>
    </xf>
    <xf numFmtId="9" fontId="17" fillId="3" borderId="1" xfId="2" applyFont="1" applyFill="1" applyBorder="1" applyAlignment="1" applyProtection="1">
      <alignment vertical="center"/>
      <protection locked="0"/>
    </xf>
    <xf numFmtId="9" fontId="17" fillId="3" borderId="1" xfId="2" applyFont="1" applyFill="1" applyBorder="1" applyAlignment="1" applyProtection="1">
      <alignment vertical="center"/>
    </xf>
    <xf numFmtId="9" fontId="17" fillId="0" borderId="1" xfId="2" applyFont="1" applyBorder="1" applyAlignment="1" applyProtection="1">
      <alignment vertical="center"/>
    </xf>
    <xf numFmtId="3" fontId="82" fillId="0" borderId="0" xfId="4" applyNumberFormat="1" applyFont="1" applyFill="1" applyBorder="1" applyAlignment="1" applyProtection="1">
      <alignment vertical="top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3" fontId="25" fillId="5" borderId="1" xfId="7" applyNumberFormat="1" applyFont="1" applyFill="1" applyBorder="1" applyAlignment="1" applyProtection="1">
      <alignment horizontal="center" vertical="center" wrapText="1"/>
      <protection locked="0"/>
    </xf>
    <xf numFmtId="172" fontId="22" fillId="5" borderId="1" xfId="7" applyNumberFormat="1" applyFont="1" applyFill="1" applyBorder="1" applyAlignment="1" applyProtection="1">
      <alignment horizontal="center" vertical="center" wrapText="1"/>
    </xf>
    <xf numFmtId="171" fontId="22" fillId="5" borderId="1" xfId="2" applyNumberFormat="1" applyFont="1" applyFill="1" applyBorder="1" applyAlignment="1" applyProtection="1">
      <alignment horizontal="center" vertical="center" wrapText="1"/>
    </xf>
    <xf numFmtId="3" fontId="21" fillId="3" borderId="5" xfId="0" applyNumberFormat="1" applyFont="1" applyFill="1" applyBorder="1" applyAlignment="1" applyProtection="1">
      <alignment horizontal="center" vertical="center" wrapText="1"/>
    </xf>
    <xf numFmtId="0" fontId="83" fillId="0" borderId="0" xfId="5" applyNumberFormat="1" applyFont="1" applyFill="1" applyBorder="1" applyAlignment="1" applyProtection="1">
      <alignment horizontal="center" vertical="top"/>
    </xf>
    <xf numFmtId="0" fontId="83" fillId="0" borderId="0" xfId="5" applyNumberFormat="1" applyFont="1" applyFill="1" applyBorder="1" applyAlignment="1" applyProtection="1">
      <alignment vertical="top"/>
    </xf>
    <xf numFmtId="172" fontId="83" fillId="0" borderId="0" xfId="5" applyNumberFormat="1" applyFont="1" applyFill="1" applyBorder="1" applyAlignment="1" applyProtection="1">
      <alignment horizontal="center" vertical="top"/>
    </xf>
    <xf numFmtId="3" fontId="83" fillId="0" borderId="0" xfId="5" applyNumberFormat="1" applyFont="1" applyFill="1" applyBorder="1" applyAlignment="1" applyProtection="1">
      <alignment horizontal="center" vertical="top"/>
    </xf>
    <xf numFmtId="169" fontId="21" fillId="0" borderId="0" xfId="3" applyNumberFormat="1" applyFont="1" applyFill="1" applyBorder="1" applyAlignment="1" applyProtection="1">
      <alignment vertical="top"/>
    </xf>
    <xf numFmtId="169" fontId="83" fillId="0" borderId="0" xfId="3" applyNumberFormat="1" applyFont="1" applyFill="1" applyBorder="1" applyAlignment="1" applyProtection="1">
      <alignment horizontal="center" vertical="top"/>
    </xf>
    <xf numFmtId="0" fontId="12" fillId="0" borderId="0" xfId="0" applyFont="1" applyProtection="1"/>
    <xf numFmtId="169" fontId="83" fillId="0" borderId="0" xfId="3" applyNumberFormat="1" applyFont="1" applyFill="1" applyBorder="1" applyAlignment="1" applyProtection="1">
      <alignment vertical="top"/>
    </xf>
    <xf numFmtId="3" fontId="25" fillId="5" borderId="1" xfId="7" applyNumberFormat="1" applyFont="1" applyFill="1" applyBorder="1" applyAlignment="1" applyProtection="1">
      <alignment horizontal="center" vertical="center" wrapText="1"/>
    </xf>
    <xf numFmtId="3" fontId="84" fillId="0" borderId="0" xfId="5" applyNumberFormat="1" applyFont="1" applyFill="1" applyBorder="1" applyAlignment="1" applyProtection="1">
      <alignment horizontal="center" vertical="center"/>
    </xf>
    <xf numFmtId="3" fontId="85" fillId="0" borderId="0" xfId="5" applyNumberFormat="1" applyFont="1" applyFill="1" applyBorder="1" applyAlignment="1" applyProtection="1">
      <alignment horizontal="center" vertical="center"/>
    </xf>
    <xf numFmtId="3" fontId="13" fillId="0" borderId="1" xfId="3" applyNumberFormat="1" applyFont="1" applyFill="1" applyBorder="1" applyAlignment="1" applyProtection="1">
      <alignment horizontal="center" vertical="center" wrapText="1"/>
    </xf>
    <xf numFmtId="3" fontId="86" fillId="0" borderId="0" xfId="0" applyNumberFormat="1" applyFont="1" applyBorder="1" applyAlignment="1">
      <alignment horizontal="center" vertical="center"/>
    </xf>
    <xf numFmtId="0" fontId="69" fillId="0" borderId="0" xfId="0" applyFont="1" applyFill="1"/>
    <xf numFmtId="0" fontId="0" fillId="0" borderId="0" xfId="0" applyFill="1"/>
    <xf numFmtId="0" fontId="4" fillId="0" borderId="0" xfId="0" applyFont="1" applyFill="1" applyAlignment="1">
      <alignment vertical="center"/>
    </xf>
    <xf numFmtId="49" fontId="21" fillId="0" borderId="1" xfId="4" applyNumberFormat="1" applyFont="1" applyFill="1" applyBorder="1" applyAlignment="1" applyProtection="1">
      <alignment horizontal="center" vertical="center" wrapText="1"/>
    </xf>
    <xf numFmtId="0" fontId="21" fillId="0" borderId="0" xfId="0" applyFont="1" applyFill="1"/>
    <xf numFmtId="0" fontId="42" fillId="0" borderId="0" xfId="0" applyFont="1" applyFill="1"/>
    <xf numFmtId="0" fontId="72" fillId="20" borderId="1" xfId="0" applyFont="1" applyFill="1" applyBorder="1" applyAlignment="1" applyProtection="1">
      <alignment horizontal="left" vertical="center" wrapText="1" indent="1"/>
    </xf>
    <xf numFmtId="0" fontId="46" fillId="0" borderId="0" xfId="9" applyNumberFormat="1" applyFont="1" applyFill="1" applyBorder="1" applyAlignment="1" applyProtection="1">
      <alignment vertical="top"/>
    </xf>
    <xf numFmtId="9" fontId="46" fillId="0" borderId="0" xfId="10" applyFont="1" applyFill="1" applyBorder="1" applyAlignment="1" applyProtection="1">
      <alignment vertical="top"/>
    </xf>
    <xf numFmtId="0" fontId="46" fillId="0" borderId="0" xfId="9" applyNumberFormat="1" applyFont="1" applyFill="1" applyBorder="1" applyAlignment="1" applyProtection="1">
      <alignment vertical="center"/>
    </xf>
    <xf numFmtId="0" fontId="45" fillId="0" borderId="9" xfId="9" applyNumberFormat="1" applyFont="1" applyFill="1" applyBorder="1" applyAlignment="1" applyProtection="1">
      <alignment vertical="center"/>
    </xf>
    <xf numFmtId="0" fontId="46" fillId="0" borderId="0" xfId="9" applyNumberFormat="1" applyFont="1" applyFill="1" applyBorder="1" applyAlignment="1" applyProtection="1">
      <alignment horizontal="center" vertical="center"/>
    </xf>
    <xf numFmtId="0" fontId="78" fillId="5" borderId="1" xfId="9" applyNumberFormat="1" applyFont="1" applyFill="1" applyBorder="1" applyAlignment="1" applyProtection="1">
      <alignment horizontal="left" vertical="center" wrapText="1" indent="2"/>
    </xf>
    <xf numFmtId="0" fontId="45" fillId="5" borderId="1" xfId="9" applyNumberFormat="1" applyFont="1" applyFill="1" applyBorder="1" applyAlignment="1" applyProtection="1">
      <alignment horizontal="left" vertical="center" wrapText="1" indent="2"/>
    </xf>
    <xf numFmtId="3" fontId="53" fillId="0" borderId="1" xfId="9" applyNumberFormat="1" applyFont="1" applyFill="1" applyBorder="1" applyAlignment="1" applyProtection="1">
      <alignment horizontal="center" vertical="center" wrapText="1"/>
    </xf>
    <xf numFmtId="171" fontId="45" fillId="0" borderId="1" xfId="10" applyNumberFormat="1" applyFont="1" applyFill="1" applyBorder="1" applyAlignment="1" applyProtection="1">
      <alignment horizontal="center" vertical="center" wrapText="1"/>
    </xf>
    <xf numFmtId="0" fontId="78" fillId="21" borderId="1" xfId="9" applyNumberFormat="1" applyFont="1" applyFill="1" applyBorder="1" applyAlignment="1" applyProtection="1">
      <alignment horizontal="center" vertical="center" wrapText="1"/>
    </xf>
    <xf numFmtId="0" fontId="78" fillId="21" borderId="1" xfId="9" applyNumberFormat="1" applyFont="1" applyFill="1" applyBorder="1" applyAlignment="1" applyProtection="1">
      <alignment horizontal="left" vertical="center" wrapText="1" indent="1"/>
    </xf>
    <xf numFmtId="171" fontId="78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88" fillId="0" borderId="1" xfId="9" applyNumberFormat="1" applyFont="1" applyFill="1" applyBorder="1" applyAlignment="1" applyProtection="1">
      <alignment horizontal="center" vertical="center" wrapText="1"/>
    </xf>
    <xf numFmtId="0" fontId="88" fillId="5" borderId="1" xfId="9" applyNumberFormat="1" applyFont="1" applyFill="1" applyBorder="1" applyAlignment="1" applyProtection="1">
      <alignment horizontal="left" vertical="center" wrapText="1" indent="1"/>
    </xf>
    <xf numFmtId="0" fontId="89" fillId="0" borderId="0" xfId="9" applyNumberFormat="1" applyFont="1" applyFill="1" applyBorder="1" applyAlignment="1" applyProtection="1">
      <alignment horizontal="center" vertical="center"/>
    </xf>
    <xf numFmtId="0" fontId="78" fillId="0" borderId="1" xfId="9" applyNumberFormat="1" applyFont="1" applyFill="1" applyBorder="1" applyAlignment="1" applyProtection="1">
      <alignment horizontal="center" vertical="center" wrapText="1"/>
    </xf>
    <xf numFmtId="0" fontId="78" fillId="0" borderId="1" xfId="9" applyNumberFormat="1" applyFont="1" applyFill="1" applyBorder="1" applyAlignment="1" applyProtection="1">
      <alignment horizontal="left" vertical="center" wrapText="1" indent="1"/>
    </xf>
    <xf numFmtId="3" fontId="4" fillId="0" borderId="1" xfId="0" applyNumberFormat="1" applyFont="1" applyFill="1" applyBorder="1" applyAlignment="1">
      <alignment horizontal="left" vertical="center" wrapText="1"/>
    </xf>
    <xf numFmtId="0" fontId="40" fillId="20" borderId="1" xfId="0" applyFont="1" applyFill="1" applyBorder="1" applyAlignment="1" applyProtection="1">
      <alignment horizontal="left" vertical="center" wrapText="1" indent="1"/>
    </xf>
    <xf numFmtId="3" fontId="9" fillId="0" borderId="3" xfId="0" applyNumberFormat="1" applyFont="1" applyBorder="1" applyAlignment="1" applyProtection="1">
      <alignment vertical="center"/>
      <protection locked="0"/>
    </xf>
    <xf numFmtId="3" fontId="9" fillId="0" borderId="3" xfId="0" applyNumberFormat="1" applyFont="1" applyBorder="1" applyAlignment="1" applyProtection="1">
      <alignment vertical="center"/>
    </xf>
    <xf numFmtId="0" fontId="53" fillId="0" borderId="0" xfId="9" applyNumberFormat="1" applyFont="1" applyFill="1" applyBorder="1" applyAlignment="1" applyProtection="1">
      <alignment horizontal="center" vertical="center"/>
    </xf>
    <xf numFmtId="0" fontId="78" fillId="0" borderId="0" xfId="9" applyNumberFormat="1" applyFont="1" applyFill="1" applyBorder="1" applyAlignment="1" applyProtection="1">
      <alignment horizontal="center" vertical="center" wrapText="1"/>
    </xf>
    <xf numFmtId="0" fontId="78" fillId="0" borderId="0" xfId="9" applyNumberFormat="1" applyFont="1" applyFill="1" applyBorder="1" applyAlignment="1" applyProtection="1">
      <alignment horizontal="left" vertical="center" wrapText="1" indent="1"/>
    </xf>
    <xf numFmtId="172" fontId="46" fillId="0" borderId="0" xfId="9" applyNumberFormat="1" applyFont="1" applyFill="1" applyBorder="1" applyAlignment="1" applyProtection="1">
      <alignment horizontal="center" vertical="center" wrapText="1"/>
    </xf>
    <xf numFmtId="0" fontId="21" fillId="0" borderId="0" xfId="9" applyNumberFormat="1" applyFont="1" applyFill="1" applyBorder="1" applyAlignment="1" applyProtection="1">
      <alignment horizontal="center" vertical="top"/>
    </xf>
    <xf numFmtId="0" fontId="21" fillId="0" borderId="0" xfId="9" applyNumberFormat="1" applyFont="1" applyFill="1" applyBorder="1" applyAlignment="1" applyProtection="1">
      <alignment vertical="top"/>
    </xf>
    <xf numFmtId="0" fontId="6" fillId="0" borderId="0" xfId="0" applyFont="1" applyBorder="1" applyAlignment="1" applyProtection="1">
      <alignment horizontal="center" vertical="center" wrapText="1"/>
    </xf>
    <xf numFmtId="3" fontId="21" fillId="3" borderId="5" xfId="0" applyNumberFormat="1" applyFont="1" applyFill="1" applyBorder="1" applyAlignment="1" applyProtection="1">
      <alignment horizontal="center" vertical="center" wrapText="1"/>
    </xf>
    <xf numFmtId="3" fontId="63" fillId="3" borderId="5" xfId="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" xfId="0" applyNumberFormat="1" applyFont="1" applyFill="1" applyBorder="1" applyAlignment="1" applyProtection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0" fontId="68" fillId="0" borderId="0" xfId="0" applyFont="1" applyFill="1" applyAlignment="1">
      <alignment vertical="center"/>
    </xf>
    <xf numFmtId="0" fontId="78" fillId="5" borderId="1" xfId="9" applyNumberFormat="1" applyFont="1" applyFill="1" applyBorder="1" applyAlignment="1" applyProtection="1">
      <alignment horizontal="left" vertical="center" wrapText="1" indent="1"/>
    </xf>
    <xf numFmtId="3" fontId="46" fillId="0" borderId="1" xfId="9" applyNumberFormat="1" applyFont="1" applyFill="1" applyBorder="1" applyAlignment="1" applyProtection="1">
      <alignment horizontal="center" vertical="center" wrapText="1"/>
    </xf>
    <xf numFmtId="3" fontId="46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53" fillId="21" borderId="1" xfId="9" applyNumberFormat="1" applyFont="1" applyFill="1" applyBorder="1" applyAlignment="1" applyProtection="1">
      <alignment horizontal="center" vertical="center" wrapText="1"/>
    </xf>
    <xf numFmtId="171" fontId="45" fillId="21" borderId="1" xfId="10" applyNumberFormat="1" applyFont="1" applyFill="1" applyBorder="1" applyAlignment="1" applyProtection="1">
      <alignment horizontal="center" vertical="center" wrapText="1"/>
    </xf>
    <xf numFmtId="171" fontId="78" fillId="0" borderId="0" xfId="10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vertical="center"/>
    </xf>
    <xf numFmtId="0" fontId="6" fillId="0" borderId="0" xfId="0" applyFont="1" applyBorder="1" applyProtection="1"/>
    <xf numFmtId="0" fontId="12" fillId="0" borderId="0" xfId="0" applyFont="1" applyAlignment="1" applyProtection="1">
      <alignment vertical="center"/>
      <protection locked="0"/>
    </xf>
    <xf numFmtId="0" fontId="6" fillId="0" borderId="0" xfId="0" applyFont="1" applyBorder="1" applyProtection="1">
      <protection locked="0"/>
    </xf>
    <xf numFmtId="0" fontId="12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 wrapText="1"/>
    </xf>
    <xf numFmtId="170" fontId="0" fillId="0" borderId="0" xfId="0" applyNumberFormat="1" applyFont="1" applyBorder="1" applyAlignment="1" applyProtection="1">
      <alignment horizontal="left" indent="2"/>
    </xf>
    <xf numFmtId="3" fontId="5" fillId="2" borderId="3" xfId="0" applyNumberFormat="1" applyFont="1" applyFill="1" applyBorder="1" applyAlignment="1" applyProtection="1">
      <alignment vertical="center"/>
    </xf>
    <xf numFmtId="3" fontId="5" fillId="0" borderId="3" xfId="0" applyNumberFormat="1" applyFont="1" applyFill="1" applyBorder="1" applyAlignment="1" applyProtection="1">
      <alignment vertical="center"/>
    </xf>
    <xf numFmtId="0" fontId="111" fillId="0" borderId="0" xfId="9" applyNumberFormat="1" applyFont="1" applyFill="1" applyBorder="1" applyAlignment="1" applyProtection="1">
      <alignment vertical="top"/>
    </xf>
    <xf numFmtId="0" fontId="111" fillId="0" borderId="0" xfId="9" applyNumberFormat="1" applyFont="1" applyFill="1" applyBorder="1" applyAlignment="1" applyProtection="1">
      <alignment vertical="center"/>
    </xf>
    <xf numFmtId="0" fontId="111" fillId="0" borderId="0" xfId="9" applyNumberFormat="1" applyFont="1" applyFill="1" applyBorder="1" applyAlignment="1" applyProtection="1">
      <alignment horizontal="center" vertical="center"/>
    </xf>
    <xf numFmtId="3" fontId="111" fillId="3" borderId="1" xfId="0" applyNumberFormat="1" applyFont="1" applyFill="1" applyBorder="1" applyAlignment="1" applyProtection="1">
      <alignment horizontal="center" vertical="center" wrapText="1"/>
    </xf>
    <xf numFmtId="3" fontId="111" fillId="0" borderId="0" xfId="9" applyNumberFormat="1" applyFont="1" applyFill="1" applyBorder="1" applyAlignment="1" applyProtection="1">
      <alignment horizontal="center" vertical="center"/>
    </xf>
    <xf numFmtId="0" fontId="112" fillId="0" borderId="0" xfId="9" applyNumberFormat="1" applyFont="1" applyFill="1" applyBorder="1" applyAlignment="1" applyProtection="1">
      <alignment horizontal="center" vertical="center"/>
    </xf>
    <xf numFmtId="0" fontId="113" fillId="0" borderId="0" xfId="9" applyNumberFormat="1" applyFont="1" applyFill="1" applyBorder="1" applyAlignment="1" applyProtection="1">
      <alignment horizontal="center" vertical="center"/>
    </xf>
    <xf numFmtId="0" fontId="87" fillId="0" borderId="0" xfId="0" applyFont="1" applyProtection="1">
      <protection locked="0"/>
    </xf>
    <xf numFmtId="0" fontId="82" fillId="0" borderId="0" xfId="5" applyNumberFormat="1" applyFont="1" applyFill="1" applyBorder="1" applyAlignment="1" applyProtection="1">
      <alignment vertical="top"/>
    </xf>
    <xf numFmtId="0" fontId="87" fillId="0" borderId="0" xfId="0" applyFont="1" applyProtection="1"/>
    <xf numFmtId="0" fontId="82" fillId="0" borderId="0" xfId="9" applyNumberFormat="1" applyFont="1" applyFill="1" applyBorder="1" applyAlignment="1" applyProtection="1">
      <alignment vertical="top"/>
    </xf>
    <xf numFmtId="169" fontId="60" fillId="0" borderId="0" xfId="3" applyNumberFormat="1" applyFont="1"/>
    <xf numFmtId="0" fontId="60" fillId="0" borderId="0" xfId="0" applyFont="1"/>
    <xf numFmtId="169" fontId="114" fillId="0" borderId="0" xfId="3" applyNumberFormat="1" applyFont="1"/>
    <xf numFmtId="3" fontId="115" fillId="0" borderId="0" xfId="9" applyNumberFormat="1" applyFont="1" applyFill="1" applyBorder="1" applyAlignment="1" applyProtection="1">
      <alignment horizontal="center" vertical="center"/>
    </xf>
    <xf numFmtId="166" fontId="111" fillId="0" borderId="0" xfId="3" applyFont="1" applyFill="1" applyBorder="1" applyAlignment="1" applyProtection="1">
      <alignment horizontal="center" vertical="center"/>
    </xf>
    <xf numFmtId="0" fontId="117" fillId="0" borderId="0" xfId="0" applyFont="1" applyFill="1" applyProtection="1"/>
    <xf numFmtId="0" fontId="117" fillId="0" borderId="0" xfId="0" applyFont="1" applyFill="1" applyBorder="1" applyAlignment="1" applyProtection="1"/>
    <xf numFmtId="14" fontId="117" fillId="0" borderId="0" xfId="0" applyNumberFormat="1" applyFont="1" applyFill="1" applyProtection="1"/>
    <xf numFmtId="0" fontId="116" fillId="0" borderId="1" xfId="1225" applyFont="1" applyFill="1" applyBorder="1" applyAlignment="1" applyProtection="1">
      <alignment horizontal="left" vertical="center" wrapText="1"/>
    </xf>
    <xf numFmtId="0" fontId="117" fillId="0" borderId="18" xfId="1225" applyFont="1" applyFill="1" applyBorder="1" applyAlignment="1" applyProtection="1">
      <alignment horizontal="left" vertical="center" wrapText="1" indent="2"/>
    </xf>
    <xf numFmtId="0" fontId="117" fillId="0" borderId="19" xfId="1225" applyFont="1" applyFill="1" applyBorder="1" applyAlignment="1" applyProtection="1">
      <alignment horizontal="left" vertical="center" wrapText="1" indent="2"/>
    </xf>
    <xf numFmtId="0" fontId="117" fillId="0" borderId="0" xfId="0" applyFont="1" applyFill="1" applyAlignment="1" applyProtection="1">
      <alignment wrapText="1"/>
    </xf>
    <xf numFmtId="0" fontId="117" fillId="0" borderId="0" xfId="0" applyFont="1" applyFill="1" applyAlignment="1" applyProtection="1">
      <alignment horizontal="center"/>
    </xf>
    <xf numFmtId="0" fontId="138" fillId="0" borderId="0" xfId="0" applyFont="1" applyFill="1" applyProtection="1"/>
    <xf numFmtId="0" fontId="4" fillId="0" borderId="1" xfId="0" applyFont="1" applyFill="1" applyBorder="1" applyAlignment="1" applyProtection="1">
      <alignment horizontal="left" vertical="center" wrapText="1" indent="2"/>
    </xf>
    <xf numFmtId="14" fontId="117" fillId="0" borderId="0" xfId="0" applyNumberFormat="1" applyFont="1" applyFill="1" applyAlignment="1" applyProtection="1">
      <alignment horizontal="center" vertical="center"/>
    </xf>
    <xf numFmtId="0" fontId="117" fillId="0" borderId="0" xfId="0" applyFont="1" applyFill="1" applyAlignment="1" applyProtection="1">
      <alignment horizontal="center" vertical="center" wrapText="1"/>
    </xf>
    <xf numFmtId="0" fontId="117" fillId="0" borderId="0" xfId="0" applyFont="1" applyFill="1" applyAlignment="1" applyProtection="1">
      <alignment horizontal="center" vertical="center"/>
    </xf>
    <xf numFmtId="14" fontId="117" fillId="0" borderId="0" xfId="0" applyNumberFormat="1" applyFont="1" applyFill="1" applyAlignment="1" applyProtection="1">
      <alignment horizontal="center" vertical="center" wrapText="1"/>
    </xf>
    <xf numFmtId="3" fontId="117" fillId="0" borderId="0" xfId="0" applyNumberFormat="1" applyFont="1" applyFill="1" applyAlignment="1" applyProtection="1">
      <alignment horizontal="center"/>
    </xf>
    <xf numFmtId="3" fontId="4" fillId="0" borderId="3" xfId="0" applyNumberFormat="1" applyFont="1" applyFill="1" applyBorder="1" applyProtection="1"/>
    <xf numFmtId="0" fontId="20" fillId="0" borderId="0" xfId="0" applyFont="1" applyFill="1" applyProtection="1"/>
    <xf numFmtId="0" fontId="20" fillId="0" borderId="0" xfId="0" applyFont="1" applyFill="1" applyAlignment="1" applyProtection="1">
      <alignment horizontal="center"/>
    </xf>
    <xf numFmtId="3" fontId="20" fillId="0" borderId="0" xfId="0" applyNumberFormat="1" applyFont="1" applyFill="1" applyAlignment="1" applyProtection="1">
      <alignment horizontal="center"/>
    </xf>
    <xf numFmtId="0" fontId="137" fillId="0" borderId="0" xfId="0" applyFont="1" applyFill="1" applyBorder="1" applyAlignment="1" applyProtection="1">
      <alignment vertical="center" wrapText="1"/>
    </xf>
    <xf numFmtId="49" fontId="7" fillId="0" borderId="1" xfId="0" applyNumberFormat="1" applyFont="1" applyFill="1" applyBorder="1" applyAlignment="1" applyProtection="1">
      <alignment horizontal="center" vertical="center"/>
    </xf>
    <xf numFmtId="0" fontId="137" fillId="0" borderId="0" xfId="0" applyFont="1" applyFill="1" applyBorder="1" applyAlignment="1" applyProtection="1">
      <alignment horizontal="center" vertical="center" wrapText="1"/>
    </xf>
    <xf numFmtId="3" fontId="117" fillId="0" borderId="0" xfId="0" applyNumberFormat="1" applyFont="1" applyFill="1" applyProtection="1"/>
    <xf numFmtId="0" fontId="139" fillId="0" borderId="0" xfId="0" applyFont="1" applyFill="1" applyProtection="1"/>
    <xf numFmtId="194" fontId="139" fillId="0" borderId="0" xfId="0" applyNumberFormat="1" applyFont="1" applyFill="1" applyProtection="1"/>
    <xf numFmtId="194" fontId="140" fillId="0" borderId="0" xfId="0" applyNumberFormat="1" applyFont="1" applyFill="1" applyProtection="1"/>
    <xf numFmtId="10" fontId="116" fillId="0" borderId="1" xfId="1225" applyNumberFormat="1" applyFont="1" applyFill="1" applyBorder="1" applyAlignment="1" applyProtection="1">
      <alignment horizontal="center" vertical="center" wrapText="1"/>
    </xf>
    <xf numFmtId="182" fontId="117" fillId="0" borderId="18" xfId="1225" applyNumberFormat="1" applyFont="1" applyFill="1" applyBorder="1" applyAlignment="1" applyProtection="1">
      <alignment horizontal="center" vertical="center" wrapText="1"/>
    </xf>
    <xf numFmtId="182" fontId="117" fillId="0" borderId="19" xfId="1225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34" fillId="0" borderId="1" xfId="0" applyFont="1" applyFill="1" applyBorder="1" applyAlignment="1" applyProtection="1">
      <alignment horizontal="left" vertical="center" wrapText="1" indent="2"/>
    </xf>
    <xf numFmtId="0" fontId="34" fillId="0" borderId="1" xfId="0" applyFont="1" applyFill="1" applyBorder="1" applyAlignment="1" applyProtection="1">
      <alignment horizontal="center" vertical="center"/>
    </xf>
    <xf numFmtId="49" fontId="139" fillId="0" borderId="0" xfId="0" applyNumberFormat="1" applyFont="1" applyFill="1" applyProtection="1"/>
    <xf numFmtId="0" fontId="139" fillId="0" borderId="0" xfId="0" applyFont="1" applyFill="1" applyAlignment="1" applyProtection="1">
      <alignment horizontal="center"/>
    </xf>
    <xf numFmtId="170" fontId="8" fillId="0" borderId="0" xfId="0" quotePrefix="1" applyNumberFormat="1" applyFont="1" applyAlignment="1" applyProtection="1">
      <alignment horizontal="centerContinuous" vertical="center"/>
    </xf>
    <xf numFmtId="0" fontId="5" fillId="0" borderId="0" xfId="0" applyFont="1" applyAlignment="1" applyProtection="1">
      <alignment horizontal="centerContinuous"/>
    </xf>
    <xf numFmtId="170" fontId="0" fillId="0" borderId="0" xfId="0" applyNumberFormat="1" applyFont="1" applyAlignment="1" applyProtection="1"/>
    <xf numFmtId="0" fontId="8" fillId="0" borderId="1" xfId="0" applyFont="1" applyBorder="1" applyAlignment="1" applyProtection="1">
      <alignment horizontal="center" vertical="center"/>
    </xf>
    <xf numFmtId="2" fontId="5" fillId="0" borderId="5" xfId="0" applyNumberFormat="1" applyFont="1" applyBorder="1" applyAlignment="1" applyProtection="1">
      <alignment horizontal="center" vertical="center"/>
    </xf>
    <xf numFmtId="168" fontId="5" fillId="0" borderId="3" xfId="0" applyNumberFormat="1" applyFont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</xf>
    <xf numFmtId="0" fontId="34" fillId="0" borderId="1" xfId="0" applyFont="1" applyFill="1" applyBorder="1" applyAlignment="1" applyProtection="1">
      <alignment horizontal="left" vertical="center" indent="4"/>
    </xf>
    <xf numFmtId="0" fontId="35" fillId="0" borderId="1" xfId="0" applyFont="1" applyFill="1" applyBorder="1" applyAlignment="1" applyProtection="1">
      <alignment horizontal="left" vertical="center" indent="4"/>
    </xf>
    <xf numFmtId="2" fontId="5" fillId="0" borderId="3" xfId="0" applyNumberFormat="1" applyFont="1" applyFill="1" applyBorder="1" applyAlignment="1" applyProtection="1">
      <alignment horizontal="center" vertical="center"/>
    </xf>
    <xf numFmtId="0" fontId="19" fillId="0" borderId="4" xfId="0" applyFont="1" applyFill="1" applyBorder="1" applyAlignment="1" applyProtection="1">
      <alignment horizontal="centerContinuous" vertical="center" wrapText="1"/>
    </xf>
    <xf numFmtId="0" fontId="19" fillId="0" borderId="8" xfId="0" applyFont="1" applyFill="1" applyBorder="1" applyAlignment="1" applyProtection="1">
      <alignment horizontal="centerContinuous" vertical="center"/>
    </xf>
    <xf numFmtId="0" fontId="19" fillId="0" borderId="6" xfId="0" applyFont="1" applyFill="1" applyBorder="1" applyAlignment="1" applyProtection="1">
      <alignment horizontal="centerContinuous" vertical="center"/>
    </xf>
    <xf numFmtId="0" fontId="19" fillId="0" borderId="2" xfId="0" applyFont="1" applyFill="1" applyBorder="1" applyAlignment="1" applyProtection="1">
      <alignment horizontal="centerContinuous" vertical="center"/>
    </xf>
    <xf numFmtId="0" fontId="19" fillId="0" borderId="9" xfId="0" applyFont="1" applyFill="1" applyBorder="1" applyAlignment="1" applyProtection="1">
      <alignment horizontal="centerContinuous" vertical="center"/>
    </xf>
    <xf numFmtId="0" fontId="19" fillId="0" borderId="14" xfId="0" applyFont="1" applyFill="1" applyBorder="1" applyAlignment="1" applyProtection="1">
      <alignment horizontal="centerContinuous" vertical="center"/>
    </xf>
    <xf numFmtId="169" fontId="117" fillId="0" borderId="0" xfId="3" applyNumberFormat="1" applyFont="1" applyFill="1" applyAlignment="1" applyProtection="1">
      <alignment horizontal="center" vertical="center"/>
      <protection locked="0"/>
    </xf>
    <xf numFmtId="3" fontId="53" fillId="3" borderId="1" xfId="0" applyNumberFormat="1" applyFont="1" applyFill="1" applyBorder="1" applyAlignment="1" applyProtection="1">
      <alignment horizontal="center" vertical="center" wrapText="1"/>
    </xf>
    <xf numFmtId="170" fontId="53" fillId="3" borderId="1" xfId="0" applyNumberFormat="1" applyFont="1" applyFill="1" applyBorder="1" applyAlignment="1" applyProtection="1">
      <alignment horizontal="center" vertical="center" wrapText="1"/>
    </xf>
    <xf numFmtId="0" fontId="137" fillId="0" borderId="0" xfId="0" applyFont="1" applyFill="1" applyBorder="1" applyAlignment="1" applyProtection="1">
      <alignment horizontal="left" vertical="center" wrapText="1" indent="2"/>
    </xf>
    <xf numFmtId="0" fontId="35" fillId="0" borderId="4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left" vertical="center" wrapText="1" indent="4"/>
    </xf>
    <xf numFmtId="3" fontId="35" fillId="0" borderId="1" xfId="0" applyNumberFormat="1" applyFont="1" applyFill="1" applyBorder="1" applyAlignment="1" applyProtection="1">
      <alignment horizontal="center" vertical="center"/>
      <protection locked="0"/>
    </xf>
    <xf numFmtId="0" fontId="35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 indent="4"/>
    </xf>
    <xf numFmtId="3" fontId="5" fillId="0" borderId="1" xfId="0" applyNumberFormat="1" applyFont="1" applyFill="1" applyBorder="1" applyAlignment="1" applyProtection="1">
      <alignment horizontal="center" vertical="center"/>
      <protection locked="0"/>
    </xf>
    <xf numFmtId="2" fontId="4" fillId="0" borderId="12" xfId="0" applyNumberFormat="1" applyFont="1" applyFill="1" applyBorder="1" applyAlignment="1" applyProtection="1">
      <alignment horizontal="center" vertical="center"/>
    </xf>
    <xf numFmtId="2" fontId="4" fillId="0" borderId="3" xfId="0" applyNumberFormat="1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7" fillId="0" borderId="0" xfId="0" applyFont="1" applyFill="1" applyBorder="1" applyProtection="1"/>
    <xf numFmtId="3" fontId="51" fillId="0" borderId="0" xfId="0" applyNumberFormat="1" applyFont="1" applyBorder="1" applyAlignment="1">
      <alignment horizontal="center"/>
    </xf>
    <xf numFmtId="15" fontId="46" fillId="0" borderId="0" xfId="4" applyNumberFormat="1" applyFont="1" applyFill="1" applyBorder="1" applyAlignment="1" applyProtection="1">
      <alignment horizontal="center" vertical="top"/>
    </xf>
    <xf numFmtId="3" fontId="12" fillId="0" borderId="0" xfId="0" applyNumberFormat="1" applyFont="1" applyBorder="1" applyAlignment="1">
      <alignment vertical="top"/>
    </xf>
    <xf numFmtId="3" fontId="5" fillId="0" borderId="0" xfId="0" applyNumberFormat="1" applyFont="1" applyAlignment="1">
      <alignment horizontal="center"/>
    </xf>
    <xf numFmtId="3" fontId="5" fillId="0" borderId="0" xfId="0" applyNumberFormat="1" applyFont="1" applyBorder="1" applyAlignment="1" applyProtection="1">
      <alignment horizontal="center"/>
    </xf>
    <xf numFmtId="0" fontId="137" fillId="0" borderId="0" xfId="0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Continuous"/>
    </xf>
    <xf numFmtId="172" fontId="143" fillId="0" borderId="0" xfId="5" applyNumberFormat="1" applyFont="1" applyFill="1" applyBorder="1" applyAlignment="1" applyProtection="1">
      <alignment horizontal="center" vertical="center"/>
    </xf>
    <xf numFmtId="2" fontId="5" fillId="0" borderId="5" xfId="0" applyNumberFormat="1" applyFont="1" applyFill="1" applyBorder="1" applyAlignment="1" applyProtection="1">
      <alignment horizontal="center" vertical="center"/>
    </xf>
    <xf numFmtId="2" fontId="5" fillId="0" borderId="12" xfId="0" applyNumberFormat="1" applyFont="1" applyFill="1" applyBorder="1" applyAlignment="1" applyProtection="1">
      <alignment horizontal="center" vertical="center"/>
    </xf>
    <xf numFmtId="3" fontId="26" fillId="3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168" fontId="9" fillId="0" borderId="5" xfId="0" applyNumberFormat="1" applyFont="1" applyFill="1" applyBorder="1" applyAlignment="1" applyProtection="1">
      <alignment horizontal="center" vertical="center"/>
    </xf>
    <xf numFmtId="0" fontId="55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wrapText="1"/>
    </xf>
    <xf numFmtId="0" fontId="6" fillId="0" borderId="0" xfId="0" applyFont="1" applyBorder="1" applyAlignment="1" applyProtection="1">
      <alignment horizontal="center"/>
    </xf>
    <xf numFmtId="170" fontId="4" fillId="0" borderId="0" xfId="0" applyNumberFormat="1" applyFont="1" applyBorder="1" applyAlignment="1" applyProtection="1">
      <alignment horizont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left" vertical="center" indent="1"/>
    </xf>
    <xf numFmtId="0" fontId="4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left" vertical="center" indent="1"/>
    </xf>
    <xf numFmtId="0" fontId="5" fillId="0" borderId="2" xfId="0" applyFont="1" applyBorder="1" applyAlignment="1" applyProtection="1">
      <alignment horizontal="left" vertical="center" wrapText="1" indent="1"/>
    </xf>
    <xf numFmtId="0" fontId="4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 vertical="center" wrapText="1" indent="1"/>
    </xf>
    <xf numFmtId="0" fontId="5" fillId="0" borderId="1" xfId="0" applyFont="1" applyBorder="1" applyAlignment="1" applyProtection="1">
      <alignment horizontal="left" vertical="center" indent="1"/>
    </xf>
    <xf numFmtId="0" fontId="4" fillId="0" borderId="2" xfId="0" quotePrefix="1" applyFont="1" applyBorder="1" applyAlignment="1" applyProtection="1">
      <alignment horizontal="center" vertical="center" wrapText="1"/>
    </xf>
    <xf numFmtId="0" fontId="5" fillId="0" borderId="2" xfId="0" quotePrefix="1" applyFont="1" applyBorder="1" applyAlignment="1" applyProtection="1">
      <alignment horizontal="left" vertical="center" wrapText="1" indent="1"/>
    </xf>
    <xf numFmtId="0" fontId="5" fillId="0" borderId="2" xfId="0" quotePrefix="1" applyFont="1" applyBorder="1" applyAlignment="1" applyProtection="1">
      <alignment horizontal="left" vertical="center" indent="1"/>
    </xf>
    <xf numFmtId="0" fontId="8" fillId="0" borderId="2" xfId="0" quotePrefix="1" applyFont="1" applyBorder="1" applyAlignment="1" applyProtection="1">
      <alignment horizontal="left" vertical="center" indent="1"/>
    </xf>
    <xf numFmtId="3" fontId="29" fillId="0" borderId="0" xfId="0" applyNumberFormat="1" applyFont="1" applyBorder="1" applyProtection="1"/>
    <xf numFmtId="0" fontId="5" fillId="0" borderId="2" xfId="0" applyFont="1" applyFill="1" applyBorder="1" applyAlignment="1" applyProtection="1">
      <alignment horizontal="left" vertical="center" indent="1"/>
    </xf>
    <xf numFmtId="0" fontId="7" fillId="0" borderId="2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left" vertical="center" indent="1"/>
    </xf>
    <xf numFmtId="0" fontId="4" fillId="0" borderId="2" xfId="0" quotePrefix="1" applyFont="1" applyFill="1" applyBorder="1" applyAlignment="1" applyProtection="1">
      <alignment horizontal="center" vertical="center" wrapText="1"/>
    </xf>
    <xf numFmtId="0" fontId="5" fillId="0" borderId="2" xfId="0" quotePrefix="1" applyFont="1" applyFill="1" applyBorder="1" applyAlignment="1" applyProtection="1">
      <alignment horizontal="left" vertical="center" indent="1"/>
    </xf>
    <xf numFmtId="0" fontId="7" fillId="0" borderId="2" xfId="0" quotePrefix="1" applyFont="1" applyFill="1" applyBorder="1" applyAlignment="1" applyProtection="1">
      <alignment horizontal="center" vertical="center" wrapText="1"/>
    </xf>
    <xf numFmtId="0" fontId="8" fillId="0" borderId="2" xfId="0" quotePrefix="1" applyFont="1" applyFill="1" applyBorder="1" applyAlignment="1" applyProtection="1">
      <alignment horizontal="left" vertical="center" indent="1"/>
    </xf>
    <xf numFmtId="0" fontId="34" fillId="0" borderId="2" xfId="0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 applyProtection="1">
      <alignment horizontal="left" vertical="center" wrapText="1" indent="1"/>
    </xf>
    <xf numFmtId="0" fontId="7" fillId="0" borderId="0" xfId="0" applyFont="1" applyBorder="1" applyProtection="1"/>
    <xf numFmtId="0" fontId="4" fillId="0" borderId="2" xfId="0" quotePrefix="1" applyFont="1" applyFill="1" applyBorder="1" applyAlignment="1" applyProtection="1">
      <alignment horizontal="left" vertical="center" indent="1"/>
    </xf>
    <xf numFmtId="0" fontId="4" fillId="0" borderId="2" xfId="0" applyFont="1" applyFill="1" applyBorder="1" applyAlignment="1" applyProtection="1">
      <alignment horizontal="left" vertical="center" indent="1"/>
    </xf>
    <xf numFmtId="3" fontId="25" fillId="4" borderId="1" xfId="0" applyNumberFormat="1" applyFont="1" applyFill="1" applyBorder="1" applyAlignment="1" applyProtection="1">
      <alignment horizontal="right" vertical="center"/>
    </xf>
    <xf numFmtId="0" fontId="4" fillId="0" borderId="2" xfId="0" applyFont="1" applyFill="1" applyBorder="1" applyAlignment="1" applyProtection="1">
      <alignment horizontal="left" vertical="center" wrapText="1" indent="1"/>
    </xf>
    <xf numFmtId="0" fontId="5" fillId="0" borderId="0" xfId="0" quotePrefix="1" applyFont="1" applyBorder="1" applyAlignment="1" applyProtection="1">
      <alignment horizontal="left"/>
    </xf>
    <xf numFmtId="0" fontId="7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center" wrapText="1"/>
    </xf>
    <xf numFmtId="0" fontId="35" fillId="0" borderId="0" xfId="0" applyFont="1" applyBorder="1" applyAlignment="1" applyProtection="1">
      <alignment horizontal="center" wrapText="1"/>
    </xf>
    <xf numFmtId="0" fontId="35" fillId="0" borderId="0" xfId="0" applyFont="1" applyFill="1" applyBorder="1" applyAlignment="1" applyProtection="1">
      <alignment horizontal="center" wrapText="1"/>
    </xf>
    <xf numFmtId="0" fontId="4" fillId="0" borderId="0" xfId="0" applyFont="1" applyBorder="1" applyAlignment="1" applyProtection="1">
      <alignment horizontal="center" wrapText="1"/>
    </xf>
    <xf numFmtId="0" fontId="5" fillId="0" borderId="0" xfId="0" applyFont="1" applyFill="1" applyProtection="1"/>
    <xf numFmtId="0" fontId="7" fillId="0" borderId="0" xfId="0" applyFont="1" applyAlignment="1" applyProtection="1">
      <alignment vertical="center"/>
    </xf>
    <xf numFmtId="0" fontId="8" fillId="0" borderId="0" xfId="0" applyFont="1" applyProtection="1"/>
    <xf numFmtId="0" fontId="7" fillId="0" borderId="0" xfId="0" applyFont="1" applyFill="1" applyProtection="1"/>
    <xf numFmtId="3" fontId="17" fillId="0" borderId="1" xfId="0" applyNumberFormat="1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3" fontId="47" fillId="0" borderId="0" xfId="0" applyNumberFormat="1" applyFont="1" applyBorder="1" applyAlignment="1" applyProtection="1">
      <alignment horizontal="centerContinuous" vertical="center"/>
    </xf>
    <xf numFmtId="3" fontId="47" fillId="0" borderId="0" xfId="0" applyNumberFormat="1" applyFont="1" applyBorder="1" applyAlignment="1" applyProtection="1">
      <alignment horizontal="centerContinuous"/>
    </xf>
    <xf numFmtId="3" fontId="16" fillId="0" borderId="0" xfId="0" applyNumberFormat="1" applyFont="1" applyBorder="1" applyAlignment="1" applyProtection="1">
      <alignment horizontal="centerContinuous"/>
    </xf>
    <xf numFmtId="0" fontId="73" fillId="0" borderId="0" xfId="0" applyFont="1" applyProtection="1"/>
    <xf numFmtId="3" fontId="6" fillId="0" borderId="0" xfId="0" applyNumberFormat="1" applyFont="1" applyBorder="1" applyAlignment="1" applyProtection="1">
      <alignment horizontal="centerContinuous"/>
    </xf>
    <xf numFmtId="0" fontId="56" fillId="0" borderId="0" xfId="0" applyFont="1" applyBorder="1" applyAlignment="1" applyProtection="1">
      <alignment horizontal="center"/>
    </xf>
    <xf numFmtId="3" fontId="71" fillId="0" borderId="0" xfId="0" applyNumberFormat="1" applyFont="1" applyBorder="1" applyProtection="1"/>
    <xf numFmtId="3" fontId="71" fillId="0" borderId="0" xfId="0" applyNumberFormat="1" applyFont="1" applyBorder="1" applyAlignment="1" applyProtection="1">
      <alignment horizontal="center"/>
    </xf>
    <xf numFmtId="0" fontId="17" fillId="0" borderId="0" xfId="0" applyFont="1" applyProtection="1"/>
    <xf numFmtId="3" fontId="17" fillId="3" borderId="1" xfId="0" applyNumberFormat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 textRotation="90" wrapText="1"/>
    </xf>
    <xf numFmtId="0" fontId="17" fillId="0" borderId="0" xfId="0" applyFont="1" applyBorder="1" applyProtection="1"/>
    <xf numFmtId="3" fontId="70" fillId="0" borderId="3" xfId="0" applyNumberFormat="1" applyFont="1" applyBorder="1" applyAlignment="1" applyProtection="1">
      <alignment horizontal="center" vertical="center"/>
    </xf>
    <xf numFmtId="3" fontId="12" fillId="0" borderId="3" xfId="0" applyNumberFormat="1" applyFont="1" applyBorder="1" applyAlignment="1" applyProtection="1">
      <alignment horizontal="center" vertical="center"/>
    </xf>
    <xf numFmtId="3" fontId="12" fillId="0" borderId="3" xfId="0" applyNumberFormat="1" applyFont="1" applyFill="1" applyBorder="1" applyAlignment="1" applyProtection="1">
      <alignment horizontal="center" vertical="center"/>
    </xf>
    <xf numFmtId="3" fontId="12" fillId="0" borderId="3" xfId="0" quotePrefix="1" applyNumberFormat="1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</xf>
    <xf numFmtId="3" fontId="17" fillId="3" borderId="1" xfId="0" applyNumberFormat="1" applyFont="1" applyFill="1" applyBorder="1" applyAlignment="1" applyProtection="1">
      <alignment horizontal="center"/>
    </xf>
    <xf numFmtId="3" fontId="15" fillId="3" borderId="1" xfId="0" applyNumberFormat="1" applyFont="1" applyFill="1" applyBorder="1" applyProtection="1"/>
    <xf numFmtId="3" fontId="17" fillId="0" borderId="1" xfId="0" applyNumberFormat="1" applyFont="1" applyBorder="1" applyAlignment="1" applyProtection="1">
      <alignment horizontal="center" vertical="center"/>
    </xf>
    <xf numFmtId="3" fontId="17" fillId="0" borderId="0" xfId="0" applyNumberFormat="1" applyFont="1" applyProtection="1"/>
    <xf numFmtId="9" fontId="17" fillId="0" borderId="0" xfId="0" applyNumberFormat="1" applyFont="1" applyProtection="1"/>
    <xf numFmtId="3" fontId="17" fillId="0" borderId="1" xfId="0" applyNumberFormat="1" applyFont="1" applyFill="1" applyBorder="1" applyAlignment="1" applyProtection="1">
      <alignment horizontal="center" vertical="center"/>
    </xf>
    <xf numFmtId="3" fontId="17" fillId="0" borderId="1" xfId="0" applyNumberFormat="1" applyFont="1" applyFill="1" applyBorder="1" applyAlignment="1" applyProtection="1">
      <alignment vertical="center"/>
    </xf>
    <xf numFmtId="0" fontId="17" fillId="0" borderId="0" xfId="0" applyFont="1" applyFill="1" applyProtection="1"/>
    <xf numFmtId="3" fontId="17" fillId="0" borderId="1" xfId="0" quotePrefix="1" applyNumberFormat="1" applyFont="1" applyFill="1" applyBorder="1" applyAlignment="1" applyProtection="1">
      <alignment horizontal="left" vertical="center"/>
    </xf>
    <xf numFmtId="3" fontId="15" fillId="3" borderId="1" xfId="0" applyNumberFormat="1" applyFont="1" applyFill="1" applyBorder="1" applyAlignment="1" applyProtection="1">
      <alignment vertical="center"/>
    </xf>
    <xf numFmtId="0" fontId="17" fillId="0" borderId="0" xfId="0" applyFont="1" applyFill="1" applyBorder="1" applyProtection="1"/>
    <xf numFmtId="3" fontId="5" fillId="0" borderId="0" xfId="0" applyNumberFormat="1" applyFont="1" applyProtection="1"/>
    <xf numFmtId="3" fontId="14" fillId="0" borderId="0" xfId="0" applyNumberFormat="1" applyFont="1" applyProtection="1"/>
    <xf numFmtId="3" fontId="44" fillId="0" borderId="0" xfId="0" applyNumberFormat="1" applyFont="1" applyProtection="1"/>
    <xf numFmtId="0" fontId="14" fillId="0" borderId="0" xfId="0" applyFont="1" applyProtection="1"/>
    <xf numFmtId="3" fontId="64" fillId="0" borderId="0" xfId="0" applyNumberFormat="1" applyFont="1" applyProtection="1"/>
    <xf numFmtId="0" fontId="6" fillId="0" borderId="0" xfId="0" applyFont="1" applyBorder="1" applyAlignment="1" applyProtection="1">
      <alignment horizontal="center" vertical="center"/>
    </xf>
    <xf numFmtId="170" fontId="4" fillId="0" borderId="0" xfId="0" quotePrefix="1" applyNumberFormat="1" applyFont="1" applyBorder="1" applyAlignment="1" applyProtection="1">
      <alignment horizontal="center" vertical="center"/>
    </xf>
    <xf numFmtId="0" fontId="56" fillId="0" borderId="0" xfId="0" applyFont="1" applyBorder="1" applyAlignment="1" applyProtection="1">
      <alignment horizontal="left" indent="1"/>
    </xf>
    <xf numFmtId="170" fontId="0" fillId="0" borderId="0" xfId="0" quotePrefix="1" applyNumberFormat="1" applyFont="1" applyBorder="1" applyAlignment="1" applyProtection="1">
      <alignment horizontal="left"/>
    </xf>
    <xf numFmtId="0" fontId="4" fillId="0" borderId="4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 vertical="center" indent="2"/>
    </xf>
    <xf numFmtId="0" fontId="0" fillId="0" borderId="2" xfId="0" applyFont="1" applyBorder="1" applyAlignment="1" applyProtection="1">
      <alignment horizontal="center" vertical="center"/>
    </xf>
    <xf numFmtId="0" fontId="5" fillId="0" borderId="2" xfId="0" quotePrefix="1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 vertical="center" indent="2"/>
    </xf>
    <xf numFmtId="0" fontId="44" fillId="0" borderId="0" xfId="0" applyFont="1" applyProtection="1"/>
    <xf numFmtId="3" fontId="44" fillId="0" borderId="0" xfId="0" applyNumberFormat="1" applyFont="1" applyAlignment="1" applyProtection="1">
      <alignment vertical="center"/>
    </xf>
    <xf numFmtId="0" fontId="7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/>
    </xf>
    <xf numFmtId="0" fontId="35" fillId="0" borderId="0" xfId="0" applyFont="1" applyFill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19" fillId="0" borderId="4" xfId="0" quotePrefix="1" applyFont="1" applyFill="1" applyBorder="1" applyAlignment="1" applyProtection="1">
      <alignment horizontal="centerContinuous" vertical="center" wrapText="1"/>
    </xf>
    <xf numFmtId="0" fontId="4" fillId="0" borderId="0" xfId="0" applyFont="1" applyProtection="1"/>
    <xf numFmtId="0" fontId="6" fillId="0" borderId="0" xfId="0" applyFont="1" applyBorder="1" applyAlignment="1" applyProtection="1">
      <alignment horizontal="left" vertical="center" indent="2"/>
    </xf>
    <xf numFmtId="0" fontId="4" fillId="0" borderId="2" xfId="0" applyFont="1" applyFill="1" applyBorder="1" applyAlignment="1" applyProtection="1">
      <alignment horizontal="center" vertical="center" wrapText="1"/>
    </xf>
    <xf numFmtId="3" fontId="7" fillId="0" borderId="0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0" fontId="4" fillId="0" borderId="0" xfId="0" applyFont="1"/>
    <xf numFmtId="16" fontId="21" fillId="0" borderId="1" xfId="5" applyNumberFormat="1" applyFont="1" applyFill="1" applyBorder="1" applyAlignment="1" applyProtection="1">
      <alignment horizontal="left" vertical="center" wrapText="1" indent="2"/>
    </xf>
    <xf numFmtId="3" fontId="35" fillId="0" borderId="1" xfId="0" applyNumberFormat="1" applyFont="1" applyBorder="1" applyAlignment="1" applyProtection="1">
      <alignment horizontal="center" vertical="center"/>
    </xf>
    <xf numFmtId="3" fontId="35" fillId="0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vertical="center"/>
    </xf>
    <xf numFmtId="3" fontId="4" fillId="0" borderId="0" xfId="0" applyNumberFormat="1" applyFont="1" applyProtection="1"/>
    <xf numFmtId="170" fontId="4" fillId="0" borderId="0" xfId="0" applyNumberFormat="1" applyFont="1" applyProtection="1"/>
    <xf numFmtId="3" fontId="7" fillId="0" borderId="0" xfId="0" applyNumberFormat="1" applyFont="1" applyAlignment="1" applyProtection="1">
      <alignment horizontal="centerContinuous"/>
    </xf>
    <xf numFmtId="3" fontId="15" fillId="0" borderId="0" xfId="0" quotePrefix="1" applyNumberFormat="1" applyFont="1" applyAlignment="1" applyProtection="1">
      <alignment horizontal="left" vertical="center"/>
    </xf>
    <xf numFmtId="170" fontId="0" fillId="0" borderId="0" xfId="0" applyNumberFormat="1" applyFont="1" applyBorder="1" applyAlignment="1" applyProtection="1"/>
    <xf numFmtId="0" fontId="144" fillId="0" borderId="0" xfId="0" applyFont="1" applyAlignment="1" applyProtection="1">
      <alignment horizontal="center" vertical="center"/>
    </xf>
    <xf numFmtId="3" fontId="12" fillId="0" borderId="10" xfId="0" applyNumberFormat="1" applyFont="1" applyBorder="1" applyProtection="1"/>
    <xf numFmtId="3" fontId="35" fillId="0" borderId="1" xfId="0" applyNumberFormat="1" applyFont="1" applyBorder="1" applyAlignment="1" applyProtection="1">
      <alignment horizontal="left" vertical="center" wrapText="1" indent="1"/>
    </xf>
    <xf numFmtId="3" fontId="4" fillId="0" borderId="1" xfId="0" applyNumberFormat="1" applyFont="1" applyBorder="1" applyAlignment="1" applyProtection="1">
      <alignment horizontal="left" vertical="center" wrapText="1" indent="1"/>
    </xf>
    <xf numFmtId="3" fontId="4" fillId="0" borderId="1" xfId="0" applyNumberFormat="1" applyFont="1" applyBorder="1" applyAlignment="1" applyProtection="1">
      <alignment horizontal="right"/>
    </xf>
    <xf numFmtId="3" fontId="12" fillId="0" borderId="0" xfId="0" applyNumberFormat="1" applyFont="1" applyProtection="1"/>
    <xf numFmtId="3" fontId="4" fillId="0" borderId="0" xfId="0" applyNumberFormat="1" applyFont="1" applyBorder="1" applyProtection="1"/>
    <xf numFmtId="170" fontId="0" fillId="0" borderId="0" xfId="0" applyNumberFormat="1" applyFont="1" applyBorder="1" applyAlignment="1" applyProtection="1">
      <alignment horizontal="center"/>
    </xf>
    <xf numFmtId="0" fontId="43" fillId="0" borderId="0" xfId="0" applyFont="1" applyProtection="1"/>
    <xf numFmtId="3" fontId="4" fillId="0" borderId="1" xfId="0" applyNumberFormat="1" applyFont="1" applyBorder="1" applyAlignment="1" applyProtection="1">
      <alignment horizontal="left" vertical="center" wrapText="1" indent="1"/>
      <protection locked="0"/>
    </xf>
    <xf numFmtId="0" fontId="145" fillId="0" borderId="0" xfId="0" applyFont="1" applyFill="1" applyAlignment="1">
      <alignment vertical="center"/>
    </xf>
    <xf numFmtId="0" fontId="20" fillId="0" borderId="0" xfId="0" applyFont="1"/>
    <xf numFmtId="3" fontId="7" fillId="0" borderId="1" xfId="0" applyNumberFormat="1" applyFont="1" applyFill="1" applyBorder="1" applyAlignment="1">
      <alignment horizontal="center" vertical="center" textRotation="90" wrapText="1"/>
    </xf>
    <xf numFmtId="0" fontId="20" fillId="0" borderId="0" xfId="0" applyFont="1" applyAlignment="1">
      <alignment vertical="center"/>
    </xf>
    <xf numFmtId="3" fontId="7" fillId="3" borderId="1" xfId="0" applyNumberFormat="1" applyFont="1" applyFill="1" applyBorder="1" applyAlignment="1" applyProtection="1">
      <alignment horizontal="center" vertical="center" wrapText="1"/>
    </xf>
    <xf numFmtId="3" fontId="20" fillId="0" borderId="0" xfId="0" applyNumberFormat="1" applyFont="1" applyAlignment="1">
      <alignment vertical="center"/>
    </xf>
    <xf numFmtId="0" fontId="20" fillId="0" borderId="0" xfId="0" applyFont="1" applyFill="1" applyAlignment="1">
      <alignment vertical="center"/>
    </xf>
    <xf numFmtId="0" fontId="7" fillId="0" borderId="2" xfId="0" applyFont="1" applyFill="1" applyBorder="1" applyAlignment="1" applyProtection="1">
      <alignment horizontal="left" vertical="center" indent="1"/>
    </xf>
    <xf numFmtId="3" fontId="55" fillId="3" borderId="1" xfId="0" applyNumberFormat="1" applyFont="1" applyFill="1" applyBorder="1" applyAlignment="1" applyProtection="1">
      <alignment horizontal="center" vertical="center" wrapText="1"/>
    </xf>
    <xf numFmtId="3" fontId="6" fillId="0" borderId="0" xfId="0" applyNumberFormat="1" applyFont="1" applyAlignment="1" applyProtection="1">
      <alignment horizontal="center" vertical="center" wrapText="1"/>
    </xf>
    <xf numFmtId="3" fontId="4" fillId="0" borderId="1" xfId="0" applyNumberFormat="1" applyFont="1" applyBorder="1" applyAlignment="1" applyProtection="1">
      <alignment horizontal="right" vertical="center" wrapText="1" indent="1"/>
      <protection locked="0"/>
    </xf>
    <xf numFmtId="0" fontId="35" fillId="0" borderId="2" xfId="0" applyFont="1" applyFill="1" applyBorder="1" applyAlignment="1" applyProtection="1">
      <alignment horizontal="left" vertical="center" indent="1"/>
    </xf>
    <xf numFmtId="0" fontId="146" fillId="0" borderId="0" xfId="0" applyFont="1" applyFill="1" applyProtection="1"/>
    <xf numFmtId="0" fontId="146" fillId="0" borderId="0" xfId="0" applyFont="1" applyProtection="1"/>
    <xf numFmtId="0" fontId="147" fillId="0" borderId="0" xfId="0" applyFont="1" applyAlignment="1" applyProtection="1">
      <alignment vertical="center"/>
    </xf>
    <xf numFmtId="0" fontId="147" fillId="0" borderId="0" xfId="0" applyFont="1" applyProtection="1"/>
    <xf numFmtId="0" fontId="147" fillId="0" borderId="0" xfId="0" applyFont="1" applyFill="1" applyProtection="1"/>
    <xf numFmtId="3" fontId="148" fillId="3" borderId="1" xfId="0" applyNumberFormat="1" applyFont="1" applyFill="1" applyBorder="1" applyAlignment="1" applyProtection="1">
      <alignment horizontal="center" vertical="center" wrapText="1"/>
    </xf>
    <xf numFmtId="3" fontId="55" fillId="3" borderId="1" xfId="0" applyNumberFormat="1" applyFont="1" applyFill="1" applyBorder="1" applyAlignment="1" applyProtection="1">
      <alignment horizontal="center" vertical="center" wrapText="1"/>
    </xf>
    <xf numFmtId="3" fontId="55" fillId="3" borderId="5" xfId="0" applyNumberFormat="1" applyFont="1" applyFill="1" applyBorder="1" applyAlignment="1" applyProtection="1">
      <alignment horizontal="center" vertical="center" wrapText="1"/>
    </xf>
    <xf numFmtId="0" fontId="149" fillId="0" borderId="0" xfId="0" applyFont="1" applyProtection="1"/>
    <xf numFmtId="0" fontId="149" fillId="0" borderId="0" xfId="0" applyFont="1" applyBorder="1" applyProtection="1"/>
    <xf numFmtId="0" fontId="149" fillId="0" borderId="0" xfId="0" applyFont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3" fontId="4" fillId="0" borderId="3" xfId="1288" applyNumberFormat="1" applyFont="1" applyFill="1" applyBorder="1" applyAlignment="1" applyProtection="1"/>
    <xf numFmtId="3" fontId="4" fillId="0" borderId="1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vertical="center"/>
    </xf>
    <xf numFmtId="3" fontId="7" fillId="0" borderId="1" xfId="0" applyNumberFormat="1" applyFont="1" applyBorder="1" applyAlignment="1" applyProtection="1">
      <alignment horizontal="left" vertical="center"/>
    </xf>
    <xf numFmtId="3" fontId="4" fillId="4" borderId="7" xfId="0" applyNumberFormat="1" applyFont="1" applyFill="1" applyBorder="1" applyAlignment="1" applyProtection="1">
      <alignment horizontal="right" vertical="top"/>
    </xf>
    <xf numFmtId="3" fontId="7" fillId="0" borderId="1" xfId="0" applyNumberFormat="1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center" wrapText="1"/>
    </xf>
    <xf numFmtId="3" fontId="4" fillId="0" borderId="1" xfId="0" applyNumberFormat="1" applyFont="1" applyFill="1" applyBorder="1" applyAlignment="1" applyProtection="1">
      <alignment horizontal="right" vertical="center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Border="1" applyAlignment="1" applyProtection="1">
      <alignment vertical="center"/>
      <protection locked="0"/>
    </xf>
    <xf numFmtId="3" fontId="4" fillId="0" borderId="3" xfId="1288" applyNumberFormat="1" applyFont="1" applyFill="1" applyBorder="1" applyProtection="1"/>
    <xf numFmtId="3" fontId="4" fillId="0" borderId="1" xfId="0" applyNumberFormat="1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right" vertical="center"/>
      <protection locked="0"/>
    </xf>
    <xf numFmtId="3" fontId="4" fillId="0" borderId="1" xfId="1288" applyNumberFormat="1" applyFont="1" applyFill="1" applyBorder="1" applyAlignment="1" applyProtection="1">
      <protection locked="0"/>
    </xf>
    <xf numFmtId="0" fontId="0" fillId="0" borderId="1" xfId="0" applyNumberFormat="1" applyBorder="1" applyProtection="1">
      <protection locked="0"/>
    </xf>
    <xf numFmtId="3" fontId="4" fillId="0" borderId="3" xfId="1288" applyNumberFormat="1" applyFont="1" applyFill="1" applyBorder="1" applyProtection="1">
      <protection locked="0"/>
    </xf>
    <xf numFmtId="0" fontId="34" fillId="0" borderId="0" xfId="0" applyFont="1" applyProtection="1"/>
    <xf numFmtId="0" fontId="150" fillId="0" borderId="0" xfId="0" applyFont="1" applyProtection="1"/>
    <xf numFmtId="3" fontId="71" fillId="3" borderId="3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Border="1" applyAlignment="1" applyProtection="1">
      <alignment horizontal="center"/>
    </xf>
    <xf numFmtId="3" fontId="56" fillId="0" borderId="0" xfId="0" applyNumberFormat="1" applyFont="1" applyAlignment="1" applyProtection="1">
      <alignment horizontal="center"/>
    </xf>
    <xf numFmtId="3" fontId="4" fillId="0" borderId="0" xfId="0" applyNumberFormat="1" applyFont="1" applyAlignment="1" applyProtection="1">
      <alignment horizontal="center"/>
    </xf>
    <xf numFmtId="170" fontId="7" fillId="0" borderId="0" xfId="0" applyNumberFormat="1" applyFont="1" applyAlignment="1" applyProtection="1">
      <alignment horizontal="center"/>
    </xf>
    <xf numFmtId="3" fontId="6" fillId="0" borderId="0" xfId="0" applyNumberFormat="1" applyFont="1" applyAlignment="1" applyProtection="1">
      <alignment horizontal="center"/>
    </xf>
    <xf numFmtId="3" fontId="4" fillId="0" borderId="1" xfId="0" applyNumberFormat="1" applyFont="1" applyBorder="1" applyAlignment="1" applyProtection="1">
      <alignment vertical="center" wrapText="1"/>
    </xf>
    <xf numFmtId="195" fontId="4" fillId="0" borderId="1" xfId="0" applyNumberFormat="1" applyFont="1" applyFill="1" applyBorder="1" applyAlignment="1" applyProtection="1">
      <alignment horizontal="right" vertical="center"/>
    </xf>
    <xf numFmtId="195" fontId="4" fillId="0" borderId="1" xfId="0" applyNumberFormat="1" applyFont="1" applyBorder="1" applyAlignment="1" applyProtection="1">
      <alignment vertical="center" wrapText="1"/>
      <protection locked="0"/>
    </xf>
    <xf numFmtId="195" fontId="4" fillId="0" borderId="1" xfId="0" applyNumberFormat="1" applyFont="1" applyBorder="1" applyAlignment="1" applyProtection="1">
      <alignment vertical="center"/>
      <protection locked="0"/>
    </xf>
    <xf numFmtId="195" fontId="4" fillId="0" borderId="3" xfId="1288" applyNumberFormat="1" applyFont="1" applyFill="1" applyBorder="1" applyProtection="1"/>
    <xf numFmtId="195" fontId="4" fillId="0" borderId="1" xfId="0" applyNumberFormat="1" applyFont="1" applyFill="1" applyBorder="1" applyAlignment="1" applyProtection="1">
      <alignment horizontal="right" vertical="center"/>
      <protection locked="0"/>
    </xf>
    <xf numFmtId="169" fontId="146" fillId="0" borderId="0" xfId="3" applyNumberFormat="1" applyFont="1" applyAlignment="1" applyProtection="1">
      <alignment vertical="center" wrapText="1"/>
    </xf>
    <xf numFmtId="169" fontId="146" fillId="0" borderId="0" xfId="3" applyNumberFormat="1" applyFont="1" applyProtection="1"/>
    <xf numFmtId="169" fontId="147" fillId="0" borderId="0" xfId="3" applyNumberFormat="1" applyFont="1" applyProtection="1"/>
    <xf numFmtId="169" fontId="146" fillId="0" borderId="0" xfId="3" applyNumberFormat="1" applyFont="1" applyAlignment="1" applyProtection="1">
      <alignment vertical="center"/>
    </xf>
    <xf numFmtId="169" fontId="146" fillId="0" borderId="0" xfId="3" applyNumberFormat="1" applyFont="1" applyBorder="1" applyProtection="1"/>
    <xf numFmtId="0" fontId="151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3" fontId="4" fillId="0" borderId="1" xfId="0" applyNumberFormat="1" applyFont="1" applyBorder="1" applyAlignment="1" applyProtection="1">
      <alignment horizontal="right" vertical="center"/>
      <protection locked="0"/>
    </xf>
    <xf numFmtId="195" fontId="4" fillId="0" borderId="1" xfId="0" applyNumberFormat="1" applyFont="1" applyBorder="1" applyAlignment="1" applyProtection="1">
      <alignment horizontal="right" vertical="center"/>
      <protection locked="0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3" fontId="4" fillId="0" borderId="1" xfId="0" applyNumberFormat="1" applyFont="1" applyFill="1" applyBorder="1" applyAlignment="1" applyProtection="1">
      <alignment vertical="center"/>
      <protection locked="0"/>
    </xf>
    <xf numFmtId="3" fontId="4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Fill="1" applyBorder="1" applyAlignment="1" applyProtection="1">
      <alignment horizontal="right" vertical="center"/>
      <protection locked="0"/>
    </xf>
    <xf numFmtId="3" fontId="4" fillId="0" borderId="1" xfId="1288" applyNumberFormat="1" applyFont="1" applyFill="1" applyBorder="1" applyAlignment="1" applyProtection="1">
      <protection locked="0"/>
    </xf>
    <xf numFmtId="9" fontId="63" fillId="5" borderId="1" xfId="2" applyFont="1" applyFill="1" applyBorder="1" applyAlignment="1" applyProtection="1">
      <alignment horizontal="center" vertical="center" wrapText="1"/>
      <protection locked="0"/>
    </xf>
    <xf numFmtId="3" fontId="25" fillId="5" borderId="1" xfId="7" applyNumberFormat="1" applyFont="1" applyFill="1" applyBorder="1" applyAlignment="1" applyProtection="1">
      <alignment horizontal="center" vertical="center" wrapText="1"/>
      <protection locked="0"/>
    </xf>
    <xf numFmtId="171" fontId="37" fillId="0" borderId="1" xfId="2" applyNumberFormat="1" applyFont="1" applyFill="1" applyBorder="1" applyAlignment="1" applyProtection="1">
      <alignment horizontal="center" vertical="center" wrapText="1"/>
      <protection locked="0"/>
    </xf>
    <xf numFmtId="3" fontId="25" fillId="0" borderId="1" xfId="443" applyNumberFormat="1" applyFont="1" applyBorder="1" applyAlignment="1" applyProtection="1">
      <alignment horizontal="right" shrinkToFit="1"/>
      <protection locked="0"/>
    </xf>
    <xf numFmtId="3" fontId="7" fillId="0" borderId="1" xfId="0" applyNumberFormat="1" applyFont="1" applyBorder="1" applyAlignment="1" applyProtection="1">
      <alignment horizontal="center" vertical="center" wrapText="1"/>
      <protection locked="0"/>
    </xf>
    <xf numFmtId="170" fontId="53" fillId="0" borderId="9" xfId="4" applyNumberFormat="1" applyFont="1" applyFill="1" applyBorder="1" applyAlignment="1" applyProtection="1">
      <alignment horizontal="center" vertical="top" wrapText="1"/>
      <protection locked="0"/>
    </xf>
    <xf numFmtId="3" fontId="51" fillId="3" borderId="5" xfId="0" applyNumberFormat="1" applyFont="1" applyFill="1" applyBorder="1" applyAlignment="1" applyProtection="1">
      <alignment horizontal="center" vertical="center" wrapText="1"/>
    </xf>
    <xf numFmtId="3" fontId="51" fillId="3" borderId="3" xfId="0" applyNumberFormat="1" applyFont="1" applyFill="1" applyBorder="1" applyAlignment="1" applyProtection="1">
      <alignment horizontal="center" vertical="center" wrapText="1"/>
    </xf>
    <xf numFmtId="3" fontId="51" fillId="3" borderId="4" xfId="0" applyNumberFormat="1" applyFont="1" applyFill="1" applyBorder="1" applyAlignment="1" applyProtection="1">
      <alignment horizontal="center" vertical="center" wrapText="1"/>
    </xf>
    <xf numFmtId="3" fontId="51" fillId="3" borderId="8" xfId="0" applyNumberFormat="1" applyFont="1" applyFill="1" applyBorder="1" applyAlignment="1" applyProtection="1">
      <alignment horizontal="center" vertical="center" wrapText="1"/>
    </xf>
    <xf numFmtId="0" fontId="74" fillId="0" borderId="0" xfId="4" applyNumberFormat="1" applyFont="1" applyFill="1" applyBorder="1" applyAlignment="1" applyProtection="1">
      <alignment horizontal="center" vertical="center" wrapText="1"/>
    </xf>
    <xf numFmtId="0" fontId="74" fillId="0" borderId="0" xfId="4" applyNumberFormat="1" applyFont="1" applyFill="1" applyBorder="1" applyAlignment="1" applyProtection="1">
      <alignment horizontal="center" vertical="center"/>
    </xf>
    <xf numFmtId="0" fontId="51" fillId="0" borderId="0" xfId="0" applyFont="1" applyBorder="1" applyAlignment="1" applyProtection="1">
      <alignment horizontal="center" vertical="center" wrapText="1"/>
    </xf>
    <xf numFmtId="3" fontId="51" fillId="3" borderId="12" xfId="0" applyNumberFormat="1" applyFont="1" applyFill="1" applyBorder="1" applyAlignment="1" applyProtection="1">
      <alignment horizontal="center" vertical="center" wrapText="1"/>
    </xf>
    <xf numFmtId="3" fontId="51" fillId="3" borderId="7" xfId="0" applyNumberFormat="1" applyFont="1" applyFill="1" applyBorder="1" applyAlignment="1" applyProtection="1">
      <alignment horizontal="center" vertical="center" wrapText="1"/>
    </xf>
    <xf numFmtId="3" fontId="51" fillId="3" borderId="11" xfId="0" applyNumberFormat="1" applyFont="1" applyFill="1" applyBorder="1" applyAlignment="1" applyProtection="1">
      <alignment horizontal="center" vertical="center" wrapText="1"/>
    </xf>
    <xf numFmtId="3" fontId="51" fillId="3" borderId="15" xfId="0" applyNumberFormat="1" applyFont="1" applyFill="1" applyBorder="1" applyAlignment="1" applyProtection="1">
      <alignment horizontal="center" vertical="center" wrapText="1"/>
    </xf>
    <xf numFmtId="3" fontId="51" fillId="3" borderId="10" xfId="0" applyNumberFormat="1" applyFont="1" applyFill="1" applyBorder="1" applyAlignment="1" applyProtection="1">
      <alignment horizontal="center" vertical="center" wrapText="1"/>
    </xf>
    <xf numFmtId="3" fontId="51" fillId="3" borderId="0" xfId="0" applyNumberFormat="1" applyFont="1" applyFill="1" applyBorder="1" applyAlignment="1" applyProtection="1">
      <alignment horizontal="center" vertical="center" wrapText="1"/>
    </xf>
    <xf numFmtId="3" fontId="51" fillId="3" borderId="13" xfId="0" applyNumberFormat="1" applyFont="1" applyFill="1" applyBorder="1" applyAlignment="1" applyProtection="1">
      <alignment horizontal="center" vertical="center" wrapText="1"/>
    </xf>
    <xf numFmtId="3" fontId="51" fillId="3" borderId="2" xfId="0" applyNumberFormat="1" applyFont="1" applyFill="1" applyBorder="1" applyAlignment="1" applyProtection="1">
      <alignment horizontal="center" vertical="center" wrapText="1"/>
    </xf>
    <xf numFmtId="3" fontId="51" fillId="3" borderId="9" xfId="0" applyNumberFormat="1" applyFont="1" applyFill="1" applyBorder="1" applyAlignment="1" applyProtection="1">
      <alignment horizontal="center" vertical="center" wrapText="1"/>
    </xf>
    <xf numFmtId="3" fontId="51" fillId="3" borderId="14" xfId="0" applyNumberFormat="1" applyFont="1" applyFill="1" applyBorder="1" applyAlignment="1" applyProtection="1">
      <alignment horizontal="center" vertical="center" wrapText="1"/>
    </xf>
    <xf numFmtId="3" fontId="51" fillId="3" borderId="6" xfId="0" applyNumberFormat="1" applyFont="1" applyFill="1" applyBorder="1" applyAlignment="1" applyProtection="1">
      <alignment horizontal="center" vertical="center" wrapText="1"/>
    </xf>
    <xf numFmtId="170" fontId="71" fillId="0" borderId="0" xfId="0" applyNumberFormat="1" applyFont="1" applyBorder="1" applyAlignment="1" applyProtection="1">
      <alignment horizontal="center"/>
    </xf>
    <xf numFmtId="3" fontId="17" fillId="3" borderId="1" xfId="0" applyNumberFormat="1" applyFont="1" applyFill="1" applyBorder="1" applyAlignment="1" applyProtection="1">
      <alignment horizontal="center" vertical="center" textRotation="90" wrapText="1"/>
    </xf>
    <xf numFmtId="3" fontId="17" fillId="3" borderId="1" xfId="0" applyNumberFormat="1" applyFont="1" applyFill="1" applyBorder="1" applyAlignment="1" applyProtection="1">
      <alignment horizontal="center" vertical="center"/>
    </xf>
    <xf numFmtId="3" fontId="17" fillId="3" borderId="5" xfId="0" applyNumberFormat="1" applyFont="1" applyFill="1" applyBorder="1" applyAlignment="1" applyProtection="1">
      <alignment horizontal="center" vertical="center"/>
    </xf>
    <xf numFmtId="3" fontId="17" fillId="3" borderId="12" xfId="0" applyNumberFormat="1" applyFont="1" applyFill="1" applyBorder="1" applyAlignment="1" applyProtection="1">
      <alignment horizontal="center" vertical="center"/>
    </xf>
    <xf numFmtId="3" fontId="17" fillId="3" borderId="3" xfId="0" applyNumberFormat="1" applyFont="1" applyFill="1" applyBorder="1" applyAlignment="1" applyProtection="1">
      <alignment horizontal="center" vertical="center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7" fillId="3" borderId="12" xfId="0" applyNumberFormat="1" applyFont="1" applyFill="1" applyBorder="1" applyAlignment="1" applyProtection="1">
      <alignment horizontal="center" vertical="center" wrapText="1"/>
    </xf>
    <xf numFmtId="3" fontId="17" fillId="3" borderId="3" xfId="0" applyNumberFormat="1" applyFont="1" applyFill="1" applyBorder="1" applyAlignment="1" applyProtection="1">
      <alignment horizontal="center" vertical="center" wrapText="1"/>
    </xf>
    <xf numFmtId="3" fontId="17" fillId="3" borderId="1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>
      <alignment horizontal="center"/>
    </xf>
    <xf numFmtId="3" fontId="56" fillId="3" borderId="7" xfId="0" applyNumberFormat="1" applyFont="1" applyFill="1" applyBorder="1" applyAlignment="1" applyProtection="1">
      <alignment horizontal="center" vertical="center" wrapText="1"/>
    </xf>
    <xf numFmtId="3" fontId="56" fillId="3" borderId="15" xfId="0" applyNumberFormat="1" applyFont="1" applyFill="1" applyBorder="1" applyAlignment="1" applyProtection="1">
      <alignment horizontal="center" vertical="center" wrapText="1"/>
    </xf>
    <xf numFmtId="3" fontId="56" fillId="3" borderId="2" xfId="0" applyNumberFormat="1" applyFont="1" applyFill="1" applyBorder="1" applyAlignment="1" applyProtection="1">
      <alignment horizontal="center" vertical="center" wrapText="1"/>
    </xf>
    <xf numFmtId="3" fontId="56" fillId="3" borderId="14" xfId="0" applyNumberFormat="1" applyFont="1" applyFill="1" applyBorder="1" applyAlignment="1" applyProtection="1">
      <alignment horizontal="center" vertical="center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6" fillId="3" borderId="12" xfId="0" applyNumberFormat="1" applyFont="1" applyFill="1" applyBorder="1" applyAlignment="1" applyProtection="1">
      <alignment horizontal="center" vertical="center" wrapText="1"/>
    </xf>
    <xf numFmtId="3" fontId="56" fillId="3" borderId="3" xfId="0" applyNumberFormat="1" applyFont="1" applyFill="1" applyBorder="1" applyAlignment="1" applyProtection="1">
      <alignment horizontal="center" vertical="center" wrapText="1"/>
    </xf>
    <xf numFmtId="3" fontId="56" fillId="3" borderId="4" xfId="0" applyNumberFormat="1" applyFont="1" applyFill="1" applyBorder="1" applyAlignment="1" applyProtection="1">
      <alignment horizontal="center" vertical="center" wrapText="1"/>
    </xf>
    <xf numFmtId="3" fontId="56" fillId="3" borderId="6" xfId="0" applyNumberFormat="1" applyFont="1" applyFill="1" applyBorder="1" applyAlignment="1" applyProtection="1">
      <alignment horizontal="center" vertical="center" wrapText="1"/>
    </xf>
    <xf numFmtId="3" fontId="56" fillId="3" borderId="8" xfId="0" applyNumberFormat="1" applyFont="1" applyFill="1" applyBorder="1" applyAlignment="1" applyProtection="1">
      <alignment horizontal="center" vertical="center" wrapText="1"/>
    </xf>
    <xf numFmtId="3" fontId="55" fillId="3" borderId="4" xfId="0" applyNumberFormat="1" applyFont="1" applyFill="1" applyBorder="1" applyAlignment="1" applyProtection="1">
      <alignment horizontal="center" vertical="center" wrapText="1"/>
    </xf>
    <xf numFmtId="3" fontId="55" fillId="3" borderId="6" xfId="0" applyNumberFormat="1" applyFont="1" applyFill="1" applyBorder="1" applyAlignment="1" applyProtection="1">
      <alignment horizontal="center" vertical="center" wrapText="1"/>
    </xf>
    <xf numFmtId="3" fontId="55" fillId="3" borderId="5" xfId="0" applyNumberFormat="1" applyFont="1" applyFill="1" applyBorder="1" applyAlignment="1" applyProtection="1">
      <alignment horizontal="center" vertical="center" textRotation="90" wrapText="1"/>
    </xf>
    <xf numFmtId="3" fontId="55" fillId="3" borderId="12" xfId="0" applyNumberFormat="1" applyFont="1" applyFill="1" applyBorder="1" applyAlignment="1" applyProtection="1">
      <alignment horizontal="center" vertical="center" textRotation="90" wrapText="1"/>
    </xf>
    <xf numFmtId="3" fontId="55" fillId="3" borderId="3" xfId="0" applyNumberFormat="1" applyFont="1" applyFill="1" applyBorder="1" applyAlignment="1" applyProtection="1">
      <alignment horizontal="center" vertical="center" textRotation="90" wrapText="1"/>
    </xf>
    <xf numFmtId="3" fontId="55" fillId="3" borderId="7" xfId="0" applyNumberFormat="1" applyFont="1" applyFill="1" applyBorder="1" applyAlignment="1" applyProtection="1">
      <alignment horizontal="center" vertical="center" wrapText="1"/>
    </xf>
    <xf numFmtId="3" fontId="55" fillId="3" borderId="15" xfId="0" applyNumberFormat="1" applyFont="1" applyFill="1" applyBorder="1" applyAlignment="1" applyProtection="1">
      <alignment horizontal="center" vertical="center" wrapText="1"/>
    </xf>
    <xf numFmtId="3" fontId="55" fillId="3" borderId="2" xfId="0" applyNumberFormat="1" applyFont="1" applyFill="1" applyBorder="1" applyAlignment="1" applyProtection="1">
      <alignment horizontal="center" vertical="center" wrapText="1"/>
    </xf>
    <xf numFmtId="3" fontId="55" fillId="3" borderId="14" xfId="0" applyNumberFormat="1" applyFont="1" applyFill="1" applyBorder="1" applyAlignment="1" applyProtection="1">
      <alignment horizontal="center" vertical="center" wrapText="1"/>
    </xf>
    <xf numFmtId="0" fontId="21" fillId="0" borderId="0" xfId="0" applyFont="1" applyAlignment="1">
      <alignment horizontal="left" indent="1"/>
    </xf>
    <xf numFmtId="3" fontId="4" fillId="0" borderId="9" xfId="0" applyNumberFormat="1" applyFont="1" applyBorder="1" applyAlignment="1" applyProtection="1">
      <alignment horizontal="center"/>
    </xf>
    <xf numFmtId="0" fontId="47" fillId="0" borderId="0" xfId="0" applyFont="1" applyAlignment="1" applyProtection="1">
      <alignment horizontal="center" vertical="center"/>
    </xf>
    <xf numFmtId="3" fontId="71" fillId="3" borderId="4" xfId="0" applyNumberFormat="1" applyFont="1" applyFill="1" applyBorder="1" applyAlignment="1" applyProtection="1">
      <alignment horizontal="center" vertical="center" wrapText="1"/>
    </xf>
    <xf numFmtId="3" fontId="71" fillId="3" borderId="8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"/>
    </xf>
    <xf numFmtId="3" fontId="55" fillId="3" borderId="5" xfId="0" applyNumberFormat="1" applyFont="1" applyFill="1" applyBorder="1" applyAlignment="1" applyProtection="1">
      <alignment horizontal="center" vertical="center" wrapText="1"/>
    </xf>
    <xf numFmtId="3" fontId="55" fillId="3" borderId="12" xfId="0" applyNumberFormat="1" applyFont="1" applyFill="1" applyBorder="1" applyAlignment="1" applyProtection="1">
      <alignment horizontal="center" vertical="center" wrapText="1"/>
    </xf>
    <xf numFmtId="3" fontId="55" fillId="3" borderId="3" xfId="0" applyNumberFormat="1" applyFont="1" applyFill="1" applyBorder="1" applyAlignment="1" applyProtection="1">
      <alignment horizontal="center" vertical="center" wrapText="1"/>
    </xf>
    <xf numFmtId="3" fontId="55" fillId="3" borderId="4" xfId="0" applyNumberFormat="1" applyFont="1" applyFill="1" applyBorder="1" applyAlignment="1" applyProtection="1">
      <alignment horizontal="center" vertical="center" textRotation="90" wrapText="1"/>
    </xf>
    <xf numFmtId="3" fontId="55" fillId="3" borderId="6" xfId="0" applyNumberFormat="1" applyFont="1" applyFill="1" applyBorder="1" applyAlignment="1" applyProtection="1">
      <alignment horizontal="center" vertical="center" textRotation="90" wrapText="1"/>
    </xf>
    <xf numFmtId="3" fontId="55" fillId="3" borderId="10" xfId="0" applyNumberFormat="1" applyFont="1" applyFill="1" applyBorder="1" applyAlignment="1" applyProtection="1">
      <alignment horizontal="center" vertical="center" wrapText="1"/>
    </xf>
    <xf numFmtId="3" fontId="55" fillId="3" borderId="13" xfId="0" applyNumberFormat="1" applyFont="1" applyFill="1" applyBorder="1" applyAlignment="1" applyProtection="1">
      <alignment horizontal="center" vertical="center" wrapText="1"/>
    </xf>
    <xf numFmtId="3" fontId="21" fillId="3" borderId="5" xfId="0" applyNumberFormat="1" applyFont="1" applyFill="1" applyBorder="1" applyAlignment="1" applyProtection="1">
      <alignment horizontal="center" vertical="center" wrapText="1"/>
    </xf>
    <xf numFmtId="3" fontId="21" fillId="3" borderId="12" xfId="0" applyNumberFormat="1" applyFont="1" applyFill="1" applyBorder="1" applyAlignment="1" applyProtection="1">
      <alignment horizontal="center" vertical="center" wrapText="1"/>
    </xf>
    <xf numFmtId="3" fontId="21" fillId="3" borderId="3" xfId="0" applyNumberFormat="1" applyFont="1" applyFill="1" applyBorder="1" applyAlignment="1" applyProtection="1">
      <alignment horizontal="center" vertical="center" wrapText="1"/>
    </xf>
    <xf numFmtId="3" fontId="55" fillId="3" borderId="1" xfId="0" applyNumberFormat="1" applyFont="1" applyFill="1" applyBorder="1" applyAlignment="1" applyProtection="1">
      <alignment horizontal="center" vertical="center" wrapText="1"/>
    </xf>
    <xf numFmtId="3" fontId="55" fillId="3" borderId="8" xfId="0" applyNumberFormat="1" applyFont="1" applyFill="1" applyBorder="1" applyAlignment="1" applyProtection="1">
      <alignment horizontal="center" vertical="center" wrapText="1"/>
    </xf>
    <xf numFmtId="3" fontId="55" fillId="3" borderId="9" xfId="0" applyNumberFormat="1" applyFont="1" applyFill="1" applyBorder="1" applyAlignment="1" applyProtection="1">
      <alignment horizontal="center" vertical="center" wrapText="1"/>
    </xf>
    <xf numFmtId="3" fontId="6" fillId="0" borderId="0" xfId="0" applyNumberFormat="1" applyFont="1" applyAlignment="1" applyProtection="1">
      <alignment horizontal="center" vertical="center" wrapText="1"/>
    </xf>
    <xf numFmtId="0" fontId="45" fillId="0" borderId="0" xfId="5" applyNumberFormat="1" applyFont="1" applyFill="1" applyBorder="1" applyAlignment="1" applyProtection="1">
      <alignment horizontal="center" vertical="center" wrapText="1"/>
    </xf>
    <xf numFmtId="0" fontId="37" fillId="0" borderId="0" xfId="5" applyNumberFormat="1" applyFont="1" applyFill="1" applyBorder="1" applyAlignment="1" applyProtection="1">
      <alignment horizontal="center" vertical="center"/>
    </xf>
    <xf numFmtId="3" fontId="21" fillId="3" borderId="7" xfId="0" applyNumberFormat="1" applyFont="1" applyFill="1" applyBorder="1" applyAlignment="1" applyProtection="1">
      <alignment horizontal="center" vertical="center" wrapText="1"/>
    </xf>
    <xf numFmtId="3" fontId="21" fillId="3" borderId="15" xfId="0" applyNumberFormat="1" applyFont="1" applyFill="1" applyBorder="1" applyAlignment="1" applyProtection="1">
      <alignment horizontal="center" vertical="center" wrapText="1"/>
    </xf>
    <xf numFmtId="3" fontId="21" fillId="3" borderId="2" xfId="0" applyNumberFormat="1" applyFont="1" applyFill="1" applyBorder="1" applyAlignment="1" applyProtection="1">
      <alignment horizontal="center" vertical="center" wrapText="1"/>
    </xf>
    <xf numFmtId="3" fontId="21" fillId="3" borderId="14" xfId="0" applyNumberFormat="1" applyFont="1" applyFill="1" applyBorder="1" applyAlignment="1" applyProtection="1">
      <alignment horizontal="center" vertical="center" wrapText="1"/>
    </xf>
    <xf numFmtId="3" fontId="21" fillId="3" borderId="4" xfId="0" applyNumberFormat="1" applyFont="1" applyFill="1" applyBorder="1" applyAlignment="1" applyProtection="1">
      <alignment horizontal="center" vertical="center" wrapText="1"/>
    </xf>
    <xf numFmtId="3" fontId="21" fillId="3" borderId="8" xfId="0" applyNumberFormat="1" applyFont="1" applyFill="1" applyBorder="1" applyAlignment="1" applyProtection="1">
      <alignment horizontal="center" vertical="center" wrapText="1"/>
    </xf>
    <xf numFmtId="3" fontId="21" fillId="3" borderId="6" xfId="0" applyNumberFormat="1" applyFont="1" applyFill="1" applyBorder="1" applyAlignment="1" applyProtection="1">
      <alignment horizontal="center" vertical="center" wrapText="1"/>
    </xf>
    <xf numFmtId="170" fontId="34" fillId="0" borderId="9" xfId="0" applyNumberFormat="1" applyFont="1" applyBorder="1" applyAlignment="1" applyProtection="1">
      <alignment horizontal="center" wrapText="1"/>
    </xf>
    <xf numFmtId="0" fontId="110" fillId="0" borderId="0" xfId="9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2" xfId="0" applyNumberFormat="1" applyFont="1" applyFill="1" applyBorder="1" applyAlignment="1" applyProtection="1">
      <alignment horizontal="center" vertical="center" wrapText="1"/>
    </xf>
    <xf numFmtId="3" fontId="46" fillId="3" borderId="3" xfId="0" applyNumberFormat="1" applyFont="1" applyFill="1" applyBorder="1" applyAlignment="1" applyProtection="1">
      <alignment horizontal="center" vertical="center" wrapText="1"/>
    </xf>
    <xf numFmtId="3" fontId="46" fillId="3" borderId="7" xfId="0" applyNumberFormat="1" applyFont="1" applyFill="1" applyBorder="1" applyAlignment="1" applyProtection="1">
      <alignment horizontal="center" vertical="center" wrapText="1"/>
    </xf>
    <xf numFmtId="3" fontId="46" fillId="3" borderId="11" xfId="0" applyNumberFormat="1" applyFont="1" applyFill="1" applyBorder="1" applyAlignment="1" applyProtection="1">
      <alignment horizontal="center" vertical="center" wrapText="1"/>
    </xf>
    <xf numFmtId="3" fontId="46" fillId="3" borderId="15" xfId="0" applyNumberFormat="1" applyFont="1" applyFill="1" applyBorder="1" applyAlignment="1" applyProtection="1">
      <alignment horizontal="center" vertical="center" wrapText="1"/>
    </xf>
    <xf numFmtId="3" fontId="46" fillId="3" borderId="2" xfId="0" applyNumberFormat="1" applyFont="1" applyFill="1" applyBorder="1" applyAlignment="1" applyProtection="1">
      <alignment horizontal="center" vertical="center" wrapText="1"/>
    </xf>
    <xf numFmtId="3" fontId="46" fillId="3" borderId="9" xfId="0" applyNumberFormat="1" applyFont="1" applyFill="1" applyBorder="1" applyAlignment="1" applyProtection="1">
      <alignment horizontal="center" vertical="center" wrapText="1"/>
    </xf>
    <xf numFmtId="3" fontId="46" fillId="3" borderId="14" xfId="0" applyNumberFormat="1" applyFont="1" applyFill="1" applyBorder="1" applyAlignment="1" applyProtection="1">
      <alignment horizontal="center" vertical="center" wrapText="1"/>
    </xf>
    <xf numFmtId="3" fontId="46" fillId="3" borderId="1" xfId="0" applyNumberFormat="1" applyFont="1" applyFill="1" applyBorder="1" applyAlignment="1" applyProtection="1">
      <alignment horizontal="center" vertical="center" wrapText="1"/>
    </xf>
    <xf numFmtId="170" fontId="71" fillId="0" borderId="9" xfId="0" applyNumberFormat="1" applyFont="1" applyBorder="1" applyAlignment="1" applyProtection="1">
      <alignment horizontal="center" wrapText="1"/>
    </xf>
    <xf numFmtId="0" fontId="27" fillId="0" borderId="0" xfId="0" applyFont="1" applyBorder="1" applyAlignment="1" applyProtection="1">
      <alignment horizontal="center" vertical="center"/>
    </xf>
    <xf numFmtId="0" fontId="28" fillId="0" borderId="0" xfId="0" applyFont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170" fontId="21" fillId="0" borderId="9" xfId="5" applyNumberFormat="1" applyFont="1" applyFill="1" applyBorder="1" applyAlignment="1" applyProtection="1">
      <alignment horizontal="center" vertical="top"/>
    </xf>
    <xf numFmtId="0" fontId="45" fillId="0" borderId="0" xfId="5" applyNumberFormat="1" applyFont="1" applyFill="1" applyBorder="1" applyAlignment="1" applyProtection="1">
      <alignment horizontal="center" vertical="top" wrapText="1"/>
    </xf>
    <xf numFmtId="168" fontId="9" fillId="0" borderId="5" xfId="0" applyNumberFormat="1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 vertical="center"/>
      <protection locked="0"/>
    </xf>
    <xf numFmtId="168" fontId="9" fillId="0" borderId="1" xfId="0" applyNumberFormat="1" applyFont="1" applyFill="1" applyBorder="1" applyAlignment="1" applyProtection="1">
      <alignment horizontal="center" vertical="center"/>
    </xf>
    <xf numFmtId="168" fontId="4" fillId="0" borderId="1" xfId="0" applyNumberFormat="1" applyFont="1" applyFill="1" applyBorder="1" applyAlignment="1" applyProtection="1">
      <alignment horizontal="center" vertical="center"/>
    </xf>
    <xf numFmtId="0" fontId="19" fillId="0" borderId="4" xfId="0" applyFont="1" applyFill="1" applyBorder="1" applyAlignment="1" applyProtection="1">
      <alignment horizontal="center" vertical="center"/>
    </xf>
    <xf numFmtId="0" fontId="19" fillId="0" borderId="8" xfId="0" applyFont="1" applyFill="1" applyBorder="1" applyAlignment="1" applyProtection="1">
      <alignment horizontal="center" vertical="center"/>
    </xf>
    <xf numFmtId="0" fontId="19" fillId="0" borderId="6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left"/>
    </xf>
    <xf numFmtId="0" fontId="7" fillId="0" borderId="8" xfId="0" applyFont="1" applyFill="1" applyBorder="1" applyAlignment="1" applyProtection="1">
      <alignment horizontal="left"/>
    </xf>
    <xf numFmtId="0" fontId="7" fillId="0" borderId="6" xfId="0" applyFont="1" applyFill="1" applyBorder="1" applyAlignment="1" applyProtection="1">
      <alignment horizontal="left"/>
    </xf>
    <xf numFmtId="49" fontId="4" fillId="0" borderId="5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19" fillId="0" borderId="4" xfId="0" applyFont="1" applyFill="1" applyBorder="1" applyAlignment="1" applyProtection="1">
      <alignment horizontal="center" vertical="center" wrapText="1"/>
    </xf>
    <xf numFmtId="0" fontId="19" fillId="0" borderId="8" xfId="0" applyFont="1" applyFill="1" applyBorder="1" applyAlignment="1" applyProtection="1">
      <alignment horizontal="center" vertical="center" wrapText="1"/>
    </xf>
    <xf numFmtId="0" fontId="19" fillId="0" borderId="6" xfId="0" applyFont="1" applyFill="1" applyBorder="1" applyAlignment="1" applyProtection="1">
      <alignment horizontal="center" vertical="center" wrapText="1"/>
    </xf>
    <xf numFmtId="168" fontId="9" fillId="0" borderId="5" xfId="0" applyNumberFormat="1" applyFont="1" applyFill="1" applyBorder="1" applyAlignment="1" applyProtection="1">
      <alignment horizontal="center" vertical="center"/>
    </xf>
    <xf numFmtId="168" fontId="4" fillId="0" borderId="3" xfId="0" applyNumberFormat="1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19" fillId="0" borderId="2" xfId="0" quotePrefix="1" applyFont="1" applyFill="1" applyBorder="1" applyAlignment="1" applyProtection="1">
      <alignment horizontal="center" vertical="center" wrapText="1"/>
    </xf>
    <xf numFmtId="0" fontId="19" fillId="0" borderId="9" xfId="0" applyFont="1" applyFill="1" applyBorder="1" applyAlignment="1" applyProtection="1">
      <alignment horizontal="center" vertical="center" wrapText="1"/>
    </xf>
    <xf numFmtId="0" fontId="19" fillId="0" borderId="14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center" wrapText="1"/>
    </xf>
    <xf numFmtId="0" fontId="19" fillId="0" borderId="7" xfId="0" quotePrefix="1" applyFont="1" applyFill="1" applyBorder="1" applyAlignment="1" applyProtection="1">
      <alignment horizontal="center" vertical="center" wrapText="1"/>
    </xf>
    <xf numFmtId="0" fontId="19" fillId="0" borderId="11" xfId="0" quotePrefix="1" applyFont="1" applyFill="1" applyBorder="1" applyAlignment="1" applyProtection="1">
      <alignment horizontal="center" vertical="center" wrapText="1"/>
    </xf>
    <xf numFmtId="0" fontId="19" fillId="0" borderId="15" xfId="0" quotePrefix="1" applyFont="1" applyFill="1" applyBorder="1" applyAlignment="1" applyProtection="1">
      <alignment horizontal="center" vertical="center" wrapText="1"/>
    </xf>
    <xf numFmtId="0" fontId="19" fillId="0" borderId="7" xfId="0" quotePrefix="1" applyFont="1" applyFill="1" applyBorder="1" applyAlignment="1" applyProtection="1">
      <alignment horizontal="center" vertical="center"/>
    </xf>
    <xf numFmtId="0" fontId="19" fillId="0" borderId="11" xfId="0" quotePrefix="1" applyFont="1" applyFill="1" applyBorder="1" applyAlignment="1" applyProtection="1">
      <alignment horizontal="center" vertical="center"/>
    </xf>
    <xf numFmtId="0" fontId="19" fillId="0" borderId="10" xfId="0" quotePrefix="1" applyFont="1" applyFill="1" applyBorder="1" applyAlignment="1" applyProtection="1">
      <alignment horizontal="center" vertical="center"/>
    </xf>
    <xf numFmtId="0" fontId="19" fillId="0" borderId="0" xfId="0" quotePrefix="1" applyFont="1" applyFill="1" applyBorder="1" applyAlignment="1" applyProtection="1">
      <alignment horizontal="center" vertical="center"/>
    </xf>
    <xf numFmtId="0" fontId="19" fillId="0" borderId="2" xfId="0" quotePrefix="1" applyFont="1" applyFill="1" applyBorder="1" applyAlignment="1" applyProtection="1">
      <alignment horizontal="center" vertical="center"/>
    </xf>
    <xf numFmtId="0" fontId="19" fillId="0" borderId="9" xfId="0" quotePrefix="1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/>
    </xf>
    <xf numFmtId="0" fontId="7" fillId="0" borderId="8" xfId="0" applyFont="1" applyFill="1" applyBorder="1" applyAlignment="1" applyProtection="1">
      <alignment horizontal="center"/>
    </xf>
    <xf numFmtId="0" fontId="7" fillId="0" borderId="6" xfId="0" applyFont="1" applyFill="1" applyBorder="1" applyAlignment="1" applyProtection="1">
      <alignment horizontal="center"/>
    </xf>
    <xf numFmtId="0" fontId="19" fillId="0" borderId="11" xfId="0" applyFont="1" applyFill="1" applyBorder="1" applyAlignment="1" applyProtection="1">
      <alignment horizontal="center" vertical="center" wrapText="1"/>
    </xf>
    <xf numFmtId="0" fontId="19" fillId="0" borderId="4" xfId="0" applyFont="1" applyFill="1" applyBorder="1" applyAlignment="1" applyProtection="1">
      <alignment horizontal="center"/>
    </xf>
    <xf numFmtId="0" fontId="19" fillId="0" borderId="8" xfId="0" applyFont="1" applyFill="1" applyBorder="1" applyAlignment="1" applyProtection="1">
      <alignment horizontal="center"/>
    </xf>
    <xf numFmtId="0" fontId="19" fillId="0" borderId="6" xfId="0" applyFont="1" applyFill="1" applyBorder="1" applyAlignment="1" applyProtection="1">
      <alignment horizont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168" fontId="4" fillId="0" borderId="12" xfId="0" applyNumberFormat="1" applyFont="1" applyFill="1" applyBorder="1" applyAlignment="1" applyProtection="1">
      <alignment horizontal="center" vertical="center"/>
    </xf>
    <xf numFmtId="49" fontId="4" fillId="0" borderId="12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19" fillId="0" borderId="4" xfId="0" applyFont="1" applyBorder="1" applyAlignment="1" applyProtection="1">
      <alignment horizontal="center" vertical="center" wrapText="1"/>
    </xf>
    <xf numFmtId="0" fontId="19" fillId="0" borderId="8" xfId="0" applyFont="1" applyBorder="1" applyAlignment="1" applyProtection="1">
      <alignment horizontal="center" vertical="center" wrapText="1"/>
    </xf>
    <xf numFmtId="0" fontId="19" fillId="0" borderId="6" xfId="0" applyFont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15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0" borderId="9" xfId="0" applyFont="1" applyFill="1" applyBorder="1" applyAlignment="1" applyProtection="1">
      <alignment horizontal="center" vertical="center" wrapText="1"/>
    </xf>
    <xf numFmtId="0" fontId="5" fillId="0" borderId="14" xfId="0" applyFont="1" applyFill="1" applyBorder="1" applyAlignment="1" applyProtection="1">
      <alignment horizontal="center" vertical="center" wrapText="1"/>
    </xf>
    <xf numFmtId="0" fontId="19" fillId="0" borderId="10" xfId="0" applyFont="1" applyFill="1" applyBorder="1" applyAlignment="1" applyProtection="1">
      <alignment horizontal="center" vertical="center" wrapText="1"/>
    </xf>
    <xf numFmtId="0" fontId="19" fillId="0" borderId="0" xfId="0" quotePrefix="1" applyFont="1" applyFill="1" applyBorder="1" applyAlignment="1" applyProtection="1">
      <alignment horizontal="center" vertical="center" wrapText="1"/>
    </xf>
    <xf numFmtId="0" fontId="19" fillId="0" borderId="13" xfId="0" quotePrefix="1" applyFont="1" applyFill="1" applyBorder="1" applyAlignment="1" applyProtection="1">
      <alignment horizontal="center" vertical="center" wrapText="1"/>
    </xf>
    <xf numFmtId="49" fontId="4" fillId="0" borderId="5" xfId="0" applyNumberFormat="1" applyFont="1" applyBorder="1" applyAlignment="1" applyProtection="1">
      <alignment horizontal="center" vertical="center"/>
    </xf>
    <xf numFmtId="49" fontId="4" fillId="0" borderId="3" xfId="0" applyNumberFormat="1" applyFont="1" applyBorder="1" applyAlignment="1" applyProtection="1">
      <alignment horizontal="center" vertical="center"/>
    </xf>
    <xf numFmtId="0" fontId="0" fillId="0" borderId="3" xfId="0" applyBorder="1" applyProtection="1"/>
    <xf numFmtId="0" fontId="8" fillId="0" borderId="4" xfId="0" applyFont="1" applyFill="1" applyBorder="1" applyAlignment="1" applyProtection="1">
      <alignment horizontal="center"/>
    </xf>
    <xf numFmtId="0" fontId="8" fillId="0" borderId="8" xfId="0" applyFont="1" applyFill="1" applyBorder="1" applyAlignment="1" applyProtection="1">
      <alignment horizontal="center"/>
    </xf>
    <xf numFmtId="0" fontId="8" fillId="0" borderId="6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7" xfId="0" applyFont="1" applyFill="1" applyBorder="1" applyAlignment="1" applyProtection="1">
      <alignment horizontal="center" vertical="center" wrapText="1"/>
    </xf>
    <xf numFmtId="0" fontId="0" fillId="0" borderId="11" xfId="0" applyFont="1" applyFill="1" applyBorder="1" applyAlignment="1" applyProtection="1">
      <alignment horizontal="center" vertical="center" wrapText="1"/>
    </xf>
    <xf numFmtId="0" fontId="0" fillId="0" borderId="15" xfId="0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 applyProtection="1">
      <alignment horizontal="center" vertical="center" wrapText="1"/>
    </xf>
    <xf numFmtId="0" fontId="0" fillId="0" borderId="9" xfId="0" applyFont="1" applyFill="1" applyBorder="1" applyAlignment="1" applyProtection="1">
      <alignment horizontal="center" vertical="center" wrapText="1"/>
    </xf>
    <xf numFmtId="0" fontId="0" fillId="0" borderId="14" xfId="0" applyFont="1" applyFill="1" applyBorder="1" applyAlignment="1" applyProtection="1">
      <alignment horizontal="center" vertical="center" wrapText="1"/>
    </xf>
    <xf numFmtId="0" fontId="19" fillId="0" borderId="7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/>
    </xf>
    <xf numFmtId="0" fontId="8" fillId="0" borderId="8" xfId="0" applyFont="1" applyBorder="1" applyAlignment="1" applyProtection="1">
      <alignment horizontal="center"/>
    </xf>
    <xf numFmtId="0" fontId="8" fillId="0" borderId="6" xfId="0" applyFont="1" applyBorder="1" applyAlignment="1" applyProtection="1">
      <alignment horizontal="center"/>
    </xf>
    <xf numFmtId="0" fontId="19" fillId="0" borderId="4" xfId="0" applyFont="1" applyBorder="1" applyAlignment="1" applyProtection="1">
      <alignment horizontal="center" vertical="center"/>
    </xf>
    <xf numFmtId="0" fontId="19" fillId="0" borderId="8" xfId="0" applyFont="1" applyBorder="1" applyAlignment="1" applyProtection="1">
      <alignment horizontal="center" vertical="center"/>
    </xf>
    <xf numFmtId="0" fontId="19" fillId="0" borderId="6" xfId="0" applyFont="1" applyBorder="1" applyAlignment="1" applyProtection="1">
      <alignment horizontal="center" vertical="center"/>
    </xf>
    <xf numFmtId="168" fontId="9" fillId="0" borderId="5" xfId="0" applyNumberFormat="1" applyFont="1" applyBorder="1" applyAlignment="1" applyProtection="1">
      <alignment horizontal="center" vertical="center"/>
    </xf>
    <xf numFmtId="168" fontId="4" fillId="0" borderId="12" xfId="0" applyNumberFormat="1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/>
    </xf>
    <xf numFmtId="0" fontId="19" fillId="0" borderId="11" xfId="0" applyFont="1" applyBorder="1" applyAlignment="1" applyProtection="1">
      <alignment horizontal="center"/>
    </xf>
    <xf numFmtId="0" fontId="19" fillId="0" borderId="15" xfId="0" applyFont="1" applyBorder="1" applyAlignment="1" applyProtection="1">
      <alignment horizontal="center"/>
    </xf>
    <xf numFmtId="0" fontId="19" fillId="0" borderId="7" xfId="0" applyFont="1" applyBorder="1" applyAlignment="1" applyProtection="1">
      <alignment horizontal="center" vertical="center" wrapText="1"/>
    </xf>
    <xf numFmtId="0" fontId="19" fillId="0" borderId="11" xfId="0" quotePrefix="1" applyFont="1" applyBorder="1" applyAlignment="1" applyProtection="1">
      <alignment horizontal="center" vertical="center" wrapText="1"/>
    </xf>
    <xf numFmtId="0" fontId="19" fillId="0" borderId="15" xfId="0" quotePrefix="1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center"/>
    </xf>
    <xf numFmtId="0" fontId="19" fillId="0" borderId="8" xfId="0" applyFont="1" applyBorder="1" applyAlignment="1" applyProtection="1">
      <alignment horizontal="center"/>
    </xf>
    <xf numFmtId="0" fontId="19" fillId="0" borderId="6" xfId="0" applyFont="1" applyBorder="1" applyAlignment="1" applyProtection="1">
      <alignment horizontal="center"/>
    </xf>
    <xf numFmtId="2" fontId="5" fillId="0" borderId="5" xfId="0" applyNumberFormat="1" applyFont="1" applyFill="1" applyBorder="1" applyAlignment="1" applyProtection="1">
      <alignment horizontal="center" vertical="center"/>
    </xf>
    <xf numFmtId="2" fontId="5" fillId="0" borderId="12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19" fillId="0" borderId="11" xfId="0" applyFont="1" applyBorder="1" applyAlignment="1" applyProtection="1">
      <alignment horizontal="center" vertical="center"/>
    </xf>
    <xf numFmtId="0" fontId="19" fillId="0" borderId="15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/>
    </xf>
    <xf numFmtId="3" fontId="26" fillId="3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/>
    </xf>
    <xf numFmtId="0" fontId="137" fillId="0" borderId="0" xfId="0" applyFont="1" applyFill="1" applyBorder="1" applyAlignment="1" applyProtection="1">
      <alignment horizontal="center" vertical="center" wrapText="1"/>
    </xf>
  </cellXfs>
  <cellStyles count="2329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0 2" xfId="1290" xr:uid="{FBEB1267-D175-4DA1-AF38-9EA48AB48A40}"/>
    <cellStyle name="20% - Акцент1 10 3" xfId="1823" xr:uid="{01824920-AEBE-4511-886A-813774ACEB81}"/>
    <cellStyle name="20% - Акцент1 11" xfId="25" xr:uid="{00000000-0005-0000-0000-000016000000}"/>
    <cellStyle name="20% - Акцент1 11 2" xfId="1291" xr:uid="{BD382D61-F57C-40A1-9CE2-8E2DA9D98FFC}"/>
    <cellStyle name="20% - Акцент1 11 3" xfId="1824" xr:uid="{E12BD389-D6F9-4474-94E7-96E398945D00}"/>
    <cellStyle name="20% - Акцент1 12" xfId="26" xr:uid="{00000000-0005-0000-0000-000017000000}"/>
    <cellStyle name="20% - Акцент1 12 2" xfId="1292" xr:uid="{5EE68C15-6182-486A-9F59-4B042F7B412F}"/>
    <cellStyle name="20% - Акцент1 12 3" xfId="1825" xr:uid="{DFE432AE-1C56-474D-B9A0-13C1F826002C}"/>
    <cellStyle name="20% - Акцент1 13" xfId="27" xr:uid="{00000000-0005-0000-0000-000018000000}"/>
    <cellStyle name="20% - Акцент1 13 2" xfId="1293" xr:uid="{C248A6A6-BF1E-4DE0-9F42-57776414B2AA}"/>
    <cellStyle name="20% - Акцент1 13 3" xfId="1826" xr:uid="{FC845F96-478A-4CC3-A285-67D3ACEFD5A2}"/>
    <cellStyle name="20% - Акцент1 14" xfId="28" xr:uid="{00000000-0005-0000-0000-000019000000}"/>
    <cellStyle name="20% - Акцент1 14 2" xfId="1294" xr:uid="{17234F65-2FCB-463A-BC70-A692DDEA9695}"/>
    <cellStyle name="20% - Акцент1 14 3" xfId="1827" xr:uid="{8C684DC1-72AF-4B78-A057-4F3E1DDFEAA7}"/>
    <cellStyle name="20% - Акцент1 15" xfId="29" xr:uid="{00000000-0005-0000-0000-00001A000000}"/>
    <cellStyle name="20% - Акцент1 15 2" xfId="1295" xr:uid="{041490B7-772B-49E7-B50E-DB4E7D3A8B67}"/>
    <cellStyle name="20% - Акцент1 15 3" xfId="1828" xr:uid="{F350EDC4-A84B-4D75-B1DE-9582B73F0888}"/>
    <cellStyle name="20% - Акцент1 16" xfId="30" xr:uid="{00000000-0005-0000-0000-00001B000000}"/>
    <cellStyle name="20% - Акцент1 16 2" xfId="1296" xr:uid="{81E82BA1-6723-4751-B3B6-B919EC661149}"/>
    <cellStyle name="20% - Акцент1 16 3" xfId="1829" xr:uid="{BD5EB01C-72D1-4FF1-B278-4327F98341E9}"/>
    <cellStyle name="20% - Акцент1 17" xfId="31" xr:uid="{00000000-0005-0000-0000-00001C000000}"/>
    <cellStyle name="20% - Акцент1 17 2" xfId="1297" xr:uid="{A230DA62-D9FF-4D73-900A-AF4714FE40EA}"/>
    <cellStyle name="20% - Акцент1 17 3" xfId="1830" xr:uid="{72D1CAA4-1284-4349-9F73-5C6FABA583B5}"/>
    <cellStyle name="20% - Акцент1 18" xfId="32" xr:uid="{00000000-0005-0000-0000-00001D000000}"/>
    <cellStyle name="20% - Акцент1 18 2" xfId="1298" xr:uid="{F995FF4F-4347-4483-A302-B97CAC113A12}"/>
    <cellStyle name="20% - Акцент1 18 3" xfId="1831" xr:uid="{84BC9037-E568-4F73-BDE7-7CB48949B6B1}"/>
    <cellStyle name="20% - Акцент1 19" xfId="33" xr:uid="{00000000-0005-0000-0000-00001E000000}"/>
    <cellStyle name="20% - Акцент1 19 2" xfId="1299" xr:uid="{93900031-FC21-4DCC-A300-B92B779FD231}"/>
    <cellStyle name="20% - Акцент1 19 3" xfId="1832" xr:uid="{C3693D2E-7CB6-414B-8815-989825C9342E}"/>
    <cellStyle name="20% - Акцент1 2" xfId="34" xr:uid="{00000000-0005-0000-0000-00001F000000}"/>
    <cellStyle name="20% - Акцент1 2 2" xfId="1300" xr:uid="{45BA48EB-F3B9-4B5C-8953-7ADB4D305B13}"/>
    <cellStyle name="20% - Акцент1 2 3" xfId="1833" xr:uid="{E99202CE-7E77-49E6-BC26-D860C9C300AA}"/>
    <cellStyle name="20% - Акцент1 20" xfId="35" xr:uid="{00000000-0005-0000-0000-000020000000}"/>
    <cellStyle name="20% - Акцент1 20 2" xfId="1301" xr:uid="{A5B736DB-D693-44BC-AFEF-D5052D46F54E}"/>
    <cellStyle name="20% - Акцент1 20 3" xfId="1834" xr:uid="{9B4D2DEF-3CC3-44B1-9D17-CBAB38D6F377}"/>
    <cellStyle name="20% - Акцент1 21" xfId="36" xr:uid="{00000000-0005-0000-0000-000021000000}"/>
    <cellStyle name="20% - Акцент1 21 2" xfId="1302" xr:uid="{30AFD41C-C0D1-4AA5-B480-E71E579762D4}"/>
    <cellStyle name="20% - Акцент1 21 3" xfId="1835" xr:uid="{632EA7D8-BC5A-465A-B83B-81FDEDA858BE}"/>
    <cellStyle name="20% - Акцент1 22" xfId="37" xr:uid="{00000000-0005-0000-0000-000022000000}"/>
    <cellStyle name="20% - Акцент1 22 2" xfId="1303" xr:uid="{A338E9C2-3EC0-4668-B8BF-DED875625E43}"/>
    <cellStyle name="20% - Акцент1 22 3" xfId="1836" xr:uid="{3190045D-701A-4DEF-B7D5-32E4697DF1AA}"/>
    <cellStyle name="20% - Акцент1 23" xfId="38" xr:uid="{00000000-0005-0000-0000-000023000000}"/>
    <cellStyle name="20% - Акцент1 23 2" xfId="1304" xr:uid="{36357FF1-F5AF-428D-AD56-D6A5BC8A30C0}"/>
    <cellStyle name="20% - Акцент1 23 3" xfId="1837" xr:uid="{6D259CDF-68F1-4A14-9146-459BC50650BB}"/>
    <cellStyle name="20% - Акцент1 24" xfId="39" xr:uid="{00000000-0005-0000-0000-000024000000}"/>
    <cellStyle name="20% - Акцент1 24 2" xfId="1305" xr:uid="{817FBF2B-94AA-49D4-BDF8-6D53CAD2584B}"/>
    <cellStyle name="20% - Акцент1 24 3" xfId="1838" xr:uid="{809D99F2-CBC8-4253-9659-7D5DE863B614}"/>
    <cellStyle name="20% - Акцент1 25" xfId="40" xr:uid="{00000000-0005-0000-0000-000025000000}"/>
    <cellStyle name="20% - Акцент1 25 2" xfId="1306" xr:uid="{577B6D44-E627-4128-B85D-D3403D5228E8}"/>
    <cellStyle name="20% - Акцент1 25 3" xfId="1839" xr:uid="{CA4012A3-6844-420D-9360-D96323B086F6}"/>
    <cellStyle name="20% - Акцент1 26" xfId="41" xr:uid="{00000000-0005-0000-0000-000026000000}"/>
    <cellStyle name="20% - Акцент1 26 2" xfId="1307" xr:uid="{A68C0946-E72C-412B-AD52-69D4F0701234}"/>
    <cellStyle name="20% - Акцент1 26 3" xfId="1840" xr:uid="{20DD1AB8-707B-4C74-A3F8-69191D1BDCB6}"/>
    <cellStyle name="20% - Акцент1 3" xfId="42" xr:uid="{00000000-0005-0000-0000-000027000000}"/>
    <cellStyle name="20% - Акцент1 3 2" xfId="1308" xr:uid="{59AD37E1-CC78-45B0-8B09-8A6197A01633}"/>
    <cellStyle name="20% - Акцент1 3 3" xfId="1841" xr:uid="{E2C057EB-D0C8-430D-B052-1BBC75D5ACF4}"/>
    <cellStyle name="20% - Акцент1 4" xfId="43" xr:uid="{00000000-0005-0000-0000-000028000000}"/>
    <cellStyle name="20% - Акцент1 4 2" xfId="1309" xr:uid="{ED28F430-D31A-4C58-B6EA-28FD8DE80335}"/>
    <cellStyle name="20% - Акцент1 4 3" xfId="1842" xr:uid="{8DFF5140-E367-4F72-BADC-FC127980875E}"/>
    <cellStyle name="20% - Акцент1 5" xfId="44" xr:uid="{00000000-0005-0000-0000-000029000000}"/>
    <cellStyle name="20% - Акцент1 5 2" xfId="1310" xr:uid="{6EA60DB0-E028-4B92-A756-FEDAA2131CDE}"/>
    <cellStyle name="20% - Акцент1 5 3" xfId="1843" xr:uid="{C8E4AAFA-9F4A-4CC7-A6E9-D7895F89E2B7}"/>
    <cellStyle name="20% - Акцент1 6" xfId="45" xr:uid="{00000000-0005-0000-0000-00002A000000}"/>
    <cellStyle name="20% - Акцент1 6 2" xfId="1311" xr:uid="{3CCE8CB0-3D9D-4C93-8950-50EE96174D62}"/>
    <cellStyle name="20% - Акцент1 6 3" xfId="1844" xr:uid="{35F33D9F-A3EB-4041-B358-AF9C10E8BB0A}"/>
    <cellStyle name="20% - Акцент1 7" xfId="46" xr:uid="{00000000-0005-0000-0000-00002B000000}"/>
    <cellStyle name="20% - Акцент1 7 2" xfId="1312" xr:uid="{F883F534-6201-4FAA-A972-030FFA25AD62}"/>
    <cellStyle name="20% - Акцент1 7 3" xfId="1845" xr:uid="{C0470338-87C2-43F5-AFBB-D1A37221E5D2}"/>
    <cellStyle name="20% - Акцент1 8" xfId="47" xr:uid="{00000000-0005-0000-0000-00002C000000}"/>
    <cellStyle name="20% - Акцент1 8 2" xfId="1313" xr:uid="{DD19ED38-C768-47FE-AF75-8E5BF5EC443C}"/>
    <cellStyle name="20% - Акцент1 8 3" xfId="1846" xr:uid="{51C3BEC7-9D3F-4626-B667-BF393BC69699}"/>
    <cellStyle name="20% - Акцент1 9" xfId="48" xr:uid="{00000000-0005-0000-0000-00002D000000}"/>
    <cellStyle name="20% - Акцент1 9 2" xfId="1314" xr:uid="{1BDE185B-70A3-455A-9632-A518B1C42DFC}"/>
    <cellStyle name="20% - Акцент1 9 3" xfId="1847" xr:uid="{01C6147D-61A1-45AA-BF66-3740DB0B7214}"/>
    <cellStyle name="20% - Акцент2 10" xfId="49" xr:uid="{00000000-0005-0000-0000-00002E000000}"/>
    <cellStyle name="20% - Акцент2 10 2" xfId="1315" xr:uid="{0F5459F6-8850-4C25-9479-C2B49AD815E0}"/>
    <cellStyle name="20% - Акцент2 10 3" xfId="1848" xr:uid="{1D4AE37F-5357-4623-A8EB-6C8B06A904F7}"/>
    <cellStyle name="20% - Акцент2 11" xfId="50" xr:uid="{00000000-0005-0000-0000-00002F000000}"/>
    <cellStyle name="20% - Акцент2 11 2" xfId="1316" xr:uid="{A054904D-D078-44CA-B1EB-239BBEEBA1D1}"/>
    <cellStyle name="20% - Акцент2 11 3" xfId="1849" xr:uid="{426E301F-6B33-4D63-8342-A07416FAB923}"/>
    <cellStyle name="20% - Акцент2 12" xfId="51" xr:uid="{00000000-0005-0000-0000-000030000000}"/>
    <cellStyle name="20% - Акцент2 12 2" xfId="1317" xr:uid="{6AD6D1B1-D5E3-41B8-AB57-013D34CAD34F}"/>
    <cellStyle name="20% - Акцент2 12 3" xfId="1850" xr:uid="{281E100A-F74F-4EF3-9702-9E80F2783B87}"/>
    <cellStyle name="20% - Акцент2 13" xfId="52" xr:uid="{00000000-0005-0000-0000-000031000000}"/>
    <cellStyle name="20% - Акцент2 13 2" xfId="1318" xr:uid="{8A65CDE7-61AE-4D6E-B085-493117826905}"/>
    <cellStyle name="20% - Акцент2 13 3" xfId="1851" xr:uid="{87ECC233-EBDA-440B-BA37-40A8E8C28F58}"/>
    <cellStyle name="20% - Акцент2 14" xfId="53" xr:uid="{00000000-0005-0000-0000-000032000000}"/>
    <cellStyle name="20% - Акцент2 14 2" xfId="1319" xr:uid="{4C45E3B2-4A00-44F4-93ED-785C98D53CA8}"/>
    <cellStyle name="20% - Акцент2 14 3" xfId="1852" xr:uid="{0A8D4C15-A6C4-4CE1-BEF9-84EBC9316294}"/>
    <cellStyle name="20% - Акцент2 15" xfId="54" xr:uid="{00000000-0005-0000-0000-000033000000}"/>
    <cellStyle name="20% - Акцент2 15 2" xfId="1320" xr:uid="{A76E442C-84AA-48B7-970B-A019251729BD}"/>
    <cellStyle name="20% - Акцент2 15 3" xfId="1853" xr:uid="{1E2B7066-D98A-422F-959E-8AC20BC06B4C}"/>
    <cellStyle name="20% - Акцент2 16" xfId="55" xr:uid="{00000000-0005-0000-0000-000034000000}"/>
    <cellStyle name="20% - Акцент2 16 2" xfId="1321" xr:uid="{9542899C-C76A-4FC4-9E4C-9E8100546CB4}"/>
    <cellStyle name="20% - Акцент2 16 3" xfId="1854" xr:uid="{B3B0D881-3DB2-49F9-B8C9-8ACCC008C5AD}"/>
    <cellStyle name="20% - Акцент2 17" xfId="56" xr:uid="{00000000-0005-0000-0000-000035000000}"/>
    <cellStyle name="20% - Акцент2 17 2" xfId="1322" xr:uid="{EB0723BB-50E7-4C2B-8231-60206FD7613F}"/>
    <cellStyle name="20% - Акцент2 17 3" xfId="1855" xr:uid="{968C408F-6329-45FE-A1BE-DB24B952332E}"/>
    <cellStyle name="20% - Акцент2 18" xfId="57" xr:uid="{00000000-0005-0000-0000-000036000000}"/>
    <cellStyle name="20% - Акцент2 18 2" xfId="1323" xr:uid="{47211BB9-9585-4B69-8915-17F04BB1351D}"/>
    <cellStyle name="20% - Акцент2 18 3" xfId="1856" xr:uid="{4FBE2B2E-BCD9-4BFD-BDA8-AD6CE337E73B}"/>
    <cellStyle name="20% - Акцент2 19" xfId="58" xr:uid="{00000000-0005-0000-0000-000037000000}"/>
    <cellStyle name="20% - Акцент2 19 2" xfId="1324" xr:uid="{7D153291-DEA0-4318-8805-36AD5EFA7607}"/>
    <cellStyle name="20% - Акцент2 19 3" xfId="1857" xr:uid="{D4222DFF-3D16-43A2-8DFE-DBACA4F9A61C}"/>
    <cellStyle name="20% - Акцент2 2" xfId="59" xr:uid="{00000000-0005-0000-0000-000038000000}"/>
    <cellStyle name="20% - Акцент2 2 2" xfId="1325" xr:uid="{ECD2A120-ADA1-4E88-AD88-3282A44A3207}"/>
    <cellStyle name="20% - Акцент2 2 3" xfId="1858" xr:uid="{D224CDCC-37E1-4ABC-A355-04C9AC1D8E2C}"/>
    <cellStyle name="20% - Акцент2 20" xfId="60" xr:uid="{00000000-0005-0000-0000-000039000000}"/>
    <cellStyle name="20% - Акцент2 20 2" xfId="1326" xr:uid="{4C2FD53B-82CD-4B6B-8C6E-4321CA0358D8}"/>
    <cellStyle name="20% - Акцент2 20 3" xfId="1859" xr:uid="{0CD942D6-C51F-48F4-AB9B-CE24142FF8A0}"/>
    <cellStyle name="20% - Акцент2 21" xfId="61" xr:uid="{00000000-0005-0000-0000-00003A000000}"/>
    <cellStyle name="20% - Акцент2 21 2" xfId="1327" xr:uid="{EF5CB112-F2C5-41A4-8137-D1F8EAE401C3}"/>
    <cellStyle name="20% - Акцент2 21 3" xfId="1860" xr:uid="{A48A581C-4975-4402-83BF-26D49F9F111C}"/>
    <cellStyle name="20% - Акцент2 22" xfId="62" xr:uid="{00000000-0005-0000-0000-00003B000000}"/>
    <cellStyle name="20% - Акцент2 22 2" xfId="1328" xr:uid="{EBD682BF-0D7B-438D-BEBD-AFC873666016}"/>
    <cellStyle name="20% - Акцент2 22 3" xfId="1861" xr:uid="{B6A500A1-F8F8-462F-A61A-89119E84A105}"/>
    <cellStyle name="20% - Акцент2 23" xfId="63" xr:uid="{00000000-0005-0000-0000-00003C000000}"/>
    <cellStyle name="20% - Акцент2 23 2" xfId="1329" xr:uid="{FD549B06-BE68-4C40-BC31-AAB67D41E5D6}"/>
    <cellStyle name="20% - Акцент2 23 3" xfId="1862" xr:uid="{EBB96483-295D-4D31-B61E-12DFFC887636}"/>
    <cellStyle name="20% - Акцент2 24" xfId="64" xr:uid="{00000000-0005-0000-0000-00003D000000}"/>
    <cellStyle name="20% - Акцент2 24 2" xfId="1330" xr:uid="{BAFB10F9-FE1C-461C-8AC1-08BDB1E585F7}"/>
    <cellStyle name="20% - Акцент2 24 3" xfId="1863" xr:uid="{E056A541-EBF3-4EC8-8712-EB84CFF95F2E}"/>
    <cellStyle name="20% - Акцент2 25" xfId="65" xr:uid="{00000000-0005-0000-0000-00003E000000}"/>
    <cellStyle name="20% - Акцент2 25 2" xfId="1331" xr:uid="{72E46BD9-F606-412C-B99A-BD4CB4BF3958}"/>
    <cellStyle name="20% - Акцент2 25 3" xfId="1864" xr:uid="{D9BC2626-D63E-4C98-92F4-2839B52563EC}"/>
    <cellStyle name="20% - Акцент2 26" xfId="66" xr:uid="{00000000-0005-0000-0000-00003F000000}"/>
    <cellStyle name="20% - Акцент2 26 2" xfId="1332" xr:uid="{7DB88242-F216-453F-94DE-67BC4EA1A2A2}"/>
    <cellStyle name="20% - Акцент2 26 3" xfId="1865" xr:uid="{F2C7FA75-3FF3-415B-AA7E-02EB882141ED}"/>
    <cellStyle name="20% - Акцент2 3" xfId="67" xr:uid="{00000000-0005-0000-0000-000040000000}"/>
    <cellStyle name="20% - Акцент2 3 2" xfId="1333" xr:uid="{86A03D0B-C1F4-4339-8C74-C75109F7A1B7}"/>
    <cellStyle name="20% - Акцент2 3 3" xfId="1866" xr:uid="{33D31104-086E-4746-B26C-A96DA82817A9}"/>
    <cellStyle name="20% - Акцент2 4" xfId="68" xr:uid="{00000000-0005-0000-0000-000041000000}"/>
    <cellStyle name="20% - Акцент2 4 2" xfId="1334" xr:uid="{C58F95A3-EC12-4F91-9042-1820D503508B}"/>
    <cellStyle name="20% - Акцент2 4 3" xfId="1867" xr:uid="{EE7A04A9-3500-448F-AB84-8D6D455C5005}"/>
    <cellStyle name="20% - Акцент2 5" xfId="69" xr:uid="{00000000-0005-0000-0000-000042000000}"/>
    <cellStyle name="20% - Акцент2 5 2" xfId="1335" xr:uid="{AB1F2CA0-F80E-4D6A-9D1E-FD4E01C31EF4}"/>
    <cellStyle name="20% - Акцент2 5 3" xfId="1868" xr:uid="{574BC2CC-3FB4-48C2-A529-202444EB1D7C}"/>
    <cellStyle name="20% - Акцент2 6" xfId="70" xr:uid="{00000000-0005-0000-0000-000043000000}"/>
    <cellStyle name="20% - Акцент2 6 2" xfId="1336" xr:uid="{1BC4EB9D-2067-4C8A-8C36-580C09E94636}"/>
    <cellStyle name="20% - Акцент2 6 3" xfId="1869" xr:uid="{835A078A-8F3A-43B3-A378-18C644D78715}"/>
    <cellStyle name="20% - Акцент2 7" xfId="71" xr:uid="{00000000-0005-0000-0000-000044000000}"/>
    <cellStyle name="20% - Акцент2 7 2" xfId="1337" xr:uid="{2A7FE03D-A932-41A3-9FF2-687839B798A6}"/>
    <cellStyle name="20% - Акцент2 7 3" xfId="1870" xr:uid="{9E84C853-D7EB-42F8-B208-DB39BDD70D64}"/>
    <cellStyle name="20% - Акцент2 8" xfId="72" xr:uid="{00000000-0005-0000-0000-000045000000}"/>
    <cellStyle name="20% - Акцент2 8 2" xfId="1338" xr:uid="{8C69A2A5-3D0A-424F-A283-4047F9DB829E}"/>
    <cellStyle name="20% - Акцент2 8 3" xfId="1871" xr:uid="{3FA96384-5770-4720-A3D9-932EBC260D88}"/>
    <cellStyle name="20% - Акцент2 9" xfId="73" xr:uid="{00000000-0005-0000-0000-000046000000}"/>
    <cellStyle name="20% - Акцент2 9 2" xfId="1339" xr:uid="{E60FFF6F-D08C-40FF-8BAA-ADEEF05B39C2}"/>
    <cellStyle name="20% - Акцент2 9 3" xfId="1872" xr:uid="{1CF3163E-F825-46FE-BE2B-9BAEE9AF0730}"/>
    <cellStyle name="20% - Акцент3 10" xfId="74" xr:uid="{00000000-0005-0000-0000-000047000000}"/>
    <cellStyle name="20% - Акцент3 10 2" xfId="1340" xr:uid="{2DE628D3-01DC-419A-8F64-E058A1C7ADDC}"/>
    <cellStyle name="20% - Акцент3 10 3" xfId="1873" xr:uid="{2CFFB4DE-8623-4844-A25C-AF647C07550D}"/>
    <cellStyle name="20% - Акцент3 11" xfId="75" xr:uid="{00000000-0005-0000-0000-000048000000}"/>
    <cellStyle name="20% - Акцент3 11 2" xfId="1341" xr:uid="{0CD964CA-9933-42FC-AF55-6EA53AF12B3F}"/>
    <cellStyle name="20% - Акцент3 11 3" xfId="1874" xr:uid="{B6E64F48-611E-4863-9093-04C2FBC9B49D}"/>
    <cellStyle name="20% - Акцент3 12" xfId="76" xr:uid="{00000000-0005-0000-0000-000049000000}"/>
    <cellStyle name="20% - Акцент3 12 2" xfId="1342" xr:uid="{533759F1-B3CE-44B7-B7BE-D02C78023188}"/>
    <cellStyle name="20% - Акцент3 12 3" xfId="1875" xr:uid="{CD07B57D-2649-471E-AD9D-DFE8F4D60147}"/>
    <cellStyle name="20% - Акцент3 13" xfId="77" xr:uid="{00000000-0005-0000-0000-00004A000000}"/>
    <cellStyle name="20% - Акцент3 13 2" xfId="1343" xr:uid="{29A5643B-B98C-497D-997E-14971590B881}"/>
    <cellStyle name="20% - Акцент3 13 3" xfId="1876" xr:uid="{1BF25259-31FD-4747-9FC5-119DF2387DB3}"/>
    <cellStyle name="20% - Акцент3 14" xfId="78" xr:uid="{00000000-0005-0000-0000-00004B000000}"/>
    <cellStyle name="20% - Акцент3 14 2" xfId="1344" xr:uid="{7636DD4C-CB8F-44A4-9ADE-082BCCB8F060}"/>
    <cellStyle name="20% - Акцент3 14 3" xfId="1877" xr:uid="{DBE6A286-F033-49E3-8FCB-85AE2A87D28A}"/>
    <cellStyle name="20% - Акцент3 15" xfId="79" xr:uid="{00000000-0005-0000-0000-00004C000000}"/>
    <cellStyle name="20% - Акцент3 15 2" xfId="1345" xr:uid="{7953E859-2F09-4648-87E2-28ED6E6DCD11}"/>
    <cellStyle name="20% - Акцент3 15 3" xfId="1878" xr:uid="{DB564FB8-B7B0-4B89-A035-2FDEDBDA325B}"/>
    <cellStyle name="20% - Акцент3 16" xfId="80" xr:uid="{00000000-0005-0000-0000-00004D000000}"/>
    <cellStyle name="20% - Акцент3 16 2" xfId="1346" xr:uid="{A30E08E3-EA36-4413-9315-63E67E3955DC}"/>
    <cellStyle name="20% - Акцент3 16 3" xfId="1879" xr:uid="{9E257AE9-BFAB-4C95-94D4-65D90D49DC01}"/>
    <cellStyle name="20% - Акцент3 17" xfId="81" xr:uid="{00000000-0005-0000-0000-00004E000000}"/>
    <cellStyle name="20% - Акцент3 17 2" xfId="1347" xr:uid="{5B26E6CA-4F5B-4AD1-A062-FD92620B3462}"/>
    <cellStyle name="20% - Акцент3 17 3" xfId="1880" xr:uid="{4DF855B1-6ADB-48FB-BD5C-DE56C9FC5E5A}"/>
    <cellStyle name="20% - Акцент3 18" xfId="82" xr:uid="{00000000-0005-0000-0000-00004F000000}"/>
    <cellStyle name="20% - Акцент3 18 2" xfId="1348" xr:uid="{A725E3A4-B121-4A4F-9557-7D46B7506120}"/>
    <cellStyle name="20% - Акцент3 18 3" xfId="1881" xr:uid="{D7454CDE-232D-42C7-A26E-83E9C885189B}"/>
    <cellStyle name="20% - Акцент3 19" xfId="83" xr:uid="{00000000-0005-0000-0000-000050000000}"/>
    <cellStyle name="20% - Акцент3 19 2" xfId="1349" xr:uid="{1824662B-A96C-41F2-AD22-A294A28AB880}"/>
    <cellStyle name="20% - Акцент3 19 3" xfId="1882" xr:uid="{7706A174-2320-416C-85F6-3366196BEE58}"/>
    <cellStyle name="20% - Акцент3 2" xfId="84" xr:uid="{00000000-0005-0000-0000-000051000000}"/>
    <cellStyle name="20% - Акцент3 2 2" xfId="1350" xr:uid="{59777B45-96D5-42C2-A1BB-909F045D10DD}"/>
    <cellStyle name="20% - Акцент3 2 3" xfId="1883" xr:uid="{3A5A4CAF-25E2-4599-BBCC-5D5E5478DD17}"/>
    <cellStyle name="20% - Акцент3 20" xfId="85" xr:uid="{00000000-0005-0000-0000-000052000000}"/>
    <cellStyle name="20% - Акцент3 20 2" xfId="1351" xr:uid="{A38E62C4-522E-4955-B595-6481AC203B91}"/>
    <cellStyle name="20% - Акцент3 20 3" xfId="1884" xr:uid="{E5717894-C32A-4B42-A85C-F1CB1E653CFD}"/>
    <cellStyle name="20% - Акцент3 21" xfId="86" xr:uid="{00000000-0005-0000-0000-000053000000}"/>
    <cellStyle name="20% - Акцент3 21 2" xfId="1352" xr:uid="{E83C024E-1B30-48A1-81DD-FEF92A80B76B}"/>
    <cellStyle name="20% - Акцент3 21 3" xfId="1885" xr:uid="{326E4785-070C-45C2-9B63-E841BD84E1B0}"/>
    <cellStyle name="20% - Акцент3 22" xfId="87" xr:uid="{00000000-0005-0000-0000-000054000000}"/>
    <cellStyle name="20% - Акцент3 22 2" xfId="1353" xr:uid="{579DCE41-74F6-4D4B-B5B3-72591E98FF4A}"/>
    <cellStyle name="20% - Акцент3 22 3" xfId="1886" xr:uid="{10D07188-D94D-48BF-B8F1-435CAFC07EAF}"/>
    <cellStyle name="20% - Акцент3 23" xfId="88" xr:uid="{00000000-0005-0000-0000-000055000000}"/>
    <cellStyle name="20% - Акцент3 23 2" xfId="1354" xr:uid="{F68C9366-4838-459E-A2B4-A964E3DEF9C3}"/>
    <cellStyle name="20% - Акцент3 23 3" xfId="1887" xr:uid="{EE68AA42-D27B-42A8-9354-EF54DD997115}"/>
    <cellStyle name="20% - Акцент3 24" xfId="89" xr:uid="{00000000-0005-0000-0000-000056000000}"/>
    <cellStyle name="20% - Акцент3 24 2" xfId="1355" xr:uid="{1E915F04-DCC2-42C3-A572-FB34C504FAD6}"/>
    <cellStyle name="20% - Акцент3 24 3" xfId="1888" xr:uid="{98D46CED-74F8-4810-BB35-62D00B2B4F4A}"/>
    <cellStyle name="20% - Акцент3 25" xfId="90" xr:uid="{00000000-0005-0000-0000-000057000000}"/>
    <cellStyle name="20% - Акцент3 25 2" xfId="1356" xr:uid="{BF299371-F1DA-4D01-9EF9-70A92D01EBA7}"/>
    <cellStyle name="20% - Акцент3 25 3" xfId="1889" xr:uid="{2DC82938-A5D3-4EBA-B1CA-3E7146682E77}"/>
    <cellStyle name="20% - Акцент3 26" xfId="91" xr:uid="{00000000-0005-0000-0000-000058000000}"/>
    <cellStyle name="20% - Акцент3 26 2" xfId="1357" xr:uid="{BCE35660-F847-4514-935C-E326626FBA18}"/>
    <cellStyle name="20% - Акцент3 26 3" xfId="1890" xr:uid="{E95F030E-940F-42F9-B041-BBDFAF7F6975}"/>
    <cellStyle name="20% - Акцент3 3" xfId="92" xr:uid="{00000000-0005-0000-0000-000059000000}"/>
    <cellStyle name="20% - Акцент3 3 2" xfId="1358" xr:uid="{A78C172F-0B3E-4C00-ADAC-A89A844D4229}"/>
    <cellStyle name="20% - Акцент3 3 3" xfId="1891" xr:uid="{033716E9-F91D-4D84-97F5-91F392F5FFD3}"/>
    <cellStyle name="20% - Акцент3 4" xfId="93" xr:uid="{00000000-0005-0000-0000-00005A000000}"/>
    <cellStyle name="20% - Акцент3 4 2" xfId="1359" xr:uid="{64FDCAF1-ED7F-49AE-9412-4B9CC53DE860}"/>
    <cellStyle name="20% - Акцент3 4 3" xfId="1892" xr:uid="{5C25D616-8D6A-4B4E-91B0-C8EBB75A3017}"/>
    <cellStyle name="20% - Акцент3 5" xfId="94" xr:uid="{00000000-0005-0000-0000-00005B000000}"/>
    <cellStyle name="20% - Акцент3 5 2" xfId="1360" xr:uid="{CB982EB4-C768-4856-94A6-F1BB49002AAF}"/>
    <cellStyle name="20% - Акцент3 5 3" xfId="1893" xr:uid="{1B8852F9-903E-4814-89B3-88C2A5E1F877}"/>
    <cellStyle name="20% - Акцент3 6" xfId="95" xr:uid="{00000000-0005-0000-0000-00005C000000}"/>
    <cellStyle name="20% - Акцент3 6 2" xfId="1361" xr:uid="{1A7A5C63-94F2-44C4-9AC6-CB609325523D}"/>
    <cellStyle name="20% - Акцент3 6 3" xfId="1894" xr:uid="{4E84E288-ACD3-400C-B6D6-EBF4DC4FD5E4}"/>
    <cellStyle name="20% - Акцент3 7" xfId="96" xr:uid="{00000000-0005-0000-0000-00005D000000}"/>
    <cellStyle name="20% - Акцент3 7 2" xfId="1362" xr:uid="{25F5C38E-FC10-4812-A6DF-285F11714BE1}"/>
    <cellStyle name="20% - Акцент3 7 3" xfId="1895" xr:uid="{4768A617-57E6-42E7-BA63-D7739CA704D5}"/>
    <cellStyle name="20% - Акцент3 8" xfId="97" xr:uid="{00000000-0005-0000-0000-00005E000000}"/>
    <cellStyle name="20% - Акцент3 8 2" xfId="1363" xr:uid="{3D4C0BF4-A9A1-47F1-BFE1-6BCE94EAEEE5}"/>
    <cellStyle name="20% - Акцент3 8 3" xfId="1896" xr:uid="{938FDFDF-7BAB-496D-85ED-F95232D382DC}"/>
    <cellStyle name="20% - Акцент3 9" xfId="98" xr:uid="{00000000-0005-0000-0000-00005F000000}"/>
    <cellStyle name="20% - Акцент3 9 2" xfId="1364" xr:uid="{8A365E45-A50F-464E-A67E-79C2C8A811E3}"/>
    <cellStyle name="20% - Акцент3 9 3" xfId="1897" xr:uid="{5BB21726-F5E5-4867-87F8-D79B5C357367}"/>
    <cellStyle name="20% - Акцент4 10" xfId="99" xr:uid="{00000000-0005-0000-0000-000060000000}"/>
    <cellStyle name="20% - Акцент4 10 2" xfId="1365" xr:uid="{3BB32FD2-8C7A-4C92-AC75-0E9A77FFCA5A}"/>
    <cellStyle name="20% - Акцент4 10 3" xfId="1898" xr:uid="{FEC01F7F-233F-4ACC-B978-16299EF7C062}"/>
    <cellStyle name="20% - Акцент4 11" xfId="100" xr:uid="{00000000-0005-0000-0000-000061000000}"/>
    <cellStyle name="20% - Акцент4 11 2" xfId="1366" xr:uid="{136F8D9E-61A4-4042-A5C0-6BB18D859A3C}"/>
    <cellStyle name="20% - Акцент4 11 3" xfId="1899" xr:uid="{8C2E9824-FF24-4CE5-B620-EFC6B7770733}"/>
    <cellStyle name="20% - Акцент4 12" xfId="101" xr:uid="{00000000-0005-0000-0000-000062000000}"/>
    <cellStyle name="20% - Акцент4 12 2" xfId="1367" xr:uid="{AB838863-700E-420D-8556-C8B711CA7278}"/>
    <cellStyle name="20% - Акцент4 12 3" xfId="1900" xr:uid="{AE187625-4FD6-4009-BB13-CF3BBFC91D7E}"/>
    <cellStyle name="20% - Акцент4 13" xfId="102" xr:uid="{00000000-0005-0000-0000-000063000000}"/>
    <cellStyle name="20% - Акцент4 13 2" xfId="1368" xr:uid="{3D3183EE-6E19-44FE-9D62-D4E1E67BF562}"/>
    <cellStyle name="20% - Акцент4 13 3" xfId="1901" xr:uid="{502EF9A5-BF17-4F73-B80F-7F6891550D5B}"/>
    <cellStyle name="20% - Акцент4 14" xfId="103" xr:uid="{00000000-0005-0000-0000-000064000000}"/>
    <cellStyle name="20% - Акцент4 14 2" xfId="1369" xr:uid="{101D526F-F2B2-4FA1-AEC0-04C2EF9F496F}"/>
    <cellStyle name="20% - Акцент4 14 3" xfId="1902" xr:uid="{9C782B5F-18AD-4D68-9922-47F8F7C8B15C}"/>
    <cellStyle name="20% - Акцент4 15" xfId="104" xr:uid="{00000000-0005-0000-0000-000065000000}"/>
    <cellStyle name="20% - Акцент4 15 2" xfId="1370" xr:uid="{64732132-FD6E-4F18-B443-C01F72C52B29}"/>
    <cellStyle name="20% - Акцент4 15 3" xfId="1903" xr:uid="{5584FA17-A4A7-4AA8-AEF0-E8FAE3A0AD4B}"/>
    <cellStyle name="20% - Акцент4 16" xfId="105" xr:uid="{00000000-0005-0000-0000-000066000000}"/>
    <cellStyle name="20% - Акцент4 16 2" xfId="1371" xr:uid="{B41208A5-8F31-4ACA-B103-7B83572C6D85}"/>
    <cellStyle name="20% - Акцент4 16 3" xfId="1904" xr:uid="{C02FB19A-0B83-4610-B436-E8963D75AED9}"/>
    <cellStyle name="20% - Акцент4 17" xfId="106" xr:uid="{00000000-0005-0000-0000-000067000000}"/>
    <cellStyle name="20% - Акцент4 17 2" xfId="1372" xr:uid="{03EE5227-3338-4F3C-A8BC-54F6A6164A0A}"/>
    <cellStyle name="20% - Акцент4 17 3" xfId="1905" xr:uid="{E6CD4B12-2FED-49E2-B3FA-E838BE58C325}"/>
    <cellStyle name="20% - Акцент4 18" xfId="107" xr:uid="{00000000-0005-0000-0000-000068000000}"/>
    <cellStyle name="20% - Акцент4 18 2" xfId="1373" xr:uid="{B9C3D94A-F995-4C64-AC24-B5FD38319A77}"/>
    <cellStyle name="20% - Акцент4 18 3" xfId="1906" xr:uid="{45E9B28E-82D4-4135-83E5-CACB8F5971B7}"/>
    <cellStyle name="20% - Акцент4 19" xfId="108" xr:uid="{00000000-0005-0000-0000-000069000000}"/>
    <cellStyle name="20% - Акцент4 19 2" xfId="1374" xr:uid="{E9C59E6D-08B3-46A3-A1CC-4537920EC486}"/>
    <cellStyle name="20% - Акцент4 19 3" xfId="1907" xr:uid="{11860F43-C8A8-4F00-95BB-59488B275F8B}"/>
    <cellStyle name="20% - Акцент4 2" xfId="109" xr:uid="{00000000-0005-0000-0000-00006A000000}"/>
    <cellStyle name="20% - Акцент4 2 2" xfId="1375" xr:uid="{582ED8DA-B893-4871-A0DB-FC928E1B54B0}"/>
    <cellStyle name="20% - Акцент4 2 3" xfId="1908" xr:uid="{B53BEF64-4453-4C6E-90FE-2DEC05DCD0EF}"/>
    <cellStyle name="20% - Акцент4 20" xfId="110" xr:uid="{00000000-0005-0000-0000-00006B000000}"/>
    <cellStyle name="20% - Акцент4 20 2" xfId="1376" xr:uid="{BB5865D0-1B46-4734-9AA0-339626904AFC}"/>
    <cellStyle name="20% - Акцент4 20 3" xfId="1909" xr:uid="{4F193BFF-4706-4641-8408-61ACAA7B5E5F}"/>
    <cellStyle name="20% - Акцент4 21" xfId="111" xr:uid="{00000000-0005-0000-0000-00006C000000}"/>
    <cellStyle name="20% - Акцент4 21 2" xfId="1377" xr:uid="{E42D1BC1-094E-46DA-A764-9D7BB10D6662}"/>
    <cellStyle name="20% - Акцент4 21 3" xfId="1910" xr:uid="{1FFCDCFE-1E56-45D1-ADAD-DE3CB713AAC7}"/>
    <cellStyle name="20% - Акцент4 22" xfId="112" xr:uid="{00000000-0005-0000-0000-00006D000000}"/>
    <cellStyle name="20% - Акцент4 22 2" xfId="1378" xr:uid="{6DA5922B-39AA-4B6E-9ACB-9D9F8BD0FA82}"/>
    <cellStyle name="20% - Акцент4 22 3" xfId="1911" xr:uid="{59542641-B7B9-4247-AC02-E421BA2FE6E1}"/>
    <cellStyle name="20% - Акцент4 23" xfId="113" xr:uid="{00000000-0005-0000-0000-00006E000000}"/>
    <cellStyle name="20% - Акцент4 23 2" xfId="1379" xr:uid="{D74952D6-5C6B-48C7-9A96-7D1F5213C5F5}"/>
    <cellStyle name="20% - Акцент4 23 3" xfId="1912" xr:uid="{914D34DD-1160-4268-A853-F01500D2DB32}"/>
    <cellStyle name="20% - Акцент4 24" xfId="114" xr:uid="{00000000-0005-0000-0000-00006F000000}"/>
    <cellStyle name="20% - Акцент4 24 2" xfId="1380" xr:uid="{C3174DDB-CBDC-4DA4-80B3-6BC986521B92}"/>
    <cellStyle name="20% - Акцент4 24 3" xfId="1913" xr:uid="{771FD8E4-EBC6-474E-A404-73C29EEB529A}"/>
    <cellStyle name="20% - Акцент4 25" xfId="115" xr:uid="{00000000-0005-0000-0000-000070000000}"/>
    <cellStyle name="20% - Акцент4 25 2" xfId="1381" xr:uid="{DA98B120-ED07-4147-9991-CD3D8D686E1E}"/>
    <cellStyle name="20% - Акцент4 25 3" xfId="1914" xr:uid="{4B73841C-63E0-450E-8A08-3FEEAED48917}"/>
    <cellStyle name="20% - Акцент4 26" xfId="116" xr:uid="{00000000-0005-0000-0000-000071000000}"/>
    <cellStyle name="20% - Акцент4 26 2" xfId="1382" xr:uid="{A428A9F1-4D0C-42EF-88D4-F60F30D47D86}"/>
    <cellStyle name="20% - Акцент4 26 3" xfId="1915" xr:uid="{1BA5DFC1-36F4-4FE4-A59C-1B7EA2E79384}"/>
    <cellStyle name="20% - Акцент4 3" xfId="117" xr:uid="{00000000-0005-0000-0000-000072000000}"/>
    <cellStyle name="20% - Акцент4 3 2" xfId="1383" xr:uid="{C9B6D46C-9957-474F-992A-639A6872F825}"/>
    <cellStyle name="20% - Акцент4 3 3" xfId="1916" xr:uid="{D63F9B04-2DDB-4D90-A22F-E70433B4DDD9}"/>
    <cellStyle name="20% - Акцент4 4" xfId="118" xr:uid="{00000000-0005-0000-0000-000073000000}"/>
    <cellStyle name="20% - Акцент4 4 2" xfId="1384" xr:uid="{B203F40C-09FF-406B-B51E-35D3FDFE0328}"/>
    <cellStyle name="20% - Акцент4 4 3" xfId="1917" xr:uid="{53A95671-388B-4635-82A9-936226B19DB1}"/>
    <cellStyle name="20% - Акцент4 5" xfId="119" xr:uid="{00000000-0005-0000-0000-000074000000}"/>
    <cellStyle name="20% - Акцент4 5 2" xfId="1385" xr:uid="{683CE6F2-7637-469E-B08C-ADF7D26DDE55}"/>
    <cellStyle name="20% - Акцент4 5 3" xfId="1918" xr:uid="{24E43C41-0423-4AF3-91A5-CD1121F35912}"/>
    <cellStyle name="20% - Акцент4 6" xfId="120" xr:uid="{00000000-0005-0000-0000-000075000000}"/>
    <cellStyle name="20% - Акцент4 6 2" xfId="1386" xr:uid="{6F3667CE-99DD-4608-A281-C3236C1D71A4}"/>
    <cellStyle name="20% - Акцент4 6 3" xfId="1919" xr:uid="{A20943D7-86BD-462B-AD9B-11708214D940}"/>
    <cellStyle name="20% - Акцент4 7" xfId="121" xr:uid="{00000000-0005-0000-0000-000076000000}"/>
    <cellStyle name="20% - Акцент4 7 2" xfId="1387" xr:uid="{6601795E-97B1-47CB-B6CD-D00A3B99A206}"/>
    <cellStyle name="20% - Акцент4 7 3" xfId="1920" xr:uid="{F043F202-55DC-421C-8723-E288A1350066}"/>
    <cellStyle name="20% - Акцент4 8" xfId="122" xr:uid="{00000000-0005-0000-0000-000077000000}"/>
    <cellStyle name="20% - Акцент4 8 2" xfId="1388" xr:uid="{DA032C18-105C-4852-A418-7D3D7D611C48}"/>
    <cellStyle name="20% - Акцент4 8 3" xfId="1921" xr:uid="{24552970-1DDF-4F57-A756-E37C60CB6566}"/>
    <cellStyle name="20% - Акцент4 9" xfId="123" xr:uid="{00000000-0005-0000-0000-000078000000}"/>
    <cellStyle name="20% - Акцент4 9 2" xfId="1389" xr:uid="{8CFEC435-D3C4-4336-A046-FEA0412C609B}"/>
    <cellStyle name="20% - Акцент4 9 3" xfId="1922" xr:uid="{5D704673-392A-4DF9-B9A6-5AECB99F0358}"/>
    <cellStyle name="20% - Акцент5 10" xfId="124" xr:uid="{00000000-0005-0000-0000-000079000000}"/>
    <cellStyle name="20% - Акцент5 10 2" xfId="1390" xr:uid="{2CD5A2F5-5B67-4A78-9CC5-D493FDD5D576}"/>
    <cellStyle name="20% - Акцент5 10 3" xfId="1923" xr:uid="{064AD927-14BF-487E-8B40-76BBAE642B71}"/>
    <cellStyle name="20% - Акцент5 11" xfId="125" xr:uid="{00000000-0005-0000-0000-00007A000000}"/>
    <cellStyle name="20% - Акцент5 11 2" xfId="1391" xr:uid="{CF2C2B4A-E291-471F-9560-57D6B51ED16B}"/>
    <cellStyle name="20% - Акцент5 11 3" xfId="1924" xr:uid="{B032D8BF-FC7A-44E4-8B5D-431CDEA2C4E3}"/>
    <cellStyle name="20% - Акцент5 12" xfId="126" xr:uid="{00000000-0005-0000-0000-00007B000000}"/>
    <cellStyle name="20% - Акцент5 12 2" xfId="1392" xr:uid="{37C1BE86-0420-481E-8F51-76C45CE25DA3}"/>
    <cellStyle name="20% - Акцент5 12 3" xfId="1925" xr:uid="{49ED10BD-D8F2-46F6-92BB-84F1BB26195D}"/>
    <cellStyle name="20% - Акцент5 13" xfId="127" xr:uid="{00000000-0005-0000-0000-00007C000000}"/>
    <cellStyle name="20% - Акцент5 13 2" xfId="1393" xr:uid="{6122139B-5FC0-4E9A-B43A-C52C7993BCBA}"/>
    <cellStyle name="20% - Акцент5 13 3" xfId="1926" xr:uid="{65FFD56D-0978-4774-A047-62F19BEBD90A}"/>
    <cellStyle name="20% - Акцент5 14" xfId="128" xr:uid="{00000000-0005-0000-0000-00007D000000}"/>
    <cellStyle name="20% - Акцент5 14 2" xfId="1394" xr:uid="{1FAAF2EB-D866-4255-BC8C-6F4CA28CFA8B}"/>
    <cellStyle name="20% - Акцент5 14 3" xfId="1927" xr:uid="{897AF990-FE44-4F4E-93D0-55D2735F0D72}"/>
    <cellStyle name="20% - Акцент5 15" xfId="129" xr:uid="{00000000-0005-0000-0000-00007E000000}"/>
    <cellStyle name="20% - Акцент5 15 2" xfId="1395" xr:uid="{EA85FB1F-94C7-45D3-A210-CFAEB8FBFA78}"/>
    <cellStyle name="20% - Акцент5 15 3" xfId="1928" xr:uid="{7353B694-3114-47C1-8C34-8DD2825705E6}"/>
    <cellStyle name="20% - Акцент5 16" xfId="130" xr:uid="{00000000-0005-0000-0000-00007F000000}"/>
    <cellStyle name="20% - Акцент5 16 2" xfId="1396" xr:uid="{E0E5E8AB-E056-4B9F-B5DE-A3E1DAFED21D}"/>
    <cellStyle name="20% - Акцент5 16 3" xfId="1929" xr:uid="{8F3C2D6D-AA84-4818-9043-C835F1316585}"/>
    <cellStyle name="20% - Акцент5 17" xfId="131" xr:uid="{00000000-0005-0000-0000-000080000000}"/>
    <cellStyle name="20% - Акцент5 17 2" xfId="1397" xr:uid="{AE73C805-A8AD-460D-9892-16F3046263E9}"/>
    <cellStyle name="20% - Акцент5 17 3" xfId="1930" xr:uid="{2817AFD9-EDCA-49AB-BB91-7241D2065D4E}"/>
    <cellStyle name="20% - Акцент5 18" xfId="132" xr:uid="{00000000-0005-0000-0000-000081000000}"/>
    <cellStyle name="20% - Акцент5 18 2" xfId="1398" xr:uid="{0261B779-9AC9-46B5-8211-2AE3E6529A7F}"/>
    <cellStyle name="20% - Акцент5 18 3" xfId="1931" xr:uid="{F9366472-A448-4A06-9760-ED6A50D578F0}"/>
    <cellStyle name="20% - Акцент5 19" xfId="133" xr:uid="{00000000-0005-0000-0000-000082000000}"/>
    <cellStyle name="20% - Акцент5 19 2" xfId="1399" xr:uid="{7CBBDF90-00B0-43D3-8038-FF15CA184C36}"/>
    <cellStyle name="20% - Акцент5 19 3" xfId="1932" xr:uid="{C986ADFA-7696-4532-8663-7FF1E92942B9}"/>
    <cellStyle name="20% - Акцент5 2" xfId="134" xr:uid="{00000000-0005-0000-0000-000083000000}"/>
    <cellStyle name="20% - Акцент5 2 2" xfId="1400" xr:uid="{66644BA1-EAAF-45FB-8D58-8F253C94C1F6}"/>
    <cellStyle name="20% - Акцент5 2 3" xfId="1933" xr:uid="{08DD00E2-2410-499B-BB4C-8DF9E8797CAB}"/>
    <cellStyle name="20% - Акцент5 20" xfId="135" xr:uid="{00000000-0005-0000-0000-000084000000}"/>
    <cellStyle name="20% - Акцент5 20 2" xfId="1401" xr:uid="{65536E8D-50D4-4BBF-AD94-AAE57AEBB2D1}"/>
    <cellStyle name="20% - Акцент5 20 3" xfId="1934" xr:uid="{6D0F66E7-4B82-405C-923C-BDBEE4379D41}"/>
    <cellStyle name="20% - Акцент5 21" xfId="136" xr:uid="{00000000-0005-0000-0000-000085000000}"/>
    <cellStyle name="20% - Акцент5 21 2" xfId="1402" xr:uid="{2C451EEC-B9A5-4C09-8E1C-38B96A7AF500}"/>
    <cellStyle name="20% - Акцент5 21 3" xfId="1935" xr:uid="{83523CFB-853D-464F-90AE-F313D6D2F85F}"/>
    <cellStyle name="20% - Акцент5 22" xfId="137" xr:uid="{00000000-0005-0000-0000-000086000000}"/>
    <cellStyle name="20% - Акцент5 22 2" xfId="1403" xr:uid="{DCA59F51-CE15-4B56-A1AD-DC05AA78C09D}"/>
    <cellStyle name="20% - Акцент5 22 3" xfId="1936" xr:uid="{7D286DEA-A8E3-4872-8D8F-6101150F0AC2}"/>
    <cellStyle name="20% - Акцент5 23" xfId="138" xr:uid="{00000000-0005-0000-0000-000087000000}"/>
    <cellStyle name="20% - Акцент5 23 2" xfId="1404" xr:uid="{7A8CE7FA-2591-48E9-A0CB-6E7542A07EF7}"/>
    <cellStyle name="20% - Акцент5 23 3" xfId="1937" xr:uid="{6CB6A92E-F94B-41C3-AF39-8B530101FBB9}"/>
    <cellStyle name="20% - Акцент5 24" xfId="139" xr:uid="{00000000-0005-0000-0000-000088000000}"/>
    <cellStyle name="20% - Акцент5 24 2" xfId="1405" xr:uid="{B1703019-2355-40DF-94E1-CEF80F0C1315}"/>
    <cellStyle name="20% - Акцент5 24 3" xfId="1938" xr:uid="{A337BF8B-F5F5-409C-A688-3F693D98D8F9}"/>
    <cellStyle name="20% - Акцент5 25" xfId="140" xr:uid="{00000000-0005-0000-0000-000089000000}"/>
    <cellStyle name="20% - Акцент5 25 2" xfId="1406" xr:uid="{CC5CC6D9-2866-4710-839D-8347CA1C34F7}"/>
    <cellStyle name="20% - Акцент5 25 3" xfId="1939" xr:uid="{C8FE1A68-3CDA-4F06-95B9-AD5DD86B8054}"/>
    <cellStyle name="20% - Акцент5 26" xfId="141" xr:uid="{00000000-0005-0000-0000-00008A000000}"/>
    <cellStyle name="20% - Акцент5 26 2" xfId="1407" xr:uid="{6B798EFF-2ED7-4DFF-8122-1E21D24E75F5}"/>
    <cellStyle name="20% - Акцент5 26 3" xfId="1940" xr:uid="{6F97A9F6-078D-4DBC-95B5-E87A7D9CCB95}"/>
    <cellStyle name="20% - Акцент5 3" xfId="142" xr:uid="{00000000-0005-0000-0000-00008B000000}"/>
    <cellStyle name="20% - Акцент5 3 2" xfId="1408" xr:uid="{9D5AF676-5EA0-49A3-A3F9-0C35271CFC42}"/>
    <cellStyle name="20% - Акцент5 3 3" xfId="1941" xr:uid="{E5F86C73-C793-42A2-A346-28EF3A9DD83F}"/>
    <cellStyle name="20% - Акцент5 4" xfId="143" xr:uid="{00000000-0005-0000-0000-00008C000000}"/>
    <cellStyle name="20% - Акцент5 4 2" xfId="1409" xr:uid="{587A2FAB-67E9-402D-AB07-6FF61700D714}"/>
    <cellStyle name="20% - Акцент5 4 3" xfId="1942" xr:uid="{1730161E-98DC-40A2-9918-3F35BEEAD986}"/>
    <cellStyle name="20% - Акцент5 5" xfId="144" xr:uid="{00000000-0005-0000-0000-00008D000000}"/>
    <cellStyle name="20% - Акцент5 5 2" xfId="1410" xr:uid="{4C44DEA4-08B2-43A2-A470-60F07C968F1E}"/>
    <cellStyle name="20% - Акцент5 5 3" xfId="1943" xr:uid="{80964B0A-1F25-41E1-8149-4F944996EA0D}"/>
    <cellStyle name="20% - Акцент5 6" xfId="145" xr:uid="{00000000-0005-0000-0000-00008E000000}"/>
    <cellStyle name="20% - Акцент5 6 2" xfId="1411" xr:uid="{0708388E-C89C-4B71-84DF-43F52A9D9489}"/>
    <cellStyle name="20% - Акцент5 6 3" xfId="1944" xr:uid="{D178FB61-A75A-467C-8797-AB524BFB99D7}"/>
    <cellStyle name="20% - Акцент5 7" xfId="146" xr:uid="{00000000-0005-0000-0000-00008F000000}"/>
    <cellStyle name="20% - Акцент5 7 2" xfId="1412" xr:uid="{575265F0-9074-426C-B8F3-57F9D7AC0FE3}"/>
    <cellStyle name="20% - Акцент5 7 3" xfId="1945" xr:uid="{FD6060F5-BA1F-46BD-B488-71E2C8A84EC8}"/>
    <cellStyle name="20% - Акцент5 8" xfId="147" xr:uid="{00000000-0005-0000-0000-000090000000}"/>
    <cellStyle name="20% - Акцент5 8 2" xfId="1413" xr:uid="{B5E55D6B-5F7E-4CC3-8E0B-4029A66AB6DA}"/>
    <cellStyle name="20% - Акцент5 8 3" xfId="1946" xr:uid="{447A819A-93B9-4042-8D68-93D82C9F8F53}"/>
    <cellStyle name="20% - Акцент5 9" xfId="148" xr:uid="{00000000-0005-0000-0000-000091000000}"/>
    <cellStyle name="20% - Акцент5 9 2" xfId="1414" xr:uid="{1183C2E1-19F9-471F-AB51-E9C326B18921}"/>
    <cellStyle name="20% - Акцент5 9 3" xfId="1947" xr:uid="{D1FE2464-F0A8-468C-BEF7-4842E2110882}"/>
    <cellStyle name="20% - Акцент6 10" xfId="149" xr:uid="{00000000-0005-0000-0000-000092000000}"/>
    <cellStyle name="20% - Акцент6 10 2" xfId="1415" xr:uid="{E9752FF4-B3B5-49F4-BBFE-0CC30443DBE0}"/>
    <cellStyle name="20% - Акцент6 10 3" xfId="1948" xr:uid="{866E19F9-B131-4D2A-A187-6D91DC9ECFCC}"/>
    <cellStyle name="20% - Акцент6 11" xfId="150" xr:uid="{00000000-0005-0000-0000-000093000000}"/>
    <cellStyle name="20% - Акцент6 11 2" xfId="1416" xr:uid="{A8CE2C31-BB68-493E-902C-D4E6FAB08AF9}"/>
    <cellStyle name="20% - Акцент6 11 3" xfId="1949" xr:uid="{03DD2E38-9BF9-437A-92CF-4CD299087BD8}"/>
    <cellStyle name="20% - Акцент6 12" xfId="151" xr:uid="{00000000-0005-0000-0000-000094000000}"/>
    <cellStyle name="20% - Акцент6 12 2" xfId="1417" xr:uid="{2F5755B0-B606-417E-8E3D-999B48760929}"/>
    <cellStyle name="20% - Акцент6 12 3" xfId="1950" xr:uid="{EB972075-E466-4B21-A5C6-5F6B91B34B6A}"/>
    <cellStyle name="20% - Акцент6 13" xfId="152" xr:uid="{00000000-0005-0000-0000-000095000000}"/>
    <cellStyle name="20% - Акцент6 13 2" xfId="1418" xr:uid="{F13085FB-9482-420D-9414-DCB810C6E6A1}"/>
    <cellStyle name="20% - Акцент6 13 3" xfId="1951" xr:uid="{5E334EEA-F0A3-4D4A-B33D-607FDA2CE3B0}"/>
    <cellStyle name="20% - Акцент6 14" xfId="153" xr:uid="{00000000-0005-0000-0000-000096000000}"/>
    <cellStyle name="20% - Акцент6 14 2" xfId="1419" xr:uid="{00B52C6A-FD5A-4ED3-88AC-EAECCBBA4A42}"/>
    <cellStyle name="20% - Акцент6 14 3" xfId="1952" xr:uid="{8DE00D82-54C0-4D25-A99D-7BB9267518F6}"/>
    <cellStyle name="20% - Акцент6 15" xfId="154" xr:uid="{00000000-0005-0000-0000-000097000000}"/>
    <cellStyle name="20% - Акцент6 15 2" xfId="1420" xr:uid="{07B50398-5C9E-4E23-9EE0-E6E5E381AFA8}"/>
    <cellStyle name="20% - Акцент6 15 3" xfId="1953" xr:uid="{0B549D83-1F3C-4659-911A-7CBD5E420B3E}"/>
    <cellStyle name="20% - Акцент6 16" xfId="155" xr:uid="{00000000-0005-0000-0000-000098000000}"/>
    <cellStyle name="20% - Акцент6 16 2" xfId="1421" xr:uid="{ECB80B53-668A-43DC-B551-6787B21E9E7E}"/>
    <cellStyle name="20% - Акцент6 16 3" xfId="1954" xr:uid="{CA3C3C19-25F8-4813-B331-7B7C47802E6A}"/>
    <cellStyle name="20% - Акцент6 17" xfId="156" xr:uid="{00000000-0005-0000-0000-000099000000}"/>
    <cellStyle name="20% - Акцент6 17 2" xfId="1422" xr:uid="{50D67C2C-DC7F-4CE4-A47D-EE93D6E5A35B}"/>
    <cellStyle name="20% - Акцент6 17 3" xfId="1955" xr:uid="{9E00B253-AEEF-455D-888D-29A5BEAA9637}"/>
    <cellStyle name="20% - Акцент6 18" xfId="157" xr:uid="{00000000-0005-0000-0000-00009A000000}"/>
    <cellStyle name="20% - Акцент6 18 2" xfId="1423" xr:uid="{A90A682B-A716-4CEC-BD46-AAED096DB115}"/>
    <cellStyle name="20% - Акцент6 18 3" xfId="1956" xr:uid="{25DA49FB-9D75-44C5-92F4-F6DF63102811}"/>
    <cellStyle name="20% - Акцент6 19" xfId="158" xr:uid="{00000000-0005-0000-0000-00009B000000}"/>
    <cellStyle name="20% - Акцент6 19 2" xfId="1424" xr:uid="{29ACCA1E-AC4F-4949-9043-FB8963EB3525}"/>
    <cellStyle name="20% - Акцент6 19 3" xfId="1957" xr:uid="{0DB8E00D-EB7F-4797-ACE2-0C6A38CF2829}"/>
    <cellStyle name="20% - Акцент6 2" xfId="159" xr:uid="{00000000-0005-0000-0000-00009C000000}"/>
    <cellStyle name="20% - Акцент6 2 2" xfId="1425" xr:uid="{7A700DD3-BA00-44F4-AC4D-974F63FA8C42}"/>
    <cellStyle name="20% - Акцент6 2 3" xfId="1958" xr:uid="{7C3EFC11-E5C8-4B98-B476-73F84559D9EA}"/>
    <cellStyle name="20% - Акцент6 20" xfId="160" xr:uid="{00000000-0005-0000-0000-00009D000000}"/>
    <cellStyle name="20% - Акцент6 20 2" xfId="1426" xr:uid="{D98D2939-F484-4D42-AF38-0EF140E62726}"/>
    <cellStyle name="20% - Акцент6 20 3" xfId="1959" xr:uid="{1227DF6A-E160-4407-976C-8C7B63404AFA}"/>
    <cellStyle name="20% - Акцент6 21" xfId="161" xr:uid="{00000000-0005-0000-0000-00009E000000}"/>
    <cellStyle name="20% - Акцент6 21 2" xfId="1427" xr:uid="{7548F995-03DB-4D96-B0E3-85E85E2EACC0}"/>
    <cellStyle name="20% - Акцент6 21 3" xfId="1960" xr:uid="{DF39D3B5-AEC3-4733-B8D1-4B5329B3CB32}"/>
    <cellStyle name="20% - Акцент6 22" xfId="162" xr:uid="{00000000-0005-0000-0000-00009F000000}"/>
    <cellStyle name="20% - Акцент6 22 2" xfId="1428" xr:uid="{F427C23B-78F3-45B2-A2AF-EFDA5B2D441D}"/>
    <cellStyle name="20% - Акцент6 22 3" xfId="1961" xr:uid="{401F87AF-AD97-4B7F-A42E-A0DDCB15E287}"/>
    <cellStyle name="20% - Акцент6 23" xfId="163" xr:uid="{00000000-0005-0000-0000-0000A0000000}"/>
    <cellStyle name="20% - Акцент6 23 2" xfId="1429" xr:uid="{EF7DC2D3-6931-4785-A8DD-E0BAFFD3F3F7}"/>
    <cellStyle name="20% - Акцент6 23 3" xfId="1962" xr:uid="{79F15F24-0AFF-40CB-89FF-203571A42095}"/>
    <cellStyle name="20% - Акцент6 24" xfId="164" xr:uid="{00000000-0005-0000-0000-0000A1000000}"/>
    <cellStyle name="20% - Акцент6 24 2" xfId="1430" xr:uid="{C6BA8D41-CD10-44C2-B503-765026771819}"/>
    <cellStyle name="20% - Акцент6 24 3" xfId="1963" xr:uid="{52C78949-E438-4D69-BA5F-A2A81AB6AC3F}"/>
    <cellStyle name="20% - Акцент6 25" xfId="165" xr:uid="{00000000-0005-0000-0000-0000A2000000}"/>
    <cellStyle name="20% - Акцент6 25 2" xfId="1431" xr:uid="{42AB854C-32A5-4351-AE8E-F64C4B25EE70}"/>
    <cellStyle name="20% - Акцент6 25 3" xfId="1964" xr:uid="{D429FEE4-338E-456E-9DA6-CF18EBAF15A3}"/>
    <cellStyle name="20% - Акцент6 26" xfId="166" xr:uid="{00000000-0005-0000-0000-0000A3000000}"/>
    <cellStyle name="20% - Акцент6 26 2" xfId="1432" xr:uid="{17EA188E-43EA-4093-BE92-EA8444AC4EF4}"/>
    <cellStyle name="20% - Акцент6 26 3" xfId="1965" xr:uid="{581F52F9-9143-443D-A028-16032632C58D}"/>
    <cellStyle name="20% - Акцент6 3" xfId="167" xr:uid="{00000000-0005-0000-0000-0000A4000000}"/>
    <cellStyle name="20% - Акцент6 3 2" xfId="1433" xr:uid="{149434B0-9D26-4846-A774-D76547DBFB62}"/>
    <cellStyle name="20% - Акцент6 3 3" xfId="1966" xr:uid="{2E8C5B6C-3A97-4F67-BBA4-FF91C1974E6A}"/>
    <cellStyle name="20% - Акцент6 4" xfId="168" xr:uid="{00000000-0005-0000-0000-0000A5000000}"/>
    <cellStyle name="20% - Акцент6 4 2" xfId="1434" xr:uid="{13FDFD8D-689A-4E83-89F7-263C4BCCB4FA}"/>
    <cellStyle name="20% - Акцент6 4 3" xfId="1967" xr:uid="{4AF09B99-50D8-404D-B19D-529D6659351C}"/>
    <cellStyle name="20% - Акцент6 5" xfId="169" xr:uid="{00000000-0005-0000-0000-0000A6000000}"/>
    <cellStyle name="20% - Акцент6 5 2" xfId="1435" xr:uid="{E41F91EF-FE3D-4741-A2AF-AD85FE936422}"/>
    <cellStyle name="20% - Акцент6 5 3" xfId="1968" xr:uid="{4063B1E9-9189-4D79-A1BC-39E5D7A6D1FB}"/>
    <cellStyle name="20% - Акцент6 6" xfId="170" xr:uid="{00000000-0005-0000-0000-0000A7000000}"/>
    <cellStyle name="20% - Акцент6 6 2" xfId="1436" xr:uid="{14F6462D-95CB-477F-B875-59C8650FC81F}"/>
    <cellStyle name="20% - Акцент6 6 3" xfId="1969" xr:uid="{0F90EBF0-FFF9-46B1-89BD-636F7C24657F}"/>
    <cellStyle name="20% - Акцент6 7" xfId="171" xr:uid="{00000000-0005-0000-0000-0000A8000000}"/>
    <cellStyle name="20% - Акцент6 7 2" xfId="1437" xr:uid="{E392CA0F-7076-40CD-B3EE-4999B1651CA2}"/>
    <cellStyle name="20% - Акцент6 7 3" xfId="1970" xr:uid="{A8FB243C-733C-41E5-88CB-7F881FC28E5A}"/>
    <cellStyle name="20% - Акцент6 8" xfId="172" xr:uid="{00000000-0005-0000-0000-0000A9000000}"/>
    <cellStyle name="20% - Акцент6 8 2" xfId="1438" xr:uid="{F8AC0ECE-19F0-4011-8E63-F0C7AEBBC45D}"/>
    <cellStyle name="20% - Акцент6 8 3" xfId="1971" xr:uid="{80B0DBFC-7775-45FE-899B-7D23DDEA0D17}"/>
    <cellStyle name="20% - Акцент6 9" xfId="173" xr:uid="{00000000-0005-0000-0000-0000AA000000}"/>
    <cellStyle name="20% - Акцент6 9 2" xfId="1439" xr:uid="{B2F3B949-9C41-4C9C-B393-16A60572394E}"/>
    <cellStyle name="20% - Акцент6 9 3" xfId="1972" xr:uid="{F7218928-5655-45F7-B6AA-A6FCEA616EA3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0 2" xfId="1440" xr:uid="{A14224DD-6EE1-4F55-A56D-47819E86AED4}"/>
    <cellStyle name="40% - Акцент1 10 3" xfId="1973" xr:uid="{F06721D2-91CE-464D-8DC8-99B20C15224E}"/>
    <cellStyle name="40% - Акцент1 11" xfId="175" xr:uid="{00000000-0005-0000-0000-0000B3000000}"/>
    <cellStyle name="40% - Акцент1 11 2" xfId="1441" xr:uid="{9B9A2559-C121-4801-B4A6-E25E4476571B}"/>
    <cellStyle name="40% - Акцент1 11 3" xfId="1974" xr:uid="{928D5461-13BA-465F-900D-B76B447C5682}"/>
    <cellStyle name="40% - Акцент1 12" xfId="176" xr:uid="{00000000-0005-0000-0000-0000B4000000}"/>
    <cellStyle name="40% - Акцент1 12 2" xfId="1442" xr:uid="{35AA7462-0B56-48A4-90E1-626E3F0F761F}"/>
    <cellStyle name="40% - Акцент1 12 3" xfId="1975" xr:uid="{06C44D6C-0CF3-4874-A266-DCFDF7D41318}"/>
    <cellStyle name="40% - Акцент1 13" xfId="177" xr:uid="{00000000-0005-0000-0000-0000B5000000}"/>
    <cellStyle name="40% - Акцент1 13 2" xfId="1443" xr:uid="{13BE841F-51A7-4421-843E-879B8DC35BEE}"/>
    <cellStyle name="40% - Акцент1 13 3" xfId="1976" xr:uid="{8441D790-61E7-4039-ACEF-59171BA77D3F}"/>
    <cellStyle name="40% - Акцент1 14" xfId="178" xr:uid="{00000000-0005-0000-0000-0000B6000000}"/>
    <cellStyle name="40% - Акцент1 14 2" xfId="1444" xr:uid="{E8207DF2-3C97-46CE-981E-78A44E60FE21}"/>
    <cellStyle name="40% - Акцент1 14 3" xfId="1977" xr:uid="{802C9DBE-3955-4CBD-8CDE-06BF91EC337A}"/>
    <cellStyle name="40% - Акцент1 15" xfId="179" xr:uid="{00000000-0005-0000-0000-0000B7000000}"/>
    <cellStyle name="40% - Акцент1 15 2" xfId="1445" xr:uid="{C7B6900A-41EC-4A85-9CB9-10A36770246B}"/>
    <cellStyle name="40% - Акцент1 15 3" xfId="1978" xr:uid="{39260D7E-4953-42EE-9B58-B4DC4C4FF9F5}"/>
    <cellStyle name="40% - Акцент1 16" xfId="180" xr:uid="{00000000-0005-0000-0000-0000B8000000}"/>
    <cellStyle name="40% - Акцент1 16 2" xfId="1446" xr:uid="{5089EDF8-501D-4609-8698-C0697AF37F9C}"/>
    <cellStyle name="40% - Акцент1 16 3" xfId="1979" xr:uid="{A1ED855E-3100-48DA-8147-6C110775C833}"/>
    <cellStyle name="40% - Акцент1 17" xfId="181" xr:uid="{00000000-0005-0000-0000-0000B9000000}"/>
    <cellStyle name="40% - Акцент1 17 2" xfId="1447" xr:uid="{56D7FC47-569E-4882-B4CA-1DF878A8B5E4}"/>
    <cellStyle name="40% - Акцент1 17 3" xfId="1980" xr:uid="{70BE6BE5-9A5C-42EC-B481-D1C61BFBB6FE}"/>
    <cellStyle name="40% - Акцент1 18" xfId="182" xr:uid="{00000000-0005-0000-0000-0000BA000000}"/>
    <cellStyle name="40% - Акцент1 18 2" xfId="1448" xr:uid="{03C3E14A-FF0D-487F-B6EA-CDD9B38184F2}"/>
    <cellStyle name="40% - Акцент1 18 3" xfId="1981" xr:uid="{76E1E8C8-025F-4642-B5DC-FB149CB2EC7A}"/>
    <cellStyle name="40% - Акцент1 19" xfId="183" xr:uid="{00000000-0005-0000-0000-0000BB000000}"/>
    <cellStyle name="40% - Акцент1 19 2" xfId="1449" xr:uid="{50986752-476A-4932-AF9B-6B81D1E05AD1}"/>
    <cellStyle name="40% - Акцент1 19 3" xfId="1982" xr:uid="{8E7EE868-506E-4979-8B00-671D933441B2}"/>
    <cellStyle name="40% - Акцент1 2" xfId="184" xr:uid="{00000000-0005-0000-0000-0000BC000000}"/>
    <cellStyle name="40% - Акцент1 2 2" xfId="1450" xr:uid="{A7933B5E-62E2-4F5C-A459-9D190AB91649}"/>
    <cellStyle name="40% - Акцент1 2 3" xfId="1983" xr:uid="{53A1351F-5682-407C-9024-1688D2277BB0}"/>
    <cellStyle name="40% - Акцент1 20" xfId="185" xr:uid="{00000000-0005-0000-0000-0000BD000000}"/>
    <cellStyle name="40% - Акцент1 20 2" xfId="1451" xr:uid="{ADE34C52-2F64-449E-BC62-EC29903131F8}"/>
    <cellStyle name="40% - Акцент1 20 3" xfId="1984" xr:uid="{562219C2-75DE-44FA-A069-BC5C71A102C6}"/>
    <cellStyle name="40% - Акцент1 21" xfId="186" xr:uid="{00000000-0005-0000-0000-0000BE000000}"/>
    <cellStyle name="40% - Акцент1 21 2" xfId="1452" xr:uid="{4AD9001B-5628-4819-A5B9-F2CC5617889A}"/>
    <cellStyle name="40% - Акцент1 21 3" xfId="1985" xr:uid="{212A09C6-2A36-44E6-8AFB-9463605E421C}"/>
    <cellStyle name="40% - Акцент1 22" xfId="187" xr:uid="{00000000-0005-0000-0000-0000BF000000}"/>
    <cellStyle name="40% - Акцент1 22 2" xfId="1453" xr:uid="{C0E95234-8B0B-4C1A-9066-16F8A0DE88AD}"/>
    <cellStyle name="40% - Акцент1 22 3" xfId="1986" xr:uid="{EBA0D3CA-BC37-40AA-A603-EC20A7AFE399}"/>
    <cellStyle name="40% - Акцент1 23" xfId="188" xr:uid="{00000000-0005-0000-0000-0000C0000000}"/>
    <cellStyle name="40% - Акцент1 23 2" xfId="1454" xr:uid="{FFDAC040-264F-486C-B08D-4A052F57BCD8}"/>
    <cellStyle name="40% - Акцент1 23 3" xfId="1987" xr:uid="{64B9BD2D-F8E9-4AF5-8C5F-40C030434C50}"/>
    <cellStyle name="40% - Акцент1 24" xfId="189" xr:uid="{00000000-0005-0000-0000-0000C1000000}"/>
    <cellStyle name="40% - Акцент1 24 2" xfId="1455" xr:uid="{68747EB1-F0B6-42D7-A859-FAEE8DD1C2C4}"/>
    <cellStyle name="40% - Акцент1 24 3" xfId="1988" xr:uid="{0AB6B07A-5A80-4919-9167-340EEDD0C630}"/>
    <cellStyle name="40% - Акцент1 25" xfId="190" xr:uid="{00000000-0005-0000-0000-0000C2000000}"/>
    <cellStyle name="40% - Акцент1 25 2" xfId="1456" xr:uid="{FEE8F886-FDF7-45DC-9750-F92D6E6595CA}"/>
    <cellStyle name="40% - Акцент1 25 3" xfId="1989" xr:uid="{751161D6-4DEB-4442-9FE0-13A2DE8E5520}"/>
    <cellStyle name="40% - Акцент1 26" xfId="191" xr:uid="{00000000-0005-0000-0000-0000C3000000}"/>
    <cellStyle name="40% - Акцент1 26 2" xfId="1457" xr:uid="{209994D4-A824-4838-93D2-6034CB041534}"/>
    <cellStyle name="40% - Акцент1 26 3" xfId="1990" xr:uid="{99E33AE7-4AEC-4462-A0D6-349DFE1702EE}"/>
    <cellStyle name="40% - Акцент1 3" xfId="192" xr:uid="{00000000-0005-0000-0000-0000C4000000}"/>
    <cellStyle name="40% - Акцент1 3 2" xfId="1458" xr:uid="{787ADD95-E51D-49DB-A18D-85E3A2E70CE7}"/>
    <cellStyle name="40% - Акцент1 3 3" xfId="1991" xr:uid="{AED6D53A-79FC-46E7-A0B3-64642C2BB1ED}"/>
    <cellStyle name="40% - Акцент1 4" xfId="193" xr:uid="{00000000-0005-0000-0000-0000C5000000}"/>
    <cellStyle name="40% - Акцент1 4 2" xfId="1459" xr:uid="{2E99599D-EF24-41A8-8B46-461DEE6E23FE}"/>
    <cellStyle name="40% - Акцент1 4 3" xfId="1992" xr:uid="{00D66A26-1E6C-4E40-9FFC-E81125604E19}"/>
    <cellStyle name="40% - Акцент1 5" xfId="194" xr:uid="{00000000-0005-0000-0000-0000C6000000}"/>
    <cellStyle name="40% - Акцент1 5 2" xfId="1460" xr:uid="{CA05D5FA-2F51-493B-BA5D-E93C1A59D056}"/>
    <cellStyle name="40% - Акцент1 5 3" xfId="1993" xr:uid="{BBC5A755-D8F7-4D40-9DEF-FB0A494AEFD2}"/>
    <cellStyle name="40% - Акцент1 6" xfId="195" xr:uid="{00000000-0005-0000-0000-0000C7000000}"/>
    <cellStyle name="40% - Акцент1 6 2" xfId="1461" xr:uid="{C9E09E3E-989F-41ED-BCB6-C789A2E1FB31}"/>
    <cellStyle name="40% - Акцент1 6 3" xfId="1994" xr:uid="{EB88DB9C-21D2-465E-8A82-B7B31ECF62B3}"/>
    <cellStyle name="40% - Акцент1 7" xfId="196" xr:uid="{00000000-0005-0000-0000-0000C8000000}"/>
    <cellStyle name="40% - Акцент1 7 2" xfId="1462" xr:uid="{3A00FAC3-0CB7-479A-86E7-66B105A6A204}"/>
    <cellStyle name="40% - Акцент1 7 3" xfId="1995" xr:uid="{EC8FEEB6-5F93-4A33-BFAE-6CC6B37D1EE3}"/>
    <cellStyle name="40% - Акцент1 8" xfId="197" xr:uid="{00000000-0005-0000-0000-0000C9000000}"/>
    <cellStyle name="40% - Акцент1 8 2" xfId="1463" xr:uid="{1185C512-F19C-47E6-938C-3F94D9917D8C}"/>
    <cellStyle name="40% - Акцент1 8 3" xfId="1996" xr:uid="{E1B13BD1-4FEB-4612-A45A-F922296B1FD2}"/>
    <cellStyle name="40% - Акцент1 9" xfId="198" xr:uid="{00000000-0005-0000-0000-0000CA000000}"/>
    <cellStyle name="40% - Акцент1 9 2" xfId="1464" xr:uid="{7118DEDA-96CB-4B80-BD73-0DAC5878D949}"/>
    <cellStyle name="40% - Акцент1 9 3" xfId="1997" xr:uid="{E57DF641-EB29-475D-A983-3B4F66F6CD07}"/>
    <cellStyle name="40% - Акцент2 10" xfId="199" xr:uid="{00000000-0005-0000-0000-0000CB000000}"/>
    <cellStyle name="40% - Акцент2 10 2" xfId="1465" xr:uid="{C4158074-2C92-4A6F-B1E2-BA5235D46BA5}"/>
    <cellStyle name="40% - Акцент2 10 3" xfId="1998" xr:uid="{FFBA25EB-2E9A-49FA-8411-5BD9B7B122C8}"/>
    <cellStyle name="40% - Акцент2 11" xfId="200" xr:uid="{00000000-0005-0000-0000-0000CC000000}"/>
    <cellStyle name="40% - Акцент2 11 2" xfId="1466" xr:uid="{02F4B68C-3D75-44C3-A427-866872190AE7}"/>
    <cellStyle name="40% - Акцент2 11 3" xfId="1999" xr:uid="{26106A79-5F67-430E-BE0B-1AEF3D207A26}"/>
    <cellStyle name="40% - Акцент2 12" xfId="201" xr:uid="{00000000-0005-0000-0000-0000CD000000}"/>
    <cellStyle name="40% - Акцент2 12 2" xfId="1467" xr:uid="{E9377ED3-AF00-4D1C-9EC9-D402CB4B608D}"/>
    <cellStyle name="40% - Акцент2 12 3" xfId="2000" xr:uid="{0B4E0BF0-DBD5-4B67-8E7A-955298D779BB}"/>
    <cellStyle name="40% - Акцент2 13" xfId="202" xr:uid="{00000000-0005-0000-0000-0000CE000000}"/>
    <cellStyle name="40% - Акцент2 13 2" xfId="1468" xr:uid="{421FFA5C-D3CC-4011-9F46-66FB92610673}"/>
    <cellStyle name="40% - Акцент2 13 3" xfId="2001" xr:uid="{02545768-E966-4F9B-85CF-1719A8E6CFE3}"/>
    <cellStyle name="40% - Акцент2 14" xfId="203" xr:uid="{00000000-0005-0000-0000-0000CF000000}"/>
    <cellStyle name="40% - Акцент2 14 2" xfId="1469" xr:uid="{ED29F137-8FD8-4291-A121-67FC10BE86D1}"/>
    <cellStyle name="40% - Акцент2 14 3" xfId="2002" xr:uid="{D0D35851-9688-486D-81B8-FA9815DC6918}"/>
    <cellStyle name="40% - Акцент2 15" xfId="204" xr:uid="{00000000-0005-0000-0000-0000D0000000}"/>
    <cellStyle name="40% - Акцент2 15 2" xfId="1470" xr:uid="{BCF1ED6D-5A12-4486-A8A7-5DD4F137B071}"/>
    <cellStyle name="40% - Акцент2 15 3" xfId="2003" xr:uid="{EE7ABB0B-0686-4E2F-BF8B-A76776A11194}"/>
    <cellStyle name="40% - Акцент2 16" xfId="205" xr:uid="{00000000-0005-0000-0000-0000D1000000}"/>
    <cellStyle name="40% - Акцент2 16 2" xfId="1471" xr:uid="{5037A32C-294B-4CCD-88C1-CF9AD0132634}"/>
    <cellStyle name="40% - Акцент2 16 3" xfId="2004" xr:uid="{7FBD3B48-E4C7-483D-9042-6BBED3DFFB03}"/>
    <cellStyle name="40% - Акцент2 17" xfId="206" xr:uid="{00000000-0005-0000-0000-0000D2000000}"/>
    <cellStyle name="40% - Акцент2 17 2" xfId="1472" xr:uid="{3055E6D5-F8A4-4145-913E-213FE65A9655}"/>
    <cellStyle name="40% - Акцент2 17 3" xfId="2005" xr:uid="{90F835B9-26CF-4247-B57E-6F8D30D148BA}"/>
    <cellStyle name="40% - Акцент2 18" xfId="207" xr:uid="{00000000-0005-0000-0000-0000D3000000}"/>
    <cellStyle name="40% - Акцент2 18 2" xfId="1473" xr:uid="{F2E57574-2253-4E3C-883D-2267F0719725}"/>
    <cellStyle name="40% - Акцент2 18 3" xfId="2006" xr:uid="{B4487B96-2CC9-4F68-AC16-30987187DCED}"/>
    <cellStyle name="40% - Акцент2 19" xfId="208" xr:uid="{00000000-0005-0000-0000-0000D4000000}"/>
    <cellStyle name="40% - Акцент2 19 2" xfId="1474" xr:uid="{212F5977-6B53-40A7-8841-5A66B8DDFDD4}"/>
    <cellStyle name="40% - Акцент2 19 3" xfId="2007" xr:uid="{D3C6C451-B7F9-4465-AB1F-56D3713099EF}"/>
    <cellStyle name="40% - Акцент2 2" xfId="209" xr:uid="{00000000-0005-0000-0000-0000D5000000}"/>
    <cellStyle name="40% - Акцент2 2 2" xfId="1475" xr:uid="{44C53F04-C5FE-4446-8BDA-4AD1CC71C8A7}"/>
    <cellStyle name="40% - Акцент2 2 3" xfId="2008" xr:uid="{408BA23E-305D-4250-902D-2428280AE3CA}"/>
    <cellStyle name="40% - Акцент2 20" xfId="210" xr:uid="{00000000-0005-0000-0000-0000D6000000}"/>
    <cellStyle name="40% - Акцент2 20 2" xfId="1476" xr:uid="{8D60B150-2F38-4B5A-89E4-86F3E1F9BAD9}"/>
    <cellStyle name="40% - Акцент2 20 3" xfId="2009" xr:uid="{4AED4A4D-4072-4CAA-96D0-1F7263D347D6}"/>
    <cellStyle name="40% - Акцент2 21" xfId="211" xr:uid="{00000000-0005-0000-0000-0000D7000000}"/>
    <cellStyle name="40% - Акцент2 21 2" xfId="1477" xr:uid="{6E6E672F-F108-4061-B7F5-802CC73A471F}"/>
    <cellStyle name="40% - Акцент2 21 3" xfId="2010" xr:uid="{5496C81D-AC74-4D0F-BABC-EC007A9B2ED0}"/>
    <cellStyle name="40% - Акцент2 22" xfId="212" xr:uid="{00000000-0005-0000-0000-0000D8000000}"/>
    <cellStyle name="40% - Акцент2 22 2" xfId="1478" xr:uid="{3FE3344D-25B6-4A72-909C-0C881AB12BBC}"/>
    <cellStyle name="40% - Акцент2 22 3" xfId="2011" xr:uid="{0F70A353-F3B1-44FB-8952-16B0A3A54AAF}"/>
    <cellStyle name="40% - Акцент2 23" xfId="213" xr:uid="{00000000-0005-0000-0000-0000D9000000}"/>
    <cellStyle name="40% - Акцент2 23 2" xfId="1479" xr:uid="{8A8ED5F4-CBF8-4308-A681-58D3DEAA195E}"/>
    <cellStyle name="40% - Акцент2 23 3" xfId="2012" xr:uid="{1B16CC47-D9DB-4CD4-A91E-08181D80EEBC}"/>
    <cellStyle name="40% - Акцент2 24" xfId="214" xr:uid="{00000000-0005-0000-0000-0000DA000000}"/>
    <cellStyle name="40% - Акцент2 24 2" xfId="1480" xr:uid="{53482A29-BE7B-4011-B42F-658B3DBB1255}"/>
    <cellStyle name="40% - Акцент2 24 3" xfId="2013" xr:uid="{49728864-A37E-41C7-A076-6907335376B8}"/>
    <cellStyle name="40% - Акцент2 25" xfId="215" xr:uid="{00000000-0005-0000-0000-0000DB000000}"/>
    <cellStyle name="40% - Акцент2 25 2" xfId="1481" xr:uid="{54AB7436-0F25-45E6-93C6-CDD8172C42EB}"/>
    <cellStyle name="40% - Акцент2 25 3" xfId="2014" xr:uid="{7801328B-866B-4AC5-84B3-4457EE695676}"/>
    <cellStyle name="40% - Акцент2 26" xfId="216" xr:uid="{00000000-0005-0000-0000-0000DC000000}"/>
    <cellStyle name="40% - Акцент2 26 2" xfId="1482" xr:uid="{FDD1333F-3B0C-4837-A58D-8B0D67121593}"/>
    <cellStyle name="40% - Акцент2 26 3" xfId="2015" xr:uid="{60B04D18-75A2-46CC-A859-F9C357D23160}"/>
    <cellStyle name="40% - Акцент2 3" xfId="217" xr:uid="{00000000-0005-0000-0000-0000DD000000}"/>
    <cellStyle name="40% - Акцент2 3 2" xfId="1483" xr:uid="{4D3F278A-2DE7-4A99-929F-293909F3EAC3}"/>
    <cellStyle name="40% - Акцент2 3 3" xfId="2016" xr:uid="{0C25A2B1-4384-4187-881E-FFD9534104D0}"/>
    <cellStyle name="40% - Акцент2 4" xfId="218" xr:uid="{00000000-0005-0000-0000-0000DE000000}"/>
    <cellStyle name="40% - Акцент2 4 2" xfId="1484" xr:uid="{2D779784-A21A-41F9-895E-E1D647E09078}"/>
    <cellStyle name="40% - Акцент2 4 3" xfId="2017" xr:uid="{B6EC7AB0-3128-4BE8-A001-A983FAD28963}"/>
    <cellStyle name="40% - Акцент2 5" xfId="219" xr:uid="{00000000-0005-0000-0000-0000DF000000}"/>
    <cellStyle name="40% - Акцент2 5 2" xfId="1485" xr:uid="{F3A5E66B-0DBF-4C13-8E19-E228AB7DE944}"/>
    <cellStyle name="40% - Акцент2 5 3" xfId="2018" xr:uid="{C201456E-E563-4199-9625-0AD787CEF03E}"/>
    <cellStyle name="40% - Акцент2 6" xfId="220" xr:uid="{00000000-0005-0000-0000-0000E0000000}"/>
    <cellStyle name="40% - Акцент2 6 2" xfId="1486" xr:uid="{BAA7B319-51EE-42CD-9A22-FF7325864A23}"/>
    <cellStyle name="40% - Акцент2 6 3" xfId="2019" xr:uid="{BD060D4E-506F-46A7-A270-B5D6240AB004}"/>
    <cellStyle name="40% - Акцент2 7" xfId="221" xr:uid="{00000000-0005-0000-0000-0000E1000000}"/>
    <cellStyle name="40% - Акцент2 7 2" xfId="1487" xr:uid="{659B8627-F1F2-4048-96D3-7F555D73DEF2}"/>
    <cellStyle name="40% - Акцент2 7 3" xfId="2020" xr:uid="{B0F4DDBE-1027-4078-8AB0-ED72405A5EEA}"/>
    <cellStyle name="40% - Акцент2 8" xfId="222" xr:uid="{00000000-0005-0000-0000-0000E2000000}"/>
    <cellStyle name="40% - Акцент2 8 2" xfId="1488" xr:uid="{C7D8059D-F4E3-4ABF-BD7F-26F3F03AC4CD}"/>
    <cellStyle name="40% - Акцент2 8 3" xfId="2021" xr:uid="{8A4EAD58-AAE5-41B7-AA7C-4EECEEE3E43D}"/>
    <cellStyle name="40% - Акцент2 9" xfId="223" xr:uid="{00000000-0005-0000-0000-0000E3000000}"/>
    <cellStyle name="40% - Акцент2 9 2" xfId="1489" xr:uid="{104FCB35-9764-454F-81BE-D909D25D8AA5}"/>
    <cellStyle name="40% - Акцент2 9 3" xfId="2022" xr:uid="{80661078-0BEC-4043-B67E-0642B8612A25}"/>
    <cellStyle name="40% - Акцент3 10" xfId="224" xr:uid="{00000000-0005-0000-0000-0000E4000000}"/>
    <cellStyle name="40% - Акцент3 10 2" xfId="1490" xr:uid="{6A5C6054-725A-46BF-A1FB-0D93CA978A3C}"/>
    <cellStyle name="40% - Акцент3 10 3" xfId="2023" xr:uid="{34E8C2B8-D45D-4593-A827-70C9CE13D685}"/>
    <cellStyle name="40% - Акцент3 11" xfId="225" xr:uid="{00000000-0005-0000-0000-0000E5000000}"/>
    <cellStyle name="40% - Акцент3 11 2" xfId="1491" xr:uid="{9C7E0279-F80D-4FB3-B92F-2F66D3FBB2B9}"/>
    <cellStyle name="40% - Акцент3 11 3" xfId="2024" xr:uid="{C29D5B2B-5218-43E2-A987-759D528A5396}"/>
    <cellStyle name="40% - Акцент3 12" xfId="226" xr:uid="{00000000-0005-0000-0000-0000E6000000}"/>
    <cellStyle name="40% - Акцент3 12 2" xfId="1492" xr:uid="{0F63F7F4-F741-4DB9-9B96-3F721227CC69}"/>
    <cellStyle name="40% - Акцент3 12 3" xfId="2025" xr:uid="{89436723-3CC8-4144-B9D5-F9EE92A7402F}"/>
    <cellStyle name="40% - Акцент3 13" xfId="227" xr:uid="{00000000-0005-0000-0000-0000E7000000}"/>
    <cellStyle name="40% - Акцент3 13 2" xfId="1493" xr:uid="{8D770144-5FC1-4D23-862D-17B108D5FC72}"/>
    <cellStyle name="40% - Акцент3 13 3" xfId="2026" xr:uid="{2B61B557-6EF4-4B46-B204-949091ED25ED}"/>
    <cellStyle name="40% - Акцент3 14" xfId="228" xr:uid="{00000000-0005-0000-0000-0000E8000000}"/>
    <cellStyle name="40% - Акцент3 14 2" xfId="1494" xr:uid="{FE8A5367-CABE-43A3-AD30-B5E887B046DE}"/>
    <cellStyle name="40% - Акцент3 14 3" xfId="2027" xr:uid="{52741FAC-67BD-4673-BC5E-8BA6617DF1B1}"/>
    <cellStyle name="40% - Акцент3 15" xfId="229" xr:uid="{00000000-0005-0000-0000-0000E9000000}"/>
    <cellStyle name="40% - Акцент3 15 2" xfId="1495" xr:uid="{4B4917D0-8022-4C04-9AEC-C80EEDE76CEB}"/>
    <cellStyle name="40% - Акцент3 15 3" xfId="2028" xr:uid="{0694327C-480F-4145-A6F7-57DDD4985048}"/>
    <cellStyle name="40% - Акцент3 16" xfId="230" xr:uid="{00000000-0005-0000-0000-0000EA000000}"/>
    <cellStyle name="40% - Акцент3 16 2" xfId="1496" xr:uid="{2014B3F8-210C-4261-9926-EBB6300E56DA}"/>
    <cellStyle name="40% - Акцент3 16 3" xfId="2029" xr:uid="{EC01C94F-0E76-4C96-8B30-767F873F30B6}"/>
    <cellStyle name="40% - Акцент3 17" xfId="231" xr:uid="{00000000-0005-0000-0000-0000EB000000}"/>
    <cellStyle name="40% - Акцент3 17 2" xfId="1497" xr:uid="{2B3F5750-EC32-4D48-89E4-1F2E884DA1D8}"/>
    <cellStyle name="40% - Акцент3 17 3" xfId="2030" xr:uid="{CB9D6643-28E4-4D29-B389-9E409B9365B9}"/>
    <cellStyle name="40% - Акцент3 18" xfId="232" xr:uid="{00000000-0005-0000-0000-0000EC000000}"/>
    <cellStyle name="40% - Акцент3 18 2" xfId="1498" xr:uid="{990B8DE2-A76B-48E3-8A50-62BE217F90C5}"/>
    <cellStyle name="40% - Акцент3 18 3" xfId="2031" xr:uid="{08DD8DBF-49CE-402A-991D-0A9290359A01}"/>
    <cellStyle name="40% - Акцент3 19" xfId="233" xr:uid="{00000000-0005-0000-0000-0000ED000000}"/>
    <cellStyle name="40% - Акцент3 19 2" xfId="1499" xr:uid="{3BCCBC78-805A-4680-B4EC-F524E6D2C449}"/>
    <cellStyle name="40% - Акцент3 19 3" xfId="2032" xr:uid="{3D48B189-7E8F-46B3-9B3F-F5EBB257BD62}"/>
    <cellStyle name="40% - Акцент3 2" xfId="234" xr:uid="{00000000-0005-0000-0000-0000EE000000}"/>
    <cellStyle name="40% - Акцент3 2 2" xfId="1500" xr:uid="{C4A6E00A-9755-4A6E-B0FA-C63A47A65174}"/>
    <cellStyle name="40% - Акцент3 2 3" xfId="2033" xr:uid="{FE8BA5F3-7D06-46CD-96CA-20D91963DBA7}"/>
    <cellStyle name="40% - Акцент3 20" xfId="235" xr:uid="{00000000-0005-0000-0000-0000EF000000}"/>
    <cellStyle name="40% - Акцент3 20 2" xfId="1501" xr:uid="{764D95AF-69CF-4D12-972E-8CA6D2739D21}"/>
    <cellStyle name="40% - Акцент3 20 3" xfId="2034" xr:uid="{813D387D-9012-41F2-9F1F-9A3BEC76C526}"/>
    <cellStyle name="40% - Акцент3 21" xfId="236" xr:uid="{00000000-0005-0000-0000-0000F0000000}"/>
    <cellStyle name="40% - Акцент3 21 2" xfId="1502" xr:uid="{21BB5DC3-C256-4AB7-89F6-96599891F25C}"/>
    <cellStyle name="40% - Акцент3 21 3" xfId="2035" xr:uid="{BCD67F6D-0B06-4D36-80D2-40607BB9F48E}"/>
    <cellStyle name="40% - Акцент3 22" xfId="237" xr:uid="{00000000-0005-0000-0000-0000F1000000}"/>
    <cellStyle name="40% - Акцент3 22 2" xfId="1503" xr:uid="{F727E61E-83B2-4057-8128-1FA39D79915E}"/>
    <cellStyle name="40% - Акцент3 22 3" xfId="2036" xr:uid="{FCDBD7A7-6C41-4CEC-A14B-0EC95E54522B}"/>
    <cellStyle name="40% - Акцент3 23" xfId="238" xr:uid="{00000000-0005-0000-0000-0000F2000000}"/>
    <cellStyle name="40% - Акцент3 23 2" xfId="1504" xr:uid="{8EEB56F0-3437-4543-A3CF-F13C869D71A9}"/>
    <cellStyle name="40% - Акцент3 23 3" xfId="2037" xr:uid="{42AF2F50-1B1E-4A7A-BE40-F43240EA12EA}"/>
    <cellStyle name="40% - Акцент3 24" xfId="239" xr:uid="{00000000-0005-0000-0000-0000F3000000}"/>
    <cellStyle name="40% - Акцент3 24 2" xfId="1505" xr:uid="{D70822BC-40DC-445F-98B5-3B6BADFCF7E9}"/>
    <cellStyle name="40% - Акцент3 24 3" xfId="2038" xr:uid="{B4231B76-8D74-48BD-BE0F-14237EE08560}"/>
    <cellStyle name="40% - Акцент3 25" xfId="240" xr:uid="{00000000-0005-0000-0000-0000F4000000}"/>
    <cellStyle name="40% - Акцент3 25 2" xfId="1506" xr:uid="{98A82F74-4FF5-4D49-BAF4-653AFE5E90C6}"/>
    <cellStyle name="40% - Акцент3 25 3" xfId="2039" xr:uid="{9D37121C-7941-4A8E-A6AE-F1E7FCD52F52}"/>
    <cellStyle name="40% - Акцент3 26" xfId="241" xr:uid="{00000000-0005-0000-0000-0000F5000000}"/>
    <cellStyle name="40% - Акцент3 26 2" xfId="1507" xr:uid="{F96E9854-A06E-47E7-881D-F10221A5C29B}"/>
    <cellStyle name="40% - Акцент3 26 3" xfId="2040" xr:uid="{249F40BF-B617-43F1-976E-A683078564F1}"/>
    <cellStyle name="40% - Акцент3 3" xfId="242" xr:uid="{00000000-0005-0000-0000-0000F6000000}"/>
    <cellStyle name="40% - Акцент3 3 2" xfId="1508" xr:uid="{324E57CE-F5E6-4EE7-AC4E-40463A6B2226}"/>
    <cellStyle name="40% - Акцент3 3 3" xfId="2041" xr:uid="{41D56B3D-C894-445E-9B17-07BD3BBCB4A6}"/>
    <cellStyle name="40% - Акцент3 4" xfId="243" xr:uid="{00000000-0005-0000-0000-0000F7000000}"/>
    <cellStyle name="40% - Акцент3 4 2" xfId="1509" xr:uid="{A1BC5D33-7295-4717-9D7A-63366E297395}"/>
    <cellStyle name="40% - Акцент3 4 3" xfId="2042" xr:uid="{4FB18A49-F811-40FA-A43D-1D6E3BF9DE24}"/>
    <cellStyle name="40% - Акцент3 5" xfId="244" xr:uid="{00000000-0005-0000-0000-0000F8000000}"/>
    <cellStyle name="40% - Акцент3 5 2" xfId="1510" xr:uid="{1CC8B686-3C53-4399-BCD4-57837E0F75D4}"/>
    <cellStyle name="40% - Акцент3 5 3" xfId="2043" xr:uid="{4863DCF6-4600-4C00-A04B-095FB78CB9AC}"/>
    <cellStyle name="40% - Акцент3 6" xfId="245" xr:uid="{00000000-0005-0000-0000-0000F9000000}"/>
    <cellStyle name="40% - Акцент3 6 2" xfId="1511" xr:uid="{D9AF3DA4-42DD-4098-945D-C7288E33000D}"/>
    <cellStyle name="40% - Акцент3 6 3" xfId="2044" xr:uid="{F77E4F4A-63E0-4E37-A8BF-BC947A0CF25B}"/>
    <cellStyle name="40% - Акцент3 7" xfId="246" xr:uid="{00000000-0005-0000-0000-0000FA000000}"/>
    <cellStyle name="40% - Акцент3 7 2" xfId="1512" xr:uid="{0D5B03D6-4F82-463D-861D-97095B5BED04}"/>
    <cellStyle name="40% - Акцент3 7 3" xfId="2045" xr:uid="{33D562AC-FB09-4CA0-9CEF-1ACB778AAF0C}"/>
    <cellStyle name="40% - Акцент3 8" xfId="247" xr:uid="{00000000-0005-0000-0000-0000FB000000}"/>
    <cellStyle name="40% - Акцент3 8 2" xfId="1513" xr:uid="{D59591A7-521A-4630-A598-C08C9AF8A7F4}"/>
    <cellStyle name="40% - Акцент3 8 3" xfId="2046" xr:uid="{8C29FD93-2E15-411F-944D-1BDA77862AB7}"/>
    <cellStyle name="40% - Акцент3 9" xfId="248" xr:uid="{00000000-0005-0000-0000-0000FC000000}"/>
    <cellStyle name="40% - Акцент3 9 2" xfId="1514" xr:uid="{F5FD0958-2AE7-4F34-9E2F-C7B90C1FA959}"/>
    <cellStyle name="40% - Акцент3 9 3" xfId="2047" xr:uid="{2A86E577-6339-4036-9797-B20BD3084A05}"/>
    <cellStyle name="40% - Акцент4 10" xfId="249" xr:uid="{00000000-0005-0000-0000-0000FD000000}"/>
    <cellStyle name="40% - Акцент4 10 2" xfId="1515" xr:uid="{C62D178C-81F7-4FC5-9529-342B58474A36}"/>
    <cellStyle name="40% - Акцент4 10 3" xfId="2048" xr:uid="{ABA898FB-FF2E-44D4-8B1A-8EF4637E0292}"/>
    <cellStyle name="40% - Акцент4 11" xfId="250" xr:uid="{00000000-0005-0000-0000-0000FE000000}"/>
    <cellStyle name="40% - Акцент4 11 2" xfId="1516" xr:uid="{37120F02-E82D-4187-899E-8ABAEBEC9F85}"/>
    <cellStyle name="40% - Акцент4 11 3" xfId="2049" xr:uid="{DFC9DFC6-6C2D-4C9F-BF92-8F7C385F400B}"/>
    <cellStyle name="40% - Акцент4 12" xfId="251" xr:uid="{00000000-0005-0000-0000-0000FF000000}"/>
    <cellStyle name="40% - Акцент4 12 2" xfId="1517" xr:uid="{830E03CA-5696-4F63-A7F9-BE6A5156730C}"/>
    <cellStyle name="40% - Акцент4 12 3" xfId="2050" xr:uid="{A0365E39-9C95-48B5-ADCF-42DD132FFE88}"/>
    <cellStyle name="40% - Акцент4 13" xfId="252" xr:uid="{00000000-0005-0000-0000-000000010000}"/>
    <cellStyle name="40% - Акцент4 13 2" xfId="1518" xr:uid="{5CDDD389-4508-430B-9395-AFBA6A3156B2}"/>
    <cellStyle name="40% - Акцент4 13 3" xfId="2051" xr:uid="{35990EAB-FB91-4952-8099-2429625100B9}"/>
    <cellStyle name="40% - Акцент4 14" xfId="253" xr:uid="{00000000-0005-0000-0000-000001010000}"/>
    <cellStyle name="40% - Акцент4 14 2" xfId="1519" xr:uid="{A733CB27-286C-4A44-86DA-3259342F5407}"/>
    <cellStyle name="40% - Акцент4 14 3" xfId="2052" xr:uid="{85AB0882-AE9B-4341-B499-D1A3339DE5AA}"/>
    <cellStyle name="40% - Акцент4 15" xfId="254" xr:uid="{00000000-0005-0000-0000-000002010000}"/>
    <cellStyle name="40% - Акцент4 15 2" xfId="1520" xr:uid="{222F4DC6-811F-4884-B956-1ABA4D6775A6}"/>
    <cellStyle name="40% - Акцент4 15 3" xfId="2053" xr:uid="{22D4E5DA-EB74-4FA5-9BC2-64894757773C}"/>
    <cellStyle name="40% - Акцент4 16" xfId="255" xr:uid="{00000000-0005-0000-0000-000003010000}"/>
    <cellStyle name="40% - Акцент4 16 2" xfId="1521" xr:uid="{660FE133-55FE-4A2E-B90F-1275610890BE}"/>
    <cellStyle name="40% - Акцент4 16 3" xfId="2054" xr:uid="{C4E4F3B3-D220-4961-8D4D-40AFF2B87FB6}"/>
    <cellStyle name="40% - Акцент4 17" xfId="256" xr:uid="{00000000-0005-0000-0000-000004010000}"/>
    <cellStyle name="40% - Акцент4 17 2" xfId="1522" xr:uid="{A9961EFE-48E6-4A3B-B997-10DC428D4CC0}"/>
    <cellStyle name="40% - Акцент4 17 3" xfId="2055" xr:uid="{D31FF0CA-09ED-4E75-94E7-1B7CCC9F9581}"/>
    <cellStyle name="40% - Акцент4 18" xfId="257" xr:uid="{00000000-0005-0000-0000-000005010000}"/>
    <cellStyle name="40% - Акцент4 18 2" xfId="1523" xr:uid="{FE2A3439-2D57-48AE-8C28-F595A243723B}"/>
    <cellStyle name="40% - Акцент4 18 3" xfId="2056" xr:uid="{A64FD328-F698-40F3-9618-CE566CB68DE2}"/>
    <cellStyle name="40% - Акцент4 19" xfId="258" xr:uid="{00000000-0005-0000-0000-000006010000}"/>
    <cellStyle name="40% - Акцент4 19 2" xfId="1524" xr:uid="{DD432EED-335B-43F2-8954-75BFF83EA2BA}"/>
    <cellStyle name="40% - Акцент4 19 3" xfId="2057" xr:uid="{6FB2BD4B-15E0-42BF-BB61-230BA904D889}"/>
    <cellStyle name="40% - Акцент4 2" xfId="259" xr:uid="{00000000-0005-0000-0000-000007010000}"/>
    <cellStyle name="40% - Акцент4 2 2" xfId="1525" xr:uid="{7F81A60F-F3C4-4A27-A5F1-470316905257}"/>
    <cellStyle name="40% - Акцент4 2 3" xfId="2058" xr:uid="{9C4EEA7B-8FCB-4E09-8927-E42106C4257B}"/>
    <cellStyle name="40% - Акцент4 20" xfId="260" xr:uid="{00000000-0005-0000-0000-000008010000}"/>
    <cellStyle name="40% - Акцент4 20 2" xfId="1526" xr:uid="{F50B6643-3138-4221-8D4E-9183AA49AD44}"/>
    <cellStyle name="40% - Акцент4 20 3" xfId="2059" xr:uid="{A5CD3CE2-0D9D-4FDF-A27C-A40029E1F137}"/>
    <cellStyle name="40% - Акцент4 21" xfId="261" xr:uid="{00000000-0005-0000-0000-000009010000}"/>
    <cellStyle name="40% - Акцент4 21 2" xfId="1527" xr:uid="{4A46CE62-FB77-49C9-B6B1-99BCE2C1186F}"/>
    <cellStyle name="40% - Акцент4 21 3" xfId="2060" xr:uid="{ACEAEFC0-18AC-408B-BDA4-9B1E731D712C}"/>
    <cellStyle name="40% - Акцент4 22" xfId="262" xr:uid="{00000000-0005-0000-0000-00000A010000}"/>
    <cellStyle name="40% - Акцент4 22 2" xfId="1528" xr:uid="{CDDA7209-8A8B-4827-9007-D98864A94541}"/>
    <cellStyle name="40% - Акцент4 22 3" xfId="2061" xr:uid="{A7DB412F-C923-476F-A738-C1C98D3B523B}"/>
    <cellStyle name="40% - Акцент4 23" xfId="263" xr:uid="{00000000-0005-0000-0000-00000B010000}"/>
    <cellStyle name="40% - Акцент4 23 2" xfId="1529" xr:uid="{00D870BE-ABBE-4C11-9728-3273B1C06CBF}"/>
    <cellStyle name="40% - Акцент4 23 3" xfId="2062" xr:uid="{C1D1FF89-E59F-4347-9ACC-B7DA18163274}"/>
    <cellStyle name="40% - Акцент4 24" xfId="264" xr:uid="{00000000-0005-0000-0000-00000C010000}"/>
    <cellStyle name="40% - Акцент4 24 2" xfId="1530" xr:uid="{868C0FAA-8C74-4EF9-B685-9FC17149B2EA}"/>
    <cellStyle name="40% - Акцент4 24 3" xfId="2063" xr:uid="{AB0F47F8-095A-423E-9A3D-F7C89B316353}"/>
    <cellStyle name="40% - Акцент4 25" xfId="265" xr:uid="{00000000-0005-0000-0000-00000D010000}"/>
    <cellStyle name="40% - Акцент4 25 2" xfId="1531" xr:uid="{DABCA095-AD75-41D3-A173-790634FAE2C8}"/>
    <cellStyle name="40% - Акцент4 25 3" xfId="2064" xr:uid="{DEDFDEBA-CA3B-4CF5-9EEC-A92C39D826E3}"/>
    <cellStyle name="40% - Акцент4 26" xfId="266" xr:uid="{00000000-0005-0000-0000-00000E010000}"/>
    <cellStyle name="40% - Акцент4 26 2" xfId="1532" xr:uid="{CCEB3BBD-689A-41A0-951D-9739E57C622F}"/>
    <cellStyle name="40% - Акцент4 26 3" xfId="2065" xr:uid="{B6C5FB69-8F31-484C-9FE6-5DCEB24EC417}"/>
    <cellStyle name="40% - Акцент4 3" xfId="267" xr:uid="{00000000-0005-0000-0000-00000F010000}"/>
    <cellStyle name="40% - Акцент4 3 2" xfId="1533" xr:uid="{E65077F3-C1BF-4C7E-A1A0-59C9891CE829}"/>
    <cellStyle name="40% - Акцент4 3 3" xfId="2066" xr:uid="{EEE8590A-2047-4638-BAB3-C5A373122E48}"/>
    <cellStyle name="40% - Акцент4 4" xfId="268" xr:uid="{00000000-0005-0000-0000-000010010000}"/>
    <cellStyle name="40% - Акцент4 4 2" xfId="1534" xr:uid="{03C6E4B3-1085-4EDF-9A33-BF73869A260D}"/>
    <cellStyle name="40% - Акцент4 4 3" xfId="2067" xr:uid="{B146BF13-F527-41ED-BB8B-D1C7981A4708}"/>
    <cellStyle name="40% - Акцент4 5" xfId="269" xr:uid="{00000000-0005-0000-0000-000011010000}"/>
    <cellStyle name="40% - Акцент4 5 2" xfId="1535" xr:uid="{D976F621-5EA1-4889-88E9-CEA349A73D5B}"/>
    <cellStyle name="40% - Акцент4 5 3" xfId="2068" xr:uid="{355A6C3F-2E31-4725-A5B4-113A32FA7A1E}"/>
    <cellStyle name="40% - Акцент4 6" xfId="270" xr:uid="{00000000-0005-0000-0000-000012010000}"/>
    <cellStyle name="40% - Акцент4 6 2" xfId="1536" xr:uid="{2E9F6EF4-EC2A-4406-9A51-564083104DDB}"/>
    <cellStyle name="40% - Акцент4 6 3" xfId="2069" xr:uid="{63C3C7D7-BD67-4BF1-BB7B-4BD2E3AD007A}"/>
    <cellStyle name="40% - Акцент4 7" xfId="271" xr:uid="{00000000-0005-0000-0000-000013010000}"/>
    <cellStyle name="40% - Акцент4 7 2" xfId="1537" xr:uid="{549B0C7A-65DA-4820-A8B3-F93DF6232DC5}"/>
    <cellStyle name="40% - Акцент4 7 3" xfId="2070" xr:uid="{29434B03-978A-498A-8E2E-F9E1279831E1}"/>
    <cellStyle name="40% - Акцент4 8" xfId="272" xr:uid="{00000000-0005-0000-0000-000014010000}"/>
    <cellStyle name="40% - Акцент4 8 2" xfId="1538" xr:uid="{1162CE80-4379-4783-8CF4-A1F0B66412A6}"/>
    <cellStyle name="40% - Акцент4 8 3" xfId="2071" xr:uid="{5E4F0801-CADC-4F4C-A26D-56EB94D3F39C}"/>
    <cellStyle name="40% - Акцент4 9" xfId="273" xr:uid="{00000000-0005-0000-0000-000015010000}"/>
    <cellStyle name="40% - Акцент4 9 2" xfId="1539" xr:uid="{930A5512-0E0C-4269-A22C-49EA41D14ED6}"/>
    <cellStyle name="40% - Акцент4 9 3" xfId="2072" xr:uid="{CE234C50-D942-45A0-ACA2-305FB6D72B8D}"/>
    <cellStyle name="40% - Акцент5 10" xfId="274" xr:uid="{00000000-0005-0000-0000-000016010000}"/>
    <cellStyle name="40% - Акцент5 10 2" xfId="1540" xr:uid="{AD3720C2-AECD-4C0D-A079-AD9C24F330E1}"/>
    <cellStyle name="40% - Акцент5 10 3" xfId="2073" xr:uid="{E12D1F72-2E50-4A1B-87A7-9F065E630D87}"/>
    <cellStyle name="40% - Акцент5 11" xfId="275" xr:uid="{00000000-0005-0000-0000-000017010000}"/>
    <cellStyle name="40% - Акцент5 11 2" xfId="1541" xr:uid="{08B28F9E-2018-4C9D-9098-2DCF6E85161D}"/>
    <cellStyle name="40% - Акцент5 11 3" xfId="2074" xr:uid="{FF1B91F6-F21B-43F7-A974-228C632B0C83}"/>
    <cellStyle name="40% - Акцент5 12" xfId="276" xr:uid="{00000000-0005-0000-0000-000018010000}"/>
    <cellStyle name="40% - Акцент5 12 2" xfId="1542" xr:uid="{503513BB-0289-43D8-BD26-5B7C777DA240}"/>
    <cellStyle name="40% - Акцент5 12 3" xfId="2075" xr:uid="{FBE6E732-C654-480B-8191-16D1AA2EDF97}"/>
    <cellStyle name="40% - Акцент5 13" xfId="277" xr:uid="{00000000-0005-0000-0000-000019010000}"/>
    <cellStyle name="40% - Акцент5 13 2" xfId="1543" xr:uid="{87E17636-56CC-48C1-9843-F7CF2FA8B41F}"/>
    <cellStyle name="40% - Акцент5 13 3" xfId="2076" xr:uid="{EA9C39F4-E421-43FB-8D00-0A464F5977C0}"/>
    <cellStyle name="40% - Акцент5 14" xfId="278" xr:uid="{00000000-0005-0000-0000-00001A010000}"/>
    <cellStyle name="40% - Акцент5 14 2" xfId="1544" xr:uid="{19759F81-C51E-4A15-A53C-3F7FDE3AEC78}"/>
    <cellStyle name="40% - Акцент5 14 3" xfId="2077" xr:uid="{ED8BE2F4-B813-45DC-986B-ADA0A0403BF2}"/>
    <cellStyle name="40% - Акцент5 15" xfId="279" xr:uid="{00000000-0005-0000-0000-00001B010000}"/>
    <cellStyle name="40% - Акцент5 15 2" xfId="1545" xr:uid="{30AA7E8D-80D6-426F-8A64-27F5E1745797}"/>
    <cellStyle name="40% - Акцент5 15 3" xfId="2078" xr:uid="{E3816326-1F00-43DB-9C9A-5B40CA0AF081}"/>
    <cellStyle name="40% - Акцент5 16" xfId="280" xr:uid="{00000000-0005-0000-0000-00001C010000}"/>
    <cellStyle name="40% - Акцент5 16 2" xfId="1546" xr:uid="{118AB7E4-A659-476F-9E40-223C3CF1B8DF}"/>
    <cellStyle name="40% - Акцент5 16 3" xfId="2079" xr:uid="{3A302425-6405-4881-A9D9-BCD9D5809C72}"/>
    <cellStyle name="40% - Акцент5 17" xfId="281" xr:uid="{00000000-0005-0000-0000-00001D010000}"/>
    <cellStyle name="40% - Акцент5 17 2" xfId="1547" xr:uid="{5748F84C-7984-49C8-A463-844071ACA931}"/>
    <cellStyle name="40% - Акцент5 17 3" xfId="2080" xr:uid="{818625B6-B627-4676-B0F1-A4550B8DD046}"/>
    <cellStyle name="40% - Акцент5 18" xfId="282" xr:uid="{00000000-0005-0000-0000-00001E010000}"/>
    <cellStyle name="40% - Акцент5 18 2" xfId="1548" xr:uid="{A06E6E47-D653-418F-A05B-639A86C120B9}"/>
    <cellStyle name="40% - Акцент5 18 3" xfId="2081" xr:uid="{7900CBF7-8393-429F-84FC-FC08056E92E0}"/>
    <cellStyle name="40% - Акцент5 19" xfId="283" xr:uid="{00000000-0005-0000-0000-00001F010000}"/>
    <cellStyle name="40% - Акцент5 19 2" xfId="1549" xr:uid="{D0B966B2-D669-4B27-BDF1-8D14CFDDC395}"/>
    <cellStyle name="40% - Акцент5 19 3" xfId="2082" xr:uid="{C34D5981-3696-4345-982C-F43809D42F8D}"/>
    <cellStyle name="40% - Акцент5 2" xfId="284" xr:uid="{00000000-0005-0000-0000-000020010000}"/>
    <cellStyle name="40% - Акцент5 2 2" xfId="1550" xr:uid="{FDF26C22-A03D-49FD-8C80-0730BB5053EF}"/>
    <cellStyle name="40% - Акцент5 2 3" xfId="2083" xr:uid="{F15BAB44-F68E-4C2F-82DD-D2D0F12B7520}"/>
    <cellStyle name="40% - Акцент5 20" xfId="285" xr:uid="{00000000-0005-0000-0000-000021010000}"/>
    <cellStyle name="40% - Акцент5 20 2" xfId="1551" xr:uid="{103C3366-EDF1-4636-B503-3E8321D8E3AD}"/>
    <cellStyle name="40% - Акцент5 20 3" xfId="2084" xr:uid="{EA5EF38C-DAFF-49F0-A987-B8C9DAC755CC}"/>
    <cellStyle name="40% - Акцент5 21" xfId="286" xr:uid="{00000000-0005-0000-0000-000022010000}"/>
    <cellStyle name="40% - Акцент5 21 2" xfId="1552" xr:uid="{CAD3DB72-F8A4-48F8-91CC-8EE475272CD6}"/>
    <cellStyle name="40% - Акцент5 21 3" xfId="2085" xr:uid="{28C0D533-709E-440C-8598-CE6CDE677C47}"/>
    <cellStyle name="40% - Акцент5 22" xfId="287" xr:uid="{00000000-0005-0000-0000-000023010000}"/>
    <cellStyle name="40% - Акцент5 22 2" xfId="1553" xr:uid="{ABCBC2D9-66CA-439A-B136-F373B5A3A050}"/>
    <cellStyle name="40% - Акцент5 22 3" xfId="2086" xr:uid="{6284F32E-8833-4FE2-A8B9-B738DC09C929}"/>
    <cellStyle name="40% - Акцент5 23" xfId="288" xr:uid="{00000000-0005-0000-0000-000024010000}"/>
    <cellStyle name="40% - Акцент5 23 2" xfId="1554" xr:uid="{9169D2AA-BD86-4357-B63B-19D6BCEF658A}"/>
    <cellStyle name="40% - Акцент5 23 3" xfId="2087" xr:uid="{0015CBB6-FAF4-4D96-8DE2-E2C7D82146C4}"/>
    <cellStyle name="40% - Акцент5 24" xfId="289" xr:uid="{00000000-0005-0000-0000-000025010000}"/>
    <cellStyle name="40% - Акцент5 24 2" xfId="1555" xr:uid="{6D55E7D2-B420-4A9E-93DC-95B4E2730613}"/>
    <cellStyle name="40% - Акцент5 24 3" xfId="2088" xr:uid="{FB0B2226-1CF1-44E5-8095-C4DB29CCFE9F}"/>
    <cellStyle name="40% - Акцент5 25" xfId="290" xr:uid="{00000000-0005-0000-0000-000026010000}"/>
    <cellStyle name="40% - Акцент5 25 2" xfId="1556" xr:uid="{F3A0B19C-67B4-4830-ACE1-1B9B2B1BEFC5}"/>
    <cellStyle name="40% - Акцент5 25 3" xfId="2089" xr:uid="{ADF29675-496D-40DF-BF67-BB49DE2C215B}"/>
    <cellStyle name="40% - Акцент5 26" xfId="291" xr:uid="{00000000-0005-0000-0000-000027010000}"/>
    <cellStyle name="40% - Акцент5 26 2" xfId="1557" xr:uid="{42337089-F4D9-4A28-B039-5CC18FD8AA78}"/>
    <cellStyle name="40% - Акцент5 26 3" xfId="2090" xr:uid="{5344C947-0F58-4797-B5E7-F9F23A5171A5}"/>
    <cellStyle name="40% - Акцент5 3" xfId="292" xr:uid="{00000000-0005-0000-0000-000028010000}"/>
    <cellStyle name="40% - Акцент5 3 2" xfId="1558" xr:uid="{27BDAD02-62A5-4E20-AA11-2B7213A1570A}"/>
    <cellStyle name="40% - Акцент5 3 3" xfId="2091" xr:uid="{BF235FBE-2D06-4A33-96BA-AE532D9ECB1B}"/>
    <cellStyle name="40% - Акцент5 4" xfId="293" xr:uid="{00000000-0005-0000-0000-000029010000}"/>
    <cellStyle name="40% - Акцент5 4 2" xfId="1559" xr:uid="{5B30744E-8819-4FCB-AFDC-636C225AF76A}"/>
    <cellStyle name="40% - Акцент5 4 3" xfId="2092" xr:uid="{6CFA1F95-2EA8-405D-B94C-070349DC4610}"/>
    <cellStyle name="40% - Акцент5 5" xfId="294" xr:uid="{00000000-0005-0000-0000-00002A010000}"/>
    <cellStyle name="40% - Акцент5 5 2" xfId="1560" xr:uid="{3274E741-4E37-4DC8-9491-F1DFE52FC615}"/>
    <cellStyle name="40% - Акцент5 5 3" xfId="2093" xr:uid="{4ABDE564-08D0-4FA1-9A96-4B5B70756A40}"/>
    <cellStyle name="40% - Акцент5 6" xfId="295" xr:uid="{00000000-0005-0000-0000-00002B010000}"/>
    <cellStyle name="40% - Акцент5 6 2" xfId="1561" xr:uid="{C586C70D-BBF5-4D33-B5B5-3133E611401A}"/>
    <cellStyle name="40% - Акцент5 6 3" xfId="2094" xr:uid="{89C0F97F-65F1-4066-B7BE-A6A7B19DD877}"/>
    <cellStyle name="40% - Акцент5 7" xfId="296" xr:uid="{00000000-0005-0000-0000-00002C010000}"/>
    <cellStyle name="40% - Акцент5 7 2" xfId="1562" xr:uid="{D0C6513C-D42B-45A4-ABE3-3B86077EA11B}"/>
    <cellStyle name="40% - Акцент5 7 3" xfId="2095" xr:uid="{E152E125-1B57-4F5F-9ED7-6AE5B2DDD40E}"/>
    <cellStyle name="40% - Акцент5 8" xfId="297" xr:uid="{00000000-0005-0000-0000-00002D010000}"/>
    <cellStyle name="40% - Акцент5 8 2" xfId="1563" xr:uid="{F44117CC-BB6B-411C-A5FC-C0FFD3F93C54}"/>
    <cellStyle name="40% - Акцент5 8 3" xfId="2096" xr:uid="{4FF51404-D888-40ED-94F3-CD8B0F1A417A}"/>
    <cellStyle name="40% - Акцент5 9" xfId="298" xr:uid="{00000000-0005-0000-0000-00002E010000}"/>
    <cellStyle name="40% - Акцент5 9 2" xfId="1564" xr:uid="{A791CEBA-4C40-4801-9518-FCD3290A0F39}"/>
    <cellStyle name="40% - Акцент5 9 3" xfId="2097" xr:uid="{DC03F359-3ED9-499C-AB37-A522E998CAD9}"/>
    <cellStyle name="40% - Акцент6 10" xfId="299" xr:uid="{00000000-0005-0000-0000-00002F010000}"/>
    <cellStyle name="40% - Акцент6 10 2" xfId="1565" xr:uid="{FB63AD05-2FD4-46D1-93FA-7A75C9E4F2C1}"/>
    <cellStyle name="40% - Акцент6 10 3" xfId="2098" xr:uid="{F45F3858-EF35-4400-98C5-2E5ABD32B51E}"/>
    <cellStyle name="40% - Акцент6 11" xfId="300" xr:uid="{00000000-0005-0000-0000-000030010000}"/>
    <cellStyle name="40% - Акцент6 11 2" xfId="1566" xr:uid="{91CE0B52-4C7D-4C0D-A1DE-6753E2BE07A6}"/>
    <cellStyle name="40% - Акцент6 11 3" xfId="2099" xr:uid="{44781FB9-73E3-43DB-9F5A-7474C3E13FC2}"/>
    <cellStyle name="40% - Акцент6 12" xfId="301" xr:uid="{00000000-0005-0000-0000-000031010000}"/>
    <cellStyle name="40% - Акцент6 12 2" xfId="1567" xr:uid="{43B33D10-952F-4ECE-9B9F-55A3F6707BF8}"/>
    <cellStyle name="40% - Акцент6 12 3" xfId="2100" xr:uid="{A51CE99E-C53F-42E3-9D0E-9E0EE1217A62}"/>
    <cellStyle name="40% - Акцент6 13" xfId="302" xr:uid="{00000000-0005-0000-0000-000032010000}"/>
    <cellStyle name="40% - Акцент6 13 2" xfId="1568" xr:uid="{680C07DE-7E83-4D3D-8E0F-63BEEF45A505}"/>
    <cellStyle name="40% - Акцент6 13 3" xfId="2101" xr:uid="{FC87BD61-CDAC-484A-B938-64C8E72F3223}"/>
    <cellStyle name="40% - Акцент6 14" xfId="303" xr:uid="{00000000-0005-0000-0000-000033010000}"/>
    <cellStyle name="40% - Акцент6 14 2" xfId="1569" xr:uid="{8114B0A9-5FC3-4D12-80AF-E21F6FE6D3F7}"/>
    <cellStyle name="40% - Акцент6 14 3" xfId="2102" xr:uid="{2BEBC54A-E8D3-4352-8931-AB4F1C8AA445}"/>
    <cellStyle name="40% - Акцент6 15" xfId="304" xr:uid="{00000000-0005-0000-0000-000034010000}"/>
    <cellStyle name="40% - Акцент6 15 2" xfId="1570" xr:uid="{1FAA256D-E4A1-4574-9592-4502C4909C38}"/>
    <cellStyle name="40% - Акцент6 15 3" xfId="2103" xr:uid="{06551ADE-7CDB-40C9-A8BE-A4E32088AE61}"/>
    <cellStyle name="40% - Акцент6 16" xfId="305" xr:uid="{00000000-0005-0000-0000-000035010000}"/>
    <cellStyle name="40% - Акцент6 16 2" xfId="1571" xr:uid="{7CFD8727-F177-4361-B8EA-C5C760A0CA20}"/>
    <cellStyle name="40% - Акцент6 16 3" xfId="2104" xr:uid="{2406E36C-CB21-48D9-AA18-5F257F990861}"/>
    <cellStyle name="40% - Акцент6 17" xfId="306" xr:uid="{00000000-0005-0000-0000-000036010000}"/>
    <cellStyle name="40% - Акцент6 17 2" xfId="1572" xr:uid="{610E1940-C244-4C39-B56F-8A8880DC9C0E}"/>
    <cellStyle name="40% - Акцент6 17 3" xfId="2105" xr:uid="{E1DABDD5-6953-4511-9299-7A321EE99883}"/>
    <cellStyle name="40% - Акцент6 18" xfId="307" xr:uid="{00000000-0005-0000-0000-000037010000}"/>
    <cellStyle name="40% - Акцент6 18 2" xfId="1573" xr:uid="{EBD661FE-1BA4-4852-8865-CC8DA34EDA71}"/>
    <cellStyle name="40% - Акцент6 18 3" xfId="2106" xr:uid="{8DAED0E6-7FE9-4B70-BA36-52FE9EB5B0A2}"/>
    <cellStyle name="40% - Акцент6 19" xfId="308" xr:uid="{00000000-0005-0000-0000-000038010000}"/>
    <cellStyle name="40% - Акцент6 19 2" xfId="1574" xr:uid="{05C8187D-3FC5-4A39-AD41-8896E1483688}"/>
    <cellStyle name="40% - Акцент6 19 3" xfId="2107" xr:uid="{64AF5D5A-4017-47EA-AEAF-7B821C9A31CE}"/>
    <cellStyle name="40% - Акцент6 2" xfId="309" xr:uid="{00000000-0005-0000-0000-000039010000}"/>
    <cellStyle name="40% - Акцент6 2 2" xfId="1575" xr:uid="{C9648A17-CDC9-4F61-B1A1-600324C0E08B}"/>
    <cellStyle name="40% - Акцент6 2 3" xfId="2108" xr:uid="{F56D513E-8788-4407-AF28-6A7DA38534DB}"/>
    <cellStyle name="40% - Акцент6 20" xfId="310" xr:uid="{00000000-0005-0000-0000-00003A010000}"/>
    <cellStyle name="40% - Акцент6 20 2" xfId="1576" xr:uid="{AD5EC683-F0F5-4C0C-8BFB-53385DE6037E}"/>
    <cellStyle name="40% - Акцент6 20 3" xfId="2109" xr:uid="{F48D34DF-9F50-4768-8B11-631FFF370253}"/>
    <cellStyle name="40% - Акцент6 21" xfId="311" xr:uid="{00000000-0005-0000-0000-00003B010000}"/>
    <cellStyle name="40% - Акцент6 21 2" xfId="1577" xr:uid="{6E10F709-97B9-4237-A58F-7A1BD1D022DA}"/>
    <cellStyle name="40% - Акцент6 21 3" xfId="2110" xr:uid="{17EB9593-2D5F-4D69-A7FA-4E7CE6C6BCEE}"/>
    <cellStyle name="40% - Акцент6 22" xfId="312" xr:uid="{00000000-0005-0000-0000-00003C010000}"/>
    <cellStyle name="40% - Акцент6 22 2" xfId="1578" xr:uid="{6BBF3799-865C-4A23-9F3A-8743A9AAFB89}"/>
    <cellStyle name="40% - Акцент6 22 3" xfId="2111" xr:uid="{4E974D79-CEDC-4534-BD22-EB73B69A2AC1}"/>
    <cellStyle name="40% - Акцент6 23" xfId="313" xr:uid="{00000000-0005-0000-0000-00003D010000}"/>
    <cellStyle name="40% - Акцент6 23 2" xfId="1579" xr:uid="{6738CE81-A9E0-4D62-A15D-82A8E9C77E1E}"/>
    <cellStyle name="40% - Акцент6 23 3" xfId="2112" xr:uid="{E94FF7BE-3592-48FC-8661-CB580DB574CA}"/>
    <cellStyle name="40% - Акцент6 24" xfId="314" xr:uid="{00000000-0005-0000-0000-00003E010000}"/>
    <cellStyle name="40% - Акцент6 24 2" xfId="1580" xr:uid="{8336515D-2CCC-441D-92D8-581BB20CB143}"/>
    <cellStyle name="40% - Акцент6 24 3" xfId="2113" xr:uid="{2979B4E3-3E92-4C3A-BDFD-E6509BA3C5A8}"/>
    <cellStyle name="40% - Акцент6 25" xfId="315" xr:uid="{00000000-0005-0000-0000-00003F010000}"/>
    <cellStyle name="40% - Акцент6 25 2" xfId="1581" xr:uid="{1A98BEBE-474D-4D23-8411-E543BDC97405}"/>
    <cellStyle name="40% - Акцент6 25 3" xfId="2114" xr:uid="{6B5FCC9B-0D1F-47BB-A369-B692C49A8061}"/>
    <cellStyle name="40% - Акцент6 26" xfId="316" xr:uid="{00000000-0005-0000-0000-000040010000}"/>
    <cellStyle name="40% - Акцент6 26 2" xfId="1582" xr:uid="{023C1B7F-7F67-4C7A-90D4-83DEB20C6C42}"/>
    <cellStyle name="40% - Акцент6 26 3" xfId="2115" xr:uid="{4E8055CA-C533-4492-B349-8BB8622E0BA0}"/>
    <cellStyle name="40% - Акцент6 3" xfId="317" xr:uid="{00000000-0005-0000-0000-000041010000}"/>
    <cellStyle name="40% - Акцент6 3 2" xfId="1583" xr:uid="{00952B13-620E-471C-977D-B90DD5A64BBE}"/>
    <cellStyle name="40% - Акцент6 3 3" xfId="2116" xr:uid="{6249724D-450A-43B5-91F1-677ED164EC4E}"/>
    <cellStyle name="40% - Акцент6 4" xfId="318" xr:uid="{00000000-0005-0000-0000-000042010000}"/>
    <cellStyle name="40% - Акцент6 4 2" xfId="1584" xr:uid="{127D97D8-CBF0-4549-985D-9ADA14C56301}"/>
    <cellStyle name="40% - Акцент6 4 3" xfId="2117" xr:uid="{3E1C19F2-6169-4825-B3DF-2B54DF6A568D}"/>
    <cellStyle name="40% - Акцент6 5" xfId="319" xr:uid="{00000000-0005-0000-0000-000043010000}"/>
    <cellStyle name="40% - Акцент6 5 2" xfId="1585" xr:uid="{2A27D948-5D5B-49F0-9F04-F863518385E6}"/>
    <cellStyle name="40% - Акцент6 5 3" xfId="2118" xr:uid="{9DED9DCC-BA41-4901-B47D-0D6F40C7349C}"/>
    <cellStyle name="40% - Акцент6 6" xfId="320" xr:uid="{00000000-0005-0000-0000-000044010000}"/>
    <cellStyle name="40% - Акцент6 6 2" xfId="1586" xr:uid="{20BCE30A-A8FA-4220-84EB-FE194324D6C6}"/>
    <cellStyle name="40% - Акцент6 6 3" xfId="2119" xr:uid="{6CA4BB74-9762-44DD-B40E-D9192EA4A122}"/>
    <cellStyle name="40% - Акцент6 7" xfId="321" xr:uid="{00000000-0005-0000-0000-000045010000}"/>
    <cellStyle name="40% - Акцент6 7 2" xfId="1587" xr:uid="{82F06039-5CDE-44EE-B60C-AADF5AA42F60}"/>
    <cellStyle name="40% - Акцент6 7 3" xfId="2120" xr:uid="{BEB02FEF-DDA9-4BF6-9235-9A205A9A3D5D}"/>
    <cellStyle name="40% - Акцент6 8" xfId="322" xr:uid="{00000000-0005-0000-0000-000046010000}"/>
    <cellStyle name="40% - Акцент6 8 2" xfId="1588" xr:uid="{2E7FD588-96C2-4D19-9AA3-4565FD4BFF15}"/>
    <cellStyle name="40% - Акцент6 8 3" xfId="2121" xr:uid="{5EE4F848-EBE0-4662-814B-BC3D60AFFF45}"/>
    <cellStyle name="40% - Акцент6 9" xfId="323" xr:uid="{00000000-0005-0000-0000-000047010000}"/>
    <cellStyle name="40% - Акцент6 9 2" xfId="1589" xr:uid="{A5E3A193-6475-4F1D-A20A-BCBC71973056}"/>
    <cellStyle name="40% - Акцент6 9 3" xfId="2122" xr:uid="{D1FA5858-164C-4B89-8627-9DDB8BA75F6A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 2 2" xfId="1820" xr:uid="{9EA6ED93-E873-4ACA-BE51-1029D71719A2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Денежный [0] 2" xfId="1821" xr:uid="{C453CAD7-DFF3-4C7C-ABF1-8518AADB2BF1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0 2" xfId="1590" xr:uid="{30976815-6F47-4306-B70C-53732595FA78}"/>
    <cellStyle name="Обычный 10 10 3" xfId="2123" xr:uid="{54DFF38A-68BC-4F5A-8F55-613C40FC9618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2 3" xfId="1592" xr:uid="{48F9D3C1-2B85-43E6-9E14-501822B18864}"/>
    <cellStyle name="Обычный 10 2 2 4" xfId="2125" xr:uid="{C7A9DE3D-0BF5-45EE-9AA1-2D7099789CA6}"/>
    <cellStyle name="Обычный 10 2 3" xfId="336" xr:uid="{00000000-0005-0000-0000-000085010000}"/>
    <cellStyle name="Обычный 10 2 3 2" xfId="1593" xr:uid="{C53393C5-EC0F-4C07-8C28-9FC2F884ADCB}"/>
    <cellStyle name="Обычный 10 2 3 3" xfId="2126" xr:uid="{8910374F-48F2-443F-909E-606F16AA7C79}"/>
    <cellStyle name="Обычный 10 2 4" xfId="1591" xr:uid="{5DD3064D-A1A7-45DD-81CC-D1D0807D054F}"/>
    <cellStyle name="Обычный 10 2 5" xfId="2124" xr:uid="{CB53B6B0-88F1-4DB6-ABBB-26FAA98721FB}"/>
    <cellStyle name="Обычный 10 3" xfId="337" xr:uid="{00000000-0005-0000-0000-000086010000}"/>
    <cellStyle name="Обычный 10 3 2" xfId="338" xr:uid="{00000000-0005-0000-0000-000087010000}"/>
    <cellStyle name="Обычный 10 3 2 2" xfId="1595" xr:uid="{3CB43FE8-6ECE-4DA3-B827-7DC1C48ED918}"/>
    <cellStyle name="Обычный 10 3 2 3" xfId="2128" xr:uid="{82174F0F-BC8A-4B6B-A71C-4B1A5A68E1B0}"/>
    <cellStyle name="Обычный 10 3 3" xfId="339" xr:uid="{00000000-0005-0000-0000-000088010000}"/>
    <cellStyle name="Обычный 10 3 4" xfId="1594" xr:uid="{2105999C-9F1E-4152-89FF-87EA8089743E}"/>
    <cellStyle name="Обычный 10 3 5" xfId="2127" xr:uid="{97BD9E2C-58E2-400E-9F4A-7B776AF31341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0 2 2 2" xfId="1597" xr:uid="{D97FB0DF-21C1-4757-A63A-E317580DC70E}"/>
    <cellStyle name="Обычный 100 2 2 3" xfId="2130" xr:uid="{881F077E-BEA7-4AFF-BF2B-26247DF74B08}"/>
    <cellStyle name="Обычный 100 2 3" xfId="1596" xr:uid="{FB4A6A33-0DE8-46E2-B51D-2F138E2D8973}"/>
    <cellStyle name="Обычный 100 2 4" xfId="2129" xr:uid="{D258E4AB-D728-4797-AC63-603858A851DF}"/>
    <cellStyle name="Обычный 101" xfId="349" xr:uid="{00000000-0005-0000-0000-000092010000}"/>
    <cellStyle name="Обычный 101 2" xfId="1598" xr:uid="{6F4678B6-BCCE-4020-9B73-27E0259D7EB7}"/>
    <cellStyle name="Обычный 101 3" xfId="2131" xr:uid="{146398F6-DF6D-40F6-9D30-81CB814348F1}"/>
    <cellStyle name="Обычный 102" xfId="350" xr:uid="{00000000-0005-0000-0000-000093010000}"/>
    <cellStyle name="Обычный 103" xfId="351" xr:uid="{00000000-0005-0000-0000-000094010000}"/>
    <cellStyle name="Обычный 103 2" xfId="1599" xr:uid="{D022116D-6E31-4E9B-B7C7-A23AFFD1357C}"/>
    <cellStyle name="Обычный 103 3" xfId="2132" xr:uid="{29D77E77-6A96-4EC7-8122-58FD96CC298A}"/>
    <cellStyle name="Обычный 104" xfId="352" xr:uid="{00000000-0005-0000-0000-000095010000}"/>
    <cellStyle name="Обычный 106" xfId="353" xr:uid="{00000000-0005-0000-0000-000096010000}"/>
    <cellStyle name="Обычный 107" xfId="354" xr:uid="{00000000-0005-0000-0000-000097010000}"/>
    <cellStyle name="Обычный 109" xfId="355" xr:uid="{00000000-0005-0000-0000-000098010000}"/>
    <cellStyle name="Обычный 11" xfId="356" xr:uid="{00000000-0005-0000-0000-000099010000}"/>
    <cellStyle name="Обычный 11 2" xfId="357" xr:uid="{00000000-0005-0000-0000-00009A010000}"/>
    <cellStyle name="Обычный 11 2 2" xfId="358" xr:uid="{00000000-0005-0000-0000-00009B010000}"/>
    <cellStyle name="Обычный 11 2 2 2" xfId="1601" xr:uid="{24A8F9A1-5654-4F7A-A08D-EBFF418ABE67}"/>
    <cellStyle name="Обычный 11 2 2 3" xfId="2134" xr:uid="{C7BEC3F3-5249-4127-8E1B-2514A165CC66}"/>
    <cellStyle name="Обычный 11 3" xfId="359" xr:uid="{00000000-0005-0000-0000-00009C010000}"/>
    <cellStyle name="Обычный 11 4" xfId="360" xr:uid="{00000000-0005-0000-0000-00009D010000}"/>
    <cellStyle name="Обычный 11 5" xfId="1600" xr:uid="{EB29C515-7A0C-4D28-B8CF-CCF596215A3C}"/>
    <cellStyle name="Обычный 11 6" xfId="361" xr:uid="{00000000-0005-0000-0000-00009E010000}"/>
    <cellStyle name="Обычный 11 6 2" xfId="1602" xr:uid="{5A8B73BD-4584-4F5D-A87D-64AEEF99CF20}"/>
    <cellStyle name="Обычный 11 6 3" xfId="2135" xr:uid="{4F94B627-5413-40E9-BF4A-DD8AD3158C1D}"/>
    <cellStyle name="Обычный 11 7" xfId="2133" xr:uid="{2FEDE38D-F6B1-4B35-8BF6-23D13EF9A95B}"/>
    <cellStyle name="Обычный 110" xfId="362" xr:uid="{00000000-0005-0000-0000-00009F010000}"/>
    <cellStyle name="Обычный 112" xfId="363" xr:uid="{00000000-0005-0000-0000-0000A0010000}"/>
    <cellStyle name="Обычный 113" xfId="364" xr:uid="{00000000-0005-0000-0000-0000A1010000}"/>
    <cellStyle name="Обычный 115" xfId="365" xr:uid="{00000000-0005-0000-0000-0000A2010000}"/>
    <cellStyle name="Обычный 116" xfId="366" xr:uid="{00000000-0005-0000-0000-0000A3010000}"/>
    <cellStyle name="Обычный 118" xfId="367" xr:uid="{00000000-0005-0000-0000-0000A4010000}"/>
    <cellStyle name="Обычный 12" xfId="368" xr:uid="{00000000-0005-0000-0000-0000A5010000}"/>
    <cellStyle name="Обычный 12 10" xfId="2136" xr:uid="{01B57F50-6ACD-4EA4-A002-A82C2E7FF1BE}"/>
    <cellStyle name="Обычный 12 2" xfId="369" xr:uid="{00000000-0005-0000-0000-0000A6010000}"/>
    <cellStyle name="Обычный 12 2 2" xfId="370" xr:uid="{00000000-0005-0000-0000-0000A7010000}"/>
    <cellStyle name="Обычный 12 2 2 2" xfId="1604" xr:uid="{2DD4C272-B362-440F-89F9-1DDBC8844386}"/>
    <cellStyle name="Обычный 12 2 2 3" xfId="2137" xr:uid="{47F3E181-3C76-4883-864A-575F725E90A3}"/>
    <cellStyle name="Обычный 12 3" xfId="371" xr:uid="{00000000-0005-0000-0000-0000A8010000}"/>
    <cellStyle name="Обычный 12 4" xfId="372" xr:uid="{00000000-0005-0000-0000-0000A9010000}"/>
    <cellStyle name="Обычный 12 4 2" xfId="1605" xr:uid="{061DFFFC-B778-4BB1-B5D4-0EABA8DA28F4}"/>
    <cellStyle name="Обычный 12 4 3" xfId="2138" xr:uid="{640619DB-E1D5-42A5-9F7D-C2A9DE0242AD}"/>
    <cellStyle name="Обычный 12 5" xfId="373" xr:uid="{00000000-0005-0000-0000-0000AA010000}"/>
    <cellStyle name="Обычный 12 5 2" xfId="1606" xr:uid="{33D227DC-EA30-48F7-832D-410EDFF824CF}"/>
    <cellStyle name="Обычный 12 5 3" xfId="2139" xr:uid="{13D9B251-1C33-4573-AE1D-B5BC0AE00456}"/>
    <cellStyle name="Обычный 12 6" xfId="374" xr:uid="{00000000-0005-0000-0000-0000AB010000}"/>
    <cellStyle name="Обычный 12 6 2" xfId="1607" xr:uid="{E5333AB3-308C-49B3-BD8A-7F5A656B8C36}"/>
    <cellStyle name="Обычный 12 6 3" xfId="2140" xr:uid="{2682F40B-8339-46E8-9BFE-FE3125AFB161}"/>
    <cellStyle name="Обычный 12 7" xfId="375" xr:uid="{00000000-0005-0000-0000-0000AC010000}"/>
    <cellStyle name="Обычный 12 7 2" xfId="1608" xr:uid="{E177AEA9-B4DD-47E9-BC36-600290FFD2A6}"/>
    <cellStyle name="Обычный 12 7 3" xfId="2141" xr:uid="{1F63B8E5-31D4-4DEC-B12F-60DF545DEC06}"/>
    <cellStyle name="Обычный 12 8" xfId="376" xr:uid="{00000000-0005-0000-0000-0000AD010000}"/>
    <cellStyle name="Обычный 12 8 2" xfId="1609" xr:uid="{E25B2F2A-B043-437A-8DF0-78DCB5C3CEC4}"/>
    <cellStyle name="Обычный 12 8 3" xfId="2142" xr:uid="{A626E6AE-F120-4CBE-8B7D-9EDC92FF5969}"/>
    <cellStyle name="Обычный 12 9" xfId="1603" xr:uid="{33D510E7-B39E-41F9-BF8E-DEA315FF22D6}"/>
    <cellStyle name="Обычный 120" xfId="377" xr:uid="{00000000-0005-0000-0000-0000AE010000}"/>
    <cellStyle name="Обычный 121" xfId="378" xr:uid="{00000000-0005-0000-0000-0000AF010000}"/>
    <cellStyle name="Обычный 122" xfId="379" xr:uid="{00000000-0005-0000-0000-0000B0010000}"/>
    <cellStyle name="Обычный 123" xfId="380" xr:uid="{00000000-0005-0000-0000-0000B1010000}"/>
    <cellStyle name="Обычный 13" xfId="381" xr:uid="{00000000-0005-0000-0000-0000B2010000}"/>
    <cellStyle name="Обычный 13 2" xfId="382" xr:uid="{00000000-0005-0000-0000-0000B3010000}"/>
    <cellStyle name="Обычный 13 2 2" xfId="383" xr:uid="{00000000-0005-0000-0000-0000B4010000}"/>
    <cellStyle name="Обычный 13 2 2 2" xfId="1610" xr:uid="{A5A763CE-623A-4255-BDB3-560A56782D25}"/>
    <cellStyle name="Обычный 13 2 2 3" xfId="2143" xr:uid="{2DFD52C4-83F9-4B5C-96A0-18847C4A2AB4}"/>
    <cellStyle name="Обычный 14" xfId="384" xr:uid="{00000000-0005-0000-0000-0000B5010000}"/>
    <cellStyle name="Обычный 14 2" xfId="385" xr:uid="{00000000-0005-0000-0000-0000B6010000}"/>
    <cellStyle name="Обычный 14 2 2" xfId="386" xr:uid="{00000000-0005-0000-0000-0000B7010000}"/>
    <cellStyle name="Обычный 14 2 2 2" xfId="1612" xr:uid="{7B455301-9F0A-445A-AD7A-A911549BE24F}"/>
    <cellStyle name="Обычный 14 2 2 3" xfId="2145" xr:uid="{19630E03-1E5C-4FA7-BE44-D68488BBA77D}"/>
    <cellStyle name="Обычный 14 3" xfId="387" xr:uid="{00000000-0005-0000-0000-0000B8010000}"/>
    <cellStyle name="Обычный 14 4" xfId="388" xr:uid="{00000000-0005-0000-0000-0000B9010000}"/>
    <cellStyle name="Обычный 14 5" xfId="389" xr:uid="{00000000-0005-0000-0000-0000BA010000}"/>
    <cellStyle name="Обычный 14 6" xfId="1611" xr:uid="{AC08CA13-7CA2-46D1-9ECD-8ED5F28AEE80}"/>
    <cellStyle name="Обычный 14 7" xfId="2144" xr:uid="{C5960752-2E22-452A-868D-6441256FB24A}"/>
    <cellStyle name="Обычный 144" xfId="390" xr:uid="{00000000-0005-0000-0000-0000BB010000}"/>
    <cellStyle name="Обычный 144 2" xfId="1613" xr:uid="{112B7451-F102-47F8-8873-5EDD6F9389AE}"/>
    <cellStyle name="Обычный 144 3" xfId="2146" xr:uid="{3C1C6B6E-0B38-490F-BCCD-C6552B7AC1F0}"/>
    <cellStyle name="Обычный 147" xfId="391" xr:uid="{00000000-0005-0000-0000-0000BC010000}"/>
    <cellStyle name="Обычный 147 2" xfId="1614" xr:uid="{CF22172E-2CB8-452E-8E3D-0BC54C5F39DE}"/>
    <cellStyle name="Обычный 147 3" xfId="2147" xr:uid="{C2FD41C7-094D-41E3-9F4A-E31805B62BC5}"/>
    <cellStyle name="Обычный 148" xfId="392" xr:uid="{00000000-0005-0000-0000-0000BD010000}"/>
    <cellStyle name="Обычный 148 2" xfId="1615" xr:uid="{F8548CDD-D397-4AAC-8FE5-80846FF3D8F8}"/>
    <cellStyle name="Обычный 148 3" xfId="2148" xr:uid="{2C8608A3-5578-47B9-A711-9F5EF588D06C}"/>
    <cellStyle name="Обычный 15" xfId="393" xr:uid="{00000000-0005-0000-0000-0000BE010000}"/>
    <cellStyle name="Обычный 15 2" xfId="394" xr:uid="{00000000-0005-0000-0000-0000BF010000}"/>
    <cellStyle name="Обычный 15 2 2" xfId="395" xr:uid="{00000000-0005-0000-0000-0000C0010000}"/>
    <cellStyle name="Обычный 15 2 3" xfId="396" xr:uid="{00000000-0005-0000-0000-0000C1010000}"/>
    <cellStyle name="Обычный 15 2 4" xfId="397" xr:uid="{00000000-0005-0000-0000-0000C2010000}"/>
    <cellStyle name="Обычный 15 2 5" xfId="398" xr:uid="{00000000-0005-0000-0000-0000C3010000}"/>
    <cellStyle name="Обычный 15 2 6" xfId="399" xr:uid="{00000000-0005-0000-0000-0000C4010000}"/>
    <cellStyle name="Обычный 15 2 6 2" xfId="1617" xr:uid="{F38406B7-BFAF-4917-80E2-D24B390210DA}"/>
    <cellStyle name="Обычный 15 2 6 3" xfId="2150" xr:uid="{3813AA90-9202-4FC3-B055-2B822FDD8432}"/>
    <cellStyle name="Обычный 15 3" xfId="400" xr:uid="{00000000-0005-0000-0000-0000C5010000}"/>
    <cellStyle name="Обычный 15 4" xfId="401" xr:uid="{00000000-0005-0000-0000-0000C6010000}"/>
    <cellStyle name="Обычный 15 5" xfId="402" xr:uid="{00000000-0005-0000-0000-0000C7010000}"/>
    <cellStyle name="Обычный 15 5 2" xfId="1618" xr:uid="{13DA725E-961C-41EF-BB8B-A27D3CD740BC}"/>
    <cellStyle name="Обычный 15 5 3" xfId="2151" xr:uid="{F58DAD88-C01D-4545-83ED-295C1545A854}"/>
    <cellStyle name="Обычный 15 6" xfId="1616" xr:uid="{0CE2D055-7E3C-4BBC-9684-DBFA5E0841B1}"/>
    <cellStyle name="Обычный 15 7" xfId="2149" xr:uid="{F423F3DD-BA34-4034-90DA-31A335C83148}"/>
    <cellStyle name="Обычный 16" xfId="403" xr:uid="{00000000-0005-0000-0000-0000C8010000}"/>
    <cellStyle name="Обычный 16 10" xfId="404" xr:uid="{00000000-0005-0000-0000-0000C9010000}"/>
    <cellStyle name="Обычный 16 11" xfId="405" xr:uid="{00000000-0005-0000-0000-0000CA010000}"/>
    <cellStyle name="Обычный 16 12" xfId="406" xr:uid="{00000000-0005-0000-0000-0000CB010000}"/>
    <cellStyle name="Обычный 16 13" xfId="407" xr:uid="{00000000-0005-0000-0000-0000CC010000}"/>
    <cellStyle name="Обычный 16 14" xfId="408" xr:uid="{00000000-0005-0000-0000-0000CD010000}"/>
    <cellStyle name="Обычный 16 2" xfId="409" xr:uid="{00000000-0005-0000-0000-0000CE010000}"/>
    <cellStyle name="Обычный 16 2 2" xfId="410" xr:uid="{00000000-0005-0000-0000-0000CF010000}"/>
    <cellStyle name="Обычный 16 3" xfId="411" xr:uid="{00000000-0005-0000-0000-0000D0010000}"/>
    <cellStyle name="Обычный 16 3 2" xfId="412" xr:uid="{00000000-0005-0000-0000-0000D1010000}"/>
    <cellStyle name="Обычный 16 4" xfId="413" xr:uid="{00000000-0005-0000-0000-0000D2010000}"/>
    <cellStyle name="Обычный 16 4 2" xfId="414" xr:uid="{00000000-0005-0000-0000-0000D3010000}"/>
    <cellStyle name="Обычный 16 5" xfId="415" xr:uid="{00000000-0005-0000-0000-0000D4010000}"/>
    <cellStyle name="Обычный 16 6" xfId="416" xr:uid="{00000000-0005-0000-0000-0000D5010000}"/>
    <cellStyle name="Обычный 16 7" xfId="417" xr:uid="{00000000-0005-0000-0000-0000D6010000}"/>
    <cellStyle name="Обычный 16 8" xfId="418" xr:uid="{00000000-0005-0000-0000-0000D7010000}"/>
    <cellStyle name="Обычный 16 9" xfId="419" xr:uid="{00000000-0005-0000-0000-0000D8010000}"/>
    <cellStyle name="Обычный 17" xfId="420" xr:uid="{00000000-0005-0000-0000-0000D9010000}"/>
    <cellStyle name="Обычный 17 2" xfId="421" xr:uid="{00000000-0005-0000-0000-0000DA010000}"/>
    <cellStyle name="Обычный 17 2 2" xfId="422" xr:uid="{00000000-0005-0000-0000-0000DB010000}"/>
    <cellStyle name="Обычный 17 2 2 2" xfId="1620" xr:uid="{AFB0AA5C-0F74-455B-ADEA-AFD1BE4C35A1}"/>
    <cellStyle name="Обычный 17 2 2 3" xfId="2153" xr:uid="{EB91DC9D-95F8-4FD0-8F69-EDB157988946}"/>
    <cellStyle name="Обычный 17 3" xfId="423" xr:uid="{00000000-0005-0000-0000-0000DC010000}"/>
    <cellStyle name="Обычный 17 4" xfId="424" xr:uid="{00000000-0005-0000-0000-0000DD010000}"/>
    <cellStyle name="Обычный 17 5" xfId="1619" xr:uid="{AD52A2A8-51CA-41C3-816E-FA84285ED7C1}"/>
    <cellStyle name="Обычный 17 6" xfId="2152" xr:uid="{3EAECB0D-78CA-4ECD-8AAF-644E0732E028}"/>
    <cellStyle name="Обычный 18" xfId="425" xr:uid="{00000000-0005-0000-0000-0000DE010000}"/>
    <cellStyle name="Обычный 18 2" xfId="426" xr:uid="{00000000-0005-0000-0000-0000DF010000}"/>
    <cellStyle name="Обычный 18 2 2" xfId="427" xr:uid="{00000000-0005-0000-0000-0000E0010000}"/>
    <cellStyle name="Обычный 18 2 2 2" xfId="428" xr:uid="{00000000-0005-0000-0000-0000E1010000}"/>
    <cellStyle name="Обычный 18 2 2 2 2" xfId="1624" xr:uid="{69245892-F01D-4A1E-AB88-1FB81B2386B2}"/>
    <cellStyle name="Обычный 18 2 2 2 3" xfId="2157" xr:uid="{BF8215E6-8E11-41E2-95A6-52D7DADAD115}"/>
    <cellStyle name="Обычный 18 2 2 3" xfId="1623" xr:uid="{497DAC88-E671-4889-8C7F-4EBF9D94B2F1}"/>
    <cellStyle name="Обычный 18 2 2 4" xfId="2156" xr:uid="{14ED9F6B-65B6-4C91-9673-B5EA61F630CA}"/>
    <cellStyle name="Обычный 18 2 3" xfId="429" xr:uid="{00000000-0005-0000-0000-0000E2010000}"/>
    <cellStyle name="Обычный 18 2 3 2" xfId="1625" xr:uid="{FFD3C1AE-6343-4B10-91AC-E2C7054FF190}"/>
    <cellStyle name="Обычный 18 2 3 3" xfId="2158" xr:uid="{965FEB1F-5FAF-4BCD-B96A-410FA84C8A50}"/>
    <cellStyle name="Обычный 18 2 4" xfId="430" xr:uid="{00000000-0005-0000-0000-0000E3010000}"/>
    <cellStyle name="Обычный 18 2 4 2" xfId="1626" xr:uid="{8A367B18-3624-46C0-B2B9-CE42970D326C}"/>
    <cellStyle name="Обычный 18 2 4 3" xfId="2159" xr:uid="{B2F7D11D-F8AE-46D6-B46F-7E955FDD0FDC}"/>
    <cellStyle name="Обычный 18 2 5" xfId="1622" xr:uid="{7480EA3F-74D4-42A9-83FD-6FB11C8D24F6}"/>
    <cellStyle name="Обычный 18 2 6" xfId="2155" xr:uid="{06F7FF12-9DF1-4039-A1BE-79D8299DD72D}"/>
    <cellStyle name="Обычный 18 3" xfId="431" xr:uid="{00000000-0005-0000-0000-0000E4010000}"/>
    <cellStyle name="Обычный 18 3 2" xfId="432" xr:uid="{00000000-0005-0000-0000-0000E5010000}"/>
    <cellStyle name="Обычный 18 3 2 2" xfId="1628" xr:uid="{53868DC6-906B-458B-9DFD-DEFADCB6AA94}"/>
    <cellStyle name="Обычный 18 3 2 3" xfId="2161" xr:uid="{FF94DCF1-BAE8-4B23-A370-69EE15301961}"/>
    <cellStyle name="Обычный 18 3 3" xfId="1627" xr:uid="{B00899FB-D1FE-4E06-894C-AAA6761C3F48}"/>
    <cellStyle name="Обычный 18 3 4" xfId="2160" xr:uid="{6C1BAA82-9DC1-4B6C-A1E1-2B00FC248D6B}"/>
    <cellStyle name="Обычный 18 4" xfId="433" xr:uid="{00000000-0005-0000-0000-0000E6010000}"/>
    <cellStyle name="Обычный 18 5" xfId="434" xr:uid="{00000000-0005-0000-0000-0000E7010000}"/>
    <cellStyle name="Обычный 18 6" xfId="435" xr:uid="{00000000-0005-0000-0000-0000E8010000}"/>
    <cellStyle name="Обычный 18 6 2" xfId="1629" xr:uid="{C5391A9F-4B19-4AE5-9653-3162751ADFCC}"/>
    <cellStyle name="Обычный 18 6 3" xfId="2162" xr:uid="{06295548-3347-4E35-96CE-60773CEA8D6D}"/>
    <cellStyle name="Обычный 18 7" xfId="1621" xr:uid="{55FD02CC-00F4-47F7-941B-11F5B10F6815}"/>
    <cellStyle name="Обычный 18 8" xfId="2154" xr:uid="{CE7226CA-8A51-4A09-9BE8-4E1F9CEE591A}"/>
    <cellStyle name="Обычный 188" xfId="436" xr:uid="{00000000-0005-0000-0000-0000E9010000}"/>
    <cellStyle name="Обычный 188 2" xfId="1630" xr:uid="{3360ADF3-E8B8-478A-A58F-EFC9EC684F15}"/>
    <cellStyle name="Обычный 188 3" xfId="2163" xr:uid="{8D735DBF-19BE-453F-9241-3D5E19F056FB}"/>
    <cellStyle name="Обычный 19" xfId="437" xr:uid="{00000000-0005-0000-0000-0000EA010000}"/>
    <cellStyle name="Обычный 19 2" xfId="438" xr:uid="{00000000-0005-0000-0000-0000EB010000}"/>
    <cellStyle name="Обычный 19 2 2" xfId="439" xr:uid="{00000000-0005-0000-0000-0000EC010000}"/>
    <cellStyle name="Обычный 19 2 2 2" xfId="1632" xr:uid="{9CC88E37-9B33-46BB-9E2B-0210ECAC97DC}"/>
    <cellStyle name="Обычный 19 2 2 3" xfId="2165" xr:uid="{C1A391C5-8255-4D61-B9CC-4083AC68A373}"/>
    <cellStyle name="Обычный 19 2 3" xfId="440" xr:uid="{00000000-0005-0000-0000-0000ED010000}"/>
    <cellStyle name="Обычный 19 2 3 2" xfId="1633" xr:uid="{20F249E2-0691-40F3-BEDB-C16D841A3BDB}"/>
    <cellStyle name="Обычный 19 2 3 3" xfId="2166" xr:uid="{FFFE61EC-6836-47DF-B18D-53F826C5FC9C}"/>
    <cellStyle name="Обычный 19 2 4" xfId="1631" xr:uid="{384170FD-FAA9-4A4D-BC84-9E30464E3095}"/>
    <cellStyle name="Обычный 19 2 5" xfId="2164" xr:uid="{B1BAE464-6AE3-4E2D-BE93-6CDDC28FFDF7}"/>
    <cellStyle name="Обычный 19 3" xfId="441" xr:uid="{00000000-0005-0000-0000-0000EE010000}"/>
    <cellStyle name="Обычный 190" xfId="442" xr:uid="{00000000-0005-0000-0000-0000EF010000}"/>
    <cellStyle name="Обычный 190 2" xfId="1634" xr:uid="{E71923CB-C21F-45ED-9268-A5D693DA6A15}"/>
    <cellStyle name="Обычный 190 3" xfId="2167" xr:uid="{FF7B87BF-E743-413D-9F0B-51917676CCC7}"/>
    <cellStyle name="Обычный 2" xfId="1" xr:uid="{00000000-0005-0000-0000-0000F0010000}"/>
    <cellStyle name="Обычный 2 10" xfId="443" xr:uid="{00000000-0005-0000-0000-0000F1010000}"/>
    <cellStyle name="Обычный 2 11" xfId="444" xr:uid="{00000000-0005-0000-0000-0000F2010000}"/>
    <cellStyle name="Обычный 2 12" xfId="445" xr:uid="{00000000-0005-0000-0000-0000F3010000}"/>
    <cellStyle name="Обычный 2 13" xfId="446" xr:uid="{00000000-0005-0000-0000-0000F4010000}"/>
    <cellStyle name="Обычный 2 14" xfId="447" xr:uid="{00000000-0005-0000-0000-0000F5010000}"/>
    <cellStyle name="Обычный 2 15" xfId="448" xr:uid="{00000000-0005-0000-0000-0000F6010000}"/>
    <cellStyle name="Обычный 2 16" xfId="449" xr:uid="{00000000-0005-0000-0000-0000F7010000}"/>
    <cellStyle name="Обычный 2 17" xfId="450" xr:uid="{00000000-0005-0000-0000-0000F8010000}"/>
    <cellStyle name="Обычный 2 18" xfId="451" xr:uid="{00000000-0005-0000-0000-0000F9010000}"/>
    <cellStyle name="Обычный 2 19" xfId="452" xr:uid="{00000000-0005-0000-0000-0000FA010000}"/>
    <cellStyle name="Обычный 2 2" xfId="453" xr:uid="{00000000-0005-0000-0000-0000FB010000}"/>
    <cellStyle name="Обычный 2 2 10" xfId="454" xr:uid="{00000000-0005-0000-0000-0000FC010000}"/>
    <cellStyle name="Обычный 2 2 10 2" xfId="455" xr:uid="{00000000-0005-0000-0000-0000FD010000}"/>
    <cellStyle name="Обычный 2 2 10 2 2" xfId="1637" xr:uid="{0C38E4BF-7C35-473B-820C-03DF6F10C526}"/>
    <cellStyle name="Обычный 2 2 10 2 3" xfId="2170" xr:uid="{79683610-5737-4043-A84A-EC4FF3FCA3DD}"/>
    <cellStyle name="Обычный 2 2 10 3" xfId="1636" xr:uid="{516688E4-A511-4FB2-B665-18559A30E452}"/>
    <cellStyle name="Обычный 2 2 10 4" xfId="2169" xr:uid="{54C64EC4-82A2-4965-AAA9-A2BCE2CEACC5}"/>
    <cellStyle name="Обычный 2 2 11" xfId="456" xr:uid="{00000000-0005-0000-0000-0000FE010000}"/>
    <cellStyle name="Обычный 2 2 11 2" xfId="457" xr:uid="{00000000-0005-0000-0000-0000FF010000}"/>
    <cellStyle name="Обычный 2 2 11 2 2" xfId="1639" xr:uid="{E40FA02E-8DB0-4026-9B94-781B9633742D}"/>
    <cellStyle name="Обычный 2 2 11 2 3" xfId="2172" xr:uid="{0C525190-9F44-4057-9F05-6099043D5E45}"/>
    <cellStyle name="Обычный 2 2 11 3" xfId="1638" xr:uid="{6F4C12F7-58A0-48D8-9088-D9FCC03B63C3}"/>
    <cellStyle name="Обычный 2 2 11 4" xfId="2171" xr:uid="{A33E705D-A51B-472E-B263-B7FB2C9C61EE}"/>
    <cellStyle name="Обычный 2 2 12" xfId="458" xr:uid="{00000000-0005-0000-0000-000000020000}"/>
    <cellStyle name="Обычный 2 2 12 2" xfId="459" xr:uid="{00000000-0005-0000-0000-000001020000}"/>
    <cellStyle name="Обычный 2 2 12 2 2" xfId="1641" xr:uid="{819B511D-0461-4D64-8FB5-B6722481DB96}"/>
    <cellStyle name="Обычный 2 2 12 2 3" xfId="2174" xr:uid="{42D5366E-0E18-4E31-B7ED-6AD71531D47A}"/>
    <cellStyle name="Обычный 2 2 12 3" xfId="1640" xr:uid="{E4E94087-67EA-4708-A310-087CEA72A240}"/>
    <cellStyle name="Обычный 2 2 12 4" xfId="2173" xr:uid="{6D7934BA-374A-4581-AAED-0D875646DB29}"/>
    <cellStyle name="Обычный 2 2 13" xfId="460" xr:uid="{00000000-0005-0000-0000-000002020000}"/>
    <cellStyle name="Обычный 2 2 13 2" xfId="461" xr:uid="{00000000-0005-0000-0000-000003020000}"/>
    <cellStyle name="Обычный 2 2 13 2 2" xfId="1643" xr:uid="{C9B263D1-A75C-4107-84E7-DB007E5D5A07}"/>
    <cellStyle name="Обычный 2 2 13 2 3" xfId="2176" xr:uid="{B8D6F42A-FFC5-4F61-B2CE-51084E254B8E}"/>
    <cellStyle name="Обычный 2 2 13 3" xfId="1642" xr:uid="{559FB8CC-7126-43E6-8094-BAC51CC94170}"/>
    <cellStyle name="Обычный 2 2 13 4" xfId="2175" xr:uid="{4EBC6E68-B8A0-40D9-A1BA-B114EBB60428}"/>
    <cellStyle name="Обычный 2 2 14" xfId="462" xr:uid="{00000000-0005-0000-0000-000004020000}"/>
    <cellStyle name="Обычный 2 2 14 2" xfId="463" xr:uid="{00000000-0005-0000-0000-000005020000}"/>
    <cellStyle name="Обычный 2 2 14 2 2" xfId="1645" xr:uid="{FFA1953A-EF16-4109-BCD1-62628DE83DB1}"/>
    <cellStyle name="Обычный 2 2 14 2 3" xfId="2178" xr:uid="{4F38325E-F57D-4F4A-B72B-58B51511B37A}"/>
    <cellStyle name="Обычный 2 2 14 3" xfId="1644" xr:uid="{5C672C65-039B-49A2-A7B8-65CC8DC4195A}"/>
    <cellStyle name="Обычный 2 2 14 4" xfId="2177" xr:uid="{5FA9FEDB-26B9-4D54-9757-864D54B78519}"/>
    <cellStyle name="Обычный 2 2 15" xfId="464" xr:uid="{00000000-0005-0000-0000-000006020000}"/>
    <cellStyle name="Обычный 2 2 15 2" xfId="465" xr:uid="{00000000-0005-0000-0000-000007020000}"/>
    <cellStyle name="Обычный 2 2 15 2 2" xfId="1647" xr:uid="{233DB621-50A3-487A-8A8E-102283ECDFE5}"/>
    <cellStyle name="Обычный 2 2 15 2 3" xfId="2180" xr:uid="{35EF439C-02EB-48A6-B262-D342CEEA72F3}"/>
    <cellStyle name="Обычный 2 2 15 3" xfId="1646" xr:uid="{D681B4D6-9750-4F09-BFC9-6A2307F5228D}"/>
    <cellStyle name="Обычный 2 2 15 4" xfId="2179" xr:uid="{DB277C14-CCBF-4D22-A4B3-51A6DECDF4CC}"/>
    <cellStyle name="Обычный 2 2 16" xfId="466" xr:uid="{00000000-0005-0000-0000-000008020000}"/>
    <cellStyle name="Обычный 2 2 16 2" xfId="467" xr:uid="{00000000-0005-0000-0000-000009020000}"/>
    <cellStyle name="Обычный 2 2 16 2 2" xfId="1649" xr:uid="{BE18A900-17F6-42AC-8499-F2AA5B6CB881}"/>
    <cellStyle name="Обычный 2 2 16 2 3" xfId="2182" xr:uid="{7C092648-FDA1-4569-AE9D-60C680605A69}"/>
    <cellStyle name="Обычный 2 2 16 3" xfId="1648" xr:uid="{E067AC5F-A915-4E49-9AD4-729BB63CC5AB}"/>
    <cellStyle name="Обычный 2 2 16 4" xfId="2181" xr:uid="{11F83362-05CF-4F5C-BD63-191310AFB9C2}"/>
    <cellStyle name="Обычный 2 2 17" xfId="468" xr:uid="{00000000-0005-0000-0000-00000A020000}"/>
    <cellStyle name="Обычный 2 2 17 2" xfId="469" xr:uid="{00000000-0005-0000-0000-00000B020000}"/>
    <cellStyle name="Обычный 2 2 17 2 2" xfId="1651" xr:uid="{4632A827-2495-4CD0-8981-3DC476174786}"/>
    <cellStyle name="Обычный 2 2 17 2 3" xfId="2184" xr:uid="{F3D3227A-8EBD-4A77-9097-C8B59453127D}"/>
    <cellStyle name="Обычный 2 2 17 3" xfId="1650" xr:uid="{BEA1DF68-D026-4A11-BF37-9612B4EDAEF8}"/>
    <cellStyle name="Обычный 2 2 17 4" xfId="2183" xr:uid="{1398DE52-D5DA-46F9-864C-CCA7F8F11B1A}"/>
    <cellStyle name="Обычный 2 2 18" xfId="470" xr:uid="{00000000-0005-0000-0000-00000C020000}"/>
    <cellStyle name="Обычный 2 2 18 2" xfId="471" xr:uid="{00000000-0005-0000-0000-00000D020000}"/>
    <cellStyle name="Обычный 2 2 18 2 2" xfId="1653" xr:uid="{410EC898-F6AD-4FB1-B86F-8877016FB3B3}"/>
    <cellStyle name="Обычный 2 2 18 2 3" xfId="2186" xr:uid="{639C4A1D-6307-411E-8207-A49E28E160C4}"/>
    <cellStyle name="Обычный 2 2 18 3" xfId="1652" xr:uid="{459FF0D0-81C6-4332-A70A-4B81A340427B}"/>
    <cellStyle name="Обычный 2 2 18 4" xfId="2185" xr:uid="{357729A8-E76D-4A7F-9095-D1D240BC8FCF}"/>
    <cellStyle name="Обычный 2 2 19" xfId="472" xr:uid="{00000000-0005-0000-0000-00000E020000}"/>
    <cellStyle name="Обычный 2 2 19 2" xfId="473" xr:uid="{00000000-0005-0000-0000-00000F020000}"/>
    <cellStyle name="Обычный 2 2 19 2 2" xfId="1655" xr:uid="{DB67EEEB-E1BA-448C-9726-183DABFA1AF0}"/>
    <cellStyle name="Обычный 2 2 19 2 3" xfId="2188" xr:uid="{1ABF71CC-960F-4107-9D39-BEEC3D688F0E}"/>
    <cellStyle name="Обычный 2 2 19 3" xfId="1654" xr:uid="{EFDF1EFD-AC3C-402B-9F7E-583264715A42}"/>
    <cellStyle name="Обычный 2 2 19 4" xfId="2187" xr:uid="{F8B9038B-0ADF-47F3-85B3-B7F527BA62EE}"/>
    <cellStyle name="Обычный 2 2 2" xfId="474" xr:uid="{00000000-0005-0000-0000-000010020000}"/>
    <cellStyle name="Обычный 2 2 2 10" xfId="475" xr:uid="{00000000-0005-0000-0000-000011020000}"/>
    <cellStyle name="Обычный 2 2 2 11" xfId="476" xr:uid="{00000000-0005-0000-0000-000012020000}"/>
    <cellStyle name="Обычный 2 2 2 12" xfId="477" xr:uid="{00000000-0005-0000-0000-000013020000}"/>
    <cellStyle name="Обычный 2 2 2 13" xfId="478" xr:uid="{00000000-0005-0000-0000-000014020000}"/>
    <cellStyle name="Обычный 2 2 2 14" xfId="479" xr:uid="{00000000-0005-0000-0000-000015020000}"/>
    <cellStyle name="Обычный 2 2 2 15" xfId="480" xr:uid="{00000000-0005-0000-0000-000016020000}"/>
    <cellStyle name="Обычный 2 2 2 16" xfId="481" xr:uid="{00000000-0005-0000-0000-000017020000}"/>
    <cellStyle name="Обычный 2 2 2 17" xfId="482" xr:uid="{00000000-0005-0000-0000-000018020000}"/>
    <cellStyle name="Обычный 2 2 2 18" xfId="483" xr:uid="{00000000-0005-0000-0000-000019020000}"/>
    <cellStyle name="Обычный 2 2 2 19" xfId="484" xr:uid="{00000000-0005-0000-0000-00001A020000}"/>
    <cellStyle name="Обычный 2 2 2 2" xfId="485" xr:uid="{00000000-0005-0000-0000-00001B020000}"/>
    <cellStyle name="Обычный 2 2 2 2 10" xfId="486" xr:uid="{00000000-0005-0000-0000-00001C020000}"/>
    <cellStyle name="Обычный 2 2 2 2 11" xfId="487" xr:uid="{00000000-0005-0000-0000-00001D020000}"/>
    <cellStyle name="Обычный 2 2 2 2 12" xfId="488" xr:uid="{00000000-0005-0000-0000-00001E020000}"/>
    <cellStyle name="Обычный 2 2 2 2 13" xfId="489" xr:uid="{00000000-0005-0000-0000-00001F020000}"/>
    <cellStyle name="Обычный 2 2 2 2 14" xfId="490" xr:uid="{00000000-0005-0000-0000-000020020000}"/>
    <cellStyle name="Обычный 2 2 2 2 15" xfId="491" xr:uid="{00000000-0005-0000-0000-000021020000}"/>
    <cellStyle name="Обычный 2 2 2 2 16" xfId="492" xr:uid="{00000000-0005-0000-0000-000022020000}"/>
    <cellStyle name="Обычный 2 2 2 2 17" xfId="493" xr:uid="{00000000-0005-0000-0000-000023020000}"/>
    <cellStyle name="Обычный 2 2 2 2 18" xfId="494" xr:uid="{00000000-0005-0000-0000-000024020000}"/>
    <cellStyle name="Обычный 2 2 2 2 19" xfId="495" xr:uid="{00000000-0005-0000-0000-000025020000}"/>
    <cellStyle name="Обычный 2 2 2 2 2" xfId="496" xr:uid="{00000000-0005-0000-0000-000026020000}"/>
    <cellStyle name="Обычный 2 2 2 2 20" xfId="497" xr:uid="{00000000-0005-0000-0000-000027020000}"/>
    <cellStyle name="Обычный 2 2 2 2 21" xfId="498" xr:uid="{00000000-0005-0000-0000-000028020000}"/>
    <cellStyle name="Обычный 2 2 2 2 22" xfId="499" xr:uid="{00000000-0005-0000-0000-000029020000}"/>
    <cellStyle name="Обычный 2 2 2 2 23" xfId="500" xr:uid="{00000000-0005-0000-0000-00002A020000}"/>
    <cellStyle name="Обычный 2 2 2 2 24" xfId="501" xr:uid="{00000000-0005-0000-0000-00002B020000}"/>
    <cellStyle name="Обычный 2 2 2 2 25" xfId="502" xr:uid="{00000000-0005-0000-0000-00002C020000}"/>
    <cellStyle name="Обычный 2 2 2 2 26" xfId="503" xr:uid="{00000000-0005-0000-0000-00002D020000}"/>
    <cellStyle name="Обычный 2 2 2 2 27" xfId="504" xr:uid="{00000000-0005-0000-0000-00002E020000}"/>
    <cellStyle name="Обычный 2 2 2 2 28" xfId="505" xr:uid="{00000000-0005-0000-0000-00002F020000}"/>
    <cellStyle name="Обычный 2 2 2 2 29" xfId="506" xr:uid="{00000000-0005-0000-0000-000030020000}"/>
    <cellStyle name="Обычный 2 2 2 2 3" xfId="507" xr:uid="{00000000-0005-0000-0000-000031020000}"/>
    <cellStyle name="Обычный 2 2 2 2 30" xfId="508" xr:uid="{00000000-0005-0000-0000-000032020000}"/>
    <cellStyle name="Обычный 2 2 2 2 4" xfId="509" xr:uid="{00000000-0005-0000-0000-000033020000}"/>
    <cellStyle name="Обычный 2 2 2 2 5" xfId="510" xr:uid="{00000000-0005-0000-0000-000034020000}"/>
    <cellStyle name="Обычный 2 2 2 2 6" xfId="511" xr:uid="{00000000-0005-0000-0000-000035020000}"/>
    <cellStyle name="Обычный 2 2 2 2 7" xfId="512" xr:uid="{00000000-0005-0000-0000-000036020000}"/>
    <cellStyle name="Обычный 2 2 2 2 8" xfId="513" xr:uid="{00000000-0005-0000-0000-000037020000}"/>
    <cellStyle name="Обычный 2 2 2 2 9" xfId="514" xr:uid="{00000000-0005-0000-0000-000038020000}"/>
    <cellStyle name="Обычный 2 2 2 20" xfId="515" xr:uid="{00000000-0005-0000-0000-000039020000}"/>
    <cellStyle name="Обычный 2 2 2 21" xfId="516" xr:uid="{00000000-0005-0000-0000-00003A020000}"/>
    <cellStyle name="Обычный 2 2 2 22" xfId="517" xr:uid="{00000000-0005-0000-0000-00003B020000}"/>
    <cellStyle name="Обычный 2 2 2 23" xfId="518" xr:uid="{00000000-0005-0000-0000-00003C020000}"/>
    <cellStyle name="Обычный 2 2 2 24" xfId="519" xr:uid="{00000000-0005-0000-0000-00003D020000}"/>
    <cellStyle name="Обычный 2 2 2 25" xfId="520" xr:uid="{00000000-0005-0000-0000-00003E020000}"/>
    <cellStyle name="Обычный 2 2 2 26" xfId="521" xr:uid="{00000000-0005-0000-0000-00003F020000}"/>
    <cellStyle name="Обычный 2 2 2 27" xfId="522" xr:uid="{00000000-0005-0000-0000-000040020000}"/>
    <cellStyle name="Обычный 2 2 2 28" xfId="523" xr:uid="{00000000-0005-0000-0000-000041020000}"/>
    <cellStyle name="Обычный 2 2 2 29" xfId="524" xr:uid="{00000000-0005-0000-0000-000042020000}"/>
    <cellStyle name="Обычный 2 2 2 3" xfId="525" xr:uid="{00000000-0005-0000-0000-000043020000}"/>
    <cellStyle name="Обычный 2 2 2 30" xfId="526" xr:uid="{00000000-0005-0000-0000-000044020000}"/>
    <cellStyle name="Обычный 2 2 2 31" xfId="527" xr:uid="{00000000-0005-0000-0000-000045020000}"/>
    <cellStyle name="Обычный 2 2 2 4" xfId="528" xr:uid="{00000000-0005-0000-0000-000046020000}"/>
    <cellStyle name="Обычный 2 2 2 5" xfId="529" xr:uid="{00000000-0005-0000-0000-000047020000}"/>
    <cellStyle name="Обычный 2 2 2 6" xfId="530" xr:uid="{00000000-0005-0000-0000-000048020000}"/>
    <cellStyle name="Обычный 2 2 2 7" xfId="531" xr:uid="{00000000-0005-0000-0000-000049020000}"/>
    <cellStyle name="Обычный 2 2 2 8" xfId="532" xr:uid="{00000000-0005-0000-0000-00004A020000}"/>
    <cellStyle name="Обычный 2 2 2 9" xfId="533" xr:uid="{00000000-0005-0000-0000-00004B020000}"/>
    <cellStyle name="Обычный 2 2 20" xfId="534" xr:uid="{00000000-0005-0000-0000-00004C020000}"/>
    <cellStyle name="Обычный 2 2 20 2" xfId="535" xr:uid="{00000000-0005-0000-0000-00004D020000}"/>
    <cellStyle name="Обычный 2 2 20 2 2" xfId="1657" xr:uid="{F9826DBC-00D6-4B3E-9F1D-991911FF9FEA}"/>
    <cellStyle name="Обычный 2 2 20 2 3" xfId="2190" xr:uid="{95AD69D8-9AF5-491C-9AA2-D6936038E56C}"/>
    <cellStyle name="Обычный 2 2 20 3" xfId="1656" xr:uid="{88437F27-F041-4E38-892C-B93D781A36A8}"/>
    <cellStyle name="Обычный 2 2 20 4" xfId="2189" xr:uid="{51B9FC36-E4F1-4612-AB10-3A2FB9F4F7FE}"/>
    <cellStyle name="Обычный 2 2 21" xfId="536" xr:uid="{00000000-0005-0000-0000-00004E020000}"/>
    <cellStyle name="Обычный 2 2 21 2" xfId="537" xr:uid="{00000000-0005-0000-0000-00004F020000}"/>
    <cellStyle name="Обычный 2 2 21 2 2" xfId="1659" xr:uid="{C4BA0893-07B5-468C-B5A4-202A42A31174}"/>
    <cellStyle name="Обычный 2 2 21 2 3" xfId="2192" xr:uid="{D974AC0A-2D80-4B1D-94C8-2A699B152BFB}"/>
    <cellStyle name="Обычный 2 2 21 3" xfId="1658" xr:uid="{5FBFF9B2-0755-45C4-85FF-6F21D3791FF6}"/>
    <cellStyle name="Обычный 2 2 21 4" xfId="2191" xr:uid="{E30DB67D-2716-4B04-8741-54FC2B6D0E70}"/>
    <cellStyle name="Обычный 2 2 22" xfId="538" xr:uid="{00000000-0005-0000-0000-000050020000}"/>
    <cellStyle name="Обычный 2 2 22 2" xfId="539" xr:uid="{00000000-0005-0000-0000-000051020000}"/>
    <cellStyle name="Обычный 2 2 22 2 2" xfId="1661" xr:uid="{AF9A0369-EF0C-4356-82A6-275526F4BB57}"/>
    <cellStyle name="Обычный 2 2 22 2 3" xfId="2194" xr:uid="{B356425E-7AAD-48D3-BA04-4BD158111F6C}"/>
    <cellStyle name="Обычный 2 2 22 3" xfId="1660" xr:uid="{A0B83BF4-B3DF-46FB-BFE8-957CD8601A72}"/>
    <cellStyle name="Обычный 2 2 22 4" xfId="2193" xr:uid="{D12AF79C-AE33-47EE-8415-9662A47E4BA5}"/>
    <cellStyle name="Обычный 2 2 23" xfId="540" xr:uid="{00000000-0005-0000-0000-000052020000}"/>
    <cellStyle name="Обычный 2 2 23 2" xfId="541" xr:uid="{00000000-0005-0000-0000-000053020000}"/>
    <cellStyle name="Обычный 2 2 23 2 2" xfId="1663" xr:uid="{7E765EDD-52CA-48B0-82BC-4D2853A1D97E}"/>
    <cellStyle name="Обычный 2 2 23 2 3" xfId="2196" xr:uid="{A783671A-DE1A-4E84-8EF2-3CDD653A609A}"/>
    <cellStyle name="Обычный 2 2 23 3" xfId="1662" xr:uid="{82C34F45-43DA-4F07-B261-ECD4C41B82DD}"/>
    <cellStyle name="Обычный 2 2 23 4" xfId="2195" xr:uid="{1A1C28C7-506B-4EA8-B05C-F1A013134E27}"/>
    <cellStyle name="Обычный 2 2 24" xfId="542" xr:uid="{00000000-0005-0000-0000-000054020000}"/>
    <cellStyle name="Обычный 2 2 24 2" xfId="543" xr:uid="{00000000-0005-0000-0000-000055020000}"/>
    <cellStyle name="Обычный 2 2 24 2 2" xfId="1665" xr:uid="{67769787-6CA5-4F38-8049-D28F985CD9CA}"/>
    <cellStyle name="Обычный 2 2 24 2 3" xfId="2198" xr:uid="{4E04275D-832A-43CE-94B8-ED6DDF34BF65}"/>
    <cellStyle name="Обычный 2 2 24 3" xfId="1664" xr:uid="{0F05842D-7575-4CA4-854D-80D7B82EA888}"/>
    <cellStyle name="Обычный 2 2 24 4" xfId="2197" xr:uid="{5504F269-F188-4474-9D02-1EAAF9083002}"/>
    <cellStyle name="Обычный 2 2 25" xfId="544" xr:uid="{00000000-0005-0000-0000-000056020000}"/>
    <cellStyle name="Обычный 2 2 25 2" xfId="545" xr:uid="{00000000-0005-0000-0000-000057020000}"/>
    <cellStyle name="Обычный 2 2 25 2 2" xfId="1667" xr:uid="{EAF94B92-44C6-4C25-A3CF-2F6A865A6D4B}"/>
    <cellStyle name="Обычный 2 2 25 2 3" xfId="2200" xr:uid="{74D8C749-EC78-4C73-B254-AC28D39A9127}"/>
    <cellStyle name="Обычный 2 2 25 3" xfId="1666" xr:uid="{F000E850-4DEB-4AA3-9CCE-E4A5BF4B9C70}"/>
    <cellStyle name="Обычный 2 2 25 4" xfId="2199" xr:uid="{63B3AC34-BF45-4E53-905A-8AE2936D2E85}"/>
    <cellStyle name="Обычный 2 2 26" xfId="546" xr:uid="{00000000-0005-0000-0000-000058020000}"/>
    <cellStyle name="Обычный 2 2 26 2" xfId="547" xr:uid="{00000000-0005-0000-0000-000059020000}"/>
    <cellStyle name="Обычный 2 2 26 2 2" xfId="1669" xr:uid="{93E0EE4C-30D4-4530-83F9-B0CA8A71C352}"/>
    <cellStyle name="Обычный 2 2 26 2 3" xfId="2202" xr:uid="{3D2F2FAD-9366-4B16-AB0F-14EDD7F6437C}"/>
    <cellStyle name="Обычный 2 2 26 3" xfId="1668" xr:uid="{50B23B45-5C4E-4366-A91F-F26786E5EC9E}"/>
    <cellStyle name="Обычный 2 2 26 4" xfId="2201" xr:uid="{7A100888-2EA0-480B-8744-50C4988E655C}"/>
    <cellStyle name="Обычный 2 2 27" xfId="548" xr:uid="{00000000-0005-0000-0000-00005A020000}"/>
    <cellStyle name="Обычный 2 2 27 2" xfId="549" xr:uid="{00000000-0005-0000-0000-00005B020000}"/>
    <cellStyle name="Обычный 2 2 27 2 2" xfId="1671" xr:uid="{6BFCC38E-E381-46BD-92DA-FF8A0ABA4A24}"/>
    <cellStyle name="Обычный 2 2 27 2 3" xfId="2204" xr:uid="{A1F80D25-0941-441A-ABDB-00310689C270}"/>
    <cellStyle name="Обычный 2 2 27 3" xfId="1670" xr:uid="{0C154C0D-D2C8-4783-A1E6-AB94CA4938B2}"/>
    <cellStyle name="Обычный 2 2 27 4" xfId="2203" xr:uid="{432068B3-4F35-40C3-8502-069FF1FAA3D5}"/>
    <cellStyle name="Обычный 2 2 28" xfId="550" xr:uid="{00000000-0005-0000-0000-00005C020000}"/>
    <cellStyle name="Обычный 2 2 28 2" xfId="551" xr:uid="{00000000-0005-0000-0000-00005D020000}"/>
    <cellStyle name="Обычный 2 2 28 2 2" xfId="1673" xr:uid="{ED74A212-D117-422F-96E3-F34D811C8B5A}"/>
    <cellStyle name="Обычный 2 2 28 2 3" xfId="2206" xr:uid="{062092A9-523D-4C24-B42F-2FFB376DFCBA}"/>
    <cellStyle name="Обычный 2 2 28 3" xfId="1672" xr:uid="{B6F68722-941E-4ACB-BCE7-3D0597E66164}"/>
    <cellStyle name="Обычный 2 2 28 4" xfId="2205" xr:uid="{3A0E4E3B-0564-41AB-BAF9-AE47339EB6E5}"/>
    <cellStyle name="Обычный 2 2 29" xfId="552" xr:uid="{00000000-0005-0000-0000-00005E020000}"/>
    <cellStyle name="Обычный 2 2 29 2" xfId="553" xr:uid="{00000000-0005-0000-0000-00005F020000}"/>
    <cellStyle name="Обычный 2 2 29 2 2" xfId="1675" xr:uid="{9712E072-F783-4094-AE34-2359490A6A72}"/>
    <cellStyle name="Обычный 2 2 29 2 3" xfId="2208" xr:uid="{FFC61D85-C5A7-4FA2-9861-FC3C46B6EA5C}"/>
    <cellStyle name="Обычный 2 2 29 3" xfId="1674" xr:uid="{DB60968D-3FF8-42DF-85D1-78EEB813F934}"/>
    <cellStyle name="Обычный 2 2 29 4" xfId="2207" xr:uid="{BEDE1CA2-CA30-4218-B2EF-29BE6F7ECD4E}"/>
    <cellStyle name="Обычный 2 2 3" xfId="554" xr:uid="{00000000-0005-0000-0000-000060020000}"/>
    <cellStyle name="Обычный 2 2 3 2" xfId="555" xr:uid="{00000000-0005-0000-0000-000061020000}"/>
    <cellStyle name="Обычный 2 2 3 2 2" xfId="1676" xr:uid="{A2267015-4A00-4889-8899-F9484255F554}"/>
    <cellStyle name="Обычный 2 2 3 2 3" xfId="2209" xr:uid="{700AA305-D6BD-48C3-B72A-3CB65CEF4E54}"/>
    <cellStyle name="Обычный 2 2 30" xfId="556" xr:uid="{00000000-0005-0000-0000-000062020000}"/>
    <cellStyle name="Обычный 2 2 30 2" xfId="557" xr:uid="{00000000-0005-0000-0000-000063020000}"/>
    <cellStyle name="Обычный 2 2 30 2 2" xfId="1678" xr:uid="{908D3FCE-4A66-4A90-8BE8-E1806501F566}"/>
    <cellStyle name="Обычный 2 2 30 2 3" xfId="2211" xr:uid="{BC4A9FBF-B5BF-43E4-A19D-579701015846}"/>
    <cellStyle name="Обычный 2 2 30 3" xfId="1677" xr:uid="{465A05B9-DEE7-4F9C-8D52-7D200D875557}"/>
    <cellStyle name="Обычный 2 2 30 4" xfId="2210" xr:uid="{E1DE7CFA-0252-4E56-B0C2-AC0BE567CCF1}"/>
    <cellStyle name="Обычный 2 2 31" xfId="558" xr:uid="{00000000-0005-0000-0000-000064020000}"/>
    <cellStyle name="Обычный 2 2 31 2" xfId="559" xr:uid="{00000000-0005-0000-0000-000065020000}"/>
    <cellStyle name="Обычный 2 2 31 2 2" xfId="1680" xr:uid="{3844B28E-EDC3-49A8-93BC-6DB6EAB866E0}"/>
    <cellStyle name="Обычный 2 2 31 2 3" xfId="2213" xr:uid="{D6456DB3-A21A-482D-80FB-343C01B49C2C}"/>
    <cellStyle name="Обычный 2 2 31 3" xfId="1679" xr:uid="{46560B15-6BCE-4242-BE09-FB14E370D790}"/>
    <cellStyle name="Обычный 2 2 31 4" xfId="2212" xr:uid="{95136D4D-A103-42F1-876A-BA6D164EA2F6}"/>
    <cellStyle name="Обычный 2 2 32" xfId="560" xr:uid="{00000000-0005-0000-0000-000066020000}"/>
    <cellStyle name="Обычный 2 2 33" xfId="1635" xr:uid="{BD7045B2-DE27-49BE-B66A-9782C23DD8E9}"/>
    <cellStyle name="Обычный 2 2 34" xfId="2168" xr:uid="{44B16A34-E95A-4C69-804B-49A1945C4A20}"/>
    <cellStyle name="Обычный 2 2 4" xfId="561" xr:uid="{00000000-0005-0000-0000-000067020000}"/>
    <cellStyle name="Обычный 2 2 4 2" xfId="562" xr:uid="{00000000-0005-0000-0000-000068020000}"/>
    <cellStyle name="Обычный 2 2 4 2 2" xfId="1682" xr:uid="{CD13D2FD-5692-40B8-B338-FD345ABE697A}"/>
    <cellStyle name="Обычный 2 2 4 2 3" xfId="2215" xr:uid="{195621DA-188C-41C5-AB10-C7FA0FE60191}"/>
    <cellStyle name="Обычный 2 2 4 3" xfId="1681" xr:uid="{B181E1CD-3870-4226-9715-312783E8F704}"/>
    <cellStyle name="Обычный 2 2 4 4" xfId="2214" xr:uid="{DE446CAC-A405-43A2-8618-CEA89822ABD0}"/>
    <cellStyle name="Обычный 2 2 5" xfId="563" xr:uid="{00000000-0005-0000-0000-000069020000}"/>
    <cellStyle name="Обычный 2 2 5 2" xfId="564" xr:uid="{00000000-0005-0000-0000-00006A020000}"/>
    <cellStyle name="Обычный 2 2 5 2 2" xfId="1684" xr:uid="{EBFE4E4B-3876-40A4-9190-2B0E27F6A4F6}"/>
    <cellStyle name="Обычный 2 2 5 2 3" xfId="2217" xr:uid="{F554442B-7A0B-45A2-81D2-B09BCEB73E99}"/>
    <cellStyle name="Обычный 2 2 5 3" xfId="1683" xr:uid="{BD75AA45-B95F-4980-B7C4-C042DE2C7BB1}"/>
    <cellStyle name="Обычный 2 2 5 4" xfId="2216" xr:uid="{C06B6E0A-48FC-49EC-BDB9-0A5E41B47769}"/>
    <cellStyle name="Обычный 2 2 6" xfId="565" xr:uid="{00000000-0005-0000-0000-00006B020000}"/>
    <cellStyle name="Обычный 2 2 6 2" xfId="566" xr:uid="{00000000-0005-0000-0000-00006C020000}"/>
    <cellStyle name="Обычный 2 2 6 2 2" xfId="1686" xr:uid="{2B4D62B6-F51A-4E79-BEC6-902189DFDE33}"/>
    <cellStyle name="Обычный 2 2 6 2 3" xfId="2219" xr:uid="{3E4F96BC-3E0A-4D81-90F2-4EA36D3504A7}"/>
    <cellStyle name="Обычный 2 2 6 3" xfId="1685" xr:uid="{18400208-A253-4509-870A-916F193FA7CC}"/>
    <cellStyle name="Обычный 2 2 6 4" xfId="2218" xr:uid="{A4C30BE4-15D1-4E3E-BA84-01A42F8B472A}"/>
    <cellStyle name="Обычный 2 2 7" xfId="567" xr:uid="{00000000-0005-0000-0000-00006D020000}"/>
    <cellStyle name="Обычный 2 2 7 2" xfId="568" xr:uid="{00000000-0005-0000-0000-00006E020000}"/>
    <cellStyle name="Обычный 2 2 7 2 2" xfId="1688" xr:uid="{A8EFFC18-A66F-4D9A-8EDC-88C482600382}"/>
    <cellStyle name="Обычный 2 2 7 2 3" xfId="2221" xr:uid="{A7C13879-0F61-452D-AA66-821025015809}"/>
    <cellStyle name="Обычный 2 2 7 3" xfId="1687" xr:uid="{9B197E25-B81F-4932-9F2D-79673A52C05F}"/>
    <cellStyle name="Обычный 2 2 7 4" xfId="2220" xr:uid="{D72205A7-31BF-4D17-BA14-FAD7D1362F0D}"/>
    <cellStyle name="Обычный 2 2 8" xfId="569" xr:uid="{00000000-0005-0000-0000-00006F020000}"/>
    <cellStyle name="Обычный 2 2 8 2" xfId="570" xr:uid="{00000000-0005-0000-0000-000070020000}"/>
    <cellStyle name="Обычный 2 2 8 2 2" xfId="1690" xr:uid="{F7C636D0-DC82-48A4-B2D6-12A3FDC28867}"/>
    <cellStyle name="Обычный 2 2 8 2 3" xfId="2223" xr:uid="{20043C80-04C6-4D1E-BDD6-36E9EB5040FC}"/>
    <cellStyle name="Обычный 2 2 8 3" xfId="1689" xr:uid="{90E272F6-08C8-4059-9754-5EC1BB424B41}"/>
    <cellStyle name="Обычный 2 2 8 4" xfId="2222" xr:uid="{E24DC742-0476-4418-B180-CA2B1749CE94}"/>
    <cellStyle name="Обычный 2 2 9" xfId="571" xr:uid="{00000000-0005-0000-0000-000071020000}"/>
    <cellStyle name="Обычный 2 2 9 2" xfId="572" xr:uid="{00000000-0005-0000-0000-000072020000}"/>
    <cellStyle name="Обычный 2 2 9 2 2" xfId="1692" xr:uid="{47B8D5E7-0C6A-4461-94CB-8678A616E445}"/>
    <cellStyle name="Обычный 2 2 9 2 3" xfId="2225" xr:uid="{06B3CDF2-4313-4A7B-ADEF-B9F0BA5EEF24}"/>
    <cellStyle name="Обычный 2 2 9 3" xfId="1691" xr:uid="{300D09EB-8351-46AC-8A07-155513546939}"/>
    <cellStyle name="Обычный 2 2 9 4" xfId="2224" xr:uid="{F12B56F4-D44F-44D7-AC87-538408F62BD1}"/>
    <cellStyle name="Обычный 2 20" xfId="573" xr:uid="{00000000-0005-0000-0000-000073020000}"/>
    <cellStyle name="Обычный 2 21" xfId="574" xr:uid="{00000000-0005-0000-0000-000074020000}"/>
    <cellStyle name="Обычный 2 22" xfId="575" xr:uid="{00000000-0005-0000-0000-000075020000}"/>
    <cellStyle name="Обычный 2 23" xfId="576" xr:uid="{00000000-0005-0000-0000-000076020000}"/>
    <cellStyle name="Обычный 2 24" xfId="577" xr:uid="{00000000-0005-0000-0000-000077020000}"/>
    <cellStyle name="Обычный 2 25" xfId="578" xr:uid="{00000000-0005-0000-0000-000078020000}"/>
    <cellStyle name="Обычный 2 26" xfId="579" xr:uid="{00000000-0005-0000-0000-000079020000}"/>
    <cellStyle name="Обычный 2 27" xfId="580" xr:uid="{00000000-0005-0000-0000-00007A020000}"/>
    <cellStyle name="Обычный 2 28" xfId="581" xr:uid="{00000000-0005-0000-0000-00007B020000}"/>
    <cellStyle name="Обычный 2 29" xfId="582" xr:uid="{00000000-0005-0000-0000-00007C020000}"/>
    <cellStyle name="Обычный 2 3" xfId="583" xr:uid="{00000000-0005-0000-0000-00007D020000}"/>
    <cellStyle name="Обычный 2 3 2" xfId="584" xr:uid="{00000000-0005-0000-0000-00007E020000}"/>
    <cellStyle name="Обычный 2 3 3" xfId="585" xr:uid="{00000000-0005-0000-0000-00007F020000}"/>
    <cellStyle name="Обычный 2 30" xfId="586" xr:uid="{00000000-0005-0000-0000-000080020000}"/>
    <cellStyle name="Обычный 2 31" xfId="587" xr:uid="{00000000-0005-0000-0000-000081020000}"/>
    <cellStyle name="Обычный 2 32" xfId="588" xr:uid="{00000000-0005-0000-0000-000082020000}"/>
    <cellStyle name="Обычный 2 33" xfId="589" xr:uid="{00000000-0005-0000-0000-000083020000}"/>
    <cellStyle name="Обычный 2 34" xfId="590" xr:uid="{00000000-0005-0000-0000-000084020000}"/>
    <cellStyle name="Обычный 2 34 2" xfId="591" xr:uid="{00000000-0005-0000-0000-000085020000}"/>
    <cellStyle name="Обычный 2 34 2 2" xfId="1694" xr:uid="{A35F9CE4-880D-4C00-8807-8D35D2816BDC}"/>
    <cellStyle name="Обычный 2 34 2 3" xfId="2227" xr:uid="{6EDD1870-AA8B-45C6-BD05-072B095CF2D3}"/>
    <cellStyle name="Обычный 2 34 3" xfId="1693" xr:uid="{4BD51021-CF7E-4DA8-B792-32B13BD2C34C}"/>
    <cellStyle name="Обычный 2 34 4" xfId="2226" xr:uid="{2521A8B4-F647-4165-BCB9-5D88724BD361}"/>
    <cellStyle name="Обычный 2 35" xfId="592" xr:uid="{00000000-0005-0000-0000-000086020000}"/>
    <cellStyle name="Обычный 2 35 2" xfId="1695" xr:uid="{51D0D658-3DF9-4BE9-9A10-9773C211B316}"/>
    <cellStyle name="Обычный 2 35 3" xfId="2228" xr:uid="{EA32D440-ACE1-4FD2-9D2C-FF472933A030}"/>
    <cellStyle name="Обычный 2 36" xfId="593" xr:uid="{00000000-0005-0000-0000-000087020000}"/>
    <cellStyle name="Обычный 2 37" xfId="1289" xr:uid="{A3FDE803-C4C2-4CF3-B419-E9B867E14887}"/>
    <cellStyle name="Обычный 2 38" xfId="1822" xr:uid="{AE384C1E-8659-46C1-BEE2-CEF12B02CA1C}"/>
    <cellStyle name="Обычный 2 4" xfId="594" xr:uid="{00000000-0005-0000-0000-000088020000}"/>
    <cellStyle name="Обычный 2 4 2" xfId="595" xr:uid="{00000000-0005-0000-0000-000089020000}"/>
    <cellStyle name="Обычный 2 4 3" xfId="596" xr:uid="{00000000-0005-0000-0000-00008A020000}"/>
    <cellStyle name="Обычный 2 5" xfId="597" xr:uid="{00000000-0005-0000-0000-00008B020000}"/>
    <cellStyle name="Обычный 2 5 2" xfId="598" xr:uid="{00000000-0005-0000-0000-00008C020000}"/>
    <cellStyle name="Обычный 2 5 3" xfId="599" xr:uid="{00000000-0005-0000-0000-00008D020000}"/>
    <cellStyle name="Обычный 2 5 4" xfId="1696" xr:uid="{6129A029-F93D-4C78-9B9E-73E9B5386246}"/>
    <cellStyle name="Обычный 2 5 5" xfId="2229" xr:uid="{9A967783-33C7-45F8-9811-B9604DBFC40F}"/>
    <cellStyle name="Обычный 2 6" xfId="600" xr:uid="{00000000-0005-0000-0000-00008E020000}"/>
    <cellStyle name="Обычный 2 7" xfId="601" xr:uid="{00000000-0005-0000-0000-00008F020000}"/>
    <cellStyle name="Обычный 2 8" xfId="602" xr:uid="{00000000-0005-0000-0000-000090020000}"/>
    <cellStyle name="Обычный 2 9" xfId="603" xr:uid="{00000000-0005-0000-0000-000091020000}"/>
    <cellStyle name="Обычный 20" xfId="604" xr:uid="{00000000-0005-0000-0000-000092020000}"/>
    <cellStyle name="Обычный 20 10" xfId="605" xr:uid="{00000000-0005-0000-0000-000093020000}"/>
    <cellStyle name="Обычный 20 11" xfId="606" xr:uid="{00000000-0005-0000-0000-000094020000}"/>
    <cellStyle name="Обычный 20 12" xfId="607" xr:uid="{00000000-0005-0000-0000-000095020000}"/>
    <cellStyle name="Обычный 20 13" xfId="608" xr:uid="{00000000-0005-0000-0000-000096020000}"/>
    <cellStyle name="Обычный 20 14" xfId="609" xr:uid="{00000000-0005-0000-0000-000097020000}"/>
    <cellStyle name="Обычный 20 15" xfId="610" xr:uid="{00000000-0005-0000-0000-000098020000}"/>
    <cellStyle name="Обычный 20 16" xfId="611" xr:uid="{00000000-0005-0000-0000-000099020000}"/>
    <cellStyle name="Обычный 20 17" xfId="612" xr:uid="{00000000-0005-0000-0000-00009A020000}"/>
    <cellStyle name="Обычный 20 18" xfId="613" xr:uid="{00000000-0005-0000-0000-00009B020000}"/>
    <cellStyle name="Обычный 20 19" xfId="614" xr:uid="{00000000-0005-0000-0000-00009C020000}"/>
    <cellStyle name="Обычный 20 2" xfId="615" xr:uid="{00000000-0005-0000-0000-00009D020000}"/>
    <cellStyle name="Обычный 20 2 2" xfId="616" xr:uid="{00000000-0005-0000-0000-00009E020000}"/>
    <cellStyle name="Обычный 20 2 2 2" xfId="617" xr:uid="{00000000-0005-0000-0000-00009F020000}"/>
    <cellStyle name="Обычный 20 2 2 2 2" xfId="1699" xr:uid="{DF468C31-C09E-40D0-BF34-128532E4A685}"/>
    <cellStyle name="Обычный 20 2 2 2 3" xfId="2232" xr:uid="{C9C68A98-000F-4252-8568-92B16603D224}"/>
    <cellStyle name="Обычный 20 2 2 3" xfId="1698" xr:uid="{5E7EE846-0040-416A-BD72-D9F250C25CA4}"/>
    <cellStyle name="Обычный 20 2 2 4" xfId="2231" xr:uid="{18181E91-0E35-444B-9364-3D479D6287AD}"/>
    <cellStyle name="Обычный 20 2 3" xfId="618" xr:uid="{00000000-0005-0000-0000-0000A0020000}"/>
    <cellStyle name="Обычный 20 2 4" xfId="619" xr:uid="{00000000-0005-0000-0000-0000A1020000}"/>
    <cellStyle name="Обычный 20 2 4 2" xfId="1700" xr:uid="{DCDB3D48-E495-4E7C-A70F-165F49171326}"/>
    <cellStyle name="Обычный 20 2 4 3" xfId="2233" xr:uid="{32CC6FED-D4E4-4ECF-9BB8-064625C0C13A}"/>
    <cellStyle name="Обычный 20 2 5" xfId="1697" xr:uid="{2C989EEC-40A7-4449-B69B-7A8F20483FB1}"/>
    <cellStyle name="Обычный 20 2 6" xfId="2230" xr:uid="{A6E15764-3B5A-443B-9A27-3D9852E58E10}"/>
    <cellStyle name="Обычный 20 20" xfId="620" xr:uid="{00000000-0005-0000-0000-0000A2020000}"/>
    <cellStyle name="Обычный 20 21" xfId="621" xr:uid="{00000000-0005-0000-0000-0000A3020000}"/>
    <cellStyle name="Обычный 20 22" xfId="622" xr:uid="{00000000-0005-0000-0000-0000A4020000}"/>
    <cellStyle name="Обычный 20 23" xfId="623" xr:uid="{00000000-0005-0000-0000-0000A5020000}"/>
    <cellStyle name="Обычный 20 24" xfId="624" xr:uid="{00000000-0005-0000-0000-0000A6020000}"/>
    <cellStyle name="Обычный 20 25" xfId="625" xr:uid="{00000000-0005-0000-0000-0000A7020000}"/>
    <cellStyle name="Обычный 20 26" xfId="626" xr:uid="{00000000-0005-0000-0000-0000A8020000}"/>
    <cellStyle name="Обычный 20 27" xfId="627" xr:uid="{00000000-0005-0000-0000-0000A9020000}"/>
    <cellStyle name="Обычный 20 28" xfId="628" xr:uid="{00000000-0005-0000-0000-0000AA020000}"/>
    <cellStyle name="Обычный 20 29" xfId="629" xr:uid="{00000000-0005-0000-0000-0000AB020000}"/>
    <cellStyle name="Обычный 20 3" xfId="630" xr:uid="{00000000-0005-0000-0000-0000AC020000}"/>
    <cellStyle name="Обычный 20 3 2" xfId="631" xr:uid="{00000000-0005-0000-0000-0000AD020000}"/>
    <cellStyle name="Обычный 20 30" xfId="632" xr:uid="{00000000-0005-0000-0000-0000AE020000}"/>
    <cellStyle name="Обычный 20 31" xfId="633" xr:uid="{00000000-0005-0000-0000-0000AF020000}"/>
    <cellStyle name="Обычный 20 32" xfId="634" xr:uid="{00000000-0005-0000-0000-0000B0020000}"/>
    <cellStyle name="Обычный 20 4" xfId="635" xr:uid="{00000000-0005-0000-0000-0000B1020000}"/>
    <cellStyle name="Обычный 20 5" xfId="636" xr:uid="{00000000-0005-0000-0000-0000B2020000}"/>
    <cellStyle name="Обычный 20 6" xfId="637" xr:uid="{00000000-0005-0000-0000-0000B3020000}"/>
    <cellStyle name="Обычный 20 7" xfId="638" xr:uid="{00000000-0005-0000-0000-0000B4020000}"/>
    <cellStyle name="Обычный 20 8" xfId="639" xr:uid="{00000000-0005-0000-0000-0000B5020000}"/>
    <cellStyle name="Обычный 20 9" xfId="640" xr:uid="{00000000-0005-0000-0000-0000B6020000}"/>
    <cellStyle name="Обычный 21" xfId="641" xr:uid="{00000000-0005-0000-0000-0000B7020000}"/>
    <cellStyle name="Обычный 21 2" xfId="642" xr:uid="{00000000-0005-0000-0000-0000B8020000}"/>
    <cellStyle name="Обычный 21 2 2" xfId="643" xr:uid="{00000000-0005-0000-0000-0000B9020000}"/>
    <cellStyle name="Обычный 21 2 2 2" xfId="1702" xr:uid="{861A4755-EEE8-426C-9E9E-8536DB612342}"/>
    <cellStyle name="Обычный 21 2 2 3" xfId="2235" xr:uid="{E2A3FAD0-1E83-4CE1-9602-E0C2BC17C1BC}"/>
    <cellStyle name="Обычный 21 2 3" xfId="644" xr:uid="{00000000-0005-0000-0000-0000BA020000}"/>
    <cellStyle name="Обычный 21 2 3 2" xfId="1703" xr:uid="{3E2A0E92-0904-4E70-A239-62D0DF3E0C63}"/>
    <cellStyle name="Обычный 21 2 3 3" xfId="2236" xr:uid="{F802C93C-3771-4080-B251-99F67913BAB3}"/>
    <cellStyle name="Обычный 21 2 4" xfId="645" xr:uid="{00000000-0005-0000-0000-0000BB020000}"/>
    <cellStyle name="Обычный 21 2 4 2" xfId="1704" xr:uid="{E82B3307-2AB8-4E13-A609-15978C935AEB}"/>
    <cellStyle name="Обычный 21 2 4 3" xfId="2237" xr:uid="{A11E52C4-C556-4838-B521-3A3092D6C92F}"/>
    <cellStyle name="Обычный 21 2 5" xfId="1701" xr:uid="{F19AC0CA-8C81-4C57-9AF6-7BCEB4C97449}"/>
    <cellStyle name="Обычный 21 2 6" xfId="2234" xr:uid="{9B7F16D5-8B32-4902-AC9B-C6FAF588B1A0}"/>
    <cellStyle name="Обычный 22" xfId="646" xr:uid="{00000000-0005-0000-0000-0000BC020000}"/>
    <cellStyle name="Обычный 22 10" xfId="647" xr:uid="{00000000-0005-0000-0000-0000BD020000}"/>
    <cellStyle name="Обычный 22 11" xfId="648" xr:uid="{00000000-0005-0000-0000-0000BE020000}"/>
    <cellStyle name="Обычный 22 12" xfId="649" xr:uid="{00000000-0005-0000-0000-0000BF020000}"/>
    <cellStyle name="Обычный 22 13" xfId="650" xr:uid="{00000000-0005-0000-0000-0000C0020000}"/>
    <cellStyle name="Обычный 22 14" xfId="651" xr:uid="{00000000-0005-0000-0000-0000C1020000}"/>
    <cellStyle name="Обычный 22 15" xfId="652" xr:uid="{00000000-0005-0000-0000-0000C2020000}"/>
    <cellStyle name="Обычный 22 16" xfId="653" xr:uid="{00000000-0005-0000-0000-0000C3020000}"/>
    <cellStyle name="Обычный 22 17" xfId="654" xr:uid="{00000000-0005-0000-0000-0000C4020000}"/>
    <cellStyle name="Обычный 22 18" xfId="655" xr:uid="{00000000-0005-0000-0000-0000C5020000}"/>
    <cellStyle name="Обычный 22 19" xfId="656" xr:uid="{00000000-0005-0000-0000-0000C6020000}"/>
    <cellStyle name="Обычный 22 2" xfId="657" xr:uid="{00000000-0005-0000-0000-0000C7020000}"/>
    <cellStyle name="Обычный 22 2 2" xfId="658" xr:uid="{00000000-0005-0000-0000-0000C8020000}"/>
    <cellStyle name="Обычный 22 2 3" xfId="659" xr:uid="{00000000-0005-0000-0000-0000C9020000}"/>
    <cellStyle name="Обычный 22 2 3 2" xfId="1705" xr:uid="{EC2E92BD-5723-419F-8CBC-591B51859B68}"/>
    <cellStyle name="Обычный 22 2 3 3" xfId="2238" xr:uid="{BDB442DC-0E5D-4B7D-9703-D4AEDE85E518}"/>
    <cellStyle name="Обычный 22 20" xfId="660" xr:uid="{00000000-0005-0000-0000-0000CA020000}"/>
    <cellStyle name="Обычный 22 21" xfId="661" xr:uid="{00000000-0005-0000-0000-0000CB020000}"/>
    <cellStyle name="Обычный 22 22" xfId="662" xr:uid="{00000000-0005-0000-0000-0000CC020000}"/>
    <cellStyle name="Обычный 22 23" xfId="663" xr:uid="{00000000-0005-0000-0000-0000CD020000}"/>
    <cellStyle name="Обычный 22 24" xfId="664" xr:uid="{00000000-0005-0000-0000-0000CE020000}"/>
    <cellStyle name="Обычный 22 25" xfId="665" xr:uid="{00000000-0005-0000-0000-0000CF020000}"/>
    <cellStyle name="Обычный 22 26" xfId="666" xr:uid="{00000000-0005-0000-0000-0000D0020000}"/>
    <cellStyle name="Обычный 22 27" xfId="667" xr:uid="{00000000-0005-0000-0000-0000D1020000}"/>
    <cellStyle name="Обычный 22 28" xfId="668" xr:uid="{00000000-0005-0000-0000-0000D2020000}"/>
    <cellStyle name="Обычный 22 29" xfId="669" xr:uid="{00000000-0005-0000-0000-0000D3020000}"/>
    <cellStyle name="Обычный 22 3" xfId="670" xr:uid="{00000000-0005-0000-0000-0000D4020000}"/>
    <cellStyle name="Обычный 22 30" xfId="671" xr:uid="{00000000-0005-0000-0000-0000D5020000}"/>
    <cellStyle name="Обычный 22 31" xfId="672" xr:uid="{00000000-0005-0000-0000-0000D6020000}"/>
    <cellStyle name="Обычный 22 32" xfId="673" xr:uid="{00000000-0005-0000-0000-0000D7020000}"/>
    <cellStyle name="Обычный 22 4" xfId="674" xr:uid="{00000000-0005-0000-0000-0000D8020000}"/>
    <cellStyle name="Обычный 22 5" xfId="675" xr:uid="{00000000-0005-0000-0000-0000D9020000}"/>
    <cellStyle name="Обычный 22 6" xfId="676" xr:uid="{00000000-0005-0000-0000-0000DA020000}"/>
    <cellStyle name="Обычный 22 7" xfId="677" xr:uid="{00000000-0005-0000-0000-0000DB020000}"/>
    <cellStyle name="Обычный 22 8" xfId="678" xr:uid="{00000000-0005-0000-0000-0000DC020000}"/>
    <cellStyle name="Обычный 22 9" xfId="679" xr:uid="{00000000-0005-0000-0000-0000DD020000}"/>
    <cellStyle name="Обычный 23" xfId="680" xr:uid="{00000000-0005-0000-0000-0000DE020000}"/>
    <cellStyle name="Обычный 24" xfId="681" xr:uid="{00000000-0005-0000-0000-0000DF020000}"/>
    <cellStyle name="Обычный 24 2" xfId="682" xr:uid="{00000000-0005-0000-0000-0000E0020000}"/>
    <cellStyle name="Обычный 24 3" xfId="683" xr:uid="{00000000-0005-0000-0000-0000E1020000}"/>
    <cellStyle name="Обычный 24 4" xfId="684" xr:uid="{00000000-0005-0000-0000-0000E2020000}"/>
    <cellStyle name="Обычный 24 5" xfId="1706" xr:uid="{BBF39B2E-3665-4CEA-8E20-FC73BB15962D}"/>
    <cellStyle name="Обычный 24 6" xfId="2239" xr:uid="{2271EFC7-1D72-4A09-800E-8A590E927DF6}"/>
    <cellStyle name="Обычный 25" xfId="685" xr:uid="{00000000-0005-0000-0000-0000E3020000}"/>
    <cellStyle name="Обычный 25 2" xfId="686" xr:uid="{00000000-0005-0000-0000-0000E4020000}"/>
    <cellStyle name="Обычный 25 3" xfId="1707" xr:uid="{3AB967C1-2126-462C-8B7D-4C78A9E49544}"/>
    <cellStyle name="Обычный 25 4" xfId="2240" xr:uid="{5A4D8229-9FBE-4CE7-94CE-52736376143E}"/>
    <cellStyle name="Обычный 256" xfId="687" xr:uid="{00000000-0005-0000-0000-0000E5020000}"/>
    <cellStyle name="Обычный 256 2" xfId="688" xr:uid="{00000000-0005-0000-0000-0000E6020000}"/>
    <cellStyle name="Обычный 256 2 2" xfId="1709" xr:uid="{0FE7D269-EB3E-4C82-AFA7-B91C4CD129A8}"/>
    <cellStyle name="Обычный 256 2 3" xfId="2242" xr:uid="{C8B8F27E-3159-4D52-A9AD-7A0E4C9E85ED}"/>
    <cellStyle name="Обычный 256 3" xfId="1708" xr:uid="{C3C5A572-065D-4ADC-9068-CE768E2269F0}"/>
    <cellStyle name="Обычный 256 4" xfId="2241" xr:uid="{FE5CF16B-C2FB-47E5-94FA-C7371A4CA2C7}"/>
    <cellStyle name="Обычный 26" xfId="689" xr:uid="{00000000-0005-0000-0000-0000E7020000}"/>
    <cellStyle name="Обычный 26 10" xfId="690" xr:uid="{00000000-0005-0000-0000-0000E8020000}"/>
    <cellStyle name="Обычный 26 11" xfId="691" xr:uid="{00000000-0005-0000-0000-0000E9020000}"/>
    <cellStyle name="Обычный 26 12" xfId="692" xr:uid="{00000000-0005-0000-0000-0000EA020000}"/>
    <cellStyle name="Обычный 26 13" xfId="693" xr:uid="{00000000-0005-0000-0000-0000EB020000}"/>
    <cellStyle name="Обычный 26 14" xfId="694" xr:uid="{00000000-0005-0000-0000-0000EC020000}"/>
    <cellStyle name="Обычный 26 15" xfId="695" xr:uid="{00000000-0005-0000-0000-0000ED020000}"/>
    <cellStyle name="Обычный 26 16" xfId="696" xr:uid="{00000000-0005-0000-0000-0000EE020000}"/>
    <cellStyle name="Обычный 26 17" xfId="697" xr:uid="{00000000-0005-0000-0000-0000EF020000}"/>
    <cellStyle name="Обычный 26 18" xfId="698" xr:uid="{00000000-0005-0000-0000-0000F0020000}"/>
    <cellStyle name="Обычный 26 19" xfId="699" xr:uid="{00000000-0005-0000-0000-0000F1020000}"/>
    <cellStyle name="Обычный 26 2" xfId="700" xr:uid="{00000000-0005-0000-0000-0000F2020000}"/>
    <cellStyle name="Обычный 26 20" xfId="701" xr:uid="{00000000-0005-0000-0000-0000F3020000}"/>
    <cellStyle name="Обычный 26 21" xfId="702" xr:uid="{00000000-0005-0000-0000-0000F4020000}"/>
    <cellStyle name="Обычный 26 22" xfId="703" xr:uid="{00000000-0005-0000-0000-0000F5020000}"/>
    <cellStyle name="Обычный 26 23" xfId="704" xr:uid="{00000000-0005-0000-0000-0000F6020000}"/>
    <cellStyle name="Обычный 26 24" xfId="705" xr:uid="{00000000-0005-0000-0000-0000F7020000}"/>
    <cellStyle name="Обычный 26 25" xfId="706" xr:uid="{00000000-0005-0000-0000-0000F8020000}"/>
    <cellStyle name="Обычный 26 26" xfId="707" xr:uid="{00000000-0005-0000-0000-0000F9020000}"/>
    <cellStyle name="Обычный 26 27" xfId="708" xr:uid="{00000000-0005-0000-0000-0000FA020000}"/>
    <cellStyle name="Обычный 26 28" xfId="709" xr:uid="{00000000-0005-0000-0000-0000FB020000}"/>
    <cellStyle name="Обычный 26 29" xfId="710" xr:uid="{00000000-0005-0000-0000-0000FC020000}"/>
    <cellStyle name="Обычный 26 3" xfId="711" xr:uid="{00000000-0005-0000-0000-0000FD020000}"/>
    <cellStyle name="Обычный 26 3 2" xfId="712" xr:uid="{00000000-0005-0000-0000-0000FE020000}"/>
    <cellStyle name="Обычный 26 30" xfId="713" xr:uid="{00000000-0005-0000-0000-0000FF020000}"/>
    <cellStyle name="Обычный 26 31" xfId="714" xr:uid="{00000000-0005-0000-0000-000000030000}"/>
    <cellStyle name="Обычный 26 32" xfId="715" xr:uid="{00000000-0005-0000-0000-000001030000}"/>
    <cellStyle name="Обычный 26 4" xfId="716" xr:uid="{00000000-0005-0000-0000-000002030000}"/>
    <cellStyle name="Обычный 26 5" xfId="717" xr:uid="{00000000-0005-0000-0000-000003030000}"/>
    <cellStyle name="Обычный 26 6" xfId="718" xr:uid="{00000000-0005-0000-0000-000004030000}"/>
    <cellStyle name="Обычный 26 7" xfId="719" xr:uid="{00000000-0005-0000-0000-000005030000}"/>
    <cellStyle name="Обычный 26 8" xfId="720" xr:uid="{00000000-0005-0000-0000-000006030000}"/>
    <cellStyle name="Обычный 26 9" xfId="721" xr:uid="{00000000-0005-0000-0000-000007030000}"/>
    <cellStyle name="Обычный 27" xfId="722" xr:uid="{00000000-0005-0000-0000-000008030000}"/>
    <cellStyle name="Обычный 27 2" xfId="723" xr:uid="{00000000-0005-0000-0000-000009030000}"/>
    <cellStyle name="Обычный 27 3" xfId="1710" xr:uid="{2C3EF15A-99B6-47A0-9C94-8408485CA50B}"/>
    <cellStyle name="Обычный 27 4" xfId="2243" xr:uid="{D7D1CD24-44DF-4CA7-A232-A1E5FD0C6AE9}"/>
    <cellStyle name="Обычный 28" xfId="724" xr:uid="{00000000-0005-0000-0000-00000A030000}"/>
    <cellStyle name="Обычный 29" xfId="725" xr:uid="{00000000-0005-0000-0000-00000B030000}"/>
    <cellStyle name="Обычный 3" xfId="5" xr:uid="{00000000-0005-0000-0000-00000C030000}"/>
    <cellStyle name="Обычный 3 2" xfId="726" xr:uid="{00000000-0005-0000-0000-00000D030000}"/>
    <cellStyle name="Обычный 3 2 2" xfId="727" xr:uid="{00000000-0005-0000-0000-00000E030000}"/>
    <cellStyle name="Обычный 3 2 2 2" xfId="728" xr:uid="{00000000-0005-0000-0000-00000F030000}"/>
    <cellStyle name="Обычный 3 2 2 2 2" xfId="1712" xr:uid="{FEF05780-7F52-4B2C-A00E-E3E74C153B79}"/>
    <cellStyle name="Обычный 3 2 2 2 3" xfId="2245" xr:uid="{4B2FA18D-9557-4A5F-A383-4609AF379BC5}"/>
    <cellStyle name="Обычный 3 2 2 3" xfId="1711" xr:uid="{CDC4743E-B3D7-4F02-9D15-B0CBD8B115BA}"/>
    <cellStyle name="Обычный 3 2 2 4" xfId="2244" xr:uid="{19D13834-A70B-4C3B-9772-9DE6F8D25F3A}"/>
    <cellStyle name="Обычный 3 2 3" xfId="729" xr:uid="{00000000-0005-0000-0000-000010030000}"/>
    <cellStyle name="Обычный 3 2 4" xfId="730" xr:uid="{00000000-0005-0000-0000-000011030000}"/>
    <cellStyle name="Обычный 3 3" xfId="731" xr:uid="{00000000-0005-0000-0000-000012030000}"/>
    <cellStyle name="Обычный 3 3 2" xfId="732" xr:uid="{00000000-0005-0000-0000-000013030000}"/>
    <cellStyle name="Обычный 3 3 2 2" xfId="733" xr:uid="{00000000-0005-0000-0000-000014030000}"/>
    <cellStyle name="Обычный 3 3 2 3" xfId="1714" xr:uid="{400BF235-6A87-4C4F-B609-6ED65F5845FD}"/>
    <cellStyle name="Обычный 3 3 2 4" xfId="2247" xr:uid="{ECEF5ADA-3436-4566-92CA-A05C77E7E72F}"/>
    <cellStyle name="Обычный 3 3 3" xfId="734" xr:uid="{00000000-0005-0000-0000-000015030000}"/>
    <cellStyle name="Обычный 3 3 3 2" xfId="1715" xr:uid="{A9D0045F-F1C6-4795-8552-2EE783809D9A}"/>
    <cellStyle name="Обычный 3 3 3 3" xfId="2248" xr:uid="{2E75327A-2683-42A3-A9B0-D3E172F642D3}"/>
    <cellStyle name="Обычный 3 3 4" xfId="1713" xr:uid="{64364E81-7C2B-4D29-B725-92651E5BA544}"/>
    <cellStyle name="Обычный 3 3 5" xfId="2246" xr:uid="{3DBA94F0-1D45-486B-AD79-689A7C38097D}"/>
    <cellStyle name="Обычный 3 4" xfId="735" xr:uid="{00000000-0005-0000-0000-000016030000}"/>
    <cellStyle name="Обычный 3 5" xfId="736" xr:uid="{00000000-0005-0000-0000-000017030000}"/>
    <cellStyle name="Обычный 3 5 2" xfId="737" xr:uid="{00000000-0005-0000-0000-000018030000}"/>
    <cellStyle name="Обычный 3 6" xfId="738" xr:uid="{00000000-0005-0000-0000-000019030000}"/>
    <cellStyle name="Обычный 3 7" xfId="739" xr:uid="{00000000-0005-0000-0000-00001A030000}"/>
    <cellStyle name="Обычный 3 7 2" xfId="1716" xr:uid="{DB72F7DD-6740-44F4-A571-25D7D4F6F236}"/>
    <cellStyle name="Обычный 3 7 3" xfId="2249" xr:uid="{58AC6137-4726-4223-AB13-0A76A7EE939F}"/>
    <cellStyle name="Обычный 3 8" xfId="9" xr:uid="{00000000-0005-0000-0000-00001B030000}"/>
    <cellStyle name="Обычный 30" xfId="740" xr:uid="{00000000-0005-0000-0000-00001C030000}"/>
    <cellStyle name="Обычный 30 2" xfId="741" xr:uid="{00000000-0005-0000-0000-00001D030000}"/>
    <cellStyle name="Обычный 30 3" xfId="1717" xr:uid="{7E067C0F-1A1E-40CB-8AA1-A0799A7A7E06}"/>
    <cellStyle name="Обычный 30 4" xfId="2250" xr:uid="{58CCB6FD-E094-478B-B564-099854740399}"/>
    <cellStyle name="Обычный 31" xfId="742" xr:uid="{00000000-0005-0000-0000-00001E030000}"/>
    <cellStyle name="Обычный 31 2" xfId="743" xr:uid="{00000000-0005-0000-0000-00001F030000}"/>
    <cellStyle name="Обычный 31 3" xfId="1718" xr:uid="{EC8EFB65-37EB-42A1-9169-DF9CCDB1368D}"/>
    <cellStyle name="Обычный 31 4" xfId="2251" xr:uid="{234A1D4C-798B-4ECF-AA71-7E0EB6F78618}"/>
    <cellStyle name="Обычный 32" xfId="744" xr:uid="{00000000-0005-0000-0000-000020030000}"/>
    <cellStyle name="Обычный 32 2" xfId="745" xr:uid="{00000000-0005-0000-0000-000021030000}"/>
    <cellStyle name="Обычный 32 3" xfId="1719" xr:uid="{32A6D297-FA1D-419D-A071-36F8D93B6B8A}"/>
    <cellStyle name="Обычный 32 4" xfId="2252" xr:uid="{216BCA6C-A4F4-4C61-B1AD-F05CF7394955}"/>
    <cellStyle name="Обычный 33" xfId="746" xr:uid="{00000000-0005-0000-0000-000022030000}"/>
    <cellStyle name="Обычный 33 2" xfId="747" xr:uid="{00000000-0005-0000-0000-000023030000}"/>
    <cellStyle name="Обычный 33 3" xfId="1720" xr:uid="{4DA3231A-C6B2-42C0-81BC-5E57D97106E0}"/>
    <cellStyle name="Обычный 33 4" xfId="2253" xr:uid="{0CF13346-2ABC-48D1-894D-970E23311A6D}"/>
    <cellStyle name="Обычный 34" xfId="748" xr:uid="{00000000-0005-0000-0000-000024030000}"/>
    <cellStyle name="Обычный 34 2" xfId="749" xr:uid="{00000000-0005-0000-0000-000025030000}"/>
    <cellStyle name="Обычный 34 3" xfId="1721" xr:uid="{3C8F3B55-505D-4E24-9A16-0E5F38589F24}"/>
    <cellStyle name="Обычный 34 4" xfId="2254" xr:uid="{B98D3F64-B546-4678-A332-85D7208E2A7B}"/>
    <cellStyle name="Обычный 35" xfId="750" xr:uid="{00000000-0005-0000-0000-000026030000}"/>
    <cellStyle name="Обычный 35 10" xfId="751" xr:uid="{00000000-0005-0000-0000-000027030000}"/>
    <cellStyle name="Обычный 35 11" xfId="752" xr:uid="{00000000-0005-0000-0000-000028030000}"/>
    <cellStyle name="Обычный 35 12" xfId="753" xr:uid="{00000000-0005-0000-0000-000029030000}"/>
    <cellStyle name="Обычный 35 13" xfId="754" xr:uid="{00000000-0005-0000-0000-00002A030000}"/>
    <cellStyle name="Обычный 35 14" xfId="755" xr:uid="{00000000-0005-0000-0000-00002B030000}"/>
    <cellStyle name="Обычный 35 15" xfId="756" xr:uid="{00000000-0005-0000-0000-00002C030000}"/>
    <cellStyle name="Обычный 35 16" xfId="757" xr:uid="{00000000-0005-0000-0000-00002D030000}"/>
    <cellStyle name="Обычный 35 17" xfId="758" xr:uid="{00000000-0005-0000-0000-00002E030000}"/>
    <cellStyle name="Обычный 35 18" xfId="759" xr:uid="{00000000-0005-0000-0000-00002F030000}"/>
    <cellStyle name="Обычный 35 19" xfId="760" xr:uid="{00000000-0005-0000-0000-000030030000}"/>
    <cellStyle name="Обычный 35 2" xfId="761" xr:uid="{00000000-0005-0000-0000-000031030000}"/>
    <cellStyle name="Обычный 35 2 2" xfId="762" xr:uid="{00000000-0005-0000-0000-000032030000}"/>
    <cellStyle name="Обычный 35 20" xfId="763" xr:uid="{00000000-0005-0000-0000-000033030000}"/>
    <cellStyle name="Обычный 35 21" xfId="764" xr:uid="{00000000-0005-0000-0000-000034030000}"/>
    <cellStyle name="Обычный 35 22" xfId="765" xr:uid="{00000000-0005-0000-0000-000035030000}"/>
    <cellStyle name="Обычный 35 23" xfId="766" xr:uid="{00000000-0005-0000-0000-000036030000}"/>
    <cellStyle name="Обычный 35 24" xfId="767" xr:uid="{00000000-0005-0000-0000-000037030000}"/>
    <cellStyle name="Обычный 35 25" xfId="768" xr:uid="{00000000-0005-0000-0000-000038030000}"/>
    <cellStyle name="Обычный 35 26" xfId="769" xr:uid="{00000000-0005-0000-0000-000039030000}"/>
    <cellStyle name="Обычный 35 27" xfId="770" xr:uid="{00000000-0005-0000-0000-00003A030000}"/>
    <cellStyle name="Обычный 35 28" xfId="771" xr:uid="{00000000-0005-0000-0000-00003B030000}"/>
    <cellStyle name="Обычный 35 29" xfId="772" xr:uid="{00000000-0005-0000-0000-00003C030000}"/>
    <cellStyle name="Обычный 35 3" xfId="773" xr:uid="{00000000-0005-0000-0000-00003D030000}"/>
    <cellStyle name="Обычный 35 30" xfId="774" xr:uid="{00000000-0005-0000-0000-00003E030000}"/>
    <cellStyle name="Обычный 35 31" xfId="775" xr:uid="{00000000-0005-0000-0000-00003F030000}"/>
    <cellStyle name="Обычный 35 4" xfId="776" xr:uid="{00000000-0005-0000-0000-000040030000}"/>
    <cellStyle name="Обычный 35 5" xfId="777" xr:uid="{00000000-0005-0000-0000-000041030000}"/>
    <cellStyle name="Обычный 35 6" xfId="778" xr:uid="{00000000-0005-0000-0000-000042030000}"/>
    <cellStyle name="Обычный 35 7" xfId="779" xr:uid="{00000000-0005-0000-0000-000043030000}"/>
    <cellStyle name="Обычный 35 8" xfId="780" xr:uid="{00000000-0005-0000-0000-000044030000}"/>
    <cellStyle name="Обычный 35 9" xfId="781" xr:uid="{00000000-0005-0000-0000-000045030000}"/>
    <cellStyle name="Обычный 36" xfId="782" xr:uid="{00000000-0005-0000-0000-000046030000}"/>
    <cellStyle name="Обычный 36 2" xfId="783" xr:uid="{00000000-0005-0000-0000-000047030000}"/>
    <cellStyle name="Обычный 36 3" xfId="1722" xr:uid="{6885F701-A98D-4BCA-BB23-37F5C18C0D17}"/>
    <cellStyle name="Обычный 36 4" xfId="2255" xr:uid="{6DBA71E8-F910-4A59-A99A-FAC58A4EAA1B}"/>
    <cellStyle name="Обычный 37" xfId="784" xr:uid="{00000000-0005-0000-0000-000048030000}"/>
    <cellStyle name="Обычный 37 2" xfId="785" xr:uid="{00000000-0005-0000-0000-000049030000}"/>
    <cellStyle name="Обычный 37 3" xfId="1723" xr:uid="{CD48568F-2A40-40C1-AF70-FA7BEB66456A}"/>
    <cellStyle name="Обычный 37 4" xfId="2256" xr:uid="{E38AE6F7-B705-4BFC-9C23-5341EFC3BCB0}"/>
    <cellStyle name="Обычный 38" xfId="786" xr:uid="{00000000-0005-0000-0000-00004A030000}"/>
    <cellStyle name="Обычный 38 2" xfId="787" xr:uid="{00000000-0005-0000-0000-00004B030000}"/>
    <cellStyle name="Обычный 38 3" xfId="1724" xr:uid="{26D05F82-3CF1-4EEF-A7CE-FA825308D82B}"/>
    <cellStyle name="Обычный 38 4" xfId="2257" xr:uid="{C3773384-FDBD-4526-B3A1-D08F537EC18F}"/>
    <cellStyle name="Обычный 39" xfId="788" xr:uid="{00000000-0005-0000-0000-00004C030000}"/>
    <cellStyle name="Обычный 39 2" xfId="789" xr:uid="{00000000-0005-0000-0000-00004D030000}"/>
    <cellStyle name="Обычный 39 3" xfId="1725" xr:uid="{BF9996B0-300A-43FF-965A-0343DADB6DA4}"/>
    <cellStyle name="Обычный 39 4" xfId="2258" xr:uid="{54F78F6D-F269-401F-97A9-5CACF77E1F9F}"/>
    <cellStyle name="Обычный 4" xfId="6" xr:uid="{00000000-0005-0000-0000-00004E030000}"/>
    <cellStyle name="Обычный 4 2" xfId="4" xr:uid="{00000000-0005-0000-0000-00004F030000}"/>
    <cellStyle name="Обычный 4 2 2" xfId="790" xr:uid="{00000000-0005-0000-0000-000050030000}"/>
    <cellStyle name="Обычный 4 2 2 2" xfId="1726" xr:uid="{AAE7CAD8-0233-421A-940E-17F71E50FD0A}"/>
    <cellStyle name="Обычный 4 2 2 3" xfId="2259" xr:uid="{BA362D93-C14F-4369-AFAE-9DF805C74890}"/>
    <cellStyle name="Обычный 4 2 3" xfId="791" xr:uid="{00000000-0005-0000-0000-000051030000}"/>
    <cellStyle name="Обычный 4 2 3 2" xfId="1727" xr:uid="{E99EDEE6-F641-4261-BDDB-34E456E4AFDB}"/>
    <cellStyle name="Обычный 4 2 3 3" xfId="2260" xr:uid="{398FFDF1-10FA-4D80-8414-C55CC94DA9B4}"/>
    <cellStyle name="Обычный 4 3" xfId="792" xr:uid="{00000000-0005-0000-0000-000052030000}"/>
    <cellStyle name="Обычный 4 3 2" xfId="793" xr:uid="{00000000-0005-0000-0000-000053030000}"/>
    <cellStyle name="Обычный 4 3 2 2" xfId="1729" xr:uid="{370DA086-51F0-4BD5-BCA0-76E7EA913BDE}"/>
    <cellStyle name="Обычный 4 3 2 3" xfId="2262" xr:uid="{6913689D-4440-4E5F-A35F-ABE3D902AE40}"/>
    <cellStyle name="Обычный 4 3 3" xfId="1728" xr:uid="{76444499-8C6E-4E45-8BFE-CCDD2C92F4D5}"/>
    <cellStyle name="Обычный 4 3 4" xfId="2261" xr:uid="{3AFFB19F-38C7-402C-9F9F-953D07A0C31F}"/>
    <cellStyle name="Обычный 4 4" xfId="794" xr:uid="{00000000-0005-0000-0000-000054030000}"/>
    <cellStyle name="Обычный 4 4 2" xfId="795" xr:uid="{00000000-0005-0000-0000-000055030000}"/>
    <cellStyle name="Обычный 4 5" xfId="796" xr:uid="{00000000-0005-0000-0000-000056030000}"/>
    <cellStyle name="Обычный 40" xfId="797" xr:uid="{00000000-0005-0000-0000-000057030000}"/>
    <cellStyle name="Обычный 40 10" xfId="798" xr:uid="{00000000-0005-0000-0000-000058030000}"/>
    <cellStyle name="Обычный 40 11" xfId="799" xr:uid="{00000000-0005-0000-0000-000059030000}"/>
    <cellStyle name="Обычный 40 12" xfId="800" xr:uid="{00000000-0005-0000-0000-00005A030000}"/>
    <cellStyle name="Обычный 40 13" xfId="801" xr:uid="{00000000-0005-0000-0000-00005B030000}"/>
    <cellStyle name="Обычный 40 14" xfId="802" xr:uid="{00000000-0005-0000-0000-00005C030000}"/>
    <cellStyle name="Обычный 40 15" xfId="803" xr:uid="{00000000-0005-0000-0000-00005D030000}"/>
    <cellStyle name="Обычный 40 16" xfId="804" xr:uid="{00000000-0005-0000-0000-00005E030000}"/>
    <cellStyle name="Обычный 40 17" xfId="805" xr:uid="{00000000-0005-0000-0000-00005F030000}"/>
    <cellStyle name="Обычный 40 18" xfId="806" xr:uid="{00000000-0005-0000-0000-000060030000}"/>
    <cellStyle name="Обычный 40 19" xfId="807" xr:uid="{00000000-0005-0000-0000-000061030000}"/>
    <cellStyle name="Обычный 40 2" xfId="808" xr:uid="{00000000-0005-0000-0000-000062030000}"/>
    <cellStyle name="Обычный 40 2 2" xfId="809" xr:uid="{00000000-0005-0000-0000-000063030000}"/>
    <cellStyle name="Обычный 40 20" xfId="810" xr:uid="{00000000-0005-0000-0000-000064030000}"/>
    <cellStyle name="Обычный 40 21" xfId="811" xr:uid="{00000000-0005-0000-0000-000065030000}"/>
    <cellStyle name="Обычный 40 22" xfId="812" xr:uid="{00000000-0005-0000-0000-000066030000}"/>
    <cellStyle name="Обычный 40 23" xfId="813" xr:uid="{00000000-0005-0000-0000-000067030000}"/>
    <cellStyle name="Обычный 40 24" xfId="814" xr:uid="{00000000-0005-0000-0000-000068030000}"/>
    <cellStyle name="Обычный 40 25" xfId="815" xr:uid="{00000000-0005-0000-0000-000069030000}"/>
    <cellStyle name="Обычный 40 26" xfId="816" xr:uid="{00000000-0005-0000-0000-00006A030000}"/>
    <cellStyle name="Обычный 40 27" xfId="817" xr:uid="{00000000-0005-0000-0000-00006B030000}"/>
    <cellStyle name="Обычный 40 28" xfId="818" xr:uid="{00000000-0005-0000-0000-00006C030000}"/>
    <cellStyle name="Обычный 40 29" xfId="819" xr:uid="{00000000-0005-0000-0000-00006D030000}"/>
    <cellStyle name="Обычный 40 3" xfId="820" xr:uid="{00000000-0005-0000-0000-00006E030000}"/>
    <cellStyle name="Обычный 40 30" xfId="821" xr:uid="{00000000-0005-0000-0000-00006F030000}"/>
    <cellStyle name="Обычный 40 31" xfId="822" xr:uid="{00000000-0005-0000-0000-000070030000}"/>
    <cellStyle name="Обычный 40 32" xfId="823" xr:uid="{00000000-0005-0000-0000-000071030000}"/>
    <cellStyle name="Обычный 40 4" xfId="824" xr:uid="{00000000-0005-0000-0000-000072030000}"/>
    <cellStyle name="Обычный 40 5" xfId="825" xr:uid="{00000000-0005-0000-0000-000073030000}"/>
    <cellStyle name="Обычный 40 6" xfId="826" xr:uid="{00000000-0005-0000-0000-000074030000}"/>
    <cellStyle name="Обычный 40 7" xfId="827" xr:uid="{00000000-0005-0000-0000-000075030000}"/>
    <cellStyle name="Обычный 40 8" xfId="828" xr:uid="{00000000-0005-0000-0000-000076030000}"/>
    <cellStyle name="Обычный 40 9" xfId="829" xr:uid="{00000000-0005-0000-0000-000077030000}"/>
    <cellStyle name="Обычный 41" xfId="830" xr:uid="{00000000-0005-0000-0000-000078030000}"/>
    <cellStyle name="Обычный 41 10" xfId="831" xr:uid="{00000000-0005-0000-0000-000079030000}"/>
    <cellStyle name="Обычный 41 11" xfId="832" xr:uid="{00000000-0005-0000-0000-00007A030000}"/>
    <cellStyle name="Обычный 41 12" xfId="833" xr:uid="{00000000-0005-0000-0000-00007B030000}"/>
    <cellStyle name="Обычный 41 13" xfId="834" xr:uid="{00000000-0005-0000-0000-00007C030000}"/>
    <cellStyle name="Обычный 41 14" xfId="835" xr:uid="{00000000-0005-0000-0000-00007D030000}"/>
    <cellStyle name="Обычный 41 15" xfId="836" xr:uid="{00000000-0005-0000-0000-00007E030000}"/>
    <cellStyle name="Обычный 41 16" xfId="837" xr:uid="{00000000-0005-0000-0000-00007F030000}"/>
    <cellStyle name="Обычный 41 17" xfId="838" xr:uid="{00000000-0005-0000-0000-000080030000}"/>
    <cellStyle name="Обычный 41 18" xfId="839" xr:uid="{00000000-0005-0000-0000-000081030000}"/>
    <cellStyle name="Обычный 41 19" xfId="840" xr:uid="{00000000-0005-0000-0000-000082030000}"/>
    <cellStyle name="Обычный 41 2" xfId="841" xr:uid="{00000000-0005-0000-0000-000083030000}"/>
    <cellStyle name="Обычный 41 2 2" xfId="842" xr:uid="{00000000-0005-0000-0000-000084030000}"/>
    <cellStyle name="Обычный 41 20" xfId="843" xr:uid="{00000000-0005-0000-0000-000085030000}"/>
    <cellStyle name="Обычный 41 21" xfId="844" xr:uid="{00000000-0005-0000-0000-000086030000}"/>
    <cellStyle name="Обычный 41 22" xfId="845" xr:uid="{00000000-0005-0000-0000-000087030000}"/>
    <cellStyle name="Обычный 41 23" xfId="846" xr:uid="{00000000-0005-0000-0000-000088030000}"/>
    <cellStyle name="Обычный 41 24" xfId="847" xr:uid="{00000000-0005-0000-0000-000089030000}"/>
    <cellStyle name="Обычный 41 25" xfId="848" xr:uid="{00000000-0005-0000-0000-00008A030000}"/>
    <cellStyle name="Обычный 41 26" xfId="849" xr:uid="{00000000-0005-0000-0000-00008B030000}"/>
    <cellStyle name="Обычный 41 27" xfId="850" xr:uid="{00000000-0005-0000-0000-00008C030000}"/>
    <cellStyle name="Обычный 41 28" xfId="851" xr:uid="{00000000-0005-0000-0000-00008D030000}"/>
    <cellStyle name="Обычный 41 29" xfId="852" xr:uid="{00000000-0005-0000-0000-00008E030000}"/>
    <cellStyle name="Обычный 41 3" xfId="853" xr:uid="{00000000-0005-0000-0000-00008F030000}"/>
    <cellStyle name="Обычный 41 30" xfId="854" xr:uid="{00000000-0005-0000-0000-000090030000}"/>
    <cellStyle name="Обычный 41 31" xfId="855" xr:uid="{00000000-0005-0000-0000-000091030000}"/>
    <cellStyle name="Обычный 41 32" xfId="856" xr:uid="{00000000-0005-0000-0000-000092030000}"/>
    <cellStyle name="Обычный 41 4" xfId="857" xr:uid="{00000000-0005-0000-0000-000093030000}"/>
    <cellStyle name="Обычный 41 5" xfId="858" xr:uid="{00000000-0005-0000-0000-000094030000}"/>
    <cellStyle name="Обычный 41 6" xfId="859" xr:uid="{00000000-0005-0000-0000-000095030000}"/>
    <cellStyle name="Обычный 41 7" xfId="860" xr:uid="{00000000-0005-0000-0000-000096030000}"/>
    <cellStyle name="Обычный 41 8" xfId="861" xr:uid="{00000000-0005-0000-0000-000097030000}"/>
    <cellStyle name="Обычный 41 9" xfId="862" xr:uid="{00000000-0005-0000-0000-000098030000}"/>
    <cellStyle name="Обычный 42" xfId="863" xr:uid="{00000000-0005-0000-0000-000099030000}"/>
    <cellStyle name="Обычный 43" xfId="864" xr:uid="{00000000-0005-0000-0000-00009A030000}"/>
    <cellStyle name="Обычный 44" xfId="865" xr:uid="{00000000-0005-0000-0000-00009B030000}"/>
    <cellStyle name="Обычный 45" xfId="866" xr:uid="{00000000-0005-0000-0000-00009C030000}"/>
    <cellStyle name="Обычный 46" xfId="867" xr:uid="{00000000-0005-0000-0000-00009D030000}"/>
    <cellStyle name="Обычный 47" xfId="868" xr:uid="{00000000-0005-0000-0000-00009E030000}"/>
    <cellStyle name="Обычный 47 2" xfId="869" xr:uid="{00000000-0005-0000-0000-00009F030000}"/>
    <cellStyle name="Обычный 47 3" xfId="870" xr:uid="{00000000-0005-0000-0000-0000A0030000}"/>
    <cellStyle name="Обычный 47 4" xfId="871" xr:uid="{00000000-0005-0000-0000-0000A1030000}"/>
    <cellStyle name="Обычный 47 5" xfId="872" xr:uid="{00000000-0005-0000-0000-0000A2030000}"/>
    <cellStyle name="Обычный 47 6" xfId="873" xr:uid="{00000000-0005-0000-0000-0000A3030000}"/>
    <cellStyle name="Обычный 47 7" xfId="874" xr:uid="{00000000-0005-0000-0000-0000A4030000}"/>
    <cellStyle name="Обычный 48" xfId="875" xr:uid="{00000000-0005-0000-0000-0000A5030000}"/>
    <cellStyle name="Обычный 48 2" xfId="876" xr:uid="{00000000-0005-0000-0000-0000A6030000}"/>
    <cellStyle name="Обычный 48 3" xfId="877" xr:uid="{00000000-0005-0000-0000-0000A7030000}"/>
    <cellStyle name="Обычный 49" xfId="878" xr:uid="{00000000-0005-0000-0000-0000A8030000}"/>
    <cellStyle name="Обычный 5" xfId="879" xr:uid="{00000000-0005-0000-0000-0000A9030000}"/>
    <cellStyle name="Обычный 5 2" xfId="880" xr:uid="{00000000-0005-0000-0000-0000AA030000}"/>
    <cellStyle name="Обычный 5 2 2" xfId="881" xr:uid="{00000000-0005-0000-0000-0000AB030000}"/>
    <cellStyle name="Обычный 5 2 2 2" xfId="882" xr:uid="{00000000-0005-0000-0000-0000AC030000}"/>
    <cellStyle name="Обычный 5 2 2 2 2" xfId="1732" xr:uid="{1DB2091F-DB4B-4F25-B671-ABF8FD9DAC11}"/>
    <cellStyle name="Обычный 5 2 2 2 3" xfId="2265" xr:uid="{E442CEEE-B454-4AD8-90E5-413C43E819F5}"/>
    <cellStyle name="Обычный 5 2 2 3" xfId="1731" xr:uid="{D3763D47-90C0-4C4A-A802-7FDC1447EBA4}"/>
    <cellStyle name="Обычный 5 2 2 4" xfId="2264" xr:uid="{A23FA63A-16CA-4230-A5AA-E1739870F141}"/>
    <cellStyle name="Обычный 5 2 3" xfId="883" xr:uid="{00000000-0005-0000-0000-0000AD030000}"/>
    <cellStyle name="Обычный 5 2 4" xfId="1730" xr:uid="{1AD77A93-060C-4E25-8DC3-F410E578CF21}"/>
    <cellStyle name="Обычный 5 2 5" xfId="2263" xr:uid="{11F455D7-6DEE-4581-B382-7D623065C4D9}"/>
    <cellStyle name="Обычный 5 3" xfId="884" xr:uid="{00000000-0005-0000-0000-0000AE030000}"/>
    <cellStyle name="Обычный 5 3 2" xfId="885" xr:uid="{00000000-0005-0000-0000-0000AF030000}"/>
    <cellStyle name="Обычный 5 3 2 2" xfId="886" xr:uid="{00000000-0005-0000-0000-0000B0030000}"/>
    <cellStyle name="Обычный 5 3 2 2 2" xfId="1735" xr:uid="{9F8DFA8E-6A7D-4C1E-A081-0BB219E3DBBA}"/>
    <cellStyle name="Обычный 5 3 2 2 3" xfId="2268" xr:uid="{0CA11BBE-1C59-4084-B532-03DAE391BA27}"/>
    <cellStyle name="Обычный 5 3 2 3" xfId="1734" xr:uid="{B2D4C423-B5EE-4BCD-AA43-999875B1F42F}"/>
    <cellStyle name="Обычный 5 3 2 4" xfId="2267" xr:uid="{FB584A3D-3756-4339-828C-0AE74A4AE8AF}"/>
    <cellStyle name="Обычный 5 3 3" xfId="887" xr:uid="{00000000-0005-0000-0000-0000B1030000}"/>
    <cellStyle name="Обычный 5 3 3 2" xfId="1736" xr:uid="{6BE6E097-5580-4895-A4ED-E41C26F9EB8D}"/>
    <cellStyle name="Обычный 5 3 3 3" xfId="2269" xr:uid="{6CD52BA2-761F-4EE5-BC82-1F36B22E7710}"/>
    <cellStyle name="Обычный 5 3 4" xfId="888" xr:uid="{00000000-0005-0000-0000-0000B2030000}"/>
    <cellStyle name="Обычный 5 3 5" xfId="1733" xr:uid="{06FBF64A-B1CA-4AA4-81F3-97D651EB0715}"/>
    <cellStyle name="Обычный 5 3 6" xfId="2266" xr:uid="{370538BB-965B-4E5E-B637-F69AC4FFF971}"/>
    <cellStyle name="Обычный 5 4" xfId="889" xr:uid="{00000000-0005-0000-0000-0000B3030000}"/>
    <cellStyle name="Обычный 5 4 2" xfId="890" xr:uid="{00000000-0005-0000-0000-0000B4030000}"/>
    <cellStyle name="Обычный 5 4 3" xfId="1737" xr:uid="{D6A3688B-8116-48B1-BCC7-D145203EECEE}"/>
    <cellStyle name="Обычный 5 4 4" xfId="2270" xr:uid="{3A8D235F-4BC5-4971-A4FC-C72382AA2DA6}"/>
    <cellStyle name="Обычный 5 5" xfId="891" xr:uid="{00000000-0005-0000-0000-0000B5030000}"/>
    <cellStyle name="Обычный 5 5 2" xfId="892" xr:uid="{00000000-0005-0000-0000-0000B6030000}"/>
    <cellStyle name="Обычный 5 5 3" xfId="1738" xr:uid="{257D57A9-066D-40BF-A33F-50C0255A334A}"/>
    <cellStyle name="Обычный 5 5 4" xfId="2271" xr:uid="{E6920FBD-384E-4844-BE90-BC1BB8D5288B}"/>
    <cellStyle name="Обычный 5 6" xfId="893" xr:uid="{00000000-0005-0000-0000-0000B7030000}"/>
    <cellStyle name="Обычный 5 6 2" xfId="894" xr:uid="{00000000-0005-0000-0000-0000B8030000}"/>
    <cellStyle name="Обычный 5 6 3" xfId="1739" xr:uid="{9F03C056-84FE-429B-9DD6-8FD1962B49FC}"/>
    <cellStyle name="Обычный 5 6 4" xfId="2272" xr:uid="{0C8C7B1B-DE12-4BF8-AF06-8D83D97EEAF5}"/>
    <cellStyle name="Обычный 5 7" xfId="895" xr:uid="{00000000-0005-0000-0000-0000B9030000}"/>
    <cellStyle name="Обычный 5 7 2" xfId="896" xr:uid="{00000000-0005-0000-0000-0000BA030000}"/>
    <cellStyle name="Обычный 5 7 3" xfId="1740" xr:uid="{837CEA9A-A64C-4C9B-BD06-549A0328912A}"/>
    <cellStyle name="Обычный 5 7 4" xfId="2273" xr:uid="{B4FE5EF8-4BB2-41CC-9095-FEFE7185F8FE}"/>
    <cellStyle name="Обычный 5 8" xfId="897" xr:uid="{00000000-0005-0000-0000-0000BB030000}"/>
    <cellStyle name="Обычный 5 8 2" xfId="898" xr:uid="{00000000-0005-0000-0000-0000BC030000}"/>
    <cellStyle name="Обычный 5 8 3" xfId="1741" xr:uid="{36AA241B-27CD-4F37-90D6-18AE1362C90D}"/>
    <cellStyle name="Обычный 5 8 4" xfId="2274" xr:uid="{27F3A7B3-2383-4B64-A7D3-869503EAA86D}"/>
    <cellStyle name="Обычный 50" xfId="899" xr:uid="{00000000-0005-0000-0000-0000BD030000}"/>
    <cellStyle name="Обычный 51" xfId="900" xr:uid="{00000000-0005-0000-0000-0000BE030000}"/>
    <cellStyle name="Обычный 52" xfId="901" xr:uid="{00000000-0005-0000-0000-0000BF030000}"/>
    <cellStyle name="Обычный 53" xfId="902" xr:uid="{00000000-0005-0000-0000-0000C0030000}"/>
    <cellStyle name="Обычный 54" xfId="903" xr:uid="{00000000-0005-0000-0000-0000C1030000}"/>
    <cellStyle name="Обычный 55" xfId="904" xr:uid="{00000000-0005-0000-0000-0000C2030000}"/>
    <cellStyle name="Обычный 56" xfId="905" xr:uid="{00000000-0005-0000-0000-0000C3030000}"/>
    <cellStyle name="Обычный 57" xfId="906" xr:uid="{00000000-0005-0000-0000-0000C4030000}"/>
    <cellStyle name="Обычный 58" xfId="907" xr:uid="{00000000-0005-0000-0000-0000C5030000}"/>
    <cellStyle name="Обычный 59" xfId="908" xr:uid="{00000000-0005-0000-0000-0000C6030000}"/>
    <cellStyle name="Обычный 6" xfId="909" xr:uid="{00000000-0005-0000-0000-0000C7030000}"/>
    <cellStyle name="Обычный 6 2" xfId="910" xr:uid="{00000000-0005-0000-0000-0000C8030000}"/>
    <cellStyle name="Обычный 6 2 2" xfId="911" xr:uid="{00000000-0005-0000-0000-0000C9030000}"/>
    <cellStyle name="Обычный 6 2 2 2" xfId="1744" xr:uid="{02906565-C2F2-4AD0-9D01-FF0119476ED7}"/>
    <cellStyle name="Обычный 6 2 2 3" xfId="2277" xr:uid="{1DAA4F07-DB9A-478A-8F32-1546487A281B}"/>
    <cellStyle name="Обычный 6 2 3" xfId="912" xr:uid="{00000000-0005-0000-0000-0000CA030000}"/>
    <cellStyle name="Обычный 6 2 3 2" xfId="1745" xr:uid="{0A9AC771-84D9-4C75-BD8D-2F9194186AA1}"/>
    <cellStyle name="Обычный 6 2 3 3" xfId="2278" xr:uid="{060E2426-30DC-4F83-89F1-CAB9C3547076}"/>
    <cellStyle name="Обычный 6 2 4" xfId="1743" xr:uid="{8BEFA3D4-E01F-486C-BB3D-4A1B0EFA42B5}"/>
    <cellStyle name="Обычный 6 2 5" xfId="2276" xr:uid="{C1F5236F-C446-4B9E-BA9C-9CBC4A69FE4D}"/>
    <cellStyle name="Обычный 6 3" xfId="913" xr:uid="{00000000-0005-0000-0000-0000CB030000}"/>
    <cellStyle name="Обычный 6 3 2" xfId="914" xr:uid="{00000000-0005-0000-0000-0000CC030000}"/>
    <cellStyle name="Обычный 6 3 2 2" xfId="1747" xr:uid="{C83501B6-2A31-45AB-9F0A-9EF4EF428C1A}"/>
    <cellStyle name="Обычный 6 3 2 3" xfId="2280" xr:uid="{F37D51F4-3641-4A6D-A997-87F3E02133FB}"/>
    <cellStyle name="Обычный 6 3 3" xfId="1746" xr:uid="{05C0A264-20FF-4593-9439-083D0810C75B}"/>
    <cellStyle name="Обычный 6 3 4" xfId="2279" xr:uid="{79875D2C-6071-4974-A2AF-12AEAA7488DE}"/>
    <cellStyle name="Обычный 6 4" xfId="915" xr:uid="{00000000-0005-0000-0000-0000CD030000}"/>
    <cellStyle name="Обычный 6 5" xfId="916" xr:uid="{00000000-0005-0000-0000-0000CE030000}"/>
    <cellStyle name="Обычный 6 6" xfId="917" xr:uid="{00000000-0005-0000-0000-0000CF030000}"/>
    <cellStyle name="Обычный 6 6 2" xfId="1748" xr:uid="{00D3F21C-DCF7-41D9-98A1-5426A25BAA9C}"/>
    <cellStyle name="Обычный 6 6 3" xfId="2281" xr:uid="{29C180CF-1EFB-4644-8FA3-B4888B02D18F}"/>
    <cellStyle name="Обычный 6 7" xfId="1742" xr:uid="{2C890120-91C6-462A-8AFB-EAEF04754432}"/>
    <cellStyle name="Обычный 6 8" xfId="2275" xr:uid="{295F1293-4349-49B6-8BCA-1D379FAC90E0}"/>
    <cellStyle name="Обычный 60" xfId="918" xr:uid="{00000000-0005-0000-0000-0000D0030000}"/>
    <cellStyle name="Обычный 61" xfId="919" xr:uid="{00000000-0005-0000-0000-0000D1030000}"/>
    <cellStyle name="Обычный 62" xfId="920" xr:uid="{00000000-0005-0000-0000-0000D2030000}"/>
    <cellStyle name="Обычный 63" xfId="921" xr:uid="{00000000-0005-0000-0000-0000D3030000}"/>
    <cellStyle name="Обычный 64" xfId="922" xr:uid="{00000000-0005-0000-0000-0000D4030000}"/>
    <cellStyle name="Обычный 65" xfId="923" xr:uid="{00000000-0005-0000-0000-0000D5030000}"/>
    <cellStyle name="Обычный 65 2" xfId="924" xr:uid="{00000000-0005-0000-0000-0000D6030000}"/>
    <cellStyle name="Обычный 65 3" xfId="1749" xr:uid="{16A3E49D-D10D-405F-B143-9EB78A3C800A}"/>
    <cellStyle name="Обычный 65 4" xfId="2282" xr:uid="{7EB5D40E-32E4-4169-A77F-CC35492210ED}"/>
    <cellStyle name="Обычный 66" xfId="925" xr:uid="{00000000-0005-0000-0000-0000D7030000}"/>
    <cellStyle name="Обычный 66 2" xfId="926" xr:uid="{00000000-0005-0000-0000-0000D8030000}"/>
    <cellStyle name="Обычный 66 3" xfId="927" xr:uid="{00000000-0005-0000-0000-0000D9030000}"/>
    <cellStyle name="Обычный 66 4" xfId="1750" xr:uid="{B1330A49-5371-4CE3-A3B9-C844D4109A67}"/>
    <cellStyle name="Обычный 66 5" xfId="2283" xr:uid="{BCC2B0F3-3E68-4E6B-9EA4-4B74C9C1CD2E}"/>
    <cellStyle name="Обычный 67" xfId="928" xr:uid="{00000000-0005-0000-0000-0000DA030000}"/>
    <cellStyle name="Обычный 68" xfId="929" xr:uid="{00000000-0005-0000-0000-0000DB030000}"/>
    <cellStyle name="Обычный 69" xfId="930" xr:uid="{00000000-0005-0000-0000-0000DC030000}"/>
    <cellStyle name="Обычный 7" xfId="931" xr:uid="{00000000-0005-0000-0000-0000DD030000}"/>
    <cellStyle name="Обычный 7 2" xfId="932" xr:uid="{00000000-0005-0000-0000-0000DE030000}"/>
    <cellStyle name="Обычный 7 2 2" xfId="933" xr:uid="{00000000-0005-0000-0000-0000DF030000}"/>
    <cellStyle name="Обычный 7 2 2 2" xfId="1752" xr:uid="{0C41B623-7BEE-4099-9FEB-C09B021CD4EF}"/>
    <cellStyle name="Обычный 7 2 2 3" xfId="2285" xr:uid="{BEDEBECD-05BD-4B4D-9A9A-6A6F1B11AE10}"/>
    <cellStyle name="Обычный 7 2 3" xfId="934" xr:uid="{00000000-0005-0000-0000-0000E0030000}"/>
    <cellStyle name="Обычный 7 2 3 2" xfId="1753" xr:uid="{C1B0663E-53B0-47F6-91EF-EC042C14DCBF}"/>
    <cellStyle name="Обычный 7 2 3 3" xfId="2286" xr:uid="{20E28F3E-E95A-47A6-BB1C-859A5E0B0DCE}"/>
    <cellStyle name="Обычный 7 2 4" xfId="1751" xr:uid="{F15C57D7-61B5-4CF0-9D49-CC7D4A9037B2}"/>
    <cellStyle name="Обычный 7 2 5" xfId="2284" xr:uid="{B6299608-E8AE-4D7C-BCCC-70667AC96928}"/>
    <cellStyle name="Обычный 7 3" xfId="935" xr:uid="{00000000-0005-0000-0000-0000E1030000}"/>
    <cellStyle name="Обычный 7 3 2" xfId="936" xr:uid="{00000000-0005-0000-0000-0000E2030000}"/>
    <cellStyle name="Обычный 7 3 2 2" xfId="1755" xr:uid="{D523C69A-FE39-4998-A3B0-3AD37396F564}"/>
    <cellStyle name="Обычный 7 3 2 3" xfId="2288" xr:uid="{2C78EDB6-DFCC-45B1-9342-2994447255D7}"/>
    <cellStyle name="Обычный 7 3 3" xfId="1754" xr:uid="{A144CD74-23CF-417E-8107-989F36A57673}"/>
    <cellStyle name="Обычный 7 3 4" xfId="2287" xr:uid="{1FF99B23-1623-47F3-B9B0-B5F79FBED9A8}"/>
    <cellStyle name="Обычный 7 4" xfId="937" xr:uid="{00000000-0005-0000-0000-0000E3030000}"/>
    <cellStyle name="Обычный 7 4 2" xfId="938" xr:uid="{00000000-0005-0000-0000-0000E4030000}"/>
    <cellStyle name="Обычный 7 4 2 2" xfId="1757" xr:uid="{5E18E77C-4491-495C-B5A9-0F17CF10A0E7}"/>
    <cellStyle name="Обычный 7 4 2 3" xfId="2290" xr:uid="{7D09745E-C9CE-4F5D-BB14-D3F459D03FA2}"/>
    <cellStyle name="Обычный 7 4 3" xfId="1756" xr:uid="{6093A350-7A89-4ABE-80B2-8FF7F7E47D98}"/>
    <cellStyle name="Обычный 7 4 4" xfId="2289" xr:uid="{E01904DF-3B24-4261-8D05-3823E3583724}"/>
    <cellStyle name="Обычный 7 5" xfId="939" xr:uid="{00000000-0005-0000-0000-0000E5030000}"/>
    <cellStyle name="Обычный 70" xfId="940" xr:uid="{00000000-0005-0000-0000-0000E6030000}"/>
    <cellStyle name="Обычный 71" xfId="941" xr:uid="{00000000-0005-0000-0000-0000E7030000}"/>
    <cellStyle name="Обычный 72" xfId="942" xr:uid="{00000000-0005-0000-0000-0000E8030000}"/>
    <cellStyle name="Обычный 73" xfId="943" xr:uid="{00000000-0005-0000-0000-0000E9030000}"/>
    <cellStyle name="Обычный 73 2" xfId="944" xr:uid="{00000000-0005-0000-0000-0000EA030000}"/>
    <cellStyle name="Обычный 73 3" xfId="945" xr:uid="{00000000-0005-0000-0000-0000EB030000}"/>
    <cellStyle name="Обычный 73 4" xfId="946" xr:uid="{00000000-0005-0000-0000-0000EC030000}"/>
    <cellStyle name="Обычный 74" xfId="947" xr:uid="{00000000-0005-0000-0000-0000ED030000}"/>
    <cellStyle name="Обычный 75" xfId="948" xr:uid="{00000000-0005-0000-0000-0000EE030000}"/>
    <cellStyle name="Обычный 75 2" xfId="949" xr:uid="{00000000-0005-0000-0000-0000EF030000}"/>
    <cellStyle name="Обычный 76" xfId="950" xr:uid="{00000000-0005-0000-0000-0000F0030000}"/>
    <cellStyle name="Обычный 77" xfId="951" xr:uid="{00000000-0005-0000-0000-0000F1030000}"/>
    <cellStyle name="Обычный 78" xfId="952" xr:uid="{00000000-0005-0000-0000-0000F2030000}"/>
    <cellStyle name="Обычный 78 2" xfId="953" xr:uid="{00000000-0005-0000-0000-0000F3030000}"/>
    <cellStyle name="Обычный 78 3" xfId="954" xr:uid="{00000000-0005-0000-0000-0000F4030000}"/>
    <cellStyle name="Обычный 79" xfId="955" xr:uid="{00000000-0005-0000-0000-0000F5030000}"/>
    <cellStyle name="Обычный 8" xfId="956" xr:uid="{00000000-0005-0000-0000-0000F6030000}"/>
    <cellStyle name="Обычный 8 2" xfId="957" xr:uid="{00000000-0005-0000-0000-0000F7030000}"/>
    <cellStyle name="Обычный 8 2 2" xfId="958" xr:uid="{00000000-0005-0000-0000-0000F8030000}"/>
    <cellStyle name="Обычный 8 2 2 2" xfId="1759" xr:uid="{70D00840-C9DC-4D92-B95E-2742F00DBE04}"/>
    <cellStyle name="Обычный 8 2 2 3" xfId="2292" xr:uid="{B36B6DB8-0EC6-4D84-BC7A-6638E22D1CA9}"/>
    <cellStyle name="Обычный 8 2 3" xfId="959" xr:uid="{00000000-0005-0000-0000-0000F9030000}"/>
    <cellStyle name="Обычный 8 2 3 2" xfId="1760" xr:uid="{AB0E94CA-6FC6-4880-8D7D-6962D154A55F}"/>
    <cellStyle name="Обычный 8 2 3 3" xfId="2293" xr:uid="{C83AC3A0-6B52-4226-BA7B-D48D9CFEC20B}"/>
    <cellStyle name="Обычный 8 2 4" xfId="1758" xr:uid="{2B2A8530-A461-4339-B83D-261325121B4A}"/>
    <cellStyle name="Обычный 8 2 5" xfId="2291" xr:uid="{8E0A8F92-6547-45F9-B303-91B81DE61229}"/>
    <cellStyle name="Обычный 8 3" xfId="960" xr:uid="{00000000-0005-0000-0000-0000FA030000}"/>
    <cellStyle name="Обычный 8 3 2" xfId="961" xr:uid="{00000000-0005-0000-0000-0000FB030000}"/>
    <cellStyle name="Обычный 8 3 2 2" xfId="1762" xr:uid="{2BD452AD-F9CE-4136-867B-911DD6D9F212}"/>
    <cellStyle name="Обычный 8 3 2 3" xfId="2295" xr:uid="{BFBBBF66-60BA-4E5A-9170-8ACBFCC053DE}"/>
    <cellStyle name="Обычный 8 3 3" xfId="1761" xr:uid="{F7BEE910-022C-4AFB-B29E-7DF2C02BA7C1}"/>
    <cellStyle name="Обычный 8 3 4" xfId="2294" xr:uid="{85A5DC4A-C897-4F99-BF5B-7E4A3895F8D1}"/>
    <cellStyle name="Обычный 8 4" xfId="962" xr:uid="{00000000-0005-0000-0000-0000FC030000}"/>
    <cellStyle name="Обычный 8 5" xfId="963" xr:uid="{00000000-0005-0000-0000-0000FD030000}"/>
    <cellStyle name="Обычный 8 5 2" xfId="1763" xr:uid="{D914156D-7BF6-4F61-9982-999F7DCF85EE}"/>
    <cellStyle name="Обычный 8 5 3" xfId="2296" xr:uid="{7290FC92-8EB0-4F1B-92E9-BF956C9C80FF}"/>
    <cellStyle name="Обычный 8 6" xfId="964" xr:uid="{00000000-0005-0000-0000-0000FE030000}"/>
    <cellStyle name="Обычный 80" xfId="965" xr:uid="{00000000-0005-0000-0000-0000FF030000}"/>
    <cellStyle name="Обычный 81" xfId="966" xr:uid="{00000000-0005-0000-0000-000000040000}"/>
    <cellStyle name="Обычный 82" xfId="967" xr:uid="{00000000-0005-0000-0000-000001040000}"/>
    <cellStyle name="Обычный 83" xfId="968" xr:uid="{00000000-0005-0000-0000-000002040000}"/>
    <cellStyle name="Обычный 84" xfId="969" xr:uid="{00000000-0005-0000-0000-000003040000}"/>
    <cellStyle name="Обычный 85" xfId="970" xr:uid="{00000000-0005-0000-0000-000004040000}"/>
    <cellStyle name="Обычный 86" xfId="971" xr:uid="{00000000-0005-0000-0000-000005040000}"/>
    <cellStyle name="Обычный 87" xfId="972" xr:uid="{00000000-0005-0000-0000-000006040000}"/>
    <cellStyle name="Обычный 87 2" xfId="973" xr:uid="{00000000-0005-0000-0000-000007040000}"/>
    <cellStyle name="Обычный 87 3" xfId="974" xr:uid="{00000000-0005-0000-0000-000008040000}"/>
    <cellStyle name="Обычный 88" xfId="975" xr:uid="{00000000-0005-0000-0000-000009040000}"/>
    <cellStyle name="Обычный 88 2" xfId="976" xr:uid="{00000000-0005-0000-0000-00000A040000}"/>
    <cellStyle name="Обычный 88 3" xfId="977" xr:uid="{00000000-0005-0000-0000-00000B040000}"/>
    <cellStyle name="Обычный 89" xfId="978" xr:uid="{00000000-0005-0000-0000-00000C040000}"/>
    <cellStyle name="Обычный 9" xfId="979" xr:uid="{00000000-0005-0000-0000-00000D040000}"/>
    <cellStyle name="Обычный 9 2" xfId="980" xr:uid="{00000000-0005-0000-0000-00000E040000}"/>
    <cellStyle name="Обычный 9 2 2" xfId="981" xr:uid="{00000000-0005-0000-0000-00000F040000}"/>
    <cellStyle name="Обычный 9 2 2 2" xfId="1765" xr:uid="{946A51E2-32E9-42A2-BFD6-313E38CCD85B}"/>
    <cellStyle name="Обычный 9 2 2 3" xfId="2298" xr:uid="{DE0B34CF-EC31-477F-889F-A0283C4BBAC9}"/>
    <cellStyle name="Обычный 9 2 3" xfId="982" xr:uid="{00000000-0005-0000-0000-000010040000}"/>
    <cellStyle name="Обычный 9 2 3 2" xfId="1766" xr:uid="{C33DF8E2-54FD-4254-BAC7-67745F7028A7}"/>
    <cellStyle name="Обычный 9 2 3 3" xfId="2299" xr:uid="{9E3B3B55-AB83-4AF1-9070-508E0844DCE4}"/>
    <cellStyle name="Обычный 9 2 4" xfId="1764" xr:uid="{780AE7EF-B669-46CC-A66B-950804386F0A}"/>
    <cellStyle name="Обычный 9 2 5" xfId="2297" xr:uid="{80D1481F-8BBB-4CC0-8441-37CC3AB72036}"/>
    <cellStyle name="Обычный 9 3" xfId="983" xr:uid="{00000000-0005-0000-0000-000011040000}"/>
    <cellStyle name="Обычный 9 3 2" xfId="984" xr:uid="{00000000-0005-0000-0000-000012040000}"/>
    <cellStyle name="Обычный 9 3 2 2" xfId="1768" xr:uid="{EE339521-72F3-4F33-A6AD-FCC716D88DB5}"/>
    <cellStyle name="Обычный 9 3 2 3" xfId="2301" xr:uid="{0195909C-8F5D-4679-9D7F-21CBF2939D8B}"/>
    <cellStyle name="Обычный 9 3 3" xfId="1767" xr:uid="{14FE38A4-B6BA-4C50-94D3-AC43E93BDAD6}"/>
    <cellStyle name="Обычный 9 3 4" xfId="2300" xr:uid="{49EF469C-0A8F-4A90-8E7F-3F1CE6DC487F}"/>
    <cellStyle name="Обычный 9 4" xfId="985" xr:uid="{00000000-0005-0000-0000-000013040000}"/>
    <cellStyle name="Обычный 90" xfId="986" xr:uid="{00000000-0005-0000-0000-000014040000}"/>
    <cellStyle name="Обычный 90 2" xfId="987" xr:uid="{00000000-0005-0000-0000-000015040000}"/>
    <cellStyle name="Обычный 90 3" xfId="1769" xr:uid="{7D85DCF8-938B-4CF0-9C57-F3B47F8D8EEF}"/>
    <cellStyle name="Обычный 90 4" xfId="2302" xr:uid="{615D9EF0-EFB5-4EDF-B7A6-05EC503B0A8A}"/>
    <cellStyle name="Обычный 91" xfId="988" xr:uid="{00000000-0005-0000-0000-000016040000}"/>
    <cellStyle name="Обычный 92" xfId="989" xr:uid="{00000000-0005-0000-0000-000017040000}"/>
    <cellStyle name="Обычный 92 2" xfId="990" xr:uid="{00000000-0005-0000-0000-000018040000}"/>
    <cellStyle name="Обычный 93" xfId="991" xr:uid="{00000000-0005-0000-0000-000019040000}"/>
    <cellStyle name="Обычный 93 2" xfId="992" xr:uid="{00000000-0005-0000-0000-00001A040000}"/>
    <cellStyle name="Обычный 93 3" xfId="993" xr:uid="{00000000-0005-0000-0000-00001B040000}"/>
    <cellStyle name="Обычный 94" xfId="994" xr:uid="{00000000-0005-0000-0000-00001C040000}"/>
    <cellStyle name="Обычный 94 2" xfId="995" xr:uid="{00000000-0005-0000-0000-00001D040000}"/>
    <cellStyle name="Обычный 94 3" xfId="996" xr:uid="{00000000-0005-0000-0000-00001E040000}"/>
    <cellStyle name="Обычный 95" xfId="997" xr:uid="{00000000-0005-0000-0000-00001F040000}"/>
    <cellStyle name="Обычный 95 2" xfId="998" xr:uid="{00000000-0005-0000-0000-000020040000}"/>
    <cellStyle name="Обычный 96" xfId="999" xr:uid="{00000000-0005-0000-0000-000021040000}"/>
    <cellStyle name="Обычный 97" xfId="1000" xr:uid="{00000000-0005-0000-0000-000022040000}"/>
    <cellStyle name="Обычный 97 2" xfId="1001" xr:uid="{00000000-0005-0000-0000-000023040000}"/>
    <cellStyle name="Обычный 98" xfId="1002" xr:uid="{00000000-0005-0000-0000-000024040000}"/>
    <cellStyle name="Обычный 98 2" xfId="1770" xr:uid="{9F0B6447-0344-4C30-9040-490A1B4B1AE5}"/>
    <cellStyle name="Обычный 98 3" xfId="2303" xr:uid="{04F1B0C8-B723-4DAB-800E-338A334C0491}"/>
    <cellStyle name="Обычный 99" xfId="1003" xr:uid="{00000000-0005-0000-0000-000025040000}"/>
    <cellStyle name="Обычный 99 2" xfId="1004" xr:uid="{00000000-0005-0000-0000-000026040000}"/>
    <cellStyle name="Обычный 99 2 2" xfId="1005" xr:uid="{00000000-0005-0000-0000-000027040000}"/>
    <cellStyle name="Обычный 99 2 2 2" xfId="1772" xr:uid="{4744B094-45F6-48EF-830B-E01DF4451FA7}"/>
    <cellStyle name="Обычный 99 2 2 3" xfId="2305" xr:uid="{A0575D14-EE80-4923-9571-58756EF3E64D}"/>
    <cellStyle name="Обычный 99 2 3" xfId="1771" xr:uid="{99309A3E-F80F-48EA-86AB-F4061A7E5140}"/>
    <cellStyle name="Обычный 99 2 4" xfId="2304" xr:uid="{2CC14607-79E9-4081-8AC2-B098E3E4D0F3}"/>
    <cellStyle name="Обычный_Книга3" xfId="1288" xr:uid="{00000000-0005-0000-0000-000028040000}"/>
    <cellStyle name="Примечание 10" xfId="1006" xr:uid="{00000000-0005-0000-0000-000029040000}"/>
    <cellStyle name="Примечание 11" xfId="1007" xr:uid="{00000000-0005-0000-0000-00002A040000}"/>
    <cellStyle name="Примечание 12" xfId="1008" xr:uid="{00000000-0005-0000-0000-00002B040000}"/>
    <cellStyle name="Примечание 13" xfId="1009" xr:uid="{00000000-0005-0000-0000-00002C040000}"/>
    <cellStyle name="Примечание 14" xfId="1010" xr:uid="{00000000-0005-0000-0000-00002D040000}"/>
    <cellStyle name="Примечание 15" xfId="1011" xr:uid="{00000000-0005-0000-0000-00002E040000}"/>
    <cellStyle name="Примечание 16" xfId="1012" xr:uid="{00000000-0005-0000-0000-00002F040000}"/>
    <cellStyle name="Примечание 17" xfId="1013" xr:uid="{00000000-0005-0000-0000-000030040000}"/>
    <cellStyle name="Примечание 18" xfId="1014" xr:uid="{00000000-0005-0000-0000-000031040000}"/>
    <cellStyle name="Примечание 19" xfId="1015" xr:uid="{00000000-0005-0000-0000-000032040000}"/>
    <cellStyle name="Примечание 2" xfId="1016" xr:uid="{00000000-0005-0000-0000-000033040000}"/>
    <cellStyle name="Примечание 2 2" xfId="1017" xr:uid="{00000000-0005-0000-0000-000034040000}"/>
    <cellStyle name="Примечание 2 3" xfId="1018" xr:uid="{00000000-0005-0000-0000-000035040000}"/>
    <cellStyle name="Примечание 20" xfId="1019" xr:uid="{00000000-0005-0000-0000-000036040000}"/>
    <cellStyle name="Примечание 21" xfId="1020" xr:uid="{00000000-0005-0000-0000-000037040000}"/>
    <cellStyle name="Примечание 22" xfId="1021" xr:uid="{00000000-0005-0000-0000-000038040000}"/>
    <cellStyle name="Примечание 23" xfId="1022" xr:uid="{00000000-0005-0000-0000-000039040000}"/>
    <cellStyle name="Примечание 24" xfId="1023" xr:uid="{00000000-0005-0000-0000-00003A040000}"/>
    <cellStyle name="Примечание 25" xfId="1024" xr:uid="{00000000-0005-0000-0000-00003B040000}"/>
    <cellStyle name="Примечание 26" xfId="1025" xr:uid="{00000000-0005-0000-0000-00003C040000}"/>
    <cellStyle name="Примечание 27" xfId="1026" xr:uid="{00000000-0005-0000-0000-00003D040000}"/>
    <cellStyle name="Примечание 28" xfId="1027" xr:uid="{00000000-0005-0000-0000-00003E040000}"/>
    <cellStyle name="Примечание 29" xfId="1028" xr:uid="{00000000-0005-0000-0000-00003F040000}"/>
    <cellStyle name="Примечание 3" xfId="1029" xr:uid="{00000000-0005-0000-0000-000040040000}"/>
    <cellStyle name="Примечание 3 2" xfId="1030" xr:uid="{00000000-0005-0000-0000-000041040000}"/>
    <cellStyle name="Примечание 3 3" xfId="1031" xr:uid="{00000000-0005-0000-0000-000042040000}"/>
    <cellStyle name="Примечание 30" xfId="1032" xr:uid="{00000000-0005-0000-0000-000043040000}"/>
    <cellStyle name="Примечание 4" xfId="1033" xr:uid="{00000000-0005-0000-0000-000044040000}"/>
    <cellStyle name="Примечание 4 2" xfId="1034" xr:uid="{00000000-0005-0000-0000-000045040000}"/>
    <cellStyle name="Примечание 4 3" xfId="1035" xr:uid="{00000000-0005-0000-0000-000046040000}"/>
    <cellStyle name="Примечание 5" xfId="1036" xr:uid="{00000000-0005-0000-0000-000047040000}"/>
    <cellStyle name="Примечание 5 2" xfId="1037" xr:uid="{00000000-0005-0000-0000-000048040000}"/>
    <cellStyle name="Примечание 5 3" xfId="1038" xr:uid="{00000000-0005-0000-0000-000049040000}"/>
    <cellStyle name="Примечание 6" xfId="1039" xr:uid="{00000000-0005-0000-0000-00004A040000}"/>
    <cellStyle name="Примечание 6 2" xfId="1040" xr:uid="{00000000-0005-0000-0000-00004B040000}"/>
    <cellStyle name="Примечание 6 3" xfId="1041" xr:uid="{00000000-0005-0000-0000-00004C040000}"/>
    <cellStyle name="Примечание 7" xfId="1042" xr:uid="{00000000-0005-0000-0000-00004D040000}"/>
    <cellStyle name="Примечание 7 2" xfId="1043" xr:uid="{00000000-0005-0000-0000-00004E040000}"/>
    <cellStyle name="Примечание 7 3" xfId="1044" xr:uid="{00000000-0005-0000-0000-00004F040000}"/>
    <cellStyle name="Примечание 8" xfId="1045" xr:uid="{00000000-0005-0000-0000-000050040000}"/>
    <cellStyle name="Примечание 8 2" xfId="1046" xr:uid="{00000000-0005-0000-0000-000051040000}"/>
    <cellStyle name="Примечание 8 3" xfId="1047" xr:uid="{00000000-0005-0000-0000-000052040000}"/>
    <cellStyle name="Примечание 9" xfId="1048" xr:uid="{00000000-0005-0000-0000-000053040000}"/>
    <cellStyle name="Примечание 9 2" xfId="1049" xr:uid="{00000000-0005-0000-0000-000054040000}"/>
    <cellStyle name="Процентный" xfId="2" builtinId="5"/>
    <cellStyle name="Процентный 2" xfId="8" xr:uid="{00000000-0005-0000-0000-000056040000}"/>
    <cellStyle name="Процентный 2 2" xfId="1050" xr:uid="{00000000-0005-0000-0000-000057040000}"/>
    <cellStyle name="Процентный 2 2 2" xfId="10" xr:uid="{00000000-0005-0000-0000-000058040000}"/>
    <cellStyle name="Процентный 2 2 3" xfId="1051" xr:uid="{00000000-0005-0000-0000-000059040000}"/>
    <cellStyle name="Процентный 2 3" xfId="1052" xr:uid="{00000000-0005-0000-0000-00005A040000}"/>
    <cellStyle name="Процентный 2 4" xfId="1053" xr:uid="{00000000-0005-0000-0000-00005B040000}"/>
    <cellStyle name="Процентный 2 5" xfId="1054" xr:uid="{00000000-0005-0000-0000-00005C040000}"/>
    <cellStyle name="Процентный 2 6" xfId="1055" xr:uid="{00000000-0005-0000-0000-00005D040000}"/>
    <cellStyle name="Процентный 2 7" xfId="1056" xr:uid="{00000000-0005-0000-0000-00005E040000}"/>
    <cellStyle name="Процентный 3" xfId="1057" xr:uid="{00000000-0005-0000-0000-00005F040000}"/>
    <cellStyle name="Процентный 4" xfId="1058" xr:uid="{00000000-0005-0000-0000-000060040000}"/>
    <cellStyle name="Стиль 1" xfId="1059" xr:uid="{00000000-0005-0000-0000-000061040000}"/>
    <cellStyle name="Финансовый" xfId="3" builtinId="3"/>
    <cellStyle name="Финансовый [0] 2" xfId="1060" xr:uid="{00000000-0005-0000-0000-000063040000}"/>
    <cellStyle name="Финансовый [0] 2 2" xfId="1061" xr:uid="{00000000-0005-0000-0000-000064040000}"/>
    <cellStyle name="Финансовый [0] 67" xfId="1062" xr:uid="{00000000-0005-0000-0000-000065040000}"/>
    <cellStyle name="Финансовый 10" xfId="1063" xr:uid="{00000000-0005-0000-0000-000066040000}"/>
    <cellStyle name="Финансовый 10 2" xfId="1064" xr:uid="{00000000-0005-0000-0000-000067040000}"/>
    <cellStyle name="Финансовый 10 3" xfId="1773" xr:uid="{5A005C45-4899-4BBC-BBA2-E15983EAD7A9}"/>
    <cellStyle name="Финансовый 10 4" xfId="2306" xr:uid="{432DD216-5F0B-4EAB-9F53-15277504798B}"/>
    <cellStyle name="Финансовый 11" xfId="1065" xr:uid="{00000000-0005-0000-0000-000068040000}"/>
    <cellStyle name="Финансовый 11 2" xfId="1066" xr:uid="{00000000-0005-0000-0000-000069040000}"/>
    <cellStyle name="Финансовый 11 2 2" xfId="1775" xr:uid="{F2C8A959-43A8-493C-84C0-94F47BA4E056}"/>
    <cellStyle name="Финансовый 11 3" xfId="1774" xr:uid="{446BE7B0-6736-4A4B-A9F2-31F26413F881}"/>
    <cellStyle name="Финансовый 11 4" xfId="2307" xr:uid="{2D31690A-50D4-4C89-89CA-295FA710E83C}"/>
    <cellStyle name="Финансовый 13" xfId="1067" xr:uid="{00000000-0005-0000-0000-00006A040000}"/>
    <cellStyle name="Финансовый 13 2" xfId="1068" xr:uid="{00000000-0005-0000-0000-00006B040000}"/>
    <cellStyle name="Финансовый 13 2 2" xfId="1777" xr:uid="{FEB016E2-413C-4E8B-9318-60DFED181B18}"/>
    <cellStyle name="Финансовый 13 2 3" xfId="2309" xr:uid="{A57A207C-757C-4280-9B9E-A8681A625131}"/>
    <cellStyle name="Финансовый 13 3" xfId="1069" xr:uid="{00000000-0005-0000-0000-00006C040000}"/>
    <cellStyle name="Финансовый 13 3 2" xfId="1778" xr:uid="{B4AA3B36-0BC3-43B3-8B0C-CAC3D4095FB7}"/>
    <cellStyle name="Финансовый 13 3 3" xfId="2310" xr:uid="{F98CBD8A-4436-4789-8BCA-D222494AE798}"/>
    <cellStyle name="Финансовый 13 4" xfId="1776" xr:uid="{1A520A90-BF4C-4E3D-B930-B3F997783618}"/>
    <cellStyle name="Финансовый 13 5" xfId="2308" xr:uid="{57C80488-93D6-4349-821C-B0C8632F8386}"/>
    <cellStyle name="Финансовый 17" xfId="1070" xr:uid="{00000000-0005-0000-0000-00006D040000}"/>
    <cellStyle name="Финансовый 17 2" xfId="1779" xr:uid="{416A221D-F6C6-402A-A807-2C3FF37033C7}"/>
    <cellStyle name="Финансовый 17 3" xfId="2311" xr:uid="{FD0AE6E5-7DCB-4BA5-9ACD-C2038E6D47B6}"/>
    <cellStyle name="Финансовый 19" xfId="1071" xr:uid="{00000000-0005-0000-0000-00006E040000}"/>
    <cellStyle name="Финансовый 19 2" xfId="1072" xr:uid="{00000000-0005-0000-0000-00006F040000}"/>
    <cellStyle name="Финансовый 19 3" xfId="1073" xr:uid="{00000000-0005-0000-0000-000070040000}"/>
    <cellStyle name="Финансовый 2" xfId="7" xr:uid="{00000000-0005-0000-0000-000071040000}"/>
    <cellStyle name="Финансовый 2 10" xfId="1074" xr:uid="{00000000-0005-0000-0000-000072040000}"/>
    <cellStyle name="Финансовый 2 11" xfId="1075" xr:uid="{00000000-0005-0000-0000-000073040000}"/>
    <cellStyle name="Финансовый 2 12" xfId="1076" xr:uid="{00000000-0005-0000-0000-000074040000}"/>
    <cellStyle name="Финансовый 2 13" xfId="1077" xr:uid="{00000000-0005-0000-0000-000075040000}"/>
    <cellStyle name="Финансовый 2 14" xfId="1078" xr:uid="{00000000-0005-0000-0000-000076040000}"/>
    <cellStyle name="Финансовый 2 15" xfId="1079" xr:uid="{00000000-0005-0000-0000-000077040000}"/>
    <cellStyle name="Финансовый 2 16" xfId="1080" xr:uid="{00000000-0005-0000-0000-000078040000}"/>
    <cellStyle name="Финансовый 2 17" xfId="1081" xr:uid="{00000000-0005-0000-0000-000079040000}"/>
    <cellStyle name="Финансовый 2 18" xfId="1082" xr:uid="{00000000-0005-0000-0000-00007A040000}"/>
    <cellStyle name="Финансовый 2 19" xfId="1083" xr:uid="{00000000-0005-0000-0000-00007B040000}"/>
    <cellStyle name="Финансовый 2 2" xfId="1084" xr:uid="{00000000-0005-0000-0000-00007C040000}"/>
    <cellStyle name="Финансовый 2 2 2" xfId="1085" xr:uid="{00000000-0005-0000-0000-00007D040000}"/>
    <cellStyle name="Финансовый 2 2 2 2" xfId="1086" xr:uid="{00000000-0005-0000-0000-00007E040000}"/>
    <cellStyle name="Финансовый 2 2 2 2 2" xfId="1781" xr:uid="{BA918D0D-1951-457F-BC84-92E62E515989}"/>
    <cellStyle name="Финансовый 2 2 2 2 3" xfId="2313" xr:uid="{43F469B5-BA54-44AD-ADD2-700F1DE288EA}"/>
    <cellStyle name="Финансовый 2 2 2 3" xfId="1087" xr:uid="{00000000-0005-0000-0000-00007F040000}"/>
    <cellStyle name="Финансовый 2 2 2 4" xfId="1780" xr:uid="{3303D524-7C40-4488-8F60-0AC913F0BE9E}"/>
    <cellStyle name="Финансовый 2 2 2 5" xfId="2312" xr:uid="{EEA6AD70-2EAF-4369-8444-74817A73495D}"/>
    <cellStyle name="Финансовый 2 2 3" xfId="1088" xr:uid="{00000000-0005-0000-0000-000080040000}"/>
    <cellStyle name="Финансовый 2 2 4" xfId="1089" xr:uid="{00000000-0005-0000-0000-000081040000}"/>
    <cellStyle name="Финансовый 2 20" xfId="1090" xr:uid="{00000000-0005-0000-0000-000082040000}"/>
    <cellStyle name="Финансовый 2 21" xfId="1091" xr:uid="{00000000-0005-0000-0000-000083040000}"/>
    <cellStyle name="Финансовый 2 22" xfId="1092" xr:uid="{00000000-0005-0000-0000-000084040000}"/>
    <cellStyle name="Финансовый 2 23" xfId="1093" xr:uid="{00000000-0005-0000-0000-000085040000}"/>
    <cellStyle name="Финансовый 2 24" xfId="1094" xr:uid="{00000000-0005-0000-0000-000086040000}"/>
    <cellStyle name="Финансовый 2 25" xfId="1095" xr:uid="{00000000-0005-0000-0000-000087040000}"/>
    <cellStyle name="Финансовый 2 26" xfId="1096" xr:uid="{00000000-0005-0000-0000-000088040000}"/>
    <cellStyle name="Финансовый 2 27" xfId="1097" xr:uid="{00000000-0005-0000-0000-000089040000}"/>
    <cellStyle name="Финансовый 2 28" xfId="1098" xr:uid="{00000000-0005-0000-0000-00008A040000}"/>
    <cellStyle name="Финансовый 2 29" xfId="1099" xr:uid="{00000000-0005-0000-0000-00008B040000}"/>
    <cellStyle name="Финансовый 2 3" xfId="1100" xr:uid="{00000000-0005-0000-0000-00008C040000}"/>
    <cellStyle name="Финансовый 2 3 2" xfId="1101" xr:uid="{00000000-0005-0000-0000-00008D040000}"/>
    <cellStyle name="Финансовый 2 3 2 2" xfId="1782" xr:uid="{12825C3F-0EE4-4D8B-AC36-8507A8DABD4F}"/>
    <cellStyle name="Финансовый 2 3 2 3" xfId="2314" xr:uid="{5E02A192-458E-4B59-8D30-CF8B99D23707}"/>
    <cellStyle name="Финансовый 2 3 3" xfId="1102" xr:uid="{00000000-0005-0000-0000-00008E040000}"/>
    <cellStyle name="Финансовый 2 3 3 2" xfId="1783" xr:uid="{DBA9D0D5-3920-4ADE-85D5-FDAA26003B28}"/>
    <cellStyle name="Финансовый 2 3 3 3" xfId="2315" xr:uid="{1F00EAE6-05D4-400B-852A-3A712173749D}"/>
    <cellStyle name="Финансовый 2 3 4" xfId="1103" xr:uid="{00000000-0005-0000-0000-00008F040000}"/>
    <cellStyle name="Финансовый 2 30" xfId="1104" xr:uid="{00000000-0005-0000-0000-000090040000}"/>
    <cellStyle name="Финансовый 2 4" xfId="1105" xr:uid="{00000000-0005-0000-0000-000091040000}"/>
    <cellStyle name="Финансовый 2 4 2" xfId="1106" xr:uid="{00000000-0005-0000-0000-000092040000}"/>
    <cellStyle name="Финансовый 2 4 2 2" xfId="1784" xr:uid="{865897C3-1DD9-4630-88E3-F19F5C869321}"/>
    <cellStyle name="Финансовый 2 4 2 3" xfId="2316" xr:uid="{9E985ABB-8DD2-43B3-B5AA-CB32FD0F88E7}"/>
    <cellStyle name="Финансовый 2 4 3" xfId="1107" xr:uid="{00000000-0005-0000-0000-000093040000}"/>
    <cellStyle name="Финансовый 2 4 3 2" xfId="1785" xr:uid="{4434AF5F-562D-41C2-BB81-76ED6EA1E34A}"/>
    <cellStyle name="Финансовый 2 4 3 3" xfId="2317" xr:uid="{7AD3D9B3-016B-46A2-B21E-F53FD1B89CDF}"/>
    <cellStyle name="Финансовый 2 4 4" xfId="1108" xr:uid="{00000000-0005-0000-0000-000094040000}"/>
    <cellStyle name="Финансовый 2 5" xfId="1109" xr:uid="{00000000-0005-0000-0000-000095040000}"/>
    <cellStyle name="Финансовый 2 5 2" xfId="1110" xr:uid="{00000000-0005-0000-0000-000096040000}"/>
    <cellStyle name="Финансовый 2 6" xfId="1111" xr:uid="{00000000-0005-0000-0000-000097040000}"/>
    <cellStyle name="Финансовый 2 6 2" xfId="1112" xr:uid="{00000000-0005-0000-0000-000098040000}"/>
    <cellStyle name="Финансовый 2 7" xfId="1113" xr:uid="{00000000-0005-0000-0000-000099040000}"/>
    <cellStyle name="Финансовый 2 8" xfId="1114" xr:uid="{00000000-0005-0000-0000-00009A040000}"/>
    <cellStyle name="Финансовый 2 9" xfId="1115" xr:uid="{00000000-0005-0000-0000-00009B040000}"/>
    <cellStyle name="Финансовый 20" xfId="1116" xr:uid="{00000000-0005-0000-0000-00009C040000}"/>
    <cellStyle name="Финансовый 21" xfId="1117" xr:uid="{00000000-0005-0000-0000-00009D040000}"/>
    <cellStyle name="Финансовый 23" xfId="1118" xr:uid="{00000000-0005-0000-0000-00009E040000}"/>
    <cellStyle name="Финансовый 24" xfId="1119" xr:uid="{00000000-0005-0000-0000-00009F040000}"/>
    <cellStyle name="Финансовый 25" xfId="1120" xr:uid="{00000000-0005-0000-0000-0000A0040000}"/>
    <cellStyle name="Финансовый 26" xfId="1121" xr:uid="{00000000-0005-0000-0000-0000A1040000}"/>
    <cellStyle name="Финансовый 27" xfId="1122" xr:uid="{00000000-0005-0000-0000-0000A2040000}"/>
    <cellStyle name="Финансовый 28" xfId="1123" xr:uid="{00000000-0005-0000-0000-0000A3040000}"/>
    <cellStyle name="Финансовый 3" xfId="1124" xr:uid="{00000000-0005-0000-0000-0000A4040000}"/>
    <cellStyle name="Финансовый 3 10" xfId="1125" xr:uid="{00000000-0005-0000-0000-0000A5040000}"/>
    <cellStyle name="Финансовый 3 10 2" xfId="1786" xr:uid="{C99FE74F-0CF7-43B5-9F8A-7C65B7863EFA}"/>
    <cellStyle name="Финансовый 3 11" xfId="1126" xr:uid="{00000000-0005-0000-0000-0000A6040000}"/>
    <cellStyle name="Финансовый 3 11 2" xfId="1787" xr:uid="{00EAF8DC-07A5-42FC-9EF1-0C5CCAAE3750}"/>
    <cellStyle name="Финансовый 3 12" xfId="1127" xr:uid="{00000000-0005-0000-0000-0000A7040000}"/>
    <cellStyle name="Финансовый 3 12 2" xfId="1788" xr:uid="{CB351716-4939-45B9-9010-A9A3B7F2A5FC}"/>
    <cellStyle name="Финансовый 3 13" xfId="1128" xr:uid="{00000000-0005-0000-0000-0000A8040000}"/>
    <cellStyle name="Финансовый 3 13 2" xfId="1789" xr:uid="{89C8CCB6-167D-40CB-802A-D684CEE1D510}"/>
    <cellStyle name="Финансовый 3 14" xfId="1129" xr:uid="{00000000-0005-0000-0000-0000A9040000}"/>
    <cellStyle name="Финансовый 3 14 2" xfId="1790" xr:uid="{8FC457E4-3254-4098-85CD-27030F08AC53}"/>
    <cellStyle name="Финансовый 3 15" xfId="1130" xr:uid="{00000000-0005-0000-0000-0000AA040000}"/>
    <cellStyle name="Финансовый 3 15 2" xfId="1791" xr:uid="{5C6D3893-B0A8-4A05-BFEF-57ECA2EBF8B0}"/>
    <cellStyle name="Финансовый 3 16" xfId="1131" xr:uid="{00000000-0005-0000-0000-0000AB040000}"/>
    <cellStyle name="Финансовый 3 16 2" xfId="1792" xr:uid="{D76F0F4B-32E6-4674-A803-F2A091ABD627}"/>
    <cellStyle name="Финансовый 3 17" xfId="1132" xr:uid="{00000000-0005-0000-0000-0000AC040000}"/>
    <cellStyle name="Финансовый 3 17 2" xfId="1793" xr:uid="{DDFD1F16-850C-4C39-A6EC-BB0F8F8CD4CA}"/>
    <cellStyle name="Финансовый 3 18" xfId="1133" xr:uid="{00000000-0005-0000-0000-0000AD040000}"/>
    <cellStyle name="Финансовый 3 18 2" xfId="1794" xr:uid="{48DEC027-6A05-4765-973A-AF687461AC33}"/>
    <cellStyle name="Финансовый 3 19" xfId="1134" xr:uid="{00000000-0005-0000-0000-0000AE040000}"/>
    <cellStyle name="Финансовый 3 19 2" xfId="1795" xr:uid="{7911EC07-E12A-4022-8CB4-2FE345C35102}"/>
    <cellStyle name="Финансовый 3 2" xfId="1135" xr:uid="{00000000-0005-0000-0000-0000AF040000}"/>
    <cellStyle name="Финансовый 3 2 2" xfId="1136" xr:uid="{00000000-0005-0000-0000-0000B0040000}"/>
    <cellStyle name="Финансовый 3 2 2 2" xfId="1137" xr:uid="{00000000-0005-0000-0000-0000B1040000}"/>
    <cellStyle name="Финансовый 3 2 2 3" xfId="1138" xr:uid="{00000000-0005-0000-0000-0000B2040000}"/>
    <cellStyle name="Финансовый 3 2 3" xfId="1139" xr:uid="{00000000-0005-0000-0000-0000B3040000}"/>
    <cellStyle name="Финансовый 3 2 3 2" xfId="1140" xr:uid="{00000000-0005-0000-0000-0000B4040000}"/>
    <cellStyle name="Финансовый 3 2 4" xfId="1141" xr:uid="{00000000-0005-0000-0000-0000B5040000}"/>
    <cellStyle name="Финансовый 3 2 5" xfId="1142" xr:uid="{00000000-0005-0000-0000-0000B6040000}"/>
    <cellStyle name="Финансовый 3 2 6" xfId="1143" xr:uid="{00000000-0005-0000-0000-0000B7040000}"/>
    <cellStyle name="Финансовый 3 20" xfId="1144" xr:uid="{00000000-0005-0000-0000-0000B8040000}"/>
    <cellStyle name="Финансовый 3 20 2" xfId="1796" xr:uid="{3A4C5B21-8637-4902-9740-79B7086AABB1}"/>
    <cellStyle name="Финансовый 3 21" xfId="1145" xr:uid="{00000000-0005-0000-0000-0000B9040000}"/>
    <cellStyle name="Финансовый 3 21 2" xfId="1797" xr:uid="{0B43CD45-C3D9-40EE-8064-E2941C6F4408}"/>
    <cellStyle name="Финансовый 3 22" xfId="1146" xr:uid="{00000000-0005-0000-0000-0000BA040000}"/>
    <cellStyle name="Финансовый 3 3" xfId="1147" xr:uid="{00000000-0005-0000-0000-0000BB040000}"/>
    <cellStyle name="Финансовый 3 3 2" xfId="1148" xr:uid="{00000000-0005-0000-0000-0000BC040000}"/>
    <cellStyle name="Финансовый 3 3 3" xfId="1149" xr:uid="{00000000-0005-0000-0000-0000BD040000}"/>
    <cellStyle name="Финансовый 3 3 3 2" xfId="1798" xr:uid="{5CACC7A6-D9A1-47AB-9348-16373BFCBAED}"/>
    <cellStyle name="Финансовый 3 4" xfId="1150" xr:uid="{00000000-0005-0000-0000-0000BE040000}"/>
    <cellStyle name="Финансовый 3 4 2" xfId="1151" xr:uid="{00000000-0005-0000-0000-0000BF040000}"/>
    <cellStyle name="Финансовый 3 4 3" xfId="1152" xr:uid="{00000000-0005-0000-0000-0000C0040000}"/>
    <cellStyle name="Финансовый 3 4 3 2" xfId="1799" xr:uid="{3287FE71-6980-4F88-870B-10ED9AB5FA8F}"/>
    <cellStyle name="Финансовый 3 5" xfId="1153" xr:uid="{00000000-0005-0000-0000-0000C1040000}"/>
    <cellStyle name="Финансовый 3 5 2" xfId="1154" xr:uid="{00000000-0005-0000-0000-0000C2040000}"/>
    <cellStyle name="Финансовый 3 5 3" xfId="1155" xr:uid="{00000000-0005-0000-0000-0000C3040000}"/>
    <cellStyle name="Финансовый 3 5 4" xfId="1156" xr:uid="{00000000-0005-0000-0000-0000C4040000}"/>
    <cellStyle name="Финансовый 3 5 4 2" xfId="1800" xr:uid="{2809B622-6E4F-4287-B718-1CF75570D002}"/>
    <cellStyle name="Финансовый 3 6" xfId="1157" xr:uid="{00000000-0005-0000-0000-0000C5040000}"/>
    <cellStyle name="Финансовый 3 6 2" xfId="1158" xr:uid="{00000000-0005-0000-0000-0000C6040000}"/>
    <cellStyle name="Финансовый 3 6 2 2" xfId="1801" xr:uid="{DE4A0F98-B250-4988-8CA1-A4D8D818B042}"/>
    <cellStyle name="Финансовый 3 7" xfId="1159" xr:uid="{00000000-0005-0000-0000-0000C7040000}"/>
    <cellStyle name="Финансовый 3 7 2" xfId="1160" xr:uid="{00000000-0005-0000-0000-0000C8040000}"/>
    <cellStyle name="Финансовый 3 7 2 2" xfId="1802" xr:uid="{CE2B14A3-AF74-433D-94A1-36CD95890AF5}"/>
    <cellStyle name="Финансовый 3 8" xfId="1161" xr:uid="{00000000-0005-0000-0000-0000C9040000}"/>
    <cellStyle name="Финансовый 3 8 2" xfId="1803" xr:uid="{282F43DA-09A6-4610-A7AF-7128CDC0A50B}"/>
    <cellStyle name="Финансовый 3 9" xfId="1162" xr:uid="{00000000-0005-0000-0000-0000CA040000}"/>
    <cellStyle name="Финансовый 3 9 2" xfId="1804" xr:uid="{188D63B0-A9B4-4DBD-B850-DDBE33D48455}"/>
    <cellStyle name="Финансовый 30" xfId="1163" xr:uid="{00000000-0005-0000-0000-0000CB040000}"/>
    <cellStyle name="Финансовый 31" xfId="1164" xr:uid="{00000000-0005-0000-0000-0000CC040000}"/>
    <cellStyle name="Финансовый 31 2" xfId="1165" xr:uid="{00000000-0005-0000-0000-0000CD040000}"/>
    <cellStyle name="Финансовый 32" xfId="1166" xr:uid="{00000000-0005-0000-0000-0000CE040000}"/>
    <cellStyle name="Финансовый 32 2" xfId="1167" xr:uid="{00000000-0005-0000-0000-0000CF040000}"/>
    <cellStyle name="Финансовый 33" xfId="1168" xr:uid="{00000000-0005-0000-0000-0000D0040000}"/>
    <cellStyle name="Финансовый 33 2" xfId="1169" xr:uid="{00000000-0005-0000-0000-0000D1040000}"/>
    <cellStyle name="Финансовый 34" xfId="1170" xr:uid="{00000000-0005-0000-0000-0000D2040000}"/>
    <cellStyle name="Финансовый 34 2" xfId="1171" xr:uid="{00000000-0005-0000-0000-0000D3040000}"/>
    <cellStyle name="Финансовый 35" xfId="1172" xr:uid="{00000000-0005-0000-0000-0000D4040000}"/>
    <cellStyle name="Финансовый 35 2" xfId="1173" xr:uid="{00000000-0005-0000-0000-0000D5040000}"/>
    <cellStyle name="Финансовый 35 2 2" xfId="1805" xr:uid="{BFCCAE54-9009-4135-BA32-5644FD0FBE86}"/>
    <cellStyle name="Финансовый 36" xfId="1174" xr:uid="{00000000-0005-0000-0000-0000D6040000}"/>
    <cellStyle name="Финансовый 36 2" xfId="1175" xr:uid="{00000000-0005-0000-0000-0000D7040000}"/>
    <cellStyle name="Финансовый 37" xfId="1176" xr:uid="{00000000-0005-0000-0000-0000D8040000}"/>
    <cellStyle name="Финансовый 37 2" xfId="1177" xr:uid="{00000000-0005-0000-0000-0000D9040000}"/>
    <cellStyle name="Финансовый 38" xfId="1178" xr:uid="{00000000-0005-0000-0000-0000DA040000}"/>
    <cellStyle name="Финансовый 38 2" xfId="1179" xr:uid="{00000000-0005-0000-0000-0000DB040000}"/>
    <cellStyle name="Финансовый 39" xfId="1180" xr:uid="{00000000-0005-0000-0000-0000DC040000}"/>
    <cellStyle name="Финансовый 4" xfId="1181" xr:uid="{00000000-0005-0000-0000-0000DD040000}"/>
    <cellStyle name="Финансовый 4 10" xfId="1806" xr:uid="{56E33CDC-88B3-4869-888E-0D0C21C1D71F}"/>
    <cellStyle name="Финансовый 4 11" xfId="2318" xr:uid="{4B7C64CA-6899-463E-9A9F-D62C23CB9C6E}"/>
    <cellStyle name="Финансовый 4 2" xfId="1182" xr:uid="{00000000-0005-0000-0000-0000DE040000}"/>
    <cellStyle name="Финансовый 4 2 2" xfId="1183" xr:uid="{00000000-0005-0000-0000-0000DF040000}"/>
    <cellStyle name="Финансовый 4 2 2 2" xfId="1184" xr:uid="{00000000-0005-0000-0000-0000E0040000}"/>
    <cellStyle name="Финансовый 4 2 2 3" xfId="1808" xr:uid="{57CF1EDF-E091-4332-8A87-90013ECAC4F0}"/>
    <cellStyle name="Финансовый 4 2 2 4" xfId="2320" xr:uid="{E45F54DF-E57C-416D-A376-C348BBCA543B}"/>
    <cellStyle name="Финансовый 4 2 3" xfId="1185" xr:uid="{00000000-0005-0000-0000-0000E1040000}"/>
    <cellStyle name="Финансовый 4 2 4" xfId="1807" xr:uid="{250E50BA-478D-48BB-A12E-64683677E081}"/>
    <cellStyle name="Финансовый 4 2 5" xfId="2319" xr:uid="{58547A9C-9D18-4CD3-8E52-A84BEF369400}"/>
    <cellStyle name="Финансовый 4 3" xfId="1186" xr:uid="{00000000-0005-0000-0000-0000E2040000}"/>
    <cellStyle name="Финансовый 4 3 2" xfId="1187" xr:uid="{00000000-0005-0000-0000-0000E3040000}"/>
    <cellStyle name="Финансовый 4 3 3" xfId="1809" xr:uid="{D23D314F-67FB-4522-96F7-871AC41F3933}"/>
    <cellStyle name="Финансовый 4 3 4" xfId="2321" xr:uid="{9E1FBF95-6ABA-47AB-AF40-F5DAE86E3C01}"/>
    <cellStyle name="Финансовый 4 4" xfId="1188" xr:uid="{00000000-0005-0000-0000-0000E4040000}"/>
    <cellStyle name="Финансовый 4 4 2" xfId="1189" xr:uid="{00000000-0005-0000-0000-0000E5040000}"/>
    <cellStyle name="Финансовый 4 4 3" xfId="1810" xr:uid="{5170BF09-3EFA-4FBA-9393-311C1F5182E1}"/>
    <cellStyle name="Финансовый 4 4 4" xfId="2322" xr:uid="{B4BF532E-9585-4061-A998-0B100701CDAF}"/>
    <cellStyle name="Финансовый 4 5" xfId="1190" xr:uid="{00000000-0005-0000-0000-0000E6040000}"/>
    <cellStyle name="Финансовый 4 6" xfId="1191" xr:uid="{00000000-0005-0000-0000-0000E7040000}"/>
    <cellStyle name="Финансовый 4 7" xfId="1192" xr:uid="{00000000-0005-0000-0000-0000E8040000}"/>
    <cellStyle name="Финансовый 4 8" xfId="1193" xr:uid="{00000000-0005-0000-0000-0000E9040000}"/>
    <cellStyle name="Финансовый 4 9" xfId="1194" xr:uid="{00000000-0005-0000-0000-0000EA040000}"/>
    <cellStyle name="Финансовый 40" xfId="1195" xr:uid="{00000000-0005-0000-0000-0000EB040000}"/>
    <cellStyle name="Финансовый 41" xfId="1196" xr:uid="{00000000-0005-0000-0000-0000EC040000}"/>
    <cellStyle name="Финансовый 42" xfId="1197" xr:uid="{00000000-0005-0000-0000-0000ED040000}"/>
    <cellStyle name="Финансовый 42 2" xfId="1198" xr:uid="{00000000-0005-0000-0000-0000EE040000}"/>
    <cellStyle name="Финансовый 44" xfId="1199" xr:uid="{00000000-0005-0000-0000-0000EF040000}"/>
    <cellStyle name="Финансовый 46" xfId="1200" xr:uid="{00000000-0005-0000-0000-0000F0040000}"/>
    <cellStyle name="Финансовый 47" xfId="1201" xr:uid="{00000000-0005-0000-0000-0000F1040000}"/>
    <cellStyle name="Финансовый 5" xfId="1202" xr:uid="{00000000-0005-0000-0000-0000F2040000}"/>
    <cellStyle name="Финансовый 5 2" xfId="1203" xr:uid="{00000000-0005-0000-0000-0000F3040000}"/>
    <cellStyle name="Финансовый 5 2 2" xfId="1204" xr:uid="{00000000-0005-0000-0000-0000F4040000}"/>
    <cellStyle name="Финансовый 5 2 2 2" xfId="1811" xr:uid="{AC9E240C-7AEA-4E1E-A1D0-8DA4107A007E}"/>
    <cellStyle name="Финансовый 5 3" xfId="1205" xr:uid="{00000000-0005-0000-0000-0000F5040000}"/>
    <cellStyle name="Финансовый 5 3 2" xfId="1206" xr:uid="{00000000-0005-0000-0000-0000F6040000}"/>
    <cellStyle name="Финансовый 5 3 3" xfId="1207" xr:uid="{00000000-0005-0000-0000-0000F7040000}"/>
    <cellStyle name="Финансовый 5 4" xfId="1208" xr:uid="{00000000-0005-0000-0000-0000F8040000}"/>
    <cellStyle name="Финансовый 5 5" xfId="1209" xr:uid="{00000000-0005-0000-0000-0000F9040000}"/>
    <cellStyle name="Финансовый 6" xfId="1210" xr:uid="{00000000-0005-0000-0000-0000FA040000}"/>
    <cellStyle name="Финансовый 6 2" xfId="1211" xr:uid="{00000000-0005-0000-0000-0000FB040000}"/>
    <cellStyle name="Финансовый 6 2 2" xfId="1212" xr:uid="{00000000-0005-0000-0000-0000FC040000}"/>
    <cellStyle name="Финансовый 6 2 3" xfId="1213" xr:uid="{00000000-0005-0000-0000-0000FD040000}"/>
    <cellStyle name="Финансовый 6 2 3 2" xfId="1813" xr:uid="{DFD4D407-4B36-43D7-B0BB-FFB24DCD9923}"/>
    <cellStyle name="Финансовый 6 3" xfId="1214" xr:uid="{00000000-0005-0000-0000-0000FE040000}"/>
    <cellStyle name="Финансовый 6 4" xfId="1215" xr:uid="{00000000-0005-0000-0000-0000FF040000}"/>
    <cellStyle name="Финансовый 6 5" xfId="1812" xr:uid="{097C7C6B-FF37-4EF7-91F3-A606DEAE4B1F}"/>
    <cellStyle name="Финансовый 6 6" xfId="2323" xr:uid="{BF1CA04E-6E3D-4750-875D-E9331995AB10}"/>
    <cellStyle name="Финансовый 7" xfId="1216" xr:uid="{00000000-0005-0000-0000-000000050000}"/>
    <cellStyle name="Финансовый 7 2" xfId="1217" xr:uid="{00000000-0005-0000-0000-000001050000}"/>
    <cellStyle name="Финансовый 7 2 2" xfId="1218" xr:uid="{00000000-0005-0000-0000-000002050000}"/>
    <cellStyle name="Финансовый 7 2 2 2" xfId="1815" xr:uid="{E084DBDF-7319-48B0-B8B9-4514A7052910}"/>
    <cellStyle name="Финансовый 7 2 2 3" xfId="2325" xr:uid="{39BFB6C8-A270-42F3-93CA-649752594092}"/>
    <cellStyle name="Финансовый 7 2 3" xfId="1219" xr:uid="{00000000-0005-0000-0000-000003050000}"/>
    <cellStyle name="Финансовый 7 2 3 2" xfId="1816" xr:uid="{FE7FB637-87E8-4EC9-84E7-6A35E34E4E28}"/>
    <cellStyle name="Финансовый 7 2 4" xfId="1814" xr:uid="{E06751BB-BD40-40B9-AFAF-D9D52C17CD0F}"/>
    <cellStyle name="Финансовый 7 2 5" xfId="2324" xr:uid="{7E03D25A-7C93-4E41-B392-268D8F2508FC}"/>
    <cellStyle name="Финансовый 7 3" xfId="1220" xr:uid="{00000000-0005-0000-0000-000004050000}"/>
    <cellStyle name="Финансовый 8" xfId="1221" xr:uid="{00000000-0005-0000-0000-000005050000}"/>
    <cellStyle name="Финансовый 8 2" xfId="1222" xr:uid="{00000000-0005-0000-0000-000006050000}"/>
    <cellStyle name="Финансовый 8 2 2" xfId="1818" xr:uid="{BE8F8E8B-D193-4E84-A6FD-85101B141DD6}"/>
    <cellStyle name="Финансовый 8 2 3" xfId="2327" xr:uid="{044A0A23-0DCF-41DE-A08B-4350BD059CBE}"/>
    <cellStyle name="Финансовый 8 3" xfId="1817" xr:uid="{DF8090B3-46CB-4604-A9A6-00EBC443321E}"/>
    <cellStyle name="Финансовый 8 4" xfId="2326" xr:uid="{15C715B8-4F90-44EA-8E16-498D75380C9D}"/>
    <cellStyle name="Финансовый 9" xfId="1223" xr:uid="{00000000-0005-0000-0000-000007050000}"/>
    <cellStyle name="Финансовый 9 2" xfId="1819" xr:uid="{239A766D-7800-4D57-8504-6064E32007F8}"/>
    <cellStyle name="Финансовый 9 3" xfId="2328" xr:uid="{4A1B6C35-CB99-41CC-9809-525562CEA161}"/>
    <cellStyle name="Џђћ–…ќ’ќ›‰" xfId="1224" xr:uid="{00000000-0005-0000-0000-000008050000}"/>
  </cellStyles>
  <dxfs count="268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4">
          <cell r="C24">
            <v>7754313870</v>
          </cell>
        </row>
        <row r="45">
          <cell r="C45">
            <v>12638456623</v>
          </cell>
        </row>
        <row r="76">
          <cell r="C76">
            <v>107582490</v>
          </cell>
        </row>
        <row r="77">
          <cell r="C77">
            <v>1673505943</v>
          </cell>
        </row>
      </sheetData>
      <sheetData sheetId="1" refreshError="1"/>
      <sheetData sheetId="2">
        <row r="23">
          <cell r="C23">
            <v>1.1086379749329072</v>
          </cell>
          <cell r="D23">
            <v>1.1563961389563551</v>
          </cell>
          <cell r="E23">
            <v>1.0606035851512252</v>
          </cell>
        </row>
        <row r="28">
          <cell r="C28">
            <v>1.0801928482327652</v>
          </cell>
          <cell r="D28">
            <v>1.0178284812548508</v>
          </cell>
          <cell r="E28">
            <v>1.1818679730111574</v>
          </cell>
        </row>
        <row r="50">
          <cell r="C50">
            <v>275814140</v>
          </cell>
          <cell r="D50">
            <v>94523351</v>
          </cell>
          <cell r="E50">
            <v>181290789</v>
          </cell>
        </row>
        <row r="51">
          <cell r="C51">
            <v>1238811513</v>
          </cell>
          <cell r="D51">
            <v>988225440</v>
          </cell>
          <cell r="E51">
            <v>250586073</v>
          </cell>
        </row>
        <row r="52">
          <cell r="C52">
            <v>558326754</v>
          </cell>
          <cell r="D52">
            <v>446829</v>
          </cell>
          <cell r="E52">
            <v>557879925</v>
          </cell>
        </row>
        <row r="53">
          <cell r="C53">
            <v>0</v>
          </cell>
          <cell r="D53">
            <v>0</v>
          </cell>
          <cell r="E53">
            <v>0</v>
          </cell>
        </row>
        <row r="54">
          <cell r="C54">
            <v>418105000</v>
          </cell>
          <cell r="D54">
            <v>418105000</v>
          </cell>
          <cell r="E54">
            <v>0</v>
          </cell>
        </row>
        <row r="57">
          <cell r="C57">
            <v>2491057407</v>
          </cell>
          <cell r="D57">
            <v>1501300620</v>
          </cell>
          <cell r="E57">
            <v>989756787</v>
          </cell>
        </row>
      </sheetData>
      <sheetData sheetId="3" refreshError="1"/>
      <sheetData sheetId="4" refreshError="1"/>
      <sheetData sheetId="5">
        <row r="22">
          <cell r="C22">
            <v>2036926378</v>
          </cell>
          <cell r="E22">
            <v>311228376</v>
          </cell>
          <cell r="G22">
            <v>124862058</v>
          </cell>
          <cell r="I22">
            <v>251357501</v>
          </cell>
          <cell r="K22">
            <v>619784088</v>
          </cell>
          <cell r="M22">
            <v>1000290463</v>
          </cell>
          <cell r="O22">
            <v>1661540393</v>
          </cell>
          <cell r="Q22">
            <v>790119926</v>
          </cell>
          <cell r="S22">
            <v>6796109183</v>
          </cell>
        </row>
        <row r="39">
          <cell r="C39">
            <v>2248375522</v>
          </cell>
          <cell r="E39">
            <v>356497169</v>
          </cell>
          <cell r="G39">
            <v>437963211</v>
          </cell>
          <cell r="I39">
            <v>1588078480</v>
          </cell>
          <cell r="K39">
            <v>867893051</v>
          </cell>
          <cell r="M39">
            <v>1391830775</v>
          </cell>
        </row>
      </sheetData>
      <sheetData sheetId="6" refreshError="1"/>
      <sheetData sheetId="7" refreshError="1"/>
      <sheetData sheetId="8">
        <row r="6">
          <cell r="C6">
            <v>468677597</v>
          </cell>
          <cell r="D6">
            <v>70504468</v>
          </cell>
        </row>
        <row r="15">
          <cell r="C15">
            <v>440584422</v>
          </cell>
          <cell r="D15">
            <v>28130995</v>
          </cell>
        </row>
        <row r="22">
          <cell r="C22">
            <v>6796109183</v>
          </cell>
          <cell r="D22">
            <v>2044314043</v>
          </cell>
        </row>
      </sheetData>
      <sheetData sheetId="9">
        <row r="6">
          <cell r="B6">
            <v>0</v>
          </cell>
        </row>
        <row r="7">
          <cell r="B7">
            <v>0</v>
          </cell>
        </row>
        <row r="15">
          <cell r="B15">
            <v>98339066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/>
        </row>
        <row r="34">
          <cell r="C34">
            <v>1356922323</v>
          </cell>
        </row>
        <row r="44">
          <cell r="C44">
            <v>1568854517</v>
          </cell>
        </row>
        <row r="45">
          <cell r="C45">
            <v>11876672657.916538</v>
          </cell>
        </row>
        <row r="49">
          <cell r="C49">
            <v>0.1140646342641264</v>
          </cell>
        </row>
        <row r="50">
          <cell r="C50">
            <v>0.11425105011171013</v>
          </cell>
        </row>
        <row r="51">
          <cell r="C51">
            <v>0.13209545823040439</v>
          </cell>
        </row>
        <row r="57">
          <cell r="C57">
            <v>9.3587296452882149E-2</v>
          </cell>
        </row>
      </sheetData>
      <sheetData sheetId="1"/>
      <sheetData sheetId="2"/>
      <sheetData sheetId="3"/>
      <sheetData sheetId="4"/>
      <sheetData sheetId="5">
        <row r="26">
          <cell r="C26">
            <v>115933923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F72"/>
  <sheetViews>
    <sheetView zoomScale="60" zoomScaleNormal="60" zoomScaleSheetLayoutView="5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P9" sqref="P9:S9"/>
    </sheetView>
  </sheetViews>
  <sheetFormatPr defaultRowHeight="15.75"/>
  <cols>
    <col min="1" max="1" width="8" style="33" customWidth="1"/>
    <col min="2" max="2" width="108.7109375" style="34" customWidth="1"/>
    <col min="3" max="3" width="19.42578125" style="157" customWidth="1"/>
    <col min="4" max="8" width="18.28515625" style="33" customWidth="1"/>
    <col min="9" max="9" width="19.42578125" style="33" customWidth="1"/>
    <col min="10" max="13" width="18" style="33" customWidth="1"/>
    <col min="14" max="14" width="19.42578125" style="33" customWidth="1"/>
    <col min="15" max="19" width="16" style="33" customWidth="1"/>
    <col min="20" max="20" width="9.140625" style="33"/>
    <col min="21" max="21" width="14.85546875" style="33" customWidth="1"/>
    <col min="22" max="16384" width="9.140625" style="33"/>
  </cols>
  <sheetData>
    <row r="1" spans="1:21" s="154" customFormat="1" ht="27.75" customHeight="1">
      <c r="A1" s="669" t="s">
        <v>641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1" t="s">
        <v>381</v>
      </c>
      <c r="S1" s="671"/>
      <c r="U1" s="648" t="s">
        <v>860</v>
      </c>
    </row>
    <row r="2" spans="1:21" ht="8.25" customHeight="1"/>
    <row r="3" spans="1:21" s="278" customFormat="1" ht="26.25">
      <c r="B3" s="649" t="s">
        <v>905</v>
      </c>
      <c r="C3" s="279"/>
      <c r="M3" s="316"/>
      <c r="P3" s="664">
        <v>44561</v>
      </c>
      <c r="Q3" s="664"/>
      <c r="R3" s="277"/>
      <c r="S3" s="456" t="s">
        <v>382</v>
      </c>
    </row>
    <row r="4" spans="1:21" s="264" customFormat="1" ht="30.75" customHeight="1">
      <c r="A4" s="665" t="s">
        <v>83</v>
      </c>
      <c r="B4" s="665" t="s">
        <v>383</v>
      </c>
      <c r="C4" s="665" t="s">
        <v>384</v>
      </c>
      <c r="D4" s="673" t="s">
        <v>385</v>
      </c>
      <c r="E4" s="674"/>
      <c r="F4" s="674"/>
      <c r="G4" s="674"/>
      <c r="H4" s="675"/>
      <c r="I4" s="667" t="s">
        <v>386</v>
      </c>
      <c r="J4" s="668"/>
      <c r="K4" s="668"/>
      <c r="L4" s="668"/>
      <c r="M4" s="682"/>
      <c r="N4" s="667" t="s">
        <v>387</v>
      </c>
      <c r="O4" s="668"/>
      <c r="P4" s="668"/>
      <c r="Q4" s="668"/>
      <c r="R4" s="668"/>
      <c r="S4" s="682"/>
    </row>
    <row r="5" spans="1:21" s="264" customFormat="1" ht="30.75" customHeight="1">
      <c r="A5" s="672"/>
      <c r="B5" s="672"/>
      <c r="C5" s="672"/>
      <c r="D5" s="676"/>
      <c r="E5" s="677"/>
      <c r="F5" s="677"/>
      <c r="G5" s="677"/>
      <c r="H5" s="678"/>
      <c r="I5" s="665" t="s">
        <v>388</v>
      </c>
      <c r="J5" s="665" t="s">
        <v>389</v>
      </c>
      <c r="K5" s="665" t="s">
        <v>390</v>
      </c>
      <c r="L5" s="665" t="s">
        <v>391</v>
      </c>
      <c r="M5" s="665" t="s">
        <v>392</v>
      </c>
      <c r="N5" s="667" t="s">
        <v>393</v>
      </c>
      <c r="O5" s="668"/>
      <c r="P5" s="668"/>
      <c r="Q5" s="668"/>
      <c r="R5" s="668"/>
      <c r="S5" s="682"/>
    </row>
    <row r="6" spans="1:21" s="264" customFormat="1" ht="30.75" customHeight="1">
      <c r="A6" s="672"/>
      <c r="B6" s="672"/>
      <c r="C6" s="672"/>
      <c r="D6" s="679"/>
      <c r="E6" s="680"/>
      <c r="F6" s="680"/>
      <c r="G6" s="680"/>
      <c r="H6" s="681"/>
      <c r="I6" s="672"/>
      <c r="J6" s="672"/>
      <c r="K6" s="672"/>
      <c r="L6" s="672"/>
      <c r="M6" s="672"/>
      <c r="N6" s="665" t="s">
        <v>388</v>
      </c>
      <c r="O6" s="667" t="s">
        <v>394</v>
      </c>
      <c r="P6" s="668"/>
      <c r="Q6" s="668"/>
      <c r="R6" s="668"/>
      <c r="S6" s="668"/>
    </row>
    <row r="7" spans="1:21" s="264" customFormat="1" ht="21" customHeight="1">
      <c r="A7" s="666"/>
      <c r="B7" s="666"/>
      <c r="C7" s="666"/>
      <c r="D7" s="265" t="s">
        <v>252</v>
      </c>
      <c r="E7" s="265" t="s">
        <v>75</v>
      </c>
      <c r="F7" s="265" t="s">
        <v>77</v>
      </c>
      <c r="G7" s="265" t="s">
        <v>78</v>
      </c>
      <c r="H7" s="265" t="s">
        <v>81</v>
      </c>
      <c r="I7" s="666"/>
      <c r="J7" s="666"/>
      <c r="K7" s="666"/>
      <c r="L7" s="666"/>
      <c r="M7" s="666"/>
      <c r="N7" s="666"/>
      <c r="O7" s="265" t="s">
        <v>252</v>
      </c>
      <c r="P7" s="265" t="s">
        <v>75</v>
      </c>
      <c r="Q7" s="265" t="s">
        <v>77</v>
      </c>
      <c r="R7" s="265" t="s">
        <v>78</v>
      </c>
      <c r="S7" s="265" t="s">
        <v>81</v>
      </c>
    </row>
    <row r="8" spans="1:21" s="35" customFormat="1">
      <c r="A8" s="36" t="s">
        <v>182</v>
      </c>
      <c r="B8" s="69" t="s">
        <v>183</v>
      </c>
      <c r="C8" s="158" t="s">
        <v>195</v>
      </c>
      <c r="D8" s="69" t="s">
        <v>184</v>
      </c>
      <c r="E8" s="69" t="s">
        <v>185</v>
      </c>
      <c r="F8" s="69" t="s">
        <v>196</v>
      </c>
      <c r="G8" s="69" t="s">
        <v>186</v>
      </c>
      <c r="H8" s="69" t="s">
        <v>187</v>
      </c>
      <c r="I8" s="69" t="s">
        <v>188</v>
      </c>
      <c r="J8" s="69" t="s">
        <v>189</v>
      </c>
      <c r="K8" s="69" t="s">
        <v>190</v>
      </c>
      <c r="L8" s="69" t="s">
        <v>191</v>
      </c>
      <c r="M8" s="69" t="s">
        <v>192</v>
      </c>
      <c r="N8" s="69" t="s">
        <v>395</v>
      </c>
      <c r="O8" s="69" t="s">
        <v>396</v>
      </c>
      <c r="P8" s="69" t="s">
        <v>397</v>
      </c>
      <c r="Q8" s="69" t="s">
        <v>398</v>
      </c>
      <c r="R8" s="69" t="s">
        <v>643</v>
      </c>
      <c r="S8" s="69" t="s">
        <v>681</v>
      </c>
    </row>
    <row r="9" spans="1:21" s="35" customFormat="1" ht="29.25" customHeight="1">
      <c r="A9" s="247"/>
      <c r="B9" s="248" t="s">
        <v>620</v>
      </c>
      <c r="C9" s="249">
        <f t="shared" ref="C9:S9" si="0">SUM(C10:C60)</f>
        <v>12638456623</v>
      </c>
      <c r="D9" s="249">
        <f t="shared" si="0"/>
        <v>11780546199</v>
      </c>
      <c r="E9" s="249">
        <f t="shared" si="0"/>
        <v>624369631</v>
      </c>
      <c r="F9" s="249">
        <f t="shared" si="0"/>
        <v>74161881</v>
      </c>
      <c r="G9" s="249">
        <f t="shared" si="0"/>
        <v>80999105</v>
      </c>
      <c r="H9" s="249">
        <f t="shared" si="0"/>
        <v>180403995</v>
      </c>
      <c r="I9" s="249">
        <f t="shared" si="0"/>
        <v>98862165</v>
      </c>
      <c r="J9" s="249">
        <f t="shared" si="0"/>
        <v>7405420</v>
      </c>
      <c r="K9" s="249">
        <f t="shared" si="0"/>
        <v>7265385</v>
      </c>
      <c r="L9" s="249">
        <f t="shared" si="0"/>
        <v>27575044</v>
      </c>
      <c r="M9" s="249">
        <f t="shared" si="0"/>
        <v>56616316</v>
      </c>
      <c r="N9" s="249">
        <f t="shared" si="0"/>
        <v>203806441</v>
      </c>
      <c r="O9" s="249">
        <f t="shared" si="0"/>
        <v>101782253</v>
      </c>
      <c r="P9" s="249">
        <f t="shared" si="0"/>
        <v>21153423</v>
      </c>
      <c r="Q9" s="249">
        <f t="shared" si="0"/>
        <v>6483802</v>
      </c>
      <c r="R9" s="249">
        <f t="shared" si="0"/>
        <v>16043961</v>
      </c>
      <c r="S9" s="249">
        <f t="shared" si="0"/>
        <v>58343002</v>
      </c>
    </row>
    <row r="10" spans="1:21" s="32" customFormat="1" ht="23.25" customHeight="1">
      <c r="A10" s="37" t="s">
        <v>5</v>
      </c>
      <c r="B10" s="210" t="s">
        <v>561</v>
      </c>
      <c r="C10" s="208">
        <f>SUM(D10:H10)-N10+O10</f>
        <v>275813889</v>
      </c>
      <c r="D10" s="172">
        <v>275813889</v>
      </c>
      <c r="E10" s="172">
        <v>0</v>
      </c>
      <c r="F10" s="172">
        <v>0</v>
      </c>
      <c r="G10" s="172">
        <v>0</v>
      </c>
      <c r="H10" s="172">
        <v>0</v>
      </c>
      <c r="I10" s="208">
        <f t="shared" ref="I10:I11" si="1">SUM(J10:M10)</f>
        <v>0</v>
      </c>
      <c r="J10" s="172">
        <v>0</v>
      </c>
      <c r="K10" s="172">
        <v>0</v>
      </c>
      <c r="L10" s="172">
        <v>0</v>
      </c>
      <c r="M10" s="172">
        <v>0</v>
      </c>
      <c r="N10" s="208">
        <f>SUM(O10:S10)</f>
        <v>2382993</v>
      </c>
      <c r="O10" s="172">
        <v>2382993</v>
      </c>
      <c r="P10" s="172">
        <v>0</v>
      </c>
      <c r="Q10" s="172">
        <v>0</v>
      </c>
      <c r="R10" s="172">
        <v>0</v>
      </c>
      <c r="S10" s="172">
        <v>0</v>
      </c>
      <c r="T10" s="32">
        <v>10100</v>
      </c>
      <c r="U10"/>
    </row>
    <row r="11" spans="1:21" s="32" customFormat="1" ht="23.25" customHeight="1">
      <c r="A11" s="37" t="s">
        <v>8</v>
      </c>
      <c r="B11" s="210" t="s">
        <v>504</v>
      </c>
      <c r="C11" s="208">
        <f t="shared" ref="C11:C60" si="2">SUM(D11:H11)-N11+O11</f>
        <v>1238811513</v>
      </c>
      <c r="D11" s="172">
        <v>1238811513</v>
      </c>
      <c r="E11" s="172">
        <v>0</v>
      </c>
      <c r="F11" s="172">
        <v>0</v>
      </c>
      <c r="G11" s="172">
        <v>0</v>
      </c>
      <c r="H11" s="172">
        <v>0</v>
      </c>
      <c r="I11" s="208">
        <f t="shared" si="1"/>
        <v>0</v>
      </c>
      <c r="J11" s="172">
        <v>0</v>
      </c>
      <c r="K11" s="172">
        <v>0</v>
      </c>
      <c r="L11" s="172">
        <v>0</v>
      </c>
      <c r="M11" s="172">
        <v>0</v>
      </c>
      <c r="N11" s="208">
        <f t="shared" ref="N11:N60" si="3">SUM(O11:S11)</f>
        <v>10703156</v>
      </c>
      <c r="O11" s="172">
        <v>10703156</v>
      </c>
      <c r="P11" s="172">
        <v>0</v>
      </c>
      <c r="Q11" s="172">
        <v>0</v>
      </c>
      <c r="R11" s="172">
        <v>0</v>
      </c>
      <c r="S11" s="172">
        <v>0</v>
      </c>
      <c r="T11" s="244">
        <v>10300</v>
      </c>
      <c r="U11"/>
    </row>
    <row r="12" spans="1:21" s="32" customFormat="1" ht="23.25" customHeight="1">
      <c r="A12" s="37" t="s">
        <v>9</v>
      </c>
      <c r="B12" s="210" t="s">
        <v>201</v>
      </c>
      <c r="C12" s="208">
        <f t="shared" si="2"/>
        <v>901416758</v>
      </c>
      <c r="D12" s="172">
        <v>901416758</v>
      </c>
      <c r="E12" s="172">
        <v>0</v>
      </c>
      <c r="F12" s="173">
        <v>0</v>
      </c>
      <c r="G12" s="173">
        <v>0</v>
      </c>
      <c r="H12" s="173">
        <v>0</v>
      </c>
      <c r="I12" s="208">
        <f>SUM(J12:M12)</f>
        <v>0</v>
      </c>
      <c r="J12" s="172">
        <v>0</v>
      </c>
      <c r="K12" s="172">
        <v>0</v>
      </c>
      <c r="L12" s="172">
        <v>0</v>
      </c>
      <c r="M12" s="172">
        <v>0</v>
      </c>
      <c r="N12" s="208">
        <f t="shared" si="3"/>
        <v>7788113</v>
      </c>
      <c r="O12" s="172">
        <v>7788113</v>
      </c>
      <c r="P12" s="172">
        <v>0</v>
      </c>
      <c r="Q12" s="172">
        <v>0</v>
      </c>
      <c r="R12" s="172">
        <v>0</v>
      </c>
      <c r="S12" s="172">
        <v>0</v>
      </c>
      <c r="T12" s="244">
        <v>10500</v>
      </c>
      <c r="U12"/>
    </row>
    <row r="13" spans="1:21" s="32" customFormat="1" ht="23.25" customHeight="1">
      <c r="A13" s="37" t="s">
        <v>7</v>
      </c>
      <c r="B13" s="210" t="s">
        <v>399</v>
      </c>
      <c r="C13" s="208">
        <f t="shared" si="2"/>
        <v>409972435</v>
      </c>
      <c r="D13" s="172">
        <v>409972435</v>
      </c>
      <c r="E13" s="173">
        <v>0</v>
      </c>
      <c r="F13" s="173">
        <v>0</v>
      </c>
      <c r="G13" s="173">
        <v>0</v>
      </c>
      <c r="H13" s="173">
        <v>0</v>
      </c>
      <c r="I13" s="208">
        <f t="shared" ref="I13:I60" si="4">SUM(J13:M13)</f>
        <v>0</v>
      </c>
      <c r="J13" s="172">
        <v>0</v>
      </c>
      <c r="K13" s="172">
        <v>0</v>
      </c>
      <c r="L13" s="172">
        <v>0</v>
      </c>
      <c r="M13" s="172">
        <v>0</v>
      </c>
      <c r="N13" s="208">
        <f t="shared" si="3"/>
        <v>3542104</v>
      </c>
      <c r="O13" s="172">
        <v>3542104</v>
      </c>
      <c r="P13" s="172">
        <v>0</v>
      </c>
      <c r="Q13" s="172">
        <v>0</v>
      </c>
      <c r="R13" s="172">
        <v>0</v>
      </c>
      <c r="S13" s="172">
        <v>0</v>
      </c>
      <c r="T13" s="32">
        <v>10700</v>
      </c>
      <c r="U13"/>
    </row>
    <row r="14" spans="1:21" s="32" customFormat="1" ht="23.25" customHeight="1">
      <c r="A14" s="37" t="s">
        <v>6</v>
      </c>
      <c r="B14" s="210" t="s">
        <v>400</v>
      </c>
      <c r="C14" s="208">
        <f t="shared" si="2"/>
        <v>0</v>
      </c>
      <c r="D14" s="172">
        <v>0</v>
      </c>
      <c r="E14" s="173">
        <v>0</v>
      </c>
      <c r="F14" s="173">
        <v>0</v>
      </c>
      <c r="G14" s="173">
        <v>0</v>
      </c>
      <c r="H14" s="173">
        <v>0</v>
      </c>
      <c r="I14" s="208">
        <f t="shared" si="4"/>
        <v>0</v>
      </c>
      <c r="J14" s="172">
        <v>0</v>
      </c>
      <c r="K14" s="172">
        <v>0</v>
      </c>
      <c r="L14" s="172">
        <v>0</v>
      </c>
      <c r="M14" s="172">
        <v>0</v>
      </c>
      <c r="N14" s="208">
        <f t="shared" si="3"/>
        <v>0</v>
      </c>
      <c r="O14" s="172">
        <v>0</v>
      </c>
      <c r="P14" s="172">
        <v>0</v>
      </c>
      <c r="Q14" s="172">
        <v>0</v>
      </c>
      <c r="R14" s="172">
        <v>0</v>
      </c>
      <c r="S14" s="172">
        <v>0</v>
      </c>
      <c r="T14" s="32">
        <v>10800</v>
      </c>
      <c r="U14"/>
    </row>
    <row r="15" spans="1:21" s="32" customFormat="1" ht="23.25" customHeight="1">
      <c r="A15" s="37" t="s">
        <v>12</v>
      </c>
      <c r="B15" s="210" t="s">
        <v>401</v>
      </c>
      <c r="C15" s="208">
        <f t="shared" si="2"/>
        <v>251</v>
      </c>
      <c r="D15" s="172">
        <v>251</v>
      </c>
      <c r="E15" s="173">
        <v>0</v>
      </c>
      <c r="F15" s="173">
        <v>0</v>
      </c>
      <c r="G15" s="173">
        <v>0</v>
      </c>
      <c r="H15" s="173">
        <v>0</v>
      </c>
      <c r="I15" s="208">
        <f t="shared" si="4"/>
        <v>0</v>
      </c>
      <c r="J15" s="172">
        <v>0</v>
      </c>
      <c r="K15" s="172">
        <v>0</v>
      </c>
      <c r="L15" s="172">
        <v>0</v>
      </c>
      <c r="M15" s="172">
        <v>0</v>
      </c>
      <c r="N15" s="208">
        <f t="shared" si="3"/>
        <v>2</v>
      </c>
      <c r="O15" s="172">
        <v>2</v>
      </c>
      <c r="P15" s="172">
        <v>0</v>
      </c>
      <c r="Q15" s="172">
        <v>0</v>
      </c>
      <c r="R15" s="172">
        <v>0</v>
      </c>
      <c r="S15" s="172">
        <v>0</v>
      </c>
      <c r="T15" s="32">
        <v>10900</v>
      </c>
      <c r="U15"/>
    </row>
    <row r="16" spans="1:21" s="32" customFormat="1" ht="23.25" customHeight="1">
      <c r="A16" s="37" t="s">
        <v>11</v>
      </c>
      <c r="B16" s="210" t="s">
        <v>402</v>
      </c>
      <c r="C16" s="208">
        <f t="shared" si="2"/>
        <v>0</v>
      </c>
      <c r="D16" s="172">
        <v>0</v>
      </c>
      <c r="E16" s="173">
        <v>0</v>
      </c>
      <c r="F16" s="173">
        <v>0</v>
      </c>
      <c r="G16" s="173">
        <v>0</v>
      </c>
      <c r="H16" s="173">
        <v>0</v>
      </c>
      <c r="I16" s="208">
        <f t="shared" si="4"/>
        <v>0</v>
      </c>
      <c r="J16" s="172">
        <v>0</v>
      </c>
      <c r="K16" s="172">
        <v>0</v>
      </c>
      <c r="L16" s="172">
        <v>0</v>
      </c>
      <c r="M16" s="172">
        <v>0</v>
      </c>
      <c r="N16" s="208">
        <f t="shared" si="3"/>
        <v>0</v>
      </c>
      <c r="O16" s="172">
        <v>0</v>
      </c>
      <c r="P16" s="172">
        <v>0</v>
      </c>
      <c r="Q16" s="172">
        <v>0</v>
      </c>
      <c r="R16" s="172">
        <v>0</v>
      </c>
      <c r="S16" s="172">
        <v>0</v>
      </c>
      <c r="T16" s="32">
        <v>11100</v>
      </c>
      <c r="U16"/>
    </row>
    <row r="17" spans="1:21" s="32" customFormat="1" ht="23.25" customHeight="1">
      <c r="A17" s="37" t="s">
        <v>10</v>
      </c>
      <c r="B17" s="210" t="s">
        <v>403</v>
      </c>
      <c r="C17" s="208">
        <f t="shared" si="2"/>
        <v>0</v>
      </c>
      <c r="D17" s="172">
        <v>0</v>
      </c>
      <c r="E17" s="173">
        <v>0</v>
      </c>
      <c r="F17" s="173">
        <v>0</v>
      </c>
      <c r="G17" s="173">
        <v>0</v>
      </c>
      <c r="H17" s="173">
        <v>0</v>
      </c>
      <c r="I17" s="208">
        <f t="shared" si="4"/>
        <v>0</v>
      </c>
      <c r="J17" s="172">
        <v>0</v>
      </c>
      <c r="K17" s="172">
        <v>0</v>
      </c>
      <c r="L17" s="172">
        <v>0</v>
      </c>
      <c r="M17" s="172">
        <v>0</v>
      </c>
      <c r="N17" s="208">
        <f t="shared" si="3"/>
        <v>0</v>
      </c>
      <c r="O17" s="172">
        <v>0</v>
      </c>
      <c r="P17" s="172">
        <v>0</v>
      </c>
      <c r="Q17" s="172">
        <v>0</v>
      </c>
      <c r="R17" s="172">
        <v>0</v>
      </c>
      <c r="S17" s="172">
        <v>0</v>
      </c>
      <c r="T17" s="32">
        <v>11300</v>
      </c>
      <c r="U17"/>
    </row>
    <row r="18" spans="1:21" ht="23.25" customHeight="1">
      <c r="A18" s="37" t="s">
        <v>406</v>
      </c>
      <c r="B18" s="210" t="s">
        <v>404</v>
      </c>
      <c r="C18" s="208">
        <f t="shared" si="2"/>
        <v>532887227</v>
      </c>
      <c r="D18" s="172">
        <v>533298096</v>
      </c>
      <c r="E18" s="172">
        <v>0</v>
      </c>
      <c r="F18" s="173">
        <v>0</v>
      </c>
      <c r="G18" s="173">
        <v>0</v>
      </c>
      <c r="H18" s="173">
        <v>0</v>
      </c>
      <c r="I18" s="208">
        <f t="shared" si="4"/>
        <v>0</v>
      </c>
      <c r="J18" s="172">
        <v>0</v>
      </c>
      <c r="K18" s="172">
        <v>0</v>
      </c>
      <c r="L18" s="172">
        <v>0</v>
      </c>
      <c r="M18" s="172">
        <v>0</v>
      </c>
      <c r="N18" s="208">
        <f t="shared" si="3"/>
        <v>5018489</v>
      </c>
      <c r="O18" s="172">
        <v>4607620</v>
      </c>
      <c r="P18" s="172">
        <v>410869</v>
      </c>
      <c r="Q18" s="172">
        <v>0</v>
      </c>
      <c r="R18" s="172">
        <v>0</v>
      </c>
      <c r="S18" s="172">
        <v>0</v>
      </c>
      <c r="T18" s="245">
        <v>11500</v>
      </c>
      <c r="U18"/>
    </row>
    <row r="19" spans="1:21" ht="23.25" customHeight="1">
      <c r="A19" s="37" t="s">
        <v>408</v>
      </c>
      <c r="B19" s="210" t="s">
        <v>405</v>
      </c>
      <c r="C19" s="208">
        <f t="shared" si="2"/>
        <v>0</v>
      </c>
      <c r="D19" s="172">
        <v>0</v>
      </c>
      <c r="E19" s="172">
        <v>0</v>
      </c>
      <c r="F19" s="172">
        <v>0</v>
      </c>
      <c r="G19" s="172">
        <v>0</v>
      </c>
      <c r="H19" s="172">
        <v>0</v>
      </c>
      <c r="I19" s="208">
        <f t="shared" si="4"/>
        <v>0</v>
      </c>
      <c r="J19" s="172">
        <v>0</v>
      </c>
      <c r="K19" s="172">
        <v>0</v>
      </c>
      <c r="L19" s="172">
        <v>0</v>
      </c>
      <c r="M19" s="172">
        <v>0</v>
      </c>
      <c r="N19" s="208">
        <f t="shared" si="3"/>
        <v>0</v>
      </c>
      <c r="O19" s="172">
        <v>0</v>
      </c>
      <c r="P19" s="172">
        <v>0</v>
      </c>
      <c r="Q19" s="172">
        <v>0</v>
      </c>
      <c r="R19" s="172">
        <v>0</v>
      </c>
      <c r="S19" s="172">
        <v>0</v>
      </c>
      <c r="T19" s="245">
        <v>11700</v>
      </c>
      <c r="U19"/>
    </row>
    <row r="20" spans="1:21" ht="23.25" customHeight="1">
      <c r="A20" s="37" t="s">
        <v>410</v>
      </c>
      <c r="B20" s="211" t="s">
        <v>407</v>
      </c>
      <c r="C20" s="208">
        <f t="shared" si="2"/>
        <v>0</v>
      </c>
      <c r="D20" s="172">
        <v>0</v>
      </c>
      <c r="E20" s="172">
        <v>0</v>
      </c>
      <c r="F20" s="172">
        <v>0</v>
      </c>
      <c r="G20" s="172">
        <v>0</v>
      </c>
      <c r="H20" s="172">
        <v>0</v>
      </c>
      <c r="I20" s="208">
        <f t="shared" si="4"/>
        <v>0</v>
      </c>
      <c r="J20" s="172">
        <v>0</v>
      </c>
      <c r="K20" s="172">
        <v>0</v>
      </c>
      <c r="L20" s="172">
        <v>0</v>
      </c>
      <c r="M20" s="172">
        <v>0</v>
      </c>
      <c r="N20" s="208">
        <f t="shared" si="3"/>
        <v>0</v>
      </c>
      <c r="O20" s="172">
        <v>0</v>
      </c>
      <c r="P20" s="172">
        <v>0</v>
      </c>
      <c r="Q20" s="172">
        <v>0</v>
      </c>
      <c r="R20" s="172">
        <v>0</v>
      </c>
      <c r="S20" s="172">
        <v>0</v>
      </c>
      <c r="T20" s="245">
        <v>11800</v>
      </c>
      <c r="U20"/>
    </row>
    <row r="21" spans="1:21" ht="23.25" customHeight="1">
      <c r="A21" s="37" t="s">
        <v>412</v>
      </c>
      <c r="B21" s="210" t="s">
        <v>409</v>
      </c>
      <c r="C21" s="208">
        <f t="shared" si="2"/>
        <v>0</v>
      </c>
      <c r="D21" s="172">
        <v>0</v>
      </c>
      <c r="E21" s="172">
        <v>0</v>
      </c>
      <c r="F21" s="172">
        <v>0</v>
      </c>
      <c r="G21" s="172">
        <v>0</v>
      </c>
      <c r="H21" s="172">
        <v>0</v>
      </c>
      <c r="I21" s="208">
        <f t="shared" si="4"/>
        <v>0</v>
      </c>
      <c r="J21" s="172">
        <v>0</v>
      </c>
      <c r="K21" s="172">
        <v>0</v>
      </c>
      <c r="L21" s="172">
        <v>0</v>
      </c>
      <c r="M21" s="172">
        <v>0</v>
      </c>
      <c r="N21" s="208">
        <f t="shared" si="3"/>
        <v>0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245">
        <v>11900</v>
      </c>
      <c r="U21"/>
    </row>
    <row r="22" spans="1:21" ht="23.25" customHeight="1">
      <c r="A22" s="37" t="s">
        <v>414</v>
      </c>
      <c r="B22" s="210" t="s">
        <v>411</v>
      </c>
      <c r="C22" s="208">
        <f t="shared" si="2"/>
        <v>0</v>
      </c>
      <c r="D22" s="172">
        <v>0</v>
      </c>
      <c r="E22" s="172">
        <v>0</v>
      </c>
      <c r="F22" s="172">
        <v>0</v>
      </c>
      <c r="G22" s="172">
        <v>0</v>
      </c>
      <c r="H22" s="172">
        <v>0</v>
      </c>
      <c r="I22" s="208">
        <f t="shared" si="4"/>
        <v>0</v>
      </c>
      <c r="J22" s="172">
        <v>0</v>
      </c>
      <c r="K22" s="172">
        <v>0</v>
      </c>
      <c r="L22" s="172">
        <v>0</v>
      </c>
      <c r="M22" s="172">
        <v>0</v>
      </c>
      <c r="N22" s="208">
        <f t="shared" si="3"/>
        <v>0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245">
        <v>12100</v>
      </c>
      <c r="U22"/>
    </row>
    <row r="23" spans="1:21" ht="23.25" customHeight="1">
      <c r="A23" s="37" t="s">
        <v>416</v>
      </c>
      <c r="B23" s="210" t="s">
        <v>413</v>
      </c>
      <c r="C23" s="208">
        <f t="shared" si="2"/>
        <v>0</v>
      </c>
      <c r="D23" s="172">
        <v>0</v>
      </c>
      <c r="E23" s="172">
        <v>0</v>
      </c>
      <c r="F23" s="172">
        <v>0</v>
      </c>
      <c r="G23" s="172">
        <v>0</v>
      </c>
      <c r="H23" s="172">
        <v>0</v>
      </c>
      <c r="I23" s="208">
        <f t="shared" si="4"/>
        <v>0</v>
      </c>
      <c r="J23" s="172">
        <v>0</v>
      </c>
      <c r="K23" s="172">
        <v>0</v>
      </c>
      <c r="L23" s="172">
        <v>0</v>
      </c>
      <c r="M23" s="172">
        <v>0</v>
      </c>
      <c r="N23" s="208">
        <f t="shared" si="3"/>
        <v>0</v>
      </c>
      <c r="O23" s="172">
        <v>0</v>
      </c>
      <c r="P23" s="172">
        <v>0</v>
      </c>
      <c r="Q23" s="172">
        <v>0</v>
      </c>
      <c r="R23" s="172">
        <v>0</v>
      </c>
      <c r="S23" s="172">
        <v>0</v>
      </c>
      <c r="T23" s="245">
        <v>12300</v>
      </c>
      <c r="U23"/>
    </row>
    <row r="24" spans="1:21" ht="23.25" customHeight="1">
      <c r="A24" s="37" t="s">
        <v>418</v>
      </c>
      <c r="B24" s="210" t="s">
        <v>415</v>
      </c>
      <c r="C24" s="208">
        <f t="shared" si="2"/>
        <v>0</v>
      </c>
      <c r="D24" s="172">
        <v>0</v>
      </c>
      <c r="E24" s="172">
        <v>0</v>
      </c>
      <c r="F24" s="172">
        <v>0</v>
      </c>
      <c r="G24" s="172">
        <v>0</v>
      </c>
      <c r="H24" s="172">
        <v>0</v>
      </c>
      <c r="I24" s="208">
        <f t="shared" si="4"/>
        <v>0</v>
      </c>
      <c r="J24" s="172">
        <v>0</v>
      </c>
      <c r="K24" s="172">
        <v>0</v>
      </c>
      <c r="L24" s="172">
        <v>0</v>
      </c>
      <c r="M24" s="172">
        <v>0</v>
      </c>
      <c r="N24" s="208">
        <f t="shared" si="3"/>
        <v>0</v>
      </c>
      <c r="O24" s="172">
        <v>0</v>
      </c>
      <c r="P24" s="172">
        <v>0</v>
      </c>
      <c r="Q24" s="172">
        <v>0</v>
      </c>
      <c r="R24" s="172">
        <v>0</v>
      </c>
      <c r="S24" s="172">
        <v>0</v>
      </c>
      <c r="T24" s="245">
        <v>12400</v>
      </c>
      <c r="U24"/>
    </row>
    <row r="25" spans="1:21" ht="23.25" customHeight="1">
      <c r="A25" s="37" t="s">
        <v>420</v>
      </c>
      <c r="B25" s="210" t="s">
        <v>417</v>
      </c>
      <c r="C25" s="208">
        <f>SUM(D25:H25)-N25+O25</f>
        <v>34042869</v>
      </c>
      <c r="D25" s="172">
        <v>16634207</v>
      </c>
      <c r="E25" s="172">
        <v>3079075</v>
      </c>
      <c r="F25" s="172">
        <v>1721013</v>
      </c>
      <c r="G25" s="172">
        <v>4606101</v>
      </c>
      <c r="H25" s="172">
        <v>10421166</v>
      </c>
      <c r="I25" s="208">
        <f t="shared" si="4"/>
        <v>21416468</v>
      </c>
      <c r="J25" s="172">
        <v>1844849</v>
      </c>
      <c r="K25" s="172">
        <v>3017418</v>
      </c>
      <c r="L25" s="172">
        <v>6304297</v>
      </c>
      <c r="M25" s="172">
        <v>10249904</v>
      </c>
      <c r="N25" s="208">
        <f t="shared" si="3"/>
        <v>2562410</v>
      </c>
      <c r="O25" s="172">
        <v>143717</v>
      </c>
      <c r="P25" s="172">
        <v>52427</v>
      </c>
      <c r="Q25" s="172">
        <v>69528</v>
      </c>
      <c r="R25" s="172">
        <v>416725</v>
      </c>
      <c r="S25" s="172">
        <v>1880013</v>
      </c>
      <c r="T25" s="245">
        <v>12500</v>
      </c>
      <c r="U25"/>
    </row>
    <row r="26" spans="1:21" ht="23.25" customHeight="1">
      <c r="A26" s="37" t="s">
        <v>422</v>
      </c>
      <c r="B26" s="210" t="s">
        <v>419</v>
      </c>
      <c r="C26" s="208">
        <f t="shared" si="2"/>
        <v>9152218</v>
      </c>
      <c r="D26" s="172">
        <v>6496262</v>
      </c>
      <c r="E26" s="172">
        <v>314920</v>
      </c>
      <c r="F26" s="172">
        <v>112498</v>
      </c>
      <c r="G26" s="172">
        <v>310499</v>
      </c>
      <c r="H26" s="172">
        <v>2295711</v>
      </c>
      <c r="I26" s="208">
        <f t="shared" si="4"/>
        <v>3090751</v>
      </c>
      <c r="J26" s="172">
        <v>196646</v>
      </c>
      <c r="K26" s="172">
        <v>175397</v>
      </c>
      <c r="L26" s="172">
        <v>422997</v>
      </c>
      <c r="M26" s="172">
        <v>2295711</v>
      </c>
      <c r="N26" s="208">
        <f t="shared" si="3"/>
        <v>433799</v>
      </c>
      <c r="O26" s="172">
        <v>56127</v>
      </c>
      <c r="P26" s="172">
        <v>15333</v>
      </c>
      <c r="Q26" s="172">
        <v>0</v>
      </c>
      <c r="R26" s="172">
        <v>31942</v>
      </c>
      <c r="S26" s="172">
        <v>330397</v>
      </c>
      <c r="T26" s="245">
        <v>12600</v>
      </c>
      <c r="U26"/>
    </row>
    <row r="27" spans="1:21" ht="23.25" customHeight="1">
      <c r="A27" s="37" t="s">
        <v>424</v>
      </c>
      <c r="B27" s="210" t="s">
        <v>421</v>
      </c>
      <c r="C27" s="208">
        <f>SUM(D27:H27)-N27+O27</f>
        <v>9475734</v>
      </c>
      <c r="D27" s="172">
        <v>8800000</v>
      </c>
      <c r="E27" s="172">
        <v>750816</v>
      </c>
      <c r="F27" s="172">
        <v>0</v>
      </c>
      <c r="G27" s="172">
        <v>0</v>
      </c>
      <c r="H27" s="172">
        <v>0</v>
      </c>
      <c r="I27" s="208">
        <f t="shared" si="4"/>
        <v>750816</v>
      </c>
      <c r="J27" s="172">
        <v>0</v>
      </c>
      <c r="K27" s="172">
        <v>750816</v>
      </c>
      <c r="L27" s="172">
        <v>0</v>
      </c>
      <c r="M27" s="172">
        <v>0</v>
      </c>
      <c r="N27" s="208">
        <f t="shared" si="3"/>
        <v>151113</v>
      </c>
      <c r="O27" s="172">
        <v>76031</v>
      </c>
      <c r="P27" s="172">
        <v>75082</v>
      </c>
      <c r="Q27" s="172">
        <v>0</v>
      </c>
      <c r="R27" s="172">
        <v>0</v>
      </c>
      <c r="S27" s="172">
        <v>0</v>
      </c>
      <c r="T27" s="245">
        <v>12700</v>
      </c>
      <c r="U27"/>
    </row>
    <row r="28" spans="1:21" ht="33.75" customHeight="1">
      <c r="A28" s="37" t="s">
        <v>426</v>
      </c>
      <c r="B28" s="210" t="s">
        <v>423</v>
      </c>
      <c r="C28" s="208">
        <f t="shared" si="2"/>
        <v>9422734</v>
      </c>
      <c r="D28" s="172">
        <v>8871605</v>
      </c>
      <c r="E28" s="172">
        <v>208333</v>
      </c>
      <c r="F28" s="172">
        <v>342796</v>
      </c>
      <c r="G28" s="172">
        <v>0</v>
      </c>
      <c r="H28" s="172">
        <v>0</v>
      </c>
      <c r="I28" s="208">
        <f t="shared" si="4"/>
        <v>1417793</v>
      </c>
      <c r="J28" s="172">
        <v>833332</v>
      </c>
      <c r="K28" s="172">
        <v>33333</v>
      </c>
      <c r="L28" s="172">
        <v>0</v>
      </c>
      <c r="M28" s="172">
        <v>551128</v>
      </c>
      <c r="N28" s="208">
        <f t="shared" si="3"/>
        <v>76649</v>
      </c>
      <c r="O28" s="172">
        <v>76649</v>
      </c>
      <c r="P28" s="172">
        <v>0</v>
      </c>
      <c r="Q28" s="172">
        <v>0</v>
      </c>
      <c r="R28" s="172">
        <v>0</v>
      </c>
      <c r="S28" s="172">
        <v>0</v>
      </c>
      <c r="T28" s="245">
        <v>12800</v>
      </c>
      <c r="U28" s="246"/>
    </row>
    <row r="29" spans="1:21" ht="23.25" customHeight="1">
      <c r="A29" s="37" t="s">
        <v>428</v>
      </c>
      <c r="B29" s="210" t="s">
        <v>425</v>
      </c>
      <c r="C29" s="208">
        <f t="shared" si="2"/>
        <v>11190135</v>
      </c>
      <c r="D29" s="172">
        <v>11190135</v>
      </c>
      <c r="E29" s="172">
        <v>0</v>
      </c>
      <c r="F29" s="172">
        <v>0</v>
      </c>
      <c r="G29" s="172">
        <v>0</v>
      </c>
      <c r="H29" s="172">
        <v>0</v>
      </c>
      <c r="I29" s="208">
        <f t="shared" si="4"/>
        <v>0</v>
      </c>
      <c r="J29" s="172">
        <v>0</v>
      </c>
      <c r="K29" s="172">
        <v>0</v>
      </c>
      <c r="L29" s="172">
        <v>0</v>
      </c>
      <c r="M29" s="172">
        <v>0</v>
      </c>
      <c r="N29" s="208">
        <f t="shared" si="3"/>
        <v>96681</v>
      </c>
      <c r="O29" s="172">
        <v>96681</v>
      </c>
      <c r="P29" s="172">
        <v>0</v>
      </c>
      <c r="Q29" s="172">
        <v>0</v>
      </c>
      <c r="R29" s="172">
        <v>0</v>
      </c>
      <c r="S29" s="172">
        <v>0</v>
      </c>
      <c r="T29" s="245">
        <v>12900</v>
      </c>
      <c r="U29"/>
    </row>
    <row r="30" spans="1:21" ht="24" customHeight="1">
      <c r="A30" s="37" t="s">
        <v>430</v>
      </c>
      <c r="B30" s="210" t="s">
        <v>427</v>
      </c>
      <c r="C30" s="208">
        <f t="shared" si="2"/>
        <v>1396767</v>
      </c>
      <c r="D30" s="172">
        <v>4445</v>
      </c>
      <c r="E30" s="172">
        <v>1090</v>
      </c>
      <c r="F30" s="172">
        <v>13166</v>
      </c>
      <c r="G30" s="172">
        <v>163164</v>
      </c>
      <c r="H30" s="172">
        <v>1214902</v>
      </c>
      <c r="I30" s="208">
        <f t="shared" si="4"/>
        <v>1396767</v>
      </c>
      <c r="J30" s="172">
        <v>4445</v>
      </c>
      <c r="K30" s="172">
        <v>1090</v>
      </c>
      <c r="L30" s="172">
        <v>66122</v>
      </c>
      <c r="M30" s="172">
        <v>1325110</v>
      </c>
      <c r="N30" s="208">
        <f t="shared" si="3"/>
        <v>38</v>
      </c>
      <c r="O30" s="172">
        <v>38</v>
      </c>
      <c r="P30" s="172">
        <v>0</v>
      </c>
      <c r="Q30" s="172">
        <v>0</v>
      </c>
      <c r="R30" s="172">
        <v>0</v>
      </c>
      <c r="S30" s="172">
        <v>0</v>
      </c>
      <c r="T30" s="245">
        <v>13000</v>
      </c>
      <c r="U30"/>
    </row>
    <row r="31" spans="1:21" ht="33.75" customHeight="1">
      <c r="A31" s="37" t="s">
        <v>432</v>
      </c>
      <c r="B31" s="210" t="s">
        <v>429</v>
      </c>
      <c r="C31" s="208">
        <f t="shared" si="2"/>
        <v>872542759</v>
      </c>
      <c r="D31" s="172">
        <v>825940195</v>
      </c>
      <c r="E31" s="172">
        <v>12245171</v>
      </c>
      <c r="F31" s="172">
        <v>18280015</v>
      </c>
      <c r="G31" s="172">
        <v>10634769</v>
      </c>
      <c r="H31" s="172">
        <v>10134802</v>
      </c>
      <c r="I31" s="208">
        <f t="shared" si="4"/>
        <v>62208086</v>
      </c>
      <c r="J31" s="172">
        <v>4526148</v>
      </c>
      <c r="K31" s="172">
        <v>3287331</v>
      </c>
      <c r="L31" s="172">
        <v>20138769</v>
      </c>
      <c r="M31" s="172">
        <v>34255838</v>
      </c>
      <c r="N31" s="208">
        <f t="shared" si="3"/>
        <v>11828199</v>
      </c>
      <c r="O31" s="172">
        <v>7136006</v>
      </c>
      <c r="P31" s="172">
        <v>477077</v>
      </c>
      <c r="Q31" s="172">
        <v>104635</v>
      </c>
      <c r="R31" s="172">
        <v>3629484</v>
      </c>
      <c r="S31" s="172">
        <v>480997</v>
      </c>
      <c r="T31" s="245">
        <v>13100</v>
      </c>
      <c r="U31"/>
    </row>
    <row r="32" spans="1:21" ht="23.25" customHeight="1">
      <c r="A32" s="37" t="s">
        <v>434</v>
      </c>
      <c r="B32" s="210" t="s">
        <v>431</v>
      </c>
      <c r="C32" s="208">
        <f t="shared" si="2"/>
        <v>10544014</v>
      </c>
      <c r="D32" s="172">
        <v>10544014</v>
      </c>
      <c r="E32" s="172">
        <v>0</v>
      </c>
      <c r="F32" s="172">
        <v>0</v>
      </c>
      <c r="G32" s="172">
        <v>0</v>
      </c>
      <c r="H32" s="172">
        <v>0</v>
      </c>
      <c r="I32" s="208">
        <f t="shared" si="4"/>
        <v>0</v>
      </c>
      <c r="J32" s="172">
        <v>0</v>
      </c>
      <c r="K32" s="172">
        <v>0</v>
      </c>
      <c r="L32" s="172">
        <v>0</v>
      </c>
      <c r="M32" s="172">
        <v>0</v>
      </c>
      <c r="N32" s="208">
        <f t="shared" si="3"/>
        <v>91099</v>
      </c>
      <c r="O32" s="172">
        <v>91099</v>
      </c>
      <c r="P32" s="172">
        <v>0</v>
      </c>
      <c r="Q32" s="172">
        <v>0</v>
      </c>
      <c r="R32" s="172">
        <v>0</v>
      </c>
      <c r="S32" s="172">
        <v>0</v>
      </c>
      <c r="T32" s="245">
        <v>13200</v>
      </c>
      <c r="U32"/>
    </row>
    <row r="33" spans="1:21" ht="32.25" customHeight="1">
      <c r="A33" s="37" t="s">
        <v>436</v>
      </c>
      <c r="B33" s="210" t="s">
        <v>677</v>
      </c>
      <c r="C33" s="208">
        <f t="shared" si="2"/>
        <v>0</v>
      </c>
      <c r="D33" s="172">
        <v>0</v>
      </c>
      <c r="E33" s="172">
        <v>0</v>
      </c>
      <c r="F33" s="172">
        <v>0</v>
      </c>
      <c r="G33" s="172">
        <v>0</v>
      </c>
      <c r="H33" s="172">
        <v>0</v>
      </c>
      <c r="I33" s="208">
        <f t="shared" ref="I33:I34" si="5">SUM(J33:M33)</f>
        <v>0</v>
      </c>
      <c r="J33" s="172">
        <v>0</v>
      </c>
      <c r="K33" s="172">
        <v>0</v>
      </c>
      <c r="L33" s="172">
        <v>0</v>
      </c>
      <c r="M33" s="172">
        <v>0</v>
      </c>
      <c r="N33" s="208">
        <f t="shared" si="3"/>
        <v>0</v>
      </c>
      <c r="O33" s="172">
        <v>0</v>
      </c>
      <c r="P33" s="172">
        <v>0</v>
      </c>
      <c r="Q33" s="172">
        <v>0</v>
      </c>
      <c r="R33" s="172">
        <v>0</v>
      </c>
      <c r="S33" s="172">
        <v>0</v>
      </c>
      <c r="T33" s="245">
        <v>13300</v>
      </c>
      <c r="U33"/>
    </row>
    <row r="34" spans="1:21" ht="32.25" customHeight="1">
      <c r="A34" s="37" t="s">
        <v>438</v>
      </c>
      <c r="B34" s="210" t="s">
        <v>678</v>
      </c>
      <c r="C34" s="208">
        <f t="shared" si="2"/>
        <v>0</v>
      </c>
      <c r="D34" s="172">
        <v>0</v>
      </c>
      <c r="E34" s="172">
        <v>0</v>
      </c>
      <c r="F34" s="172">
        <v>0</v>
      </c>
      <c r="G34" s="172">
        <v>0</v>
      </c>
      <c r="H34" s="172">
        <v>0</v>
      </c>
      <c r="I34" s="208">
        <f t="shared" si="5"/>
        <v>0</v>
      </c>
      <c r="J34" s="172">
        <v>0</v>
      </c>
      <c r="K34" s="172">
        <v>0</v>
      </c>
      <c r="L34" s="172">
        <v>0</v>
      </c>
      <c r="M34" s="172">
        <v>0</v>
      </c>
      <c r="N34" s="208">
        <f t="shared" si="3"/>
        <v>0</v>
      </c>
      <c r="O34" s="172">
        <v>0</v>
      </c>
      <c r="P34" s="172">
        <v>0</v>
      </c>
      <c r="Q34" s="172">
        <v>0</v>
      </c>
      <c r="R34" s="172">
        <v>0</v>
      </c>
      <c r="S34" s="172">
        <v>0</v>
      </c>
      <c r="T34" s="245">
        <v>14300</v>
      </c>
      <c r="U34"/>
    </row>
    <row r="35" spans="1:21" ht="33.75" customHeight="1">
      <c r="A35" s="37" t="s">
        <v>440</v>
      </c>
      <c r="B35" s="210" t="s">
        <v>433</v>
      </c>
      <c r="C35" s="208">
        <f t="shared" si="2"/>
        <v>12862554</v>
      </c>
      <c r="D35" s="172">
        <v>10795887</v>
      </c>
      <c r="E35" s="172">
        <v>791667</v>
      </c>
      <c r="F35" s="172">
        <v>1275000</v>
      </c>
      <c r="G35" s="172">
        <v>0</v>
      </c>
      <c r="H35" s="172">
        <v>0</v>
      </c>
      <c r="I35" s="208">
        <f t="shared" si="4"/>
        <v>0</v>
      </c>
      <c r="J35" s="172">
        <v>0</v>
      </c>
      <c r="K35" s="172">
        <v>0</v>
      </c>
      <c r="L35" s="172">
        <v>0</v>
      </c>
      <c r="M35" s="172">
        <v>0</v>
      </c>
      <c r="N35" s="208">
        <f t="shared" si="3"/>
        <v>93275</v>
      </c>
      <c r="O35" s="172">
        <v>93275</v>
      </c>
      <c r="P35" s="172">
        <v>0</v>
      </c>
      <c r="Q35" s="172">
        <v>0</v>
      </c>
      <c r="R35" s="172">
        <v>0</v>
      </c>
      <c r="S35" s="172">
        <v>0</v>
      </c>
      <c r="T35" s="245">
        <v>14400</v>
      </c>
      <c r="U35"/>
    </row>
    <row r="36" spans="1:21" ht="23.25" customHeight="1">
      <c r="A36" s="37" t="s">
        <v>442</v>
      </c>
      <c r="B36" s="210" t="s">
        <v>435</v>
      </c>
      <c r="C36" s="208">
        <f t="shared" si="2"/>
        <v>0</v>
      </c>
      <c r="D36" s="172">
        <v>0</v>
      </c>
      <c r="E36" s="172">
        <v>0</v>
      </c>
      <c r="F36" s="172">
        <v>0</v>
      </c>
      <c r="G36" s="172">
        <v>0</v>
      </c>
      <c r="H36" s="172">
        <v>0</v>
      </c>
      <c r="I36" s="208">
        <f t="shared" si="4"/>
        <v>0</v>
      </c>
      <c r="J36" s="172">
        <v>0</v>
      </c>
      <c r="K36" s="172">
        <v>0</v>
      </c>
      <c r="L36" s="172">
        <v>0</v>
      </c>
      <c r="M36" s="172">
        <v>0</v>
      </c>
      <c r="N36" s="208">
        <f t="shared" si="3"/>
        <v>0</v>
      </c>
      <c r="O36" s="172">
        <v>0</v>
      </c>
      <c r="P36" s="172">
        <v>0</v>
      </c>
      <c r="Q36" s="172">
        <v>0</v>
      </c>
      <c r="R36" s="172">
        <v>0</v>
      </c>
      <c r="S36" s="172">
        <v>0</v>
      </c>
      <c r="T36" s="245">
        <v>14500</v>
      </c>
      <c r="U36"/>
    </row>
    <row r="37" spans="1:21" ht="23.25" customHeight="1">
      <c r="A37" s="37" t="s">
        <v>444</v>
      </c>
      <c r="B37" s="210" t="s">
        <v>437</v>
      </c>
      <c r="C37" s="208">
        <f t="shared" si="2"/>
        <v>0</v>
      </c>
      <c r="D37" s="172">
        <v>0</v>
      </c>
      <c r="E37" s="172">
        <v>0</v>
      </c>
      <c r="F37" s="172">
        <v>0</v>
      </c>
      <c r="G37" s="172">
        <v>0</v>
      </c>
      <c r="H37" s="172">
        <v>0</v>
      </c>
      <c r="I37" s="208">
        <f t="shared" si="4"/>
        <v>0</v>
      </c>
      <c r="J37" s="172">
        <v>0</v>
      </c>
      <c r="K37" s="172">
        <v>0</v>
      </c>
      <c r="L37" s="172">
        <v>0</v>
      </c>
      <c r="M37" s="172">
        <v>0</v>
      </c>
      <c r="N37" s="208">
        <f t="shared" si="3"/>
        <v>0</v>
      </c>
      <c r="O37" s="172">
        <v>0</v>
      </c>
      <c r="P37" s="172">
        <v>0</v>
      </c>
      <c r="Q37" s="172">
        <v>0</v>
      </c>
      <c r="R37" s="172">
        <v>0</v>
      </c>
      <c r="S37" s="172">
        <v>0</v>
      </c>
      <c r="T37" s="245">
        <v>14700</v>
      </c>
      <c r="U37"/>
    </row>
    <row r="38" spans="1:21" ht="23.25" customHeight="1">
      <c r="A38" s="37" t="s">
        <v>446</v>
      </c>
      <c r="B38" s="210" t="s">
        <v>439</v>
      </c>
      <c r="C38" s="208">
        <f t="shared" si="2"/>
        <v>0</v>
      </c>
      <c r="D38" s="172">
        <v>0</v>
      </c>
      <c r="E38" s="172">
        <v>0</v>
      </c>
      <c r="F38" s="172">
        <v>0</v>
      </c>
      <c r="G38" s="172">
        <v>0</v>
      </c>
      <c r="H38" s="172">
        <v>0</v>
      </c>
      <c r="I38" s="208">
        <f t="shared" si="4"/>
        <v>0</v>
      </c>
      <c r="J38" s="172">
        <v>0</v>
      </c>
      <c r="K38" s="172">
        <v>0</v>
      </c>
      <c r="L38" s="172">
        <v>0</v>
      </c>
      <c r="M38" s="172">
        <v>0</v>
      </c>
      <c r="N38" s="208">
        <f t="shared" si="3"/>
        <v>0</v>
      </c>
      <c r="O38" s="172">
        <v>0</v>
      </c>
      <c r="P38" s="172">
        <v>0</v>
      </c>
      <c r="Q38" s="172">
        <v>0</v>
      </c>
      <c r="R38" s="172">
        <v>0</v>
      </c>
      <c r="S38" s="172">
        <v>0</v>
      </c>
      <c r="T38" s="245">
        <v>14800</v>
      </c>
      <c r="U38"/>
    </row>
    <row r="39" spans="1:21" ht="23.25" customHeight="1">
      <c r="A39" s="37" t="s">
        <v>447</v>
      </c>
      <c r="B39" s="210" t="s">
        <v>441</v>
      </c>
      <c r="C39" s="208">
        <f t="shared" si="2"/>
        <v>1248806200</v>
      </c>
      <c r="D39" s="172">
        <f>1179541171</f>
        <v>1179541171</v>
      </c>
      <c r="E39" s="172">
        <v>51636184</v>
      </c>
      <c r="F39" s="172">
        <v>12051203</v>
      </c>
      <c r="G39" s="172">
        <v>17851792</v>
      </c>
      <c r="H39" s="172">
        <v>31442317</v>
      </c>
      <c r="I39" s="208">
        <f t="shared" si="4"/>
        <v>0</v>
      </c>
      <c r="J39" s="172">
        <v>0</v>
      </c>
      <c r="K39" s="172">
        <v>0</v>
      </c>
      <c r="L39" s="172">
        <v>0</v>
      </c>
      <c r="M39" s="172">
        <v>0</v>
      </c>
      <c r="N39" s="208">
        <f t="shared" si="3"/>
        <v>53907536</v>
      </c>
      <c r="O39" s="172">
        <v>10191069</v>
      </c>
      <c r="P39" s="172">
        <v>4843416</v>
      </c>
      <c r="Q39" s="172">
        <v>2617679</v>
      </c>
      <c r="R39" s="172">
        <v>10173191</v>
      </c>
      <c r="S39" s="172">
        <v>26082181</v>
      </c>
      <c r="T39" s="245">
        <v>14900</v>
      </c>
      <c r="U39"/>
    </row>
    <row r="40" spans="1:21" ht="23.25" customHeight="1">
      <c r="A40" s="37" t="s">
        <v>449</v>
      </c>
      <c r="B40" s="210" t="s">
        <v>443</v>
      </c>
      <c r="C40" s="208">
        <f t="shared" si="2"/>
        <v>70586477</v>
      </c>
      <c r="D40" s="172">
        <v>68153947</v>
      </c>
      <c r="E40" s="172">
        <v>3647182</v>
      </c>
      <c r="F40" s="172">
        <v>720146</v>
      </c>
      <c r="G40" s="172">
        <v>178333</v>
      </c>
      <c r="H40" s="172">
        <v>0</v>
      </c>
      <c r="I40" s="208">
        <f t="shared" si="4"/>
        <v>0</v>
      </c>
      <c r="J40" s="172">
        <v>0</v>
      </c>
      <c r="K40" s="172">
        <v>0</v>
      </c>
      <c r="L40" s="172">
        <v>0</v>
      </c>
      <c r="M40" s="172">
        <v>0</v>
      </c>
      <c r="N40" s="208">
        <f t="shared" si="3"/>
        <v>2701971</v>
      </c>
      <c r="O40" s="172">
        <v>588840</v>
      </c>
      <c r="P40" s="172">
        <v>349760</v>
      </c>
      <c r="Q40" s="172">
        <v>159157</v>
      </c>
      <c r="R40" s="172">
        <v>212474</v>
      </c>
      <c r="S40" s="172">
        <v>1391740</v>
      </c>
      <c r="T40" s="245">
        <v>15000</v>
      </c>
      <c r="U40"/>
    </row>
    <row r="41" spans="1:21" ht="33.75" customHeight="1">
      <c r="A41" s="37" t="s">
        <v>451</v>
      </c>
      <c r="B41" s="210" t="s">
        <v>445</v>
      </c>
      <c r="C41" s="208">
        <f t="shared" si="2"/>
        <v>1005737506</v>
      </c>
      <c r="D41" s="172">
        <v>945738348</v>
      </c>
      <c r="E41" s="172">
        <v>59999158</v>
      </c>
      <c r="F41" s="172">
        <v>0</v>
      </c>
      <c r="G41" s="172">
        <v>0</v>
      </c>
      <c r="H41" s="172">
        <v>0</v>
      </c>
      <c r="I41" s="208">
        <f t="shared" si="4"/>
        <v>0</v>
      </c>
      <c r="J41" s="172">
        <v>0</v>
      </c>
      <c r="K41" s="172">
        <v>0</v>
      </c>
      <c r="L41" s="172">
        <v>0</v>
      </c>
      <c r="M41" s="172">
        <v>0</v>
      </c>
      <c r="N41" s="208">
        <f t="shared" si="3"/>
        <v>8171046</v>
      </c>
      <c r="O41" s="172">
        <v>8171046</v>
      </c>
      <c r="P41" s="172">
        <v>0</v>
      </c>
      <c r="Q41" s="172">
        <v>0</v>
      </c>
      <c r="R41" s="172">
        <v>0</v>
      </c>
      <c r="S41" s="172">
        <v>0</v>
      </c>
      <c r="T41" s="245">
        <v>15100</v>
      </c>
      <c r="U41"/>
    </row>
    <row r="42" spans="1:21" ht="23.25" customHeight="1">
      <c r="A42" s="37" t="s">
        <v>453</v>
      </c>
      <c r="B42" s="210" t="s">
        <v>675</v>
      </c>
      <c r="C42" s="208">
        <f t="shared" si="2"/>
        <v>6455581</v>
      </c>
      <c r="D42" s="172">
        <v>1825554</v>
      </c>
      <c r="E42" s="172">
        <v>140812</v>
      </c>
      <c r="F42" s="172">
        <v>4069479</v>
      </c>
      <c r="G42" s="172">
        <v>706833</v>
      </c>
      <c r="H42" s="172">
        <v>4568220</v>
      </c>
      <c r="I42" s="208">
        <f t="shared" si="4"/>
        <v>0</v>
      </c>
      <c r="J42" s="172">
        <v>0</v>
      </c>
      <c r="K42" s="172">
        <v>0</v>
      </c>
      <c r="L42" s="172">
        <v>0</v>
      </c>
      <c r="M42" s="172">
        <v>0</v>
      </c>
      <c r="N42" s="208">
        <f t="shared" si="3"/>
        <v>4871090</v>
      </c>
      <c r="O42" s="172">
        <v>15773</v>
      </c>
      <c r="P42" s="172">
        <v>13315</v>
      </c>
      <c r="Q42" s="172">
        <v>85620</v>
      </c>
      <c r="R42" s="172">
        <v>194662</v>
      </c>
      <c r="S42" s="172">
        <v>4561720</v>
      </c>
      <c r="T42" s="245">
        <v>15200</v>
      </c>
      <c r="U42"/>
    </row>
    <row r="43" spans="1:21" ht="23.25" customHeight="1">
      <c r="A43" s="37" t="s">
        <v>455</v>
      </c>
      <c r="B43" s="210" t="s">
        <v>448</v>
      </c>
      <c r="C43" s="208">
        <f t="shared" si="2"/>
        <v>312868771</v>
      </c>
      <c r="D43" s="172">
        <v>313030551</v>
      </c>
      <c r="E43" s="172">
        <v>0</v>
      </c>
      <c r="F43" s="172">
        <v>0</v>
      </c>
      <c r="G43" s="172">
        <v>0</v>
      </c>
      <c r="H43" s="172">
        <v>0</v>
      </c>
      <c r="I43" s="208">
        <f t="shared" si="4"/>
        <v>0</v>
      </c>
      <c r="J43" s="172">
        <v>0</v>
      </c>
      <c r="K43" s="172">
        <v>0</v>
      </c>
      <c r="L43" s="172">
        <v>0</v>
      </c>
      <c r="M43" s="172">
        <v>0</v>
      </c>
      <c r="N43" s="208">
        <f t="shared" si="3"/>
        <v>2866320</v>
      </c>
      <c r="O43" s="172">
        <v>2704540</v>
      </c>
      <c r="P43" s="172">
        <v>0</v>
      </c>
      <c r="Q43" s="172">
        <v>161780</v>
      </c>
      <c r="R43" s="172">
        <v>0</v>
      </c>
      <c r="S43" s="172">
        <v>0</v>
      </c>
      <c r="T43" s="245">
        <v>15300</v>
      </c>
      <c r="U43"/>
    </row>
    <row r="44" spans="1:21" ht="23.25" customHeight="1">
      <c r="A44" s="37" t="s">
        <v>457</v>
      </c>
      <c r="B44" s="210" t="s">
        <v>450</v>
      </c>
      <c r="C44" s="208">
        <f t="shared" si="2"/>
        <v>17380000</v>
      </c>
      <c r="D44" s="172">
        <v>17380000</v>
      </c>
      <c r="E44" s="172">
        <v>0</v>
      </c>
      <c r="F44" s="172">
        <v>0</v>
      </c>
      <c r="G44" s="172">
        <v>0</v>
      </c>
      <c r="H44" s="172">
        <v>0</v>
      </c>
      <c r="I44" s="208">
        <f t="shared" si="4"/>
        <v>0</v>
      </c>
      <c r="J44" s="172">
        <v>0</v>
      </c>
      <c r="K44" s="172">
        <v>0</v>
      </c>
      <c r="L44" s="172">
        <v>0</v>
      </c>
      <c r="M44" s="172">
        <v>0</v>
      </c>
      <c r="N44" s="208">
        <f t="shared" si="3"/>
        <v>150161</v>
      </c>
      <c r="O44" s="172">
        <v>150161</v>
      </c>
      <c r="P44" s="172">
        <v>0</v>
      </c>
      <c r="Q44" s="172">
        <v>0</v>
      </c>
      <c r="R44" s="172">
        <v>0</v>
      </c>
      <c r="S44" s="172">
        <v>0</v>
      </c>
      <c r="T44" s="245">
        <v>15400</v>
      </c>
      <c r="U44"/>
    </row>
    <row r="45" spans="1:21" ht="33.75" customHeight="1">
      <c r="A45" s="37" t="s">
        <v>459</v>
      </c>
      <c r="B45" s="210" t="s">
        <v>452</v>
      </c>
      <c r="C45" s="208">
        <f t="shared" si="2"/>
        <v>4020550690</v>
      </c>
      <c r="D45" s="172">
        <v>3398119655</v>
      </c>
      <c r="E45" s="172">
        <v>483794946</v>
      </c>
      <c r="F45" s="172">
        <v>33090604</v>
      </c>
      <c r="G45" s="172">
        <v>38841324</v>
      </c>
      <c r="H45" s="172">
        <v>100705647</v>
      </c>
      <c r="I45" s="208">
        <f t="shared" si="4"/>
        <v>0</v>
      </c>
      <c r="J45" s="172">
        <v>0</v>
      </c>
      <c r="K45" s="172">
        <v>0</v>
      </c>
      <c r="L45" s="172">
        <v>0</v>
      </c>
      <c r="M45" s="172">
        <v>0</v>
      </c>
      <c r="N45" s="208">
        <f t="shared" si="3"/>
        <v>63360759</v>
      </c>
      <c r="O45" s="172">
        <v>29359273</v>
      </c>
      <c r="P45" s="172">
        <v>14916144</v>
      </c>
      <c r="Q45" s="172">
        <v>3285403</v>
      </c>
      <c r="R45" s="172">
        <v>1101377</v>
      </c>
      <c r="S45" s="172">
        <v>14698562</v>
      </c>
      <c r="T45" s="245">
        <v>15500</v>
      </c>
      <c r="U45"/>
    </row>
    <row r="46" spans="1:21" ht="18" customHeight="1">
      <c r="A46" s="37" t="s">
        <v>461</v>
      </c>
      <c r="B46" s="210" t="s">
        <v>667</v>
      </c>
      <c r="C46" s="208">
        <f t="shared" si="2"/>
        <v>305556</v>
      </c>
      <c r="D46" s="172">
        <v>305556</v>
      </c>
      <c r="E46" s="172">
        <v>0</v>
      </c>
      <c r="F46" s="172">
        <v>0</v>
      </c>
      <c r="G46" s="172">
        <v>0</v>
      </c>
      <c r="H46" s="172">
        <v>0</v>
      </c>
      <c r="I46" s="208">
        <f t="shared" si="4"/>
        <v>0</v>
      </c>
      <c r="J46" s="172">
        <v>0</v>
      </c>
      <c r="K46" s="172">
        <v>0</v>
      </c>
      <c r="L46" s="172">
        <v>0</v>
      </c>
      <c r="M46" s="172">
        <v>0</v>
      </c>
      <c r="N46" s="208">
        <f t="shared" si="3"/>
        <v>2640</v>
      </c>
      <c r="O46" s="172">
        <v>2640</v>
      </c>
      <c r="P46" s="172">
        <v>0</v>
      </c>
      <c r="Q46" s="172">
        <v>0</v>
      </c>
      <c r="R46" s="172">
        <v>0</v>
      </c>
      <c r="S46" s="172">
        <v>0</v>
      </c>
      <c r="T46" s="245">
        <v>15600</v>
      </c>
      <c r="U46"/>
    </row>
    <row r="47" spans="1:21" ht="23.25" customHeight="1">
      <c r="A47" s="37" t="s">
        <v>463</v>
      </c>
      <c r="B47" s="210" t="s">
        <v>454</v>
      </c>
      <c r="C47" s="208">
        <f t="shared" si="2"/>
        <v>-1039</v>
      </c>
      <c r="D47" s="172">
        <v>0</v>
      </c>
      <c r="E47" s="172">
        <v>0</v>
      </c>
      <c r="F47" s="172">
        <v>0</v>
      </c>
      <c r="G47" s="172">
        <v>468212</v>
      </c>
      <c r="H47" s="172">
        <v>8113272</v>
      </c>
      <c r="I47" s="208">
        <f t="shared" si="4"/>
        <v>8581484</v>
      </c>
      <c r="J47" s="172">
        <v>0</v>
      </c>
      <c r="K47" s="172">
        <v>0</v>
      </c>
      <c r="L47" s="172">
        <v>642859</v>
      </c>
      <c r="M47" s="172">
        <v>7938625</v>
      </c>
      <c r="N47" s="208">
        <f t="shared" si="3"/>
        <v>8582523</v>
      </c>
      <c r="O47" s="172">
        <v>0</v>
      </c>
      <c r="P47" s="172">
        <v>0</v>
      </c>
      <c r="Q47" s="172">
        <v>0</v>
      </c>
      <c r="R47" s="172">
        <v>284106</v>
      </c>
      <c r="S47" s="172">
        <v>8298417</v>
      </c>
      <c r="T47" s="245">
        <v>15700</v>
      </c>
      <c r="U47"/>
    </row>
    <row r="48" spans="1:21" ht="33.75" customHeight="1">
      <c r="A48" s="37" t="s">
        <v>465</v>
      </c>
      <c r="B48" s="210" t="s">
        <v>456</v>
      </c>
      <c r="C48" s="208">
        <f t="shared" si="2"/>
        <v>98339066</v>
      </c>
      <c r="D48" s="172">
        <v>98339066</v>
      </c>
      <c r="E48" s="172">
        <v>0</v>
      </c>
      <c r="F48" s="172">
        <v>0</v>
      </c>
      <c r="G48" s="172">
        <v>0</v>
      </c>
      <c r="H48" s="172">
        <v>0</v>
      </c>
      <c r="I48" s="208">
        <f t="shared" si="4"/>
        <v>0</v>
      </c>
      <c r="J48" s="172">
        <v>0</v>
      </c>
      <c r="K48" s="172">
        <v>0</v>
      </c>
      <c r="L48" s="172">
        <v>0</v>
      </c>
      <c r="M48" s="172">
        <v>0</v>
      </c>
      <c r="N48" s="208">
        <f t="shared" si="3"/>
        <v>849636</v>
      </c>
      <c r="O48" s="172">
        <v>849636</v>
      </c>
      <c r="P48" s="172">
        <v>0</v>
      </c>
      <c r="Q48" s="172">
        <v>0</v>
      </c>
      <c r="R48" s="172">
        <v>0</v>
      </c>
      <c r="S48" s="172">
        <v>0</v>
      </c>
      <c r="T48" s="245">
        <v>15800</v>
      </c>
      <c r="U48"/>
    </row>
    <row r="49" spans="1:29" ht="23.25" customHeight="1">
      <c r="A49" s="37" t="s">
        <v>621</v>
      </c>
      <c r="B49" s="210" t="s">
        <v>458</v>
      </c>
      <c r="C49" s="208">
        <f t="shared" si="2"/>
        <v>0</v>
      </c>
      <c r="D49" s="172">
        <v>0</v>
      </c>
      <c r="E49" s="172">
        <v>0</v>
      </c>
      <c r="F49" s="172">
        <v>0</v>
      </c>
      <c r="G49" s="172">
        <v>0</v>
      </c>
      <c r="H49" s="172">
        <v>0</v>
      </c>
      <c r="I49" s="208">
        <f t="shared" si="4"/>
        <v>0</v>
      </c>
      <c r="J49" s="172">
        <v>0</v>
      </c>
      <c r="K49" s="172">
        <v>0</v>
      </c>
      <c r="L49" s="172">
        <v>0</v>
      </c>
      <c r="M49" s="172">
        <v>0</v>
      </c>
      <c r="N49" s="208">
        <f t="shared" si="3"/>
        <v>0</v>
      </c>
      <c r="O49" s="172">
        <v>0</v>
      </c>
      <c r="P49" s="172">
        <v>0</v>
      </c>
      <c r="Q49" s="172">
        <v>0</v>
      </c>
      <c r="R49" s="172">
        <v>0</v>
      </c>
      <c r="S49" s="172">
        <v>0</v>
      </c>
      <c r="T49" s="245">
        <v>15900</v>
      </c>
      <c r="U49"/>
    </row>
    <row r="50" spans="1:29" ht="23.25" customHeight="1">
      <c r="A50" s="37" t="s">
        <v>622</v>
      </c>
      <c r="B50" s="210" t="s">
        <v>460</v>
      </c>
      <c r="C50" s="208">
        <f t="shared" si="2"/>
        <v>163425953</v>
      </c>
      <c r="D50" s="172">
        <v>142095308</v>
      </c>
      <c r="E50" s="172">
        <v>6876791</v>
      </c>
      <c r="F50" s="172">
        <v>1741342</v>
      </c>
      <c r="G50" s="172">
        <v>5526012</v>
      </c>
      <c r="H50" s="172">
        <v>7186500</v>
      </c>
      <c r="I50" s="208">
        <f t="shared" si="4"/>
        <v>0</v>
      </c>
      <c r="J50" s="172">
        <v>0</v>
      </c>
      <c r="K50" s="172">
        <v>0</v>
      </c>
      <c r="L50" s="172">
        <v>0</v>
      </c>
      <c r="M50" s="172">
        <v>0</v>
      </c>
      <c r="N50" s="208">
        <f t="shared" si="3"/>
        <v>1227683</v>
      </c>
      <c r="O50" s="172">
        <v>1227683</v>
      </c>
      <c r="P50" s="172">
        <v>0</v>
      </c>
      <c r="Q50" s="172">
        <v>0</v>
      </c>
      <c r="R50" s="172">
        <v>0</v>
      </c>
      <c r="S50" s="172">
        <v>0</v>
      </c>
      <c r="T50" s="245">
        <v>16300</v>
      </c>
      <c r="U50"/>
    </row>
    <row r="51" spans="1:29" ht="23.25" customHeight="1">
      <c r="A51" s="37" t="s">
        <v>660</v>
      </c>
      <c r="B51" s="210" t="s">
        <v>462</v>
      </c>
      <c r="C51" s="208">
        <f t="shared" si="2"/>
        <v>34639224</v>
      </c>
      <c r="D51" s="172">
        <v>26977595</v>
      </c>
      <c r="E51" s="172">
        <v>883486</v>
      </c>
      <c r="F51" s="172">
        <v>744619</v>
      </c>
      <c r="G51" s="172">
        <v>1712066</v>
      </c>
      <c r="H51" s="172">
        <v>4321458</v>
      </c>
      <c r="I51" s="208">
        <f t="shared" si="4"/>
        <v>0</v>
      </c>
      <c r="J51" s="172">
        <v>0</v>
      </c>
      <c r="K51" s="172">
        <v>0</v>
      </c>
      <c r="L51" s="172">
        <v>0</v>
      </c>
      <c r="M51" s="172">
        <v>0</v>
      </c>
      <c r="N51" s="208">
        <f t="shared" si="3"/>
        <v>233083</v>
      </c>
      <c r="O51" s="172">
        <v>233083</v>
      </c>
      <c r="P51" s="172">
        <v>0</v>
      </c>
      <c r="Q51" s="172">
        <v>0</v>
      </c>
      <c r="R51" s="172">
        <v>0</v>
      </c>
      <c r="S51" s="172">
        <v>0</v>
      </c>
      <c r="T51" s="245">
        <v>16400</v>
      </c>
      <c r="U51"/>
    </row>
    <row r="52" spans="1:29" ht="23.25" customHeight="1">
      <c r="A52" s="37" t="s">
        <v>668</v>
      </c>
      <c r="B52" s="210" t="s">
        <v>659</v>
      </c>
      <c r="C52" s="208">
        <f t="shared" si="2"/>
        <v>758509258</v>
      </c>
      <c r="D52" s="172">
        <v>758509258</v>
      </c>
      <c r="E52" s="172">
        <v>0</v>
      </c>
      <c r="F52" s="172">
        <v>0</v>
      </c>
      <c r="G52" s="172">
        <v>0</v>
      </c>
      <c r="H52" s="172">
        <v>0</v>
      </c>
      <c r="I52" s="208">
        <f t="shared" si="4"/>
        <v>0</v>
      </c>
      <c r="J52" s="172">
        <v>0</v>
      </c>
      <c r="K52" s="172">
        <v>0</v>
      </c>
      <c r="L52" s="172">
        <v>0</v>
      </c>
      <c r="M52" s="172">
        <v>0</v>
      </c>
      <c r="N52" s="208">
        <f t="shared" si="3"/>
        <v>6553413</v>
      </c>
      <c r="O52" s="172">
        <v>6553413</v>
      </c>
      <c r="P52" s="172">
        <v>0</v>
      </c>
      <c r="Q52" s="172">
        <v>0</v>
      </c>
      <c r="R52" s="172">
        <v>0</v>
      </c>
      <c r="S52" s="172">
        <v>0</v>
      </c>
      <c r="T52" s="245">
        <v>16500</v>
      </c>
      <c r="U52"/>
    </row>
    <row r="53" spans="1:29" ht="23.25" customHeight="1">
      <c r="A53" s="37" t="s">
        <v>669</v>
      </c>
      <c r="B53" s="210" t="s">
        <v>662</v>
      </c>
      <c r="C53" s="208">
        <f t="shared" si="2"/>
        <v>53758290</v>
      </c>
      <c r="D53" s="172">
        <v>53758290</v>
      </c>
      <c r="E53" s="172">
        <v>0</v>
      </c>
      <c r="F53" s="172">
        <v>0</v>
      </c>
      <c r="G53" s="172">
        <v>0</v>
      </c>
      <c r="H53" s="172">
        <v>0</v>
      </c>
      <c r="I53" s="208">
        <f t="shared" si="4"/>
        <v>0</v>
      </c>
      <c r="J53" s="172">
        <v>0</v>
      </c>
      <c r="K53" s="172">
        <v>0</v>
      </c>
      <c r="L53" s="172">
        <v>0</v>
      </c>
      <c r="M53" s="172">
        <v>0</v>
      </c>
      <c r="N53" s="208">
        <f t="shared" si="3"/>
        <v>464464</v>
      </c>
      <c r="O53" s="172">
        <v>464464</v>
      </c>
      <c r="P53" s="172">
        <v>0</v>
      </c>
      <c r="Q53" s="172">
        <v>0</v>
      </c>
      <c r="R53" s="172">
        <v>0</v>
      </c>
      <c r="S53" s="172">
        <v>0</v>
      </c>
      <c r="T53" s="245">
        <v>16600</v>
      </c>
      <c r="U53"/>
    </row>
    <row r="54" spans="1:29" ht="23.25" customHeight="1">
      <c r="A54" s="37" t="s">
        <v>670</v>
      </c>
      <c r="B54" s="210" t="s">
        <v>464</v>
      </c>
      <c r="C54" s="208">
        <f t="shared" si="2"/>
        <v>51751710</v>
      </c>
      <c r="D54" s="172">
        <v>51751710</v>
      </c>
      <c r="E54" s="172">
        <v>0</v>
      </c>
      <c r="F54" s="172">
        <v>0</v>
      </c>
      <c r="G54" s="172">
        <v>0</v>
      </c>
      <c r="H54" s="172">
        <v>0</v>
      </c>
      <c r="I54" s="208">
        <f t="shared" si="4"/>
        <v>0</v>
      </c>
      <c r="J54" s="172">
        <v>0</v>
      </c>
      <c r="K54" s="172">
        <v>0</v>
      </c>
      <c r="L54" s="172">
        <v>0</v>
      </c>
      <c r="M54" s="172">
        <v>0</v>
      </c>
      <c r="N54" s="208">
        <f t="shared" si="3"/>
        <v>447127</v>
      </c>
      <c r="O54" s="172">
        <v>447127</v>
      </c>
      <c r="P54" s="172">
        <v>0</v>
      </c>
      <c r="Q54" s="172">
        <v>0</v>
      </c>
      <c r="R54" s="172">
        <v>0</v>
      </c>
      <c r="S54" s="172">
        <v>0</v>
      </c>
      <c r="T54" s="317">
        <v>16700</v>
      </c>
      <c r="U54" s="318"/>
    </row>
    <row r="55" spans="1:29" ht="23.25" customHeight="1">
      <c r="A55" s="320" t="s">
        <v>671</v>
      </c>
      <c r="B55" s="210" t="s">
        <v>693</v>
      </c>
      <c r="C55" s="208">
        <f t="shared" ref="C55" si="6">SUM(D55:H55)-N55+O55</f>
        <v>0</v>
      </c>
      <c r="D55" s="172">
        <v>0</v>
      </c>
      <c r="E55" s="172">
        <v>0</v>
      </c>
      <c r="F55" s="172">
        <v>0</v>
      </c>
      <c r="G55" s="172">
        <v>0</v>
      </c>
      <c r="H55" s="172">
        <v>0</v>
      </c>
      <c r="I55" s="208">
        <f t="shared" ref="I55" si="7">SUM(J55:M55)</f>
        <v>0</v>
      </c>
      <c r="J55" s="172">
        <v>0</v>
      </c>
      <c r="K55" s="172">
        <v>0</v>
      </c>
      <c r="L55" s="172">
        <v>0</v>
      </c>
      <c r="M55" s="172">
        <v>0</v>
      </c>
      <c r="N55" s="208">
        <f t="shared" ref="N55" si="8">SUM(O55:S55)</f>
        <v>0</v>
      </c>
      <c r="O55" s="172">
        <v>0</v>
      </c>
      <c r="P55" s="172">
        <v>0</v>
      </c>
      <c r="Q55" s="172">
        <v>0</v>
      </c>
      <c r="R55" s="172">
        <v>0</v>
      </c>
      <c r="S55" s="172">
        <v>0</v>
      </c>
      <c r="T55" s="321">
        <v>16800</v>
      </c>
      <c r="U55" s="322"/>
    </row>
    <row r="56" spans="1:29" ht="23.25" customHeight="1">
      <c r="A56" s="37" t="s">
        <v>672</v>
      </c>
      <c r="B56" s="210" t="s">
        <v>663</v>
      </c>
      <c r="C56" s="208">
        <f t="shared" si="2"/>
        <v>5936467</v>
      </c>
      <c r="D56" s="172">
        <v>5936467</v>
      </c>
      <c r="E56" s="172">
        <v>0</v>
      </c>
      <c r="F56" s="172">
        <v>0</v>
      </c>
      <c r="G56" s="172">
        <v>0</v>
      </c>
      <c r="H56" s="172">
        <v>0</v>
      </c>
      <c r="I56" s="208">
        <f t="shared" si="4"/>
        <v>0</v>
      </c>
      <c r="J56" s="172">
        <v>0</v>
      </c>
      <c r="K56" s="172">
        <v>0</v>
      </c>
      <c r="L56" s="172">
        <v>0</v>
      </c>
      <c r="M56" s="172">
        <v>0</v>
      </c>
      <c r="N56" s="208">
        <f t="shared" si="3"/>
        <v>51290</v>
      </c>
      <c r="O56" s="172">
        <v>51290</v>
      </c>
      <c r="P56" s="172">
        <v>0</v>
      </c>
      <c r="Q56" s="172">
        <v>0</v>
      </c>
      <c r="R56" s="172">
        <v>0</v>
      </c>
      <c r="S56" s="172">
        <v>0</v>
      </c>
      <c r="T56" s="317">
        <v>16900</v>
      </c>
      <c r="U56" s="318"/>
    </row>
    <row r="57" spans="1:29" ht="23.25" customHeight="1">
      <c r="A57" s="37" t="s">
        <v>673</v>
      </c>
      <c r="B57" s="210" t="s">
        <v>664</v>
      </c>
      <c r="C57" s="208">
        <f t="shared" si="2"/>
        <v>0</v>
      </c>
      <c r="D57" s="172">
        <v>0</v>
      </c>
      <c r="E57" s="172">
        <v>0</v>
      </c>
      <c r="F57" s="172">
        <v>0</v>
      </c>
      <c r="G57" s="172">
        <v>0</v>
      </c>
      <c r="H57" s="172">
        <v>0</v>
      </c>
      <c r="I57" s="208">
        <f t="shared" si="4"/>
        <v>0</v>
      </c>
      <c r="J57" s="172">
        <v>0</v>
      </c>
      <c r="K57" s="172">
        <v>0</v>
      </c>
      <c r="L57" s="172">
        <v>0</v>
      </c>
      <c r="M57" s="172">
        <v>0</v>
      </c>
      <c r="N57" s="208">
        <f t="shared" si="3"/>
        <v>0</v>
      </c>
      <c r="O57" s="172">
        <v>0</v>
      </c>
      <c r="P57" s="172">
        <v>0</v>
      </c>
      <c r="Q57" s="172">
        <v>0</v>
      </c>
      <c r="R57" s="172">
        <v>0</v>
      </c>
      <c r="S57" s="172">
        <v>0</v>
      </c>
      <c r="T57" s="317">
        <v>17100</v>
      </c>
      <c r="U57" s="318"/>
    </row>
    <row r="58" spans="1:29" ht="23.25" customHeight="1">
      <c r="A58" s="37" t="s">
        <v>679</v>
      </c>
      <c r="B58" s="210" t="s">
        <v>665</v>
      </c>
      <c r="C58" s="208">
        <f t="shared" si="2"/>
        <v>3659</v>
      </c>
      <c r="D58" s="172">
        <v>3659</v>
      </c>
      <c r="E58" s="172">
        <v>0</v>
      </c>
      <c r="F58" s="172">
        <v>0</v>
      </c>
      <c r="G58" s="172">
        <v>0</v>
      </c>
      <c r="H58" s="172">
        <v>0</v>
      </c>
      <c r="I58" s="208">
        <f t="shared" si="4"/>
        <v>0</v>
      </c>
      <c r="J58" s="172">
        <v>0</v>
      </c>
      <c r="K58" s="172">
        <v>0</v>
      </c>
      <c r="L58" s="172">
        <v>0</v>
      </c>
      <c r="M58" s="172">
        <v>0</v>
      </c>
      <c r="N58" s="208">
        <f t="shared" si="3"/>
        <v>32</v>
      </c>
      <c r="O58" s="172">
        <v>32</v>
      </c>
      <c r="P58" s="172">
        <v>0</v>
      </c>
      <c r="Q58" s="172">
        <v>0</v>
      </c>
      <c r="R58" s="172">
        <v>0</v>
      </c>
      <c r="S58" s="172">
        <v>0</v>
      </c>
      <c r="T58" s="317">
        <v>17300</v>
      </c>
      <c r="U58" s="318"/>
    </row>
    <row r="59" spans="1:29" ht="23.25" customHeight="1">
      <c r="A59" s="37" t="s">
        <v>680</v>
      </c>
      <c r="B59" s="210" t="s">
        <v>666</v>
      </c>
      <c r="C59" s="208">
        <f t="shared" si="2"/>
        <v>71190523</v>
      </c>
      <c r="D59" s="172">
        <v>71190523</v>
      </c>
      <c r="E59" s="172">
        <v>0</v>
      </c>
      <c r="F59" s="172">
        <v>0</v>
      </c>
      <c r="G59" s="172">
        <v>0</v>
      </c>
      <c r="H59" s="172">
        <v>0</v>
      </c>
      <c r="I59" s="208">
        <f t="shared" si="4"/>
        <v>0</v>
      </c>
      <c r="J59" s="172">
        <v>0</v>
      </c>
      <c r="K59" s="172">
        <v>0</v>
      </c>
      <c r="L59" s="172">
        <v>0</v>
      </c>
      <c r="M59" s="172">
        <v>0</v>
      </c>
      <c r="N59" s="208">
        <f t="shared" si="3"/>
        <v>615076</v>
      </c>
      <c r="O59" s="172">
        <v>615076</v>
      </c>
      <c r="P59" s="172">
        <v>0</v>
      </c>
      <c r="Q59" s="172">
        <v>0</v>
      </c>
      <c r="R59" s="172">
        <v>0</v>
      </c>
      <c r="S59" s="172">
        <v>0</v>
      </c>
      <c r="T59" s="317">
        <v>17400</v>
      </c>
      <c r="U59" s="318"/>
      <c r="V59" s="38"/>
      <c r="W59" s="38"/>
      <c r="X59" s="38"/>
      <c r="Y59" s="38"/>
      <c r="Z59" s="38"/>
      <c r="AA59" s="38"/>
      <c r="AB59" s="38"/>
      <c r="AC59" s="38"/>
    </row>
    <row r="60" spans="1:29" s="38" customFormat="1" ht="23.25" customHeight="1">
      <c r="A60" s="37" t="s">
        <v>692</v>
      </c>
      <c r="B60" s="210" t="s">
        <v>202</v>
      </c>
      <c r="C60" s="208">
        <f t="shared" si="2"/>
        <v>388680874</v>
      </c>
      <c r="D60" s="172">
        <f>389299851-2</f>
        <v>389299849</v>
      </c>
      <c r="E60" s="172">
        <v>0</v>
      </c>
      <c r="F60" s="172">
        <v>0</v>
      </c>
      <c r="G60" s="172">
        <v>0</v>
      </c>
      <c r="H60" s="172">
        <v>0</v>
      </c>
      <c r="I60" s="208">
        <f t="shared" si="4"/>
        <v>0</v>
      </c>
      <c r="J60" s="172">
        <v>0</v>
      </c>
      <c r="K60" s="172">
        <v>0</v>
      </c>
      <c r="L60" s="172">
        <v>0</v>
      </c>
      <c r="M60" s="172">
        <v>0</v>
      </c>
      <c r="N60" s="208">
        <f t="shared" si="3"/>
        <v>3982471</v>
      </c>
      <c r="O60" s="172">
        <v>3363496</v>
      </c>
      <c r="P60" s="172">
        <v>0</v>
      </c>
      <c r="Q60" s="172">
        <v>0</v>
      </c>
      <c r="R60" s="172">
        <v>0</v>
      </c>
      <c r="S60" s="172">
        <v>618975</v>
      </c>
      <c r="T60" s="317">
        <v>19900</v>
      </c>
      <c r="U60" s="318"/>
      <c r="V60" s="32"/>
      <c r="W60" s="32"/>
      <c r="X60" s="32"/>
      <c r="Y60" s="32"/>
      <c r="Z60" s="32"/>
      <c r="AA60" s="32"/>
      <c r="AB60" s="32"/>
      <c r="AC60" s="32"/>
    </row>
    <row r="61" spans="1:29" s="38" customFormat="1" ht="15" customHeight="1">
      <c r="A61" s="37"/>
      <c r="B61" s="210"/>
      <c r="C61" s="208"/>
      <c r="D61" s="208"/>
      <c r="E61" s="209"/>
      <c r="F61" s="209"/>
      <c r="G61" s="209"/>
      <c r="H61" s="209"/>
      <c r="I61" s="208"/>
      <c r="J61" s="172"/>
      <c r="K61" s="172"/>
      <c r="L61" s="172"/>
      <c r="M61" s="172"/>
      <c r="N61" s="208"/>
      <c r="O61" s="174"/>
      <c r="P61" s="174"/>
      <c r="Q61" s="174"/>
      <c r="R61" s="174"/>
      <c r="S61" s="174"/>
      <c r="T61" s="245"/>
      <c r="U61"/>
      <c r="V61" s="32"/>
      <c r="W61" s="32"/>
      <c r="X61" s="32"/>
      <c r="Y61" s="32"/>
      <c r="Z61" s="32"/>
      <c r="AA61" s="32"/>
      <c r="AB61" s="32"/>
      <c r="AC61" s="32"/>
    </row>
    <row r="62" spans="1:29" s="32" customFormat="1" ht="23.25" customHeight="1">
      <c r="A62" s="250"/>
      <c r="B62" s="251" t="s">
        <v>466</v>
      </c>
      <c r="C62" s="252">
        <f t="shared" ref="C62" si="9">SUM(D62:H62)</f>
        <v>817439577</v>
      </c>
      <c r="D62" s="252">
        <f>SUM(D63:D64)</f>
        <v>817439577</v>
      </c>
      <c r="E62" s="252">
        <f>SUM(E63:E64)</f>
        <v>0</v>
      </c>
      <c r="F62" s="252">
        <f>SUM(F63:F64)</f>
        <v>0</v>
      </c>
      <c r="G62" s="252">
        <f>SUM(G63:G64)</f>
        <v>0</v>
      </c>
      <c r="H62" s="252">
        <f>SUM(H63:H64)</f>
        <v>0</v>
      </c>
      <c r="I62" s="252">
        <f t="shared" ref="I62:I64" si="10">SUM(J62:M62)</f>
        <v>0</v>
      </c>
      <c r="J62" s="252">
        <f t="shared" ref="J62:S62" si="11">SUM(J63:J64)</f>
        <v>0</v>
      </c>
      <c r="K62" s="252">
        <f t="shared" si="11"/>
        <v>0</v>
      </c>
      <c r="L62" s="252">
        <f t="shared" si="11"/>
        <v>0</v>
      </c>
      <c r="M62" s="252">
        <f t="shared" si="11"/>
        <v>0</v>
      </c>
      <c r="N62" s="252">
        <f t="shared" si="11"/>
        <v>0</v>
      </c>
      <c r="O62" s="252">
        <f t="shared" si="11"/>
        <v>0</v>
      </c>
      <c r="P62" s="252">
        <f t="shared" si="11"/>
        <v>0</v>
      </c>
      <c r="Q62" s="252">
        <f t="shared" si="11"/>
        <v>0</v>
      </c>
      <c r="R62" s="252">
        <f t="shared" si="11"/>
        <v>0</v>
      </c>
      <c r="S62" s="252">
        <f t="shared" si="11"/>
        <v>0</v>
      </c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spans="1:29" ht="23.25" customHeight="1">
      <c r="A63" s="37" t="s">
        <v>5</v>
      </c>
      <c r="B63" s="210" t="s">
        <v>88</v>
      </c>
      <c r="C63" s="208">
        <f t="shared" ref="C63:C64" si="12">SUM(D63:H63)-N63+O63</f>
        <v>573749357</v>
      </c>
      <c r="D63" s="172">
        <v>573749357</v>
      </c>
      <c r="E63" s="173"/>
      <c r="F63" s="173"/>
      <c r="G63" s="173"/>
      <c r="H63" s="173"/>
      <c r="I63" s="208">
        <f t="shared" si="10"/>
        <v>0</v>
      </c>
      <c r="J63" s="174"/>
      <c r="K63" s="174"/>
      <c r="L63" s="174"/>
      <c r="M63" s="174"/>
      <c r="N63" s="208">
        <f t="shared" ref="N63:N64" si="13">SUM(O63:S63)</f>
        <v>0</v>
      </c>
      <c r="O63" s="172"/>
      <c r="P63" s="174"/>
      <c r="Q63" s="174"/>
      <c r="R63" s="174"/>
      <c r="S63" s="174"/>
      <c r="T63" s="244" t="s">
        <v>768</v>
      </c>
    </row>
    <row r="64" spans="1:29" ht="23.25" customHeight="1">
      <c r="A64" s="37" t="s">
        <v>8</v>
      </c>
      <c r="B64" s="210" t="s">
        <v>467</v>
      </c>
      <c r="C64" s="208">
        <f t="shared" si="12"/>
        <v>243690220</v>
      </c>
      <c r="D64" s="172">
        <v>243690220</v>
      </c>
      <c r="E64" s="173"/>
      <c r="F64" s="173"/>
      <c r="G64" s="173"/>
      <c r="H64" s="173"/>
      <c r="I64" s="208">
        <f t="shared" si="10"/>
        <v>0</v>
      </c>
      <c r="J64" s="174"/>
      <c r="K64" s="174"/>
      <c r="L64" s="174"/>
      <c r="M64" s="174"/>
      <c r="N64" s="208">
        <f t="shared" si="13"/>
        <v>0</v>
      </c>
      <c r="O64" s="172"/>
      <c r="P64" s="174"/>
      <c r="Q64" s="174"/>
      <c r="R64" s="174"/>
      <c r="S64" s="174"/>
      <c r="T64" s="33">
        <v>90993</v>
      </c>
    </row>
    <row r="67" spans="1:32" s="80" customFormat="1" ht="15" customHeight="1">
      <c r="A67" s="97"/>
      <c r="B67" s="10" t="s">
        <v>0</v>
      </c>
      <c r="C67" s="81"/>
      <c r="D67" s="81"/>
      <c r="E67" s="81"/>
      <c r="F67" s="152"/>
      <c r="G67" s="152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81"/>
      <c r="Z67" s="81"/>
      <c r="AA67" s="81"/>
      <c r="AB67" s="81"/>
      <c r="AC67" s="81"/>
      <c r="AD67" s="81"/>
      <c r="AE67" s="81"/>
      <c r="AF67" s="81"/>
    </row>
    <row r="68" spans="1:32" s="80" customFormat="1" ht="15" customHeight="1">
      <c r="A68" s="97"/>
      <c r="B68" s="10"/>
      <c r="C68" s="81"/>
      <c r="D68" s="81"/>
      <c r="E68" s="81"/>
      <c r="F68" s="152"/>
      <c r="G68" s="152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33"/>
      <c r="V68" s="153"/>
      <c r="W68" s="153"/>
      <c r="X68" s="153"/>
      <c r="Y68" s="81"/>
      <c r="Z68" s="81"/>
      <c r="AA68" s="81"/>
      <c r="AB68" s="81"/>
      <c r="AC68" s="81"/>
      <c r="AD68" s="81"/>
      <c r="AE68" s="81"/>
      <c r="AF68" s="81"/>
    </row>
    <row r="69" spans="1:32" s="80" customFormat="1" ht="15" customHeight="1">
      <c r="A69" s="97"/>
      <c r="B69" s="10" t="s">
        <v>1</v>
      </c>
      <c r="C69" s="81"/>
      <c r="D69" s="81"/>
      <c r="E69" s="81"/>
      <c r="F69" s="152"/>
      <c r="G69" s="152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81"/>
      <c r="AE69" s="81"/>
      <c r="AF69" s="81"/>
    </row>
    <row r="71" spans="1:32">
      <c r="B71" s="39" t="s">
        <v>468</v>
      </c>
    </row>
    <row r="72" spans="1:32">
      <c r="C72" s="298">
        <f>+[8]Balance!$C$45</f>
        <v>12638456623</v>
      </c>
    </row>
  </sheetData>
  <sheetProtection algorithmName="SHA-512" hashValue="pfEamXX8/gS2lF19pFdJ6ZMUsilIyTrbyEUmmcnku1N99CrKU9AESGScn6xr2uxKJKC/CmIvyQukN4v8umEPgw==" saltValue="SsOQolUh724rfAinS+pJpA==" spinCount="100000" sheet="1" objects="1" scenarios="1"/>
  <mergeCells count="17">
    <mergeCell ref="N5:S5"/>
    <mergeCell ref="P3:Q3"/>
    <mergeCell ref="N6:N7"/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</mergeCells>
  <conditionalFormatting sqref="C9">
    <cfRule type="cellIs" dxfId="267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4" orientation="landscape" r:id="rId1"/>
  <ignoredErrors>
    <ignoredError sqref="I62 E63:F63 T62 Q62:S62 T65 C65:O66 O62 Q65:S66" unlockedFormula="1"/>
    <ignoredError sqref="N62" formulaRange="1" unlockedFormula="1"/>
    <ignoredError sqref="N61 N63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G97"/>
  <sheetViews>
    <sheetView tabSelected="1" view="pageBreakPreview" zoomScaleSheetLayoutView="100" workbookViewId="0">
      <pane xSplit="2" ySplit="4" topLeftCell="C74" activePane="bottomRight" state="frozen"/>
      <selection activeCell="C73" sqref="C73"/>
      <selection pane="topRight" activeCell="C73" sqref="C73"/>
      <selection pane="bottomLeft" activeCell="C73" sqref="C73"/>
      <selection pane="bottomRight" activeCell="D88" sqref="D88"/>
    </sheetView>
  </sheetViews>
  <sheetFormatPr defaultRowHeight="15" customHeight="1"/>
  <cols>
    <col min="1" max="1" width="5.7109375" style="504" customWidth="1"/>
    <col min="2" max="2" width="80.28515625" style="81" customWidth="1"/>
    <col min="3" max="5" width="16.85546875" style="81" customWidth="1"/>
    <col min="6" max="6" width="7.42578125" style="81" customWidth="1"/>
    <col min="7" max="7" width="11.140625" style="81" bestFit="1" customWidth="1"/>
    <col min="8" max="10" width="7.42578125" style="81" customWidth="1"/>
    <col min="11" max="16384" width="9.140625" style="81"/>
  </cols>
  <sheetData>
    <row r="1" spans="1:7" ht="18.75" customHeight="1">
      <c r="A1" s="469"/>
      <c r="B1" s="470" t="s">
        <v>640</v>
      </c>
      <c r="D1" s="369" t="s">
        <v>558</v>
      </c>
      <c r="E1" s="369"/>
    </row>
    <row r="2" spans="1:7" ht="7.5" customHeight="1">
      <c r="A2" s="469"/>
      <c r="B2" s="470"/>
      <c r="C2" s="369"/>
      <c r="D2" s="369"/>
      <c r="E2" s="369"/>
    </row>
    <row r="3" spans="1:7" ht="15" customHeight="1">
      <c r="A3" s="471"/>
      <c r="B3" s="468" t="str">
        <f>+'Asset quality'!B3</f>
        <v xml:space="preserve">АК "АЛОКАБАНК" </v>
      </c>
      <c r="C3" s="461">
        <f>+'Asset quality'!P3</f>
        <v>44561</v>
      </c>
      <c r="D3" s="461"/>
      <c r="E3" s="370" t="s">
        <v>3</v>
      </c>
    </row>
    <row r="4" spans="1:7" ht="42" customHeight="1">
      <c r="A4" s="206" t="s">
        <v>83</v>
      </c>
      <c r="B4" s="206" t="s">
        <v>2</v>
      </c>
      <c r="C4" s="206" t="s">
        <v>279</v>
      </c>
      <c r="D4" s="206" t="s">
        <v>280</v>
      </c>
      <c r="E4" s="206" t="s">
        <v>281</v>
      </c>
    </row>
    <row r="5" spans="1:7" ht="15" customHeight="1">
      <c r="A5" s="472" t="s">
        <v>303</v>
      </c>
      <c r="B5" s="473" t="s">
        <v>4</v>
      </c>
      <c r="C5" s="206"/>
      <c r="D5" s="206"/>
      <c r="E5" s="206"/>
    </row>
    <row r="6" spans="1:7" ht="15" customHeight="1">
      <c r="A6" s="474" t="s">
        <v>304</v>
      </c>
      <c r="B6" s="475" t="s">
        <v>292</v>
      </c>
      <c r="C6" s="344">
        <f>+D6+E6</f>
        <v>701232</v>
      </c>
      <c r="D6" s="343">
        <v>701232</v>
      </c>
      <c r="E6" s="343">
        <v>0</v>
      </c>
    </row>
    <row r="7" spans="1:7" ht="15" customHeight="1">
      <c r="A7" s="474" t="s">
        <v>305</v>
      </c>
      <c r="B7" s="475" t="s">
        <v>293</v>
      </c>
      <c r="C7" s="344">
        <f t="shared" ref="C7:C15" si="0">+D7+E7</f>
        <v>15859918</v>
      </c>
      <c r="D7" s="343">
        <v>8925070</v>
      </c>
      <c r="E7" s="343">
        <v>6934848</v>
      </c>
    </row>
    <row r="8" spans="1:7" ht="15" customHeight="1">
      <c r="A8" s="474" t="s">
        <v>306</v>
      </c>
      <c r="B8" s="475" t="s">
        <v>294</v>
      </c>
      <c r="C8" s="344">
        <f t="shared" si="0"/>
        <v>0</v>
      </c>
      <c r="D8" s="343">
        <v>0</v>
      </c>
      <c r="E8" s="343">
        <v>0</v>
      </c>
    </row>
    <row r="9" spans="1:7" ht="15" customHeight="1">
      <c r="A9" s="474" t="s">
        <v>307</v>
      </c>
      <c r="B9" s="476" t="s">
        <v>295</v>
      </c>
      <c r="C9" s="344">
        <f t="shared" si="0"/>
        <v>0</v>
      </c>
      <c r="D9" s="343">
        <v>0</v>
      </c>
      <c r="E9" s="343">
        <v>0</v>
      </c>
    </row>
    <row r="10" spans="1:7" ht="15" customHeight="1">
      <c r="A10" s="474" t="s">
        <v>308</v>
      </c>
      <c r="B10" s="475" t="s">
        <v>296</v>
      </c>
      <c r="C10" s="344">
        <f t="shared" si="0"/>
        <v>46951376</v>
      </c>
      <c r="D10" s="343">
        <v>46951376</v>
      </c>
      <c r="E10" s="343">
        <v>0</v>
      </c>
    </row>
    <row r="11" spans="1:7" ht="15" customHeight="1">
      <c r="A11" s="477" t="s">
        <v>309</v>
      </c>
      <c r="B11" s="478" t="s">
        <v>297</v>
      </c>
      <c r="C11" s="344">
        <f t="shared" si="0"/>
        <v>0</v>
      </c>
      <c r="D11" s="343">
        <v>0</v>
      </c>
      <c r="E11" s="343">
        <v>0</v>
      </c>
    </row>
    <row r="12" spans="1:7" ht="15" customHeight="1">
      <c r="A12" s="477" t="s">
        <v>310</v>
      </c>
      <c r="B12" s="478" t="s">
        <v>298</v>
      </c>
      <c r="C12" s="344">
        <f t="shared" si="0"/>
        <v>24017775</v>
      </c>
      <c r="D12" s="343">
        <v>26468</v>
      </c>
      <c r="E12" s="343">
        <v>23991307</v>
      </c>
    </row>
    <row r="13" spans="1:7" ht="15" customHeight="1">
      <c r="A13" s="477" t="s">
        <v>311</v>
      </c>
      <c r="B13" s="479" t="s">
        <v>299</v>
      </c>
      <c r="C13" s="344">
        <f t="shared" si="0"/>
        <v>923550337</v>
      </c>
      <c r="D13" s="343">
        <v>751711404</v>
      </c>
      <c r="E13" s="343">
        <v>171838933</v>
      </c>
    </row>
    <row r="14" spans="1:7" ht="15" customHeight="1">
      <c r="A14" s="480" t="s">
        <v>312</v>
      </c>
      <c r="B14" s="481" t="s">
        <v>300</v>
      </c>
      <c r="C14" s="344">
        <f t="shared" si="0"/>
        <v>0</v>
      </c>
      <c r="D14" s="343">
        <v>0</v>
      </c>
      <c r="E14" s="343">
        <v>0</v>
      </c>
    </row>
    <row r="15" spans="1:7" ht="15" customHeight="1">
      <c r="A15" s="480" t="s">
        <v>313</v>
      </c>
      <c r="B15" s="482" t="s">
        <v>301</v>
      </c>
      <c r="C15" s="344">
        <f t="shared" si="0"/>
        <v>195609379</v>
      </c>
      <c r="D15" s="343">
        <v>195609379</v>
      </c>
      <c r="E15" s="343">
        <v>0</v>
      </c>
    </row>
    <row r="16" spans="1:7" ht="15" customHeight="1">
      <c r="A16" s="472" t="s">
        <v>314</v>
      </c>
      <c r="B16" s="483" t="s">
        <v>302</v>
      </c>
      <c r="C16" s="214">
        <f>SUM(C6:C15)</f>
        <v>1206690017</v>
      </c>
      <c r="D16" s="214">
        <f>SUM(D6:D15)</f>
        <v>1003924929</v>
      </c>
      <c r="E16" s="214">
        <f>SUM(E6:E15)</f>
        <v>202765088</v>
      </c>
      <c r="G16" s="484">
        <f>+'Analysis of Interest'!C42</f>
        <v>1206690017</v>
      </c>
    </row>
    <row r="17" spans="1:7" ht="7.5" customHeight="1">
      <c r="A17" s="472"/>
      <c r="B17" s="473"/>
      <c r="C17" s="371"/>
      <c r="D17" s="371"/>
      <c r="E17" s="371"/>
    </row>
    <row r="18" spans="1:7" ht="15" customHeight="1">
      <c r="A18" s="472" t="s">
        <v>315</v>
      </c>
      <c r="B18" s="473" t="s">
        <v>349</v>
      </c>
      <c r="C18" s="206"/>
      <c r="D18" s="206"/>
      <c r="E18" s="206"/>
    </row>
    <row r="19" spans="1:7" ht="15" customHeight="1">
      <c r="A19" s="466" t="s">
        <v>316</v>
      </c>
      <c r="B19" s="485" t="s">
        <v>282</v>
      </c>
      <c r="C19" s="344">
        <f t="shared" ref="C19:C22" si="1">+D19+E19</f>
        <v>4353573</v>
      </c>
      <c r="D19" s="343">
        <v>4265417</v>
      </c>
      <c r="E19" s="343">
        <v>88156</v>
      </c>
    </row>
    <row r="20" spans="1:7" ht="15" customHeight="1">
      <c r="A20" s="466" t="s">
        <v>317</v>
      </c>
      <c r="B20" s="485" t="s">
        <v>283</v>
      </c>
      <c r="C20" s="344">
        <f t="shared" si="1"/>
        <v>394517794</v>
      </c>
      <c r="D20" s="343">
        <v>356025755</v>
      </c>
      <c r="E20" s="343">
        <v>38492039</v>
      </c>
    </row>
    <row r="21" spans="1:7" ht="15" customHeight="1">
      <c r="A21" s="466" t="s">
        <v>318</v>
      </c>
      <c r="B21" s="485" t="s">
        <v>284</v>
      </c>
      <c r="C21" s="344">
        <f t="shared" si="1"/>
        <v>0</v>
      </c>
      <c r="D21" s="343">
        <v>0</v>
      </c>
      <c r="E21" s="343">
        <v>0</v>
      </c>
    </row>
    <row r="22" spans="1:7" ht="15" customHeight="1">
      <c r="A22" s="466" t="s">
        <v>319</v>
      </c>
      <c r="B22" s="485" t="s">
        <v>285</v>
      </c>
      <c r="C22" s="344">
        <f t="shared" si="1"/>
        <v>109768909</v>
      </c>
      <c r="D22" s="343">
        <v>88564625</v>
      </c>
      <c r="E22" s="343">
        <v>21204284</v>
      </c>
    </row>
    <row r="23" spans="1:7" s="10" customFormat="1" ht="15" customHeight="1">
      <c r="A23" s="486" t="s">
        <v>320</v>
      </c>
      <c r="B23" s="487" t="s">
        <v>286</v>
      </c>
      <c r="C23" s="214">
        <f>SUM(C19:C22)</f>
        <v>508640276</v>
      </c>
      <c r="D23" s="214">
        <f>SUM(D19:D22)</f>
        <v>448855797</v>
      </c>
      <c r="E23" s="214">
        <f>SUM(E19:E22)</f>
        <v>59784479</v>
      </c>
    </row>
    <row r="24" spans="1:7" ht="15.75" customHeight="1">
      <c r="A24" s="466" t="s">
        <v>321</v>
      </c>
      <c r="B24" s="485" t="s">
        <v>287</v>
      </c>
      <c r="C24" s="344">
        <f t="shared" ref="C24:C26" si="2">+D24+E24</f>
        <v>67695285</v>
      </c>
      <c r="D24" s="343">
        <v>24323774</v>
      </c>
      <c r="E24" s="343">
        <v>43371511</v>
      </c>
    </row>
    <row r="25" spans="1:7" ht="15.75" customHeight="1">
      <c r="A25" s="488" t="s">
        <v>322</v>
      </c>
      <c r="B25" s="489" t="s">
        <v>288</v>
      </c>
      <c r="C25" s="344">
        <f t="shared" si="2"/>
        <v>8059008</v>
      </c>
      <c r="D25" s="343">
        <v>8059008</v>
      </c>
      <c r="E25" s="343">
        <v>0</v>
      </c>
    </row>
    <row r="26" spans="1:7" ht="15.75" customHeight="1">
      <c r="A26" s="488" t="s">
        <v>323</v>
      </c>
      <c r="B26" s="489" t="s">
        <v>289</v>
      </c>
      <c r="C26" s="344">
        <f t="shared" si="2"/>
        <v>213913966</v>
      </c>
      <c r="D26" s="343">
        <v>163463770</v>
      </c>
      <c r="E26" s="343">
        <v>50450196</v>
      </c>
    </row>
    <row r="27" spans="1:7" ht="15" customHeight="1">
      <c r="A27" s="490" t="s">
        <v>324</v>
      </c>
      <c r="B27" s="491" t="s">
        <v>290</v>
      </c>
      <c r="C27" s="214">
        <f>SUM(C24:C26)</f>
        <v>289668259</v>
      </c>
      <c r="D27" s="214">
        <f>SUM(D24:D26)</f>
        <v>195846552</v>
      </c>
      <c r="E27" s="214">
        <f>SUM(E24:E26)</f>
        <v>93821707</v>
      </c>
    </row>
    <row r="28" spans="1:7" ht="15" customHeight="1">
      <c r="A28" s="490" t="s">
        <v>325</v>
      </c>
      <c r="B28" s="491" t="s">
        <v>291</v>
      </c>
      <c r="C28" s="214">
        <f>C27+C23</f>
        <v>798308535</v>
      </c>
      <c r="D28" s="214">
        <f>D27+D23</f>
        <v>644702349</v>
      </c>
      <c r="E28" s="214">
        <f>E27+E23</f>
        <v>153606186</v>
      </c>
      <c r="G28" s="484">
        <f>+'Analysis of Interest'!C72</f>
        <v>798308535</v>
      </c>
    </row>
    <row r="29" spans="1:7" ht="7.5" customHeight="1">
      <c r="A29" s="466"/>
      <c r="B29" s="485"/>
      <c r="C29" s="371"/>
      <c r="D29" s="371"/>
      <c r="E29" s="371"/>
    </row>
    <row r="30" spans="1:7" s="494" customFormat="1" ht="25.5">
      <c r="A30" s="492" t="s">
        <v>200</v>
      </c>
      <c r="B30" s="493" t="s">
        <v>703</v>
      </c>
      <c r="C30" s="214">
        <f>C16-C28</f>
        <v>408381482</v>
      </c>
      <c r="D30" s="214">
        <f>D16-D28</f>
        <v>359222580</v>
      </c>
      <c r="E30" s="214">
        <f>E16-E28</f>
        <v>49158902</v>
      </c>
    </row>
    <row r="31" spans="1:7" ht="15.75" customHeight="1">
      <c r="A31" s="488" t="s">
        <v>326</v>
      </c>
      <c r="B31" s="495" t="s">
        <v>350</v>
      </c>
      <c r="C31" s="344">
        <f t="shared" ref="C31:C34" si="3">+D31+E31</f>
        <v>119121377</v>
      </c>
      <c r="D31" s="343">
        <v>102654089</v>
      </c>
      <c r="E31" s="343">
        <v>16467288</v>
      </c>
    </row>
    <row r="32" spans="1:7" ht="15.75" customHeight="1">
      <c r="A32" s="488" t="s">
        <v>697</v>
      </c>
      <c r="B32" s="489" t="s">
        <v>698</v>
      </c>
      <c r="C32" s="344">
        <f t="shared" si="3"/>
        <v>0</v>
      </c>
      <c r="D32" s="343">
        <v>0</v>
      </c>
      <c r="E32" s="343">
        <v>0</v>
      </c>
    </row>
    <row r="33" spans="1:5" ht="15.75" customHeight="1">
      <c r="A33" s="488" t="s">
        <v>699</v>
      </c>
      <c r="B33" s="489" t="s">
        <v>700</v>
      </c>
      <c r="C33" s="344">
        <f t="shared" si="3"/>
        <v>0</v>
      </c>
      <c r="D33" s="343">
        <v>0</v>
      </c>
      <c r="E33" s="343">
        <v>0</v>
      </c>
    </row>
    <row r="34" spans="1:5" ht="15.75" customHeight="1">
      <c r="A34" s="488" t="s">
        <v>701</v>
      </c>
      <c r="B34" s="489" t="s">
        <v>702</v>
      </c>
      <c r="C34" s="344">
        <f t="shared" si="3"/>
        <v>1763430</v>
      </c>
      <c r="D34" s="343">
        <v>1357315</v>
      </c>
      <c r="E34" s="343">
        <v>406115</v>
      </c>
    </row>
    <row r="35" spans="1:5" ht="25.5">
      <c r="A35" s="492" t="s">
        <v>767</v>
      </c>
      <c r="B35" s="493" t="s">
        <v>351</v>
      </c>
      <c r="C35" s="214">
        <f>C30-C31-C32-C33-C34</f>
        <v>287496675</v>
      </c>
      <c r="D35" s="214">
        <f>D30-D31-D32-D33-D34</f>
        <v>255211176</v>
      </c>
      <c r="E35" s="214">
        <f>E30-E31-E32-E33-E34</f>
        <v>32285499</v>
      </c>
    </row>
    <row r="36" spans="1:5" ht="7.5" customHeight="1">
      <c r="A36" s="466"/>
      <c r="B36" s="485"/>
      <c r="C36" s="371"/>
      <c r="D36" s="371"/>
      <c r="E36" s="371"/>
    </row>
    <row r="37" spans="1:5" ht="15" customHeight="1">
      <c r="A37" s="486" t="s">
        <v>327</v>
      </c>
      <c r="B37" s="487" t="s">
        <v>352</v>
      </c>
      <c r="C37" s="206"/>
      <c r="D37" s="206"/>
      <c r="E37" s="206"/>
    </row>
    <row r="38" spans="1:5" ht="15" customHeight="1">
      <c r="A38" s="466" t="s">
        <v>328</v>
      </c>
      <c r="B38" s="485" t="s">
        <v>353</v>
      </c>
      <c r="C38" s="344">
        <f t="shared" ref="C38:C42" si="4">+D38+E38</f>
        <v>271963488</v>
      </c>
      <c r="D38" s="343">
        <v>264439404</v>
      </c>
      <c r="E38" s="343">
        <v>7524084</v>
      </c>
    </row>
    <row r="39" spans="1:5" ht="15" customHeight="1">
      <c r="A39" s="466" t="s">
        <v>329</v>
      </c>
      <c r="B39" s="485" t="s">
        <v>354</v>
      </c>
      <c r="C39" s="344">
        <f t="shared" si="4"/>
        <v>72227659</v>
      </c>
      <c r="D39" s="343">
        <v>4365084</v>
      </c>
      <c r="E39" s="343">
        <v>67862575</v>
      </c>
    </row>
    <row r="40" spans="1:5" ht="15" customHeight="1">
      <c r="A40" s="466" t="s">
        <v>330</v>
      </c>
      <c r="B40" s="485" t="s">
        <v>355</v>
      </c>
      <c r="C40" s="344">
        <f t="shared" si="4"/>
        <v>0</v>
      </c>
      <c r="D40" s="343">
        <v>0</v>
      </c>
      <c r="E40" s="343">
        <v>0</v>
      </c>
    </row>
    <row r="41" spans="1:5" ht="15" customHeight="1">
      <c r="A41" s="466" t="s">
        <v>331</v>
      </c>
      <c r="B41" s="485" t="s">
        <v>356</v>
      </c>
      <c r="C41" s="344">
        <f t="shared" si="4"/>
        <v>9624086</v>
      </c>
      <c r="D41" s="343">
        <v>9624086</v>
      </c>
      <c r="E41" s="343">
        <v>0</v>
      </c>
    </row>
    <row r="42" spans="1:5" ht="15" customHeight="1">
      <c r="A42" s="466" t="s">
        <v>332</v>
      </c>
      <c r="B42" s="485" t="s">
        <v>357</v>
      </c>
      <c r="C42" s="344">
        <f t="shared" si="4"/>
        <v>73338139</v>
      </c>
      <c r="D42" s="343">
        <v>61461455</v>
      </c>
      <c r="E42" s="343">
        <v>11876684</v>
      </c>
    </row>
    <row r="43" spans="1:5" s="97" customFormat="1" ht="15" customHeight="1">
      <c r="A43" s="564"/>
      <c r="B43" s="599" t="s">
        <v>616</v>
      </c>
      <c r="C43" s="344"/>
      <c r="D43" s="343"/>
      <c r="E43" s="343"/>
    </row>
    <row r="44" spans="1:5" s="97" customFormat="1" ht="15" customHeight="1">
      <c r="A44" s="564" t="s">
        <v>853</v>
      </c>
      <c r="B44" s="496" t="s">
        <v>831</v>
      </c>
      <c r="C44" s="344">
        <f>+D44+E44</f>
        <v>786600</v>
      </c>
      <c r="D44" s="343">
        <v>786600</v>
      </c>
      <c r="E44" s="343">
        <v>0</v>
      </c>
    </row>
    <row r="45" spans="1:5" s="97" customFormat="1" ht="15" customHeight="1">
      <c r="A45" s="564" t="s">
        <v>854</v>
      </c>
      <c r="B45" s="496" t="s">
        <v>832</v>
      </c>
      <c r="C45" s="344">
        <f>+D45+E45</f>
        <v>6746825</v>
      </c>
      <c r="D45" s="343">
        <v>6746825</v>
      </c>
      <c r="E45" s="343">
        <v>0</v>
      </c>
    </row>
    <row r="46" spans="1:5" ht="15" customHeight="1">
      <c r="A46" s="486" t="s">
        <v>333</v>
      </c>
      <c r="B46" s="487" t="s">
        <v>358</v>
      </c>
      <c r="C46" s="214">
        <f>SUM(C38:C42)</f>
        <v>427153372</v>
      </c>
      <c r="D46" s="214">
        <f>SUM(D38:D42)</f>
        <v>339890029</v>
      </c>
      <c r="E46" s="214">
        <f>SUM(E38:E42)</f>
        <v>87263343</v>
      </c>
    </row>
    <row r="47" spans="1:5" ht="7.5" customHeight="1">
      <c r="A47" s="466"/>
      <c r="B47" s="485"/>
      <c r="C47" s="371"/>
      <c r="D47" s="371"/>
      <c r="E47" s="371"/>
    </row>
    <row r="48" spans="1:5" ht="15" customHeight="1">
      <c r="A48" s="486" t="s">
        <v>334</v>
      </c>
      <c r="B48" s="487" t="s">
        <v>359</v>
      </c>
      <c r="C48" s="206"/>
      <c r="D48" s="206"/>
      <c r="E48" s="206"/>
    </row>
    <row r="49" spans="1:5" ht="15" customHeight="1">
      <c r="A49" s="466" t="s">
        <v>328</v>
      </c>
      <c r="B49" s="485" t="s">
        <v>360</v>
      </c>
      <c r="C49" s="344">
        <f t="shared" ref="C49:C53" si="5">+D49+E49</f>
        <v>160851375</v>
      </c>
      <c r="D49" s="343">
        <v>155618791</v>
      </c>
      <c r="E49" s="343">
        <v>5232584</v>
      </c>
    </row>
    <row r="50" spans="1:5" ht="15" customHeight="1">
      <c r="A50" s="466" t="s">
        <v>329</v>
      </c>
      <c r="B50" s="485" t="s">
        <v>361</v>
      </c>
      <c r="C50" s="344">
        <f t="shared" si="5"/>
        <v>49770959</v>
      </c>
      <c r="D50" s="343">
        <v>417309</v>
      </c>
      <c r="E50" s="343">
        <v>49353650</v>
      </c>
    </row>
    <row r="51" spans="1:5" ht="15" customHeight="1">
      <c r="A51" s="466" t="s">
        <v>318</v>
      </c>
      <c r="B51" s="496" t="s">
        <v>585</v>
      </c>
      <c r="C51" s="344">
        <f t="shared" si="5"/>
        <v>775252</v>
      </c>
      <c r="D51" s="343">
        <v>775252</v>
      </c>
      <c r="E51" s="343">
        <v>0</v>
      </c>
    </row>
    <row r="52" spans="1:5" ht="15" customHeight="1">
      <c r="A52" s="466" t="s">
        <v>331</v>
      </c>
      <c r="B52" s="485" t="s">
        <v>362</v>
      </c>
      <c r="C52" s="344">
        <f t="shared" si="5"/>
        <v>0</v>
      </c>
      <c r="D52" s="343">
        <v>0</v>
      </c>
      <c r="E52" s="343">
        <v>0</v>
      </c>
    </row>
    <row r="53" spans="1:5" ht="15" customHeight="1">
      <c r="A53" s="466" t="s">
        <v>332</v>
      </c>
      <c r="B53" s="485" t="s">
        <v>363</v>
      </c>
      <c r="C53" s="344">
        <f t="shared" si="5"/>
        <v>572995</v>
      </c>
      <c r="D53" s="343">
        <v>571927</v>
      </c>
      <c r="E53" s="343">
        <v>1068</v>
      </c>
    </row>
    <row r="54" spans="1:5" s="97" customFormat="1" ht="15" customHeight="1">
      <c r="A54" s="486" t="s">
        <v>333</v>
      </c>
      <c r="B54" s="595" t="s">
        <v>364</v>
      </c>
      <c r="C54" s="214">
        <f>SUM(C49:C53)</f>
        <v>211970581</v>
      </c>
      <c r="D54" s="214">
        <f>SUM(D49:D53)</f>
        <v>157383279</v>
      </c>
      <c r="E54" s="214">
        <f>SUM(E49:E53)</f>
        <v>54587302</v>
      </c>
    </row>
    <row r="55" spans="1:5" ht="7.5" customHeight="1">
      <c r="A55" s="486"/>
      <c r="B55" s="487"/>
      <c r="C55" s="179"/>
      <c r="D55" s="179"/>
      <c r="E55" s="179"/>
    </row>
    <row r="56" spans="1:5" ht="15" customHeight="1">
      <c r="A56" s="486" t="s">
        <v>335</v>
      </c>
      <c r="B56" s="487" t="s">
        <v>365</v>
      </c>
      <c r="C56" s="214">
        <f>C35+C46-C54</f>
        <v>502679466</v>
      </c>
      <c r="D56" s="214">
        <f>D35+D46-D54</f>
        <v>437717926</v>
      </c>
      <c r="E56" s="214">
        <f>E35+E46-E54</f>
        <v>64961540</v>
      </c>
    </row>
    <row r="57" spans="1:5" ht="7.5" customHeight="1">
      <c r="A57" s="486"/>
      <c r="B57" s="487"/>
      <c r="C57" s="372"/>
      <c r="D57" s="372"/>
      <c r="E57" s="372"/>
    </row>
    <row r="58" spans="1:5" ht="15" customHeight="1">
      <c r="A58" s="486" t="s">
        <v>336</v>
      </c>
      <c r="B58" s="487" t="s">
        <v>366</v>
      </c>
      <c r="C58" s="206"/>
      <c r="D58" s="206"/>
      <c r="E58" s="206"/>
    </row>
    <row r="59" spans="1:5" ht="15" customHeight="1">
      <c r="A59" s="466" t="s">
        <v>337</v>
      </c>
      <c r="B59" s="485" t="s">
        <v>367</v>
      </c>
      <c r="C59" s="343">
        <v>236892420</v>
      </c>
      <c r="D59" s="343">
        <v>236892420</v>
      </c>
      <c r="E59" s="497"/>
    </row>
    <row r="60" spans="1:5" ht="15" customHeight="1">
      <c r="A60" s="498" t="s">
        <v>632</v>
      </c>
      <c r="B60" s="485" t="s">
        <v>368</v>
      </c>
      <c r="C60" s="343">
        <v>13967296</v>
      </c>
      <c r="D60" s="343">
        <v>13967296</v>
      </c>
      <c r="E60" s="497"/>
    </row>
    <row r="61" spans="1:5" ht="15" customHeight="1">
      <c r="A61" s="466" t="s">
        <v>338</v>
      </c>
      <c r="B61" s="485" t="s">
        <v>369</v>
      </c>
      <c r="C61" s="343">
        <v>27288388</v>
      </c>
      <c r="D61" s="343">
        <v>27288388</v>
      </c>
      <c r="E61" s="497"/>
    </row>
    <row r="62" spans="1:5" ht="15" customHeight="1">
      <c r="A62" s="466" t="s">
        <v>306</v>
      </c>
      <c r="B62" s="485" t="s">
        <v>370</v>
      </c>
      <c r="C62" s="343">
        <v>2657109</v>
      </c>
      <c r="D62" s="343">
        <v>2657109</v>
      </c>
      <c r="E62" s="497"/>
    </row>
    <row r="63" spans="1:5" ht="15" customHeight="1">
      <c r="A63" s="466" t="s">
        <v>339</v>
      </c>
      <c r="B63" s="485" t="s">
        <v>371</v>
      </c>
      <c r="C63" s="343">
        <v>20125565</v>
      </c>
      <c r="D63" s="343">
        <v>20125565</v>
      </c>
      <c r="E63" s="497"/>
    </row>
    <row r="64" spans="1:5" ht="15" customHeight="1">
      <c r="A64" s="466" t="s">
        <v>340</v>
      </c>
      <c r="B64" s="485" t="s">
        <v>372</v>
      </c>
      <c r="C64" s="343">
        <v>39145479</v>
      </c>
      <c r="D64" s="343">
        <v>39145479</v>
      </c>
      <c r="E64" s="497"/>
    </row>
    <row r="65" spans="1:7" ht="15" customHeight="1">
      <c r="A65" s="466" t="s">
        <v>341</v>
      </c>
      <c r="B65" s="485" t="s">
        <v>373</v>
      </c>
      <c r="C65" s="343">
        <v>29320032</v>
      </c>
      <c r="D65" s="343">
        <v>29320032</v>
      </c>
      <c r="E65" s="497"/>
    </row>
    <row r="66" spans="1:7" ht="15" customHeight="1">
      <c r="A66" s="466" t="s">
        <v>342</v>
      </c>
      <c r="B66" s="496" t="s">
        <v>704</v>
      </c>
      <c r="C66" s="343">
        <v>562656</v>
      </c>
      <c r="D66" s="343">
        <v>562656</v>
      </c>
      <c r="E66" s="497"/>
    </row>
    <row r="67" spans="1:7" ht="15" customHeight="1">
      <c r="A67" s="466" t="s">
        <v>343</v>
      </c>
      <c r="B67" s="496" t="s">
        <v>705</v>
      </c>
      <c r="C67" s="343">
        <v>3260184</v>
      </c>
      <c r="D67" s="343">
        <v>3260184</v>
      </c>
      <c r="E67" s="497"/>
    </row>
    <row r="68" spans="1:7" ht="15" customHeight="1">
      <c r="A68" s="466" t="s">
        <v>706</v>
      </c>
      <c r="B68" s="496" t="s">
        <v>707</v>
      </c>
      <c r="C68" s="343">
        <v>214137</v>
      </c>
      <c r="D68" s="343">
        <v>214137</v>
      </c>
      <c r="E68" s="497"/>
    </row>
    <row r="69" spans="1:7" ht="15" customHeight="1">
      <c r="A69" s="466" t="s">
        <v>708</v>
      </c>
      <c r="B69" s="496" t="s">
        <v>709</v>
      </c>
      <c r="C69" s="343">
        <v>3182917</v>
      </c>
      <c r="D69" s="343">
        <v>3182917</v>
      </c>
      <c r="E69" s="497"/>
    </row>
    <row r="70" spans="1:7" ht="15" customHeight="1">
      <c r="A70" s="472" t="s">
        <v>710</v>
      </c>
      <c r="B70" s="473" t="s">
        <v>374</v>
      </c>
      <c r="C70" s="214">
        <f>SUM(C59:C69)-C60</f>
        <v>362648887</v>
      </c>
      <c r="D70" s="214">
        <f>SUM(D59:D69)-D60</f>
        <v>362648887</v>
      </c>
      <c r="E70" s="497"/>
      <c r="G70" s="499"/>
    </row>
    <row r="71" spans="1:7" ht="7.5" customHeight="1">
      <c r="A71" s="474" t="s">
        <v>13</v>
      </c>
      <c r="B71" s="475" t="s">
        <v>13</v>
      </c>
      <c r="C71" s="371"/>
      <c r="D71" s="371"/>
      <c r="E71" s="371"/>
    </row>
    <row r="72" spans="1:7" ht="15" customHeight="1">
      <c r="A72" s="472" t="s">
        <v>486</v>
      </c>
      <c r="B72" s="473" t="s">
        <v>375</v>
      </c>
      <c r="C72" s="214">
        <f>C56-C70</f>
        <v>140030579</v>
      </c>
      <c r="D72" s="214">
        <f>D56-D70</f>
        <v>75069039</v>
      </c>
      <c r="E72" s="214">
        <f>+E56-(C70-D70)</f>
        <v>64961540</v>
      </c>
      <c r="G72" s="499"/>
    </row>
    <row r="73" spans="1:7" ht="15" customHeight="1">
      <c r="A73" s="474" t="s">
        <v>345</v>
      </c>
      <c r="B73" s="475" t="s">
        <v>376</v>
      </c>
      <c r="C73" s="344">
        <f>+D73</f>
        <v>32448089</v>
      </c>
      <c r="D73" s="343">
        <v>32448089</v>
      </c>
      <c r="E73" s="497"/>
    </row>
    <row r="74" spans="1:7" ht="7.5" customHeight="1">
      <c r="A74" s="474"/>
      <c r="B74" s="475"/>
      <c r="C74" s="179"/>
      <c r="D74" s="179"/>
      <c r="E74" s="179"/>
    </row>
    <row r="75" spans="1:7" ht="15" customHeight="1">
      <c r="A75" s="472" t="s">
        <v>344</v>
      </c>
      <c r="B75" s="473" t="s">
        <v>377</v>
      </c>
      <c r="C75" s="214">
        <f>C72-C73</f>
        <v>107582490</v>
      </c>
      <c r="D75" s="214">
        <f>D72-D73</f>
        <v>42620950</v>
      </c>
      <c r="E75" s="214">
        <f>E72-E73</f>
        <v>64961540</v>
      </c>
      <c r="G75" s="499"/>
    </row>
    <row r="76" spans="1:7" ht="15" customHeight="1">
      <c r="A76" s="474" t="s">
        <v>347</v>
      </c>
      <c r="B76" s="475" t="s">
        <v>378</v>
      </c>
      <c r="C76" s="344">
        <f t="shared" ref="C76:C77" si="6">+D76+E76</f>
        <v>0</v>
      </c>
      <c r="D76" s="343">
        <v>0</v>
      </c>
      <c r="E76" s="343">
        <v>0</v>
      </c>
    </row>
    <row r="77" spans="1:7" ht="15" customHeight="1">
      <c r="A77" s="474" t="s">
        <v>348</v>
      </c>
      <c r="B77" s="475" t="s">
        <v>379</v>
      </c>
      <c r="C77" s="344">
        <f t="shared" si="6"/>
        <v>0</v>
      </c>
      <c r="D77" s="343">
        <v>0</v>
      </c>
      <c r="E77" s="343">
        <v>0</v>
      </c>
    </row>
    <row r="78" spans="1:7" ht="7.5" customHeight="1">
      <c r="A78" s="472"/>
      <c r="B78" s="473"/>
      <c r="C78" s="371"/>
      <c r="D78" s="371"/>
      <c r="E78" s="371"/>
    </row>
    <row r="79" spans="1:7" ht="15" customHeight="1">
      <c r="A79" s="472" t="s">
        <v>346</v>
      </c>
      <c r="B79" s="473" t="s">
        <v>380</v>
      </c>
      <c r="C79" s="214">
        <f>C75+C76+C77</f>
        <v>107582490</v>
      </c>
      <c r="D79" s="214">
        <f>D75+D76+D77</f>
        <v>42620950</v>
      </c>
      <c r="E79" s="214">
        <f>E75+E76+E77</f>
        <v>64961540</v>
      </c>
      <c r="G79" s="499"/>
    </row>
    <row r="80" spans="1:7" ht="15" customHeight="1">
      <c r="A80" s="81"/>
    </row>
    <row r="81" spans="1:2" ht="15" customHeight="1">
      <c r="A81" s="81"/>
      <c r="B81" s="10" t="s">
        <v>0</v>
      </c>
    </row>
    <row r="82" spans="1:2" ht="15" customHeight="1">
      <c r="A82" s="81"/>
      <c r="B82" s="10"/>
    </row>
    <row r="83" spans="1:2" ht="15" customHeight="1">
      <c r="A83" s="81"/>
      <c r="B83" s="10" t="s">
        <v>1</v>
      </c>
    </row>
    <row r="84" spans="1:2" ht="15" customHeight="1">
      <c r="A84" s="81"/>
    </row>
    <row r="85" spans="1:2" ht="15" customHeight="1">
      <c r="A85" s="81"/>
    </row>
    <row r="86" spans="1:2" ht="15" customHeight="1">
      <c r="A86" s="81"/>
    </row>
    <row r="87" spans="1:2" ht="15" customHeight="1">
      <c r="A87" s="81"/>
    </row>
    <row r="88" spans="1:2" ht="15" customHeight="1">
      <c r="A88" s="81"/>
    </row>
    <row r="89" spans="1:2" ht="15" customHeight="1">
      <c r="A89" s="500"/>
    </row>
    <row r="90" spans="1:2" ht="15" customHeight="1">
      <c r="A90" s="500"/>
    </row>
    <row r="92" spans="1:2" ht="15" customHeight="1">
      <c r="A92" s="501"/>
    </row>
    <row r="93" spans="1:2" ht="15" customHeight="1">
      <c r="A93" s="501"/>
    </row>
    <row r="94" spans="1:2" ht="15" customHeight="1">
      <c r="A94" s="501"/>
    </row>
    <row r="96" spans="1:2" ht="15" customHeight="1">
      <c r="A96" s="502"/>
    </row>
    <row r="97" spans="1:1" ht="15" customHeight="1">
      <c r="A97" s="503"/>
    </row>
  </sheetData>
  <sheetProtection algorithmName="SHA-512" hashValue="aaax2FnSPmXVPSlcaTA7YwOX7lPy+N979+KJ4L/Dl1PM6KgxpW/ebrm4zxJmI0P9D7mwS7Qmf4xfVTdms7xNNA==" saltValue="QyRTmvBUjkqM9bwp9VUkZg==" spinCount="100000" sheet="1" objects="1" scenarios="1"/>
  <phoneticPr fontId="20" type="noConversion"/>
  <conditionalFormatting sqref="G16">
    <cfRule type="cellIs" dxfId="266" priority="42" operator="notEqual">
      <formula>$G$16</formula>
    </cfRule>
  </conditionalFormatting>
  <conditionalFormatting sqref="C16">
    <cfRule type="cellIs" dxfId="265" priority="2" operator="notEqual">
      <formula>$G$16</formula>
    </cfRule>
  </conditionalFormatting>
  <conditionalFormatting sqref="C28">
    <cfRule type="cellIs" dxfId="264" priority="1" operator="notEqual">
      <formula>$G$28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6:F77 F18 F48 F59:F69 C59:D69 C31:F34 F30 C24:F26 F73 C73:D73 C6:E15 F5:F15 C19:F22 C38:F45 C49:F53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 xr:uid="{00000000-0002-0000-0100-000001000000}"/>
    <dataValidation allowBlank="1" showInputMessage="1" showErrorMessage="1" prompt="Значение должно равняться итого процентных доходов (см.следующий лист)" sqref="C16:F16" xr:uid="{00000000-0002-0000-0100-000002000000}"/>
    <dataValidation type="whole" operator="greaterThanOrEqual" allowBlank="1" showInputMessage="1" showErrorMessage="1" sqref="E73 E59:E69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57" orientation="portrait" r:id="rId1"/>
  <headerFooter alignWithMargins="0"/>
  <ignoredErrors>
    <ignoredError sqref="C6:C22 C87:C93" unlockedFormula="1"/>
    <ignoredError sqref="C23:C35 C55:C58 C70:C72 C74:C86 C46:C53 C38:C42" formula="1" unlockedFormula="1"/>
    <ignoredError sqref="C36:C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="115" zoomScaleNormal="100" zoomScaleSheetLayoutView="115" workbookViewId="0">
      <pane xSplit="2" ySplit="4" topLeftCell="C50" activePane="bottomRight" state="frozen"/>
      <selection activeCell="C73" sqref="C73"/>
      <selection pane="topRight" activeCell="C73" sqref="C73"/>
      <selection pane="bottomLeft" activeCell="C73" sqref="C73"/>
      <selection pane="bottomRight" activeCell="C69" sqref="C69"/>
    </sheetView>
  </sheetViews>
  <sheetFormatPr defaultRowHeight="12.75"/>
  <cols>
    <col min="1" max="1" width="7.140625" style="45" customWidth="1"/>
    <col min="2" max="2" width="83.28515625" style="1" bestFit="1" customWidth="1"/>
    <col min="3" max="3" width="24" style="1" customWidth="1"/>
    <col min="4" max="10" width="6.42578125" style="1" customWidth="1"/>
    <col min="11" max="16384" width="9.140625" style="1"/>
  </cols>
  <sheetData>
    <row r="1" spans="1:20" s="20" customFormat="1" ht="21" customHeight="1">
      <c r="A1" s="9"/>
      <c r="B1" s="207" t="s">
        <v>14</v>
      </c>
      <c r="C1" s="58" t="s">
        <v>586</v>
      </c>
      <c r="D1" s="25"/>
      <c r="E1" s="25"/>
      <c r="F1" s="25"/>
      <c r="G1" s="25"/>
      <c r="H1" s="25"/>
    </row>
    <row r="2" spans="1:20" ht="9" customHeight="1">
      <c r="A2" s="29"/>
      <c r="B2" s="7"/>
      <c r="C2" s="58"/>
      <c r="D2" s="3"/>
      <c r="E2" s="3"/>
      <c r="F2" s="3"/>
      <c r="G2" s="3"/>
      <c r="H2" s="3"/>
    </row>
    <row r="3" spans="1:20" ht="15">
      <c r="A3" s="40"/>
      <c r="B3" s="163" t="str">
        <f>+'Asset quality'!B3</f>
        <v xml:space="preserve">АК "АЛОКАБАНК" </v>
      </c>
      <c r="C3" s="164">
        <f>+'Asset quality'!P3</f>
        <v>44561</v>
      </c>
      <c r="D3" s="3"/>
      <c r="E3" s="3"/>
      <c r="F3" s="3"/>
      <c r="G3" s="3"/>
      <c r="H3" s="3"/>
    </row>
    <row r="4" spans="1:20" ht="24" customHeight="1">
      <c r="A4" s="206" t="s">
        <v>83</v>
      </c>
      <c r="B4" s="206" t="s">
        <v>15</v>
      </c>
      <c r="C4" s="206" t="s">
        <v>3</v>
      </c>
      <c r="D4" s="3"/>
      <c r="E4" s="3"/>
      <c r="F4" s="3"/>
      <c r="G4" s="3"/>
      <c r="H4" s="3"/>
    </row>
    <row r="5" spans="1:20">
      <c r="A5" s="41" t="s">
        <v>469</v>
      </c>
      <c r="B5" s="198" t="s">
        <v>493</v>
      </c>
      <c r="C5" s="206"/>
      <c r="D5" s="3"/>
      <c r="E5" s="3"/>
      <c r="F5" s="3"/>
      <c r="G5" s="3"/>
      <c r="H5" s="3"/>
    </row>
    <row r="6" spans="1:20">
      <c r="A6" s="42" t="s">
        <v>470</v>
      </c>
      <c r="B6" s="199" t="s">
        <v>494</v>
      </c>
      <c r="C6" s="12"/>
      <c r="D6" s="3"/>
      <c r="E6" s="3"/>
      <c r="F6" s="3"/>
      <c r="G6" s="3"/>
      <c r="H6" s="3"/>
    </row>
    <row r="7" spans="1:20">
      <c r="A7" s="42" t="s">
        <v>471</v>
      </c>
      <c r="B7" s="199" t="s">
        <v>495</v>
      </c>
      <c r="C7" s="12">
        <v>75366</v>
      </c>
      <c r="D7" s="3"/>
      <c r="E7" s="3"/>
      <c r="F7" s="3"/>
      <c r="G7" s="3"/>
      <c r="H7" s="3"/>
    </row>
    <row r="8" spans="1:20">
      <c r="A8" s="42" t="s">
        <v>472</v>
      </c>
      <c r="B8" s="199" t="s">
        <v>496</v>
      </c>
      <c r="C8" s="12"/>
      <c r="D8" s="3"/>
      <c r="E8" s="3"/>
      <c r="F8" s="3"/>
      <c r="G8" s="3"/>
      <c r="H8" s="3"/>
    </row>
    <row r="9" spans="1:20">
      <c r="A9" s="42" t="s">
        <v>473</v>
      </c>
      <c r="B9" s="199" t="s">
        <v>497</v>
      </c>
      <c r="C9" s="12">
        <v>221788259</v>
      </c>
      <c r="D9" s="3"/>
      <c r="E9" s="3"/>
      <c r="F9" s="3"/>
      <c r="G9" s="3"/>
      <c r="H9" s="3"/>
    </row>
    <row r="10" spans="1:20">
      <c r="A10" s="42" t="s">
        <v>474</v>
      </c>
      <c r="B10" s="199" t="s">
        <v>498</v>
      </c>
      <c r="C10" s="12">
        <v>79865132</v>
      </c>
      <c r="D10" s="3"/>
      <c r="E10" s="3"/>
      <c r="F10" s="3"/>
      <c r="G10" s="3"/>
      <c r="H10" s="3"/>
    </row>
    <row r="11" spans="1:20">
      <c r="A11" s="42" t="s">
        <v>475</v>
      </c>
      <c r="B11" s="199" t="s">
        <v>499</v>
      </c>
      <c r="C11" s="12">
        <v>55430278</v>
      </c>
      <c r="D11" s="3"/>
      <c r="E11" s="3"/>
      <c r="F11" s="3"/>
      <c r="G11" s="3"/>
      <c r="H11" s="3"/>
    </row>
    <row r="12" spans="1:20">
      <c r="A12" s="42" t="s">
        <v>476</v>
      </c>
      <c r="B12" s="199" t="s">
        <v>500</v>
      </c>
      <c r="C12" s="12">
        <v>548198425</v>
      </c>
      <c r="D12" s="3"/>
      <c r="E12" s="3"/>
      <c r="F12" s="3"/>
      <c r="G12" s="3"/>
      <c r="H12" s="3"/>
    </row>
    <row r="13" spans="1:20">
      <c r="A13" s="42" t="s">
        <v>477</v>
      </c>
      <c r="B13" s="199" t="s">
        <v>501</v>
      </c>
      <c r="C13" s="12">
        <v>18192876</v>
      </c>
      <c r="D13" s="3"/>
      <c r="E13" s="3"/>
      <c r="F13" s="3"/>
      <c r="G13" s="3"/>
      <c r="H13" s="3"/>
    </row>
    <row r="14" spans="1:20">
      <c r="A14" s="41" t="s">
        <v>478</v>
      </c>
      <c r="B14" s="198" t="s">
        <v>502</v>
      </c>
      <c r="C14" s="8">
        <f>SUM(C6:C13)</f>
        <v>923550336</v>
      </c>
      <c r="D14" s="3"/>
      <c r="E14" s="3"/>
      <c r="F14" s="3"/>
      <c r="G14" s="3"/>
      <c r="H14" s="3"/>
    </row>
    <row r="15" spans="1:20" s="2" customFormat="1" ht="7.5" customHeight="1">
      <c r="A15" s="31"/>
      <c r="B15" s="71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41" t="s">
        <v>479</v>
      </c>
      <c r="B16" s="198" t="s">
        <v>503</v>
      </c>
      <c r="C16" s="206"/>
      <c r="D16" s="3"/>
      <c r="E16" s="3"/>
      <c r="F16" s="3"/>
      <c r="G16" s="3"/>
      <c r="H16" s="3"/>
    </row>
    <row r="17" spans="1:20">
      <c r="A17" s="43" t="s">
        <v>470</v>
      </c>
      <c r="B17" s="200" t="s">
        <v>504</v>
      </c>
      <c r="C17" s="12">
        <v>701233</v>
      </c>
      <c r="D17" s="3"/>
      <c r="E17" s="3"/>
      <c r="F17" s="3"/>
      <c r="G17" s="3"/>
      <c r="H17" s="3"/>
    </row>
    <row r="18" spans="1:20">
      <c r="A18" s="43" t="s">
        <v>471</v>
      </c>
      <c r="B18" s="200" t="s">
        <v>201</v>
      </c>
      <c r="C18" s="12">
        <v>15859918</v>
      </c>
      <c r="D18" s="3"/>
      <c r="E18" s="3"/>
      <c r="F18" s="3"/>
      <c r="G18" s="3"/>
      <c r="H18" s="3"/>
    </row>
    <row r="19" spans="1:20">
      <c r="A19" s="41"/>
      <c r="B19" s="198" t="s">
        <v>505</v>
      </c>
      <c r="C19" s="8">
        <f>SUM(C17:C18)</f>
        <v>16561151</v>
      </c>
      <c r="D19" s="3"/>
      <c r="E19" s="3"/>
      <c r="F19" s="3"/>
      <c r="G19" s="3"/>
      <c r="H19" s="3"/>
    </row>
    <row r="20" spans="1:20" s="2" customFormat="1" ht="7.5" customHeight="1">
      <c r="A20" s="31"/>
      <c r="B20" s="71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41" t="s">
        <v>480</v>
      </c>
      <c r="B21" s="198" t="s">
        <v>506</v>
      </c>
      <c r="C21" s="206"/>
      <c r="D21" s="3"/>
      <c r="E21" s="3"/>
      <c r="F21" s="3"/>
      <c r="G21" s="3"/>
      <c r="H21" s="3"/>
    </row>
    <row r="22" spans="1:20">
      <c r="A22" s="42" t="s">
        <v>470</v>
      </c>
      <c r="B22" s="200" t="s">
        <v>507</v>
      </c>
      <c r="C22" s="12">
        <v>7552603</v>
      </c>
      <c r="D22" s="3"/>
      <c r="E22" s="3"/>
      <c r="F22" s="3"/>
      <c r="G22" s="3"/>
      <c r="H22" s="3"/>
    </row>
    <row r="23" spans="1:20">
      <c r="A23" s="42" t="s">
        <v>471</v>
      </c>
      <c r="B23" s="200" t="s">
        <v>508</v>
      </c>
      <c r="C23" s="12">
        <v>39398773</v>
      </c>
      <c r="D23" s="3"/>
      <c r="E23" s="3"/>
      <c r="F23" s="3"/>
      <c r="G23" s="3"/>
      <c r="H23" s="3"/>
    </row>
    <row r="24" spans="1:20">
      <c r="A24" s="42" t="s">
        <v>472</v>
      </c>
      <c r="B24" s="200" t="s">
        <v>509</v>
      </c>
      <c r="C24" s="12"/>
      <c r="D24" s="3"/>
      <c r="E24" s="3"/>
      <c r="F24" s="3"/>
      <c r="G24" s="3"/>
      <c r="H24" s="3"/>
    </row>
    <row r="25" spans="1:20">
      <c r="A25" s="42" t="s">
        <v>473</v>
      </c>
      <c r="B25" s="200" t="s">
        <v>510</v>
      </c>
      <c r="C25" s="12">
        <v>0</v>
      </c>
      <c r="D25" s="3"/>
      <c r="E25" s="3"/>
      <c r="F25" s="3"/>
      <c r="G25" s="3"/>
      <c r="H25" s="3"/>
    </row>
    <row r="26" spans="1:20">
      <c r="A26" s="42" t="s">
        <v>474</v>
      </c>
      <c r="B26" s="200" t="s">
        <v>511</v>
      </c>
      <c r="C26" s="12">
        <v>0</v>
      </c>
      <c r="D26" s="3"/>
      <c r="E26" s="3"/>
      <c r="F26" s="3"/>
      <c r="G26" s="3"/>
      <c r="H26" s="3"/>
    </row>
    <row r="27" spans="1:20">
      <c r="A27" s="42" t="s">
        <v>475</v>
      </c>
      <c r="B27" s="200" t="s">
        <v>86</v>
      </c>
      <c r="C27" s="12">
        <v>0</v>
      </c>
      <c r="D27" s="3"/>
      <c r="E27" s="3"/>
      <c r="F27" s="3"/>
      <c r="G27" s="3"/>
      <c r="H27" s="3"/>
    </row>
    <row r="28" spans="1:20">
      <c r="A28" s="42" t="s">
        <v>476</v>
      </c>
      <c r="B28" s="198" t="s">
        <v>512</v>
      </c>
      <c r="C28" s="8">
        <f>SUM(C22:C27)</f>
        <v>46951376</v>
      </c>
      <c r="D28" s="3"/>
      <c r="E28" s="3"/>
      <c r="F28" s="3"/>
      <c r="G28" s="3"/>
      <c r="H28" s="3"/>
    </row>
    <row r="29" spans="1:20" s="2" customFormat="1" ht="7.5" customHeight="1">
      <c r="A29" s="31"/>
      <c r="B29" s="71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41" t="s">
        <v>481</v>
      </c>
      <c r="B30" s="198" t="s">
        <v>513</v>
      </c>
      <c r="C30" s="206"/>
      <c r="D30" s="3"/>
      <c r="E30" s="3"/>
      <c r="F30" s="3"/>
      <c r="G30" s="3"/>
      <c r="H30" s="3"/>
    </row>
    <row r="31" spans="1:20">
      <c r="A31" s="42" t="s">
        <v>470</v>
      </c>
      <c r="B31" s="199" t="s">
        <v>514</v>
      </c>
      <c r="C31" s="12">
        <v>0</v>
      </c>
      <c r="D31" s="3"/>
      <c r="E31" s="3"/>
      <c r="F31" s="3"/>
      <c r="G31" s="3"/>
      <c r="H31" s="3"/>
    </row>
    <row r="32" spans="1:20">
      <c r="A32" s="42" t="s">
        <v>471</v>
      </c>
      <c r="B32" s="199" t="s">
        <v>508</v>
      </c>
      <c r="C32" s="12">
        <v>0</v>
      </c>
      <c r="D32" s="3"/>
      <c r="E32" s="3"/>
      <c r="F32" s="3"/>
      <c r="G32" s="3"/>
      <c r="H32" s="3"/>
    </row>
    <row r="33" spans="1:20">
      <c r="A33" s="42" t="s">
        <v>472</v>
      </c>
      <c r="B33" s="199" t="s">
        <v>515</v>
      </c>
      <c r="C33" s="12">
        <v>0</v>
      </c>
      <c r="D33" s="3"/>
      <c r="E33" s="3"/>
      <c r="F33" s="3"/>
      <c r="G33" s="3"/>
      <c r="H33" s="3"/>
    </row>
    <row r="34" spans="1:20">
      <c r="A34" s="42" t="s">
        <v>473</v>
      </c>
      <c r="B34" s="199" t="s">
        <v>510</v>
      </c>
      <c r="C34" s="12">
        <v>0</v>
      </c>
      <c r="D34" s="3"/>
      <c r="E34" s="3"/>
      <c r="F34" s="3"/>
      <c r="G34" s="3"/>
      <c r="H34" s="3"/>
    </row>
    <row r="35" spans="1:20">
      <c r="A35" s="42" t="s">
        <v>474</v>
      </c>
      <c r="B35" s="199" t="s">
        <v>86</v>
      </c>
      <c r="C35" s="12"/>
      <c r="D35" s="3"/>
      <c r="E35" s="3"/>
      <c r="F35" s="3"/>
      <c r="G35" s="3"/>
      <c r="H35" s="3"/>
    </row>
    <row r="36" spans="1:20">
      <c r="A36" s="42" t="s">
        <v>475</v>
      </c>
      <c r="B36" s="198" t="s">
        <v>516</v>
      </c>
      <c r="C36" s="8">
        <f>SUM(C31:C35)</f>
        <v>0</v>
      </c>
      <c r="D36" s="3"/>
      <c r="E36" s="3"/>
      <c r="F36" s="3"/>
      <c r="G36" s="3"/>
      <c r="H36" s="3"/>
    </row>
    <row r="37" spans="1:20" s="2" customFormat="1" ht="7.5" customHeight="1">
      <c r="A37" s="31"/>
      <c r="B37" s="71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41" t="s">
        <v>482</v>
      </c>
      <c r="B38" s="198" t="s">
        <v>517</v>
      </c>
      <c r="C38" s="206"/>
      <c r="D38" s="3"/>
      <c r="E38" s="3"/>
      <c r="F38" s="3"/>
      <c r="G38" s="3"/>
      <c r="H38" s="3"/>
    </row>
    <row r="39" spans="1:20">
      <c r="A39" s="42" t="s">
        <v>470</v>
      </c>
      <c r="B39" s="201" t="s">
        <v>518</v>
      </c>
      <c r="C39" s="12">
        <v>0</v>
      </c>
      <c r="D39" s="3"/>
      <c r="E39" s="3"/>
      <c r="F39" s="3"/>
      <c r="G39" s="3"/>
      <c r="H39" s="3"/>
    </row>
    <row r="40" spans="1:20">
      <c r="A40" s="42" t="s">
        <v>471</v>
      </c>
      <c r="B40" s="201" t="s">
        <v>301</v>
      </c>
      <c r="C40" s="12">
        <v>219627154</v>
      </c>
      <c r="D40" s="3"/>
      <c r="E40" s="3"/>
      <c r="F40" s="3"/>
      <c r="G40" s="3"/>
      <c r="H40" s="3"/>
    </row>
    <row r="41" spans="1:20" s="2" customFormat="1" ht="7.5" customHeight="1">
      <c r="A41" s="31"/>
      <c r="B41" s="71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41" t="s">
        <v>335</v>
      </c>
      <c r="B42" s="198" t="s">
        <v>519</v>
      </c>
      <c r="C42" s="8">
        <f>C14+C19+C28+C36+C39+C40</f>
        <v>1206690017</v>
      </c>
      <c r="D42" s="3"/>
      <c r="E42" s="3"/>
      <c r="F42" s="3"/>
      <c r="G42" s="3"/>
      <c r="H42" s="3"/>
    </row>
    <row r="43" spans="1:20" s="2" customFormat="1" ht="7.5" customHeight="1">
      <c r="A43" s="31"/>
      <c r="B43" s="71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41" t="s">
        <v>336</v>
      </c>
      <c r="B44" s="198" t="s">
        <v>520</v>
      </c>
      <c r="C44" s="206"/>
      <c r="D44" s="3"/>
      <c r="E44" s="3"/>
      <c r="F44" s="3"/>
      <c r="G44" s="3"/>
      <c r="H44" s="3"/>
    </row>
    <row r="45" spans="1:20">
      <c r="A45" s="41" t="s">
        <v>483</v>
      </c>
      <c r="B45" s="198" t="s">
        <v>204</v>
      </c>
      <c r="C45" s="12"/>
      <c r="D45" s="3"/>
      <c r="E45" s="3"/>
      <c r="F45" s="3"/>
      <c r="G45" s="3"/>
      <c r="H45" s="3"/>
    </row>
    <row r="46" spans="1:20">
      <c r="A46" s="42" t="s">
        <v>470</v>
      </c>
      <c r="B46" s="200" t="s">
        <v>163</v>
      </c>
      <c r="C46" s="12">
        <v>1560575</v>
      </c>
      <c r="D46" s="3"/>
      <c r="E46" s="3"/>
      <c r="F46" s="3"/>
      <c r="G46" s="3"/>
      <c r="H46" s="3"/>
    </row>
    <row r="47" spans="1:20">
      <c r="A47" s="42" t="s">
        <v>471</v>
      </c>
      <c r="B47" s="200" t="s">
        <v>164</v>
      </c>
      <c r="C47" s="12">
        <v>4230</v>
      </c>
      <c r="D47" s="3"/>
      <c r="E47" s="3"/>
      <c r="F47" s="3"/>
      <c r="G47" s="3"/>
      <c r="H47" s="3"/>
    </row>
    <row r="48" spans="1:20">
      <c r="A48" s="42" t="s">
        <v>472</v>
      </c>
      <c r="B48" s="200" t="s">
        <v>165</v>
      </c>
      <c r="C48" s="12">
        <v>2626774</v>
      </c>
      <c r="D48" s="3"/>
      <c r="E48" s="3"/>
      <c r="F48" s="3"/>
      <c r="G48" s="3"/>
      <c r="H48" s="3"/>
    </row>
    <row r="49" spans="1:20">
      <c r="A49" s="42" t="s">
        <v>473</v>
      </c>
      <c r="B49" s="199" t="s">
        <v>166</v>
      </c>
      <c r="C49" s="12">
        <v>0</v>
      </c>
      <c r="D49" s="3"/>
      <c r="E49" s="3"/>
      <c r="F49" s="3"/>
      <c r="G49" s="3"/>
      <c r="H49" s="3"/>
    </row>
    <row r="50" spans="1:20">
      <c r="A50" s="42" t="s">
        <v>474</v>
      </c>
      <c r="B50" s="199" t="s">
        <v>521</v>
      </c>
      <c r="C50" s="12">
        <v>161521</v>
      </c>
      <c r="D50" s="3"/>
      <c r="E50" s="3"/>
      <c r="F50" s="3"/>
      <c r="G50" s="3"/>
      <c r="H50" s="3"/>
    </row>
    <row r="51" spans="1:20">
      <c r="A51" s="42" t="s">
        <v>475</v>
      </c>
      <c r="B51" s="199" t="s">
        <v>522</v>
      </c>
      <c r="C51" s="12">
        <v>473</v>
      </c>
      <c r="D51" s="3"/>
      <c r="E51" s="3"/>
      <c r="F51" s="3"/>
      <c r="G51" s="3"/>
      <c r="H51" s="3"/>
    </row>
    <row r="52" spans="1:20">
      <c r="A52" s="42" t="s">
        <v>476</v>
      </c>
      <c r="B52" s="199" t="s">
        <v>523</v>
      </c>
      <c r="C52" s="8">
        <f>SUM(C46:C51)</f>
        <v>4353573</v>
      </c>
      <c r="D52" s="3"/>
      <c r="E52" s="3"/>
      <c r="F52" s="3"/>
      <c r="G52" s="3"/>
      <c r="H52" s="3"/>
    </row>
    <row r="53" spans="1:20" s="2" customFormat="1" ht="7.5" customHeight="1">
      <c r="A53" s="31"/>
      <c r="B53" s="71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41" t="s">
        <v>484</v>
      </c>
      <c r="B54" s="198" t="s">
        <v>207</v>
      </c>
      <c r="C54" s="206"/>
      <c r="D54" s="3"/>
      <c r="E54" s="3"/>
      <c r="F54" s="3"/>
      <c r="G54" s="3"/>
      <c r="H54" s="3"/>
    </row>
    <row r="55" spans="1:20">
      <c r="A55" s="42" t="s">
        <v>470</v>
      </c>
      <c r="B55" s="200" t="s">
        <v>163</v>
      </c>
      <c r="C55" s="12">
        <v>190709535</v>
      </c>
      <c r="D55" s="3"/>
      <c r="E55" s="3"/>
      <c r="F55" s="3"/>
      <c r="G55" s="3"/>
      <c r="H55" s="3"/>
    </row>
    <row r="56" spans="1:20">
      <c r="A56" s="42" t="s">
        <v>471</v>
      </c>
      <c r="B56" s="200" t="s">
        <v>164</v>
      </c>
      <c r="C56" s="12">
        <v>68028982</v>
      </c>
      <c r="D56" s="3"/>
      <c r="E56" s="3"/>
      <c r="F56" s="3"/>
      <c r="G56" s="3"/>
      <c r="H56" s="3"/>
    </row>
    <row r="57" spans="1:20">
      <c r="A57" s="42" t="s">
        <v>472</v>
      </c>
      <c r="B57" s="200" t="s">
        <v>165</v>
      </c>
      <c r="C57" s="12">
        <v>34083063</v>
      </c>
      <c r="D57" s="3"/>
      <c r="E57" s="3"/>
      <c r="F57" s="3"/>
      <c r="G57" s="3"/>
      <c r="H57" s="3"/>
    </row>
    <row r="58" spans="1:20">
      <c r="A58" s="42" t="s">
        <v>473</v>
      </c>
      <c r="B58" s="199" t="s">
        <v>166</v>
      </c>
      <c r="C58" s="12">
        <v>10826752</v>
      </c>
      <c r="D58" s="3"/>
      <c r="E58" s="3"/>
      <c r="F58" s="3"/>
      <c r="G58" s="3"/>
      <c r="H58" s="3"/>
    </row>
    <row r="59" spans="1:20">
      <c r="A59" s="42" t="s">
        <v>474</v>
      </c>
      <c r="B59" s="200" t="s">
        <v>521</v>
      </c>
      <c r="C59" s="12">
        <v>47000266</v>
      </c>
      <c r="D59" s="3"/>
      <c r="E59" s="3"/>
      <c r="F59" s="3"/>
      <c r="G59" s="3"/>
      <c r="H59" s="3"/>
    </row>
    <row r="60" spans="1:20">
      <c r="A60" s="42" t="s">
        <v>475</v>
      </c>
      <c r="B60" s="200" t="s">
        <v>522</v>
      </c>
      <c r="C60" s="12">
        <v>43869195</v>
      </c>
      <c r="D60" s="3"/>
      <c r="E60" s="3"/>
      <c r="F60" s="3"/>
      <c r="G60" s="3"/>
      <c r="H60" s="3"/>
    </row>
    <row r="61" spans="1:20" ht="13.5" customHeight="1">
      <c r="A61" s="42" t="s">
        <v>476</v>
      </c>
      <c r="B61" s="200" t="s">
        <v>524</v>
      </c>
      <c r="C61" s="8">
        <f>SUM(C55:C60)</f>
        <v>394517793</v>
      </c>
      <c r="D61" s="3"/>
      <c r="E61" s="3"/>
      <c r="F61" s="3"/>
      <c r="G61" s="3"/>
      <c r="H61" s="3"/>
    </row>
    <row r="62" spans="1:20" s="2" customFormat="1" ht="7.5" customHeight="1">
      <c r="A62" s="31"/>
      <c r="B62" s="71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41" t="s">
        <v>485</v>
      </c>
      <c r="B63" s="198" t="s">
        <v>525</v>
      </c>
      <c r="C63" s="8">
        <f>C52+C61</f>
        <v>398871366</v>
      </c>
      <c r="D63" s="3"/>
      <c r="E63" s="3"/>
      <c r="F63" s="3"/>
      <c r="G63" s="3"/>
      <c r="H63" s="3"/>
    </row>
    <row r="64" spans="1:20" s="2" customFormat="1" ht="7.5" customHeight="1">
      <c r="A64" s="31"/>
      <c r="B64" s="71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41" t="s">
        <v>486</v>
      </c>
      <c r="B65" s="198" t="s">
        <v>526</v>
      </c>
      <c r="C65" s="206"/>
      <c r="D65" s="3"/>
      <c r="E65" s="3"/>
      <c r="F65" s="3"/>
      <c r="G65" s="3"/>
      <c r="H65" s="3"/>
    </row>
    <row r="66" spans="1:20">
      <c r="A66" s="43" t="s">
        <v>487</v>
      </c>
      <c r="B66" s="200" t="s">
        <v>527</v>
      </c>
      <c r="C66" s="12">
        <v>5970833</v>
      </c>
      <c r="D66" s="3"/>
      <c r="E66" s="3"/>
      <c r="F66" s="3"/>
      <c r="G66" s="3"/>
      <c r="H66" s="3"/>
    </row>
    <row r="67" spans="1:20">
      <c r="A67" s="43" t="s">
        <v>488</v>
      </c>
      <c r="B67" s="201" t="s">
        <v>287</v>
      </c>
      <c r="C67" s="12">
        <v>67695285</v>
      </c>
      <c r="D67" s="3"/>
      <c r="E67" s="3"/>
      <c r="F67" s="3"/>
      <c r="G67" s="3"/>
      <c r="H67" s="3"/>
    </row>
    <row r="68" spans="1:20">
      <c r="A68" s="44" t="s">
        <v>489</v>
      </c>
      <c r="B68" s="201" t="s">
        <v>288</v>
      </c>
      <c r="C68" s="12">
        <v>8059008</v>
      </c>
      <c r="D68" s="3"/>
      <c r="E68" s="3"/>
      <c r="F68" s="3"/>
      <c r="G68" s="3"/>
      <c r="H68" s="3"/>
    </row>
    <row r="69" spans="1:20">
      <c r="A69" s="43" t="s">
        <v>490</v>
      </c>
      <c r="B69" s="201" t="s">
        <v>289</v>
      </c>
      <c r="C69" s="12">
        <v>317712043</v>
      </c>
      <c r="D69" s="3"/>
      <c r="E69" s="3"/>
      <c r="F69" s="3"/>
      <c r="G69" s="3"/>
      <c r="H69" s="3"/>
    </row>
    <row r="70" spans="1:20">
      <c r="A70" s="41" t="s">
        <v>491</v>
      </c>
      <c r="B70" s="202" t="s">
        <v>528</v>
      </c>
      <c r="C70" s="8">
        <f>SUM(C66:C69)</f>
        <v>399437169</v>
      </c>
      <c r="D70" s="3"/>
      <c r="E70" s="3"/>
      <c r="F70" s="3"/>
      <c r="G70" s="3"/>
      <c r="H70" s="3"/>
    </row>
    <row r="71" spans="1:20" s="2" customFormat="1" ht="7.5" customHeight="1">
      <c r="A71" s="31"/>
      <c r="B71" s="71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1" t="s">
        <v>492</v>
      </c>
      <c r="B72" s="198" t="s">
        <v>529</v>
      </c>
      <c r="C72" s="8">
        <f>C63+C70</f>
        <v>798308535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46"/>
      <c r="B74" s="5" t="s">
        <v>0</v>
      </c>
      <c r="D74" s="3"/>
      <c r="E74" s="3"/>
      <c r="F74" s="3"/>
      <c r="G74" s="3"/>
      <c r="H74" s="3"/>
    </row>
    <row r="75" spans="1:20">
      <c r="A75" s="46"/>
      <c r="B75" s="5"/>
      <c r="D75" s="3"/>
      <c r="E75" s="3"/>
      <c r="F75" s="3"/>
      <c r="G75" s="3"/>
      <c r="H75" s="3"/>
    </row>
    <row r="76" spans="1:20">
      <c r="A76" s="46"/>
      <c r="B76" s="5" t="s">
        <v>1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47"/>
      <c r="D78" s="3"/>
      <c r="E78" s="3"/>
      <c r="F78" s="3"/>
      <c r="G78" s="3"/>
      <c r="H78" s="3"/>
    </row>
    <row r="79" spans="1:20">
      <c r="A79" s="48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D90" s="3"/>
      <c r="E90" s="3"/>
      <c r="F90" s="3"/>
      <c r="G90" s="3"/>
      <c r="H90" s="3"/>
    </row>
    <row r="91" spans="4:8">
      <c r="D91" s="3"/>
      <c r="E91" s="3"/>
      <c r="F91" s="3"/>
      <c r="G91" s="3"/>
      <c r="H91" s="3"/>
    </row>
    <row r="92" spans="4:8">
      <c r="D92" s="3"/>
      <c r="E92" s="3"/>
      <c r="F92" s="3"/>
      <c r="G92" s="3"/>
      <c r="H92" s="3"/>
    </row>
    <row r="93" spans="4:8">
      <c r="D93" s="3"/>
      <c r="E93" s="3"/>
      <c r="F93" s="3"/>
      <c r="G93" s="3"/>
      <c r="H93" s="3"/>
    </row>
    <row r="94" spans="4:8">
      <c r="D94" s="3"/>
      <c r="E94" s="3"/>
      <c r="F94" s="3"/>
      <c r="G94" s="3"/>
      <c r="H94" s="3"/>
    </row>
    <row r="95" spans="4:8">
      <c r="D95" s="3"/>
      <c r="E95" s="3"/>
      <c r="F95" s="3"/>
      <c r="G95" s="3"/>
      <c r="H95" s="3"/>
    </row>
    <row r="96" spans="4:8">
      <c r="D96" s="3"/>
      <c r="E96" s="3"/>
      <c r="F96" s="3"/>
      <c r="G96" s="3"/>
      <c r="H96" s="3"/>
    </row>
    <row r="97" spans="4:8">
      <c r="D97" s="3"/>
      <c r="E97" s="3"/>
      <c r="F97" s="3"/>
      <c r="G97" s="3"/>
      <c r="H97" s="3"/>
    </row>
    <row r="98" spans="4:8">
      <c r="D98" s="3"/>
      <c r="E98" s="3"/>
      <c r="F98" s="3"/>
      <c r="G98" s="3"/>
      <c r="H98" s="3"/>
    </row>
  </sheetData>
  <sheetProtection password="CACA" sheet="1" objects="1" scenarios="1"/>
  <phoneticPr fontId="20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6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I28"/>
  <sheetViews>
    <sheetView zoomScaleNormal="100" zoomScaleSheetLayoutView="70" workbookViewId="0">
      <selection activeCell="G16" sqref="G16"/>
    </sheetView>
  </sheetViews>
  <sheetFormatPr defaultRowHeight="12.75"/>
  <cols>
    <col min="1" max="1" width="5.85546875" style="560" customWidth="1"/>
    <col min="2" max="2" width="89.42578125" style="80" customWidth="1"/>
    <col min="3" max="3" width="27.42578125" style="80" customWidth="1"/>
    <col min="4" max="4" width="12.85546875" style="80" bestFit="1" customWidth="1"/>
    <col min="5" max="8" width="9.140625" style="80"/>
    <col min="9" max="9" width="10.28515625" style="80" bestFit="1" customWidth="1"/>
    <col min="10" max="16384" width="9.140625" style="80"/>
  </cols>
  <sheetData>
    <row r="1" spans="1:9" ht="15.75">
      <c r="A1" s="546"/>
      <c r="B1" s="546" t="s">
        <v>89</v>
      </c>
      <c r="C1" s="351" t="s">
        <v>637</v>
      </c>
    </row>
    <row r="2" spans="1:9" ht="15.75">
      <c r="A2" s="546"/>
      <c r="B2" s="546"/>
      <c r="C2" s="351"/>
    </row>
    <row r="3" spans="1:9" ht="15.75">
      <c r="A3" s="547"/>
      <c r="B3" s="548" t="str">
        <f>+'Asset quality'!B3</f>
        <v xml:space="preserve">АК "АЛОКАБАНК" </v>
      </c>
      <c r="C3" s="549">
        <f>+'Asset quality'!P3</f>
        <v>44561</v>
      </c>
    </row>
    <row r="4" spans="1:9" s="79" customFormat="1" ht="33.75" customHeight="1">
      <c r="A4" s="206" t="s">
        <v>83</v>
      </c>
      <c r="B4" s="206" t="s">
        <v>15</v>
      </c>
      <c r="C4" s="206" t="s">
        <v>3</v>
      </c>
    </row>
    <row r="5" spans="1:9" ht="18.75" customHeight="1">
      <c r="A5" s="550" t="s">
        <v>303</v>
      </c>
      <c r="B5" s="551" t="s">
        <v>532</v>
      </c>
      <c r="C5" s="650">
        <v>1568529812</v>
      </c>
    </row>
    <row r="6" spans="1:9" ht="18.75" customHeight="1">
      <c r="A6" s="552" t="s">
        <v>315</v>
      </c>
      <c r="B6" s="553" t="s">
        <v>533</v>
      </c>
      <c r="C6" s="50">
        <v>0</v>
      </c>
    </row>
    <row r="7" spans="1:9" ht="18.75" customHeight="1">
      <c r="A7" s="511" t="s">
        <v>530</v>
      </c>
      <c r="B7" s="554" t="s">
        <v>534</v>
      </c>
      <c r="C7" s="179">
        <f>SUM(C5:C6)</f>
        <v>1568529812</v>
      </c>
      <c r="I7" s="555"/>
    </row>
    <row r="8" spans="1:9" ht="18.75" customHeight="1">
      <c r="A8" s="511" t="s">
        <v>327</v>
      </c>
      <c r="B8" s="554" t="s">
        <v>535</v>
      </c>
      <c r="C8" s="179">
        <f>+'Income '!C79</f>
        <v>107582490</v>
      </c>
      <c r="D8" s="543">
        <f>+[8]Balance!$C$76</f>
        <v>107582490</v>
      </c>
    </row>
    <row r="9" spans="1:9" ht="18.75" customHeight="1">
      <c r="A9" s="511" t="s">
        <v>334</v>
      </c>
      <c r="B9" s="553" t="s">
        <v>536</v>
      </c>
      <c r="C9" s="51">
        <v>0</v>
      </c>
      <c r="I9" s="555"/>
    </row>
    <row r="10" spans="1:9" ht="18.75" customHeight="1">
      <c r="A10" s="511" t="s">
        <v>531</v>
      </c>
      <c r="B10" s="554" t="s">
        <v>537</v>
      </c>
      <c r="C10" s="51">
        <v>-294261</v>
      </c>
      <c r="I10" s="543"/>
    </row>
    <row r="11" spans="1:9" ht="18.75" customHeight="1">
      <c r="A11" s="511" t="s">
        <v>336</v>
      </c>
      <c r="B11" s="554" t="s">
        <v>538</v>
      </c>
      <c r="C11" s="52">
        <v>0</v>
      </c>
      <c r="I11" s="555"/>
    </row>
    <row r="12" spans="1:9" ht="18.75" customHeight="1">
      <c r="A12" s="511" t="s">
        <v>486</v>
      </c>
      <c r="B12" s="554" t="s">
        <v>539</v>
      </c>
      <c r="C12" s="51">
        <v>0</v>
      </c>
      <c r="I12" s="555"/>
    </row>
    <row r="13" spans="1:9" ht="18.75" customHeight="1">
      <c r="A13" s="511" t="s">
        <v>344</v>
      </c>
      <c r="B13" s="554" t="s">
        <v>540</v>
      </c>
      <c r="C13" s="51">
        <v>-2312098</v>
      </c>
      <c r="I13" s="555"/>
    </row>
    <row r="14" spans="1:9" ht="18.75" customHeight="1">
      <c r="A14" s="511" t="s">
        <v>346</v>
      </c>
      <c r="B14" s="554" t="s">
        <v>541</v>
      </c>
      <c r="C14" s="179">
        <f>C7+SUM(C8:C10)-SUM(C11:C12)+C13</f>
        <v>1673505943</v>
      </c>
      <c r="D14" s="543">
        <f>+[8]Balance!$C$77</f>
        <v>1673505943</v>
      </c>
      <c r="I14" s="556"/>
    </row>
    <row r="15" spans="1:9">
      <c r="A15" s="510"/>
      <c r="B15" s="81"/>
      <c r="C15" s="81"/>
      <c r="I15" s="555"/>
    </row>
    <row r="16" spans="1:9" ht="12.75" customHeight="1">
      <c r="A16" s="557"/>
      <c r="B16" s="10" t="s">
        <v>0</v>
      </c>
    </row>
    <row r="17" spans="1:2" ht="12.75" customHeight="1">
      <c r="A17" s="557"/>
      <c r="B17" s="10"/>
    </row>
    <row r="18" spans="1:2">
      <c r="A18" s="557"/>
      <c r="B18" s="10" t="s">
        <v>1</v>
      </c>
    </row>
    <row r="20" spans="1:2" ht="12.75" customHeight="1">
      <c r="A20" s="558"/>
    </row>
    <row r="21" spans="1:2">
      <c r="A21" s="559"/>
    </row>
    <row r="27" spans="1:2" ht="12.75" customHeight="1"/>
    <row r="28" spans="1:2" ht="12.75" customHeight="1"/>
  </sheetData>
  <sheetProtection algorithmName="SHA-512" hashValue="xKM0C5Pume+JP5BTTD8Mk9yMey8cE5KDbWz5x4FNcYc+qSUoQNbKm53Mvu+p/bRe5GBV+0HWopX3zsiqgsvQkg==" saltValue="6tpbh6/TaMXsg8msfU0X5w==" spinCount="100000" sheet="1" objects="1" scenarios="1"/>
  <phoneticPr fontId="20" type="noConversion"/>
  <conditionalFormatting sqref="C8">
    <cfRule type="cellIs" dxfId="263" priority="6" stopIfTrue="1" operator="notEqual">
      <formula>NETINC</formula>
    </cfRule>
  </conditionalFormatting>
  <conditionalFormatting sqref="C14">
    <cfRule type="cellIs" dxfId="262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H102"/>
  <sheetViews>
    <sheetView zoomScale="85" zoomScaleNormal="85" zoomScaleSheetLayoutView="85" workbookViewId="0">
      <pane xSplit="7" ySplit="8" topLeftCell="H27" activePane="bottomRight" state="frozen"/>
      <selection pane="topRight" activeCell="H1" sqref="H1"/>
      <selection pane="bottomLeft" activeCell="A9" sqref="A9"/>
      <selection pane="bottomRight" activeCell="F37" sqref="F37"/>
    </sheetView>
  </sheetViews>
  <sheetFormatPr defaultRowHeight="12.75"/>
  <cols>
    <col min="1" max="1" width="7" style="80" customWidth="1"/>
    <col min="2" max="2" width="57.5703125" style="80" customWidth="1"/>
    <col min="3" max="3" width="18.42578125" style="80" customWidth="1"/>
    <col min="4" max="4" width="15" style="80" customWidth="1"/>
    <col min="5" max="5" width="13.28515625" style="80" customWidth="1"/>
    <col min="6" max="6" width="15" style="80" customWidth="1"/>
    <col min="7" max="7" width="14.28515625" style="80" customWidth="1"/>
    <col min="8" max="8" width="15.42578125" style="80" customWidth="1"/>
    <col min="9" max="9" width="14.42578125" style="80" customWidth="1"/>
    <col min="10" max="10" width="13.7109375" style="80" customWidth="1"/>
    <col min="11" max="12" width="17" style="80" customWidth="1"/>
    <col min="13" max="13" width="15" style="80" customWidth="1"/>
    <col min="14" max="14" width="13.7109375" style="80" customWidth="1"/>
    <col min="15" max="17" width="16" style="80" customWidth="1"/>
    <col min="18" max="18" width="15.140625" style="80" customWidth="1"/>
    <col min="19" max="21" width="13.7109375" style="80" customWidth="1"/>
    <col min="22" max="23" width="15.28515625" style="80" customWidth="1"/>
    <col min="24" max="25" width="13.7109375" style="80" customWidth="1"/>
    <col min="26" max="16384" width="9.140625" style="80"/>
  </cols>
  <sheetData>
    <row r="1" spans="1:34" s="515" customFormat="1" ht="31.5" customHeight="1">
      <c r="A1" s="512" t="s">
        <v>694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3" t="s">
        <v>587</v>
      </c>
      <c r="X1" s="514"/>
      <c r="Y1" s="513"/>
    </row>
    <row r="2" spans="1:34" ht="18">
      <c r="A2" s="514"/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4"/>
      <c r="X2" s="516"/>
      <c r="Y2" s="516"/>
    </row>
    <row r="3" spans="1:34" s="81" customFormat="1" ht="15.75">
      <c r="A3" s="459"/>
      <c r="B3" s="517" t="str">
        <f>+'Asset quality'!B3</f>
        <v xml:space="preserve">АК "АЛОКАБАНК" 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83">
        <f>+'Asset quality'!P3</f>
        <v>44561</v>
      </c>
      <c r="U3" s="683"/>
      <c r="V3" s="518"/>
      <c r="W3" s="518"/>
      <c r="X3" s="519" t="s">
        <v>382</v>
      </c>
      <c r="Y3" s="59"/>
    </row>
    <row r="4" spans="1:34" s="520" customFormat="1" ht="32.25" customHeight="1">
      <c r="A4" s="686" t="s">
        <v>83</v>
      </c>
      <c r="B4" s="686" t="s">
        <v>91</v>
      </c>
      <c r="C4" s="689" t="s">
        <v>92</v>
      </c>
      <c r="D4" s="692" t="s">
        <v>280</v>
      </c>
      <c r="E4" s="692"/>
      <c r="F4" s="692" t="s">
        <v>281</v>
      </c>
      <c r="G4" s="692"/>
      <c r="H4" s="685" t="s">
        <v>90</v>
      </c>
      <c r="I4" s="685"/>
      <c r="J4" s="685" t="s">
        <v>90</v>
      </c>
      <c r="K4" s="685"/>
      <c r="L4" s="685"/>
      <c r="M4" s="685"/>
      <c r="N4" s="685"/>
      <c r="O4" s="685"/>
      <c r="P4" s="685"/>
      <c r="Q4" s="685"/>
      <c r="R4" s="685"/>
      <c r="S4" s="685"/>
      <c r="T4" s="685"/>
      <c r="U4" s="685"/>
      <c r="V4" s="685"/>
      <c r="W4" s="685"/>
      <c r="X4" s="685"/>
      <c r="Y4" s="685"/>
    </row>
    <row r="5" spans="1:34" s="520" customFormat="1" ht="18" customHeight="1">
      <c r="A5" s="687"/>
      <c r="B5" s="687"/>
      <c r="C5" s="690"/>
      <c r="D5" s="692" t="s">
        <v>577</v>
      </c>
      <c r="E5" s="692" t="s">
        <v>661</v>
      </c>
      <c r="F5" s="692" t="s">
        <v>577</v>
      </c>
      <c r="G5" s="692" t="s">
        <v>661</v>
      </c>
      <c r="H5" s="684" t="s">
        <v>674</v>
      </c>
      <c r="I5" s="684" t="s">
        <v>689</v>
      </c>
      <c r="J5" s="684" t="s">
        <v>93</v>
      </c>
      <c r="K5" s="684" t="s">
        <v>94</v>
      </c>
      <c r="L5" s="521" t="s">
        <v>90</v>
      </c>
      <c r="M5" s="684" t="s">
        <v>95</v>
      </c>
      <c r="N5" s="684" t="s">
        <v>96</v>
      </c>
      <c r="O5" s="684" t="s">
        <v>97</v>
      </c>
      <c r="P5" s="685" t="s">
        <v>90</v>
      </c>
      <c r="Q5" s="685"/>
      <c r="R5" s="684" t="s">
        <v>98</v>
      </c>
      <c r="S5" s="684" t="s">
        <v>99</v>
      </c>
      <c r="T5" s="684" t="s">
        <v>100</v>
      </c>
      <c r="U5" s="684" t="s">
        <v>101</v>
      </c>
      <c r="V5" s="684" t="s">
        <v>102</v>
      </c>
      <c r="W5" s="684" t="s">
        <v>103</v>
      </c>
      <c r="X5" s="684" t="s">
        <v>104</v>
      </c>
      <c r="Y5" s="684" t="s">
        <v>105</v>
      </c>
    </row>
    <row r="6" spans="1:34" s="520" customFormat="1" ht="102" customHeight="1">
      <c r="A6" s="688"/>
      <c r="B6" s="688"/>
      <c r="C6" s="691"/>
      <c r="D6" s="692"/>
      <c r="E6" s="692"/>
      <c r="F6" s="692"/>
      <c r="G6" s="692"/>
      <c r="H6" s="684"/>
      <c r="I6" s="684"/>
      <c r="J6" s="684"/>
      <c r="K6" s="684"/>
      <c r="L6" s="258" t="s">
        <v>54</v>
      </c>
      <c r="M6" s="684"/>
      <c r="N6" s="684"/>
      <c r="O6" s="684"/>
      <c r="P6" s="258" t="s">
        <v>588</v>
      </c>
      <c r="Q6" s="258" t="s">
        <v>589</v>
      </c>
      <c r="R6" s="684"/>
      <c r="S6" s="684"/>
      <c r="T6" s="684"/>
      <c r="U6" s="684"/>
      <c r="V6" s="684"/>
      <c r="W6" s="684"/>
      <c r="X6" s="684"/>
      <c r="Y6" s="684"/>
      <c r="AA6" s="522"/>
      <c r="AB6" s="523"/>
    </row>
    <row r="7" spans="1:34" s="529" customFormat="1" ht="15">
      <c r="A7" s="524" t="s">
        <v>106</v>
      </c>
      <c r="B7" s="525" t="s">
        <v>107</v>
      </c>
      <c r="C7" s="525" t="s">
        <v>58</v>
      </c>
      <c r="D7" s="526" t="s">
        <v>647</v>
      </c>
      <c r="E7" s="526" t="s">
        <v>648</v>
      </c>
      <c r="F7" s="526" t="s">
        <v>649</v>
      </c>
      <c r="G7" s="526" t="s">
        <v>650</v>
      </c>
      <c r="H7" s="527" t="s">
        <v>59</v>
      </c>
      <c r="I7" s="527" t="s">
        <v>60</v>
      </c>
      <c r="J7" s="527" t="s">
        <v>84</v>
      </c>
      <c r="K7" s="527" t="s">
        <v>85</v>
      </c>
      <c r="L7" s="525" t="s">
        <v>595</v>
      </c>
      <c r="M7" s="527" t="s">
        <v>87</v>
      </c>
      <c r="N7" s="527" t="s">
        <v>108</v>
      </c>
      <c r="O7" s="527" t="s">
        <v>109</v>
      </c>
      <c r="P7" s="525" t="s">
        <v>597</v>
      </c>
      <c r="Q7" s="525" t="s">
        <v>623</v>
      </c>
      <c r="R7" s="527" t="s">
        <v>110</v>
      </c>
      <c r="S7" s="527" t="s">
        <v>111</v>
      </c>
      <c r="T7" s="527" t="s">
        <v>112</v>
      </c>
      <c r="U7" s="527" t="s">
        <v>113</v>
      </c>
      <c r="V7" s="527" t="s">
        <v>114</v>
      </c>
      <c r="W7" s="527" t="s">
        <v>115</v>
      </c>
      <c r="X7" s="527" t="s">
        <v>116</v>
      </c>
      <c r="Y7" s="528" t="s">
        <v>117</v>
      </c>
    </row>
    <row r="8" spans="1:34" s="520" customFormat="1" ht="15.75" customHeight="1">
      <c r="A8" s="530"/>
      <c r="B8" s="531" t="s">
        <v>118</v>
      </c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AA8" s="523"/>
    </row>
    <row r="9" spans="1:34" s="520" customFormat="1" ht="15.75" customHeight="1">
      <c r="A9" s="532">
        <v>10</v>
      </c>
      <c r="B9" s="254" t="s">
        <v>119</v>
      </c>
      <c r="C9" s="254">
        <f t="shared" ref="C9:C10" si="0">SUM(J9:Y9)-L9-P9-Q9</f>
        <v>0</v>
      </c>
      <c r="D9" s="255">
        <v>0</v>
      </c>
      <c r="E9" s="293">
        <v>0</v>
      </c>
      <c r="F9" s="255">
        <v>0</v>
      </c>
      <c r="G9" s="293">
        <v>0</v>
      </c>
      <c r="H9" s="255">
        <v>0</v>
      </c>
      <c r="I9" s="255">
        <v>0</v>
      </c>
      <c r="J9" s="255">
        <v>0</v>
      </c>
      <c r="K9" s="255">
        <v>0</v>
      </c>
      <c r="L9" s="255">
        <v>0</v>
      </c>
      <c r="M9" s="255">
        <v>0</v>
      </c>
      <c r="N9" s="255">
        <v>0</v>
      </c>
      <c r="O9" s="254">
        <f>+P9+Q9</f>
        <v>0</v>
      </c>
      <c r="P9" s="255">
        <v>0</v>
      </c>
      <c r="Q9" s="255">
        <v>0</v>
      </c>
      <c r="R9" s="255">
        <v>0</v>
      </c>
      <c r="S9" s="255">
        <v>0</v>
      </c>
      <c r="T9" s="255">
        <v>0</v>
      </c>
      <c r="U9" s="255">
        <v>0</v>
      </c>
      <c r="V9" s="255">
        <v>0</v>
      </c>
      <c r="W9" s="255">
        <v>0</v>
      </c>
      <c r="X9" s="255">
        <v>0</v>
      </c>
      <c r="Y9" s="255">
        <v>0</v>
      </c>
      <c r="AB9" s="533"/>
      <c r="AH9" s="534"/>
    </row>
    <row r="10" spans="1:34" s="520" customFormat="1" ht="15.75" customHeight="1">
      <c r="A10" s="532">
        <f t="shared" ref="A10:A74" si="1">A9+10</f>
        <v>20</v>
      </c>
      <c r="B10" s="254" t="s">
        <v>120</v>
      </c>
      <c r="C10" s="254">
        <f t="shared" si="0"/>
        <v>403756555</v>
      </c>
      <c r="D10" s="255">
        <v>70127862</v>
      </c>
      <c r="E10" s="293">
        <v>0.22887369903873847</v>
      </c>
      <c r="F10" s="255">
        <v>333628693</v>
      </c>
      <c r="G10" s="293">
        <v>6.169164701372782E-2</v>
      </c>
      <c r="H10" s="255">
        <v>403756555</v>
      </c>
      <c r="I10" s="255">
        <v>0</v>
      </c>
      <c r="J10" s="255">
        <v>0</v>
      </c>
      <c r="K10" s="255">
        <v>0</v>
      </c>
      <c r="L10" s="255">
        <v>0</v>
      </c>
      <c r="M10" s="255">
        <v>14625170</v>
      </c>
      <c r="N10" s="255">
        <v>0</v>
      </c>
      <c r="O10" s="254">
        <f t="shared" ref="O10:O14" si="2">+P10+Q10</f>
        <v>61467427</v>
      </c>
      <c r="P10" s="255">
        <v>717453</v>
      </c>
      <c r="Q10" s="255">
        <v>60749974</v>
      </c>
      <c r="R10" s="255">
        <v>0</v>
      </c>
      <c r="S10" s="255">
        <v>0</v>
      </c>
      <c r="T10" s="255">
        <v>0</v>
      </c>
      <c r="U10" s="255">
        <v>0</v>
      </c>
      <c r="V10" s="255">
        <v>2534158</v>
      </c>
      <c r="W10" s="255">
        <v>325129800</v>
      </c>
      <c r="X10" s="255">
        <v>0</v>
      </c>
      <c r="Y10" s="255">
        <v>0</v>
      </c>
      <c r="AB10" s="533"/>
    </row>
    <row r="11" spans="1:34" s="537" customFormat="1" ht="15.75" customHeight="1">
      <c r="A11" s="535">
        <f t="shared" si="1"/>
        <v>30</v>
      </c>
      <c r="B11" s="536" t="s">
        <v>121</v>
      </c>
      <c r="C11" s="254">
        <f>SUM(J11:Y11)-L11-P11-Q11</f>
        <v>201843182</v>
      </c>
      <c r="D11" s="255">
        <v>47604623</v>
      </c>
      <c r="E11" s="293">
        <v>0.18768239616594709</v>
      </c>
      <c r="F11" s="255">
        <v>154238559</v>
      </c>
      <c r="G11" s="293">
        <v>8.9490305777159232E-2</v>
      </c>
      <c r="H11" s="255">
        <v>200214799</v>
      </c>
      <c r="I11" s="255">
        <v>1628383</v>
      </c>
      <c r="J11" s="255">
        <v>0</v>
      </c>
      <c r="K11" s="255">
        <v>1617795</v>
      </c>
      <c r="L11" s="255">
        <v>0</v>
      </c>
      <c r="M11" s="255">
        <v>79947303</v>
      </c>
      <c r="N11" s="255">
        <v>0</v>
      </c>
      <c r="O11" s="254">
        <f t="shared" si="2"/>
        <v>120278084</v>
      </c>
      <c r="P11" s="255">
        <v>29848430</v>
      </c>
      <c r="Q11" s="255">
        <v>90429654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AB11" s="533"/>
    </row>
    <row r="12" spans="1:34" s="537" customFormat="1" ht="15.75" customHeight="1">
      <c r="A12" s="535">
        <f t="shared" si="1"/>
        <v>40</v>
      </c>
      <c r="B12" s="536" t="s">
        <v>122</v>
      </c>
      <c r="C12" s="254">
        <f>SUM(J12:Y12)-L12-P12-Q12</f>
        <v>2069879983</v>
      </c>
      <c r="D12" s="255">
        <v>807943187</v>
      </c>
      <c r="E12" s="293">
        <v>0.18931869679238067</v>
      </c>
      <c r="F12" s="255">
        <v>1261936796</v>
      </c>
      <c r="G12" s="293">
        <v>7.8118988481013341E-2</v>
      </c>
      <c r="H12" s="255">
        <v>2033929692</v>
      </c>
      <c r="I12" s="255">
        <v>35950291</v>
      </c>
      <c r="J12" s="255">
        <v>4003421</v>
      </c>
      <c r="K12" s="255">
        <v>29116313</v>
      </c>
      <c r="L12" s="255">
        <v>0</v>
      </c>
      <c r="M12" s="255">
        <v>578477589</v>
      </c>
      <c r="N12" s="255">
        <v>0</v>
      </c>
      <c r="O12" s="254">
        <f t="shared" si="2"/>
        <v>1396459937</v>
      </c>
      <c r="P12" s="255">
        <v>199792818</v>
      </c>
      <c r="Q12" s="255">
        <v>1196667119</v>
      </c>
      <c r="R12" s="255">
        <v>0</v>
      </c>
      <c r="S12" s="255">
        <v>0</v>
      </c>
      <c r="T12" s="255">
        <v>0</v>
      </c>
      <c r="U12" s="255">
        <v>0</v>
      </c>
      <c r="V12" s="255">
        <v>4731736</v>
      </c>
      <c r="W12" s="255">
        <v>2011318</v>
      </c>
      <c r="X12" s="255">
        <v>0</v>
      </c>
      <c r="Y12" s="255">
        <v>55079669</v>
      </c>
      <c r="AB12" s="533"/>
    </row>
    <row r="13" spans="1:34" s="537" customFormat="1" ht="15.75" customHeight="1">
      <c r="A13" s="535">
        <f t="shared" si="1"/>
        <v>50</v>
      </c>
      <c r="B13" s="538" t="s">
        <v>123</v>
      </c>
      <c r="C13" s="254">
        <f t="shared" ref="C13:C14" si="3">SUM(J13:Y13)-L13-P13-Q13</f>
        <v>0</v>
      </c>
      <c r="D13" s="255">
        <v>0</v>
      </c>
      <c r="E13" s="293">
        <v>0</v>
      </c>
      <c r="F13" s="255">
        <v>0</v>
      </c>
      <c r="G13" s="293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4">
        <f t="shared" si="2"/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AB13" s="533"/>
    </row>
    <row r="14" spans="1:34" s="537" customFormat="1" ht="15.75" customHeight="1">
      <c r="A14" s="535">
        <f>A13+10</f>
        <v>60</v>
      </c>
      <c r="B14" s="536" t="s">
        <v>124</v>
      </c>
      <c r="C14" s="254">
        <f t="shared" si="3"/>
        <v>19872982</v>
      </c>
      <c r="D14" s="255">
        <v>9189694</v>
      </c>
      <c r="E14" s="293">
        <v>0.20100042113335778</v>
      </c>
      <c r="F14" s="255">
        <v>10683288</v>
      </c>
      <c r="G14" s="293">
        <v>7.1424944109361857E-2</v>
      </c>
      <c r="H14" s="255">
        <v>19235678</v>
      </c>
      <c r="I14" s="255">
        <v>637304</v>
      </c>
      <c r="J14" s="255">
        <v>0</v>
      </c>
      <c r="K14" s="255">
        <v>897333</v>
      </c>
      <c r="L14" s="255">
        <v>0</v>
      </c>
      <c r="M14" s="255">
        <v>5061885</v>
      </c>
      <c r="N14" s="255">
        <v>0</v>
      </c>
      <c r="O14" s="254">
        <f t="shared" si="2"/>
        <v>13910432</v>
      </c>
      <c r="P14" s="255">
        <v>291159</v>
      </c>
      <c r="Q14" s="255">
        <v>13619273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3332</v>
      </c>
      <c r="X14" s="255">
        <v>0</v>
      </c>
      <c r="Y14" s="255">
        <v>0</v>
      </c>
      <c r="AB14" s="533"/>
    </row>
    <row r="15" spans="1:34" s="537" customFormat="1" ht="15.75" customHeight="1">
      <c r="A15" s="521">
        <f>A14+10</f>
        <v>70</v>
      </c>
      <c r="B15" s="539" t="s">
        <v>125</v>
      </c>
      <c r="C15" s="256">
        <f t="shared" ref="C15" si="4">SUM(J15:Y15)-L15-P15-Q15</f>
        <v>2695352702</v>
      </c>
      <c r="D15" s="256">
        <f>SUM(D9:D14)</f>
        <v>934865366</v>
      </c>
      <c r="E15" s="296">
        <f>IFERROR(((D9*E9)/D15)+((D10*E10)/D15)+((D11*E11)/D15)+((D12*E12)/D15)+((D13*E13)/D15)+((D14*E14)/D15),0)</f>
        <v>0.19231737856897366</v>
      </c>
      <c r="F15" s="256">
        <f>SUM(F9:F14)</f>
        <v>1760487336</v>
      </c>
      <c r="G15" s="296">
        <f>IFERROR(((F9*G9)/F15)+((F10*G10)/F15)+((F11*G11)/F15)+((F12*G12)/F15)+((F13*G13)/F15)+((F14*G14)/F15),0)</f>
        <v>7.5961488568493107E-2</v>
      </c>
      <c r="H15" s="256">
        <f t="shared" ref="H15:Y15" si="5">SUM(H9:H14)</f>
        <v>2657136724</v>
      </c>
      <c r="I15" s="256">
        <f t="shared" si="5"/>
        <v>38215978</v>
      </c>
      <c r="J15" s="256">
        <f t="shared" si="5"/>
        <v>4003421</v>
      </c>
      <c r="K15" s="256">
        <f t="shared" si="5"/>
        <v>31631441</v>
      </c>
      <c r="L15" s="256">
        <f t="shared" si="5"/>
        <v>0</v>
      </c>
      <c r="M15" s="256">
        <f t="shared" si="5"/>
        <v>678111947</v>
      </c>
      <c r="N15" s="256">
        <f t="shared" si="5"/>
        <v>0</v>
      </c>
      <c r="O15" s="256">
        <f t="shared" si="5"/>
        <v>1592115880</v>
      </c>
      <c r="P15" s="256">
        <f t="shared" si="5"/>
        <v>230649860</v>
      </c>
      <c r="Q15" s="256">
        <f t="shared" si="5"/>
        <v>1361466020</v>
      </c>
      <c r="R15" s="256">
        <f t="shared" si="5"/>
        <v>0</v>
      </c>
      <c r="S15" s="256">
        <f t="shared" si="5"/>
        <v>0</v>
      </c>
      <c r="T15" s="256">
        <f t="shared" si="5"/>
        <v>0</v>
      </c>
      <c r="U15" s="256">
        <f t="shared" si="5"/>
        <v>0</v>
      </c>
      <c r="V15" s="256">
        <f t="shared" si="5"/>
        <v>7265894</v>
      </c>
      <c r="W15" s="256">
        <f t="shared" si="5"/>
        <v>327144450</v>
      </c>
      <c r="X15" s="256">
        <f t="shared" si="5"/>
        <v>0</v>
      </c>
      <c r="Y15" s="256">
        <f t="shared" si="5"/>
        <v>55079669</v>
      </c>
      <c r="AA15" s="540"/>
      <c r="AB15" s="533"/>
    </row>
    <row r="16" spans="1:34" s="537" customFormat="1" ht="15.75" customHeight="1">
      <c r="A16" s="521"/>
      <c r="B16" s="539" t="s">
        <v>126</v>
      </c>
      <c r="C16" s="256"/>
      <c r="D16" s="256"/>
      <c r="E16" s="296"/>
      <c r="F16" s="256"/>
      <c r="G16" s="29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AA16" s="540"/>
      <c r="AB16" s="533"/>
    </row>
    <row r="17" spans="1:28" s="537" customFormat="1" ht="15.75" customHeight="1">
      <c r="A17" s="532">
        <f>A15+10</f>
        <v>80</v>
      </c>
      <c r="B17" s="254" t="s">
        <v>119</v>
      </c>
      <c r="C17" s="254">
        <f t="shared" ref="C17:C24" si="6">SUM(J17:Y17)-L17-P17-Q17</f>
        <v>0</v>
      </c>
      <c r="D17" s="255">
        <v>0</v>
      </c>
      <c r="E17" s="293">
        <v>0</v>
      </c>
      <c r="F17" s="255">
        <v>0</v>
      </c>
      <c r="G17" s="293">
        <v>0</v>
      </c>
      <c r="H17" s="255">
        <v>0</v>
      </c>
      <c r="I17" s="255">
        <v>0</v>
      </c>
      <c r="J17" s="255">
        <v>0</v>
      </c>
      <c r="K17" s="255">
        <v>0</v>
      </c>
      <c r="L17" s="255">
        <v>0</v>
      </c>
      <c r="M17" s="255">
        <v>0</v>
      </c>
      <c r="N17" s="255">
        <v>0</v>
      </c>
      <c r="O17" s="254">
        <f>+P17+Q17</f>
        <v>0</v>
      </c>
      <c r="P17" s="255">
        <v>0</v>
      </c>
      <c r="Q17" s="255">
        <v>0</v>
      </c>
      <c r="R17" s="255">
        <v>0</v>
      </c>
      <c r="S17" s="255">
        <v>0</v>
      </c>
      <c r="T17" s="255">
        <v>0</v>
      </c>
      <c r="U17" s="255">
        <v>0</v>
      </c>
      <c r="V17" s="255">
        <v>0</v>
      </c>
      <c r="W17" s="255">
        <v>0</v>
      </c>
      <c r="X17" s="255">
        <v>0</v>
      </c>
      <c r="Y17" s="255">
        <v>0</v>
      </c>
      <c r="AB17" s="533"/>
    </row>
    <row r="18" spans="1:28" s="537" customFormat="1" ht="15.75" customHeight="1">
      <c r="A18" s="532">
        <f t="shared" si="1"/>
        <v>90</v>
      </c>
      <c r="B18" s="254" t="s">
        <v>120</v>
      </c>
      <c r="C18" s="254">
        <f t="shared" si="6"/>
        <v>0</v>
      </c>
      <c r="D18" s="255">
        <v>0</v>
      </c>
      <c r="E18" s="293">
        <v>0</v>
      </c>
      <c r="F18" s="255">
        <v>0</v>
      </c>
      <c r="G18" s="293">
        <v>0</v>
      </c>
      <c r="H18" s="255">
        <v>0</v>
      </c>
      <c r="I18" s="255">
        <v>0</v>
      </c>
      <c r="J18" s="255">
        <v>0</v>
      </c>
      <c r="K18" s="255">
        <v>0</v>
      </c>
      <c r="L18" s="255">
        <v>0</v>
      </c>
      <c r="M18" s="255">
        <v>0</v>
      </c>
      <c r="N18" s="255">
        <v>0</v>
      </c>
      <c r="O18" s="254">
        <f t="shared" ref="O18:O22" si="7">+P18+Q18</f>
        <v>0</v>
      </c>
      <c r="P18" s="255">
        <v>0</v>
      </c>
      <c r="Q18" s="255">
        <v>0</v>
      </c>
      <c r="R18" s="255">
        <v>0</v>
      </c>
      <c r="S18" s="255">
        <v>0</v>
      </c>
      <c r="T18" s="255">
        <v>0</v>
      </c>
      <c r="U18" s="255">
        <v>0</v>
      </c>
      <c r="V18" s="255">
        <v>0</v>
      </c>
      <c r="W18" s="255">
        <v>0</v>
      </c>
      <c r="X18" s="255">
        <v>0</v>
      </c>
      <c r="Y18" s="255">
        <v>0</v>
      </c>
      <c r="AB18" s="533"/>
    </row>
    <row r="19" spans="1:28" s="520" customFormat="1" ht="15.75" customHeight="1">
      <c r="A19" s="535">
        <f t="shared" si="1"/>
        <v>100</v>
      </c>
      <c r="B19" s="536" t="s">
        <v>121</v>
      </c>
      <c r="C19" s="254">
        <f t="shared" si="6"/>
        <v>69765</v>
      </c>
      <c r="D19" s="255">
        <v>69765</v>
      </c>
      <c r="E19" s="293">
        <v>0.18</v>
      </c>
      <c r="F19" s="255">
        <v>0</v>
      </c>
      <c r="G19" s="293">
        <v>0</v>
      </c>
      <c r="H19" s="255">
        <v>69765</v>
      </c>
      <c r="I19" s="255">
        <v>0</v>
      </c>
      <c r="J19" s="255">
        <v>0</v>
      </c>
      <c r="K19" s="255">
        <v>0</v>
      </c>
      <c r="L19" s="255">
        <v>0</v>
      </c>
      <c r="M19" s="255">
        <v>69765</v>
      </c>
      <c r="N19" s="255">
        <v>0</v>
      </c>
      <c r="O19" s="254">
        <f t="shared" si="7"/>
        <v>0</v>
      </c>
      <c r="P19" s="255">
        <v>0</v>
      </c>
      <c r="Q19" s="255">
        <v>0</v>
      </c>
      <c r="R19" s="255">
        <v>0</v>
      </c>
      <c r="S19" s="255">
        <v>0</v>
      </c>
      <c r="T19" s="255">
        <v>0</v>
      </c>
      <c r="U19" s="255">
        <v>0</v>
      </c>
      <c r="V19" s="255">
        <v>0</v>
      </c>
      <c r="W19" s="255">
        <v>0</v>
      </c>
      <c r="X19" s="255">
        <v>0</v>
      </c>
      <c r="Y19" s="255">
        <v>0</v>
      </c>
      <c r="AB19" s="533"/>
    </row>
    <row r="20" spans="1:28" s="520" customFormat="1" ht="15.75" customHeight="1">
      <c r="A20" s="535">
        <f t="shared" si="1"/>
        <v>110</v>
      </c>
      <c r="B20" s="536" t="s">
        <v>122</v>
      </c>
      <c r="C20" s="254">
        <f t="shared" si="6"/>
        <v>199500477</v>
      </c>
      <c r="D20" s="255">
        <v>76507718</v>
      </c>
      <c r="E20" s="293">
        <v>0.20364522014893166</v>
      </c>
      <c r="F20" s="255">
        <v>122992759</v>
      </c>
      <c r="G20" s="293">
        <v>7.6216618962211366E-2</v>
      </c>
      <c r="H20" s="255">
        <v>192831536</v>
      </c>
      <c r="I20" s="255">
        <v>6668941</v>
      </c>
      <c r="J20" s="255">
        <v>2483169</v>
      </c>
      <c r="K20" s="255">
        <v>16229450</v>
      </c>
      <c r="L20" s="255">
        <v>0</v>
      </c>
      <c r="M20" s="255">
        <v>51552038</v>
      </c>
      <c r="N20" s="255">
        <v>0</v>
      </c>
      <c r="O20" s="254">
        <f t="shared" si="7"/>
        <v>125700152</v>
      </c>
      <c r="P20" s="255">
        <v>25580483</v>
      </c>
      <c r="Q20" s="255">
        <v>100119669</v>
      </c>
      <c r="R20" s="255">
        <v>0</v>
      </c>
      <c r="S20" s="255">
        <v>0</v>
      </c>
      <c r="T20" s="255">
        <v>0</v>
      </c>
      <c r="U20" s="255">
        <v>0</v>
      </c>
      <c r="V20" s="255">
        <v>1684668</v>
      </c>
      <c r="W20" s="255">
        <v>0</v>
      </c>
      <c r="X20" s="255">
        <v>0</v>
      </c>
      <c r="Y20" s="255">
        <v>1851000</v>
      </c>
      <c r="AB20" s="533"/>
    </row>
    <row r="21" spans="1:28" s="520" customFormat="1" ht="15.75" customHeight="1">
      <c r="A21" s="535">
        <f>A20+10</f>
        <v>120</v>
      </c>
      <c r="B21" s="536" t="s">
        <v>127</v>
      </c>
      <c r="C21" s="254">
        <f t="shared" si="6"/>
        <v>31561978</v>
      </c>
      <c r="D21" s="255">
        <v>8275439</v>
      </c>
      <c r="E21" s="293">
        <v>0.38188963461906222</v>
      </c>
      <c r="F21" s="255">
        <v>23286539</v>
      </c>
      <c r="G21" s="293">
        <v>0.11917624719271394</v>
      </c>
      <c r="H21" s="255">
        <v>31068728</v>
      </c>
      <c r="I21" s="255">
        <v>493250</v>
      </c>
      <c r="J21" s="255">
        <v>0</v>
      </c>
      <c r="K21" s="255">
        <v>493250</v>
      </c>
      <c r="L21" s="255">
        <v>0</v>
      </c>
      <c r="M21" s="255">
        <v>2609468</v>
      </c>
      <c r="N21" s="255">
        <v>0</v>
      </c>
      <c r="O21" s="254">
        <f t="shared" si="7"/>
        <v>28459260</v>
      </c>
      <c r="P21" s="255">
        <v>533333</v>
      </c>
      <c r="Q21" s="255">
        <v>27925927</v>
      </c>
      <c r="R21" s="255">
        <v>0</v>
      </c>
      <c r="S21" s="255">
        <v>0</v>
      </c>
      <c r="T21" s="255">
        <v>0</v>
      </c>
      <c r="U21" s="255">
        <v>0</v>
      </c>
      <c r="V21" s="255">
        <v>0</v>
      </c>
      <c r="W21" s="255">
        <v>0</v>
      </c>
      <c r="X21" s="255">
        <v>0</v>
      </c>
      <c r="Y21" s="255">
        <v>0</v>
      </c>
      <c r="AB21" s="533"/>
    </row>
    <row r="22" spans="1:28" s="520" customFormat="1" ht="15.75" customHeight="1">
      <c r="A22" s="535">
        <f t="shared" si="1"/>
        <v>130</v>
      </c>
      <c r="B22" s="538" t="s">
        <v>123</v>
      </c>
      <c r="C22" s="254">
        <f t="shared" si="6"/>
        <v>0</v>
      </c>
      <c r="D22" s="255">
        <v>0</v>
      </c>
      <c r="E22" s="294">
        <v>0</v>
      </c>
      <c r="F22" s="255">
        <v>0</v>
      </c>
      <c r="G22" s="294">
        <v>0</v>
      </c>
      <c r="H22" s="255">
        <v>0</v>
      </c>
      <c r="I22" s="255">
        <v>0</v>
      </c>
      <c r="J22" s="255">
        <v>0</v>
      </c>
      <c r="K22" s="255">
        <v>0</v>
      </c>
      <c r="L22" s="255">
        <v>0</v>
      </c>
      <c r="M22" s="255">
        <v>0</v>
      </c>
      <c r="N22" s="255">
        <v>0</v>
      </c>
      <c r="O22" s="254">
        <f t="shared" si="7"/>
        <v>0</v>
      </c>
      <c r="P22" s="255">
        <v>0</v>
      </c>
      <c r="Q22" s="255">
        <v>0</v>
      </c>
      <c r="R22" s="255">
        <v>0</v>
      </c>
      <c r="S22" s="255">
        <v>0</v>
      </c>
      <c r="T22" s="255">
        <v>0</v>
      </c>
      <c r="U22" s="255">
        <v>0</v>
      </c>
      <c r="V22" s="255">
        <v>0</v>
      </c>
      <c r="W22" s="255">
        <v>0</v>
      </c>
      <c r="X22" s="255">
        <v>0</v>
      </c>
      <c r="Y22" s="255">
        <v>0</v>
      </c>
      <c r="AB22" s="533"/>
    </row>
    <row r="23" spans="1:28" s="520" customFormat="1" ht="15.75" customHeight="1">
      <c r="A23" s="535">
        <f>A22+10</f>
        <v>140</v>
      </c>
      <c r="B23" s="536" t="s">
        <v>124</v>
      </c>
      <c r="C23" s="254">
        <f t="shared" si="6"/>
        <v>2752863</v>
      </c>
      <c r="D23" s="255">
        <v>2752863</v>
      </c>
      <c r="E23" s="293">
        <v>0.20597575110571184</v>
      </c>
      <c r="F23" s="255">
        <v>0</v>
      </c>
      <c r="G23" s="293">
        <v>0</v>
      </c>
      <c r="H23" s="255">
        <v>2118878</v>
      </c>
      <c r="I23" s="255">
        <v>633985</v>
      </c>
      <c r="J23" s="255">
        <v>0</v>
      </c>
      <c r="K23" s="255">
        <v>0</v>
      </c>
      <c r="L23" s="255">
        <v>0</v>
      </c>
      <c r="M23" s="255">
        <v>2179986</v>
      </c>
      <c r="N23" s="255">
        <v>0</v>
      </c>
      <c r="O23" s="254">
        <f>+P23+Q23</f>
        <v>342574</v>
      </c>
      <c r="P23" s="255">
        <v>59988</v>
      </c>
      <c r="Q23" s="255">
        <v>282586</v>
      </c>
      <c r="R23" s="255">
        <v>0</v>
      </c>
      <c r="S23" s="255">
        <v>0</v>
      </c>
      <c r="T23" s="255">
        <v>0</v>
      </c>
      <c r="U23" s="255">
        <v>0</v>
      </c>
      <c r="V23" s="255">
        <v>230303</v>
      </c>
      <c r="W23" s="255">
        <v>0</v>
      </c>
      <c r="X23" s="255">
        <v>0</v>
      </c>
      <c r="Y23" s="255">
        <v>0</v>
      </c>
      <c r="AB23" s="533"/>
    </row>
    <row r="24" spans="1:28" s="520" customFormat="1" ht="15.75" customHeight="1">
      <c r="A24" s="521">
        <f>A23+10</f>
        <v>150</v>
      </c>
      <c r="B24" s="539" t="s">
        <v>128</v>
      </c>
      <c r="C24" s="256">
        <f t="shared" si="6"/>
        <v>233885083</v>
      </c>
      <c r="D24" s="256">
        <f>SUM(D17:D23)</f>
        <v>87605785</v>
      </c>
      <c r="E24" s="296">
        <f>IFERROR(((D17*E17)/D24)+((D18*E18)/D24)+((D19*E19)/D24)+((D20*E20)/D24)+((D21*E21)/D24)+((D22*E22)/D24)+((D23*E23)/D24),0)</f>
        <v>0.22053699051199466</v>
      </c>
      <c r="F24" s="256">
        <f>SUM(F17:F23)</f>
        <v>146279298</v>
      </c>
      <c r="G24" s="296">
        <f>IFERROR(((F17*G17)/F24)+((F18*G18)/F24)+((F19*G19)/F24)+((F20*G20)/F24)+((F21*G21)/F24)+((F22*G22)/F24)+((F23*G23)/F24),0)</f>
        <v>8.305546131306199E-2</v>
      </c>
      <c r="H24" s="256">
        <f t="shared" ref="H24:Y24" si="8">SUM(H17:H23)</f>
        <v>226088907</v>
      </c>
      <c r="I24" s="256">
        <f t="shared" si="8"/>
        <v>7796176</v>
      </c>
      <c r="J24" s="256">
        <f t="shared" si="8"/>
        <v>2483169</v>
      </c>
      <c r="K24" s="256">
        <f t="shared" si="8"/>
        <v>16722700</v>
      </c>
      <c r="L24" s="256">
        <f t="shared" si="8"/>
        <v>0</v>
      </c>
      <c r="M24" s="256">
        <f t="shared" si="8"/>
        <v>56411257</v>
      </c>
      <c r="N24" s="256">
        <f t="shared" si="8"/>
        <v>0</v>
      </c>
      <c r="O24" s="256">
        <f t="shared" si="8"/>
        <v>154501986</v>
      </c>
      <c r="P24" s="256">
        <f t="shared" si="8"/>
        <v>26173804</v>
      </c>
      <c r="Q24" s="256">
        <f t="shared" si="8"/>
        <v>128328182</v>
      </c>
      <c r="R24" s="256">
        <f t="shared" si="8"/>
        <v>0</v>
      </c>
      <c r="S24" s="256">
        <f t="shared" si="8"/>
        <v>0</v>
      </c>
      <c r="T24" s="256">
        <f t="shared" si="8"/>
        <v>0</v>
      </c>
      <c r="U24" s="256">
        <f t="shared" si="8"/>
        <v>0</v>
      </c>
      <c r="V24" s="256">
        <f t="shared" si="8"/>
        <v>1914971</v>
      </c>
      <c r="W24" s="256">
        <f t="shared" si="8"/>
        <v>0</v>
      </c>
      <c r="X24" s="256">
        <f t="shared" si="8"/>
        <v>0</v>
      </c>
      <c r="Y24" s="256">
        <f t="shared" si="8"/>
        <v>1851000</v>
      </c>
      <c r="AB24" s="533"/>
    </row>
    <row r="25" spans="1:28" s="520" customFormat="1" ht="15.75" customHeight="1">
      <c r="A25" s="521"/>
      <c r="B25" s="539" t="s">
        <v>129</v>
      </c>
      <c r="C25" s="256"/>
      <c r="D25" s="256"/>
      <c r="E25" s="296"/>
      <c r="F25" s="256"/>
      <c r="G25" s="29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AA25" s="523"/>
      <c r="AB25" s="533"/>
    </row>
    <row r="26" spans="1:28" s="520" customFormat="1" ht="15.75" customHeight="1">
      <c r="A26" s="532">
        <f>A24+10</f>
        <v>160</v>
      </c>
      <c r="B26" s="254" t="s">
        <v>119</v>
      </c>
      <c r="C26" s="254">
        <f t="shared" ref="C26:C32" si="9">SUM(J26:Y26)-L26-P26-Q26</f>
        <v>0</v>
      </c>
      <c r="D26" s="255">
        <v>0</v>
      </c>
      <c r="E26" s="293">
        <v>0</v>
      </c>
      <c r="F26" s="255">
        <v>0</v>
      </c>
      <c r="G26" s="293">
        <v>0</v>
      </c>
      <c r="H26" s="255">
        <v>0</v>
      </c>
      <c r="I26" s="255">
        <v>0</v>
      </c>
      <c r="J26" s="255">
        <v>0</v>
      </c>
      <c r="K26" s="255">
        <v>0</v>
      </c>
      <c r="L26" s="255">
        <v>0</v>
      </c>
      <c r="M26" s="255">
        <v>0</v>
      </c>
      <c r="N26" s="255">
        <v>0</v>
      </c>
      <c r="O26" s="254">
        <f t="shared" ref="O26:O31" si="10">+P26+Q26</f>
        <v>0</v>
      </c>
      <c r="P26" s="255">
        <v>0</v>
      </c>
      <c r="Q26" s="255">
        <v>0</v>
      </c>
      <c r="R26" s="255">
        <v>0</v>
      </c>
      <c r="S26" s="255">
        <v>0</v>
      </c>
      <c r="T26" s="255">
        <v>0</v>
      </c>
      <c r="U26" s="255">
        <v>0</v>
      </c>
      <c r="V26" s="255">
        <v>0</v>
      </c>
      <c r="W26" s="255">
        <v>0</v>
      </c>
      <c r="X26" s="255">
        <v>0</v>
      </c>
      <c r="Y26" s="255">
        <v>0</v>
      </c>
      <c r="AB26" s="533"/>
    </row>
    <row r="27" spans="1:28" s="520" customFormat="1" ht="15.75" customHeight="1">
      <c r="A27" s="532">
        <f t="shared" si="1"/>
        <v>170</v>
      </c>
      <c r="B27" s="254" t="s">
        <v>120</v>
      </c>
      <c r="C27" s="254">
        <f t="shared" si="9"/>
        <v>589323858</v>
      </c>
      <c r="D27" s="255">
        <v>567756915</v>
      </c>
      <c r="E27" s="293">
        <v>0.14567962146400634</v>
      </c>
      <c r="F27" s="255">
        <v>21566943</v>
      </c>
      <c r="G27" s="293">
        <v>7.0000000000000007E-2</v>
      </c>
      <c r="H27" s="255">
        <v>589323858</v>
      </c>
      <c r="I27" s="255">
        <v>0</v>
      </c>
      <c r="J27" s="255">
        <v>216263967</v>
      </c>
      <c r="K27" s="255">
        <v>0</v>
      </c>
      <c r="L27" s="255">
        <v>0</v>
      </c>
      <c r="M27" s="255">
        <v>0</v>
      </c>
      <c r="N27" s="255">
        <v>0</v>
      </c>
      <c r="O27" s="254">
        <f t="shared" si="10"/>
        <v>126566943</v>
      </c>
      <c r="P27" s="255">
        <v>0</v>
      </c>
      <c r="Q27" s="255">
        <v>126566943</v>
      </c>
      <c r="R27" s="255">
        <v>0</v>
      </c>
      <c r="S27" s="255">
        <v>0</v>
      </c>
      <c r="T27" s="255">
        <v>0</v>
      </c>
      <c r="U27" s="255">
        <v>0</v>
      </c>
      <c r="V27" s="255">
        <v>246492948</v>
      </c>
      <c r="W27" s="255">
        <v>0</v>
      </c>
      <c r="X27" s="255">
        <v>0</v>
      </c>
      <c r="Y27" s="255">
        <v>0</v>
      </c>
      <c r="AB27" s="533"/>
    </row>
    <row r="28" spans="1:28" s="520" customFormat="1" ht="15.75" customHeight="1">
      <c r="A28" s="535">
        <f t="shared" si="1"/>
        <v>180</v>
      </c>
      <c r="B28" s="536" t="s">
        <v>121</v>
      </c>
      <c r="C28" s="254">
        <f t="shared" si="9"/>
        <v>42849254</v>
      </c>
      <c r="D28" s="255">
        <v>42849254</v>
      </c>
      <c r="E28" s="293">
        <v>0.15</v>
      </c>
      <c r="F28" s="255">
        <v>0</v>
      </c>
      <c r="G28" s="293">
        <v>0</v>
      </c>
      <c r="H28" s="255">
        <v>42849254</v>
      </c>
      <c r="I28" s="255">
        <v>0</v>
      </c>
      <c r="J28" s="255">
        <v>0</v>
      </c>
      <c r="K28" s="255">
        <v>0</v>
      </c>
      <c r="L28" s="255">
        <v>0</v>
      </c>
      <c r="M28" s="255">
        <v>0</v>
      </c>
      <c r="N28" s="255">
        <v>0</v>
      </c>
      <c r="O28" s="254">
        <f t="shared" si="10"/>
        <v>42849254</v>
      </c>
      <c r="P28" s="255">
        <v>0</v>
      </c>
      <c r="Q28" s="255">
        <v>42849254</v>
      </c>
      <c r="R28" s="255">
        <v>0</v>
      </c>
      <c r="S28" s="255">
        <v>0</v>
      </c>
      <c r="T28" s="255">
        <v>0</v>
      </c>
      <c r="U28" s="255">
        <v>0</v>
      </c>
      <c r="V28" s="255">
        <v>0</v>
      </c>
      <c r="W28" s="255">
        <v>0</v>
      </c>
      <c r="X28" s="255">
        <v>0</v>
      </c>
      <c r="Y28" s="255">
        <v>0</v>
      </c>
      <c r="AB28" s="533"/>
    </row>
    <row r="29" spans="1:28" s="520" customFormat="1" ht="15.75" customHeight="1">
      <c r="A29" s="535">
        <f t="shared" si="1"/>
        <v>190</v>
      </c>
      <c r="B29" s="536" t="s">
        <v>122</v>
      </c>
      <c r="C29" s="254">
        <f t="shared" si="9"/>
        <v>172565751</v>
      </c>
      <c r="D29" s="255">
        <v>152567525</v>
      </c>
      <c r="E29" s="293">
        <v>0.21039498014941119</v>
      </c>
      <c r="F29" s="255">
        <v>19998226</v>
      </c>
      <c r="G29" s="293">
        <v>9.7161077433077253E-2</v>
      </c>
      <c r="H29" s="255">
        <v>153739240</v>
      </c>
      <c r="I29" s="255">
        <v>18826511</v>
      </c>
      <c r="J29" s="255">
        <v>71947</v>
      </c>
      <c r="K29" s="255">
        <v>2116193</v>
      </c>
      <c r="L29" s="255">
        <v>0</v>
      </c>
      <c r="M29" s="255">
        <v>147518330</v>
      </c>
      <c r="N29" s="255">
        <v>0</v>
      </c>
      <c r="O29" s="254">
        <f t="shared" si="10"/>
        <v>22859281</v>
      </c>
      <c r="P29" s="255">
        <v>3977288</v>
      </c>
      <c r="Q29" s="255">
        <v>18881993</v>
      </c>
      <c r="R29" s="255">
        <v>0</v>
      </c>
      <c r="S29" s="255">
        <v>0</v>
      </c>
      <c r="T29" s="255">
        <v>0</v>
      </c>
      <c r="U29" s="255">
        <v>0</v>
      </c>
      <c r="V29" s="255">
        <v>0</v>
      </c>
      <c r="W29" s="255">
        <v>0</v>
      </c>
      <c r="X29" s="255">
        <v>0</v>
      </c>
      <c r="Y29" s="255">
        <v>0</v>
      </c>
      <c r="AB29" s="533"/>
    </row>
    <row r="30" spans="1:28" s="520" customFormat="1" ht="15.75" customHeight="1">
      <c r="A30" s="535">
        <f t="shared" si="1"/>
        <v>200</v>
      </c>
      <c r="B30" s="538" t="s">
        <v>123</v>
      </c>
      <c r="C30" s="254">
        <f t="shared" si="9"/>
        <v>0</v>
      </c>
      <c r="D30" s="255">
        <v>0</v>
      </c>
      <c r="E30" s="294">
        <v>0</v>
      </c>
      <c r="F30" s="255">
        <v>0</v>
      </c>
      <c r="G30" s="294">
        <v>0</v>
      </c>
      <c r="H30" s="255">
        <v>0</v>
      </c>
      <c r="I30" s="255">
        <v>0</v>
      </c>
      <c r="J30" s="255">
        <v>0</v>
      </c>
      <c r="K30" s="255">
        <v>0</v>
      </c>
      <c r="L30" s="255">
        <v>0</v>
      </c>
      <c r="M30" s="255">
        <v>0</v>
      </c>
      <c r="N30" s="255">
        <v>0</v>
      </c>
      <c r="O30" s="254">
        <f t="shared" si="10"/>
        <v>0</v>
      </c>
      <c r="P30" s="255">
        <v>0</v>
      </c>
      <c r="Q30" s="255">
        <v>0</v>
      </c>
      <c r="R30" s="255">
        <v>0</v>
      </c>
      <c r="S30" s="255">
        <v>0</v>
      </c>
      <c r="T30" s="255">
        <v>0</v>
      </c>
      <c r="U30" s="255">
        <v>0</v>
      </c>
      <c r="V30" s="255">
        <v>0</v>
      </c>
      <c r="W30" s="255">
        <v>0</v>
      </c>
      <c r="X30" s="255">
        <v>0</v>
      </c>
      <c r="Y30" s="255">
        <v>0</v>
      </c>
      <c r="AB30" s="533"/>
    </row>
    <row r="31" spans="1:28" s="520" customFormat="1" ht="15.75" customHeight="1">
      <c r="A31" s="535">
        <f>A30+10</f>
        <v>210</v>
      </c>
      <c r="B31" s="536" t="s">
        <v>124</v>
      </c>
      <c r="C31" s="254">
        <f t="shared" si="9"/>
        <v>22064805</v>
      </c>
      <c r="D31" s="255">
        <v>22064805</v>
      </c>
      <c r="E31" s="293">
        <v>0.22706416374862495</v>
      </c>
      <c r="F31" s="255">
        <v>0</v>
      </c>
      <c r="G31" s="293">
        <v>0</v>
      </c>
      <c r="H31" s="255">
        <v>22004191</v>
      </c>
      <c r="I31" s="255">
        <v>60614</v>
      </c>
      <c r="J31" s="255">
        <v>0</v>
      </c>
      <c r="K31" s="255">
        <v>0</v>
      </c>
      <c r="L31" s="255">
        <v>0</v>
      </c>
      <c r="M31" s="255">
        <v>21530497</v>
      </c>
      <c r="N31" s="255">
        <v>0</v>
      </c>
      <c r="O31" s="254">
        <f t="shared" si="10"/>
        <v>440369</v>
      </c>
      <c r="P31" s="255">
        <v>0</v>
      </c>
      <c r="Q31" s="255">
        <v>440369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93939</v>
      </c>
      <c r="X31" s="255">
        <v>0</v>
      </c>
      <c r="Y31" s="255">
        <v>0</v>
      </c>
      <c r="AB31" s="533"/>
    </row>
    <row r="32" spans="1:28" s="520" customFormat="1" ht="15.75" customHeight="1">
      <c r="A32" s="521">
        <f>A31+10</f>
        <v>220</v>
      </c>
      <c r="B32" s="539" t="s">
        <v>130</v>
      </c>
      <c r="C32" s="256">
        <f t="shared" si="9"/>
        <v>826803668</v>
      </c>
      <c r="D32" s="256">
        <f>SUM(D26:D31)</f>
        <v>785238499</v>
      </c>
      <c r="E32" s="296">
        <f>IFERROR(((D26*E26)/D32)+((D27*E27)/D32)+((D28*E28)/D32)+((D29*E29)/D32)+((D30*E30)/D32)+((D31*E31)/D32),0)</f>
        <v>0.16077608091168399</v>
      </c>
      <c r="F32" s="256">
        <f>SUM(F26:F31)</f>
        <v>41565169</v>
      </c>
      <c r="G32" s="296">
        <f>IFERROR(((F26*G26)/F32)+((F27*G27)/F32)+((F28*G28)/F32)+((F29*G29)/F32)+((F30*G30)/F32)+((F31*G31)/F32),0)</f>
        <v>8.3067993658588968E-2</v>
      </c>
      <c r="H32" s="256">
        <f t="shared" ref="H32:Y32" si="11">SUM(H26:H31)</f>
        <v>807916543</v>
      </c>
      <c r="I32" s="256">
        <f t="shared" si="11"/>
        <v>18887125</v>
      </c>
      <c r="J32" s="256">
        <f t="shared" si="11"/>
        <v>216335914</v>
      </c>
      <c r="K32" s="256">
        <f t="shared" si="11"/>
        <v>2116193</v>
      </c>
      <c r="L32" s="256">
        <f t="shared" si="11"/>
        <v>0</v>
      </c>
      <c r="M32" s="256">
        <f t="shared" si="11"/>
        <v>169048827</v>
      </c>
      <c r="N32" s="256">
        <f t="shared" si="11"/>
        <v>0</v>
      </c>
      <c r="O32" s="256">
        <f t="shared" si="11"/>
        <v>192715847</v>
      </c>
      <c r="P32" s="256">
        <f t="shared" si="11"/>
        <v>3977288</v>
      </c>
      <c r="Q32" s="256">
        <f t="shared" si="11"/>
        <v>188738559</v>
      </c>
      <c r="R32" s="256">
        <f t="shared" si="11"/>
        <v>0</v>
      </c>
      <c r="S32" s="256">
        <f t="shared" si="11"/>
        <v>0</v>
      </c>
      <c r="T32" s="256">
        <f t="shared" si="11"/>
        <v>0</v>
      </c>
      <c r="U32" s="256">
        <f t="shared" si="11"/>
        <v>0</v>
      </c>
      <c r="V32" s="256">
        <f t="shared" si="11"/>
        <v>246492948</v>
      </c>
      <c r="W32" s="256">
        <f t="shared" si="11"/>
        <v>93939</v>
      </c>
      <c r="X32" s="256">
        <f t="shared" si="11"/>
        <v>0</v>
      </c>
      <c r="Y32" s="256">
        <f t="shared" si="11"/>
        <v>0</v>
      </c>
      <c r="AB32" s="533"/>
    </row>
    <row r="33" spans="1:28" s="520" customFormat="1" ht="15.75" customHeight="1">
      <c r="A33" s="521"/>
      <c r="B33" s="539" t="s">
        <v>131</v>
      </c>
      <c r="C33" s="256"/>
      <c r="D33" s="256"/>
      <c r="E33" s="296"/>
      <c r="F33" s="256"/>
      <c r="G33" s="29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AB33" s="533"/>
    </row>
    <row r="34" spans="1:28" s="520" customFormat="1" ht="15.75" customHeight="1">
      <c r="A34" s="532">
        <f>A32+10</f>
        <v>230</v>
      </c>
      <c r="B34" s="254" t="s">
        <v>119</v>
      </c>
      <c r="C34" s="254">
        <f t="shared" ref="C34:C40" si="12">SUM(J34:Y34)-L34-P34-Q34</f>
        <v>0</v>
      </c>
      <c r="D34" s="255">
        <v>0</v>
      </c>
      <c r="E34" s="293">
        <v>0</v>
      </c>
      <c r="F34" s="255">
        <v>0</v>
      </c>
      <c r="G34" s="293">
        <v>0</v>
      </c>
      <c r="H34" s="255">
        <v>0</v>
      </c>
      <c r="I34" s="255">
        <v>0</v>
      </c>
      <c r="J34" s="255">
        <v>0</v>
      </c>
      <c r="K34" s="255">
        <v>0</v>
      </c>
      <c r="L34" s="255">
        <v>0</v>
      </c>
      <c r="M34" s="255">
        <v>0</v>
      </c>
      <c r="N34" s="255">
        <v>0</v>
      </c>
      <c r="O34" s="254">
        <f t="shared" ref="O34:O39" si="13">+P34+Q34</f>
        <v>0</v>
      </c>
      <c r="P34" s="255">
        <v>0</v>
      </c>
      <c r="Q34" s="255">
        <v>0</v>
      </c>
      <c r="R34" s="255">
        <v>0</v>
      </c>
      <c r="S34" s="255">
        <v>0</v>
      </c>
      <c r="T34" s="255">
        <v>0</v>
      </c>
      <c r="U34" s="255">
        <v>0</v>
      </c>
      <c r="V34" s="255">
        <v>0</v>
      </c>
      <c r="W34" s="255">
        <v>0</v>
      </c>
      <c r="X34" s="255">
        <v>0</v>
      </c>
      <c r="Y34" s="255">
        <v>0</v>
      </c>
      <c r="AB34" s="533"/>
    </row>
    <row r="35" spans="1:28" s="520" customFormat="1" ht="15.75" customHeight="1">
      <c r="A35" s="532">
        <f t="shared" si="1"/>
        <v>240</v>
      </c>
      <c r="B35" s="254" t="s">
        <v>120</v>
      </c>
      <c r="C35" s="254">
        <f t="shared" si="12"/>
        <v>2105944</v>
      </c>
      <c r="D35" s="255">
        <v>2105944</v>
      </c>
      <c r="E35" s="293">
        <v>0.23744137545917651</v>
      </c>
      <c r="F35" s="255">
        <v>0</v>
      </c>
      <c r="G35" s="293">
        <v>0</v>
      </c>
      <c r="H35" s="255">
        <v>2105944</v>
      </c>
      <c r="I35" s="255">
        <v>0</v>
      </c>
      <c r="J35" s="255">
        <v>0</v>
      </c>
      <c r="K35" s="255">
        <v>0</v>
      </c>
      <c r="L35" s="255">
        <v>0</v>
      </c>
      <c r="M35" s="255">
        <v>2105944</v>
      </c>
      <c r="N35" s="255">
        <v>0</v>
      </c>
      <c r="O35" s="254">
        <f t="shared" si="13"/>
        <v>0</v>
      </c>
      <c r="P35" s="255">
        <v>0</v>
      </c>
      <c r="Q35" s="255">
        <v>0</v>
      </c>
      <c r="R35" s="255">
        <v>0</v>
      </c>
      <c r="S35" s="255">
        <v>0</v>
      </c>
      <c r="T35" s="255">
        <v>0</v>
      </c>
      <c r="U35" s="255">
        <v>0</v>
      </c>
      <c r="V35" s="255">
        <v>0</v>
      </c>
      <c r="W35" s="255">
        <v>0</v>
      </c>
      <c r="X35" s="255">
        <v>0</v>
      </c>
      <c r="Y35" s="255">
        <v>0</v>
      </c>
      <c r="AB35" s="533"/>
    </row>
    <row r="36" spans="1:28" s="520" customFormat="1" ht="15.75" customHeight="1">
      <c r="A36" s="535">
        <f t="shared" si="1"/>
        <v>250</v>
      </c>
      <c r="B36" s="536" t="s">
        <v>121</v>
      </c>
      <c r="C36" s="254">
        <f t="shared" si="12"/>
        <v>41659965</v>
      </c>
      <c r="D36" s="255">
        <v>0</v>
      </c>
      <c r="E36" s="293">
        <v>0</v>
      </c>
      <c r="F36" s="255">
        <v>41659965</v>
      </c>
      <c r="G36" s="293">
        <v>7.9899999999999999E-2</v>
      </c>
      <c r="H36" s="255">
        <v>41659965</v>
      </c>
      <c r="I36" s="255">
        <v>0</v>
      </c>
      <c r="J36" s="255">
        <v>0</v>
      </c>
      <c r="K36" s="255">
        <v>0</v>
      </c>
      <c r="L36" s="255">
        <v>0</v>
      </c>
      <c r="M36" s="255">
        <v>41659965</v>
      </c>
      <c r="N36" s="255">
        <v>0</v>
      </c>
      <c r="O36" s="254">
        <f t="shared" si="13"/>
        <v>0</v>
      </c>
      <c r="P36" s="255">
        <v>0</v>
      </c>
      <c r="Q36" s="255">
        <v>0</v>
      </c>
      <c r="R36" s="255">
        <v>0</v>
      </c>
      <c r="S36" s="255">
        <v>0</v>
      </c>
      <c r="T36" s="255">
        <v>0</v>
      </c>
      <c r="U36" s="255">
        <v>0</v>
      </c>
      <c r="V36" s="255">
        <v>0</v>
      </c>
      <c r="W36" s="255">
        <v>0</v>
      </c>
      <c r="X36" s="255">
        <v>0</v>
      </c>
      <c r="Y36" s="255">
        <v>0</v>
      </c>
      <c r="AB36" s="533"/>
    </row>
    <row r="37" spans="1:28" s="520" customFormat="1" ht="15.75" customHeight="1">
      <c r="A37" s="535">
        <f t="shared" si="1"/>
        <v>260</v>
      </c>
      <c r="B37" s="536" t="s">
        <v>122</v>
      </c>
      <c r="C37" s="254">
        <f t="shared" si="12"/>
        <v>488679857</v>
      </c>
      <c r="D37" s="255">
        <v>230310927</v>
      </c>
      <c r="E37" s="293">
        <v>0.19702013047134845</v>
      </c>
      <c r="F37" s="255">
        <v>258368930</v>
      </c>
      <c r="G37" s="293">
        <v>7.3487435058477102E-2</v>
      </c>
      <c r="H37" s="255">
        <v>479037882</v>
      </c>
      <c r="I37" s="255">
        <v>9641975</v>
      </c>
      <c r="J37" s="255">
        <v>479711</v>
      </c>
      <c r="K37" s="255">
        <v>14985938</v>
      </c>
      <c r="L37" s="255">
        <v>0</v>
      </c>
      <c r="M37" s="255">
        <v>145672059</v>
      </c>
      <c r="N37" s="255">
        <v>0</v>
      </c>
      <c r="O37" s="254">
        <f t="shared" si="13"/>
        <v>325951531</v>
      </c>
      <c r="P37" s="255">
        <v>135817554</v>
      </c>
      <c r="Q37" s="255">
        <v>190133977</v>
      </c>
      <c r="R37" s="255">
        <v>0</v>
      </c>
      <c r="S37" s="255">
        <v>0</v>
      </c>
      <c r="T37" s="255">
        <v>0</v>
      </c>
      <c r="U37" s="255">
        <v>0</v>
      </c>
      <c r="V37" s="255">
        <v>305556</v>
      </c>
      <c r="W37" s="255">
        <v>1285062</v>
      </c>
      <c r="X37" s="255">
        <v>0</v>
      </c>
      <c r="Y37" s="255">
        <v>0</v>
      </c>
      <c r="AB37" s="533"/>
    </row>
    <row r="38" spans="1:28" s="520" customFormat="1" ht="15.75" customHeight="1">
      <c r="A38" s="535">
        <f t="shared" si="1"/>
        <v>270</v>
      </c>
      <c r="B38" s="538" t="s">
        <v>123</v>
      </c>
      <c r="C38" s="254">
        <f t="shared" si="12"/>
        <v>414350</v>
      </c>
      <c r="D38" s="255">
        <v>414350</v>
      </c>
      <c r="E38" s="293">
        <v>0.25</v>
      </c>
      <c r="F38" s="255">
        <v>0</v>
      </c>
      <c r="G38" s="293">
        <v>0</v>
      </c>
      <c r="H38" s="255">
        <v>414350</v>
      </c>
      <c r="I38" s="255">
        <v>0</v>
      </c>
      <c r="J38" s="255">
        <v>0</v>
      </c>
      <c r="K38" s="255">
        <v>0</v>
      </c>
      <c r="L38" s="255">
        <v>0</v>
      </c>
      <c r="M38" s="255">
        <v>0</v>
      </c>
      <c r="N38" s="255">
        <v>0</v>
      </c>
      <c r="O38" s="254">
        <f t="shared" si="13"/>
        <v>414350</v>
      </c>
      <c r="P38" s="255">
        <v>0</v>
      </c>
      <c r="Q38" s="255">
        <v>414350</v>
      </c>
      <c r="R38" s="255">
        <v>0</v>
      </c>
      <c r="S38" s="255">
        <v>0</v>
      </c>
      <c r="T38" s="255">
        <v>0</v>
      </c>
      <c r="U38" s="255">
        <v>0</v>
      </c>
      <c r="V38" s="255">
        <v>0</v>
      </c>
      <c r="W38" s="255">
        <v>0</v>
      </c>
      <c r="X38" s="255">
        <v>0</v>
      </c>
      <c r="Y38" s="255">
        <v>0</v>
      </c>
      <c r="AB38" s="533"/>
    </row>
    <row r="39" spans="1:28" s="520" customFormat="1" ht="15.75" customHeight="1">
      <c r="A39" s="535">
        <f>A38+10</f>
        <v>280</v>
      </c>
      <c r="B39" s="536" t="s">
        <v>124</v>
      </c>
      <c r="C39" s="254">
        <f t="shared" si="12"/>
        <v>2143019</v>
      </c>
      <c r="D39" s="255">
        <v>2143019</v>
      </c>
      <c r="E39" s="293">
        <v>0.14526414217996769</v>
      </c>
      <c r="F39" s="255">
        <v>0</v>
      </c>
      <c r="G39" s="293">
        <v>0</v>
      </c>
      <c r="H39" s="255">
        <v>2143019</v>
      </c>
      <c r="I39" s="255">
        <v>0</v>
      </c>
      <c r="J39" s="255">
        <v>0</v>
      </c>
      <c r="K39" s="255">
        <v>0</v>
      </c>
      <c r="L39" s="255">
        <v>0</v>
      </c>
      <c r="M39" s="255">
        <v>143020</v>
      </c>
      <c r="N39" s="255">
        <v>0</v>
      </c>
      <c r="O39" s="254">
        <f t="shared" si="13"/>
        <v>1999999</v>
      </c>
      <c r="P39" s="255">
        <v>0</v>
      </c>
      <c r="Q39" s="255">
        <v>1999999</v>
      </c>
      <c r="R39" s="255">
        <v>0</v>
      </c>
      <c r="S39" s="255">
        <v>0</v>
      </c>
      <c r="T39" s="255">
        <v>0</v>
      </c>
      <c r="U39" s="255">
        <v>0</v>
      </c>
      <c r="V39" s="255">
        <v>0</v>
      </c>
      <c r="W39" s="255">
        <v>0</v>
      </c>
      <c r="X39" s="255">
        <v>0</v>
      </c>
      <c r="Y39" s="255">
        <v>0</v>
      </c>
      <c r="AB39" s="533"/>
    </row>
    <row r="40" spans="1:28" s="520" customFormat="1" ht="15.75" customHeight="1">
      <c r="A40" s="521">
        <f>A39+10</f>
        <v>290</v>
      </c>
      <c r="B40" s="539" t="s">
        <v>132</v>
      </c>
      <c r="C40" s="256">
        <f t="shared" si="12"/>
        <v>535003135</v>
      </c>
      <c r="D40" s="256">
        <f>SUM(D34:D39)</f>
        <v>234974240</v>
      </c>
      <c r="E40" s="296">
        <f>IFERROR(((D34*E34)/D40)+((D35*E35)/D40)+((D36*E36)/D40)+((D37*E37)/D40)+((D38*E38)/D40)+((D39*E39)/D40),0)</f>
        <v>0.19700380111125193</v>
      </c>
      <c r="F40" s="256">
        <f>SUM(F34:F39)</f>
        <v>300028895</v>
      </c>
      <c r="G40" s="296">
        <f>IFERROR(((F34*G34)/F40)+((F35*G35)/F40)+((F36*G36)/F40)+((F37*G37)/F40)+((F38*G38)/F40)+((F39*G39)/F40),0)</f>
        <v>7.4377840067714862E-2</v>
      </c>
      <c r="H40" s="256">
        <f t="shared" ref="H40:Y40" si="14">SUM(H34:H39)</f>
        <v>525361160</v>
      </c>
      <c r="I40" s="256">
        <f t="shared" si="14"/>
        <v>9641975</v>
      </c>
      <c r="J40" s="256">
        <f t="shared" si="14"/>
        <v>479711</v>
      </c>
      <c r="K40" s="256">
        <f t="shared" si="14"/>
        <v>14985938</v>
      </c>
      <c r="L40" s="256">
        <f t="shared" si="14"/>
        <v>0</v>
      </c>
      <c r="M40" s="256">
        <f t="shared" si="14"/>
        <v>189580988</v>
      </c>
      <c r="N40" s="256">
        <f t="shared" si="14"/>
        <v>0</v>
      </c>
      <c r="O40" s="256">
        <f t="shared" si="14"/>
        <v>328365880</v>
      </c>
      <c r="P40" s="256">
        <f t="shared" si="14"/>
        <v>135817554</v>
      </c>
      <c r="Q40" s="256">
        <f t="shared" si="14"/>
        <v>192548326</v>
      </c>
      <c r="R40" s="256">
        <f t="shared" si="14"/>
        <v>0</v>
      </c>
      <c r="S40" s="256">
        <f t="shared" si="14"/>
        <v>0</v>
      </c>
      <c r="T40" s="256">
        <f t="shared" si="14"/>
        <v>0</v>
      </c>
      <c r="U40" s="256">
        <f t="shared" si="14"/>
        <v>0</v>
      </c>
      <c r="V40" s="256">
        <f t="shared" si="14"/>
        <v>305556</v>
      </c>
      <c r="W40" s="256">
        <f t="shared" si="14"/>
        <v>1285062</v>
      </c>
      <c r="X40" s="256">
        <f t="shared" si="14"/>
        <v>0</v>
      </c>
      <c r="Y40" s="256">
        <f t="shared" si="14"/>
        <v>0</v>
      </c>
      <c r="AB40" s="533"/>
    </row>
    <row r="41" spans="1:28" s="520" customFormat="1" ht="15.75" customHeight="1">
      <c r="A41" s="521"/>
      <c r="B41" s="539" t="s">
        <v>133</v>
      </c>
      <c r="C41" s="256"/>
      <c r="D41" s="256"/>
      <c r="E41" s="296"/>
      <c r="F41" s="256"/>
      <c r="G41" s="29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AB41" s="533"/>
    </row>
    <row r="42" spans="1:28" s="520" customFormat="1" ht="15.75" customHeight="1">
      <c r="A42" s="532">
        <f>A40+10</f>
        <v>300</v>
      </c>
      <c r="B42" s="254" t="s">
        <v>119</v>
      </c>
      <c r="C42" s="254">
        <f t="shared" ref="C42:C47" si="15">SUM(J42:Y42)-L42-P42-Q42</f>
        <v>0</v>
      </c>
      <c r="D42" s="255">
        <v>0</v>
      </c>
      <c r="E42" s="293">
        <v>0</v>
      </c>
      <c r="F42" s="255">
        <v>0</v>
      </c>
      <c r="G42" s="293">
        <v>0</v>
      </c>
      <c r="H42" s="255">
        <v>0</v>
      </c>
      <c r="I42" s="255">
        <v>0</v>
      </c>
      <c r="J42" s="255">
        <v>0</v>
      </c>
      <c r="K42" s="255">
        <v>0</v>
      </c>
      <c r="L42" s="255">
        <v>0</v>
      </c>
      <c r="M42" s="255">
        <v>0</v>
      </c>
      <c r="N42" s="255">
        <v>0</v>
      </c>
      <c r="O42" s="254">
        <f t="shared" ref="O42:O47" si="16">+P42+Q42</f>
        <v>0</v>
      </c>
      <c r="P42" s="255">
        <v>0</v>
      </c>
      <c r="Q42" s="255">
        <v>0</v>
      </c>
      <c r="R42" s="255">
        <v>0</v>
      </c>
      <c r="S42" s="255">
        <v>0</v>
      </c>
      <c r="T42" s="255">
        <v>0</v>
      </c>
      <c r="U42" s="255">
        <v>0</v>
      </c>
      <c r="V42" s="255">
        <v>0</v>
      </c>
      <c r="W42" s="255">
        <v>0</v>
      </c>
      <c r="X42" s="255">
        <v>0</v>
      </c>
      <c r="Y42" s="255">
        <v>0</v>
      </c>
      <c r="AB42" s="533"/>
    </row>
    <row r="43" spans="1:28" s="520" customFormat="1" ht="15.75" customHeight="1">
      <c r="A43" s="532">
        <f t="shared" si="1"/>
        <v>310</v>
      </c>
      <c r="B43" s="254" t="s">
        <v>120</v>
      </c>
      <c r="C43" s="254">
        <f t="shared" si="15"/>
        <v>5071998</v>
      </c>
      <c r="D43" s="255">
        <v>5071998</v>
      </c>
      <c r="E43" s="293">
        <v>0.20859619818462075</v>
      </c>
      <c r="F43" s="255">
        <v>0</v>
      </c>
      <c r="G43" s="293">
        <v>0</v>
      </c>
      <c r="H43" s="255">
        <v>5071998</v>
      </c>
      <c r="I43" s="255">
        <v>0</v>
      </c>
      <c r="J43" s="255">
        <v>0</v>
      </c>
      <c r="K43" s="255">
        <v>0</v>
      </c>
      <c r="L43" s="255">
        <v>0</v>
      </c>
      <c r="M43" s="255">
        <v>71998</v>
      </c>
      <c r="N43" s="255">
        <v>0</v>
      </c>
      <c r="O43" s="254">
        <f t="shared" si="16"/>
        <v>5000000</v>
      </c>
      <c r="P43" s="255">
        <v>0</v>
      </c>
      <c r="Q43" s="255">
        <v>5000000</v>
      </c>
      <c r="R43" s="255">
        <v>0</v>
      </c>
      <c r="S43" s="255">
        <v>0</v>
      </c>
      <c r="T43" s="255">
        <v>0</v>
      </c>
      <c r="U43" s="255">
        <v>0</v>
      </c>
      <c r="V43" s="255">
        <v>0</v>
      </c>
      <c r="W43" s="255">
        <v>0</v>
      </c>
      <c r="X43" s="255">
        <v>0</v>
      </c>
      <c r="Y43" s="255">
        <v>0</v>
      </c>
      <c r="AB43" s="533"/>
    </row>
    <row r="44" spans="1:28" s="520" customFormat="1" ht="15.75" customHeight="1">
      <c r="A44" s="535">
        <f t="shared" si="1"/>
        <v>320</v>
      </c>
      <c r="B44" s="536" t="s">
        <v>121</v>
      </c>
      <c r="C44" s="254">
        <f t="shared" si="15"/>
        <v>0</v>
      </c>
      <c r="D44" s="255">
        <v>0</v>
      </c>
      <c r="E44" s="294">
        <v>0</v>
      </c>
      <c r="F44" s="255">
        <v>0</v>
      </c>
      <c r="G44" s="294">
        <v>0</v>
      </c>
      <c r="H44" s="255">
        <v>0</v>
      </c>
      <c r="I44" s="255">
        <v>0</v>
      </c>
      <c r="J44" s="255">
        <v>0</v>
      </c>
      <c r="K44" s="255">
        <v>0</v>
      </c>
      <c r="L44" s="255">
        <v>0</v>
      </c>
      <c r="M44" s="255">
        <v>0</v>
      </c>
      <c r="N44" s="255">
        <v>0</v>
      </c>
      <c r="O44" s="254">
        <f t="shared" si="16"/>
        <v>0</v>
      </c>
      <c r="P44" s="255">
        <v>0</v>
      </c>
      <c r="Q44" s="255">
        <v>0</v>
      </c>
      <c r="R44" s="255">
        <v>0</v>
      </c>
      <c r="S44" s="255">
        <v>0</v>
      </c>
      <c r="T44" s="255">
        <v>0</v>
      </c>
      <c r="U44" s="255">
        <v>0</v>
      </c>
      <c r="V44" s="255">
        <v>0</v>
      </c>
      <c r="W44" s="255">
        <v>0</v>
      </c>
      <c r="X44" s="255">
        <v>0</v>
      </c>
      <c r="Y44" s="255">
        <v>0</v>
      </c>
      <c r="AB44" s="533"/>
    </row>
    <row r="45" spans="1:28" s="520" customFormat="1" ht="15.75" customHeight="1">
      <c r="A45" s="535">
        <f t="shared" si="1"/>
        <v>330</v>
      </c>
      <c r="B45" s="536" t="s">
        <v>122</v>
      </c>
      <c r="C45" s="254">
        <f t="shared" si="15"/>
        <v>674532081</v>
      </c>
      <c r="D45" s="255">
        <v>507118802</v>
      </c>
      <c r="E45" s="293">
        <v>0.20986831164021075</v>
      </c>
      <c r="F45" s="255">
        <v>167413279</v>
      </c>
      <c r="G45" s="293">
        <v>7.4364621767449526E-2</v>
      </c>
      <c r="H45" s="255">
        <v>643075225</v>
      </c>
      <c r="I45" s="255">
        <v>31456856</v>
      </c>
      <c r="J45" s="255">
        <v>326521</v>
      </c>
      <c r="K45" s="255">
        <v>8783732</v>
      </c>
      <c r="L45" s="255">
        <v>0</v>
      </c>
      <c r="M45" s="255">
        <v>128090308</v>
      </c>
      <c r="N45" s="255">
        <v>0</v>
      </c>
      <c r="O45" s="254">
        <f t="shared" si="16"/>
        <v>448292166</v>
      </c>
      <c r="P45" s="255">
        <v>45119507</v>
      </c>
      <c r="Q45" s="255">
        <v>403172659</v>
      </c>
      <c r="R45" s="255">
        <v>0</v>
      </c>
      <c r="S45" s="255">
        <v>0</v>
      </c>
      <c r="T45" s="255">
        <v>0</v>
      </c>
      <c r="U45" s="255">
        <v>0</v>
      </c>
      <c r="V45" s="255">
        <v>65230967</v>
      </c>
      <c r="W45" s="255">
        <v>2623109</v>
      </c>
      <c r="X45" s="255">
        <v>0</v>
      </c>
      <c r="Y45" s="255">
        <v>21185278</v>
      </c>
      <c r="AB45" s="533"/>
    </row>
    <row r="46" spans="1:28" s="520" customFormat="1" ht="15.75" customHeight="1">
      <c r="A46" s="535">
        <f t="shared" si="1"/>
        <v>340</v>
      </c>
      <c r="B46" s="538" t="s">
        <v>123</v>
      </c>
      <c r="C46" s="254">
        <f t="shared" si="15"/>
        <v>245777</v>
      </c>
      <c r="D46" s="255">
        <v>245777</v>
      </c>
      <c r="E46" s="293">
        <v>0.24</v>
      </c>
      <c r="F46" s="255">
        <v>0</v>
      </c>
      <c r="G46" s="293">
        <v>0</v>
      </c>
      <c r="H46" s="255">
        <v>245777</v>
      </c>
      <c r="I46" s="255">
        <v>0</v>
      </c>
      <c r="J46" s="255">
        <v>0</v>
      </c>
      <c r="K46" s="255">
        <v>0</v>
      </c>
      <c r="L46" s="255">
        <v>0</v>
      </c>
      <c r="M46" s="255">
        <v>245777</v>
      </c>
      <c r="N46" s="255">
        <v>0</v>
      </c>
      <c r="O46" s="254">
        <f t="shared" si="16"/>
        <v>0</v>
      </c>
      <c r="P46" s="255">
        <v>0</v>
      </c>
      <c r="Q46" s="255">
        <v>0</v>
      </c>
      <c r="R46" s="255">
        <v>0</v>
      </c>
      <c r="S46" s="255">
        <v>0</v>
      </c>
      <c r="T46" s="255">
        <v>0</v>
      </c>
      <c r="U46" s="255">
        <v>0</v>
      </c>
      <c r="V46" s="255">
        <v>0</v>
      </c>
      <c r="W46" s="255">
        <v>0</v>
      </c>
      <c r="X46" s="255">
        <v>0</v>
      </c>
      <c r="Y46" s="255">
        <v>0</v>
      </c>
      <c r="AB46" s="533"/>
    </row>
    <row r="47" spans="1:28" s="520" customFormat="1" ht="15.75" customHeight="1">
      <c r="A47" s="535">
        <f>A46+10</f>
        <v>350</v>
      </c>
      <c r="B47" s="536" t="s">
        <v>124</v>
      </c>
      <c r="C47" s="254">
        <f t="shared" si="15"/>
        <v>26844529</v>
      </c>
      <c r="D47" s="255">
        <v>26844529</v>
      </c>
      <c r="E47" s="293">
        <v>0.47888306161731398</v>
      </c>
      <c r="F47" s="255">
        <v>0</v>
      </c>
      <c r="G47" s="293">
        <v>0</v>
      </c>
      <c r="H47" s="255">
        <v>24843154</v>
      </c>
      <c r="I47" s="255">
        <v>2001375</v>
      </c>
      <c r="J47" s="255">
        <v>203427</v>
      </c>
      <c r="K47" s="255">
        <v>0</v>
      </c>
      <c r="L47" s="255">
        <v>0</v>
      </c>
      <c r="M47" s="255">
        <v>16780863</v>
      </c>
      <c r="N47" s="255">
        <v>0</v>
      </c>
      <c r="O47" s="254">
        <f t="shared" si="16"/>
        <v>9001715</v>
      </c>
      <c r="P47" s="255">
        <v>652385</v>
      </c>
      <c r="Q47" s="255">
        <v>8349330</v>
      </c>
      <c r="R47" s="255">
        <v>0</v>
      </c>
      <c r="S47" s="255">
        <v>0</v>
      </c>
      <c r="T47" s="255">
        <v>0</v>
      </c>
      <c r="U47" s="255">
        <v>0</v>
      </c>
      <c r="V47" s="255">
        <v>5000</v>
      </c>
      <c r="W47" s="255">
        <v>54024</v>
      </c>
      <c r="X47" s="255">
        <v>0</v>
      </c>
      <c r="Y47" s="255">
        <v>799500</v>
      </c>
      <c r="AB47" s="533"/>
    </row>
    <row r="48" spans="1:28" s="520" customFormat="1" ht="15.75" customHeight="1">
      <c r="A48" s="521">
        <f>A47+10</f>
        <v>360</v>
      </c>
      <c r="B48" s="539" t="s">
        <v>134</v>
      </c>
      <c r="C48" s="256">
        <f t="shared" ref="C48" si="17">SUM(J48:Y48)-L48-P48-Q48</f>
        <v>706694385</v>
      </c>
      <c r="D48" s="256">
        <f>SUM(D42:D47)</f>
        <v>539281106</v>
      </c>
      <c r="E48" s="296">
        <f>IFERROR(((D42*E42)/D48)+((D43*E43)/D48)+((D44*E44)/D48)+((D45*E45)/D48)+((D46*E46)/D48)+((D47*E47)/D48),0)</f>
        <v>0.22326119282202539</v>
      </c>
      <c r="F48" s="256">
        <f>SUM(F42:F47)</f>
        <v>167413279</v>
      </c>
      <c r="G48" s="296">
        <f>IFERROR(((F42*G42)/F48)+((F43*G43)/F48)+((F44*G44)/F48)+((F45*G45)/F48)+((F46*G46)/F48)+((F47*G47)/F48),0)</f>
        <v>7.4364621767449526E-2</v>
      </c>
      <c r="H48" s="256">
        <f t="shared" ref="H48:Y48" si="18">SUM(H42:H47)</f>
        <v>673236154</v>
      </c>
      <c r="I48" s="256">
        <f t="shared" si="18"/>
        <v>33458231</v>
      </c>
      <c r="J48" s="256">
        <f t="shared" si="18"/>
        <v>529948</v>
      </c>
      <c r="K48" s="256">
        <f t="shared" si="18"/>
        <v>8783732</v>
      </c>
      <c r="L48" s="256">
        <f t="shared" si="18"/>
        <v>0</v>
      </c>
      <c r="M48" s="256">
        <f t="shared" si="18"/>
        <v>145188946</v>
      </c>
      <c r="N48" s="256">
        <f t="shared" si="18"/>
        <v>0</v>
      </c>
      <c r="O48" s="256">
        <f t="shared" si="18"/>
        <v>462293881</v>
      </c>
      <c r="P48" s="256">
        <f t="shared" si="18"/>
        <v>45771892</v>
      </c>
      <c r="Q48" s="256">
        <f t="shared" si="18"/>
        <v>416521989</v>
      </c>
      <c r="R48" s="256">
        <f t="shared" si="18"/>
        <v>0</v>
      </c>
      <c r="S48" s="256">
        <f t="shared" si="18"/>
        <v>0</v>
      </c>
      <c r="T48" s="256">
        <f t="shared" si="18"/>
        <v>0</v>
      </c>
      <c r="U48" s="256">
        <f t="shared" si="18"/>
        <v>0</v>
      </c>
      <c r="V48" s="256">
        <f t="shared" si="18"/>
        <v>65235967</v>
      </c>
      <c r="W48" s="256">
        <f t="shared" si="18"/>
        <v>2677133</v>
      </c>
      <c r="X48" s="256">
        <f t="shared" si="18"/>
        <v>0</v>
      </c>
      <c r="Y48" s="256">
        <f t="shared" si="18"/>
        <v>21984778</v>
      </c>
      <c r="AB48" s="533"/>
    </row>
    <row r="49" spans="1:28" s="520" customFormat="1" ht="15.75" customHeight="1">
      <c r="A49" s="521"/>
      <c r="B49" s="539" t="s">
        <v>135</v>
      </c>
      <c r="C49" s="256"/>
      <c r="D49" s="256"/>
      <c r="E49" s="296"/>
      <c r="F49" s="256"/>
      <c r="G49" s="29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AB49" s="533"/>
    </row>
    <row r="50" spans="1:28" s="520" customFormat="1" ht="15.75" customHeight="1">
      <c r="A50" s="532">
        <f>A48+10</f>
        <v>370</v>
      </c>
      <c r="B50" s="254" t="s">
        <v>119</v>
      </c>
      <c r="C50" s="254">
        <f t="shared" ref="C50:C56" si="19">SUM(J50:Y50)-L50-P50-Q50</f>
        <v>0</v>
      </c>
      <c r="D50" s="255">
        <v>0</v>
      </c>
      <c r="E50" s="293">
        <v>0</v>
      </c>
      <c r="F50" s="255">
        <v>0</v>
      </c>
      <c r="G50" s="293">
        <v>0</v>
      </c>
      <c r="H50" s="255">
        <v>0</v>
      </c>
      <c r="I50" s="255">
        <v>0</v>
      </c>
      <c r="J50" s="255">
        <v>0</v>
      </c>
      <c r="K50" s="255">
        <v>0</v>
      </c>
      <c r="L50" s="255">
        <v>0</v>
      </c>
      <c r="M50" s="255">
        <v>0</v>
      </c>
      <c r="N50" s="255">
        <v>0</v>
      </c>
      <c r="O50" s="254">
        <f t="shared" ref="O50:O55" si="20">+P50+Q50</f>
        <v>0</v>
      </c>
      <c r="P50" s="255">
        <v>0</v>
      </c>
      <c r="Q50" s="255">
        <v>0</v>
      </c>
      <c r="R50" s="255">
        <v>0</v>
      </c>
      <c r="S50" s="255">
        <v>0</v>
      </c>
      <c r="T50" s="255">
        <v>0</v>
      </c>
      <c r="U50" s="255">
        <v>0</v>
      </c>
      <c r="V50" s="255">
        <v>0</v>
      </c>
      <c r="W50" s="255">
        <v>0</v>
      </c>
      <c r="X50" s="255">
        <v>0</v>
      </c>
      <c r="Y50" s="255">
        <v>0</v>
      </c>
      <c r="AB50" s="533"/>
    </row>
    <row r="51" spans="1:28" s="520" customFormat="1" ht="15.75" customHeight="1">
      <c r="A51" s="532">
        <f t="shared" si="1"/>
        <v>380</v>
      </c>
      <c r="B51" s="254" t="s">
        <v>120</v>
      </c>
      <c r="C51" s="254">
        <f t="shared" si="19"/>
        <v>4388532</v>
      </c>
      <c r="D51" s="255">
        <v>4388532</v>
      </c>
      <c r="E51" s="293">
        <v>0.24000000000000002</v>
      </c>
      <c r="F51" s="255">
        <v>0</v>
      </c>
      <c r="G51" s="293">
        <v>0</v>
      </c>
      <c r="H51" s="255">
        <v>4388532</v>
      </c>
      <c r="I51" s="255">
        <v>0</v>
      </c>
      <c r="J51" s="255">
        <v>0</v>
      </c>
      <c r="K51" s="255">
        <v>0</v>
      </c>
      <c r="L51" s="255">
        <v>0</v>
      </c>
      <c r="M51" s="255">
        <v>4388532</v>
      </c>
      <c r="N51" s="255">
        <v>0</v>
      </c>
      <c r="O51" s="254">
        <f t="shared" si="20"/>
        <v>0</v>
      </c>
      <c r="P51" s="255">
        <v>0</v>
      </c>
      <c r="Q51" s="255">
        <v>0</v>
      </c>
      <c r="R51" s="255">
        <v>0</v>
      </c>
      <c r="S51" s="255">
        <v>0</v>
      </c>
      <c r="T51" s="255">
        <v>0</v>
      </c>
      <c r="U51" s="255">
        <v>0</v>
      </c>
      <c r="V51" s="255">
        <v>0</v>
      </c>
      <c r="W51" s="255">
        <v>0</v>
      </c>
      <c r="X51" s="255">
        <v>0</v>
      </c>
      <c r="Y51" s="255">
        <v>0</v>
      </c>
      <c r="AB51" s="533"/>
    </row>
    <row r="52" spans="1:28" s="520" customFormat="1" ht="15.75" customHeight="1">
      <c r="A52" s="535">
        <f t="shared" si="1"/>
        <v>390</v>
      </c>
      <c r="B52" s="536" t="s">
        <v>121</v>
      </c>
      <c r="C52" s="254">
        <f t="shared" si="19"/>
        <v>0</v>
      </c>
      <c r="D52" s="255">
        <v>0</v>
      </c>
      <c r="E52" s="294">
        <v>0</v>
      </c>
      <c r="F52" s="255">
        <v>0</v>
      </c>
      <c r="G52" s="294">
        <v>0</v>
      </c>
      <c r="H52" s="255">
        <v>0</v>
      </c>
      <c r="I52" s="255">
        <v>0</v>
      </c>
      <c r="J52" s="255">
        <v>0</v>
      </c>
      <c r="K52" s="255">
        <v>0</v>
      </c>
      <c r="L52" s="255">
        <v>0</v>
      </c>
      <c r="M52" s="255">
        <v>0</v>
      </c>
      <c r="N52" s="255">
        <v>0</v>
      </c>
      <c r="O52" s="254">
        <f t="shared" si="20"/>
        <v>0</v>
      </c>
      <c r="P52" s="255">
        <v>0</v>
      </c>
      <c r="Q52" s="255">
        <v>0</v>
      </c>
      <c r="R52" s="255">
        <v>0</v>
      </c>
      <c r="S52" s="255">
        <v>0</v>
      </c>
      <c r="T52" s="255">
        <v>0</v>
      </c>
      <c r="U52" s="255">
        <v>0</v>
      </c>
      <c r="V52" s="255">
        <v>0</v>
      </c>
      <c r="W52" s="255">
        <v>0</v>
      </c>
      <c r="X52" s="255">
        <v>0</v>
      </c>
      <c r="Y52" s="255">
        <v>0</v>
      </c>
      <c r="AB52" s="533"/>
    </row>
    <row r="53" spans="1:28" s="520" customFormat="1" ht="15.75" customHeight="1">
      <c r="A53" s="535">
        <f t="shared" si="1"/>
        <v>400</v>
      </c>
      <c r="B53" s="536" t="s">
        <v>122</v>
      </c>
      <c r="C53" s="254">
        <f t="shared" si="19"/>
        <v>78699415</v>
      </c>
      <c r="D53" s="255">
        <v>42009060</v>
      </c>
      <c r="E53" s="293">
        <v>0.19650914522404789</v>
      </c>
      <c r="F53" s="255">
        <v>36690355</v>
      </c>
      <c r="G53" s="293">
        <v>8.0270605155696145E-2</v>
      </c>
      <c r="H53" s="255">
        <v>34280784</v>
      </c>
      <c r="I53" s="255">
        <v>44418631</v>
      </c>
      <c r="J53" s="255">
        <v>55661</v>
      </c>
      <c r="K53" s="255">
        <v>0</v>
      </c>
      <c r="L53" s="255">
        <v>0</v>
      </c>
      <c r="M53" s="255">
        <v>65805099</v>
      </c>
      <c r="N53" s="255">
        <v>0</v>
      </c>
      <c r="O53" s="254">
        <f t="shared" si="20"/>
        <v>6836498</v>
      </c>
      <c r="P53" s="255">
        <v>0</v>
      </c>
      <c r="Q53" s="255">
        <v>6836498</v>
      </c>
      <c r="R53" s="255">
        <v>0</v>
      </c>
      <c r="S53" s="255">
        <v>0</v>
      </c>
      <c r="T53" s="255">
        <v>0</v>
      </c>
      <c r="U53" s="255">
        <v>0</v>
      </c>
      <c r="V53" s="255">
        <v>6002157</v>
      </c>
      <c r="W53" s="255">
        <v>0</v>
      </c>
      <c r="X53" s="255">
        <v>0</v>
      </c>
      <c r="Y53" s="255">
        <v>0</v>
      </c>
      <c r="AB53" s="533"/>
    </row>
    <row r="54" spans="1:28" s="520" customFormat="1" ht="15.75" customHeight="1">
      <c r="A54" s="535">
        <f t="shared" si="1"/>
        <v>410</v>
      </c>
      <c r="B54" s="538" t="s">
        <v>123</v>
      </c>
      <c r="C54" s="254">
        <f t="shared" si="19"/>
        <v>0</v>
      </c>
      <c r="D54" s="255">
        <v>0</v>
      </c>
      <c r="E54" s="294">
        <v>0</v>
      </c>
      <c r="F54" s="255">
        <v>0</v>
      </c>
      <c r="G54" s="294">
        <v>0</v>
      </c>
      <c r="H54" s="255">
        <v>0</v>
      </c>
      <c r="I54" s="255">
        <v>0</v>
      </c>
      <c r="J54" s="255">
        <v>0</v>
      </c>
      <c r="K54" s="255">
        <v>0</v>
      </c>
      <c r="L54" s="255">
        <v>0</v>
      </c>
      <c r="M54" s="255">
        <v>0</v>
      </c>
      <c r="N54" s="255">
        <v>0</v>
      </c>
      <c r="O54" s="254">
        <f t="shared" si="20"/>
        <v>0</v>
      </c>
      <c r="P54" s="255">
        <v>0</v>
      </c>
      <c r="Q54" s="255">
        <v>0</v>
      </c>
      <c r="R54" s="255">
        <v>0</v>
      </c>
      <c r="S54" s="255">
        <v>0</v>
      </c>
      <c r="T54" s="255">
        <v>0</v>
      </c>
      <c r="U54" s="255">
        <v>0</v>
      </c>
      <c r="V54" s="255">
        <v>0</v>
      </c>
      <c r="W54" s="255">
        <v>0</v>
      </c>
      <c r="X54" s="255">
        <v>0</v>
      </c>
      <c r="Y54" s="255">
        <v>0</v>
      </c>
      <c r="AB54" s="533"/>
    </row>
    <row r="55" spans="1:28" s="520" customFormat="1" ht="15.75" customHeight="1">
      <c r="A55" s="535">
        <f>A54+10</f>
        <v>420</v>
      </c>
      <c r="B55" s="536" t="s">
        <v>124</v>
      </c>
      <c r="C55" s="254">
        <f t="shared" si="19"/>
        <v>218328</v>
      </c>
      <c r="D55" s="255">
        <v>218328</v>
      </c>
      <c r="E55" s="293">
        <v>0.21106034979532085</v>
      </c>
      <c r="F55" s="255">
        <v>0</v>
      </c>
      <c r="G55" s="293">
        <v>0</v>
      </c>
      <c r="H55" s="255">
        <v>218328</v>
      </c>
      <c r="I55" s="255">
        <v>0</v>
      </c>
      <c r="J55" s="255">
        <v>0</v>
      </c>
      <c r="K55" s="255">
        <v>0</v>
      </c>
      <c r="L55" s="255">
        <v>0</v>
      </c>
      <c r="M55" s="255">
        <v>172873</v>
      </c>
      <c r="N55" s="255">
        <v>0</v>
      </c>
      <c r="O55" s="254">
        <f t="shared" si="20"/>
        <v>45455</v>
      </c>
      <c r="P55" s="255">
        <v>45455</v>
      </c>
      <c r="Q55" s="255">
        <v>0</v>
      </c>
      <c r="R55" s="255">
        <v>0</v>
      </c>
      <c r="S55" s="255">
        <v>0</v>
      </c>
      <c r="T55" s="255">
        <v>0</v>
      </c>
      <c r="U55" s="255">
        <v>0</v>
      </c>
      <c r="V55" s="255">
        <v>0</v>
      </c>
      <c r="W55" s="255">
        <v>0</v>
      </c>
      <c r="X55" s="255">
        <v>0</v>
      </c>
      <c r="Y55" s="255">
        <v>0</v>
      </c>
      <c r="AB55" s="533"/>
    </row>
    <row r="56" spans="1:28" s="520" customFormat="1" ht="15.75" customHeight="1">
      <c r="A56" s="521">
        <f>A55+10</f>
        <v>430</v>
      </c>
      <c r="B56" s="539" t="s">
        <v>136</v>
      </c>
      <c r="C56" s="256">
        <f t="shared" si="19"/>
        <v>83306275</v>
      </c>
      <c r="D56" s="256">
        <f>SUM(D50:D55)</f>
        <v>46615920</v>
      </c>
      <c r="E56" s="296">
        <f>IFERROR(((D50*E50)/D56)+((D51*E51)/D56)+((D52*E52)/D56)+((D53*E53)/D56)+((D54*E54)/D56)+((D55*E55)/D56),0)</f>
        <v>0.20067162755375961</v>
      </c>
      <c r="F56" s="256">
        <f>SUM(F50:F55)</f>
        <v>36690355</v>
      </c>
      <c r="G56" s="296">
        <f>IFERROR(((F50*G50)/F56)+((F51*G51)/F56)+((F52*G52)/F56)+((F53*G53)/F56)+((F54*G54)/F56)+((F55*G55)/F56),0)</f>
        <v>8.0270605155696145E-2</v>
      </c>
      <c r="H56" s="256">
        <f t="shared" ref="H56:Y56" si="21">SUM(H50:H55)</f>
        <v>38887644</v>
      </c>
      <c r="I56" s="256">
        <f t="shared" si="21"/>
        <v>44418631</v>
      </c>
      <c r="J56" s="256">
        <f t="shared" si="21"/>
        <v>55661</v>
      </c>
      <c r="K56" s="256">
        <f t="shared" si="21"/>
        <v>0</v>
      </c>
      <c r="L56" s="256">
        <f t="shared" si="21"/>
        <v>0</v>
      </c>
      <c r="M56" s="256">
        <f t="shared" si="21"/>
        <v>70366504</v>
      </c>
      <c r="N56" s="256">
        <f t="shared" si="21"/>
        <v>0</v>
      </c>
      <c r="O56" s="256">
        <f t="shared" si="21"/>
        <v>6881953</v>
      </c>
      <c r="P56" s="256">
        <f t="shared" si="21"/>
        <v>45455</v>
      </c>
      <c r="Q56" s="256">
        <f t="shared" si="21"/>
        <v>6836498</v>
      </c>
      <c r="R56" s="256">
        <f t="shared" si="21"/>
        <v>0</v>
      </c>
      <c r="S56" s="256">
        <f t="shared" si="21"/>
        <v>0</v>
      </c>
      <c r="T56" s="256">
        <f t="shared" si="21"/>
        <v>0</v>
      </c>
      <c r="U56" s="256">
        <f t="shared" si="21"/>
        <v>0</v>
      </c>
      <c r="V56" s="256">
        <f t="shared" si="21"/>
        <v>6002157</v>
      </c>
      <c r="W56" s="256">
        <f t="shared" si="21"/>
        <v>0</v>
      </c>
      <c r="X56" s="256">
        <f t="shared" si="21"/>
        <v>0</v>
      </c>
      <c r="Y56" s="256">
        <f t="shared" si="21"/>
        <v>0</v>
      </c>
      <c r="AB56" s="533"/>
    </row>
    <row r="57" spans="1:28" s="520" customFormat="1" ht="15.75" customHeight="1">
      <c r="A57" s="521"/>
      <c r="B57" s="539" t="s">
        <v>137</v>
      </c>
      <c r="C57" s="256"/>
      <c r="D57" s="256"/>
      <c r="E57" s="296"/>
      <c r="F57" s="256"/>
      <c r="G57" s="29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AB57" s="533"/>
    </row>
    <row r="58" spans="1:28" s="520" customFormat="1" ht="15.75" customHeight="1">
      <c r="A58" s="532">
        <f>A56+10</f>
        <v>440</v>
      </c>
      <c r="B58" s="254" t="s">
        <v>119</v>
      </c>
      <c r="C58" s="254">
        <f t="shared" ref="C58:C64" si="22">SUM(J58:Y58)-L58-P58-Q58</f>
        <v>0</v>
      </c>
      <c r="D58" s="255">
        <v>0</v>
      </c>
      <c r="E58" s="294">
        <v>0</v>
      </c>
      <c r="F58" s="255">
        <v>0</v>
      </c>
      <c r="G58" s="294">
        <v>0</v>
      </c>
      <c r="H58" s="255">
        <v>0</v>
      </c>
      <c r="I58" s="255">
        <v>0</v>
      </c>
      <c r="J58" s="255">
        <v>0</v>
      </c>
      <c r="K58" s="255">
        <v>0</v>
      </c>
      <c r="L58" s="255">
        <v>0</v>
      </c>
      <c r="M58" s="255">
        <v>0</v>
      </c>
      <c r="N58" s="255">
        <v>0</v>
      </c>
      <c r="O58" s="254">
        <f t="shared" ref="O58:O64" si="23">+P58+Q58</f>
        <v>0</v>
      </c>
      <c r="P58" s="255">
        <v>0</v>
      </c>
      <c r="Q58" s="255">
        <v>0</v>
      </c>
      <c r="R58" s="255">
        <v>0</v>
      </c>
      <c r="S58" s="255">
        <v>0</v>
      </c>
      <c r="T58" s="255">
        <v>0</v>
      </c>
      <c r="U58" s="255">
        <v>0</v>
      </c>
      <c r="V58" s="255">
        <v>0</v>
      </c>
      <c r="W58" s="255">
        <v>0</v>
      </c>
      <c r="X58" s="255">
        <v>0</v>
      </c>
      <c r="Y58" s="255">
        <v>0</v>
      </c>
      <c r="AB58" s="533"/>
    </row>
    <row r="59" spans="1:28" s="520" customFormat="1" ht="15.75" customHeight="1">
      <c r="A59" s="532">
        <f t="shared" si="1"/>
        <v>450</v>
      </c>
      <c r="B59" s="254" t="s">
        <v>120</v>
      </c>
      <c r="C59" s="254">
        <f t="shared" si="22"/>
        <v>0</v>
      </c>
      <c r="D59" s="255">
        <v>0</v>
      </c>
      <c r="E59" s="293">
        <v>0</v>
      </c>
      <c r="F59" s="255">
        <v>0</v>
      </c>
      <c r="G59" s="293">
        <v>0</v>
      </c>
      <c r="H59" s="255">
        <v>0</v>
      </c>
      <c r="I59" s="255">
        <v>0</v>
      </c>
      <c r="J59" s="255">
        <v>0</v>
      </c>
      <c r="K59" s="255">
        <v>0</v>
      </c>
      <c r="L59" s="255">
        <v>0</v>
      </c>
      <c r="M59" s="255">
        <v>0</v>
      </c>
      <c r="N59" s="255">
        <v>0</v>
      </c>
      <c r="O59" s="254">
        <f t="shared" si="23"/>
        <v>0</v>
      </c>
      <c r="P59" s="255">
        <v>0</v>
      </c>
      <c r="Q59" s="255">
        <v>0</v>
      </c>
      <c r="R59" s="255">
        <v>0</v>
      </c>
      <c r="S59" s="255">
        <v>0</v>
      </c>
      <c r="T59" s="255">
        <v>0</v>
      </c>
      <c r="U59" s="255">
        <v>0</v>
      </c>
      <c r="V59" s="255">
        <v>0</v>
      </c>
      <c r="W59" s="255">
        <v>0</v>
      </c>
      <c r="X59" s="255">
        <v>0</v>
      </c>
      <c r="Y59" s="255">
        <v>0</v>
      </c>
      <c r="AB59" s="533"/>
    </row>
    <row r="60" spans="1:28" s="520" customFormat="1" ht="15.75" customHeight="1">
      <c r="A60" s="535">
        <f t="shared" si="1"/>
        <v>460</v>
      </c>
      <c r="B60" s="536" t="s">
        <v>121</v>
      </c>
      <c r="C60" s="254">
        <f t="shared" si="22"/>
        <v>0</v>
      </c>
      <c r="D60" s="255">
        <v>0</v>
      </c>
      <c r="E60" s="294">
        <v>0</v>
      </c>
      <c r="F60" s="255">
        <v>0</v>
      </c>
      <c r="G60" s="294">
        <v>0</v>
      </c>
      <c r="H60" s="255">
        <v>0</v>
      </c>
      <c r="I60" s="255">
        <v>0</v>
      </c>
      <c r="J60" s="255">
        <v>0</v>
      </c>
      <c r="K60" s="255">
        <v>0</v>
      </c>
      <c r="L60" s="255">
        <v>0</v>
      </c>
      <c r="M60" s="255">
        <v>0</v>
      </c>
      <c r="N60" s="255">
        <v>0</v>
      </c>
      <c r="O60" s="254">
        <f t="shared" si="23"/>
        <v>0</v>
      </c>
      <c r="P60" s="255">
        <v>0</v>
      </c>
      <c r="Q60" s="255">
        <v>0</v>
      </c>
      <c r="R60" s="255">
        <v>0</v>
      </c>
      <c r="S60" s="255">
        <v>0</v>
      </c>
      <c r="T60" s="255">
        <v>0</v>
      </c>
      <c r="U60" s="255">
        <v>0</v>
      </c>
      <c r="V60" s="255">
        <v>0</v>
      </c>
      <c r="W60" s="255">
        <v>0</v>
      </c>
      <c r="X60" s="255">
        <v>0</v>
      </c>
      <c r="Y60" s="255">
        <v>0</v>
      </c>
      <c r="AB60" s="533"/>
    </row>
    <row r="61" spans="1:28" s="520" customFormat="1" ht="15.75" customHeight="1">
      <c r="A61" s="535">
        <f t="shared" si="1"/>
        <v>470</v>
      </c>
      <c r="B61" s="536" t="s">
        <v>122</v>
      </c>
      <c r="C61" s="254">
        <f t="shared" si="22"/>
        <v>48676081</v>
      </c>
      <c r="D61" s="255">
        <v>45424783</v>
      </c>
      <c r="E61" s="293">
        <v>0.17730749408954566</v>
      </c>
      <c r="F61" s="255">
        <v>3251298</v>
      </c>
      <c r="G61" s="293">
        <v>0.12</v>
      </c>
      <c r="H61" s="255">
        <v>46563008</v>
      </c>
      <c r="I61" s="255">
        <v>2113073</v>
      </c>
      <c r="J61" s="255">
        <v>19171</v>
      </c>
      <c r="K61" s="255">
        <v>643387</v>
      </c>
      <c r="L61" s="255">
        <v>0</v>
      </c>
      <c r="M61" s="255">
        <v>4757555</v>
      </c>
      <c r="N61" s="255">
        <v>0</v>
      </c>
      <c r="O61" s="254">
        <f t="shared" si="23"/>
        <v>41729383</v>
      </c>
      <c r="P61" s="255">
        <v>7149990</v>
      </c>
      <c r="Q61" s="255">
        <v>34579393</v>
      </c>
      <c r="R61" s="255">
        <v>0</v>
      </c>
      <c r="S61" s="255">
        <v>0</v>
      </c>
      <c r="T61" s="255">
        <v>0</v>
      </c>
      <c r="U61" s="255">
        <v>0</v>
      </c>
      <c r="V61" s="255">
        <v>80000</v>
      </c>
      <c r="W61" s="255">
        <v>1446585</v>
      </c>
      <c r="X61" s="255">
        <v>0</v>
      </c>
      <c r="Y61" s="255">
        <v>0</v>
      </c>
      <c r="AB61" s="533"/>
    </row>
    <row r="62" spans="1:28" s="520" customFormat="1" ht="15.75" customHeight="1">
      <c r="A62" s="535">
        <f t="shared" si="1"/>
        <v>480</v>
      </c>
      <c r="B62" s="538" t="s">
        <v>123</v>
      </c>
      <c r="C62" s="254">
        <f t="shared" si="22"/>
        <v>0</v>
      </c>
      <c r="D62" s="255">
        <v>0</v>
      </c>
      <c r="E62" s="294">
        <v>0</v>
      </c>
      <c r="F62" s="255">
        <v>0</v>
      </c>
      <c r="G62" s="294">
        <v>0</v>
      </c>
      <c r="H62" s="255">
        <v>0</v>
      </c>
      <c r="I62" s="255">
        <v>0</v>
      </c>
      <c r="J62" s="255">
        <v>0</v>
      </c>
      <c r="K62" s="255">
        <v>0</v>
      </c>
      <c r="L62" s="255">
        <v>0</v>
      </c>
      <c r="M62" s="255">
        <v>0</v>
      </c>
      <c r="N62" s="255">
        <v>0</v>
      </c>
      <c r="O62" s="254">
        <f t="shared" si="23"/>
        <v>0</v>
      </c>
      <c r="P62" s="255">
        <v>0</v>
      </c>
      <c r="Q62" s="255">
        <v>0</v>
      </c>
      <c r="R62" s="255">
        <v>0</v>
      </c>
      <c r="S62" s="255">
        <v>0</v>
      </c>
      <c r="T62" s="255">
        <v>0</v>
      </c>
      <c r="U62" s="255">
        <v>0</v>
      </c>
      <c r="V62" s="255">
        <v>0</v>
      </c>
      <c r="W62" s="255">
        <v>0</v>
      </c>
      <c r="X62" s="255">
        <v>0</v>
      </c>
      <c r="Y62" s="255">
        <v>0</v>
      </c>
      <c r="AB62" s="533"/>
    </row>
    <row r="63" spans="1:28" s="520" customFormat="1" ht="15.75" customHeight="1">
      <c r="A63" s="535">
        <v>485</v>
      </c>
      <c r="B63" s="538" t="s">
        <v>143</v>
      </c>
      <c r="C63" s="254">
        <f t="shared" ref="C63" si="24">SUM(J63:Y63)-L63-P63-Q63</f>
        <v>2786822</v>
      </c>
      <c r="D63" s="255">
        <v>2786822</v>
      </c>
      <c r="E63" s="293">
        <v>0.15582972312039906</v>
      </c>
      <c r="F63" s="255">
        <v>0</v>
      </c>
      <c r="G63" s="293">
        <v>0</v>
      </c>
      <c r="H63" s="255">
        <v>146205</v>
      </c>
      <c r="I63" s="255">
        <v>2640617</v>
      </c>
      <c r="J63" s="255">
        <v>0</v>
      </c>
      <c r="K63" s="255">
        <v>2349375</v>
      </c>
      <c r="L63" s="255">
        <v>0</v>
      </c>
      <c r="M63" s="255">
        <v>0</v>
      </c>
      <c r="N63" s="255">
        <v>0</v>
      </c>
      <c r="O63" s="254">
        <f t="shared" si="23"/>
        <v>0</v>
      </c>
      <c r="P63" s="255">
        <v>0</v>
      </c>
      <c r="Q63" s="255">
        <v>0</v>
      </c>
      <c r="R63" s="255">
        <v>0</v>
      </c>
      <c r="S63" s="255">
        <v>0</v>
      </c>
      <c r="T63" s="255">
        <v>0</v>
      </c>
      <c r="U63" s="255">
        <v>0</v>
      </c>
      <c r="V63" s="255">
        <v>0</v>
      </c>
      <c r="W63" s="255">
        <v>437447</v>
      </c>
      <c r="X63" s="255">
        <v>0</v>
      </c>
      <c r="Y63" s="255">
        <v>0</v>
      </c>
      <c r="AB63" s="533"/>
    </row>
    <row r="64" spans="1:28" s="520" customFormat="1" ht="15.75" customHeight="1">
      <c r="A64" s="535">
        <f>A62+10</f>
        <v>490</v>
      </c>
      <c r="B64" s="536" t="s">
        <v>124</v>
      </c>
      <c r="C64" s="254">
        <f t="shared" si="22"/>
        <v>10679650</v>
      </c>
      <c r="D64" s="255">
        <v>10679650</v>
      </c>
      <c r="E64" s="293">
        <v>0.11993222685522772</v>
      </c>
      <c r="F64" s="255">
        <v>0</v>
      </c>
      <c r="G64" s="293">
        <v>0</v>
      </c>
      <c r="H64" s="255">
        <v>1219623</v>
      </c>
      <c r="I64" s="255">
        <v>9460027</v>
      </c>
      <c r="J64" s="255">
        <v>0</v>
      </c>
      <c r="K64" s="255">
        <v>1315727</v>
      </c>
      <c r="L64" s="255">
        <v>0</v>
      </c>
      <c r="M64" s="255">
        <v>162155</v>
      </c>
      <c r="N64" s="255">
        <v>0</v>
      </c>
      <c r="O64" s="254">
        <f t="shared" si="23"/>
        <v>106021</v>
      </c>
      <c r="P64" s="255">
        <v>0</v>
      </c>
      <c r="Q64" s="255">
        <v>106021</v>
      </c>
      <c r="R64" s="255">
        <v>0</v>
      </c>
      <c r="S64" s="255">
        <v>0</v>
      </c>
      <c r="T64" s="255">
        <v>0</v>
      </c>
      <c r="U64" s="255">
        <v>0</v>
      </c>
      <c r="V64" s="255">
        <v>80321</v>
      </c>
      <c r="W64" s="255">
        <v>9015426</v>
      </c>
      <c r="X64" s="255">
        <v>0</v>
      </c>
      <c r="Y64" s="255">
        <v>0</v>
      </c>
      <c r="AB64" s="533"/>
    </row>
    <row r="65" spans="1:28" s="520" customFormat="1" ht="15.75" customHeight="1">
      <c r="A65" s="521">
        <f>A64+10</f>
        <v>500</v>
      </c>
      <c r="B65" s="539" t="s">
        <v>138</v>
      </c>
      <c r="C65" s="256">
        <f t="shared" ref="C65:C78" si="25">SUM(J65:Y65)-L65-P65-Q65</f>
        <v>62142553</v>
      </c>
      <c r="D65" s="256">
        <f>SUM(D58:D64)</f>
        <v>58891255</v>
      </c>
      <c r="E65" s="296">
        <f>IFERROR(((D58*E58)/D65)+((D59*E59)/D65)+((D60*E60)/D65)+((D61*E61)/D65)+((D62*E62)/D65)+((D63*E63)/D65)+((D64*E64)/D65),0)</f>
        <v>0.16588640113836364</v>
      </c>
      <c r="F65" s="256">
        <f>SUM(F58:F64)</f>
        <v>3251298</v>
      </c>
      <c r="G65" s="296">
        <f>IFERROR(((F58*G58)/F65)+((F59*G59)/F65)+((F60*G60)/F65)+((F61*G61)/F65)+((F62*G62)/F65)+((F63*G63)/F65)+((F64*G64)/F65),0)</f>
        <v>0.12000000000000001</v>
      </c>
      <c r="H65" s="256">
        <f t="shared" ref="H65:Y65" si="26">SUM(H58:H64)</f>
        <v>47928836</v>
      </c>
      <c r="I65" s="256">
        <f t="shared" si="26"/>
        <v>14213717</v>
      </c>
      <c r="J65" s="256">
        <f t="shared" si="26"/>
        <v>19171</v>
      </c>
      <c r="K65" s="256">
        <f t="shared" si="26"/>
        <v>4308489</v>
      </c>
      <c r="L65" s="256">
        <f t="shared" si="26"/>
        <v>0</v>
      </c>
      <c r="M65" s="256">
        <f t="shared" si="26"/>
        <v>4919710</v>
      </c>
      <c r="N65" s="256">
        <f t="shared" si="26"/>
        <v>0</v>
      </c>
      <c r="O65" s="256">
        <f t="shared" si="26"/>
        <v>41835404</v>
      </c>
      <c r="P65" s="256">
        <f t="shared" si="26"/>
        <v>7149990</v>
      </c>
      <c r="Q65" s="256">
        <f t="shared" si="26"/>
        <v>34685414</v>
      </c>
      <c r="R65" s="256">
        <f t="shared" si="26"/>
        <v>0</v>
      </c>
      <c r="S65" s="256">
        <f t="shared" si="26"/>
        <v>0</v>
      </c>
      <c r="T65" s="256">
        <f t="shared" si="26"/>
        <v>0</v>
      </c>
      <c r="U65" s="256">
        <f t="shared" si="26"/>
        <v>0</v>
      </c>
      <c r="V65" s="256">
        <f t="shared" si="26"/>
        <v>160321</v>
      </c>
      <c r="W65" s="256">
        <f t="shared" si="26"/>
        <v>10899458</v>
      </c>
      <c r="X65" s="256">
        <f t="shared" si="26"/>
        <v>0</v>
      </c>
      <c r="Y65" s="256">
        <f t="shared" si="26"/>
        <v>0</v>
      </c>
      <c r="AB65" s="533"/>
    </row>
    <row r="66" spans="1:28" s="520" customFormat="1" ht="15.75" customHeight="1">
      <c r="A66" s="521"/>
      <c r="B66" s="539" t="s">
        <v>139</v>
      </c>
      <c r="C66" s="256"/>
      <c r="D66" s="257"/>
      <c r="E66" s="295"/>
      <c r="F66" s="257"/>
      <c r="G66" s="295"/>
      <c r="H66" s="257"/>
      <c r="I66" s="257"/>
      <c r="J66" s="257"/>
      <c r="K66" s="257"/>
      <c r="L66" s="257"/>
      <c r="M66" s="257"/>
      <c r="N66" s="257"/>
      <c r="O66" s="256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AB66" s="533"/>
    </row>
    <row r="67" spans="1:28" s="520" customFormat="1" ht="15.75" customHeight="1">
      <c r="A67" s="532">
        <f>A65+10</f>
        <v>510</v>
      </c>
      <c r="B67" s="254" t="s">
        <v>119</v>
      </c>
      <c r="C67" s="254">
        <f t="shared" si="25"/>
        <v>1328984229</v>
      </c>
      <c r="D67" s="255">
        <v>1328984229</v>
      </c>
      <c r="E67" s="293">
        <v>0.22435409357508937</v>
      </c>
      <c r="F67" s="255">
        <v>0</v>
      </c>
      <c r="G67" s="293">
        <v>0</v>
      </c>
      <c r="H67" s="255">
        <v>1315454057</v>
      </c>
      <c r="I67" s="255">
        <v>13530172</v>
      </c>
      <c r="J67" s="255">
        <v>244766475</v>
      </c>
      <c r="K67" s="255">
        <v>0</v>
      </c>
      <c r="L67" s="255">
        <v>0</v>
      </c>
      <c r="M67" s="255">
        <v>127172340</v>
      </c>
      <c r="N67" s="255">
        <v>0</v>
      </c>
      <c r="O67" s="254">
        <f t="shared" ref="O67:O77" si="27">+P67+Q67</f>
        <v>395548854</v>
      </c>
      <c r="P67" s="255">
        <v>372559617</v>
      </c>
      <c r="Q67" s="255">
        <v>22989237</v>
      </c>
      <c r="R67" s="255">
        <v>0</v>
      </c>
      <c r="S67" s="255">
        <v>0</v>
      </c>
      <c r="T67" s="255">
        <v>0</v>
      </c>
      <c r="U67" s="255">
        <v>0</v>
      </c>
      <c r="V67" s="255">
        <v>529199588</v>
      </c>
      <c r="W67" s="255">
        <v>29128808</v>
      </c>
      <c r="X67" s="255">
        <v>0</v>
      </c>
      <c r="Y67" s="255">
        <v>3168164</v>
      </c>
      <c r="AB67" s="533"/>
    </row>
    <row r="68" spans="1:28" s="520" customFormat="1" ht="15.75" customHeight="1">
      <c r="A68" s="532">
        <f t="shared" si="1"/>
        <v>520</v>
      </c>
      <c r="B68" s="254" t="s">
        <v>120</v>
      </c>
      <c r="C68" s="254">
        <f t="shared" si="25"/>
        <v>8201367</v>
      </c>
      <c r="D68" s="255">
        <v>8201367</v>
      </c>
      <c r="E68" s="293">
        <v>0.15198629479005429</v>
      </c>
      <c r="F68" s="255">
        <v>0</v>
      </c>
      <c r="G68" s="293">
        <v>0</v>
      </c>
      <c r="H68" s="255">
        <v>8201367</v>
      </c>
      <c r="I68" s="255">
        <v>0</v>
      </c>
      <c r="J68" s="255">
        <v>0</v>
      </c>
      <c r="K68" s="255">
        <v>6562967</v>
      </c>
      <c r="L68" s="255">
        <v>0</v>
      </c>
      <c r="M68" s="255">
        <v>1638400</v>
      </c>
      <c r="N68" s="255">
        <v>0</v>
      </c>
      <c r="O68" s="254">
        <f t="shared" si="27"/>
        <v>0</v>
      </c>
      <c r="P68" s="255">
        <v>0</v>
      </c>
      <c r="Q68" s="255">
        <v>0</v>
      </c>
      <c r="R68" s="255">
        <v>0</v>
      </c>
      <c r="S68" s="255">
        <v>0</v>
      </c>
      <c r="T68" s="255">
        <v>0</v>
      </c>
      <c r="U68" s="255">
        <v>0</v>
      </c>
      <c r="V68" s="255">
        <v>0</v>
      </c>
      <c r="W68" s="255">
        <v>0</v>
      </c>
      <c r="X68" s="255">
        <v>0</v>
      </c>
      <c r="Y68" s="255">
        <v>0</v>
      </c>
      <c r="AB68" s="533"/>
    </row>
    <row r="69" spans="1:28" s="520" customFormat="1" ht="15.75" customHeight="1">
      <c r="A69" s="535">
        <f t="shared" si="1"/>
        <v>530</v>
      </c>
      <c r="B69" s="536" t="s">
        <v>121</v>
      </c>
      <c r="C69" s="254">
        <f t="shared" si="25"/>
        <v>0</v>
      </c>
      <c r="D69" s="255">
        <v>0</v>
      </c>
      <c r="E69" s="294">
        <v>0</v>
      </c>
      <c r="F69" s="255">
        <v>0</v>
      </c>
      <c r="G69" s="294">
        <v>0</v>
      </c>
      <c r="H69" s="255">
        <v>0</v>
      </c>
      <c r="I69" s="255">
        <v>0</v>
      </c>
      <c r="J69" s="255">
        <v>0</v>
      </c>
      <c r="K69" s="255">
        <v>0</v>
      </c>
      <c r="L69" s="255">
        <v>0</v>
      </c>
      <c r="M69" s="255">
        <v>0</v>
      </c>
      <c r="N69" s="255">
        <v>0</v>
      </c>
      <c r="O69" s="254">
        <f t="shared" si="27"/>
        <v>0</v>
      </c>
      <c r="P69" s="255">
        <v>0</v>
      </c>
      <c r="Q69" s="255">
        <v>0</v>
      </c>
      <c r="R69" s="255">
        <v>0</v>
      </c>
      <c r="S69" s="255">
        <v>0</v>
      </c>
      <c r="T69" s="255">
        <v>0</v>
      </c>
      <c r="U69" s="255">
        <v>0</v>
      </c>
      <c r="V69" s="255">
        <v>0</v>
      </c>
      <c r="W69" s="255">
        <v>0</v>
      </c>
      <c r="X69" s="255">
        <v>0</v>
      </c>
      <c r="Y69" s="255">
        <v>0</v>
      </c>
      <c r="AB69" s="533"/>
    </row>
    <row r="70" spans="1:28" s="520" customFormat="1" ht="15.75" customHeight="1">
      <c r="A70" s="535">
        <f t="shared" si="1"/>
        <v>540</v>
      </c>
      <c r="B70" s="536" t="s">
        <v>122</v>
      </c>
      <c r="C70" s="254">
        <f t="shared" si="25"/>
        <v>1166839842</v>
      </c>
      <c r="D70" s="255">
        <v>724014314</v>
      </c>
      <c r="E70" s="293">
        <v>0.19048625252628398</v>
      </c>
      <c r="F70" s="255">
        <v>442825528</v>
      </c>
      <c r="G70" s="293">
        <v>5.837294027627795E-2</v>
      </c>
      <c r="H70" s="255">
        <v>1153738586</v>
      </c>
      <c r="I70" s="255">
        <v>13101256</v>
      </c>
      <c r="J70" s="255">
        <v>154983581</v>
      </c>
      <c r="K70" s="255">
        <v>25492842</v>
      </c>
      <c r="L70" s="255">
        <v>0</v>
      </c>
      <c r="M70" s="255">
        <v>238015801</v>
      </c>
      <c r="N70" s="255">
        <v>0</v>
      </c>
      <c r="O70" s="254">
        <f t="shared" si="27"/>
        <v>596915725</v>
      </c>
      <c r="P70" s="255">
        <v>19755544</v>
      </c>
      <c r="Q70" s="255">
        <v>577160181</v>
      </c>
      <c r="R70" s="255">
        <v>0</v>
      </c>
      <c r="S70" s="255">
        <v>0</v>
      </c>
      <c r="T70" s="255">
        <v>0</v>
      </c>
      <c r="U70" s="255">
        <v>0</v>
      </c>
      <c r="V70" s="255">
        <v>67483668</v>
      </c>
      <c r="W70" s="255">
        <v>27026827</v>
      </c>
      <c r="X70" s="255">
        <v>0</v>
      </c>
      <c r="Y70" s="255">
        <v>56921398</v>
      </c>
      <c r="AB70" s="533"/>
    </row>
    <row r="71" spans="1:28" s="520" customFormat="1" ht="15.75" customHeight="1">
      <c r="A71" s="535">
        <f t="shared" si="1"/>
        <v>550</v>
      </c>
      <c r="B71" s="536" t="s">
        <v>140</v>
      </c>
      <c r="C71" s="254">
        <f t="shared" si="25"/>
        <v>0</v>
      </c>
      <c r="D71" s="255">
        <v>0</v>
      </c>
      <c r="E71" s="293">
        <v>0</v>
      </c>
      <c r="F71" s="255">
        <v>0</v>
      </c>
      <c r="G71" s="293">
        <v>0</v>
      </c>
      <c r="H71" s="255">
        <v>0</v>
      </c>
      <c r="I71" s="255">
        <v>0</v>
      </c>
      <c r="J71" s="255">
        <v>0</v>
      </c>
      <c r="K71" s="255">
        <v>0</v>
      </c>
      <c r="L71" s="255">
        <v>0</v>
      </c>
      <c r="M71" s="255">
        <v>0</v>
      </c>
      <c r="N71" s="255">
        <v>0</v>
      </c>
      <c r="O71" s="254">
        <f t="shared" si="27"/>
        <v>0</v>
      </c>
      <c r="P71" s="255">
        <v>0</v>
      </c>
      <c r="Q71" s="255">
        <v>0</v>
      </c>
      <c r="R71" s="255">
        <v>0</v>
      </c>
      <c r="S71" s="255">
        <v>0</v>
      </c>
      <c r="T71" s="255">
        <v>0</v>
      </c>
      <c r="U71" s="255">
        <v>0</v>
      </c>
      <c r="V71" s="255">
        <v>0</v>
      </c>
      <c r="W71" s="255">
        <v>0</v>
      </c>
      <c r="X71" s="255">
        <v>0</v>
      </c>
      <c r="Y71" s="255">
        <v>0</v>
      </c>
      <c r="AB71" s="533"/>
    </row>
    <row r="72" spans="1:28" s="520" customFormat="1" ht="15.75" customHeight="1">
      <c r="A72" s="535">
        <f t="shared" si="1"/>
        <v>560</v>
      </c>
      <c r="B72" s="536" t="s">
        <v>141</v>
      </c>
      <c r="C72" s="254">
        <f t="shared" si="25"/>
        <v>0</v>
      </c>
      <c r="D72" s="255">
        <v>0</v>
      </c>
      <c r="E72" s="293">
        <v>0</v>
      </c>
      <c r="F72" s="255">
        <v>0</v>
      </c>
      <c r="G72" s="293">
        <v>0</v>
      </c>
      <c r="H72" s="255">
        <v>0</v>
      </c>
      <c r="I72" s="255">
        <v>0</v>
      </c>
      <c r="J72" s="255">
        <v>0</v>
      </c>
      <c r="K72" s="255">
        <v>0</v>
      </c>
      <c r="L72" s="255">
        <v>0</v>
      </c>
      <c r="M72" s="255">
        <v>0</v>
      </c>
      <c r="N72" s="255">
        <v>0</v>
      </c>
      <c r="O72" s="254">
        <f t="shared" si="27"/>
        <v>0</v>
      </c>
      <c r="P72" s="255">
        <v>0</v>
      </c>
      <c r="Q72" s="255">
        <v>0</v>
      </c>
      <c r="R72" s="255">
        <v>0</v>
      </c>
      <c r="S72" s="255">
        <v>0</v>
      </c>
      <c r="T72" s="255">
        <v>0</v>
      </c>
      <c r="U72" s="255">
        <v>0</v>
      </c>
      <c r="V72" s="255">
        <v>0</v>
      </c>
      <c r="W72" s="255">
        <v>0</v>
      </c>
      <c r="X72" s="255">
        <v>0</v>
      </c>
      <c r="Y72" s="255">
        <v>0</v>
      </c>
      <c r="AB72" s="533"/>
    </row>
    <row r="73" spans="1:28" s="520" customFormat="1" ht="15.75" customHeight="1">
      <c r="A73" s="535">
        <f t="shared" si="1"/>
        <v>570</v>
      </c>
      <c r="B73" s="536" t="s">
        <v>123</v>
      </c>
      <c r="C73" s="254">
        <f t="shared" si="25"/>
        <v>0</v>
      </c>
      <c r="D73" s="255">
        <v>0</v>
      </c>
      <c r="E73" s="294">
        <v>0</v>
      </c>
      <c r="F73" s="255">
        <v>0</v>
      </c>
      <c r="G73" s="294">
        <v>0</v>
      </c>
      <c r="H73" s="255">
        <v>0</v>
      </c>
      <c r="I73" s="255">
        <v>0</v>
      </c>
      <c r="J73" s="255">
        <v>0</v>
      </c>
      <c r="K73" s="255">
        <v>0</v>
      </c>
      <c r="L73" s="255">
        <v>0</v>
      </c>
      <c r="M73" s="255">
        <v>0</v>
      </c>
      <c r="N73" s="255">
        <v>0</v>
      </c>
      <c r="O73" s="254">
        <f t="shared" si="27"/>
        <v>0</v>
      </c>
      <c r="P73" s="255">
        <v>0</v>
      </c>
      <c r="Q73" s="255">
        <v>0</v>
      </c>
      <c r="R73" s="255">
        <v>0</v>
      </c>
      <c r="S73" s="255">
        <v>0</v>
      </c>
      <c r="T73" s="255">
        <v>0</v>
      </c>
      <c r="U73" s="255">
        <v>0</v>
      </c>
      <c r="V73" s="255">
        <v>0</v>
      </c>
      <c r="W73" s="255">
        <v>0</v>
      </c>
      <c r="X73" s="255">
        <v>0</v>
      </c>
      <c r="Y73" s="255">
        <v>0</v>
      </c>
      <c r="AB73" s="533"/>
    </row>
    <row r="74" spans="1:28" s="520" customFormat="1" ht="15.75" customHeight="1">
      <c r="A74" s="535">
        <f t="shared" si="1"/>
        <v>580</v>
      </c>
      <c r="B74" s="536" t="s">
        <v>142</v>
      </c>
      <c r="C74" s="254">
        <f t="shared" si="25"/>
        <v>64423145</v>
      </c>
      <c r="D74" s="255">
        <v>22516363</v>
      </c>
      <c r="E74" s="293">
        <v>0.21251614797905302</v>
      </c>
      <c r="F74" s="255">
        <v>41906782</v>
      </c>
      <c r="G74" s="293">
        <v>7.4999999999999997E-2</v>
      </c>
      <c r="H74" s="255">
        <v>64423145</v>
      </c>
      <c r="I74" s="255">
        <v>0</v>
      </c>
      <c r="J74" s="255">
        <v>0</v>
      </c>
      <c r="K74" s="255">
        <v>0</v>
      </c>
      <c r="L74" s="255">
        <v>0</v>
      </c>
      <c r="M74" s="255">
        <v>0</v>
      </c>
      <c r="N74" s="255">
        <v>0</v>
      </c>
      <c r="O74" s="254">
        <f t="shared" si="27"/>
        <v>22516363</v>
      </c>
      <c r="P74" s="255">
        <v>0</v>
      </c>
      <c r="Q74" s="255">
        <v>22516363</v>
      </c>
      <c r="R74" s="255">
        <v>0</v>
      </c>
      <c r="S74" s="255">
        <v>0</v>
      </c>
      <c r="T74" s="255">
        <v>0</v>
      </c>
      <c r="U74" s="255">
        <v>0</v>
      </c>
      <c r="V74" s="255">
        <v>41906782</v>
      </c>
      <c r="W74" s="255">
        <v>0</v>
      </c>
      <c r="X74" s="255">
        <v>0</v>
      </c>
      <c r="Y74" s="255">
        <v>0</v>
      </c>
      <c r="AB74" s="533"/>
    </row>
    <row r="75" spans="1:28" s="520" customFormat="1" ht="15.75" customHeight="1">
      <c r="A75" s="535">
        <f t="shared" ref="A75:A92" si="28">A74+10</f>
        <v>590</v>
      </c>
      <c r="B75" s="536" t="s">
        <v>143</v>
      </c>
      <c r="C75" s="254">
        <f t="shared" si="25"/>
        <v>11138459</v>
      </c>
      <c r="D75" s="255">
        <v>4691500</v>
      </c>
      <c r="E75" s="293">
        <v>0.11540694149223359</v>
      </c>
      <c r="F75" s="255">
        <v>6446959</v>
      </c>
      <c r="G75" s="293">
        <v>7.9899999999999999E-2</v>
      </c>
      <c r="H75" s="255">
        <v>11138459</v>
      </c>
      <c r="I75" s="255">
        <v>0</v>
      </c>
      <c r="J75" s="255">
        <v>0</v>
      </c>
      <c r="K75" s="255">
        <v>0</v>
      </c>
      <c r="L75" s="255">
        <v>0</v>
      </c>
      <c r="M75" s="255">
        <v>1233333</v>
      </c>
      <c r="N75" s="255">
        <v>0</v>
      </c>
      <c r="O75" s="254">
        <f t="shared" si="27"/>
        <v>9138459</v>
      </c>
      <c r="P75" s="255">
        <v>0</v>
      </c>
      <c r="Q75" s="255">
        <v>9138459</v>
      </c>
      <c r="R75" s="255">
        <v>0</v>
      </c>
      <c r="S75" s="255">
        <v>0</v>
      </c>
      <c r="T75" s="255">
        <v>0</v>
      </c>
      <c r="U75" s="255">
        <v>0</v>
      </c>
      <c r="V75" s="255">
        <v>766667</v>
      </c>
      <c r="W75" s="255">
        <v>0</v>
      </c>
      <c r="X75" s="255">
        <v>0</v>
      </c>
      <c r="Y75" s="255">
        <v>0</v>
      </c>
      <c r="AB75" s="533"/>
    </row>
    <row r="76" spans="1:28" s="520" customFormat="1" ht="15.75" customHeight="1">
      <c r="A76" s="535">
        <f t="shared" si="28"/>
        <v>600</v>
      </c>
      <c r="B76" s="536" t="s">
        <v>144</v>
      </c>
      <c r="C76" s="254">
        <f t="shared" si="25"/>
        <v>0</v>
      </c>
      <c r="D76" s="255">
        <v>0</v>
      </c>
      <c r="E76" s="294">
        <v>0</v>
      </c>
      <c r="F76" s="255">
        <v>0</v>
      </c>
      <c r="G76" s="294">
        <v>0</v>
      </c>
      <c r="H76" s="255">
        <v>0</v>
      </c>
      <c r="I76" s="255">
        <v>0</v>
      </c>
      <c r="J76" s="255">
        <v>0</v>
      </c>
      <c r="K76" s="255">
        <v>0</v>
      </c>
      <c r="L76" s="255">
        <v>0</v>
      </c>
      <c r="M76" s="255">
        <v>0</v>
      </c>
      <c r="N76" s="255">
        <v>0</v>
      </c>
      <c r="O76" s="254">
        <f t="shared" si="27"/>
        <v>0</v>
      </c>
      <c r="P76" s="255">
        <v>0</v>
      </c>
      <c r="Q76" s="255">
        <v>0</v>
      </c>
      <c r="R76" s="255">
        <v>0</v>
      </c>
      <c r="S76" s="255">
        <v>0</v>
      </c>
      <c r="T76" s="255">
        <v>0</v>
      </c>
      <c r="U76" s="255">
        <v>0</v>
      </c>
      <c r="V76" s="255">
        <v>0</v>
      </c>
      <c r="W76" s="255">
        <v>0</v>
      </c>
      <c r="X76" s="255">
        <v>0</v>
      </c>
      <c r="Y76" s="255">
        <v>0</v>
      </c>
      <c r="AB76" s="533"/>
    </row>
    <row r="77" spans="1:28" s="520" customFormat="1" ht="15.75" customHeight="1">
      <c r="A77" s="535">
        <f>A76+10</f>
        <v>610</v>
      </c>
      <c r="B77" s="536" t="s">
        <v>124</v>
      </c>
      <c r="C77" s="254">
        <f t="shared" si="25"/>
        <v>31539027</v>
      </c>
      <c r="D77" s="255">
        <v>31539027</v>
      </c>
      <c r="E77" s="293">
        <v>0.49813965992019915</v>
      </c>
      <c r="F77" s="255">
        <v>0</v>
      </c>
      <c r="G77" s="293">
        <v>0</v>
      </c>
      <c r="H77" s="255">
        <v>31539027</v>
      </c>
      <c r="I77" s="255">
        <v>0</v>
      </c>
      <c r="J77" s="255">
        <v>0</v>
      </c>
      <c r="K77" s="255">
        <v>0</v>
      </c>
      <c r="L77" s="255">
        <v>0</v>
      </c>
      <c r="M77" s="255">
        <v>27001931</v>
      </c>
      <c r="N77" s="255">
        <v>0</v>
      </c>
      <c r="O77" s="254">
        <f t="shared" si="27"/>
        <v>4511642</v>
      </c>
      <c r="P77" s="255">
        <v>66989</v>
      </c>
      <c r="Q77" s="255">
        <v>4444653</v>
      </c>
      <c r="R77" s="255">
        <v>0</v>
      </c>
      <c r="S77" s="255">
        <v>0</v>
      </c>
      <c r="T77" s="255">
        <v>0</v>
      </c>
      <c r="U77" s="255">
        <v>0</v>
      </c>
      <c r="V77" s="255">
        <v>25454</v>
      </c>
      <c r="W77" s="255">
        <v>0</v>
      </c>
      <c r="X77" s="255">
        <v>0</v>
      </c>
      <c r="Y77" s="255">
        <v>0</v>
      </c>
      <c r="AB77" s="533"/>
    </row>
    <row r="78" spans="1:28" s="520" customFormat="1" ht="15.75" customHeight="1">
      <c r="A78" s="521">
        <f>A77+10</f>
        <v>620</v>
      </c>
      <c r="B78" s="539" t="s">
        <v>145</v>
      </c>
      <c r="C78" s="256">
        <f t="shared" si="25"/>
        <v>2611126069</v>
      </c>
      <c r="D78" s="256">
        <f>SUM(D67:D77)</f>
        <v>2119946800</v>
      </c>
      <c r="E78" s="296">
        <f>IFERROR(((D67*E67)/D78)+((D68*E68)/D78)+((D69*E69)/D78)+((D70*E70)/D78)+((D71*E71)/D78)+((D72*E72)/D78)+((D73*E73)/D78)+((D74*E74)/D78)+((D75*E75)/D78)+((D76*E76)/D78)+((D77*E77)/D78),0)</f>
        <v>0.21621376700865258</v>
      </c>
      <c r="F78" s="256">
        <f>SUM(F67:F77)</f>
        <v>491179269</v>
      </c>
      <c r="G78" s="296">
        <f>IFERROR(((F67*G67)/F78)+((F68*G68)/F78)+((F69*G69)/F78)+((F70*G70)/F78)+((F71*G71)/F78)+((F72*G72)/F78)+((F73*G73)/F78)+((F74*G74)/F78)+((F75*G75)/F78)+((F76*G76)/F78)+((F77*G77)/F78),0)</f>
        <v>6.0074092363322548E-2</v>
      </c>
      <c r="H78" s="256">
        <f t="shared" ref="H78:Y78" si="29">SUM(H67:H77)</f>
        <v>2584494641</v>
      </c>
      <c r="I78" s="256">
        <f t="shared" si="29"/>
        <v>26631428</v>
      </c>
      <c r="J78" s="256">
        <f t="shared" si="29"/>
        <v>399750056</v>
      </c>
      <c r="K78" s="256">
        <f t="shared" si="29"/>
        <v>32055809</v>
      </c>
      <c r="L78" s="256">
        <f t="shared" si="29"/>
        <v>0</v>
      </c>
      <c r="M78" s="256">
        <f t="shared" si="29"/>
        <v>395061805</v>
      </c>
      <c r="N78" s="256">
        <f t="shared" si="29"/>
        <v>0</v>
      </c>
      <c r="O78" s="256">
        <f t="shared" si="29"/>
        <v>1028631043</v>
      </c>
      <c r="P78" s="256">
        <f t="shared" si="29"/>
        <v>392382150</v>
      </c>
      <c r="Q78" s="256">
        <f t="shared" si="29"/>
        <v>636248893</v>
      </c>
      <c r="R78" s="256">
        <f t="shared" si="29"/>
        <v>0</v>
      </c>
      <c r="S78" s="256">
        <f t="shared" si="29"/>
        <v>0</v>
      </c>
      <c r="T78" s="256">
        <f t="shared" si="29"/>
        <v>0</v>
      </c>
      <c r="U78" s="256">
        <f t="shared" si="29"/>
        <v>0</v>
      </c>
      <c r="V78" s="256">
        <f t="shared" si="29"/>
        <v>639382159</v>
      </c>
      <c r="W78" s="256">
        <f t="shared" si="29"/>
        <v>56155635</v>
      </c>
      <c r="X78" s="256">
        <f t="shared" si="29"/>
        <v>0</v>
      </c>
      <c r="Y78" s="256">
        <f t="shared" si="29"/>
        <v>60089562</v>
      </c>
      <c r="AB78" s="533"/>
    </row>
    <row r="79" spans="1:28" s="520" customFormat="1" ht="15.75" customHeight="1">
      <c r="A79" s="521"/>
      <c r="B79" s="539" t="s">
        <v>146</v>
      </c>
      <c r="C79" s="256"/>
      <c r="D79" s="256"/>
      <c r="E79" s="296"/>
      <c r="F79" s="256"/>
      <c r="G79" s="29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AB79" s="533"/>
    </row>
    <row r="80" spans="1:28" s="520" customFormat="1" ht="15.75" customHeight="1">
      <c r="A80" s="532">
        <f>A78+10</f>
        <v>630</v>
      </c>
      <c r="B80" s="254" t="s">
        <v>119</v>
      </c>
      <c r="C80" s="254">
        <f t="shared" ref="C80:C92" si="30">SUM(J80:Y80)-L80-P80-Q80</f>
        <v>1328984229</v>
      </c>
      <c r="D80" s="254">
        <f>D9+D17+D26+D34+D42+D50+D58+D67</f>
        <v>1328984229</v>
      </c>
      <c r="E80" s="297">
        <f>IFERROR(((D9*E9)/D80)+((D17*E17)/D80)+((D26*E26)/D80)+((D34*E34)/D80)+((D42*E42)/D80)+((D50*E50)/D80)+((D58*E58)/D80)+((D67*E67)/D80),0)</f>
        <v>0.2243540935750894</v>
      </c>
      <c r="F80" s="254">
        <f>F9+F17+F26+F34+F42+F50+F58+F67</f>
        <v>0</v>
      </c>
      <c r="G80" s="297">
        <f>IFERROR(((F9*G9)/F80)+((F17*G17)/F80)+((F26*G26)/F80)+((F34*G34)/F80)+((F42*G42)/F80)+((F50*G50)/F80)+((F58*G58)/F80)+((F67*G67)/F80),0)</f>
        <v>0</v>
      </c>
      <c r="H80" s="254">
        <f t="shared" ref="H80:Y83" si="31">H9+H17+H26+H34+H42+H50+H58+H67</f>
        <v>1315454057</v>
      </c>
      <c r="I80" s="254">
        <f t="shared" si="31"/>
        <v>13530172</v>
      </c>
      <c r="J80" s="254">
        <f t="shared" si="31"/>
        <v>244766475</v>
      </c>
      <c r="K80" s="254">
        <f t="shared" si="31"/>
        <v>0</v>
      </c>
      <c r="L80" s="254">
        <f t="shared" si="31"/>
        <v>0</v>
      </c>
      <c r="M80" s="254">
        <f t="shared" si="31"/>
        <v>127172340</v>
      </c>
      <c r="N80" s="254">
        <f t="shared" si="31"/>
        <v>0</v>
      </c>
      <c r="O80" s="254">
        <f t="shared" si="31"/>
        <v>395548854</v>
      </c>
      <c r="P80" s="254">
        <f t="shared" si="31"/>
        <v>372559617</v>
      </c>
      <c r="Q80" s="254">
        <f t="shared" si="31"/>
        <v>22989237</v>
      </c>
      <c r="R80" s="254">
        <f t="shared" si="31"/>
        <v>0</v>
      </c>
      <c r="S80" s="254">
        <f t="shared" si="31"/>
        <v>0</v>
      </c>
      <c r="T80" s="254">
        <f t="shared" si="31"/>
        <v>0</v>
      </c>
      <c r="U80" s="254">
        <f t="shared" si="31"/>
        <v>0</v>
      </c>
      <c r="V80" s="254">
        <f t="shared" si="31"/>
        <v>529199588</v>
      </c>
      <c r="W80" s="254">
        <f t="shared" si="31"/>
        <v>29128808</v>
      </c>
      <c r="X80" s="254">
        <f t="shared" si="31"/>
        <v>0</v>
      </c>
      <c r="Y80" s="254">
        <f t="shared" si="31"/>
        <v>3168164</v>
      </c>
      <c r="AB80" s="533"/>
    </row>
    <row r="81" spans="1:28" s="520" customFormat="1" ht="15.75" customHeight="1">
      <c r="A81" s="532">
        <f t="shared" si="28"/>
        <v>640</v>
      </c>
      <c r="B81" s="254" t="s">
        <v>120</v>
      </c>
      <c r="C81" s="254">
        <f t="shared" si="30"/>
        <v>1012848254</v>
      </c>
      <c r="D81" s="254">
        <f>D10+D18+D27+D35+D43+D51+D59+D68</f>
        <v>657652618</v>
      </c>
      <c r="E81" s="297">
        <f>IFERROR(((D10*E10)/D81)+((D18*E18)/D81)+((D27*E27)/D81)+((D35*E35)/D81)+((D43*E43)/D81)+((D51*E51)/D81)+((D59*E59)/D81)+((D68*E68)/D81),0)</f>
        <v>0.15603802621056947</v>
      </c>
      <c r="F81" s="254">
        <f>F10+F18+F27+F35+F43+F51+F59+F68</f>
        <v>355195636</v>
      </c>
      <c r="G81" s="297">
        <f>IFERROR(((F10*G10)/F81)+((F18*G18)/F81)+((F27*G27)/F81)+((F35*G35)/F81)+((F43*G43)/F81)+((F51*G51)/F81)+((F59*G59)/F81)+((F68*G68)/F81),0)</f>
        <v>6.2196117669101561E-2</v>
      </c>
      <c r="H81" s="254">
        <f t="shared" si="31"/>
        <v>1012848254</v>
      </c>
      <c r="I81" s="254">
        <f t="shared" si="31"/>
        <v>0</v>
      </c>
      <c r="J81" s="254">
        <f t="shared" si="31"/>
        <v>216263967</v>
      </c>
      <c r="K81" s="254">
        <f t="shared" si="31"/>
        <v>6562967</v>
      </c>
      <c r="L81" s="254">
        <f t="shared" si="31"/>
        <v>0</v>
      </c>
      <c r="M81" s="254">
        <f t="shared" si="31"/>
        <v>22830044</v>
      </c>
      <c r="N81" s="254">
        <f t="shared" si="31"/>
        <v>0</v>
      </c>
      <c r="O81" s="254">
        <f t="shared" si="31"/>
        <v>193034370</v>
      </c>
      <c r="P81" s="254">
        <f t="shared" si="31"/>
        <v>717453</v>
      </c>
      <c r="Q81" s="254">
        <f t="shared" si="31"/>
        <v>192316917</v>
      </c>
      <c r="R81" s="254">
        <f t="shared" si="31"/>
        <v>0</v>
      </c>
      <c r="S81" s="254">
        <f t="shared" si="31"/>
        <v>0</v>
      </c>
      <c r="T81" s="254">
        <f t="shared" si="31"/>
        <v>0</v>
      </c>
      <c r="U81" s="254">
        <f t="shared" si="31"/>
        <v>0</v>
      </c>
      <c r="V81" s="254">
        <f t="shared" si="31"/>
        <v>249027106</v>
      </c>
      <c r="W81" s="254">
        <f t="shared" si="31"/>
        <v>325129800</v>
      </c>
      <c r="X81" s="254">
        <f t="shared" si="31"/>
        <v>0</v>
      </c>
      <c r="Y81" s="254">
        <f t="shared" si="31"/>
        <v>0</v>
      </c>
      <c r="AB81" s="533"/>
    </row>
    <row r="82" spans="1:28" s="520" customFormat="1" ht="15.75" customHeight="1">
      <c r="A82" s="535">
        <f t="shared" si="28"/>
        <v>650</v>
      </c>
      <c r="B82" s="536" t="s">
        <v>121</v>
      </c>
      <c r="C82" s="254">
        <f t="shared" si="30"/>
        <v>286422166</v>
      </c>
      <c r="D82" s="254">
        <f>D11+D19+D28+D36+D44+D52+D60+D69</f>
        <v>90523642</v>
      </c>
      <c r="E82" s="297">
        <f>IFERROR(((D11*E11)/D82)+((D19*E19)/D82)+((D28*E28)/D82)+((D36*E36)/D82)+((D44*E44)/D82)+((D52*E52)/D82)+((D60*E60)/D82)+((D69*E69)/D82),0)</f>
        <v>0.16983955984908955</v>
      </c>
      <c r="F82" s="254">
        <f>F11+F19+F28+F36+F44+F52+F60+F69</f>
        <v>195898524</v>
      </c>
      <c r="G82" s="297">
        <f>IFERROR(((F11*G11)/F82)+((F19*G19)/F82)+((F28*G28)/F82)+((F36*G36)/F82)+((F44*G44)/F82)+((F52*G52)/F82)+((F60*G60)/F82)+((F69*G69)/F82),0)</f>
        <v>8.7450822299398295E-2</v>
      </c>
      <c r="H82" s="254">
        <f t="shared" si="31"/>
        <v>284793783</v>
      </c>
      <c r="I82" s="254">
        <f t="shared" si="31"/>
        <v>1628383</v>
      </c>
      <c r="J82" s="254">
        <f t="shared" si="31"/>
        <v>0</v>
      </c>
      <c r="K82" s="254">
        <f t="shared" si="31"/>
        <v>1617795</v>
      </c>
      <c r="L82" s="254">
        <f t="shared" si="31"/>
        <v>0</v>
      </c>
      <c r="M82" s="254">
        <f t="shared" si="31"/>
        <v>121677033</v>
      </c>
      <c r="N82" s="254">
        <f t="shared" si="31"/>
        <v>0</v>
      </c>
      <c r="O82" s="254">
        <f t="shared" si="31"/>
        <v>163127338</v>
      </c>
      <c r="P82" s="254">
        <f t="shared" si="31"/>
        <v>29848430</v>
      </c>
      <c r="Q82" s="254">
        <f t="shared" si="31"/>
        <v>133278908</v>
      </c>
      <c r="R82" s="254">
        <f t="shared" si="31"/>
        <v>0</v>
      </c>
      <c r="S82" s="254">
        <f t="shared" si="31"/>
        <v>0</v>
      </c>
      <c r="T82" s="254">
        <f t="shared" si="31"/>
        <v>0</v>
      </c>
      <c r="U82" s="254">
        <f t="shared" si="31"/>
        <v>0</v>
      </c>
      <c r="V82" s="254">
        <f t="shared" si="31"/>
        <v>0</v>
      </c>
      <c r="W82" s="254">
        <f t="shared" si="31"/>
        <v>0</v>
      </c>
      <c r="X82" s="254">
        <f t="shared" si="31"/>
        <v>0</v>
      </c>
      <c r="Y82" s="254">
        <f t="shared" si="31"/>
        <v>0</v>
      </c>
      <c r="AB82" s="533"/>
    </row>
    <row r="83" spans="1:28" s="520" customFormat="1" ht="15.75" customHeight="1">
      <c r="A83" s="535">
        <f t="shared" si="28"/>
        <v>660</v>
      </c>
      <c r="B83" s="536" t="s">
        <v>122</v>
      </c>
      <c r="C83" s="254">
        <f t="shared" si="30"/>
        <v>4899373487</v>
      </c>
      <c r="D83" s="254">
        <f>D12+D20+D29+D37+D45+D53+D61+D70</f>
        <v>2585896316</v>
      </c>
      <c r="E83" s="297">
        <f>IFERROR(((D12*E12)/D83)+((D20*E20)/D83)+((D29*E29)/D83)+((D37*E37)/D83)+((D45*E45)/D83)+((D53*E53)/D83)+((D61*E61)/D83)+((D70*E70)/D83),0)</f>
        <v>0.19593468176092713</v>
      </c>
      <c r="F83" s="254">
        <f>F12+F20+F29+F37+F45+F53+F61+F70</f>
        <v>2313477171</v>
      </c>
      <c r="G83" s="297">
        <f>IFERROR(((F12*G12)/F83)+((F20*G20)/F83)+((F29*G29)/F83)+((F37*G37)/F83)+((F45*G45)/F83)+((F53*G53)/F83)+((F61*G61)/F83)+((F70*G70)/F83),0)</f>
        <v>7.3706888312918828E-2</v>
      </c>
      <c r="H83" s="254">
        <f t="shared" si="31"/>
        <v>4737195953</v>
      </c>
      <c r="I83" s="254">
        <f t="shared" si="31"/>
        <v>162177534</v>
      </c>
      <c r="J83" s="254">
        <f t="shared" si="31"/>
        <v>162423182</v>
      </c>
      <c r="K83" s="254">
        <f t="shared" si="31"/>
        <v>97367855</v>
      </c>
      <c r="L83" s="254">
        <f t="shared" si="31"/>
        <v>0</v>
      </c>
      <c r="M83" s="254">
        <f t="shared" si="31"/>
        <v>1359888779</v>
      </c>
      <c r="N83" s="254">
        <f t="shared" si="31"/>
        <v>0</v>
      </c>
      <c r="O83" s="254">
        <f t="shared" si="31"/>
        <v>2964744673</v>
      </c>
      <c r="P83" s="254">
        <f t="shared" si="31"/>
        <v>437193184</v>
      </c>
      <c r="Q83" s="254">
        <f t="shared" si="31"/>
        <v>2527551489</v>
      </c>
      <c r="R83" s="254">
        <f t="shared" si="31"/>
        <v>0</v>
      </c>
      <c r="S83" s="254">
        <f t="shared" si="31"/>
        <v>0</v>
      </c>
      <c r="T83" s="254">
        <f t="shared" si="31"/>
        <v>0</v>
      </c>
      <c r="U83" s="254">
        <f t="shared" si="31"/>
        <v>0</v>
      </c>
      <c r="V83" s="254">
        <f t="shared" si="31"/>
        <v>145518752</v>
      </c>
      <c r="W83" s="254">
        <f t="shared" si="31"/>
        <v>34392901</v>
      </c>
      <c r="X83" s="254">
        <f t="shared" si="31"/>
        <v>0</v>
      </c>
      <c r="Y83" s="254">
        <f t="shared" si="31"/>
        <v>135037345</v>
      </c>
      <c r="AB83" s="533"/>
    </row>
    <row r="84" spans="1:28" s="520" customFormat="1" ht="15.75" customHeight="1">
      <c r="A84" s="535">
        <f t="shared" si="28"/>
        <v>670</v>
      </c>
      <c r="B84" s="536" t="s">
        <v>127</v>
      </c>
      <c r="C84" s="254">
        <f t="shared" si="30"/>
        <v>31561978</v>
      </c>
      <c r="D84" s="254">
        <f t="shared" ref="D84:F84" si="32">D21</f>
        <v>8275439</v>
      </c>
      <c r="E84" s="297">
        <f>IFERROR(E21,0)</f>
        <v>0.38188963461906222</v>
      </c>
      <c r="F84" s="254">
        <f t="shared" si="32"/>
        <v>23286539</v>
      </c>
      <c r="G84" s="297">
        <f>IFERROR(G21,0)</f>
        <v>0.11917624719271394</v>
      </c>
      <c r="H84" s="254">
        <f>H21</f>
        <v>31068728</v>
      </c>
      <c r="I84" s="254">
        <f>I21</f>
        <v>493250</v>
      </c>
      <c r="J84" s="254">
        <f>J21</f>
        <v>0</v>
      </c>
      <c r="K84" s="254">
        <f t="shared" ref="K84:X84" si="33">K21</f>
        <v>493250</v>
      </c>
      <c r="L84" s="254">
        <f>L21</f>
        <v>0</v>
      </c>
      <c r="M84" s="254">
        <f t="shared" si="33"/>
        <v>2609468</v>
      </c>
      <c r="N84" s="254">
        <f t="shared" si="33"/>
        <v>0</v>
      </c>
      <c r="O84" s="254">
        <f t="shared" si="33"/>
        <v>28459260</v>
      </c>
      <c r="P84" s="254">
        <f t="shared" si="33"/>
        <v>533333</v>
      </c>
      <c r="Q84" s="254">
        <f t="shared" si="33"/>
        <v>27925927</v>
      </c>
      <c r="R84" s="254">
        <f t="shared" si="33"/>
        <v>0</v>
      </c>
      <c r="S84" s="254">
        <f t="shared" si="33"/>
        <v>0</v>
      </c>
      <c r="T84" s="254">
        <f t="shared" si="33"/>
        <v>0</v>
      </c>
      <c r="U84" s="254">
        <f t="shared" si="33"/>
        <v>0</v>
      </c>
      <c r="V84" s="254">
        <f t="shared" si="33"/>
        <v>0</v>
      </c>
      <c r="W84" s="254">
        <f t="shared" si="33"/>
        <v>0</v>
      </c>
      <c r="X84" s="254">
        <f t="shared" si="33"/>
        <v>0</v>
      </c>
      <c r="Y84" s="254">
        <f>Y21</f>
        <v>0</v>
      </c>
      <c r="AB84" s="533"/>
    </row>
    <row r="85" spans="1:28" s="520" customFormat="1" ht="15.75" customHeight="1">
      <c r="A85" s="535">
        <f t="shared" si="28"/>
        <v>680</v>
      </c>
      <c r="B85" s="536" t="s">
        <v>141</v>
      </c>
      <c r="C85" s="254">
        <f t="shared" si="30"/>
        <v>0</v>
      </c>
      <c r="D85" s="254">
        <f t="shared" ref="D85:G85" si="34">D72</f>
        <v>0</v>
      </c>
      <c r="E85" s="297">
        <f t="shared" si="34"/>
        <v>0</v>
      </c>
      <c r="F85" s="254">
        <f t="shared" si="34"/>
        <v>0</v>
      </c>
      <c r="G85" s="297">
        <f t="shared" si="34"/>
        <v>0</v>
      </c>
      <c r="H85" s="254">
        <f>H72</f>
        <v>0</v>
      </c>
      <c r="I85" s="254">
        <f>I72</f>
        <v>0</v>
      </c>
      <c r="J85" s="254">
        <f>J72</f>
        <v>0</v>
      </c>
      <c r="K85" s="254">
        <f t="shared" ref="K85:X85" si="35">K72</f>
        <v>0</v>
      </c>
      <c r="L85" s="254">
        <f>L72</f>
        <v>0</v>
      </c>
      <c r="M85" s="254">
        <f t="shared" si="35"/>
        <v>0</v>
      </c>
      <c r="N85" s="254">
        <f t="shared" si="35"/>
        <v>0</v>
      </c>
      <c r="O85" s="254">
        <f t="shared" si="35"/>
        <v>0</v>
      </c>
      <c r="P85" s="254">
        <f t="shared" si="35"/>
        <v>0</v>
      </c>
      <c r="Q85" s="254">
        <f t="shared" si="35"/>
        <v>0</v>
      </c>
      <c r="R85" s="254">
        <f t="shared" si="35"/>
        <v>0</v>
      </c>
      <c r="S85" s="254">
        <f t="shared" si="35"/>
        <v>0</v>
      </c>
      <c r="T85" s="254">
        <f t="shared" si="35"/>
        <v>0</v>
      </c>
      <c r="U85" s="254">
        <f t="shared" si="35"/>
        <v>0</v>
      </c>
      <c r="V85" s="254">
        <f t="shared" si="35"/>
        <v>0</v>
      </c>
      <c r="W85" s="254">
        <f t="shared" si="35"/>
        <v>0</v>
      </c>
      <c r="X85" s="254">
        <f t="shared" si="35"/>
        <v>0</v>
      </c>
      <c r="Y85" s="254">
        <f>Y72</f>
        <v>0</v>
      </c>
      <c r="AB85" s="533"/>
    </row>
    <row r="86" spans="1:28" s="520" customFormat="1" ht="15.75" customHeight="1">
      <c r="A86" s="535">
        <f t="shared" si="28"/>
        <v>690</v>
      </c>
      <c r="B86" s="536" t="s">
        <v>140</v>
      </c>
      <c r="C86" s="254">
        <f t="shared" si="30"/>
        <v>0</v>
      </c>
      <c r="D86" s="254">
        <f t="shared" ref="D86:G86" si="36">D71</f>
        <v>0</v>
      </c>
      <c r="E86" s="297">
        <f t="shared" si="36"/>
        <v>0</v>
      </c>
      <c r="F86" s="254">
        <f t="shared" si="36"/>
        <v>0</v>
      </c>
      <c r="G86" s="297">
        <f t="shared" si="36"/>
        <v>0</v>
      </c>
      <c r="H86" s="254">
        <f>H71</f>
        <v>0</v>
      </c>
      <c r="I86" s="254">
        <f>I71</f>
        <v>0</v>
      </c>
      <c r="J86" s="254">
        <f>J71</f>
        <v>0</v>
      </c>
      <c r="K86" s="254">
        <f t="shared" ref="K86:Y86" si="37">K71</f>
        <v>0</v>
      </c>
      <c r="L86" s="254">
        <f>L71</f>
        <v>0</v>
      </c>
      <c r="M86" s="254">
        <f t="shared" si="37"/>
        <v>0</v>
      </c>
      <c r="N86" s="254">
        <f t="shared" si="37"/>
        <v>0</v>
      </c>
      <c r="O86" s="254">
        <f t="shared" si="37"/>
        <v>0</v>
      </c>
      <c r="P86" s="254">
        <f t="shared" si="37"/>
        <v>0</v>
      </c>
      <c r="Q86" s="254">
        <f t="shared" si="37"/>
        <v>0</v>
      </c>
      <c r="R86" s="254">
        <f t="shared" si="37"/>
        <v>0</v>
      </c>
      <c r="S86" s="254">
        <f t="shared" si="37"/>
        <v>0</v>
      </c>
      <c r="T86" s="254">
        <f t="shared" si="37"/>
        <v>0</v>
      </c>
      <c r="U86" s="254">
        <f t="shared" si="37"/>
        <v>0</v>
      </c>
      <c r="V86" s="254">
        <f t="shared" si="37"/>
        <v>0</v>
      </c>
      <c r="W86" s="254">
        <f t="shared" si="37"/>
        <v>0</v>
      </c>
      <c r="X86" s="254">
        <f t="shared" si="37"/>
        <v>0</v>
      </c>
      <c r="Y86" s="254">
        <f t="shared" si="37"/>
        <v>0</v>
      </c>
      <c r="AB86" s="533"/>
    </row>
    <row r="87" spans="1:28" s="520" customFormat="1" ht="15.75" customHeight="1">
      <c r="A87" s="535">
        <f t="shared" si="28"/>
        <v>700</v>
      </c>
      <c r="B87" s="536" t="s">
        <v>123</v>
      </c>
      <c r="C87" s="254">
        <f t="shared" si="30"/>
        <v>660127</v>
      </c>
      <c r="D87" s="254">
        <f>D13+D22+D30+D38+D46+D54+D62+D73</f>
        <v>660127</v>
      </c>
      <c r="E87" s="297">
        <f>IFERROR(((D13*E13)/D87)+((D22*E22)/D87)+((D30*E30)/D87)+((D38*E38)/D87)+((D46*E46)/D87)+((D54*E54)/D87)+((D62*E62)/D87)+((D73*E73)/D87),0)</f>
        <v>0.24627682249021779</v>
      </c>
      <c r="F87" s="254">
        <f>F13+F22+F30+F38+F46+F54+F62+F73</f>
        <v>0</v>
      </c>
      <c r="G87" s="297">
        <f>IFERROR(((F13*G13)/F87)+((F22*G22)/F87)+((F30*G30)/F87)+((F38*G38)/F87)+((F46*G46)/F87)+((F54*G54)/F87)+((F62*G62)/F87)+((F73*G73)/F87),0)</f>
        <v>0</v>
      </c>
      <c r="H87" s="254">
        <f>H13+H22+H30+H38+H46+H54+H62+H73</f>
        <v>660127</v>
      </c>
      <c r="I87" s="254">
        <f t="shared" ref="I87:Y87" si="38">I13+I22+I30+I38+I46+I54+I62+I73</f>
        <v>0</v>
      </c>
      <c r="J87" s="254">
        <f t="shared" si="38"/>
        <v>0</v>
      </c>
      <c r="K87" s="254">
        <f t="shared" si="38"/>
        <v>0</v>
      </c>
      <c r="L87" s="254">
        <f t="shared" si="38"/>
        <v>0</v>
      </c>
      <c r="M87" s="254">
        <f t="shared" si="38"/>
        <v>245777</v>
      </c>
      <c r="N87" s="254">
        <f t="shared" si="38"/>
        <v>0</v>
      </c>
      <c r="O87" s="254">
        <f t="shared" si="38"/>
        <v>414350</v>
      </c>
      <c r="P87" s="254">
        <f t="shared" si="38"/>
        <v>0</v>
      </c>
      <c r="Q87" s="254">
        <f t="shared" si="38"/>
        <v>414350</v>
      </c>
      <c r="R87" s="254">
        <f t="shared" si="38"/>
        <v>0</v>
      </c>
      <c r="S87" s="254">
        <f t="shared" si="38"/>
        <v>0</v>
      </c>
      <c r="T87" s="254">
        <f t="shared" si="38"/>
        <v>0</v>
      </c>
      <c r="U87" s="254">
        <f t="shared" si="38"/>
        <v>0</v>
      </c>
      <c r="V87" s="254">
        <f t="shared" si="38"/>
        <v>0</v>
      </c>
      <c r="W87" s="254">
        <f t="shared" si="38"/>
        <v>0</v>
      </c>
      <c r="X87" s="254">
        <f t="shared" si="38"/>
        <v>0</v>
      </c>
      <c r="Y87" s="254">
        <f t="shared" si="38"/>
        <v>0</v>
      </c>
      <c r="AB87" s="533"/>
    </row>
    <row r="88" spans="1:28" s="520" customFormat="1" ht="15.75" customHeight="1">
      <c r="A88" s="535">
        <f t="shared" si="28"/>
        <v>710</v>
      </c>
      <c r="B88" s="536" t="s">
        <v>142</v>
      </c>
      <c r="C88" s="254">
        <f t="shared" si="30"/>
        <v>64423145</v>
      </c>
      <c r="D88" s="254">
        <f t="shared" ref="D88:I90" si="39">D74</f>
        <v>22516363</v>
      </c>
      <c r="E88" s="297">
        <f t="shared" si="39"/>
        <v>0.21251614797905302</v>
      </c>
      <c r="F88" s="254">
        <f t="shared" si="39"/>
        <v>41906782</v>
      </c>
      <c r="G88" s="297">
        <f t="shared" si="39"/>
        <v>7.4999999999999997E-2</v>
      </c>
      <c r="H88" s="254">
        <f t="shared" si="39"/>
        <v>64423145</v>
      </c>
      <c r="I88" s="254">
        <f t="shared" si="39"/>
        <v>0</v>
      </c>
      <c r="J88" s="254">
        <f>J74</f>
        <v>0</v>
      </c>
      <c r="K88" s="254">
        <f t="shared" ref="K88:Y90" si="40">K74</f>
        <v>0</v>
      </c>
      <c r="L88" s="254">
        <f>L74</f>
        <v>0</v>
      </c>
      <c r="M88" s="254">
        <f t="shared" si="40"/>
        <v>0</v>
      </c>
      <c r="N88" s="254">
        <f t="shared" si="40"/>
        <v>0</v>
      </c>
      <c r="O88" s="254">
        <f t="shared" si="40"/>
        <v>22516363</v>
      </c>
      <c r="P88" s="254">
        <f t="shared" si="40"/>
        <v>0</v>
      </c>
      <c r="Q88" s="254">
        <f t="shared" si="40"/>
        <v>22516363</v>
      </c>
      <c r="R88" s="254">
        <f t="shared" si="40"/>
        <v>0</v>
      </c>
      <c r="S88" s="254">
        <f t="shared" si="40"/>
        <v>0</v>
      </c>
      <c r="T88" s="254">
        <f t="shared" si="40"/>
        <v>0</v>
      </c>
      <c r="U88" s="254">
        <f t="shared" si="40"/>
        <v>0</v>
      </c>
      <c r="V88" s="254">
        <f t="shared" si="40"/>
        <v>41906782</v>
      </c>
      <c r="W88" s="254">
        <f t="shared" si="40"/>
        <v>0</v>
      </c>
      <c r="X88" s="254">
        <f t="shared" si="40"/>
        <v>0</v>
      </c>
      <c r="Y88" s="254">
        <f t="shared" si="40"/>
        <v>0</v>
      </c>
      <c r="AB88" s="533"/>
    </row>
    <row r="89" spans="1:28" s="520" customFormat="1" ht="15.75" customHeight="1">
      <c r="A89" s="535">
        <f t="shared" si="28"/>
        <v>720</v>
      </c>
      <c r="B89" s="536" t="s">
        <v>143</v>
      </c>
      <c r="C89" s="254">
        <f>SUM(J89:Y89)-L89-P89-Q89</f>
        <v>13925281</v>
      </c>
      <c r="D89" s="254">
        <f>+D63+D75</f>
        <v>7478322</v>
      </c>
      <c r="E89" s="297">
        <f>IFERROR(((D75*E75)/D78)+((D63*E63)/D65),0)</f>
        <v>7.6294935618264371E-3</v>
      </c>
      <c r="F89" s="254">
        <f>+F63+F75</f>
        <v>6446959</v>
      </c>
      <c r="G89" s="297">
        <f>IFERROR(((F75*G75)/F78)+((F63*G63)/F65),0)</f>
        <v>1.0487250920600234E-3</v>
      </c>
      <c r="H89" s="254">
        <f t="shared" ref="H89:Y89" si="41">+H63+H75</f>
        <v>11284664</v>
      </c>
      <c r="I89" s="254">
        <f t="shared" si="41"/>
        <v>2640617</v>
      </c>
      <c r="J89" s="254">
        <f t="shared" si="41"/>
        <v>0</v>
      </c>
      <c r="K89" s="254">
        <f t="shared" si="41"/>
        <v>2349375</v>
      </c>
      <c r="L89" s="254">
        <f t="shared" si="41"/>
        <v>0</v>
      </c>
      <c r="M89" s="254">
        <f t="shared" si="41"/>
        <v>1233333</v>
      </c>
      <c r="N89" s="254">
        <f t="shared" si="41"/>
        <v>0</v>
      </c>
      <c r="O89" s="254">
        <f t="shared" si="41"/>
        <v>9138459</v>
      </c>
      <c r="P89" s="254">
        <f t="shared" si="41"/>
        <v>0</v>
      </c>
      <c r="Q89" s="254">
        <f t="shared" si="41"/>
        <v>9138459</v>
      </c>
      <c r="R89" s="254">
        <f t="shared" si="41"/>
        <v>0</v>
      </c>
      <c r="S89" s="254">
        <f t="shared" si="41"/>
        <v>0</v>
      </c>
      <c r="T89" s="254">
        <f t="shared" si="41"/>
        <v>0</v>
      </c>
      <c r="U89" s="254">
        <f t="shared" si="41"/>
        <v>0</v>
      </c>
      <c r="V89" s="254">
        <f t="shared" si="41"/>
        <v>766667</v>
      </c>
      <c r="W89" s="254">
        <f t="shared" si="41"/>
        <v>437447</v>
      </c>
      <c r="X89" s="254">
        <f t="shared" si="41"/>
        <v>0</v>
      </c>
      <c r="Y89" s="254">
        <f t="shared" si="41"/>
        <v>0</v>
      </c>
      <c r="AB89" s="533"/>
    </row>
    <row r="90" spans="1:28" s="520" customFormat="1" ht="15.75" customHeight="1">
      <c r="A90" s="535">
        <f t="shared" si="28"/>
        <v>730</v>
      </c>
      <c r="B90" s="536" t="s">
        <v>144</v>
      </c>
      <c r="C90" s="254">
        <f t="shared" si="30"/>
        <v>0</v>
      </c>
      <c r="D90" s="254">
        <f t="shared" ref="D90:F90" si="42">D76</f>
        <v>0</v>
      </c>
      <c r="E90" s="297">
        <f t="shared" si="39"/>
        <v>0</v>
      </c>
      <c r="F90" s="254">
        <f t="shared" si="42"/>
        <v>0</v>
      </c>
      <c r="G90" s="297">
        <f t="shared" si="39"/>
        <v>0</v>
      </c>
      <c r="H90" s="254">
        <f t="shared" si="39"/>
        <v>0</v>
      </c>
      <c r="I90" s="254">
        <f t="shared" si="39"/>
        <v>0</v>
      </c>
      <c r="J90" s="254">
        <f>J76</f>
        <v>0</v>
      </c>
      <c r="K90" s="254">
        <f t="shared" si="40"/>
        <v>0</v>
      </c>
      <c r="L90" s="254">
        <f>L76</f>
        <v>0</v>
      </c>
      <c r="M90" s="254">
        <f t="shared" si="40"/>
        <v>0</v>
      </c>
      <c r="N90" s="254">
        <f t="shared" si="40"/>
        <v>0</v>
      </c>
      <c r="O90" s="254">
        <f t="shared" si="40"/>
        <v>0</v>
      </c>
      <c r="P90" s="254">
        <f t="shared" si="40"/>
        <v>0</v>
      </c>
      <c r="Q90" s="254">
        <f t="shared" si="40"/>
        <v>0</v>
      </c>
      <c r="R90" s="254">
        <f t="shared" si="40"/>
        <v>0</v>
      </c>
      <c r="S90" s="254">
        <f t="shared" si="40"/>
        <v>0</v>
      </c>
      <c r="T90" s="254">
        <f t="shared" si="40"/>
        <v>0</v>
      </c>
      <c r="U90" s="254">
        <f t="shared" si="40"/>
        <v>0</v>
      </c>
      <c r="V90" s="254">
        <f t="shared" si="40"/>
        <v>0</v>
      </c>
      <c r="W90" s="254">
        <f t="shared" si="40"/>
        <v>0</v>
      </c>
      <c r="X90" s="254">
        <f t="shared" si="40"/>
        <v>0</v>
      </c>
      <c r="Y90" s="254">
        <f t="shared" si="40"/>
        <v>0</v>
      </c>
      <c r="AB90" s="533"/>
    </row>
    <row r="91" spans="1:28" s="520" customFormat="1" ht="15.75" customHeight="1">
      <c r="A91" s="535">
        <f>A90+10</f>
        <v>740</v>
      </c>
      <c r="B91" s="536" t="s">
        <v>124</v>
      </c>
      <c r="C91" s="254">
        <f t="shared" si="30"/>
        <v>116115203</v>
      </c>
      <c r="D91" s="254">
        <f>D14+D23+D31+D39+D47+D55+D64+D77</f>
        <v>105431915</v>
      </c>
      <c r="E91" s="297">
        <f>IFERROR(((D14*E14)/D91)+((D23*E23)/D91)+((D31*E31)/D91)+((D39*E39)/D91)+((D47*E47)/D91)+((D55*E55)/D91)+((D64*E64)/D91)+((D77*E77)/D91),0)</f>
        <v>0.35690076112425695</v>
      </c>
      <c r="F91" s="254">
        <f>F14+F23+F31+F39+F47+F55+F64+F77</f>
        <v>10683288</v>
      </c>
      <c r="G91" s="297">
        <f>IFERROR(((F14*G14)/F91)+((F23*G23)/F91)+((F31*G31)/F91)+((F39*G39)/F91)+((F47*G47)/F91)+((F55*G55)/F91)+((F64*G64)/F91)+((F77*G77)/F91),0)</f>
        <v>7.1424944109361857E-2</v>
      </c>
      <c r="H91" s="254">
        <f t="shared" ref="H91:Y91" si="43">H14+H23+H31+H39+H47+H55+H64+H77</f>
        <v>103321898</v>
      </c>
      <c r="I91" s="254">
        <f t="shared" si="43"/>
        <v>12793305</v>
      </c>
      <c r="J91" s="254">
        <f t="shared" si="43"/>
        <v>203427</v>
      </c>
      <c r="K91" s="254">
        <f t="shared" si="43"/>
        <v>2213060</v>
      </c>
      <c r="L91" s="254">
        <f t="shared" si="43"/>
        <v>0</v>
      </c>
      <c r="M91" s="254">
        <f t="shared" si="43"/>
        <v>73033210</v>
      </c>
      <c r="N91" s="254">
        <f t="shared" si="43"/>
        <v>0</v>
      </c>
      <c r="O91" s="254">
        <f t="shared" si="43"/>
        <v>30358207</v>
      </c>
      <c r="P91" s="254">
        <f t="shared" si="43"/>
        <v>1115976</v>
      </c>
      <c r="Q91" s="254">
        <f t="shared" si="43"/>
        <v>29242231</v>
      </c>
      <c r="R91" s="254">
        <f t="shared" si="43"/>
        <v>0</v>
      </c>
      <c r="S91" s="254">
        <f t="shared" si="43"/>
        <v>0</v>
      </c>
      <c r="T91" s="254">
        <f t="shared" si="43"/>
        <v>0</v>
      </c>
      <c r="U91" s="254">
        <f t="shared" si="43"/>
        <v>0</v>
      </c>
      <c r="V91" s="254">
        <f t="shared" si="43"/>
        <v>341078</v>
      </c>
      <c r="W91" s="254">
        <f t="shared" si="43"/>
        <v>9166721</v>
      </c>
      <c r="X91" s="254">
        <f t="shared" si="43"/>
        <v>0</v>
      </c>
      <c r="Y91" s="254">
        <f t="shared" si="43"/>
        <v>799500</v>
      </c>
      <c r="AB91" s="533"/>
    </row>
    <row r="92" spans="1:28" s="520" customFormat="1" ht="15.75" customHeight="1">
      <c r="A92" s="521">
        <f t="shared" si="28"/>
        <v>750</v>
      </c>
      <c r="B92" s="539" t="s">
        <v>147</v>
      </c>
      <c r="C92" s="256">
        <f t="shared" si="30"/>
        <v>7754313870</v>
      </c>
      <c r="D92" s="256">
        <f>SUM(D80:D91)</f>
        <v>4807418971</v>
      </c>
      <c r="E92" s="296">
        <f>IFERROR(((D80*E80)/D92)+((D81*E81)/D92)+((D82*E82)/D92)+((D83*E83)/D92)+((D84*E84)/D92)+((D85*E85)/D92)+((D86*E86)/D92)+((D87*E87)/D92)+((D88*E88)/D92)+((D89*E89)/D92)+((D90*E90)/D92)+((D91*E91)/D92),0)</f>
        <v>0.20148376857174252</v>
      </c>
      <c r="F92" s="256">
        <f>SUM(F80:F91)</f>
        <v>2946894899</v>
      </c>
      <c r="G92" s="296">
        <f>IFERROR(((F80*G80)/F92)+((F81*G81)/F92)+((F82*G82)/F92)+((F83*G83)/F92)+((F84*G84)/F92)+((F85*G85)/F92)+((F86*G86)/F92)+((F87*G87)/F92)+((F88*G88)/F92)+((F89*G89)/F92)+((F90*G90)/F92)+((F91*G91)/F92),0)</f>
        <v>7.3443577993967668E-2</v>
      </c>
      <c r="H92" s="256">
        <f t="shared" ref="H92:Y92" si="44">SUM(H80:H91)</f>
        <v>7561050609</v>
      </c>
      <c r="I92" s="256">
        <f t="shared" si="44"/>
        <v>193263261</v>
      </c>
      <c r="J92" s="256">
        <f t="shared" si="44"/>
        <v>623657051</v>
      </c>
      <c r="K92" s="256">
        <f t="shared" si="44"/>
        <v>110604302</v>
      </c>
      <c r="L92" s="256">
        <f t="shared" si="44"/>
        <v>0</v>
      </c>
      <c r="M92" s="256">
        <f t="shared" si="44"/>
        <v>1708689984</v>
      </c>
      <c r="N92" s="256">
        <f t="shared" si="44"/>
        <v>0</v>
      </c>
      <c r="O92" s="256">
        <f t="shared" si="44"/>
        <v>3807341874</v>
      </c>
      <c r="P92" s="256">
        <f t="shared" si="44"/>
        <v>841967993</v>
      </c>
      <c r="Q92" s="256">
        <f t="shared" si="44"/>
        <v>2965373881</v>
      </c>
      <c r="R92" s="256">
        <f t="shared" si="44"/>
        <v>0</v>
      </c>
      <c r="S92" s="256">
        <f t="shared" si="44"/>
        <v>0</v>
      </c>
      <c r="T92" s="256">
        <f t="shared" si="44"/>
        <v>0</v>
      </c>
      <c r="U92" s="256">
        <f t="shared" si="44"/>
        <v>0</v>
      </c>
      <c r="V92" s="256">
        <f t="shared" si="44"/>
        <v>966759973</v>
      </c>
      <c r="W92" s="256">
        <f t="shared" si="44"/>
        <v>398255677</v>
      </c>
      <c r="X92" s="256">
        <f t="shared" si="44"/>
        <v>0</v>
      </c>
      <c r="Y92" s="256">
        <f t="shared" si="44"/>
        <v>139005009</v>
      </c>
      <c r="AB92" s="533"/>
    </row>
    <row r="93" spans="1:28">
      <c r="A93" s="541"/>
      <c r="B93" s="541"/>
      <c r="C93" s="541"/>
      <c r="D93" s="541"/>
      <c r="E93" s="541"/>
      <c r="F93" s="541"/>
      <c r="G93" s="541"/>
      <c r="H93" s="541"/>
      <c r="I93" s="541"/>
      <c r="J93" s="541"/>
      <c r="K93" s="541"/>
      <c r="L93" s="541"/>
      <c r="M93" s="541"/>
      <c r="N93" s="541"/>
      <c r="O93" s="541"/>
      <c r="P93" s="541"/>
      <c r="Q93" s="541"/>
      <c r="R93" s="541"/>
      <c r="S93" s="541"/>
      <c r="T93" s="541"/>
      <c r="U93" s="541"/>
      <c r="V93" s="541"/>
      <c r="W93" s="541"/>
      <c r="X93" s="541"/>
      <c r="Y93" s="541"/>
    </row>
    <row r="94" spans="1:28">
      <c r="A94" s="541"/>
      <c r="B94" s="541"/>
      <c r="C94" s="541"/>
      <c r="D94" s="541"/>
      <c r="E94" s="541"/>
      <c r="F94" s="541"/>
      <c r="G94" s="541"/>
      <c r="H94" s="541"/>
      <c r="I94" s="541"/>
      <c r="J94" s="541"/>
      <c r="K94" s="541"/>
      <c r="L94" s="541"/>
      <c r="M94" s="541"/>
      <c r="N94" s="541"/>
      <c r="O94" s="541"/>
      <c r="P94" s="541"/>
      <c r="Q94" s="541"/>
      <c r="R94" s="541"/>
      <c r="S94" s="541"/>
      <c r="T94" s="541"/>
      <c r="U94" s="541"/>
      <c r="V94" s="541"/>
      <c r="W94" s="541"/>
      <c r="X94" s="541"/>
      <c r="Y94" s="541"/>
    </row>
    <row r="95" spans="1:28">
      <c r="B95" s="10" t="s">
        <v>0</v>
      </c>
      <c r="H95" s="542"/>
      <c r="I95" s="542"/>
      <c r="J95" s="541"/>
      <c r="K95" s="541"/>
      <c r="L95" s="541"/>
      <c r="M95" s="541"/>
      <c r="N95" s="541"/>
      <c r="O95" s="541"/>
      <c r="P95" s="541"/>
      <c r="Q95" s="541"/>
      <c r="R95" s="541"/>
      <c r="S95" s="541"/>
      <c r="T95" s="541"/>
      <c r="U95" s="541"/>
      <c r="V95" s="541"/>
      <c r="W95" s="541"/>
      <c r="X95" s="541"/>
      <c r="Y95" s="541"/>
    </row>
    <row r="96" spans="1:28">
      <c r="B96" s="10"/>
      <c r="C96" s="542"/>
      <c r="D96" s="542"/>
      <c r="E96" s="542"/>
      <c r="F96" s="542"/>
      <c r="G96" s="542"/>
      <c r="H96" s="542"/>
      <c r="I96" s="542"/>
      <c r="J96" s="541"/>
      <c r="K96" s="541"/>
      <c r="L96" s="541"/>
      <c r="M96" s="541"/>
      <c r="N96" s="541"/>
      <c r="O96" s="541"/>
      <c r="P96" s="541"/>
      <c r="Q96" s="541"/>
      <c r="R96" s="541"/>
      <c r="S96" s="541"/>
      <c r="T96" s="541"/>
      <c r="U96" s="541"/>
      <c r="V96" s="541"/>
      <c r="W96" s="541"/>
      <c r="X96" s="541"/>
      <c r="Y96" s="541"/>
    </row>
    <row r="97" spans="2:9">
      <c r="B97" s="10" t="s">
        <v>1</v>
      </c>
      <c r="C97" s="543"/>
      <c r="D97" s="544"/>
      <c r="E97" s="544"/>
      <c r="F97" s="544"/>
      <c r="G97" s="544"/>
      <c r="H97" s="544"/>
      <c r="I97" s="544"/>
    </row>
    <row r="98" spans="2:9">
      <c r="C98" s="543"/>
      <c r="D98" s="544"/>
      <c r="E98" s="544"/>
      <c r="F98" s="544"/>
      <c r="G98" s="544"/>
      <c r="H98" s="544"/>
      <c r="I98" s="544"/>
    </row>
    <row r="99" spans="2:9">
      <c r="C99" s="543">
        <f>+[8]Balance!$C$24</f>
        <v>7754313870</v>
      </c>
      <c r="D99" s="543"/>
      <c r="E99" s="543"/>
      <c r="F99" s="543"/>
      <c r="G99" s="543"/>
      <c r="H99" s="544"/>
      <c r="I99" s="544"/>
    </row>
    <row r="100" spans="2:9">
      <c r="C100" s="543">
        <f>+C92-C99</f>
        <v>0</v>
      </c>
      <c r="D100" s="544"/>
      <c r="E100" s="544"/>
      <c r="F100" s="544"/>
      <c r="G100" s="544"/>
      <c r="H100" s="544"/>
      <c r="I100" s="544"/>
    </row>
    <row r="101" spans="2:9">
      <c r="C101" s="543"/>
    </row>
    <row r="102" spans="2:9">
      <c r="C102" s="545"/>
    </row>
  </sheetData>
  <sheetProtection algorithmName="SHA-512" hashValue="Gd5ddrXwEhvCMwMer9QSJ1d+luRPpHFfnyoqrMOmxzhBmwfbYLG/dKNE2I4Ai+NBiy9xTZ/SH1BingYLG4pSIA==" saltValue="9V7aIlYVl1RkZZtced9xFg==" spinCount="100000" sheet="1" objects="1" scenarios="1"/>
  <mergeCells count="28"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</mergeCells>
  <phoneticPr fontId="31" type="noConversion"/>
  <conditionalFormatting sqref="C92">
    <cfRule type="cellIs" dxfId="261" priority="321" stopIfTrue="1" operator="notEqual">
      <formula>H92+I92</formula>
    </cfRule>
    <cfRule type="cellIs" dxfId="260" priority="322" stopIfTrue="1" operator="notEqual">
      <formula>$C$99</formula>
    </cfRule>
  </conditionalFormatting>
  <conditionalFormatting sqref="C50:C55 C42:C47 C34:C39 C26:C31 C17:C23 C9:C14 C80:C91 C67:C77 C58:C64">
    <cfRule type="cellIs" dxfId="259" priority="151" operator="notEqual">
      <formula>D9+F9</formula>
    </cfRule>
    <cfRule type="cellIs" dxfId="258" priority="154" stopIfTrue="1" operator="notEqual">
      <formula>H9+$I9</formula>
    </cfRule>
  </conditionalFormatting>
  <conditionalFormatting sqref="C10:C14">
    <cfRule type="cellIs" dxfId="257" priority="152" operator="notEqual">
      <formula>H10+$I10</formula>
    </cfRule>
  </conditionalFormatting>
  <conditionalFormatting sqref="C9">
    <cfRule type="cellIs" dxfId="256" priority="6" operator="notEqual">
      <formula>D9+F9</formula>
    </cfRule>
    <cfRule type="cellIs" dxfId="255" priority="7" stopIfTrue="1" operator="notEqual">
      <formula>H9+$I9</formula>
    </cfRule>
  </conditionalFormatting>
  <conditionalFormatting sqref="C92">
    <cfRule type="cellIs" dxfId="254" priority="4" stopIfTrue="1" operator="notEqual">
      <formula>H92+I92</formula>
    </cfRule>
    <cfRule type="cellIs" dxfId="253" priority="5" stopIfTrue="1" operator="notEqual">
      <formula>C99</formula>
    </cfRule>
  </conditionalFormatting>
  <conditionalFormatting sqref="C50:C55 C42:C47 C34:C39 C26:C31 C17:C23 C9:C14 C80:C91 C67:C77 C58:C64">
    <cfRule type="cellIs" dxfId="252" priority="2" operator="notEqual">
      <formula>D9+F9</formula>
    </cfRule>
    <cfRule type="cellIs" dxfId="251" priority="3" stopIfTrue="1" operator="notEqual">
      <formula>H9+$I9</formula>
    </cfRule>
  </conditionalFormatting>
  <conditionalFormatting sqref="C10:C14">
    <cfRule type="cellIs" dxfId="250" priority="1" operator="notEqual">
      <formula>H10+$I10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28" orientation="landscape" r:id="rId1"/>
  <headerFooter alignWithMargins="0"/>
  <ignoredErrors>
    <ignoredError sqref="E93:H9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Z39"/>
  <sheetViews>
    <sheetView topLeftCell="A4" zoomScale="70" zoomScaleNormal="70" zoomScaleSheetLayoutView="55" workbookViewId="0">
      <pane xSplit="4" ySplit="5" topLeftCell="E9" activePane="bottomRight" state="frozen"/>
      <selection activeCell="A4" sqref="A4"/>
      <selection pane="topRight" activeCell="E4" sqref="E4"/>
      <selection pane="bottomLeft" activeCell="A9" sqref="A9"/>
      <selection pane="bottomRight" activeCell="E9" sqref="E9"/>
    </sheetView>
  </sheetViews>
  <sheetFormatPr defaultRowHeight="15"/>
  <cols>
    <col min="1" max="1" width="5" style="23" customWidth="1"/>
    <col min="2" max="2" width="48.140625" style="23" customWidth="1"/>
    <col min="3" max="3" width="19.140625" style="23" customWidth="1"/>
    <col min="4" max="4" width="7.140625" style="23" customWidth="1"/>
    <col min="5" max="5" width="19.5703125" style="23" customWidth="1"/>
    <col min="6" max="6" width="8.5703125" style="23" customWidth="1"/>
    <col min="7" max="7" width="21.85546875" style="23" customWidth="1"/>
    <col min="8" max="8" width="7.140625" style="23" customWidth="1"/>
    <col min="9" max="10" width="15.42578125" style="23" customWidth="1"/>
    <col min="11" max="11" width="8.7109375" style="23" customWidth="1"/>
    <col min="12" max="25" width="13.140625" style="23" customWidth="1"/>
    <col min="26" max="26" width="14.28515625" style="241" bestFit="1" customWidth="1"/>
    <col min="27" max="16384" width="9.140625" style="23"/>
  </cols>
  <sheetData>
    <row r="1" spans="1:26" s="276" customFormat="1" ht="36.75" customHeight="1">
      <c r="A1" s="271" t="s">
        <v>695</v>
      </c>
      <c r="B1" s="272"/>
      <c r="C1" s="272"/>
      <c r="D1" s="272"/>
      <c r="E1" s="272"/>
      <c r="F1" s="272"/>
      <c r="G1" s="272"/>
      <c r="H1" s="272"/>
      <c r="I1" s="271"/>
      <c r="J1" s="271"/>
      <c r="K1" s="271"/>
      <c r="L1" s="271"/>
      <c r="M1" s="271"/>
      <c r="N1" s="271"/>
      <c r="O1" s="271"/>
      <c r="P1" s="271"/>
      <c r="Q1" s="271"/>
      <c r="R1" s="272"/>
      <c r="S1" s="272"/>
      <c r="T1" s="272"/>
      <c r="U1" s="272"/>
      <c r="V1" s="273"/>
      <c r="W1" s="274"/>
      <c r="X1" s="263" t="s">
        <v>594</v>
      </c>
      <c r="Y1" s="272"/>
      <c r="Z1" s="275"/>
    </row>
    <row r="2" spans="1:26" s="82" customFormat="1" ht="18">
      <c r="A2" s="269"/>
      <c r="B2" s="83"/>
      <c r="C2" s="83"/>
      <c r="D2" s="83"/>
      <c r="E2" s="83"/>
      <c r="F2" s="83"/>
      <c r="G2" s="83"/>
      <c r="H2" s="83"/>
      <c r="I2" s="11"/>
      <c r="J2" s="11"/>
      <c r="K2" s="11"/>
      <c r="L2" s="83"/>
      <c r="M2" s="83"/>
      <c r="N2" s="83"/>
      <c r="O2" s="83"/>
      <c r="P2" s="83"/>
      <c r="Q2" s="83"/>
      <c r="R2" s="83"/>
      <c r="S2" s="83"/>
      <c r="T2" s="270"/>
      <c r="U2" s="83"/>
      <c r="V2" s="83"/>
      <c r="W2" s="83"/>
      <c r="X2" s="83"/>
    </row>
    <row r="3" spans="1:26" ht="18">
      <c r="A3" s="266"/>
      <c r="B3" s="455" t="str">
        <f>+'Asset quality'!B3</f>
        <v xml:space="preserve">АК "АЛОКАБАНК" </v>
      </c>
      <c r="C3" s="24"/>
      <c r="D3" s="267"/>
      <c r="E3" s="267"/>
      <c r="F3" s="267"/>
      <c r="G3" s="267"/>
      <c r="H3" s="267"/>
      <c r="I3" s="267"/>
      <c r="J3" s="268"/>
      <c r="K3" s="268"/>
      <c r="L3" s="268"/>
      <c r="M3" s="267"/>
      <c r="N3" s="267"/>
      <c r="O3" s="267"/>
      <c r="P3" s="267"/>
      <c r="Q3" s="267"/>
      <c r="R3" s="267"/>
      <c r="S3" s="267"/>
      <c r="T3" s="693">
        <f>+'Asset quality'!P3</f>
        <v>44561</v>
      </c>
      <c r="U3" s="693"/>
      <c r="V3" s="24"/>
      <c r="W3" s="24"/>
      <c r="X3" s="457" t="s">
        <v>382</v>
      </c>
      <c r="Z3" s="23"/>
    </row>
    <row r="4" spans="1:26" ht="30" customHeight="1">
      <c r="A4" s="698" t="s">
        <v>83</v>
      </c>
      <c r="B4" s="698" t="s">
        <v>57</v>
      </c>
      <c r="C4" s="698" t="s">
        <v>148</v>
      </c>
      <c r="D4" s="698" t="s">
        <v>149</v>
      </c>
      <c r="E4" s="698" t="s">
        <v>150</v>
      </c>
      <c r="F4" s="698" t="s">
        <v>149</v>
      </c>
      <c r="G4" s="698" t="s">
        <v>159</v>
      </c>
      <c r="H4" s="698" t="s">
        <v>149</v>
      </c>
      <c r="I4" s="694" t="s">
        <v>151</v>
      </c>
      <c r="J4" s="695"/>
      <c r="K4" s="698" t="s">
        <v>149</v>
      </c>
      <c r="L4" s="701" t="s">
        <v>624</v>
      </c>
      <c r="M4" s="703"/>
      <c r="N4" s="703"/>
      <c r="O4" s="703"/>
      <c r="P4" s="703"/>
      <c r="Q4" s="703"/>
      <c r="R4" s="703"/>
      <c r="S4" s="703"/>
      <c r="T4" s="703"/>
      <c r="U4" s="703"/>
      <c r="V4" s="703"/>
      <c r="W4" s="703"/>
      <c r="X4" s="703"/>
      <c r="Y4" s="702"/>
    </row>
    <row r="5" spans="1:26" ht="25.5" customHeight="1">
      <c r="A5" s="699"/>
      <c r="B5" s="699"/>
      <c r="C5" s="699"/>
      <c r="D5" s="699"/>
      <c r="E5" s="699"/>
      <c r="F5" s="699"/>
      <c r="G5" s="699"/>
      <c r="H5" s="699"/>
      <c r="I5" s="696"/>
      <c r="J5" s="697"/>
      <c r="K5" s="699"/>
      <c r="L5" s="701" t="s">
        <v>153</v>
      </c>
      <c r="M5" s="702"/>
      <c r="N5" s="701" t="s">
        <v>154</v>
      </c>
      <c r="O5" s="702"/>
      <c r="P5" s="701" t="s">
        <v>155</v>
      </c>
      <c r="Q5" s="702"/>
      <c r="R5" s="701" t="s">
        <v>156</v>
      </c>
      <c r="S5" s="702"/>
      <c r="T5" s="701" t="s">
        <v>157</v>
      </c>
      <c r="U5" s="702"/>
      <c r="V5" s="701" t="s">
        <v>676</v>
      </c>
      <c r="W5" s="702"/>
      <c r="X5" s="701" t="s">
        <v>158</v>
      </c>
      <c r="Y5" s="702"/>
    </row>
    <row r="6" spans="1:26" ht="31.5">
      <c r="A6" s="700"/>
      <c r="B6" s="700"/>
      <c r="C6" s="700"/>
      <c r="D6" s="700"/>
      <c r="E6" s="700"/>
      <c r="F6" s="700"/>
      <c r="G6" s="700"/>
      <c r="H6" s="700"/>
      <c r="I6" s="203" t="s">
        <v>542</v>
      </c>
      <c r="J6" s="203" t="s">
        <v>543</v>
      </c>
      <c r="K6" s="700"/>
      <c r="L6" s="203" t="s">
        <v>542</v>
      </c>
      <c r="M6" s="203" t="s">
        <v>543</v>
      </c>
      <c r="N6" s="203" t="s">
        <v>542</v>
      </c>
      <c r="O6" s="203" t="s">
        <v>543</v>
      </c>
      <c r="P6" s="203" t="s">
        <v>542</v>
      </c>
      <c r="Q6" s="203" t="s">
        <v>543</v>
      </c>
      <c r="R6" s="203" t="s">
        <v>542</v>
      </c>
      <c r="S6" s="203" t="s">
        <v>543</v>
      </c>
      <c r="T6" s="203" t="s">
        <v>542</v>
      </c>
      <c r="U6" s="203" t="s">
        <v>543</v>
      </c>
      <c r="V6" s="203" t="s">
        <v>542</v>
      </c>
      <c r="W6" s="203" t="s">
        <v>543</v>
      </c>
      <c r="X6" s="203" t="s">
        <v>542</v>
      </c>
      <c r="Y6" s="203" t="s">
        <v>543</v>
      </c>
    </row>
    <row r="7" spans="1:26" ht="15.75">
      <c r="A7" s="203"/>
      <c r="B7" s="203" t="s">
        <v>107</v>
      </c>
      <c r="C7" s="203" t="s">
        <v>58</v>
      </c>
      <c r="D7" s="203" t="s">
        <v>59</v>
      </c>
      <c r="E7" s="203" t="s">
        <v>60</v>
      </c>
      <c r="F7" s="203" t="s">
        <v>84</v>
      </c>
      <c r="G7" s="203" t="s">
        <v>85</v>
      </c>
      <c r="H7" s="203" t="s">
        <v>87</v>
      </c>
      <c r="I7" s="203" t="s">
        <v>108</v>
      </c>
      <c r="J7" s="203" t="s">
        <v>596</v>
      </c>
      <c r="K7" s="203" t="s">
        <v>109</v>
      </c>
      <c r="L7" s="203" t="s">
        <v>110</v>
      </c>
      <c r="M7" s="203" t="s">
        <v>590</v>
      </c>
      <c r="N7" s="203" t="s">
        <v>111</v>
      </c>
      <c r="O7" s="203" t="s">
        <v>598</v>
      </c>
      <c r="P7" s="203" t="s">
        <v>112</v>
      </c>
      <c r="Q7" s="203" t="s">
        <v>599</v>
      </c>
      <c r="R7" s="203" t="s">
        <v>113</v>
      </c>
      <c r="S7" s="203" t="s">
        <v>600</v>
      </c>
      <c r="T7" s="203" t="s">
        <v>114</v>
      </c>
      <c r="U7" s="203" t="s">
        <v>601</v>
      </c>
      <c r="V7" s="203" t="s">
        <v>115</v>
      </c>
      <c r="W7" s="203" t="s">
        <v>602</v>
      </c>
      <c r="X7" s="203" t="s">
        <v>116</v>
      </c>
      <c r="Y7" s="203" t="s">
        <v>603</v>
      </c>
    </row>
    <row r="8" spans="1:26" s="84" customFormat="1" ht="27.75" customHeight="1">
      <c r="A8" s="203"/>
      <c r="B8" s="203" t="s">
        <v>160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42"/>
    </row>
    <row r="9" spans="1:26" s="84" customFormat="1" ht="26.25" customHeight="1">
      <c r="A9" s="85">
        <v>1</v>
      </c>
      <c r="B9" s="86" t="s">
        <v>161</v>
      </c>
      <c r="C9" s="90">
        <f>+'Loans Receivable'!C86</f>
        <v>0</v>
      </c>
      <c r="D9" s="184">
        <f t="shared" ref="D9:D20" si="0">IF(C$22=0,"",C9/C$22)</f>
        <v>0</v>
      </c>
      <c r="E9" s="87"/>
      <c r="F9" s="184">
        <f t="shared" ref="F9:F20" si="1">IF(E$22=0,"",E9/E$22)</f>
        <v>0</v>
      </c>
      <c r="G9" s="87"/>
      <c r="H9" s="184">
        <f t="shared" ref="H9:H20" si="2">IF($G$22=0,"",G9/$G$22)</f>
        <v>0</v>
      </c>
      <c r="I9" s="90">
        <f t="shared" ref="I9:J20" si="3">+L9+N9+P9+R9+T9+V9+X9</f>
        <v>0</v>
      </c>
      <c r="J9" s="90">
        <f>+M9+O9+T9+S9+U9+W9+Y9</f>
        <v>0</v>
      </c>
      <c r="K9" s="184">
        <f t="shared" ref="K9:K20" si="4">IF($Z$22=0,"",Z9/$Z$22)</f>
        <v>0</v>
      </c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243">
        <f>+I9+J9</f>
        <v>0</v>
      </c>
    </row>
    <row r="10" spans="1:26" s="84" customFormat="1" ht="26.25" customHeight="1">
      <c r="A10" s="85">
        <v>2</v>
      </c>
      <c r="B10" s="86" t="s">
        <v>162</v>
      </c>
      <c r="C10" s="90">
        <f>+'Loans Receivable'!C85</f>
        <v>0</v>
      </c>
      <c r="D10" s="184">
        <f t="shared" si="0"/>
        <v>0</v>
      </c>
      <c r="E10" s="87"/>
      <c r="F10" s="184">
        <f t="shared" si="1"/>
        <v>0</v>
      </c>
      <c r="G10" s="87"/>
      <c r="H10" s="184">
        <f t="shared" si="2"/>
        <v>0</v>
      </c>
      <c r="I10" s="90">
        <f t="shared" si="3"/>
        <v>0</v>
      </c>
      <c r="J10" s="90">
        <f t="shared" si="3"/>
        <v>0</v>
      </c>
      <c r="K10" s="184">
        <f t="shared" si="4"/>
        <v>0</v>
      </c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243">
        <f t="shared" ref="Z10:Z34" si="5">+I10+J10</f>
        <v>0</v>
      </c>
    </row>
    <row r="11" spans="1:26" s="84" customFormat="1" ht="26.25" customHeight="1">
      <c r="A11" s="85">
        <v>3</v>
      </c>
      <c r="B11" s="86" t="s">
        <v>163</v>
      </c>
      <c r="C11" s="90">
        <f>+'Loans Receivable'!C87</f>
        <v>660127</v>
      </c>
      <c r="D11" s="184">
        <f t="shared" si="0"/>
        <v>8.5130291482513846E-5</v>
      </c>
      <c r="E11" s="87"/>
      <c r="F11" s="184">
        <f t="shared" si="1"/>
        <v>0</v>
      </c>
      <c r="G11" s="87"/>
      <c r="H11" s="184">
        <f t="shared" si="2"/>
        <v>0</v>
      </c>
      <c r="I11" s="90">
        <f t="shared" si="3"/>
        <v>0</v>
      </c>
      <c r="J11" s="90">
        <f t="shared" si="3"/>
        <v>0</v>
      </c>
      <c r="K11" s="184">
        <f t="shared" si="4"/>
        <v>0</v>
      </c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243">
        <f t="shared" si="5"/>
        <v>0</v>
      </c>
    </row>
    <row r="12" spans="1:26" s="84" customFormat="1" ht="26.25" customHeight="1">
      <c r="A12" s="85">
        <v>4</v>
      </c>
      <c r="B12" s="86" t="s">
        <v>164</v>
      </c>
      <c r="C12" s="90">
        <f>+'Loans Receivable'!C80</f>
        <v>1328984229</v>
      </c>
      <c r="D12" s="184">
        <f t="shared" si="0"/>
        <v>0.17138643744375542</v>
      </c>
      <c r="E12" s="87"/>
      <c r="F12" s="184">
        <f t="shared" si="1"/>
        <v>0</v>
      </c>
      <c r="G12" s="87"/>
      <c r="H12" s="184">
        <f t="shared" si="2"/>
        <v>0</v>
      </c>
      <c r="I12" s="90">
        <f t="shared" si="3"/>
        <v>21416469</v>
      </c>
      <c r="J12" s="90">
        <f t="shared" si="3"/>
        <v>8847933</v>
      </c>
      <c r="K12" s="184">
        <f t="shared" si="4"/>
        <v>0.26250250679018022</v>
      </c>
      <c r="L12" s="87">
        <v>6983807</v>
      </c>
      <c r="M12" s="87">
        <v>1007743</v>
      </c>
      <c r="N12" s="87">
        <v>1852911</v>
      </c>
      <c r="O12" s="87">
        <v>469828</v>
      </c>
      <c r="P12" s="87">
        <v>1107576</v>
      </c>
      <c r="Q12" s="87">
        <v>326707</v>
      </c>
      <c r="R12" s="87">
        <v>3971731</v>
      </c>
      <c r="S12" s="87">
        <v>1389783</v>
      </c>
      <c r="T12" s="87">
        <v>3354745</v>
      </c>
      <c r="U12" s="87">
        <v>1563169</v>
      </c>
      <c r="V12" s="87">
        <v>3240354</v>
      </c>
      <c r="W12" s="87">
        <v>3808972</v>
      </c>
      <c r="X12" s="87">
        <v>905345</v>
      </c>
      <c r="Y12" s="87">
        <v>281731</v>
      </c>
      <c r="Z12" s="243">
        <f t="shared" si="5"/>
        <v>30264402</v>
      </c>
    </row>
    <row r="13" spans="1:26" s="84" customFormat="1" ht="26.25" customHeight="1">
      <c r="A13" s="85">
        <v>5</v>
      </c>
      <c r="B13" s="86" t="s">
        <v>165</v>
      </c>
      <c r="C13" s="90">
        <f>+'Loans Receivable'!C81</f>
        <v>1012848254</v>
      </c>
      <c r="D13" s="184">
        <f t="shared" si="0"/>
        <v>0.13061739194211905</v>
      </c>
      <c r="E13" s="87"/>
      <c r="F13" s="184">
        <f t="shared" si="1"/>
        <v>0</v>
      </c>
      <c r="G13" s="87"/>
      <c r="H13" s="184">
        <f t="shared" si="2"/>
        <v>0</v>
      </c>
      <c r="I13" s="90">
        <f t="shared" si="3"/>
        <v>750816</v>
      </c>
      <c r="J13" s="90">
        <f t="shared" si="3"/>
        <v>2258225</v>
      </c>
      <c r="K13" s="184">
        <f t="shared" si="4"/>
        <v>2.6099336293987592E-2</v>
      </c>
      <c r="L13" s="87">
        <v>750816</v>
      </c>
      <c r="M13" s="87">
        <v>33284</v>
      </c>
      <c r="N13" s="87">
        <v>0</v>
      </c>
      <c r="O13" s="87">
        <v>2224941</v>
      </c>
      <c r="P13" s="87"/>
      <c r="Q13" s="87"/>
      <c r="R13" s="87">
        <v>0</v>
      </c>
      <c r="S13" s="87">
        <v>0</v>
      </c>
      <c r="T13" s="87"/>
      <c r="U13" s="87"/>
      <c r="V13" s="87"/>
      <c r="W13" s="87"/>
      <c r="X13" s="87"/>
      <c r="Y13" s="87"/>
      <c r="Z13" s="243">
        <f t="shared" si="5"/>
        <v>3009041</v>
      </c>
    </row>
    <row r="14" spans="1:26" s="84" customFormat="1" ht="26.25" customHeight="1">
      <c r="A14" s="85">
        <v>6</v>
      </c>
      <c r="B14" s="88" t="s">
        <v>166</v>
      </c>
      <c r="C14" s="90">
        <f>+'Loans Receivable'!C82</f>
        <v>286422166</v>
      </c>
      <c r="D14" s="184">
        <f t="shared" si="0"/>
        <v>3.6937138578838569E-2</v>
      </c>
      <c r="E14" s="87"/>
      <c r="F14" s="184">
        <f t="shared" si="1"/>
        <v>0</v>
      </c>
      <c r="G14" s="87">
        <v>10587</v>
      </c>
      <c r="H14" s="184">
        <f t="shared" si="2"/>
        <v>1.2337027022365828E-3</v>
      </c>
      <c r="I14" s="90">
        <f t="shared" si="3"/>
        <v>342795</v>
      </c>
      <c r="J14" s="90">
        <f t="shared" si="3"/>
        <v>514</v>
      </c>
      <c r="K14" s="184">
        <f t="shared" si="4"/>
        <v>2.9777384368483467E-3</v>
      </c>
      <c r="L14" s="87">
        <v>0</v>
      </c>
      <c r="M14" s="87">
        <v>0</v>
      </c>
      <c r="N14" s="87">
        <v>0</v>
      </c>
      <c r="O14" s="87">
        <v>0</v>
      </c>
      <c r="P14" s="87"/>
      <c r="Q14" s="87"/>
      <c r="R14" s="87">
        <v>0</v>
      </c>
      <c r="S14" s="87">
        <v>514</v>
      </c>
      <c r="T14" s="87">
        <v>342795</v>
      </c>
      <c r="U14" s="87">
        <v>0</v>
      </c>
      <c r="V14" s="87"/>
      <c r="W14" s="87"/>
      <c r="X14" s="87">
        <v>0</v>
      </c>
      <c r="Y14" s="87">
        <v>0</v>
      </c>
      <c r="Z14" s="243">
        <f t="shared" si="5"/>
        <v>343309</v>
      </c>
    </row>
    <row r="15" spans="1:26" s="84" customFormat="1" ht="26.25" customHeight="1">
      <c r="A15" s="85">
        <v>7</v>
      </c>
      <c r="B15" s="88" t="s">
        <v>167</v>
      </c>
      <c r="C15" s="90">
        <f>+'Loans Receivable'!C83</f>
        <v>4899373487</v>
      </c>
      <c r="D15" s="184">
        <f t="shared" si="0"/>
        <v>0.63182553210217163</v>
      </c>
      <c r="E15" s="87">
        <v>44554200</v>
      </c>
      <c r="F15" s="184">
        <f t="shared" si="1"/>
        <v>1</v>
      </c>
      <c r="G15" s="87">
        <v>7163339</v>
      </c>
      <c r="H15" s="184">
        <f t="shared" si="2"/>
        <v>0.8347436177705394</v>
      </c>
      <c r="I15" s="90">
        <f t="shared" si="3"/>
        <v>62040029</v>
      </c>
      <c r="J15" s="90">
        <f t="shared" si="3"/>
        <v>13553810</v>
      </c>
      <c r="K15" s="184">
        <f t="shared" si="4"/>
        <v>0.65567369331775627</v>
      </c>
      <c r="L15" s="87">
        <v>9371337</v>
      </c>
      <c r="M15" s="87">
        <v>2211377</v>
      </c>
      <c r="N15" s="87">
        <v>2621766</v>
      </c>
      <c r="O15" s="87">
        <v>1412828</v>
      </c>
      <c r="P15" s="87">
        <v>1168166</v>
      </c>
      <c r="Q15" s="87">
        <v>294455</v>
      </c>
      <c r="R15" s="87">
        <v>22342065</v>
      </c>
      <c r="S15" s="87">
        <v>5456020</v>
      </c>
      <c r="T15" s="87">
        <v>15886265</v>
      </c>
      <c r="U15" s="87">
        <v>3082944</v>
      </c>
      <c r="V15" s="87">
        <v>8414225</v>
      </c>
      <c r="W15" s="87">
        <v>599682</v>
      </c>
      <c r="X15" s="87">
        <v>2236205</v>
      </c>
      <c r="Y15" s="87">
        <v>496504</v>
      </c>
      <c r="Z15" s="243">
        <f t="shared" si="5"/>
        <v>75593839</v>
      </c>
    </row>
    <row r="16" spans="1:26" s="84" customFormat="1" ht="26.25" customHeight="1">
      <c r="A16" s="85">
        <v>8</v>
      </c>
      <c r="B16" s="88" t="s">
        <v>168</v>
      </c>
      <c r="C16" s="90">
        <f>+'Loans Receivable'!C84</f>
        <v>31561978</v>
      </c>
      <c r="D16" s="184">
        <f t="shared" si="0"/>
        <v>4.0702476749242033E-3</v>
      </c>
      <c r="E16" s="87"/>
      <c r="F16" s="184">
        <f t="shared" si="1"/>
        <v>0</v>
      </c>
      <c r="G16" s="87"/>
      <c r="H16" s="184">
        <f t="shared" si="2"/>
        <v>0</v>
      </c>
      <c r="I16" s="90">
        <f t="shared" si="3"/>
        <v>506408</v>
      </c>
      <c r="J16" s="90">
        <f t="shared" si="3"/>
        <v>29567</v>
      </c>
      <c r="K16" s="184">
        <f t="shared" si="4"/>
        <v>4.6488538275716411E-3</v>
      </c>
      <c r="L16" s="87">
        <v>13158</v>
      </c>
      <c r="M16" s="87">
        <v>20014</v>
      </c>
      <c r="N16" s="87"/>
      <c r="O16" s="87"/>
      <c r="P16" s="87">
        <v>0</v>
      </c>
      <c r="Q16" s="87">
        <v>9553</v>
      </c>
      <c r="R16" s="87"/>
      <c r="S16" s="87"/>
      <c r="T16" s="87"/>
      <c r="U16" s="87"/>
      <c r="V16" s="87"/>
      <c r="W16" s="87"/>
      <c r="X16" s="87">
        <v>493250</v>
      </c>
      <c r="Y16" s="87">
        <v>0</v>
      </c>
      <c r="Z16" s="243">
        <f t="shared" si="5"/>
        <v>535975</v>
      </c>
    </row>
    <row r="17" spans="1:26" s="84" customFormat="1" ht="26.25" customHeight="1">
      <c r="A17" s="85">
        <v>9</v>
      </c>
      <c r="B17" s="89" t="s">
        <v>169</v>
      </c>
      <c r="C17" s="90">
        <f>+'Loans Receivable'!C88</f>
        <v>64423145</v>
      </c>
      <c r="D17" s="184">
        <f t="shared" si="0"/>
        <v>8.3080393804074899E-3</v>
      </c>
      <c r="E17" s="87"/>
      <c r="F17" s="184">
        <f t="shared" si="1"/>
        <v>0</v>
      </c>
      <c r="G17" s="87"/>
      <c r="H17" s="184">
        <f t="shared" si="2"/>
        <v>0</v>
      </c>
      <c r="I17" s="90">
        <f t="shared" si="3"/>
        <v>0</v>
      </c>
      <c r="J17" s="90">
        <f t="shared" si="3"/>
        <v>0</v>
      </c>
      <c r="K17" s="184">
        <f t="shared" si="4"/>
        <v>0</v>
      </c>
      <c r="L17" s="87">
        <v>0</v>
      </c>
      <c r="M17" s="87">
        <v>0</v>
      </c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243">
        <f t="shared" si="5"/>
        <v>0</v>
      </c>
    </row>
    <row r="18" spans="1:26" s="84" customFormat="1" ht="38.25" customHeight="1">
      <c r="A18" s="85">
        <v>10</v>
      </c>
      <c r="B18" s="89" t="s">
        <v>170</v>
      </c>
      <c r="C18" s="90">
        <f>+'Loans Receivable'!C89</f>
        <v>13925281</v>
      </c>
      <c r="D18" s="184">
        <f t="shared" si="0"/>
        <v>1.7958108523146484E-3</v>
      </c>
      <c r="E18" s="87"/>
      <c r="F18" s="184">
        <f t="shared" si="1"/>
        <v>0</v>
      </c>
      <c r="G18" s="87"/>
      <c r="H18" s="184">
        <f t="shared" si="2"/>
        <v>0</v>
      </c>
      <c r="I18" s="90">
        <f t="shared" si="3"/>
        <v>15570</v>
      </c>
      <c r="J18" s="90">
        <f t="shared" si="3"/>
        <v>1314</v>
      </c>
      <c r="K18" s="184">
        <f t="shared" si="4"/>
        <v>1.4644572605946096E-4</v>
      </c>
      <c r="L18" s="87">
        <v>0</v>
      </c>
      <c r="M18" s="87">
        <v>50</v>
      </c>
      <c r="N18" s="87">
        <v>982</v>
      </c>
      <c r="O18" s="87">
        <v>1264</v>
      </c>
      <c r="P18" s="87"/>
      <c r="Q18" s="87"/>
      <c r="R18" s="87">
        <v>0</v>
      </c>
      <c r="S18" s="87">
        <v>0</v>
      </c>
      <c r="T18" s="87">
        <v>0</v>
      </c>
      <c r="U18" s="87">
        <v>0</v>
      </c>
      <c r="V18" s="87">
        <v>14588</v>
      </c>
      <c r="W18" s="87">
        <v>0</v>
      </c>
      <c r="X18" s="87">
        <v>0</v>
      </c>
      <c r="Y18" s="87">
        <v>0</v>
      </c>
      <c r="Z18" s="243">
        <f t="shared" si="5"/>
        <v>16884</v>
      </c>
    </row>
    <row r="19" spans="1:26" s="84" customFormat="1" ht="26.25" customHeight="1">
      <c r="A19" s="85">
        <v>11</v>
      </c>
      <c r="B19" s="89" t="s">
        <v>171</v>
      </c>
      <c r="C19" s="90">
        <f>+'Loans Receivable'!C90</f>
        <v>0</v>
      </c>
      <c r="D19" s="184">
        <f t="shared" si="0"/>
        <v>0</v>
      </c>
      <c r="E19" s="87"/>
      <c r="F19" s="184">
        <f t="shared" si="1"/>
        <v>0</v>
      </c>
      <c r="G19" s="87"/>
      <c r="H19" s="184">
        <f t="shared" si="2"/>
        <v>0</v>
      </c>
      <c r="I19" s="90">
        <f t="shared" si="3"/>
        <v>0</v>
      </c>
      <c r="J19" s="90">
        <f t="shared" si="3"/>
        <v>0</v>
      </c>
      <c r="K19" s="184">
        <f t="shared" si="4"/>
        <v>0</v>
      </c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243">
        <f t="shared" si="5"/>
        <v>0</v>
      </c>
    </row>
    <row r="20" spans="1:26" s="84" customFormat="1" ht="26.25" customHeight="1">
      <c r="A20" s="85">
        <v>12</v>
      </c>
      <c r="B20" s="89" t="s">
        <v>172</v>
      </c>
      <c r="C20" s="90">
        <f>+'Loans Receivable'!C91</f>
        <v>116115203</v>
      </c>
      <c r="D20" s="184">
        <f t="shared" si="0"/>
        <v>1.497427173398644E-2</v>
      </c>
      <c r="E20" s="87"/>
      <c r="F20" s="184">
        <f t="shared" si="1"/>
        <v>0</v>
      </c>
      <c r="G20" s="87">
        <v>1407558</v>
      </c>
      <c r="H20" s="184">
        <f t="shared" si="2"/>
        <v>0.16402267952722396</v>
      </c>
      <c r="I20" s="90">
        <f t="shared" si="3"/>
        <v>5208594</v>
      </c>
      <c r="J20" s="90">
        <f t="shared" si="3"/>
        <v>319815</v>
      </c>
      <c r="K20" s="184">
        <f t="shared" si="4"/>
        <v>4.7951425607596458E-2</v>
      </c>
      <c r="L20" s="87">
        <v>762450</v>
      </c>
      <c r="M20" s="87">
        <v>63465</v>
      </c>
      <c r="N20" s="87">
        <v>28511</v>
      </c>
      <c r="O20" s="87">
        <v>4219</v>
      </c>
      <c r="P20" s="87">
        <v>46545</v>
      </c>
      <c r="Q20" s="87">
        <v>21801</v>
      </c>
      <c r="R20" s="87">
        <v>769363</v>
      </c>
      <c r="S20" s="87">
        <v>187238</v>
      </c>
      <c r="T20" s="87">
        <v>1073592</v>
      </c>
      <c r="U20" s="87">
        <v>39440</v>
      </c>
      <c r="V20" s="87">
        <v>2012376</v>
      </c>
      <c r="W20" s="87">
        <v>3652</v>
      </c>
      <c r="X20" s="87">
        <v>515757</v>
      </c>
      <c r="Y20" s="87">
        <v>0</v>
      </c>
      <c r="Z20" s="243">
        <f t="shared" si="5"/>
        <v>5528409</v>
      </c>
    </row>
    <row r="21" spans="1:26" s="84" customFormat="1" ht="18.75" customHeight="1">
      <c r="A21" s="85"/>
      <c r="B21" s="86"/>
      <c r="C21" s="90"/>
      <c r="D21" s="184"/>
      <c r="E21" s="185"/>
      <c r="F21" s="184"/>
      <c r="G21" s="185"/>
      <c r="H21" s="184"/>
      <c r="I21" s="90"/>
      <c r="J21" s="186"/>
      <c r="K21" s="184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243">
        <f t="shared" si="5"/>
        <v>0</v>
      </c>
    </row>
    <row r="22" spans="1:26" s="84" customFormat="1" ht="27.75" customHeight="1">
      <c r="A22" s="203">
        <v>13</v>
      </c>
      <c r="B22" s="203" t="s">
        <v>173</v>
      </c>
      <c r="C22" s="204">
        <f>SUM(C9:C20)</f>
        <v>7754313870</v>
      </c>
      <c r="D22" s="205">
        <f>IF(C$22=0,"",C22/C$22)</f>
        <v>1</v>
      </c>
      <c r="E22" s="204">
        <f>SUM(E9:E20)</f>
        <v>44554200</v>
      </c>
      <c r="F22" s="205">
        <f>IF(E$22=0,"",E22/E$22)</f>
        <v>1</v>
      </c>
      <c r="G22" s="204">
        <f>SUM(G9:G20)</f>
        <v>8581484</v>
      </c>
      <c r="H22" s="205">
        <f>IF($G$22=0,"",G22/$G$22)</f>
        <v>1</v>
      </c>
      <c r="I22" s="204">
        <f>SUM(I9:I20)</f>
        <v>90280681</v>
      </c>
      <c r="J22" s="204">
        <f>SUM(J9:J20)</f>
        <v>25011178</v>
      </c>
      <c r="K22" s="205">
        <f>IF($Z$22=0,"",Z22/$Z$22)</f>
        <v>1</v>
      </c>
      <c r="L22" s="204">
        <f t="shared" ref="L22:Y22" si="6">SUM(L9:L20)</f>
        <v>17881568</v>
      </c>
      <c r="M22" s="204">
        <f t="shared" si="6"/>
        <v>3335933</v>
      </c>
      <c r="N22" s="204">
        <f t="shared" si="6"/>
        <v>4504170</v>
      </c>
      <c r="O22" s="204">
        <f t="shared" si="6"/>
        <v>4113080</v>
      </c>
      <c r="P22" s="204">
        <f t="shared" si="6"/>
        <v>2322287</v>
      </c>
      <c r="Q22" s="204">
        <f t="shared" si="6"/>
        <v>652516</v>
      </c>
      <c r="R22" s="204">
        <f t="shared" si="6"/>
        <v>27083159</v>
      </c>
      <c r="S22" s="204">
        <f t="shared" si="6"/>
        <v>7033555</v>
      </c>
      <c r="T22" s="204">
        <f t="shared" si="6"/>
        <v>20657397</v>
      </c>
      <c r="U22" s="204">
        <f t="shared" si="6"/>
        <v>4685553</v>
      </c>
      <c r="V22" s="204">
        <f t="shared" si="6"/>
        <v>13681543</v>
      </c>
      <c r="W22" s="204">
        <f t="shared" si="6"/>
        <v>4412306</v>
      </c>
      <c r="X22" s="204">
        <f t="shared" si="6"/>
        <v>4150557</v>
      </c>
      <c r="Y22" s="204">
        <f t="shared" si="6"/>
        <v>778235</v>
      </c>
      <c r="Z22" s="243">
        <f t="shared" si="5"/>
        <v>115291859</v>
      </c>
    </row>
    <row r="23" spans="1:26" s="84" customFormat="1" ht="18.75" customHeight="1">
      <c r="A23" s="85"/>
      <c r="B23" s="86"/>
      <c r="C23" s="90"/>
      <c r="D23" s="187"/>
      <c r="E23" s="185"/>
      <c r="F23" s="186"/>
      <c r="G23" s="185"/>
      <c r="H23" s="187"/>
      <c r="I23" s="90"/>
      <c r="J23" s="186"/>
      <c r="K23" s="1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243">
        <f t="shared" si="5"/>
        <v>0</v>
      </c>
    </row>
    <row r="24" spans="1:26" s="84" customFormat="1" ht="27.75" customHeight="1">
      <c r="A24" s="203"/>
      <c r="B24" s="203" t="s">
        <v>174</v>
      </c>
      <c r="C24" s="203"/>
      <c r="D24" s="203"/>
      <c r="E24" s="203"/>
      <c r="F24" s="203">
        <f t="shared" ref="F24" si="7">IF(E$22=0,"",E24/E$22)</f>
        <v>0</v>
      </c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42">
        <f t="shared" si="5"/>
        <v>0</v>
      </c>
    </row>
    <row r="25" spans="1:26" s="84" customFormat="1" ht="26.25" customHeight="1">
      <c r="A25" s="85">
        <v>14</v>
      </c>
      <c r="B25" s="91" t="s">
        <v>118</v>
      </c>
      <c r="C25" s="90">
        <f>+'Loans Receivable'!C15</f>
        <v>2695352702</v>
      </c>
      <c r="D25" s="184">
        <f t="shared" ref="D25:D32" si="8">IF(C$34=0,"",C25/C$34)</f>
        <v>0.3475939647513907</v>
      </c>
      <c r="E25" s="87">
        <v>17028003</v>
      </c>
      <c r="F25" s="184">
        <f t="shared" ref="F25:F32" si="9">IF($E$34=0,"",E25/$E$34)</f>
        <v>0.38218625853454891</v>
      </c>
      <c r="G25" s="87">
        <v>1908777</v>
      </c>
      <c r="H25" s="184">
        <f t="shared" ref="H25:H32" si="10">IF($G$34=0,"",G25/$G$34)</f>
        <v>0.22242971029253217</v>
      </c>
      <c r="I25" s="90">
        <f t="shared" ref="I25:J32" si="11">+L25+N25+P25+R25+T25+V25+X25</f>
        <v>21315945</v>
      </c>
      <c r="J25" s="90">
        <f t="shared" si="11"/>
        <v>7824082</v>
      </c>
      <c r="K25" s="184">
        <f t="shared" ref="K25:K32" si="12">IF($Z$34=0,"",Z25/$Z$34)</f>
        <v>0.25275008359436724</v>
      </c>
      <c r="L25" s="87">
        <v>4989820</v>
      </c>
      <c r="M25" s="87">
        <v>694619</v>
      </c>
      <c r="N25" s="87">
        <v>1400145</v>
      </c>
      <c r="O25" s="87">
        <v>2576206</v>
      </c>
      <c r="P25" s="87">
        <v>440362</v>
      </c>
      <c r="Q25" s="87">
        <v>51690</v>
      </c>
      <c r="R25" s="87">
        <v>4898554</v>
      </c>
      <c r="S25" s="87">
        <v>1094983</v>
      </c>
      <c r="T25" s="87">
        <v>8124909</v>
      </c>
      <c r="U25" s="87">
        <v>2525435</v>
      </c>
      <c r="V25" s="87">
        <v>478870</v>
      </c>
      <c r="W25" s="87">
        <v>384644</v>
      </c>
      <c r="X25" s="87">
        <v>983285</v>
      </c>
      <c r="Y25" s="87">
        <v>496505</v>
      </c>
      <c r="Z25" s="243">
        <f t="shared" si="5"/>
        <v>29140027</v>
      </c>
    </row>
    <row r="26" spans="1:26" s="84" customFormat="1" ht="26.25" customHeight="1">
      <c r="A26" s="85">
        <v>15</v>
      </c>
      <c r="B26" s="91" t="s">
        <v>126</v>
      </c>
      <c r="C26" s="90">
        <f>+'Loans Receivable'!C24</f>
        <v>233885083</v>
      </c>
      <c r="D26" s="184">
        <f t="shared" si="8"/>
        <v>3.0161931399869942E-2</v>
      </c>
      <c r="E26" s="87">
        <v>53826</v>
      </c>
      <c r="F26" s="184">
        <f t="shared" si="9"/>
        <v>1.2081015931158005E-3</v>
      </c>
      <c r="G26" s="87">
        <v>570157</v>
      </c>
      <c r="H26" s="184">
        <f t="shared" si="10"/>
        <v>6.6440373250127832E-2</v>
      </c>
      <c r="I26" s="90">
        <f t="shared" si="11"/>
        <v>4198127</v>
      </c>
      <c r="J26" s="90">
        <f t="shared" si="11"/>
        <v>544168</v>
      </c>
      <c r="K26" s="184">
        <f t="shared" si="12"/>
        <v>4.1132956317410062E-2</v>
      </c>
      <c r="L26" s="87">
        <v>777206</v>
      </c>
      <c r="M26" s="87">
        <v>193249</v>
      </c>
      <c r="N26" s="87">
        <v>90242</v>
      </c>
      <c r="O26" s="87">
        <v>90340</v>
      </c>
      <c r="P26" s="87">
        <v>71734</v>
      </c>
      <c r="Q26" s="87">
        <v>45482</v>
      </c>
      <c r="R26" s="87">
        <v>736520</v>
      </c>
      <c r="S26" s="87">
        <v>203626</v>
      </c>
      <c r="T26" s="87">
        <v>2029175</v>
      </c>
      <c r="U26" s="87">
        <v>7819</v>
      </c>
      <c r="V26" s="87">
        <v>0</v>
      </c>
      <c r="W26" s="87">
        <v>3652</v>
      </c>
      <c r="X26" s="87">
        <v>493250</v>
      </c>
      <c r="Y26" s="87">
        <v>0</v>
      </c>
      <c r="Z26" s="243">
        <f t="shared" si="5"/>
        <v>4742295</v>
      </c>
    </row>
    <row r="27" spans="1:26" s="84" customFormat="1" ht="26.25" customHeight="1">
      <c r="A27" s="85">
        <v>16</v>
      </c>
      <c r="B27" s="91" t="s">
        <v>129</v>
      </c>
      <c r="C27" s="90">
        <f>+'Loans Receivable'!C32</f>
        <v>826803668</v>
      </c>
      <c r="D27" s="184">
        <f t="shared" si="8"/>
        <v>0.10662499375976381</v>
      </c>
      <c r="E27" s="87">
        <v>0</v>
      </c>
      <c r="F27" s="184">
        <f t="shared" si="9"/>
        <v>0</v>
      </c>
      <c r="G27" s="87">
        <v>127871</v>
      </c>
      <c r="H27" s="184">
        <f t="shared" si="10"/>
        <v>1.490080270498669E-2</v>
      </c>
      <c r="I27" s="90">
        <f t="shared" si="11"/>
        <v>5107551</v>
      </c>
      <c r="J27" s="90">
        <f t="shared" si="11"/>
        <v>841528</v>
      </c>
      <c r="K27" s="184">
        <f t="shared" si="12"/>
        <v>5.1600165454873961E-2</v>
      </c>
      <c r="L27" s="87">
        <v>1727340</v>
      </c>
      <c r="M27" s="87">
        <v>316039</v>
      </c>
      <c r="N27" s="87">
        <v>11416</v>
      </c>
      <c r="O27" s="87">
        <v>43719</v>
      </c>
      <c r="P27" s="87">
        <v>466434</v>
      </c>
      <c r="Q27" s="87">
        <v>118847</v>
      </c>
      <c r="R27" s="87">
        <v>654740</v>
      </c>
      <c r="S27" s="87">
        <v>195014</v>
      </c>
      <c r="T27" s="87">
        <v>2247621</v>
      </c>
      <c r="U27" s="87">
        <v>167909</v>
      </c>
      <c r="V27" s="87">
        <v>0</v>
      </c>
      <c r="W27" s="87">
        <v>0</v>
      </c>
      <c r="X27" s="87">
        <v>0</v>
      </c>
      <c r="Y27" s="87">
        <v>0</v>
      </c>
      <c r="Z27" s="243">
        <f t="shared" si="5"/>
        <v>5949079</v>
      </c>
    </row>
    <row r="28" spans="1:26" s="84" customFormat="1" ht="26.25" customHeight="1">
      <c r="A28" s="85">
        <v>17</v>
      </c>
      <c r="B28" s="91" t="s">
        <v>131</v>
      </c>
      <c r="C28" s="90">
        <f>+'Loans Receivable'!C40</f>
        <v>535003135</v>
      </c>
      <c r="D28" s="184">
        <f t="shared" si="8"/>
        <v>6.8994258417863094E-2</v>
      </c>
      <c r="E28" s="87">
        <v>0</v>
      </c>
      <c r="F28" s="184">
        <f t="shared" si="9"/>
        <v>0</v>
      </c>
      <c r="G28" s="87">
        <v>1252173</v>
      </c>
      <c r="H28" s="184">
        <f t="shared" si="10"/>
        <v>0.14591567146195228</v>
      </c>
      <c r="I28" s="90">
        <f t="shared" si="11"/>
        <v>5072127</v>
      </c>
      <c r="J28" s="90">
        <f t="shared" si="11"/>
        <v>1219058</v>
      </c>
      <c r="K28" s="184">
        <f t="shared" si="12"/>
        <v>5.4567469503635987E-2</v>
      </c>
      <c r="L28" s="87">
        <v>938081</v>
      </c>
      <c r="M28" s="87">
        <v>181817</v>
      </c>
      <c r="N28" s="87">
        <v>471607</v>
      </c>
      <c r="O28" s="87">
        <v>519589</v>
      </c>
      <c r="P28" s="87">
        <v>0</v>
      </c>
      <c r="Q28" s="87">
        <v>94718</v>
      </c>
      <c r="R28" s="87">
        <v>3217995</v>
      </c>
      <c r="S28" s="87">
        <v>422934</v>
      </c>
      <c r="T28" s="87">
        <v>444444</v>
      </c>
      <c r="U28" s="87">
        <v>0</v>
      </c>
      <c r="V28" s="87">
        <v>0</v>
      </c>
      <c r="W28" s="87">
        <v>0</v>
      </c>
      <c r="X28" s="87"/>
      <c r="Y28" s="87"/>
      <c r="Z28" s="243">
        <f t="shared" si="5"/>
        <v>6291185</v>
      </c>
    </row>
    <row r="29" spans="1:26" s="84" customFormat="1" ht="26.25" customHeight="1">
      <c r="A29" s="85">
        <v>18</v>
      </c>
      <c r="B29" s="92" t="s">
        <v>133</v>
      </c>
      <c r="C29" s="90">
        <f>+'Loans Receivable'!C48</f>
        <v>706694385</v>
      </c>
      <c r="D29" s="184">
        <f t="shared" si="8"/>
        <v>9.1135643571776129E-2</v>
      </c>
      <c r="E29" s="87">
        <v>27472371</v>
      </c>
      <c r="F29" s="184">
        <f t="shared" si="9"/>
        <v>0.6166056398723353</v>
      </c>
      <c r="G29" s="87">
        <v>1206335</v>
      </c>
      <c r="H29" s="184">
        <f t="shared" si="10"/>
        <v>0.14057417108742498</v>
      </c>
      <c r="I29" s="90">
        <f t="shared" si="11"/>
        <v>20242736</v>
      </c>
      <c r="J29" s="90">
        <f t="shared" si="11"/>
        <v>4444074</v>
      </c>
      <c r="K29" s="184">
        <f t="shared" si="12"/>
        <v>0.21412448558054736</v>
      </c>
      <c r="L29" s="87">
        <v>2069452</v>
      </c>
      <c r="M29" s="87">
        <v>742853</v>
      </c>
      <c r="N29" s="87">
        <v>199978</v>
      </c>
      <c r="O29" s="87">
        <v>28722</v>
      </c>
      <c r="P29" s="87">
        <v>236182</v>
      </c>
      <c r="Q29" s="87">
        <v>14806</v>
      </c>
      <c r="R29" s="87">
        <v>12456044</v>
      </c>
      <c r="S29" s="87">
        <v>3524791</v>
      </c>
      <c r="T29" s="87">
        <v>2314382</v>
      </c>
      <c r="U29" s="87">
        <v>132902</v>
      </c>
      <c r="V29" s="87">
        <v>2337303</v>
      </c>
      <c r="W29" s="87">
        <v>0</v>
      </c>
      <c r="X29" s="87">
        <v>629395</v>
      </c>
      <c r="Y29" s="87">
        <v>0</v>
      </c>
      <c r="Z29" s="243">
        <f t="shared" si="5"/>
        <v>24686810</v>
      </c>
    </row>
    <row r="30" spans="1:26" s="84" customFormat="1" ht="38.25" customHeight="1">
      <c r="A30" s="85">
        <v>19</v>
      </c>
      <c r="B30" s="92" t="s">
        <v>135</v>
      </c>
      <c r="C30" s="90">
        <f>+'Loans Receivable'!C56</f>
        <v>83306275</v>
      </c>
      <c r="D30" s="184">
        <f t="shared" si="8"/>
        <v>1.0743216794756852E-2</v>
      </c>
      <c r="E30" s="87"/>
      <c r="F30" s="184">
        <f t="shared" si="9"/>
        <v>0</v>
      </c>
      <c r="G30" s="87">
        <v>0</v>
      </c>
      <c r="H30" s="184">
        <f t="shared" si="10"/>
        <v>0</v>
      </c>
      <c r="I30" s="90">
        <f t="shared" si="11"/>
        <v>8649925</v>
      </c>
      <c r="J30" s="90">
        <f t="shared" si="11"/>
        <v>71914</v>
      </c>
      <c r="K30" s="184">
        <f t="shared" si="12"/>
        <v>7.5650085579763271E-2</v>
      </c>
      <c r="L30" s="87">
        <v>38286</v>
      </c>
      <c r="M30" s="87">
        <v>3992</v>
      </c>
      <c r="N30" s="87">
        <v>476780</v>
      </c>
      <c r="O30" s="87">
        <v>0</v>
      </c>
      <c r="P30" s="87"/>
      <c r="Q30" s="87"/>
      <c r="R30" s="87"/>
      <c r="S30" s="87"/>
      <c r="T30" s="87">
        <v>1175000</v>
      </c>
      <c r="U30" s="87">
        <v>67922</v>
      </c>
      <c r="V30" s="87">
        <v>6959859</v>
      </c>
      <c r="W30" s="87">
        <v>0</v>
      </c>
      <c r="X30" s="87">
        <v>0</v>
      </c>
      <c r="Y30" s="87">
        <v>0</v>
      </c>
      <c r="Z30" s="243">
        <f t="shared" si="5"/>
        <v>8721839</v>
      </c>
    </row>
    <row r="31" spans="1:26" s="84" customFormat="1" ht="26.25" customHeight="1">
      <c r="A31" s="85">
        <v>20</v>
      </c>
      <c r="B31" s="91" t="s">
        <v>137</v>
      </c>
      <c r="C31" s="90">
        <f>+'Loans Receivable'!C65</f>
        <v>62142553</v>
      </c>
      <c r="D31" s="184">
        <f t="shared" si="8"/>
        <v>8.0139331527987277E-3</v>
      </c>
      <c r="E31" s="87"/>
      <c r="F31" s="184">
        <f t="shared" si="9"/>
        <v>0</v>
      </c>
      <c r="G31" s="87">
        <v>1553987</v>
      </c>
      <c r="H31" s="184">
        <f t="shared" si="10"/>
        <v>0.18108604525744032</v>
      </c>
      <c r="I31" s="90">
        <f t="shared" si="11"/>
        <v>1430600</v>
      </c>
      <c r="J31" s="90">
        <f t="shared" si="11"/>
        <v>220342</v>
      </c>
      <c r="K31" s="184">
        <f t="shared" si="12"/>
        <v>1.431967542478433E-2</v>
      </c>
      <c r="L31" s="87">
        <v>19834</v>
      </c>
      <c r="M31" s="87">
        <v>2199</v>
      </c>
      <c r="N31" s="87">
        <v>1090</v>
      </c>
      <c r="O31" s="87">
        <v>1426</v>
      </c>
      <c r="P31" s="87"/>
      <c r="Q31" s="87"/>
      <c r="R31" s="87">
        <v>59141</v>
      </c>
      <c r="S31" s="87">
        <v>1679</v>
      </c>
      <c r="T31" s="87">
        <v>169621</v>
      </c>
      <c r="U31" s="87">
        <v>0</v>
      </c>
      <c r="V31" s="87">
        <v>665157</v>
      </c>
      <c r="W31" s="87">
        <v>215038</v>
      </c>
      <c r="X31" s="87">
        <v>515757</v>
      </c>
      <c r="Y31" s="87">
        <v>0</v>
      </c>
      <c r="Z31" s="243">
        <f t="shared" si="5"/>
        <v>1650942</v>
      </c>
    </row>
    <row r="32" spans="1:26" s="84" customFormat="1" ht="26.25" customHeight="1">
      <c r="A32" s="85">
        <v>21</v>
      </c>
      <c r="B32" s="91" t="s">
        <v>175</v>
      </c>
      <c r="C32" s="90">
        <f>+'Loans Receivable'!C78</f>
        <v>2611126069</v>
      </c>
      <c r="D32" s="184">
        <f t="shared" si="8"/>
        <v>0.33673205815178076</v>
      </c>
      <c r="E32" s="87"/>
      <c r="F32" s="184">
        <f t="shared" si="9"/>
        <v>0</v>
      </c>
      <c r="G32" s="87">
        <v>1962184</v>
      </c>
      <c r="H32" s="184">
        <f t="shared" si="10"/>
        <v>0.22865322594553575</v>
      </c>
      <c r="I32" s="90">
        <f t="shared" si="11"/>
        <v>24263670</v>
      </c>
      <c r="J32" s="90">
        <f t="shared" si="11"/>
        <v>9846012</v>
      </c>
      <c r="K32" s="184">
        <f t="shared" si="12"/>
        <v>0.29585507854461779</v>
      </c>
      <c r="L32" s="87">
        <v>7321549</v>
      </c>
      <c r="M32" s="87">
        <v>1201165</v>
      </c>
      <c r="N32" s="87">
        <v>1852912</v>
      </c>
      <c r="O32" s="87">
        <v>853078</v>
      </c>
      <c r="P32" s="87">
        <v>1107575</v>
      </c>
      <c r="Q32" s="87">
        <v>326973</v>
      </c>
      <c r="R32" s="87">
        <v>5060165</v>
      </c>
      <c r="S32" s="87">
        <v>1590528</v>
      </c>
      <c r="T32" s="87">
        <v>4152245</v>
      </c>
      <c r="U32" s="87">
        <v>1783566</v>
      </c>
      <c r="V32" s="87">
        <v>3240354</v>
      </c>
      <c r="W32" s="87">
        <v>3808972</v>
      </c>
      <c r="X32" s="87">
        <v>1528870</v>
      </c>
      <c r="Y32" s="87">
        <v>281730</v>
      </c>
      <c r="Z32" s="243">
        <f t="shared" si="5"/>
        <v>34109682</v>
      </c>
    </row>
    <row r="33" spans="1:26" s="84" customFormat="1" ht="18.75" customHeight="1">
      <c r="A33" s="85"/>
      <c r="B33" s="86"/>
      <c r="C33" s="90"/>
      <c r="D33" s="184"/>
      <c r="E33" s="185"/>
      <c r="F33" s="184"/>
      <c r="G33" s="185"/>
      <c r="H33" s="184"/>
      <c r="I33" s="90"/>
      <c r="J33" s="186"/>
      <c r="K33" s="184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243">
        <f t="shared" si="5"/>
        <v>0</v>
      </c>
    </row>
    <row r="34" spans="1:26" s="84" customFormat="1" ht="27.75" customHeight="1">
      <c r="A34" s="203">
        <v>22</v>
      </c>
      <c r="B34" s="203" t="s">
        <v>173</v>
      </c>
      <c r="C34" s="204">
        <f>SUM(C25:C32)</f>
        <v>7754313870</v>
      </c>
      <c r="D34" s="205">
        <f>IF(C$34=0,"",C34/C$34)</f>
        <v>1</v>
      </c>
      <c r="E34" s="204">
        <f>SUM(E25:E32)</f>
        <v>44554200</v>
      </c>
      <c r="F34" s="205">
        <f>IF($E$34=0,"",E34/$E$34)</f>
        <v>1</v>
      </c>
      <c r="G34" s="204">
        <f>SUM(G25:G32)</f>
        <v>8581484</v>
      </c>
      <c r="H34" s="205">
        <f>IF($G$34=0,"",G34/$G$34)</f>
        <v>1</v>
      </c>
      <c r="I34" s="204">
        <f t="shared" ref="I34:Y34" si="13">SUM(I25:I32)</f>
        <v>90280681</v>
      </c>
      <c r="J34" s="204">
        <f t="shared" si="13"/>
        <v>25011178</v>
      </c>
      <c r="K34" s="205">
        <f>IF($Z$34=0,"",Z34/$Z$34)</f>
        <v>1</v>
      </c>
      <c r="L34" s="204">
        <f t="shared" si="13"/>
        <v>17881568</v>
      </c>
      <c r="M34" s="204">
        <f t="shared" si="13"/>
        <v>3335933</v>
      </c>
      <c r="N34" s="204">
        <f t="shared" si="13"/>
        <v>4504170</v>
      </c>
      <c r="O34" s="204">
        <f t="shared" si="13"/>
        <v>4113080</v>
      </c>
      <c r="P34" s="204">
        <f t="shared" si="13"/>
        <v>2322287</v>
      </c>
      <c r="Q34" s="204">
        <f t="shared" si="13"/>
        <v>652516</v>
      </c>
      <c r="R34" s="204">
        <f t="shared" si="13"/>
        <v>27083159</v>
      </c>
      <c r="S34" s="204">
        <f t="shared" si="13"/>
        <v>7033555</v>
      </c>
      <c r="T34" s="204">
        <f t="shared" si="13"/>
        <v>20657397</v>
      </c>
      <c r="U34" s="204">
        <f t="shared" si="13"/>
        <v>4685553</v>
      </c>
      <c r="V34" s="204">
        <f t="shared" si="13"/>
        <v>13681543</v>
      </c>
      <c r="W34" s="204">
        <f t="shared" si="13"/>
        <v>4412306</v>
      </c>
      <c r="X34" s="204">
        <f t="shared" si="13"/>
        <v>4150557</v>
      </c>
      <c r="Y34" s="204">
        <f t="shared" si="13"/>
        <v>778235</v>
      </c>
      <c r="Z34" s="243">
        <f t="shared" si="5"/>
        <v>115291859</v>
      </c>
    </row>
    <row r="35" spans="1:26" ht="15.75">
      <c r="A35" s="93"/>
    </row>
    <row r="36" spans="1:26" ht="15.75">
      <c r="A36" s="93"/>
    </row>
    <row r="37" spans="1:26" ht="15.75">
      <c r="A37" s="93"/>
      <c r="B37" s="94" t="s">
        <v>0</v>
      </c>
    </row>
    <row r="38" spans="1:26" ht="15.75">
      <c r="A38" s="93"/>
      <c r="B38" s="94"/>
    </row>
    <row r="39" spans="1:26" ht="15.75">
      <c r="A39" s="93"/>
      <c r="B39" s="94" t="s">
        <v>1</v>
      </c>
    </row>
  </sheetData>
  <sheetProtection password="CACA" sheet="1" objects="1" scenarios="1"/>
  <mergeCells count="19">
    <mergeCell ref="X5:Y5"/>
    <mergeCell ref="L4:Y4"/>
    <mergeCell ref="N5:O5"/>
    <mergeCell ref="P5:Q5"/>
    <mergeCell ref="R5:S5"/>
    <mergeCell ref="T5:U5"/>
    <mergeCell ref="V5:W5"/>
    <mergeCell ref="L5:M5"/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</mergeCells>
  <phoneticPr fontId="20" type="noConversion"/>
  <conditionalFormatting sqref="C34 E34 G34 I34:J34 L34:Y34">
    <cfRule type="cellIs" dxfId="249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/>
  <dimension ref="A1:AJ1048576"/>
  <sheetViews>
    <sheetView zoomScale="70" zoomScaleNormal="70" zoomScaleSheetLayoutView="55" workbookViewId="0">
      <pane xSplit="4" ySplit="5" topLeftCell="O42" activePane="bottomRight" state="frozen"/>
      <selection activeCell="C73" sqref="C73"/>
      <selection pane="topRight" activeCell="C73" sqref="C73"/>
      <selection pane="bottomLeft" activeCell="C73" sqref="C73"/>
      <selection pane="bottomRight" activeCell="AA54" sqref="AA54:AA67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1" width="18" style="1" customWidth="1"/>
    <col min="22" max="22" width="14.7109375" style="1" customWidth="1"/>
    <col min="23" max="23" width="14.42578125" style="1" customWidth="1"/>
    <col min="24" max="24" width="12.42578125" style="1" customWidth="1"/>
    <col min="25" max="25" width="17" style="1" bestFit="1" customWidth="1"/>
    <col min="26" max="26" width="14.7109375" style="1" customWidth="1"/>
    <col min="27" max="28" width="14.7109375" style="568" customWidth="1"/>
    <col min="29" max="30" width="14.7109375" style="589" customWidth="1"/>
    <col min="31" max="36" width="9.42578125" style="241"/>
    <col min="37" max="16384" width="9.42578125" style="1"/>
  </cols>
  <sheetData>
    <row r="1" spans="1:36" ht="21" customHeight="1">
      <c r="A1" s="17" t="s">
        <v>696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21" t="s">
        <v>593</v>
      </c>
      <c r="X1" s="15"/>
      <c r="Y1" s="15"/>
      <c r="Z1" s="15"/>
      <c r="AA1" s="566"/>
      <c r="AB1" s="566"/>
    </row>
    <row r="2" spans="1:36" ht="15.75">
      <c r="A2" s="13"/>
      <c r="B2" s="169" t="str">
        <f>+'Asset quality'!B3</f>
        <v xml:space="preserve">АК "АЛОКАБАНК" 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67">
        <f>+'Asset quality'!P3</f>
        <v>44561</v>
      </c>
      <c r="V2" s="13"/>
      <c r="W2" s="168"/>
      <c r="X2" s="13"/>
      <c r="Y2" s="13"/>
      <c r="Z2" s="458" t="s">
        <v>382</v>
      </c>
      <c r="AA2" s="567"/>
      <c r="AB2" s="567"/>
    </row>
    <row r="3" spans="1:36" ht="137.25" customHeight="1">
      <c r="A3" s="18" t="s">
        <v>83</v>
      </c>
      <c r="B3" s="19" t="s">
        <v>176</v>
      </c>
      <c r="C3" s="28" t="s">
        <v>177</v>
      </c>
      <c r="D3" s="28" t="s">
        <v>544</v>
      </c>
      <c r="E3" s="28" t="s">
        <v>178</v>
      </c>
      <c r="F3" s="28" t="s">
        <v>544</v>
      </c>
      <c r="G3" s="28" t="s">
        <v>56</v>
      </c>
      <c r="H3" s="28" t="s">
        <v>544</v>
      </c>
      <c r="I3" s="28" t="s">
        <v>179</v>
      </c>
      <c r="J3" s="28" t="s">
        <v>544</v>
      </c>
      <c r="K3" s="28" t="s">
        <v>34</v>
      </c>
      <c r="L3" s="28" t="s">
        <v>544</v>
      </c>
      <c r="M3" s="28" t="s">
        <v>21</v>
      </c>
      <c r="N3" s="28" t="s">
        <v>544</v>
      </c>
      <c r="O3" s="28" t="s">
        <v>35</v>
      </c>
      <c r="P3" s="28" t="s">
        <v>544</v>
      </c>
      <c r="Q3" s="28" t="s">
        <v>180</v>
      </c>
      <c r="R3" s="28" t="s">
        <v>544</v>
      </c>
      <c r="S3" s="28" t="s">
        <v>36</v>
      </c>
      <c r="T3" s="28" t="s">
        <v>544</v>
      </c>
      <c r="U3" s="28" t="s">
        <v>181</v>
      </c>
      <c r="V3" s="28" t="s">
        <v>544</v>
      </c>
      <c r="W3" s="28" t="s">
        <v>22</v>
      </c>
      <c r="X3" s="28" t="s">
        <v>544</v>
      </c>
      <c r="Y3" s="28" t="s">
        <v>45</v>
      </c>
      <c r="Z3" s="28" t="s">
        <v>544</v>
      </c>
      <c r="AA3" s="590" t="s">
        <v>833</v>
      </c>
      <c r="AB3" s="590" t="s">
        <v>834</v>
      </c>
    </row>
    <row r="4" spans="1:36" s="56" customFormat="1" ht="25.5">
      <c r="A4" s="55" t="s">
        <v>107</v>
      </c>
      <c r="B4" s="55" t="s">
        <v>58</v>
      </c>
      <c r="C4" s="55" t="s">
        <v>59</v>
      </c>
      <c r="D4" s="55" t="s">
        <v>546</v>
      </c>
      <c r="E4" s="55" t="s">
        <v>60</v>
      </c>
      <c r="F4" s="55" t="s">
        <v>547</v>
      </c>
      <c r="G4" s="55" t="s">
        <v>84</v>
      </c>
      <c r="H4" s="55" t="s">
        <v>548</v>
      </c>
      <c r="I4" s="55" t="s">
        <v>85</v>
      </c>
      <c r="J4" s="55" t="s">
        <v>549</v>
      </c>
      <c r="K4" s="55" t="s">
        <v>87</v>
      </c>
      <c r="L4" s="55" t="s">
        <v>550</v>
      </c>
      <c r="M4" s="55" t="s">
        <v>108</v>
      </c>
      <c r="N4" s="55" t="s">
        <v>551</v>
      </c>
      <c r="O4" s="55" t="s">
        <v>109</v>
      </c>
      <c r="P4" s="55" t="s">
        <v>552</v>
      </c>
      <c r="Q4" s="55" t="s">
        <v>110</v>
      </c>
      <c r="R4" s="55" t="s">
        <v>553</v>
      </c>
      <c r="S4" s="55" t="s">
        <v>111</v>
      </c>
      <c r="T4" s="55" t="s">
        <v>554</v>
      </c>
      <c r="U4" s="55" t="s">
        <v>112</v>
      </c>
      <c r="V4" s="55" t="s">
        <v>555</v>
      </c>
      <c r="W4" s="55" t="s">
        <v>113</v>
      </c>
      <c r="X4" s="55" t="s">
        <v>556</v>
      </c>
      <c r="Y4" s="55" t="s">
        <v>44</v>
      </c>
      <c r="Z4" s="55" t="s">
        <v>557</v>
      </c>
      <c r="AA4" s="55" t="s">
        <v>396</v>
      </c>
      <c r="AB4" s="55" t="s">
        <v>397</v>
      </c>
      <c r="AC4" s="591"/>
      <c r="AD4" s="591"/>
      <c r="AE4" s="242"/>
      <c r="AF4" s="242"/>
      <c r="AG4" s="242"/>
      <c r="AH4" s="242"/>
      <c r="AI4" s="242"/>
      <c r="AJ4" s="242"/>
    </row>
    <row r="5" spans="1:36" s="56" customFormat="1" ht="27.75" customHeight="1">
      <c r="A5" s="206"/>
      <c r="B5" s="206" t="s">
        <v>160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592"/>
      <c r="AB5" s="592"/>
      <c r="AC5" s="591"/>
      <c r="AD5" s="591"/>
      <c r="AE5" s="242"/>
      <c r="AF5" s="242"/>
      <c r="AG5" s="242"/>
      <c r="AH5" s="242"/>
      <c r="AI5" s="242"/>
      <c r="AJ5" s="242"/>
    </row>
    <row r="6" spans="1:36" s="20" customFormat="1" ht="23.25" customHeight="1">
      <c r="A6" s="19">
        <v>1</v>
      </c>
      <c r="B6" s="72" t="s">
        <v>161</v>
      </c>
      <c r="C6" s="292">
        <f t="shared" ref="C6:C29" si="0">E6+I6+M6+Q6+U6</f>
        <v>0</v>
      </c>
      <c r="D6" s="292">
        <f>F6+J6+N6+R6+V6</f>
        <v>0</v>
      </c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1">
        <f t="shared" ref="Y6:Y29" si="1">+W6+S6+O6+K6</f>
        <v>0</v>
      </c>
      <c r="Z6" s="291">
        <f t="shared" ref="Z6:Z29" si="2">+X6+T6+P6+L6</f>
        <v>0</v>
      </c>
      <c r="AA6" s="60"/>
      <c r="AB6" s="60"/>
      <c r="AC6" s="593">
        <f>+'Aging Analysis'!C9</f>
        <v>0</v>
      </c>
      <c r="AD6" s="591"/>
      <c r="AE6" s="242"/>
      <c r="AF6" s="242"/>
      <c r="AG6" s="242"/>
      <c r="AH6" s="242"/>
      <c r="AI6" s="242"/>
      <c r="AJ6" s="242"/>
    </row>
    <row r="7" spans="1:36" s="20" customFormat="1" ht="14.25" customHeight="1">
      <c r="A7" s="19"/>
      <c r="B7" s="75" t="s">
        <v>545</v>
      </c>
      <c r="C7" s="77">
        <f t="shared" si="0"/>
        <v>0</v>
      </c>
      <c r="D7" s="292">
        <f t="shared" ref="D7:D29" si="3">F7+J7+N7+R7+V7</f>
        <v>0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54">
        <f t="shared" si="1"/>
        <v>0</v>
      </c>
      <c r="Z7" s="54">
        <f t="shared" si="2"/>
        <v>0</v>
      </c>
      <c r="AA7" s="60"/>
      <c r="AB7" s="60"/>
      <c r="AC7" s="56"/>
      <c r="AD7" s="591"/>
      <c r="AE7" s="242"/>
      <c r="AF7" s="242"/>
      <c r="AG7" s="242"/>
      <c r="AH7" s="242"/>
      <c r="AI7" s="242"/>
      <c r="AJ7" s="242"/>
    </row>
    <row r="8" spans="1:36" s="20" customFormat="1" ht="23.25" customHeight="1">
      <c r="A8" s="19">
        <v>2</v>
      </c>
      <c r="B8" s="72" t="s">
        <v>162</v>
      </c>
      <c r="C8" s="77">
        <f t="shared" si="0"/>
        <v>0</v>
      </c>
      <c r="D8" s="292">
        <f t="shared" si="3"/>
        <v>0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54">
        <f t="shared" si="1"/>
        <v>0</v>
      </c>
      <c r="Z8" s="54">
        <f t="shared" si="2"/>
        <v>0</v>
      </c>
      <c r="AA8" s="60"/>
      <c r="AB8" s="60"/>
      <c r="AC8" s="593">
        <f>+'Aging Analysis'!C10</f>
        <v>0</v>
      </c>
      <c r="AD8" s="591"/>
      <c r="AE8" s="242"/>
      <c r="AF8" s="242"/>
      <c r="AG8" s="242"/>
      <c r="AH8" s="242"/>
      <c r="AI8" s="242"/>
      <c r="AJ8" s="242"/>
    </row>
    <row r="9" spans="1:36" s="20" customFormat="1" ht="14.25" customHeight="1">
      <c r="A9" s="53"/>
      <c r="B9" s="75" t="s">
        <v>545</v>
      </c>
      <c r="C9" s="77">
        <f t="shared" si="0"/>
        <v>0</v>
      </c>
      <c r="D9" s="292">
        <f t="shared" si="3"/>
        <v>0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54">
        <f t="shared" si="1"/>
        <v>0</v>
      </c>
      <c r="Z9" s="54">
        <f t="shared" si="2"/>
        <v>0</v>
      </c>
      <c r="AA9" s="60"/>
      <c r="AB9" s="60"/>
      <c r="AC9" s="56"/>
      <c r="AD9" s="591"/>
      <c r="AE9" s="242"/>
      <c r="AF9" s="242"/>
      <c r="AG9" s="242"/>
      <c r="AH9" s="242"/>
      <c r="AI9" s="242"/>
      <c r="AJ9" s="242"/>
    </row>
    <row r="10" spans="1:36" s="20" customFormat="1" ht="23.25" customHeight="1">
      <c r="A10" s="19">
        <v>3</v>
      </c>
      <c r="B10" s="72" t="s">
        <v>163</v>
      </c>
      <c r="C10" s="77">
        <f t="shared" si="0"/>
        <v>660127</v>
      </c>
      <c r="D10" s="292">
        <f t="shared" si="3"/>
        <v>0</v>
      </c>
      <c r="E10" s="663">
        <v>660127</v>
      </c>
      <c r="F10" s="78">
        <v>0</v>
      </c>
      <c r="G10" s="78">
        <v>5703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54">
        <f t="shared" si="1"/>
        <v>0</v>
      </c>
      <c r="Z10" s="54">
        <f t="shared" si="2"/>
        <v>0</v>
      </c>
      <c r="AA10" s="60"/>
      <c r="AB10" s="60"/>
      <c r="AC10" s="593">
        <f>+'Aging Analysis'!C11</f>
        <v>660127</v>
      </c>
      <c r="AD10" s="591"/>
      <c r="AE10" s="242"/>
      <c r="AF10" s="242"/>
      <c r="AG10" s="242"/>
      <c r="AH10" s="242"/>
      <c r="AI10" s="242"/>
      <c r="AJ10" s="242"/>
    </row>
    <row r="11" spans="1:36" s="20" customFormat="1" ht="14.25" customHeight="1">
      <c r="A11" s="53"/>
      <c r="B11" s="75" t="s">
        <v>545</v>
      </c>
      <c r="C11" s="77">
        <f t="shared" si="0"/>
        <v>0</v>
      </c>
      <c r="D11" s="292">
        <f t="shared" si="3"/>
        <v>0</v>
      </c>
      <c r="E11" s="663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54">
        <f t="shared" si="1"/>
        <v>0</v>
      </c>
      <c r="Z11" s="54">
        <f t="shared" si="2"/>
        <v>0</v>
      </c>
      <c r="AA11" s="60"/>
      <c r="AB11" s="60"/>
      <c r="AC11" s="56"/>
      <c r="AD11" s="591"/>
      <c r="AE11" s="242"/>
      <c r="AF11" s="242"/>
      <c r="AG11" s="242"/>
      <c r="AH11" s="242"/>
      <c r="AI11" s="242"/>
      <c r="AJ11" s="242"/>
    </row>
    <row r="12" spans="1:36" s="20" customFormat="1" ht="23.25" customHeight="1">
      <c r="A12" s="19">
        <v>4</v>
      </c>
      <c r="B12" s="72" t="s">
        <v>164</v>
      </c>
      <c r="C12" s="77">
        <f t="shared" si="0"/>
        <v>1328984229</v>
      </c>
      <c r="D12" s="292">
        <f t="shared" si="3"/>
        <v>0</v>
      </c>
      <c r="E12" s="663">
        <v>1196175378</v>
      </c>
      <c r="F12" s="78">
        <v>0</v>
      </c>
      <c r="G12" s="78">
        <v>10334786</v>
      </c>
      <c r="H12" s="78">
        <v>0</v>
      </c>
      <c r="I12" s="78">
        <v>54715259</v>
      </c>
      <c r="J12" s="78">
        <v>0</v>
      </c>
      <c r="K12" s="78">
        <v>4895843</v>
      </c>
      <c r="L12" s="78">
        <v>0</v>
      </c>
      <c r="M12" s="78">
        <v>13772216</v>
      </c>
      <c r="N12" s="78">
        <v>0</v>
      </c>
      <c r="O12" s="78">
        <v>2687207</v>
      </c>
      <c r="P12" s="78">
        <v>0</v>
      </c>
      <c r="Q12" s="78">
        <v>22457893</v>
      </c>
      <c r="R12" s="78">
        <v>0</v>
      </c>
      <c r="S12" s="78">
        <f>10444374+145542</f>
        <v>10589916</v>
      </c>
      <c r="T12" s="78">
        <v>0</v>
      </c>
      <c r="U12" s="78">
        <v>41863483</v>
      </c>
      <c r="V12" s="78">
        <v>0</v>
      </c>
      <c r="W12" s="78">
        <v>27962194</v>
      </c>
      <c r="X12" s="78">
        <v>0</v>
      </c>
      <c r="Y12" s="54">
        <f t="shared" si="1"/>
        <v>46135160</v>
      </c>
      <c r="Z12" s="54">
        <f t="shared" si="2"/>
        <v>0</v>
      </c>
      <c r="AA12" s="60">
        <v>10700384</v>
      </c>
      <c r="AB12" s="60"/>
      <c r="AC12" s="593">
        <f>+'Aging Analysis'!C12</f>
        <v>1328984229</v>
      </c>
      <c r="AD12" s="591"/>
      <c r="AE12" s="242"/>
      <c r="AF12" s="242"/>
      <c r="AG12" s="242"/>
      <c r="AH12" s="242"/>
      <c r="AI12" s="242"/>
      <c r="AJ12" s="242"/>
    </row>
    <row r="13" spans="1:36" s="20" customFormat="1" ht="14.25" customHeight="1">
      <c r="A13" s="53"/>
      <c r="B13" s="75" t="s">
        <v>545</v>
      </c>
      <c r="C13" s="77">
        <f t="shared" si="0"/>
        <v>0</v>
      </c>
      <c r="D13" s="292">
        <f t="shared" si="3"/>
        <v>0</v>
      </c>
      <c r="E13" s="663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54">
        <f t="shared" si="1"/>
        <v>0</v>
      </c>
      <c r="Z13" s="54">
        <f t="shared" si="2"/>
        <v>0</v>
      </c>
      <c r="AA13" s="60"/>
      <c r="AB13" s="60"/>
      <c r="AC13" s="56"/>
      <c r="AD13" s="591"/>
      <c r="AE13" s="242"/>
      <c r="AF13" s="242"/>
      <c r="AG13" s="242"/>
      <c r="AH13" s="242"/>
      <c r="AI13" s="242"/>
      <c r="AJ13" s="242"/>
    </row>
    <row r="14" spans="1:36" s="20" customFormat="1" ht="23.25" customHeight="1">
      <c r="A14" s="19">
        <v>5</v>
      </c>
      <c r="B14" s="72" t="s">
        <v>165</v>
      </c>
      <c r="C14" s="77">
        <f t="shared" si="0"/>
        <v>1012848254</v>
      </c>
      <c r="D14" s="292">
        <f t="shared" si="3"/>
        <v>355195636</v>
      </c>
      <c r="E14" s="663">
        <v>952098280</v>
      </c>
      <c r="F14" s="78">
        <v>355195636</v>
      </c>
      <c r="G14" s="78">
        <v>8225994</v>
      </c>
      <c r="H14" s="78">
        <v>0</v>
      </c>
      <c r="I14" s="78">
        <v>60749974</v>
      </c>
      <c r="J14" s="78">
        <v>0</v>
      </c>
      <c r="K14" s="78">
        <v>75082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54">
        <f t="shared" si="1"/>
        <v>75082</v>
      </c>
      <c r="Z14" s="54">
        <f t="shared" si="2"/>
        <v>0</v>
      </c>
      <c r="AA14" s="60">
        <v>25644</v>
      </c>
      <c r="AB14" s="60"/>
      <c r="AC14" s="593">
        <f>+'Aging Analysis'!C13</f>
        <v>1012848254</v>
      </c>
      <c r="AD14" s="591"/>
      <c r="AE14" s="242"/>
      <c r="AF14" s="242"/>
      <c r="AG14" s="242"/>
      <c r="AH14" s="242"/>
      <c r="AI14" s="242"/>
      <c r="AJ14" s="242"/>
    </row>
    <row r="15" spans="1:36" s="20" customFormat="1" ht="14.25" customHeight="1">
      <c r="A15" s="53"/>
      <c r="B15" s="75" t="s">
        <v>545</v>
      </c>
      <c r="C15" s="77">
        <f t="shared" si="0"/>
        <v>0</v>
      </c>
      <c r="D15" s="292">
        <f t="shared" si="3"/>
        <v>0</v>
      </c>
      <c r="E15" s="663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54">
        <f t="shared" si="1"/>
        <v>0</v>
      </c>
      <c r="Z15" s="54">
        <f t="shared" si="2"/>
        <v>0</v>
      </c>
      <c r="AA15" s="60"/>
      <c r="AB15" s="60"/>
      <c r="AC15" s="56"/>
      <c r="AD15" s="591"/>
      <c r="AE15" s="242"/>
      <c r="AF15" s="242"/>
      <c r="AG15" s="242"/>
      <c r="AH15" s="242"/>
      <c r="AI15" s="242"/>
      <c r="AJ15" s="242"/>
    </row>
    <row r="16" spans="1:36" s="20" customFormat="1" ht="23.25" customHeight="1">
      <c r="A16" s="19">
        <v>6</v>
      </c>
      <c r="B16" s="72" t="s">
        <v>166</v>
      </c>
      <c r="C16" s="77">
        <f t="shared" si="0"/>
        <v>286422166</v>
      </c>
      <c r="D16" s="292">
        <f t="shared" si="3"/>
        <v>195898524</v>
      </c>
      <c r="E16" s="663">
        <v>239967236</v>
      </c>
      <c r="F16" s="78">
        <v>195898524</v>
      </c>
      <c r="G16" s="78">
        <v>2073283</v>
      </c>
      <c r="H16" s="78">
        <v>0</v>
      </c>
      <c r="I16" s="78">
        <v>44826548</v>
      </c>
      <c r="J16" s="78">
        <v>0</v>
      </c>
      <c r="K16" s="78">
        <v>0</v>
      </c>
      <c r="L16" s="78">
        <v>0</v>
      </c>
      <c r="M16" s="78">
        <v>1617795</v>
      </c>
      <c r="N16" s="78">
        <v>0</v>
      </c>
      <c r="O16" s="78">
        <v>161780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10587</v>
      </c>
      <c r="V16" s="78">
        <v>0</v>
      </c>
      <c r="W16" s="78">
        <v>35587</v>
      </c>
      <c r="X16" s="78">
        <v>0</v>
      </c>
      <c r="Y16" s="54">
        <f t="shared" si="1"/>
        <v>197367</v>
      </c>
      <c r="Z16" s="54">
        <f t="shared" si="2"/>
        <v>0</v>
      </c>
      <c r="AA16" s="60"/>
      <c r="AB16" s="60"/>
      <c r="AC16" s="593">
        <f>+'Aging Analysis'!C14</f>
        <v>286422166</v>
      </c>
      <c r="AD16" s="591"/>
      <c r="AE16" s="242"/>
      <c r="AF16" s="242"/>
      <c r="AG16" s="242"/>
      <c r="AH16" s="242"/>
      <c r="AI16" s="242"/>
      <c r="AJ16" s="242"/>
    </row>
    <row r="17" spans="1:36" s="20" customFormat="1" ht="14.25" customHeight="1">
      <c r="A17" s="53"/>
      <c r="B17" s="75" t="s">
        <v>545</v>
      </c>
      <c r="C17" s="77">
        <f t="shared" si="0"/>
        <v>0</v>
      </c>
      <c r="D17" s="292">
        <f t="shared" si="3"/>
        <v>0</v>
      </c>
      <c r="E17" s="663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54">
        <f t="shared" si="1"/>
        <v>0</v>
      </c>
      <c r="Z17" s="54">
        <f t="shared" si="2"/>
        <v>0</v>
      </c>
      <c r="AA17" s="60"/>
      <c r="AB17" s="60"/>
      <c r="AC17" s="56"/>
      <c r="AD17" s="591"/>
      <c r="AE17" s="242"/>
      <c r="AF17" s="242"/>
      <c r="AG17" s="242"/>
      <c r="AH17" s="242"/>
      <c r="AI17" s="242"/>
      <c r="AJ17" s="242"/>
    </row>
    <row r="18" spans="1:36" s="20" customFormat="1" ht="23.25" customHeight="1">
      <c r="A18" s="19">
        <v>7</v>
      </c>
      <c r="B18" s="72" t="s">
        <v>167</v>
      </c>
      <c r="C18" s="77">
        <f t="shared" si="0"/>
        <v>4899373487</v>
      </c>
      <c r="D18" s="292">
        <f t="shared" si="3"/>
        <v>2313477171</v>
      </c>
      <c r="E18" s="663">
        <v>4232045735</v>
      </c>
      <c r="F18" s="78">
        <v>2123010132</v>
      </c>
      <c r="G18" s="78">
        <v>36564277</v>
      </c>
      <c r="H18" s="78">
        <v>387773</v>
      </c>
      <c r="I18" s="78">
        <v>448813216</v>
      </c>
      <c r="J18" s="78">
        <v>101657876</v>
      </c>
      <c r="K18" s="78">
        <v>14065802</v>
      </c>
      <c r="L18" s="78">
        <v>8960696</v>
      </c>
      <c r="M18" s="78">
        <v>55373590</v>
      </c>
      <c r="N18" s="78">
        <v>48446241</v>
      </c>
      <c r="O18" s="78">
        <v>3354946</v>
      </c>
      <c r="P18" s="78">
        <v>2080260</v>
      </c>
      <c r="Q18" s="78">
        <v>50166487</v>
      </c>
      <c r="R18" s="78">
        <v>5277170</v>
      </c>
      <c r="S18" s="78">
        <f>5348256-145542</f>
        <v>5202714</v>
      </c>
      <c r="T18" s="78">
        <v>626974</v>
      </c>
      <c r="U18" s="78">
        <v>112974459</v>
      </c>
      <c r="V18" s="78">
        <v>35085752</v>
      </c>
      <c r="W18" s="78">
        <f>20374591+1397824</f>
        <v>21772415</v>
      </c>
      <c r="X18" s="78">
        <v>2951959</v>
      </c>
      <c r="Y18" s="54">
        <f t="shared" si="1"/>
        <v>44395877</v>
      </c>
      <c r="Z18" s="54">
        <f t="shared" si="2"/>
        <v>14619889</v>
      </c>
      <c r="AA18" s="60">
        <v>11159578</v>
      </c>
      <c r="AB18" s="60"/>
      <c r="AC18" s="593">
        <f>+'Aging Analysis'!C15</f>
        <v>4899373487</v>
      </c>
      <c r="AD18" s="591"/>
      <c r="AE18" s="242"/>
      <c r="AF18" s="242"/>
      <c r="AG18" s="242"/>
      <c r="AH18" s="242"/>
      <c r="AI18" s="242"/>
      <c r="AJ18" s="242"/>
    </row>
    <row r="19" spans="1:36" s="20" customFormat="1" ht="14.25" customHeight="1">
      <c r="A19" s="53"/>
      <c r="B19" s="75" t="s">
        <v>545</v>
      </c>
      <c r="C19" s="77">
        <f t="shared" si="0"/>
        <v>0</v>
      </c>
      <c r="D19" s="292">
        <f t="shared" si="3"/>
        <v>0</v>
      </c>
      <c r="E19" s="663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54">
        <f t="shared" si="1"/>
        <v>0</v>
      </c>
      <c r="Z19" s="54">
        <f t="shared" si="2"/>
        <v>0</v>
      </c>
      <c r="AA19" s="60"/>
      <c r="AB19" s="60"/>
      <c r="AC19" s="56"/>
      <c r="AD19" s="591"/>
      <c r="AE19" s="242"/>
      <c r="AF19" s="242"/>
      <c r="AG19" s="242"/>
      <c r="AH19" s="242"/>
      <c r="AI19" s="242"/>
      <c r="AJ19" s="242"/>
    </row>
    <row r="20" spans="1:36" s="20" customFormat="1" ht="23.25" customHeight="1">
      <c r="A20" s="19">
        <v>8</v>
      </c>
      <c r="B20" s="72" t="s">
        <v>168</v>
      </c>
      <c r="C20" s="77">
        <f t="shared" si="0"/>
        <v>31561978</v>
      </c>
      <c r="D20" s="292">
        <f t="shared" si="3"/>
        <v>23828423</v>
      </c>
      <c r="E20" s="663">
        <f>30097106-850791</f>
        <v>29246315</v>
      </c>
      <c r="F20" s="78">
        <v>22217203</v>
      </c>
      <c r="G20" s="78">
        <v>252684</v>
      </c>
      <c r="H20" s="78">
        <v>0</v>
      </c>
      <c r="I20" s="78">
        <v>1822413</v>
      </c>
      <c r="J20" s="78">
        <v>1611220</v>
      </c>
      <c r="K20" s="78">
        <v>182241</v>
      </c>
      <c r="L20" s="78">
        <v>161122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493250</v>
      </c>
      <c r="V20" s="78">
        <v>0</v>
      </c>
      <c r="W20" s="78">
        <v>493250</v>
      </c>
      <c r="X20" s="78">
        <v>0</v>
      </c>
      <c r="Y20" s="54">
        <f t="shared" si="1"/>
        <v>675491</v>
      </c>
      <c r="Z20" s="54">
        <f t="shared" si="2"/>
        <v>161122</v>
      </c>
      <c r="AA20" s="60"/>
      <c r="AB20" s="60"/>
      <c r="AC20" s="593">
        <f>+'Aging Analysis'!C16</f>
        <v>31561978</v>
      </c>
      <c r="AD20" s="591"/>
      <c r="AE20" s="242"/>
      <c r="AF20" s="242"/>
      <c r="AG20" s="242"/>
      <c r="AH20" s="242"/>
      <c r="AI20" s="242"/>
      <c r="AJ20" s="242"/>
    </row>
    <row r="21" spans="1:36" s="20" customFormat="1" ht="14.25" customHeight="1">
      <c r="A21" s="53"/>
      <c r="B21" s="75" t="s">
        <v>545</v>
      </c>
      <c r="C21" s="77">
        <f t="shared" si="0"/>
        <v>0</v>
      </c>
      <c r="D21" s="292">
        <f t="shared" si="3"/>
        <v>0</v>
      </c>
      <c r="E21" s="663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54">
        <f t="shared" si="1"/>
        <v>0</v>
      </c>
      <c r="Z21" s="54">
        <f t="shared" si="2"/>
        <v>0</v>
      </c>
      <c r="AA21" s="60"/>
      <c r="AB21" s="60"/>
      <c r="AC21" s="56"/>
      <c r="AD21" s="591"/>
      <c r="AE21" s="242"/>
      <c r="AF21" s="242"/>
      <c r="AG21" s="242"/>
      <c r="AH21" s="242"/>
      <c r="AI21" s="242"/>
      <c r="AJ21" s="242"/>
    </row>
    <row r="22" spans="1:36" s="20" customFormat="1" ht="23.25" customHeight="1">
      <c r="A22" s="19">
        <v>9</v>
      </c>
      <c r="B22" s="72" t="s">
        <v>169</v>
      </c>
      <c r="C22" s="77">
        <f t="shared" si="0"/>
        <v>64423145</v>
      </c>
      <c r="D22" s="292">
        <f t="shared" si="3"/>
        <v>41906782</v>
      </c>
      <c r="E22" s="663">
        <v>64423145</v>
      </c>
      <c r="F22" s="78">
        <v>41906782</v>
      </c>
      <c r="G22" s="78">
        <v>556607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54">
        <f t="shared" si="1"/>
        <v>0</v>
      </c>
      <c r="Z22" s="54">
        <f t="shared" si="2"/>
        <v>0</v>
      </c>
      <c r="AA22" s="60"/>
      <c r="AB22" s="60"/>
      <c r="AC22" s="593">
        <f>+'Aging Analysis'!C17</f>
        <v>64423145</v>
      </c>
      <c r="AD22" s="591"/>
      <c r="AE22" s="242"/>
      <c r="AF22" s="242"/>
      <c r="AG22" s="242"/>
      <c r="AH22" s="242"/>
      <c r="AI22" s="242"/>
      <c r="AJ22" s="242"/>
    </row>
    <row r="23" spans="1:36" s="20" customFormat="1" ht="14.25" customHeight="1">
      <c r="A23" s="53"/>
      <c r="B23" s="75" t="s">
        <v>545</v>
      </c>
      <c r="C23" s="77">
        <f t="shared" si="0"/>
        <v>0</v>
      </c>
      <c r="D23" s="292">
        <f t="shared" si="3"/>
        <v>0</v>
      </c>
      <c r="E23" s="663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54">
        <f t="shared" si="1"/>
        <v>0</v>
      </c>
      <c r="Z23" s="54">
        <f t="shared" si="2"/>
        <v>0</v>
      </c>
      <c r="AA23" s="60"/>
      <c r="AB23" s="60"/>
      <c r="AC23" s="56"/>
      <c r="AD23" s="591"/>
      <c r="AE23" s="242"/>
      <c r="AF23" s="242"/>
      <c r="AG23" s="242"/>
      <c r="AH23" s="242"/>
      <c r="AI23" s="242"/>
      <c r="AJ23" s="242"/>
    </row>
    <row r="24" spans="1:36" s="20" customFormat="1" ht="23.25" customHeight="1">
      <c r="A24" s="19">
        <v>10</v>
      </c>
      <c r="B24" s="72" t="s">
        <v>170</v>
      </c>
      <c r="C24" s="77">
        <f t="shared" si="0"/>
        <v>13925281</v>
      </c>
      <c r="D24" s="292">
        <f t="shared" si="3"/>
        <v>6446959</v>
      </c>
      <c r="E24" s="663">
        <f>12166088-950000</f>
        <v>11216088</v>
      </c>
      <c r="F24" s="78">
        <v>6446959</v>
      </c>
      <c r="G24" s="78">
        <v>96905</v>
      </c>
      <c r="H24" s="78">
        <v>0</v>
      </c>
      <c r="I24" s="78">
        <v>730999</v>
      </c>
      <c r="J24" s="78">
        <v>0</v>
      </c>
      <c r="K24" s="78">
        <v>282308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1978194</v>
      </c>
      <c r="V24" s="78">
        <v>0</v>
      </c>
      <c r="W24" s="78">
        <v>342200</v>
      </c>
      <c r="X24" s="78">
        <v>0</v>
      </c>
      <c r="Y24" s="54">
        <f t="shared" si="1"/>
        <v>624508</v>
      </c>
      <c r="Z24" s="54">
        <f t="shared" si="2"/>
        <v>0</v>
      </c>
      <c r="AA24" s="60">
        <v>3028371</v>
      </c>
      <c r="AB24" s="60"/>
      <c r="AC24" s="593">
        <f>+'Aging Analysis'!C18</f>
        <v>13925281</v>
      </c>
      <c r="AD24" s="591"/>
      <c r="AE24" s="242"/>
      <c r="AF24" s="242"/>
      <c r="AG24" s="242"/>
      <c r="AH24" s="242"/>
      <c r="AI24" s="242"/>
      <c r="AJ24" s="242"/>
    </row>
    <row r="25" spans="1:36" s="20" customFormat="1" ht="14.25" customHeight="1">
      <c r="A25" s="53"/>
      <c r="B25" s="75" t="s">
        <v>545</v>
      </c>
      <c r="C25" s="77">
        <f t="shared" si="0"/>
        <v>0</v>
      </c>
      <c r="D25" s="292">
        <f t="shared" si="3"/>
        <v>0</v>
      </c>
      <c r="E25" s="663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54">
        <f t="shared" si="1"/>
        <v>0</v>
      </c>
      <c r="Z25" s="54">
        <f t="shared" si="2"/>
        <v>0</v>
      </c>
      <c r="AA25" s="60"/>
      <c r="AB25" s="60"/>
      <c r="AC25" s="56"/>
      <c r="AD25" s="591"/>
      <c r="AE25" s="242"/>
      <c r="AF25" s="242"/>
      <c r="AG25" s="242"/>
      <c r="AH25" s="242"/>
      <c r="AI25" s="242"/>
      <c r="AJ25" s="242"/>
    </row>
    <row r="26" spans="1:36" s="20" customFormat="1" ht="23.25" customHeight="1">
      <c r="A26" s="19">
        <v>11</v>
      </c>
      <c r="B26" s="72" t="s">
        <v>171</v>
      </c>
      <c r="C26" s="77">
        <f t="shared" si="0"/>
        <v>0</v>
      </c>
      <c r="D26" s="292">
        <f t="shared" si="3"/>
        <v>0</v>
      </c>
      <c r="E26" s="663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54">
        <f t="shared" si="1"/>
        <v>0</v>
      </c>
      <c r="Z26" s="54">
        <f t="shared" si="2"/>
        <v>0</v>
      </c>
      <c r="AA26" s="60"/>
      <c r="AB26" s="60"/>
      <c r="AC26" s="593">
        <f>+'Aging Analysis'!C19</f>
        <v>0</v>
      </c>
      <c r="AD26" s="591"/>
      <c r="AE26" s="242"/>
      <c r="AF26" s="242"/>
      <c r="AG26" s="242"/>
      <c r="AH26" s="242"/>
      <c r="AI26" s="242"/>
      <c r="AJ26" s="242"/>
    </row>
    <row r="27" spans="1:36" s="20" customFormat="1" ht="14.25" customHeight="1">
      <c r="A27" s="53"/>
      <c r="B27" s="75" t="s">
        <v>545</v>
      </c>
      <c r="C27" s="77">
        <f t="shared" si="0"/>
        <v>0</v>
      </c>
      <c r="D27" s="292">
        <f t="shared" si="3"/>
        <v>0</v>
      </c>
      <c r="E27" s="663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54">
        <f t="shared" si="1"/>
        <v>0</v>
      </c>
      <c r="Z27" s="54">
        <f t="shared" si="2"/>
        <v>0</v>
      </c>
      <c r="AA27" s="60"/>
      <c r="AB27" s="60"/>
      <c r="AC27" s="56"/>
      <c r="AD27" s="591"/>
      <c r="AE27" s="242"/>
      <c r="AF27" s="242"/>
      <c r="AG27" s="242"/>
      <c r="AH27" s="242"/>
      <c r="AI27" s="242"/>
      <c r="AJ27" s="242"/>
    </row>
    <row r="28" spans="1:36" s="20" customFormat="1" ht="23.25" customHeight="1">
      <c r="A28" s="19">
        <v>12</v>
      </c>
      <c r="B28" s="72" t="s">
        <v>172</v>
      </c>
      <c r="C28" s="77">
        <f t="shared" si="0"/>
        <v>116115203</v>
      </c>
      <c r="D28" s="292">
        <f t="shared" si="3"/>
        <v>10141407</v>
      </c>
      <c r="E28" s="663">
        <f>95738441+1800786+1</f>
        <v>97539228</v>
      </c>
      <c r="F28" s="78">
        <f>10141405+2</f>
        <v>10141407</v>
      </c>
      <c r="G28" s="78">
        <v>842726</v>
      </c>
      <c r="H28" s="78">
        <v>0</v>
      </c>
      <c r="I28" s="78">
        <f>4950944+1</f>
        <v>4950945</v>
      </c>
      <c r="J28" s="78">
        <v>0</v>
      </c>
      <c r="K28" s="78">
        <f>1241279-1</f>
        <v>1241278</v>
      </c>
      <c r="L28" s="78">
        <v>0</v>
      </c>
      <c r="M28" s="78">
        <v>912319</v>
      </c>
      <c r="N28" s="78">
        <v>0</v>
      </c>
      <c r="O28" s="78">
        <v>279869</v>
      </c>
      <c r="P28" s="78">
        <v>0</v>
      </c>
      <c r="Q28" s="78">
        <v>1136647</v>
      </c>
      <c r="R28" s="78">
        <v>0</v>
      </c>
      <c r="S28" s="78">
        <v>251331</v>
      </c>
      <c r="T28" s="78">
        <v>0</v>
      </c>
      <c r="U28" s="78">
        <v>11576064</v>
      </c>
      <c r="V28" s="78">
        <v>0</v>
      </c>
      <c r="W28" s="78">
        <v>7118381</v>
      </c>
      <c r="X28" s="78">
        <v>0</v>
      </c>
      <c r="Y28" s="54">
        <f t="shared" si="1"/>
        <v>8890859</v>
      </c>
      <c r="Z28" s="54">
        <f t="shared" si="2"/>
        <v>0</v>
      </c>
      <c r="AA28" s="60">
        <v>831401</v>
      </c>
      <c r="AB28" s="60"/>
      <c r="AC28" s="593">
        <f>+'Aging Analysis'!C20</f>
        <v>116115203</v>
      </c>
      <c r="AD28" s="591"/>
      <c r="AE28" s="242"/>
      <c r="AF28" s="242"/>
      <c r="AG28" s="242"/>
      <c r="AH28" s="242"/>
      <c r="AI28" s="242"/>
      <c r="AJ28" s="242"/>
    </row>
    <row r="29" spans="1:36" s="20" customFormat="1" ht="14.25" customHeight="1">
      <c r="A29" s="53"/>
      <c r="B29" s="75" t="s">
        <v>545</v>
      </c>
      <c r="C29" s="77">
        <f t="shared" si="0"/>
        <v>0</v>
      </c>
      <c r="D29" s="292">
        <f t="shared" si="3"/>
        <v>0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54">
        <f t="shared" si="1"/>
        <v>0</v>
      </c>
      <c r="Z29" s="54">
        <f t="shared" si="2"/>
        <v>0</v>
      </c>
      <c r="AA29" s="60"/>
      <c r="AB29" s="60"/>
      <c r="AC29" s="591"/>
      <c r="AD29" s="591"/>
      <c r="AE29" s="242"/>
      <c r="AF29" s="242"/>
      <c r="AG29" s="242"/>
      <c r="AH29" s="242"/>
      <c r="AI29" s="242"/>
      <c r="AJ29" s="242"/>
    </row>
    <row r="30" spans="1:36" s="84" customFormat="1" ht="28.5" customHeight="1">
      <c r="A30" s="203">
        <v>13</v>
      </c>
      <c r="B30" s="203" t="s">
        <v>173</v>
      </c>
      <c r="C30" s="206">
        <f t="shared" ref="C30:AB30" si="4">+C6+C8+C10+C12+C14+C16+C18+C20+C22+C24+C26+C28</f>
        <v>7754313870</v>
      </c>
      <c r="D30" s="206">
        <f t="shared" si="4"/>
        <v>2946894902</v>
      </c>
      <c r="E30" s="206">
        <f t="shared" si="4"/>
        <v>6823371532</v>
      </c>
      <c r="F30" s="206">
        <f t="shared" si="4"/>
        <v>2754816643</v>
      </c>
      <c r="G30" s="206">
        <f t="shared" si="4"/>
        <v>58952965</v>
      </c>
      <c r="H30" s="206">
        <f t="shared" si="4"/>
        <v>387773</v>
      </c>
      <c r="I30" s="206">
        <f t="shared" si="4"/>
        <v>616609354</v>
      </c>
      <c r="J30" s="206">
        <f t="shared" si="4"/>
        <v>103269096</v>
      </c>
      <c r="K30" s="206">
        <f t="shared" si="4"/>
        <v>20742554</v>
      </c>
      <c r="L30" s="206">
        <f t="shared" si="4"/>
        <v>9121818</v>
      </c>
      <c r="M30" s="206">
        <f t="shared" si="4"/>
        <v>71675920</v>
      </c>
      <c r="N30" s="206">
        <f t="shared" si="4"/>
        <v>48446241</v>
      </c>
      <c r="O30" s="206">
        <f t="shared" si="4"/>
        <v>6483802</v>
      </c>
      <c r="P30" s="206">
        <f t="shared" si="4"/>
        <v>2080260</v>
      </c>
      <c r="Q30" s="206">
        <f t="shared" si="4"/>
        <v>73761027</v>
      </c>
      <c r="R30" s="206">
        <f t="shared" si="4"/>
        <v>5277170</v>
      </c>
      <c r="S30" s="206">
        <f t="shared" si="4"/>
        <v>16043961</v>
      </c>
      <c r="T30" s="206">
        <f t="shared" si="4"/>
        <v>626974</v>
      </c>
      <c r="U30" s="206">
        <f t="shared" si="4"/>
        <v>168896037</v>
      </c>
      <c r="V30" s="206">
        <f t="shared" si="4"/>
        <v>35085752</v>
      </c>
      <c r="W30" s="206">
        <f t="shared" si="4"/>
        <v>57724027</v>
      </c>
      <c r="X30" s="206">
        <f t="shared" si="4"/>
        <v>2951959</v>
      </c>
      <c r="Y30" s="206">
        <f t="shared" si="4"/>
        <v>100994344</v>
      </c>
      <c r="Z30" s="206">
        <f t="shared" si="4"/>
        <v>14781011</v>
      </c>
      <c r="AA30" s="592">
        <f t="shared" si="4"/>
        <v>25745378</v>
      </c>
      <c r="AB30" s="592">
        <f t="shared" si="4"/>
        <v>0</v>
      </c>
      <c r="AC30" s="591"/>
      <c r="AD30" s="591"/>
      <c r="AE30" s="242"/>
      <c r="AF30" s="242"/>
      <c r="AG30" s="242"/>
      <c r="AH30" s="242"/>
      <c r="AI30" s="242"/>
      <c r="AJ30" s="242"/>
    </row>
    <row r="31" spans="1:36" s="20" customFormat="1" ht="13.5" customHeight="1">
      <c r="A31" s="76"/>
      <c r="B31" s="75" t="s">
        <v>545</v>
      </c>
      <c r="C31" s="74">
        <f t="shared" ref="C31:Z31" si="5">+C7+C9+C11+C13+C15+C17+C19+C21+C23+C25+C27+C29</f>
        <v>0</v>
      </c>
      <c r="D31" s="74">
        <f t="shared" si="5"/>
        <v>0</v>
      </c>
      <c r="E31" s="74">
        <f t="shared" si="5"/>
        <v>0</v>
      </c>
      <c r="F31" s="74">
        <f t="shared" si="5"/>
        <v>0</v>
      </c>
      <c r="G31" s="74">
        <f t="shared" si="5"/>
        <v>0</v>
      </c>
      <c r="H31" s="74">
        <f t="shared" si="5"/>
        <v>0</v>
      </c>
      <c r="I31" s="74">
        <f t="shared" si="5"/>
        <v>0</v>
      </c>
      <c r="J31" s="74">
        <f t="shared" si="5"/>
        <v>0</v>
      </c>
      <c r="K31" s="74">
        <f t="shared" si="5"/>
        <v>0</v>
      </c>
      <c r="L31" s="74">
        <f t="shared" si="5"/>
        <v>0</v>
      </c>
      <c r="M31" s="74">
        <f t="shared" si="5"/>
        <v>0</v>
      </c>
      <c r="N31" s="74">
        <f t="shared" si="5"/>
        <v>0</v>
      </c>
      <c r="O31" s="74">
        <f t="shared" si="5"/>
        <v>0</v>
      </c>
      <c r="P31" s="74">
        <f t="shared" si="5"/>
        <v>0</v>
      </c>
      <c r="Q31" s="74">
        <f t="shared" si="5"/>
        <v>0</v>
      </c>
      <c r="R31" s="74">
        <f t="shared" si="5"/>
        <v>0</v>
      </c>
      <c r="S31" s="74">
        <f t="shared" si="5"/>
        <v>0</v>
      </c>
      <c r="T31" s="74">
        <f t="shared" si="5"/>
        <v>0</v>
      </c>
      <c r="U31" s="74">
        <f t="shared" si="5"/>
        <v>0</v>
      </c>
      <c r="V31" s="74">
        <f t="shared" si="5"/>
        <v>0</v>
      </c>
      <c r="W31" s="74">
        <f t="shared" si="5"/>
        <v>0</v>
      </c>
      <c r="X31" s="74">
        <f t="shared" si="5"/>
        <v>0</v>
      </c>
      <c r="Y31" s="74">
        <f t="shared" si="5"/>
        <v>0</v>
      </c>
      <c r="Z31" s="74">
        <f t="shared" si="5"/>
        <v>0</v>
      </c>
      <c r="AA31" s="74"/>
      <c r="AB31" s="74"/>
      <c r="AC31" s="591"/>
      <c r="AD31" s="591"/>
      <c r="AE31" s="242"/>
      <c r="AF31" s="242"/>
      <c r="AG31" s="242"/>
      <c r="AH31" s="242"/>
      <c r="AI31" s="242"/>
      <c r="AJ31" s="242"/>
    </row>
    <row r="32" spans="1:36" s="56" customFormat="1" ht="27.75" customHeight="1">
      <c r="A32" s="206"/>
      <c r="B32" s="206" t="s">
        <v>174</v>
      </c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592"/>
      <c r="AB32" s="592"/>
      <c r="AC32" s="591"/>
      <c r="AD32" s="591"/>
      <c r="AE32" s="242"/>
      <c r="AF32" s="242"/>
      <c r="AG32" s="242"/>
      <c r="AH32" s="242"/>
      <c r="AI32" s="242"/>
      <c r="AJ32" s="242"/>
    </row>
    <row r="33" spans="1:36" s="56" customFormat="1" ht="7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91"/>
      <c r="AD33" s="591"/>
      <c r="AE33" s="242"/>
      <c r="AF33" s="242"/>
      <c r="AG33" s="242"/>
      <c r="AH33" s="242"/>
      <c r="AI33" s="242"/>
      <c r="AJ33" s="242"/>
    </row>
    <row r="34" spans="1:36" s="20" customFormat="1" ht="23.25" customHeight="1">
      <c r="A34" s="76">
        <v>14</v>
      </c>
      <c r="B34" s="175" t="s">
        <v>118</v>
      </c>
      <c r="C34" s="77">
        <f t="shared" ref="C34:D49" si="6">E34+I34+M34+Q34+U34</f>
        <v>2695352702</v>
      </c>
      <c r="D34" s="292">
        <f t="shared" si="6"/>
        <v>1760487337</v>
      </c>
      <c r="E34" s="663">
        <v>2279715182</v>
      </c>
      <c r="F34" s="78">
        <v>1643945482</v>
      </c>
      <c r="G34" s="78">
        <v>19696417</v>
      </c>
      <c r="H34" s="78">
        <v>0</v>
      </c>
      <c r="I34" s="78">
        <v>315188074</v>
      </c>
      <c r="J34" s="78">
        <v>36287914</v>
      </c>
      <c r="K34" s="78">
        <v>1618242</v>
      </c>
      <c r="L34" s="78">
        <v>172960</v>
      </c>
      <c r="M34" s="78">
        <v>48002941</v>
      </c>
      <c r="N34" s="78">
        <v>45168189</v>
      </c>
      <c r="O34" s="78">
        <v>356512</v>
      </c>
      <c r="P34" s="78">
        <v>0</v>
      </c>
      <c r="Q34" s="78">
        <v>3135982</v>
      </c>
      <c r="R34" s="78">
        <v>0</v>
      </c>
      <c r="S34" s="78">
        <v>690973</v>
      </c>
      <c r="T34" s="78">
        <v>0</v>
      </c>
      <c r="U34" s="78">
        <v>49310523</v>
      </c>
      <c r="V34" s="78">
        <v>35085752</v>
      </c>
      <c r="W34" s="78">
        <f>9240081+1397824</f>
        <v>10637905</v>
      </c>
      <c r="X34" s="78">
        <v>2951959</v>
      </c>
      <c r="Y34" s="291">
        <f>+W34+S34+O34+K34</f>
        <v>13303632</v>
      </c>
      <c r="Z34" s="291">
        <f>+X34+T34+P34+L34</f>
        <v>3124919</v>
      </c>
      <c r="AA34" s="60">
        <v>413675</v>
      </c>
      <c r="AB34" s="60"/>
      <c r="AC34" s="593">
        <f>+'Aging Analysis'!C25</f>
        <v>2695352702</v>
      </c>
      <c r="AD34" s="591"/>
      <c r="AE34" s="242"/>
      <c r="AF34" s="242"/>
      <c r="AG34" s="242"/>
      <c r="AH34" s="242"/>
      <c r="AI34" s="242"/>
      <c r="AJ34" s="242"/>
    </row>
    <row r="35" spans="1:36" s="20" customFormat="1" ht="14.25" customHeight="1">
      <c r="A35" s="53"/>
      <c r="B35" s="75" t="s">
        <v>545</v>
      </c>
      <c r="C35" s="77">
        <f t="shared" si="6"/>
        <v>0</v>
      </c>
      <c r="D35" s="292">
        <f t="shared" si="6"/>
        <v>0</v>
      </c>
      <c r="E35" s="663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54">
        <f t="shared" ref="Y35:Y49" si="7">+W35+S35+O35+K35</f>
        <v>0</v>
      </c>
      <c r="Z35" s="54">
        <f t="shared" ref="Z35:Z49" si="8">+X35+T35+P35+L35</f>
        <v>0</v>
      </c>
      <c r="AA35" s="60"/>
      <c r="AB35" s="60"/>
      <c r="AC35" s="56"/>
      <c r="AD35" s="591"/>
      <c r="AE35" s="242"/>
      <c r="AF35" s="242"/>
      <c r="AG35" s="242"/>
      <c r="AH35" s="242"/>
      <c r="AI35" s="242"/>
      <c r="AJ35" s="242"/>
    </row>
    <row r="36" spans="1:36" s="20" customFormat="1" ht="23.25" customHeight="1">
      <c r="A36" s="76">
        <v>15</v>
      </c>
      <c r="B36" s="72" t="s">
        <v>126</v>
      </c>
      <c r="C36" s="77">
        <f t="shared" si="6"/>
        <v>233885083</v>
      </c>
      <c r="D36" s="292">
        <f t="shared" si="6"/>
        <v>146279298</v>
      </c>
      <c r="E36" s="663">
        <v>185470746</v>
      </c>
      <c r="F36" s="78">
        <v>130192263</v>
      </c>
      <c r="G36" s="78">
        <v>1602441</v>
      </c>
      <c r="H36" s="78">
        <v>166782</v>
      </c>
      <c r="I36" s="78">
        <v>37547420</v>
      </c>
      <c r="J36" s="78">
        <v>14489979</v>
      </c>
      <c r="K36" s="78">
        <v>263171</v>
      </c>
      <c r="L36" s="78">
        <v>161122</v>
      </c>
      <c r="M36" s="78">
        <v>4182287</v>
      </c>
      <c r="N36" s="78">
        <v>1597056</v>
      </c>
      <c r="O36" s="78">
        <v>720633</v>
      </c>
      <c r="P36" s="78">
        <v>399264</v>
      </c>
      <c r="Q36" s="78">
        <v>1605227</v>
      </c>
      <c r="R36" s="78">
        <v>0</v>
      </c>
      <c r="S36" s="78">
        <v>485621</v>
      </c>
      <c r="T36" s="78">
        <v>0</v>
      </c>
      <c r="U36" s="78">
        <v>5079403</v>
      </c>
      <c r="V36" s="78">
        <v>0</v>
      </c>
      <c r="W36" s="78">
        <v>1788577</v>
      </c>
      <c r="X36" s="78">
        <v>0</v>
      </c>
      <c r="Y36" s="291">
        <f t="shared" si="7"/>
        <v>3258002</v>
      </c>
      <c r="Z36" s="291">
        <f t="shared" si="8"/>
        <v>560386</v>
      </c>
      <c r="AA36" s="60">
        <v>949693</v>
      </c>
      <c r="AB36" s="60"/>
      <c r="AC36" s="593">
        <f>+'Aging Analysis'!C26</f>
        <v>233885083</v>
      </c>
      <c r="AD36" s="591"/>
      <c r="AE36" s="242"/>
      <c r="AF36" s="242"/>
      <c r="AG36" s="242"/>
      <c r="AH36" s="242"/>
      <c r="AI36" s="242"/>
      <c r="AJ36" s="242"/>
    </row>
    <row r="37" spans="1:36" s="20" customFormat="1" ht="14.25" customHeight="1">
      <c r="A37" s="53"/>
      <c r="B37" s="75" t="s">
        <v>545</v>
      </c>
      <c r="C37" s="77">
        <f t="shared" si="6"/>
        <v>0</v>
      </c>
      <c r="D37" s="292">
        <f t="shared" si="6"/>
        <v>0</v>
      </c>
      <c r="E37" s="663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54">
        <f t="shared" si="7"/>
        <v>0</v>
      </c>
      <c r="Z37" s="54">
        <f t="shared" si="8"/>
        <v>0</v>
      </c>
      <c r="AA37" s="60"/>
      <c r="AB37" s="60"/>
      <c r="AC37" s="56"/>
      <c r="AD37" s="591"/>
      <c r="AE37" s="242"/>
      <c r="AF37" s="242"/>
      <c r="AG37" s="242"/>
      <c r="AH37" s="242"/>
      <c r="AI37" s="242"/>
      <c r="AJ37" s="242"/>
    </row>
    <row r="38" spans="1:36" s="20" customFormat="1" ht="23.25" customHeight="1">
      <c r="A38" s="76">
        <v>16</v>
      </c>
      <c r="B38" s="72" t="s">
        <v>129</v>
      </c>
      <c r="C38" s="77">
        <f t="shared" si="6"/>
        <v>826803668</v>
      </c>
      <c r="D38" s="292">
        <f t="shared" si="6"/>
        <v>41565170</v>
      </c>
      <c r="E38" s="663">
        <f>788901478-1</f>
        <v>788901477</v>
      </c>
      <c r="F38" s="78">
        <v>39235905</v>
      </c>
      <c r="G38" s="78">
        <v>6815997</v>
      </c>
      <c r="H38" s="78">
        <v>220991</v>
      </c>
      <c r="I38" s="78">
        <v>12905689</v>
      </c>
      <c r="J38" s="78">
        <v>1075317</v>
      </c>
      <c r="K38" s="78">
        <v>682641</v>
      </c>
      <c r="L38" s="78">
        <v>268829</v>
      </c>
      <c r="M38" s="78">
        <v>1814186</v>
      </c>
      <c r="N38" s="78">
        <v>0</v>
      </c>
      <c r="O38" s="78">
        <v>387864</v>
      </c>
      <c r="P38" s="78">
        <v>0</v>
      </c>
      <c r="Q38" s="78">
        <v>3443223</v>
      </c>
      <c r="R38" s="78">
        <v>1253948</v>
      </c>
      <c r="S38" s="78">
        <v>1565817</v>
      </c>
      <c r="T38" s="78">
        <v>626974</v>
      </c>
      <c r="U38" s="78">
        <v>19739093</v>
      </c>
      <c r="V38" s="78">
        <v>0</v>
      </c>
      <c r="W38" s="78">
        <v>1108585</v>
      </c>
      <c r="X38" s="78">
        <v>0</v>
      </c>
      <c r="Y38" s="291">
        <f t="shared" si="7"/>
        <v>3744907</v>
      </c>
      <c r="Z38" s="291">
        <f t="shared" si="8"/>
        <v>895803</v>
      </c>
      <c r="AA38" s="60">
        <v>175451</v>
      </c>
      <c r="AB38" s="60"/>
      <c r="AC38" s="593">
        <f>+'Aging Analysis'!C27</f>
        <v>826803668</v>
      </c>
      <c r="AD38" s="591"/>
      <c r="AE38" s="242"/>
      <c r="AF38" s="242"/>
      <c r="AG38" s="242"/>
      <c r="AH38" s="242"/>
      <c r="AI38" s="242"/>
      <c r="AJ38" s="242"/>
    </row>
    <row r="39" spans="1:36" s="20" customFormat="1" ht="14.25" customHeight="1">
      <c r="A39" s="53"/>
      <c r="B39" s="75" t="s">
        <v>545</v>
      </c>
      <c r="C39" s="77">
        <f t="shared" si="6"/>
        <v>0</v>
      </c>
      <c r="D39" s="292">
        <f t="shared" si="6"/>
        <v>0</v>
      </c>
      <c r="E39" s="663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54">
        <f t="shared" si="7"/>
        <v>0</v>
      </c>
      <c r="Z39" s="54">
        <f t="shared" si="8"/>
        <v>0</v>
      </c>
      <c r="AA39" s="60"/>
      <c r="AB39" s="60"/>
      <c r="AC39" s="56"/>
      <c r="AD39" s="591"/>
      <c r="AE39" s="242"/>
      <c r="AF39" s="242"/>
      <c r="AG39" s="242"/>
      <c r="AH39" s="242"/>
      <c r="AI39" s="242"/>
      <c r="AJ39" s="242"/>
    </row>
    <row r="40" spans="1:36" s="20" customFormat="1" ht="23.25" customHeight="1">
      <c r="A40" s="76">
        <v>17</v>
      </c>
      <c r="B40" s="72" t="s">
        <v>131</v>
      </c>
      <c r="C40" s="77">
        <f t="shared" si="6"/>
        <v>535003135</v>
      </c>
      <c r="D40" s="292">
        <f t="shared" si="6"/>
        <v>300028895</v>
      </c>
      <c r="E40" s="663">
        <f>468449447+2</f>
        <v>468449449</v>
      </c>
      <c r="F40" s="78">
        <v>282688639</v>
      </c>
      <c r="G40" s="78">
        <v>4047337</v>
      </c>
      <c r="H40" s="78">
        <v>0</v>
      </c>
      <c r="I40" s="78">
        <v>60535377</v>
      </c>
      <c r="J40" s="78">
        <v>17340256</v>
      </c>
      <c r="K40" s="78">
        <v>163114</v>
      </c>
      <c r="L40" s="78">
        <v>0</v>
      </c>
      <c r="M40" s="78">
        <v>27701</v>
      </c>
      <c r="N40" s="78">
        <v>0</v>
      </c>
      <c r="O40" s="78">
        <v>6970</v>
      </c>
      <c r="P40" s="78">
        <v>0</v>
      </c>
      <c r="Q40" s="78">
        <v>2916332</v>
      </c>
      <c r="R40" s="78">
        <v>0</v>
      </c>
      <c r="S40" s="78">
        <v>915073</v>
      </c>
      <c r="T40" s="78">
        <v>0</v>
      </c>
      <c r="U40" s="78">
        <v>3074276</v>
      </c>
      <c r="V40" s="78">
        <v>0</v>
      </c>
      <c r="W40" s="78">
        <v>1765520</v>
      </c>
      <c r="X40" s="78">
        <v>0</v>
      </c>
      <c r="Y40" s="291">
        <f t="shared" si="7"/>
        <v>2850677</v>
      </c>
      <c r="Z40" s="291">
        <f t="shared" si="8"/>
        <v>0</v>
      </c>
      <c r="AA40" s="60">
        <v>1340662</v>
      </c>
      <c r="AB40" s="60"/>
      <c r="AC40" s="593">
        <f>+'Aging Analysis'!C28</f>
        <v>535003135</v>
      </c>
      <c r="AD40" s="591"/>
      <c r="AE40" s="242"/>
      <c r="AF40" s="242"/>
      <c r="AG40" s="242"/>
      <c r="AH40" s="242"/>
      <c r="AI40" s="242"/>
      <c r="AJ40" s="242"/>
    </row>
    <row r="41" spans="1:36" s="20" customFormat="1" ht="14.25" customHeight="1">
      <c r="A41" s="53"/>
      <c r="B41" s="75" t="s">
        <v>545</v>
      </c>
      <c r="C41" s="77">
        <f t="shared" si="6"/>
        <v>0</v>
      </c>
      <c r="D41" s="292">
        <f t="shared" si="6"/>
        <v>0</v>
      </c>
      <c r="E41" s="663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54">
        <f t="shared" si="7"/>
        <v>0</v>
      </c>
      <c r="Z41" s="54">
        <f t="shared" si="8"/>
        <v>0</v>
      </c>
      <c r="AA41" s="60"/>
      <c r="AB41" s="60"/>
      <c r="AC41" s="56"/>
      <c r="AD41" s="591"/>
      <c r="AE41" s="242"/>
      <c r="AF41" s="242"/>
      <c r="AG41" s="242"/>
      <c r="AH41" s="242"/>
      <c r="AI41" s="242"/>
      <c r="AJ41" s="242"/>
    </row>
    <row r="42" spans="1:36" s="20" customFormat="1" ht="23.25" customHeight="1">
      <c r="A42" s="76">
        <v>18</v>
      </c>
      <c r="B42" s="72" t="s">
        <v>133</v>
      </c>
      <c r="C42" s="77">
        <f t="shared" si="6"/>
        <v>706694385</v>
      </c>
      <c r="D42" s="292">
        <f t="shared" si="6"/>
        <v>167413280</v>
      </c>
      <c r="E42" s="663">
        <f>588335261+2</f>
        <v>588335263</v>
      </c>
      <c r="F42" s="78">
        <v>163390058</v>
      </c>
      <c r="G42" s="78">
        <v>5083133</v>
      </c>
      <c r="H42" s="78">
        <v>0</v>
      </c>
      <c r="I42" s="78">
        <v>64469242</v>
      </c>
      <c r="J42" s="78">
        <v>0</v>
      </c>
      <c r="K42" s="78">
        <v>1062933</v>
      </c>
      <c r="L42" s="78">
        <v>0</v>
      </c>
      <c r="M42" s="78">
        <v>2052984</v>
      </c>
      <c r="N42" s="78">
        <v>0</v>
      </c>
      <c r="O42" s="78">
        <v>516613</v>
      </c>
      <c r="P42" s="78">
        <v>0</v>
      </c>
      <c r="Q42" s="78">
        <v>40202369</v>
      </c>
      <c r="R42" s="78">
        <v>4023222</v>
      </c>
      <c r="S42" s="78">
        <v>1942103</v>
      </c>
      <c r="T42" s="78">
        <v>0</v>
      </c>
      <c r="U42" s="78">
        <v>11634527</v>
      </c>
      <c r="V42" s="78">
        <v>0</v>
      </c>
      <c r="W42" s="78">
        <v>4677625</v>
      </c>
      <c r="X42" s="78">
        <v>0</v>
      </c>
      <c r="Y42" s="291">
        <f t="shared" si="7"/>
        <v>8199274</v>
      </c>
      <c r="Z42" s="291">
        <f t="shared" si="8"/>
        <v>0</v>
      </c>
      <c r="AA42" s="60">
        <v>10661645</v>
      </c>
      <c r="AB42" s="60"/>
      <c r="AC42" s="593">
        <f>+'Aging Analysis'!C29</f>
        <v>706694385</v>
      </c>
      <c r="AD42" s="591"/>
      <c r="AE42" s="242"/>
      <c r="AF42" s="242"/>
      <c r="AG42" s="242"/>
      <c r="AH42" s="242"/>
      <c r="AI42" s="242"/>
      <c r="AJ42" s="242"/>
    </row>
    <row r="43" spans="1:36" s="20" customFormat="1" ht="14.25" customHeight="1">
      <c r="A43" s="53"/>
      <c r="B43" s="75" t="s">
        <v>545</v>
      </c>
      <c r="C43" s="77">
        <f t="shared" si="6"/>
        <v>0</v>
      </c>
      <c r="D43" s="292">
        <f t="shared" si="6"/>
        <v>0</v>
      </c>
      <c r="E43" s="663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54">
        <f t="shared" si="7"/>
        <v>0</v>
      </c>
      <c r="Z43" s="54">
        <f t="shared" si="8"/>
        <v>0</v>
      </c>
      <c r="AA43" s="60"/>
      <c r="AB43" s="60"/>
      <c r="AC43" s="56"/>
      <c r="AD43" s="591"/>
      <c r="AE43" s="242"/>
      <c r="AF43" s="242"/>
      <c r="AG43" s="242"/>
      <c r="AH43" s="242"/>
      <c r="AI43" s="242"/>
      <c r="AJ43" s="242"/>
    </row>
    <row r="44" spans="1:36" s="20" customFormat="1" ht="23.25" customHeight="1">
      <c r="A44" s="76">
        <v>19</v>
      </c>
      <c r="B44" s="72" t="s">
        <v>135</v>
      </c>
      <c r="C44" s="77">
        <f t="shared" si="6"/>
        <v>83306275</v>
      </c>
      <c r="D44" s="292">
        <f t="shared" si="6"/>
        <v>36690355</v>
      </c>
      <c r="E44" s="663">
        <f>36599610+1</f>
        <v>36599611</v>
      </c>
      <c r="F44" s="78">
        <v>933729</v>
      </c>
      <c r="G44" s="78">
        <v>316215</v>
      </c>
      <c r="H44" s="78">
        <v>0</v>
      </c>
      <c r="I44" s="78">
        <v>34448715</v>
      </c>
      <c r="J44" s="78">
        <v>34075630</v>
      </c>
      <c r="K44" s="78">
        <v>8610831</v>
      </c>
      <c r="L44" s="78">
        <v>8518907</v>
      </c>
      <c r="M44" s="78">
        <v>1680996</v>
      </c>
      <c r="N44" s="78">
        <v>1680996</v>
      </c>
      <c r="O44" s="78">
        <v>1680996</v>
      </c>
      <c r="P44" s="78">
        <v>1680996</v>
      </c>
      <c r="Q44" s="78">
        <v>0</v>
      </c>
      <c r="R44" s="78">
        <v>0</v>
      </c>
      <c r="S44" s="78">
        <v>0</v>
      </c>
      <c r="T44" s="78">
        <v>0</v>
      </c>
      <c r="U44" s="78">
        <v>10576953</v>
      </c>
      <c r="V44" s="78">
        <v>0</v>
      </c>
      <c r="W44" s="78">
        <v>1425000</v>
      </c>
      <c r="X44" s="78">
        <v>0</v>
      </c>
      <c r="Y44" s="291">
        <f t="shared" si="7"/>
        <v>11716827</v>
      </c>
      <c r="Z44" s="291">
        <f t="shared" si="8"/>
        <v>10199903</v>
      </c>
      <c r="AA44" s="60">
        <v>320576</v>
      </c>
      <c r="AB44" s="60"/>
      <c r="AC44" s="593">
        <f>+'Aging Analysis'!C30</f>
        <v>83306275</v>
      </c>
      <c r="AD44" s="591"/>
      <c r="AE44" s="242"/>
      <c r="AF44" s="242"/>
      <c r="AG44" s="242"/>
      <c r="AH44" s="242"/>
      <c r="AI44" s="242"/>
      <c r="AJ44" s="242"/>
    </row>
    <row r="45" spans="1:36" s="20" customFormat="1" ht="14.25" customHeight="1">
      <c r="A45" s="53"/>
      <c r="B45" s="75" t="s">
        <v>545</v>
      </c>
      <c r="C45" s="77">
        <f t="shared" si="6"/>
        <v>0</v>
      </c>
      <c r="D45" s="292">
        <f t="shared" si="6"/>
        <v>0</v>
      </c>
      <c r="E45" s="663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54">
        <f t="shared" si="7"/>
        <v>0</v>
      </c>
      <c r="Z45" s="54">
        <f t="shared" si="8"/>
        <v>0</v>
      </c>
      <c r="AA45" s="60"/>
      <c r="AB45" s="60"/>
      <c r="AC45" s="56"/>
      <c r="AD45" s="591"/>
      <c r="AE45" s="242"/>
      <c r="AF45" s="242"/>
      <c r="AG45" s="242"/>
      <c r="AH45" s="242"/>
      <c r="AI45" s="242"/>
      <c r="AJ45" s="242"/>
    </row>
    <row r="46" spans="1:36" s="20" customFormat="1" ht="23.25" customHeight="1">
      <c r="A46" s="76">
        <v>20</v>
      </c>
      <c r="B46" s="72" t="s">
        <v>137</v>
      </c>
      <c r="C46" s="77">
        <f t="shared" si="6"/>
        <v>62142553</v>
      </c>
      <c r="D46" s="292">
        <f t="shared" si="6"/>
        <v>3251298</v>
      </c>
      <c r="E46" s="663">
        <v>44372852</v>
      </c>
      <c r="F46" s="78">
        <v>3251298</v>
      </c>
      <c r="G46" s="78">
        <v>383375</v>
      </c>
      <c r="H46" s="78">
        <v>0</v>
      </c>
      <c r="I46" s="78">
        <v>5888028</v>
      </c>
      <c r="J46" s="78">
        <v>0</v>
      </c>
      <c r="K46" s="78">
        <v>1375026</v>
      </c>
      <c r="L46" s="78">
        <v>0</v>
      </c>
      <c r="M46" s="78">
        <v>142609</v>
      </c>
      <c r="N46" s="78">
        <v>0</v>
      </c>
      <c r="O46" s="78">
        <v>127006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11739064</v>
      </c>
      <c r="V46" s="78">
        <v>0</v>
      </c>
      <c r="W46" s="78">
        <v>6265473</v>
      </c>
      <c r="X46" s="78">
        <v>0</v>
      </c>
      <c r="Y46" s="291">
        <f t="shared" si="7"/>
        <v>7767505</v>
      </c>
      <c r="Z46" s="291">
        <f t="shared" si="8"/>
        <v>0</v>
      </c>
      <c r="AA46" s="60">
        <v>1150304</v>
      </c>
      <c r="AB46" s="60"/>
      <c r="AC46" s="593">
        <f>+'Aging Analysis'!C31</f>
        <v>62142553</v>
      </c>
      <c r="AD46" s="591"/>
      <c r="AE46" s="242"/>
      <c r="AF46" s="242"/>
      <c r="AG46" s="242"/>
      <c r="AH46" s="242"/>
      <c r="AI46" s="242"/>
      <c r="AJ46" s="242"/>
    </row>
    <row r="47" spans="1:36" s="20" customFormat="1" ht="14.25" customHeight="1">
      <c r="A47" s="53"/>
      <c r="B47" s="75" t="s">
        <v>545</v>
      </c>
      <c r="C47" s="77">
        <f t="shared" si="6"/>
        <v>0</v>
      </c>
      <c r="D47" s="292">
        <f t="shared" si="6"/>
        <v>0</v>
      </c>
      <c r="E47" s="663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54">
        <f t="shared" si="7"/>
        <v>0</v>
      </c>
      <c r="Z47" s="54">
        <f t="shared" si="8"/>
        <v>0</v>
      </c>
      <c r="AA47" s="60"/>
      <c r="AB47" s="60"/>
      <c r="AC47" s="56"/>
      <c r="AD47" s="591"/>
      <c r="AE47" s="242"/>
      <c r="AF47" s="242"/>
      <c r="AG47" s="242"/>
      <c r="AH47" s="242"/>
      <c r="AI47" s="242"/>
      <c r="AJ47" s="242"/>
    </row>
    <row r="48" spans="1:36" s="20" customFormat="1" ht="23.25" customHeight="1">
      <c r="A48" s="76">
        <v>21</v>
      </c>
      <c r="B48" s="72" t="s">
        <v>175</v>
      </c>
      <c r="C48" s="77">
        <f t="shared" si="6"/>
        <v>2611126069</v>
      </c>
      <c r="D48" s="292">
        <f t="shared" si="6"/>
        <v>491179269</v>
      </c>
      <c r="E48" s="663">
        <f>2431526955+1-5+1</f>
        <v>2431526952</v>
      </c>
      <c r="F48" s="78">
        <v>491179269</v>
      </c>
      <c r="G48" s="78">
        <v>21008050</v>
      </c>
      <c r="H48" s="78">
        <v>0</v>
      </c>
      <c r="I48" s="78">
        <f>85626808+1</f>
        <v>85626809</v>
      </c>
      <c r="J48" s="78">
        <v>0</v>
      </c>
      <c r="K48" s="78">
        <f>6966597-1</f>
        <v>6966596</v>
      </c>
      <c r="L48" s="78">
        <v>0</v>
      </c>
      <c r="M48" s="78">
        <v>13772216</v>
      </c>
      <c r="N48" s="78">
        <v>0</v>
      </c>
      <c r="O48" s="78">
        <f>2687207+1</f>
        <v>2687208</v>
      </c>
      <c r="P48" s="78">
        <v>0</v>
      </c>
      <c r="Q48" s="78">
        <f>22457893+1</f>
        <v>22457894</v>
      </c>
      <c r="R48" s="78">
        <v>0</v>
      </c>
      <c r="S48" s="78">
        <v>10444374</v>
      </c>
      <c r="T48" s="78">
        <v>0</v>
      </c>
      <c r="U48" s="78">
        <v>57742198</v>
      </c>
      <c r="V48" s="78">
        <v>0</v>
      </c>
      <c r="W48" s="78">
        <v>30055342</v>
      </c>
      <c r="X48" s="78">
        <v>0</v>
      </c>
      <c r="Y48" s="291">
        <f t="shared" si="7"/>
        <v>50153520</v>
      </c>
      <c r="Z48" s="291">
        <f t="shared" si="8"/>
        <v>0</v>
      </c>
      <c r="AA48" s="60">
        <v>10733372</v>
      </c>
      <c r="AB48" s="60"/>
      <c r="AC48" s="593">
        <f>+'Aging Analysis'!C32</f>
        <v>2611126069</v>
      </c>
      <c r="AD48" s="591"/>
      <c r="AE48" s="242"/>
      <c r="AF48" s="242"/>
      <c r="AG48" s="242"/>
      <c r="AH48" s="242"/>
      <c r="AI48" s="242"/>
      <c r="AJ48" s="242"/>
    </row>
    <row r="49" spans="1:36" s="20" customFormat="1" ht="14.25" customHeight="1">
      <c r="A49" s="53"/>
      <c r="B49" s="75" t="s">
        <v>545</v>
      </c>
      <c r="C49" s="77">
        <f t="shared" si="6"/>
        <v>0</v>
      </c>
      <c r="D49" s="292">
        <f t="shared" si="6"/>
        <v>0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54">
        <f t="shared" si="7"/>
        <v>0</v>
      </c>
      <c r="Z49" s="54">
        <f t="shared" si="8"/>
        <v>0</v>
      </c>
      <c r="AA49" s="60"/>
      <c r="AB49" s="60"/>
      <c r="AC49" s="591"/>
      <c r="AD49" s="591"/>
      <c r="AE49" s="242"/>
      <c r="AF49" s="242"/>
      <c r="AG49" s="242"/>
      <c r="AH49" s="242"/>
      <c r="AI49" s="242"/>
      <c r="AJ49" s="242"/>
    </row>
    <row r="50" spans="1:36" s="84" customFormat="1" ht="28.5" customHeight="1">
      <c r="A50" s="203">
        <v>22</v>
      </c>
      <c r="B50" s="203" t="s">
        <v>173</v>
      </c>
      <c r="C50" s="206">
        <f>+C34+C36+C38+C40+C42+C44+C46+C48</f>
        <v>7754313870</v>
      </c>
      <c r="D50" s="206">
        <f t="shared" ref="D50:AB51" si="9">+D34+D36+D38+D40+D42+D44+D46+D48</f>
        <v>2946894902</v>
      </c>
      <c r="E50" s="206">
        <f t="shared" si="9"/>
        <v>6823371532</v>
      </c>
      <c r="F50" s="206">
        <f t="shared" si="9"/>
        <v>2754816643</v>
      </c>
      <c r="G50" s="206">
        <f t="shared" si="9"/>
        <v>58952965</v>
      </c>
      <c r="H50" s="206">
        <f t="shared" si="9"/>
        <v>387773</v>
      </c>
      <c r="I50" s="206">
        <f t="shared" si="9"/>
        <v>616609354</v>
      </c>
      <c r="J50" s="206">
        <f t="shared" si="9"/>
        <v>103269096</v>
      </c>
      <c r="K50" s="206">
        <f t="shared" si="9"/>
        <v>20742554</v>
      </c>
      <c r="L50" s="206">
        <f t="shared" si="9"/>
        <v>9121818</v>
      </c>
      <c r="M50" s="206">
        <f t="shared" si="9"/>
        <v>71675920</v>
      </c>
      <c r="N50" s="206">
        <f t="shared" si="9"/>
        <v>48446241</v>
      </c>
      <c r="O50" s="206">
        <f t="shared" si="9"/>
        <v>6483802</v>
      </c>
      <c r="P50" s="206">
        <f t="shared" si="9"/>
        <v>2080260</v>
      </c>
      <c r="Q50" s="206">
        <f t="shared" si="9"/>
        <v>73761027</v>
      </c>
      <c r="R50" s="206">
        <f t="shared" si="9"/>
        <v>5277170</v>
      </c>
      <c r="S50" s="206">
        <f t="shared" si="9"/>
        <v>16043961</v>
      </c>
      <c r="T50" s="206">
        <f t="shared" si="9"/>
        <v>626974</v>
      </c>
      <c r="U50" s="206">
        <f t="shared" si="9"/>
        <v>168896037</v>
      </c>
      <c r="V50" s="206">
        <f t="shared" si="9"/>
        <v>35085752</v>
      </c>
      <c r="W50" s="206">
        <f t="shared" si="9"/>
        <v>57724027</v>
      </c>
      <c r="X50" s="206">
        <f t="shared" si="9"/>
        <v>2951959</v>
      </c>
      <c r="Y50" s="206">
        <f t="shared" si="9"/>
        <v>100994344</v>
      </c>
      <c r="Z50" s="206">
        <f t="shared" si="9"/>
        <v>14781011</v>
      </c>
      <c r="AA50" s="592">
        <f t="shared" si="9"/>
        <v>25745378</v>
      </c>
      <c r="AB50" s="592">
        <f t="shared" si="9"/>
        <v>0</v>
      </c>
      <c r="AC50" s="591"/>
      <c r="AD50" s="591"/>
      <c r="AE50" s="242"/>
      <c r="AF50" s="242"/>
      <c r="AG50" s="242"/>
      <c r="AH50" s="242"/>
      <c r="AI50" s="242"/>
      <c r="AJ50" s="242"/>
    </row>
    <row r="51" spans="1:36" s="20" customFormat="1" ht="23.25" customHeight="1">
      <c r="A51" s="76"/>
      <c r="B51" s="75" t="s">
        <v>545</v>
      </c>
      <c r="C51" s="74">
        <f>+C35+C37+C39+C41+C43+C45+C47+C49</f>
        <v>0</v>
      </c>
      <c r="D51" s="74">
        <f t="shared" ref="D51:Z51" si="10">+D35+D37+D39+D41+D43+D45+D47+D49</f>
        <v>0</v>
      </c>
      <c r="E51" s="78">
        <f t="shared" si="10"/>
        <v>0</v>
      </c>
      <c r="F51" s="78">
        <f t="shared" si="10"/>
        <v>0</v>
      </c>
      <c r="G51" s="78">
        <f t="shared" si="10"/>
        <v>0</v>
      </c>
      <c r="H51" s="78">
        <f t="shared" si="10"/>
        <v>0</v>
      </c>
      <c r="I51" s="78">
        <f t="shared" si="10"/>
        <v>0</v>
      </c>
      <c r="J51" s="78">
        <f t="shared" si="10"/>
        <v>0</v>
      </c>
      <c r="K51" s="78">
        <f t="shared" si="10"/>
        <v>0</v>
      </c>
      <c r="L51" s="78">
        <f t="shared" si="10"/>
        <v>0</v>
      </c>
      <c r="M51" s="78">
        <f t="shared" si="10"/>
        <v>0</v>
      </c>
      <c r="N51" s="78">
        <f t="shared" si="10"/>
        <v>0</v>
      </c>
      <c r="O51" s="78">
        <f t="shared" si="10"/>
        <v>0</v>
      </c>
      <c r="P51" s="78">
        <f t="shared" si="10"/>
        <v>0</v>
      </c>
      <c r="Q51" s="78">
        <f t="shared" si="10"/>
        <v>0</v>
      </c>
      <c r="R51" s="78">
        <f t="shared" si="10"/>
        <v>0</v>
      </c>
      <c r="S51" s="78">
        <f t="shared" si="10"/>
        <v>0</v>
      </c>
      <c r="T51" s="78">
        <f t="shared" si="10"/>
        <v>0</v>
      </c>
      <c r="U51" s="78">
        <f t="shared" si="10"/>
        <v>0</v>
      </c>
      <c r="V51" s="78">
        <f t="shared" si="10"/>
        <v>0</v>
      </c>
      <c r="W51" s="78">
        <f t="shared" si="10"/>
        <v>0</v>
      </c>
      <c r="X51" s="78">
        <f t="shared" si="10"/>
        <v>0</v>
      </c>
      <c r="Y51" s="74">
        <f t="shared" si="10"/>
        <v>0</v>
      </c>
      <c r="Z51" s="74">
        <f t="shared" si="10"/>
        <v>0</v>
      </c>
      <c r="AA51" s="74">
        <f t="shared" si="9"/>
        <v>0</v>
      </c>
      <c r="AB51" s="74">
        <f t="shared" si="9"/>
        <v>0</v>
      </c>
      <c r="AC51" s="591"/>
      <c r="AD51" s="591"/>
      <c r="AE51" s="242"/>
      <c r="AF51" s="242"/>
      <c r="AG51" s="242"/>
      <c r="AH51" s="242"/>
      <c r="AI51" s="242"/>
      <c r="AJ51" s="242"/>
    </row>
    <row r="52" spans="1:36" s="56" customFormat="1" ht="27.75" customHeight="1">
      <c r="A52" s="206"/>
      <c r="B52" s="206" t="s">
        <v>726</v>
      </c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592"/>
      <c r="AB52" s="592"/>
      <c r="AC52" s="591"/>
      <c r="AD52" s="591"/>
      <c r="AE52" s="242"/>
      <c r="AF52" s="242"/>
      <c r="AG52" s="242"/>
      <c r="AH52" s="242"/>
      <c r="AI52" s="242"/>
      <c r="AJ52" s="242"/>
    </row>
    <row r="53" spans="1:36" s="56" customFormat="1" ht="7.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91"/>
      <c r="AD53" s="591"/>
      <c r="AE53" s="242"/>
      <c r="AF53" s="242"/>
      <c r="AG53" s="242"/>
      <c r="AH53" s="242"/>
      <c r="AI53" s="242"/>
      <c r="AJ53" s="242"/>
    </row>
    <row r="54" spans="1:36" s="319" customFormat="1" ht="21.75" customHeight="1">
      <c r="A54" s="356">
        <v>23</v>
      </c>
      <c r="B54" s="175" t="s">
        <v>712</v>
      </c>
      <c r="C54" s="77">
        <f t="shared" ref="C54:D70" si="11">E54+I54+M54+Q54+U54</f>
        <v>248038582</v>
      </c>
      <c r="D54" s="292">
        <f t="shared" si="11"/>
        <v>30683156</v>
      </c>
      <c r="E54" s="662">
        <v>212955180</v>
      </c>
      <c r="F54" s="662">
        <v>30683156</v>
      </c>
      <c r="G54" s="662">
        <v>1839903</v>
      </c>
      <c r="H54" s="662">
        <v>0</v>
      </c>
      <c r="I54" s="662">
        <v>12528806</v>
      </c>
      <c r="J54" s="662">
        <v>0</v>
      </c>
      <c r="K54" s="662">
        <v>609629</v>
      </c>
      <c r="L54" s="662">
        <v>0</v>
      </c>
      <c r="M54" s="662">
        <v>1524083</v>
      </c>
      <c r="N54" s="662">
        <v>0</v>
      </c>
      <c r="O54" s="662">
        <v>332080</v>
      </c>
      <c r="P54" s="662">
        <v>0</v>
      </c>
      <c r="Q54" s="662">
        <v>15306919</v>
      </c>
      <c r="R54" s="662">
        <v>0</v>
      </c>
      <c r="S54" s="662">
        <v>1159586</v>
      </c>
      <c r="T54" s="662">
        <v>0</v>
      </c>
      <c r="U54" s="662">
        <v>5723594</v>
      </c>
      <c r="V54" s="662">
        <v>0</v>
      </c>
      <c r="W54" s="662">
        <v>4357870</v>
      </c>
      <c r="X54" s="662">
        <v>0</v>
      </c>
      <c r="Y54" s="291">
        <f>+W54+S54+O54+K54</f>
        <v>6459165</v>
      </c>
      <c r="Z54" s="291">
        <f>+X54+T54+P54+L54</f>
        <v>0</v>
      </c>
      <c r="AA54" s="60">
        <v>1649719</v>
      </c>
      <c r="AB54" s="60"/>
      <c r="AC54" s="594"/>
      <c r="AD54" s="594"/>
      <c r="AE54" s="357"/>
      <c r="AF54" s="357"/>
      <c r="AG54" s="357"/>
      <c r="AH54" s="357"/>
      <c r="AI54" s="357"/>
      <c r="AJ54" s="357"/>
    </row>
    <row r="55" spans="1:36" s="319" customFormat="1" ht="21.75" customHeight="1">
      <c r="A55" s="356">
        <v>24</v>
      </c>
      <c r="B55" s="175" t="s">
        <v>713</v>
      </c>
      <c r="C55" s="77">
        <f t="shared" si="11"/>
        <v>515485797</v>
      </c>
      <c r="D55" s="292">
        <f t="shared" si="11"/>
        <v>351244344</v>
      </c>
      <c r="E55" s="662">
        <v>471704001</v>
      </c>
      <c r="F55" s="662">
        <v>330639984</v>
      </c>
      <c r="G55" s="662">
        <v>4075456</v>
      </c>
      <c r="H55" s="662">
        <v>0</v>
      </c>
      <c r="I55" s="662">
        <v>13206871</v>
      </c>
      <c r="J55" s="662">
        <v>826818</v>
      </c>
      <c r="K55" s="662">
        <v>430058</v>
      </c>
      <c r="L55" s="662">
        <v>82682</v>
      </c>
      <c r="M55" s="662">
        <v>990583</v>
      </c>
      <c r="N55" s="662">
        <v>0</v>
      </c>
      <c r="O55" s="662">
        <v>184439</v>
      </c>
      <c r="P55" s="662">
        <v>0</v>
      </c>
      <c r="Q55" s="662">
        <v>1187989</v>
      </c>
      <c r="R55" s="662">
        <v>0</v>
      </c>
      <c r="S55" s="662">
        <v>498436</v>
      </c>
      <c r="T55" s="662">
        <v>0</v>
      </c>
      <c r="U55" s="662">
        <v>28396353</v>
      </c>
      <c r="V55" s="662">
        <v>19777542</v>
      </c>
      <c r="W55" s="662">
        <v>3022075</v>
      </c>
      <c r="X55" s="662">
        <v>0</v>
      </c>
      <c r="Y55" s="291">
        <f t="shared" ref="Y55:Z67" si="12">+W55+S55+O55+K55</f>
        <v>4135008</v>
      </c>
      <c r="Z55" s="291">
        <f t="shared" si="12"/>
        <v>82682</v>
      </c>
      <c r="AA55" s="60">
        <v>4506152</v>
      </c>
      <c r="AB55" s="60"/>
      <c r="AC55" s="594"/>
      <c r="AD55" s="594"/>
      <c r="AE55" s="357"/>
      <c r="AF55" s="357"/>
      <c r="AG55" s="357"/>
      <c r="AH55" s="357"/>
      <c r="AI55" s="357"/>
      <c r="AJ55" s="357"/>
    </row>
    <row r="56" spans="1:36" s="319" customFormat="1" ht="21.75" customHeight="1">
      <c r="A56" s="356">
        <v>25</v>
      </c>
      <c r="B56" s="175" t="s">
        <v>714</v>
      </c>
      <c r="C56" s="77">
        <f t="shared" si="11"/>
        <v>458154927</v>
      </c>
      <c r="D56" s="292">
        <f t="shared" si="11"/>
        <v>151023304</v>
      </c>
      <c r="E56" s="662">
        <v>345507170</v>
      </c>
      <c r="F56" s="662">
        <v>149947987</v>
      </c>
      <c r="G56" s="662">
        <v>2985133</v>
      </c>
      <c r="H56" s="662">
        <v>0</v>
      </c>
      <c r="I56" s="662">
        <v>93169378</v>
      </c>
      <c r="J56" s="662">
        <v>1075317</v>
      </c>
      <c r="K56" s="662">
        <v>1903931</v>
      </c>
      <c r="L56" s="662">
        <v>268829</v>
      </c>
      <c r="M56" s="662">
        <v>1046691</v>
      </c>
      <c r="N56" s="662">
        <v>0</v>
      </c>
      <c r="O56" s="662">
        <v>257283</v>
      </c>
      <c r="P56" s="662">
        <v>0</v>
      </c>
      <c r="Q56" s="662">
        <v>15396239</v>
      </c>
      <c r="R56" s="662">
        <v>0</v>
      </c>
      <c r="S56" s="662">
        <v>640129</v>
      </c>
      <c r="T56" s="662">
        <v>0</v>
      </c>
      <c r="U56" s="662">
        <v>3035449</v>
      </c>
      <c r="V56" s="662">
        <v>0</v>
      </c>
      <c r="W56" s="662">
        <v>1242516</v>
      </c>
      <c r="X56" s="662">
        <v>0</v>
      </c>
      <c r="Y56" s="291">
        <f t="shared" si="12"/>
        <v>4043859</v>
      </c>
      <c r="Z56" s="291">
        <f t="shared" si="12"/>
        <v>268829</v>
      </c>
      <c r="AA56" s="60">
        <v>451678</v>
      </c>
      <c r="AB56" s="60"/>
      <c r="AC56" s="594"/>
      <c r="AD56" s="594"/>
      <c r="AE56" s="357"/>
      <c r="AF56" s="357"/>
      <c r="AG56" s="357"/>
      <c r="AH56" s="357"/>
      <c r="AI56" s="357"/>
      <c r="AJ56" s="357"/>
    </row>
    <row r="57" spans="1:36" s="319" customFormat="1" ht="21.75" customHeight="1">
      <c r="A57" s="356">
        <v>26</v>
      </c>
      <c r="B57" s="175" t="s">
        <v>715</v>
      </c>
      <c r="C57" s="77">
        <f t="shared" si="11"/>
        <v>402745367</v>
      </c>
      <c r="D57" s="292">
        <f t="shared" si="11"/>
        <v>103514349</v>
      </c>
      <c r="E57" s="662">
        <v>353961485</v>
      </c>
      <c r="F57" s="662">
        <v>101364351</v>
      </c>
      <c r="G57" s="662">
        <v>3058177</v>
      </c>
      <c r="H57" s="662">
        <v>0</v>
      </c>
      <c r="I57" s="662">
        <v>13391711</v>
      </c>
      <c r="J57" s="662">
        <v>0</v>
      </c>
      <c r="K57" s="662">
        <v>3016770</v>
      </c>
      <c r="L57" s="662">
        <v>0</v>
      </c>
      <c r="M57" s="662">
        <v>2119343</v>
      </c>
      <c r="N57" s="662">
        <v>0</v>
      </c>
      <c r="O57" s="662">
        <v>317171</v>
      </c>
      <c r="P57" s="662">
        <v>0</v>
      </c>
      <c r="Q57" s="662">
        <v>6452246</v>
      </c>
      <c r="R57" s="662">
        <v>0</v>
      </c>
      <c r="S57" s="662">
        <v>2595697</v>
      </c>
      <c r="T57" s="662">
        <v>0</v>
      </c>
      <c r="U57" s="662">
        <v>26820582</v>
      </c>
      <c r="V57" s="662">
        <v>2149998</v>
      </c>
      <c r="W57" s="662">
        <v>10664137</v>
      </c>
      <c r="X57" s="662">
        <v>215000</v>
      </c>
      <c r="Y57" s="291">
        <f t="shared" si="12"/>
        <v>16593775</v>
      </c>
      <c r="Z57" s="291">
        <f t="shared" si="12"/>
        <v>215000</v>
      </c>
      <c r="AA57" s="60">
        <v>1193939</v>
      </c>
      <c r="AB57" s="60"/>
      <c r="AC57" s="594"/>
      <c r="AD57" s="594"/>
      <c r="AE57" s="357"/>
      <c r="AF57" s="357"/>
      <c r="AG57" s="357"/>
      <c r="AH57" s="357"/>
      <c r="AI57" s="357"/>
      <c r="AJ57" s="357"/>
    </row>
    <row r="58" spans="1:36" s="319" customFormat="1" ht="21.75" customHeight="1">
      <c r="A58" s="356">
        <v>27</v>
      </c>
      <c r="B58" s="175" t="s">
        <v>716</v>
      </c>
      <c r="C58" s="77">
        <f t="shared" si="11"/>
        <v>350783767</v>
      </c>
      <c r="D58" s="292">
        <f t="shared" si="11"/>
        <v>112072409</v>
      </c>
      <c r="E58" s="662">
        <v>278966963</v>
      </c>
      <c r="F58" s="662">
        <v>112072409</v>
      </c>
      <c r="G58" s="662">
        <v>2410235</v>
      </c>
      <c r="H58" s="662">
        <v>0</v>
      </c>
      <c r="I58" s="662">
        <v>67523781</v>
      </c>
      <c r="J58" s="662">
        <v>0</v>
      </c>
      <c r="K58" s="662">
        <v>717703</v>
      </c>
      <c r="L58" s="662">
        <v>0</v>
      </c>
      <c r="M58" s="662">
        <v>797559</v>
      </c>
      <c r="N58" s="662">
        <v>0</v>
      </c>
      <c r="O58" s="662">
        <v>159540</v>
      </c>
      <c r="P58" s="662">
        <v>0</v>
      </c>
      <c r="Q58" s="662">
        <v>910919</v>
      </c>
      <c r="R58" s="662">
        <v>0</v>
      </c>
      <c r="S58" s="662">
        <v>433414</v>
      </c>
      <c r="T58" s="662">
        <v>0</v>
      </c>
      <c r="U58" s="662">
        <v>2584545</v>
      </c>
      <c r="V58" s="662">
        <v>0</v>
      </c>
      <c r="W58" s="662">
        <v>2547857</v>
      </c>
      <c r="X58" s="662">
        <v>0</v>
      </c>
      <c r="Y58" s="291">
        <f t="shared" si="12"/>
        <v>3858514</v>
      </c>
      <c r="Z58" s="291">
        <f t="shared" si="12"/>
        <v>0</v>
      </c>
      <c r="AA58" s="60">
        <v>972543</v>
      </c>
      <c r="AB58" s="60"/>
      <c r="AC58" s="594"/>
      <c r="AD58" s="594"/>
      <c r="AE58" s="357"/>
      <c r="AF58" s="357"/>
      <c r="AG58" s="357"/>
      <c r="AH58" s="357"/>
      <c r="AI58" s="357"/>
      <c r="AJ58" s="357"/>
    </row>
    <row r="59" spans="1:36" s="319" customFormat="1" ht="21.75" customHeight="1">
      <c r="A59" s="356">
        <v>28</v>
      </c>
      <c r="B59" s="175" t="s">
        <v>717</v>
      </c>
      <c r="C59" s="77">
        <f t="shared" si="11"/>
        <v>617240452</v>
      </c>
      <c r="D59" s="292">
        <f t="shared" si="11"/>
        <v>388263707</v>
      </c>
      <c r="E59" s="662">
        <v>602369264</v>
      </c>
      <c r="F59" s="662">
        <v>388263707</v>
      </c>
      <c r="G59" s="662">
        <v>5204385</v>
      </c>
      <c r="H59" s="662">
        <v>9371</v>
      </c>
      <c r="I59" s="662">
        <v>7256898</v>
      </c>
      <c r="J59" s="662">
        <v>0</v>
      </c>
      <c r="K59" s="662">
        <v>582586</v>
      </c>
      <c r="L59" s="662">
        <v>0</v>
      </c>
      <c r="M59" s="662">
        <v>3771496</v>
      </c>
      <c r="N59" s="662">
        <v>0</v>
      </c>
      <c r="O59" s="662">
        <v>802142</v>
      </c>
      <c r="P59" s="662">
        <v>0</v>
      </c>
      <c r="Q59" s="662">
        <v>1584259</v>
      </c>
      <c r="R59" s="662">
        <v>0</v>
      </c>
      <c r="S59" s="662">
        <v>781972</v>
      </c>
      <c r="T59" s="662">
        <v>0</v>
      </c>
      <c r="U59" s="662">
        <v>2258535</v>
      </c>
      <c r="V59" s="662">
        <v>0</v>
      </c>
      <c r="W59" s="662">
        <v>2220536</v>
      </c>
      <c r="X59" s="662">
        <v>0</v>
      </c>
      <c r="Y59" s="291">
        <f t="shared" si="12"/>
        <v>4387236</v>
      </c>
      <c r="Z59" s="291">
        <f t="shared" si="12"/>
        <v>0</v>
      </c>
      <c r="AA59" s="60">
        <v>625565</v>
      </c>
      <c r="AB59" s="60"/>
      <c r="AC59" s="594"/>
      <c r="AD59" s="594"/>
      <c r="AE59" s="357"/>
      <c r="AF59" s="357"/>
      <c r="AG59" s="357"/>
      <c r="AH59" s="357"/>
      <c r="AI59" s="357"/>
      <c r="AJ59" s="357"/>
    </row>
    <row r="60" spans="1:36" s="319" customFormat="1" ht="21.75" customHeight="1">
      <c r="A60" s="356">
        <v>29</v>
      </c>
      <c r="B60" s="175" t="s">
        <v>718</v>
      </c>
      <c r="C60" s="77">
        <f t="shared" si="11"/>
        <v>433774617</v>
      </c>
      <c r="D60" s="292">
        <f t="shared" si="11"/>
        <v>156243742</v>
      </c>
      <c r="E60" s="662">
        <v>384164061</v>
      </c>
      <c r="F60" s="662">
        <v>142758689</v>
      </c>
      <c r="G60" s="662">
        <v>3319123</v>
      </c>
      <c r="H60" s="662">
        <v>0</v>
      </c>
      <c r="I60" s="662">
        <v>42195035</v>
      </c>
      <c r="J60" s="662">
        <v>13485053</v>
      </c>
      <c r="K60" s="662">
        <v>166904</v>
      </c>
      <c r="L60" s="662">
        <v>0</v>
      </c>
      <c r="M60" s="662">
        <v>1746592</v>
      </c>
      <c r="N60" s="662">
        <v>0</v>
      </c>
      <c r="O60" s="662">
        <v>436549</v>
      </c>
      <c r="P60" s="662">
        <v>0</v>
      </c>
      <c r="Q60" s="662">
        <v>2397716</v>
      </c>
      <c r="R60" s="662">
        <v>0</v>
      </c>
      <c r="S60" s="662">
        <v>1064519</v>
      </c>
      <c r="T60" s="662">
        <v>0</v>
      </c>
      <c r="U60" s="662">
        <v>3271213</v>
      </c>
      <c r="V60" s="662">
        <v>0</v>
      </c>
      <c r="W60" s="662">
        <v>1763542</v>
      </c>
      <c r="X60" s="662">
        <v>0</v>
      </c>
      <c r="Y60" s="291">
        <f t="shared" si="12"/>
        <v>3431514</v>
      </c>
      <c r="Z60" s="291">
        <f t="shared" si="12"/>
        <v>0</v>
      </c>
      <c r="AA60" s="60">
        <v>758996</v>
      </c>
      <c r="AB60" s="60"/>
      <c r="AC60" s="594"/>
      <c r="AD60" s="594"/>
      <c r="AE60" s="357"/>
      <c r="AF60" s="357"/>
      <c r="AG60" s="357"/>
      <c r="AH60" s="357"/>
      <c r="AI60" s="357"/>
      <c r="AJ60" s="357"/>
    </row>
    <row r="61" spans="1:36" s="319" customFormat="1" ht="21.75" customHeight="1">
      <c r="A61" s="356">
        <v>30</v>
      </c>
      <c r="B61" s="175" t="s">
        <v>719</v>
      </c>
      <c r="C61" s="77">
        <f t="shared" si="11"/>
        <v>565860084</v>
      </c>
      <c r="D61" s="292">
        <f t="shared" si="11"/>
        <v>331840737</v>
      </c>
      <c r="E61" s="662">
        <v>464850409</v>
      </c>
      <c r="F61" s="662">
        <v>265934872</v>
      </c>
      <c r="G61" s="662">
        <v>4016242</v>
      </c>
      <c r="H61" s="662">
        <v>166783</v>
      </c>
      <c r="I61" s="662">
        <v>90289916</v>
      </c>
      <c r="J61" s="662">
        <v>65905865</v>
      </c>
      <c r="K61" s="662">
        <v>9620493</v>
      </c>
      <c r="L61" s="662">
        <v>8680029</v>
      </c>
      <c r="M61" s="662">
        <v>1545479</v>
      </c>
      <c r="N61" s="662">
        <v>0</v>
      </c>
      <c r="O61" s="662">
        <v>345915</v>
      </c>
      <c r="P61" s="662">
        <v>0</v>
      </c>
      <c r="Q61" s="662">
        <v>5569855</v>
      </c>
      <c r="R61" s="662">
        <v>0</v>
      </c>
      <c r="S61" s="662">
        <v>2268409</v>
      </c>
      <c r="T61" s="662">
        <v>0</v>
      </c>
      <c r="U61" s="662">
        <v>3604425</v>
      </c>
      <c r="V61" s="662">
        <v>0</v>
      </c>
      <c r="W61" s="662">
        <v>2643853</v>
      </c>
      <c r="X61" s="662">
        <v>0</v>
      </c>
      <c r="Y61" s="291">
        <f t="shared" si="12"/>
        <v>14878670</v>
      </c>
      <c r="Z61" s="291">
        <f t="shared" si="12"/>
        <v>8680029</v>
      </c>
      <c r="AA61" s="60">
        <v>2819061</v>
      </c>
      <c r="AB61" s="60"/>
      <c r="AC61" s="594"/>
      <c r="AD61" s="594"/>
      <c r="AE61" s="357"/>
      <c r="AF61" s="357"/>
      <c r="AG61" s="357"/>
      <c r="AH61" s="357"/>
      <c r="AI61" s="357"/>
      <c r="AJ61" s="357"/>
    </row>
    <row r="62" spans="1:36" s="319" customFormat="1" ht="21.75" customHeight="1">
      <c r="A62" s="356">
        <v>31</v>
      </c>
      <c r="B62" s="175" t="s">
        <v>720</v>
      </c>
      <c r="C62" s="77">
        <f t="shared" si="11"/>
        <v>457438578</v>
      </c>
      <c r="D62" s="292">
        <f t="shared" si="11"/>
        <v>60743739</v>
      </c>
      <c r="E62" s="662">
        <v>266993578</v>
      </c>
      <c r="F62" s="662">
        <v>13191265</v>
      </c>
      <c r="G62" s="662">
        <v>2306787</v>
      </c>
      <c r="H62" s="662">
        <v>0</v>
      </c>
      <c r="I62" s="662">
        <v>125654833</v>
      </c>
      <c r="J62" s="662">
        <v>0</v>
      </c>
      <c r="K62" s="662">
        <v>1584178</v>
      </c>
      <c r="L62" s="662">
        <v>0</v>
      </c>
      <c r="M62" s="662">
        <v>47774645</v>
      </c>
      <c r="N62" s="662">
        <v>45168189</v>
      </c>
      <c r="O62" s="662">
        <v>465966</v>
      </c>
      <c r="P62" s="662">
        <v>0</v>
      </c>
      <c r="Q62" s="662">
        <v>7931965</v>
      </c>
      <c r="R62" s="662">
        <v>2384285</v>
      </c>
      <c r="S62" s="662">
        <v>2727422</v>
      </c>
      <c r="T62" s="662">
        <v>0</v>
      </c>
      <c r="U62" s="662">
        <v>9083557</v>
      </c>
      <c r="V62" s="662">
        <v>0</v>
      </c>
      <c r="W62" s="662">
        <v>6529929</v>
      </c>
      <c r="X62" s="662">
        <v>0</v>
      </c>
      <c r="Y62" s="291">
        <f t="shared" si="12"/>
        <v>11307495</v>
      </c>
      <c r="Z62" s="291">
        <f t="shared" si="12"/>
        <v>0</v>
      </c>
      <c r="AA62" s="60">
        <v>5153096</v>
      </c>
      <c r="AB62" s="60"/>
      <c r="AC62" s="594"/>
      <c r="AD62" s="594"/>
      <c r="AE62" s="357"/>
      <c r="AF62" s="357"/>
      <c r="AG62" s="357"/>
      <c r="AH62" s="357"/>
      <c r="AI62" s="357"/>
      <c r="AJ62" s="357"/>
    </row>
    <row r="63" spans="1:36" s="319" customFormat="1" ht="21.75" customHeight="1">
      <c r="A63" s="356">
        <v>32</v>
      </c>
      <c r="B63" s="175" t="s">
        <v>721</v>
      </c>
      <c r="C63" s="77">
        <f t="shared" si="11"/>
        <v>0</v>
      </c>
      <c r="D63" s="292">
        <f t="shared" si="11"/>
        <v>0</v>
      </c>
      <c r="E63" s="662">
        <v>0</v>
      </c>
      <c r="F63" s="662">
        <v>0</v>
      </c>
      <c r="G63" s="662">
        <v>0</v>
      </c>
      <c r="H63" s="662">
        <v>0</v>
      </c>
      <c r="I63" s="662">
        <v>0</v>
      </c>
      <c r="J63" s="662">
        <v>0</v>
      </c>
      <c r="K63" s="662">
        <v>0</v>
      </c>
      <c r="L63" s="662">
        <v>0</v>
      </c>
      <c r="M63" s="662">
        <v>0</v>
      </c>
      <c r="N63" s="662">
        <v>0</v>
      </c>
      <c r="O63" s="662">
        <v>0</v>
      </c>
      <c r="P63" s="662">
        <v>0</v>
      </c>
      <c r="Q63" s="662">
        <v>0</v>
      </c>
      <c r="R63" s="662">
        <v>0</v>
      </c>
      <c r="S63" s="662">
        <v>0</v>
      </c>
      <c r="T63" s="662">
        <v>0</v>
      </c>
      <c r="U63" s="662">
        <v>0</v>
      </c>
      <c r="V63" s="662">
        <v>0</v>
      </c>
      <c r="W63" s="662">
        <v>0</v>
      </c>
      <c r="X63" s="662">
        <v>0</v>
      </c>
      <c r="Y63" s="291">
        <f t="shared" si="12"/>
        <v>0</v>
      </c>
      <c r="Z63" s="291">
        <f t="shared" si="12"/>
        <v>0</v>
      </c>
      <c r="AA63" s="60"/>
      <c r="AB63" s="60"/>
      <c r="AC63" s="594"/>
      <c r="AD63" s="594"/>
      <c r="AE63" s="357"/>
      <c r="AF63" s="357"/>
      <c r="AG63" s="357"/>
      <c r="AH63" s="357"/>
      <c r="AI63" s="357"/>
      <c r="AJ63" s="357"/>
    </row>
    <row r="64" spans="1:36" s="319" customFormat="1" ht="21.75" customHeight="1">
      <c r="A64" s="356">
        <v>33</v>
      </c>
      <c r="B64" s="175" t="s">
        <v>725</v>
      </c>
      <c r="C64" s="77">
        <f>E64+I64+M64+Q64+U64</f>
        <v>2532372458</v>
      </c>
      <c r="D64" s="292">
        <f t="shared" si="11"/>
        <v>776838718</v>
      </c>
      <c r="E64" s="662">
        <f>2395227486+1</f>
        <v>2395227487</v>
      </c>
      <c r="F64" s="662">
        <v>765115907</v>
      </c>
      <c r="G64" s="662">
        <v>20694427</v>
      </c>
      <c r="H64" s="662">
        <v>211619</v>
      </c>
      <c r="I64" s="662">
        <v>52125835</v>
      </c>
      <c r="J64" s="662">
        <v>0</v>
      </c>
      <c r="K64" s="662">
        <v>806541</v>
      </c>
      <c r="L64" s="662">
        <v>0</v>
      </c>
      <c r="M64" s="662">
        <v>7458592</v>
      </c>
      <c r="N64" s="662">
        <v>1597056</v>
      </c>
      <c r="O64" s="662">
        <v>1167071</v>
      </c>
      <c r="P64" s="662">
        <v>399264</v>
      </c>
      <c r="Q64" s="662">
        <v>8179315</v>
      </c>
      <c r="R64" s="662">
        <v>1253948</v>
      </c>
      <c r="S64" s="662">
        <v>3149323</v>
      </c>
      <c r="T64" s="662">
        <v>626974</v>
      </c>
      <c r="U64" s="662">
        <v>69381229</v>
      </c>
      <c r="V64" s="662">
        <v>8871807</v>
      </c>
      <c r="W64" s="662">
        <f>12904799+1397824</f>
        <v>14302623</v>
      </c>
      <c r="X64" s="662">
        <v>0</v>
      </c>
      <c r="Y64" s="291">
        <f>+W64+S64+O64+K64</f>
        <v>19425558</v>
      </c>
      <c r="Z64" s="291">
        <f>+X64+T64+P64+L64</f>
        <v>1026238</v>
      </c>
      <c r="AA64" s="60">
        <v>6937109</v>
      </c>
      <c r="AB64" s="60"/>
      <c r="AC64" s="594"/>
      <c r="AD64" s="594"/>
      <c r="AE64" s="357"/>
      <c r="AF64" s="357"/>
      <c r="AG64" s="357"/>
      <c r="AH64" s="357"/>
      <c r="AI64" s="357"/>
      <c r="AJ64" s="357"/>
    </row>
    <row r="65" spans="1:36" s="319" customFormat="1" ht="21.75" customHeight="1">
      <c r="A65" s="356">
        <v>34</v>
      </c>
      <c r="B65" s="175" t="s">
        <v>722</v>
      </c>
      <c r="C65" s="77">
        <f t="shared" si="11"/>
        <v>46747528</v>
      </c>
      <c r="D65" s="292">
        <f t="shared" si="11"/>
        <v>0</v>
      </c>
      <c r="E65" s="662">
        <v>42460958</v>
      </c>
      <c r="F65" s="662">
        <v>0</v>
      </c>
      <c r="G65" s="662">
        <v>366857</v>
      </c>
      <c r="H65" s="662">
        <v>0</v>
      </c>
      <c r="I65" s="662">
        <v>863329</v>
      </c>
      <c r="J65" s="662">
        <v>0</v>
      </c>
      <c r="K65" s="662">
        <v>80789</v>
      </c>
      <c r="L65" s="662">
        <v>0</v>
      </c>
      <c r="M65" s="662">
        <v>628475</v>
      </c>
      <c r="N65" s="662">
        <v>0</v>
      </c>
      <c r="O65" s="662">
        <v>157119</v>
      </c>
      <c r="P65" s="662">
        <v>0</v>
      </c>
      <c r="Q65" s="662">
        <v>605846</v>
      </c>
      <c r="R65" s="662">
        <v>0</v>
      </c>
      <c r="S65" s="662">
        <v>303693</v>
      </c>
      <c r="T65" s="662">
        <v>0</v>
      </c>
      <c r="U65" s="662">
        <v>2188920</v>
      </c>
      <c r="V65" s="662">
        <v>0</v>
      </c>
      <c r="W65" s="662">
        <v>2191564</v>
      </c>
      <c r="X65" s="662">
        <v>0</v>
      </c>
      <c r="Y65" s="291">
        <f t="shared" si="12"/>
        <v>2733165</v>
      </c>
      <c r="Z65" s="291">
        <f t="shared" si="12"/>
        <v>0</v>
      </c>
      <c r="AA65" s="60"/>
      <c r="AB65" s="60"/>
      <c r="AC65" s="594"/>
      <c r="AD65" s="594"/>
      <c r="AE65" s="357"/>
      <c r="AF65" s="357"/>
      <c r="AG65" s="357"/>
      <c r="AH65" s="357"/>
      <c r="AI65" s="357"/>
      <c r="AJ65" s="357"/>
    </row>
    <row r="66" spans="1:36" s="319" customFormat="1" ht="21.75" customHeight="1">
      <c r="A66" s="356">
        <v>35</v>
      </c>
      <c r="B66" s="175" t="s">
        <v>723</v>
      </c>
      <c r="C66" s="77">
        <f t="shared" si="11"/>
        <v>848735361</v>
      </c>
      <c r="D66" s="292">
        <f t="shared" si="11"/>
        <v>391705665</v>
      </c>
      <c r="E66" s="662">
        <v>739515579</v>
      </c>
      <c r="F66" s="662">
        <v>362147168</v>
      </c>
      <c r="G66" s="662">
        <v>6389310</v>
      </c>
      <c r="H66" s="662">
        <v>0</v>
      </c>
      <c r="I66" s="662">
        <v>96133666</v>
      </c>
      <c r="J66" s="662">
        <v>21976043</v>
      </c>
      <c r="K66" s="662">
        <v>703978</v>
      </c>
      <c r="L66" s="662">
        <v>90278</v>
      </c>
      <c r="M66" s="662">
        <v>2043761</v>
      </c>
      <c r="N66" s="662">
        <v>1680996</v>
      </c>
      <c r="O66" s="662">
        <v>1709911</v>
      </c>
      <c r="P66" s="662">
        <v>1680996</v>
      </c>
      <c r="Q66" s="662">
        <v>6299577</v>
      </c>
      <c r="R66" s="662">
        <f>1638936+1</f>
        <v>1638937</v>
      </c>
      <c r="S66" s="662">
        <v>327321</v>
      </c>
      <c r="T66" s="662">
        <v>0</v>
      </c>
      <c r="U66" s="662">
        <v>4742778</v>
      </c>
      <c r="V66" s="662">
        <v>4262521</v>
      </c>
      <c r="W66" s="662">
        <v>3193331</v>
      </c>
      <c r="X66" s="662">
        <v>2713074</v>
      </c>
      <c r="Y66" s="291">
        <f t="shared" si="12"/>
        <v>5934541</v>
      </c>
      <c r="Z66" s="291">
        <f t="shared" si="12"/>
        <v>4484348</v>
      </c>
      <c r="AA66" s="60">
        <v>346003</v>
      </c>
      <c r="AB66" s="60"/>
      <c r="AC66" s="594"/>
      <c r="AD66" s="594"/>
      <c r="AE66" s="357"/>
      <c r="AF66" s="357"/>
      <c r="AG66" s="357"/>
      <c r="AH66" s="357"/>
      <c r="AI66" s="357"/>
      <c r="AJ66" s="357"/>
    </row>
    <row r="67" spans="1:36" s="319" customFormat="1" ht="21.75" customHeight="1">
      <c r="A67" s="356">
        <v>36</v>
      </c>
      <c r="B67" s="175" t="s">
        <v>724</v>
      </c>
      <c r="C67" s="77">
        <f t="shared" si="11"/>
        <v>276936352</v>
      </c>
      <c r="D67" s="292">
        <f t="shared" si="11"/>
        <v>92721032</v>
      </c>
      <c r="E67" s="662">
        <f>264695398-1</f>
        <v>264695397</v>
      </c>
      <c r="F67" s="662">
        <v>92697148</v>
      </c>
      <c r="G67" s="662">
        <v>2286930</v>
      </c>
      <c r="H67" s="662">
        <v>0</v>
      </c>
      <c r="I67" s="662">
        <f>2269294+1</f>
        <v>2269295</v>
      </c>
      <c r="J67" s="662">
        <v>0</v>
      </c>
      <c r="K67" s="662">
        <f>518996-1-1</f>
        <v>518994</v>
      </c>
      <c r="L67" s="662">
        <v>0</v>
      </c>
      <c r="M67" s="662">
        <f>228622-1</f>
        <v>228621</v>
      </c>
      <c r="N67" s="662">
        <v>0</v>
      </c>
      <c r="O67" s="662">
        <f>148617-1</f>
        <v>148616</v>
      </c>
      <c r="P67" s="662">
        <v>0</v>
      </c>
      <c r="Q67" s="662">
        <v>1938182</v>
      </c>
      <c r="R67" s="662">
        <v>0</v>
      </c>
      <c r="S67" s="662">
        <f>94039+1</f>
        <v>94040</v>
      </c>
      <c r="T67" s="662">
        <v>0</v>
      </c>
      <c r="U67" s="662">
        <f>7804856+1</f>
        <v>7804857</v>
      </c>
      <c r="V67" s="662">
        <f>23885-1</f>
        <v>23884</v>
      </c>
      <c r="W67" s="662">
        <f>3044195-1</f>
        <v>3044194</v>
      </c>
      <c r="X67" s="662">
        <v>23885</v>
      </c>
      <c r="Y67" s="291">
        <f t="shared" si="12"/>
        <v>3805844</v>
      </c>
      <c r="Z67" s="291">
        <f t="shared" si="12"/>
        <v>23885</v>
      </c>
      <c r="AA67" s="60">
        <v>331517</v>
      </c>
      <c r="AB67" s="60"/>
      <c r="AC67" s="594"/>
      <c r="AD67" s="594"/>
      <c r="AE67" s="357"/>
      <c r="AF67" s="357"/>
      <c r="AG67" s="357"/>
      <c r="AH67" s="357"/>
      <c r="AI67" s="357"/>
      <c r="AJ67" s="357"/>
    </row>
    <row r="68" spans="1:36" s="84" customFormat="1" ht="28.5" customHeight="1">
      <c r="A68" s="203">
        <v>37</v>
      </c>
      <c r="B68" s="203" t="s">
        <v>173</v>
      </c>
      <c r="C68" s="206">
        <f t="shared" ref="C68:AB68" si="13">SUM(C54:C67)</f>
        <v>7754313870</v>
      </c>
      <c r="D68" s="206">
        <f t="shared" si="13"/>
        <v>2946894902</v>
      </c>
      <c r="E68" s="206">
        <f t="shared" si="13"/>
        <v>6823371532</v>
      </c>
      <c r="F68" s="206">
        <f t="shared" si="13"/>
        <v>2754816643</v>
      </c>
      <c r="G68" s="206">
        <f t="shared" si="13"/>
        <v>58952965</v>
      </c>
      <c r="H68" s="206">
        <f t="shared" si="13"/>
        <v>387773</v>
      </c>
      <c r="I68" s="206">
        <f t="shared" si="13"/>
        <v>616609354</v>
      </c>
      <c r="J68" s="206">
        <f t="shared" si="13"/>
        <v>103269096</v>
      </c>
      <c r="K68" s="206">
        <f t="shared" si="13"/>
        <v>20742554</v>
      </c>
      <c r="L68" s="206">
        <f t="shared" si="13"/>
        <v>9121818</v>
      </c>
      <c r="M68" s="206">
        <f t="shared" si="13"/>
        <v>71675920</v>
      </c>
      <c r="N68" s="206">
        <f t="shared" si="13"/>
        <v>48446241</v>
      </c>
      <c r="O68" s="206">
        <f t="shared" si="13"/>
        <v>6483802</v>
      </c>
      <c r="P68" s="206">
        <f t="shared" si="13"/>
        <v>2080260</v>
      </c>
      <c r="Q68" s="206">
        <f t="shared" si="13"/>
        <v>73761027</v>
      </c>
      <c r="R68" s="206">
        <f t="shared" si="13"/>
        <v>5277170</v>
      </c>
      <c r="S68" s="206">
        <f t="shared" si="13"/>
        <v>16043961</v>
      </c>
      <c r="T68" s="206">
        <f t="shared" si="13"/>
        <v>626974</v>
      </c>
      <c r="U68" s="206">
        <f t="shared" si="13"/>
        <v>168896037</v>
      </c>
      <c r="V68" s="206">
        <f t="shared" si="13"/>
        <v>35085752</v>
      </c>
      <c r="W68" s="206">
        <f t="shared" si="13"/>
        <v>57724027</v>
      </c>
      <c r="X68" s="206">
        <f t="shared" si="13"/>
        <v>2951959</v>
      </c>
      <c r="Y68" s="206">
        <f t="shared" si="13"/>
        <v>100994344</v>
      </c>
      <c r="Z68" s="206">
        <f t="shared" si="13"/>
        <v>14781011</v>
      </c>
      <c r="AA68" s="592">
        <f t="shared" si="13"/>
        <v>25745378</v>
      </c>
      <c r="AB68" s="592">
        <f t="shared" si="13"/>
        <v>0</v>
      </c>
      <c r="AC68" s="591"/>
      <c r="AD68" s="591"/>
      <c r="AE68" s="242"/>
      <c r="AF68" s="242"/>
      <c r="AG68" s="242"/>
      <c r="AH68" s="242"/>
      <c r="AI68" s="242"/>
      <c r="AJ68" s="242"/>
    </row>
    <row r="69" spans="1:36" s="20" customFormat="1" ht="23.25" customHeight="1">
      <c r="A69" s="76">
        <v>38</v>
      </c>
      <c r="B69" s="341" t="s">
        <v>193</v>
      </c>
      <c r="C69" s="220">
        <f t="shared" ref="C69" si="14">E69+I69+M69+Q69+U69</f>
        <v>4884142754</v>
      </c>
      <c r="D69" s="292">
        <f t="shared" si="11"/>
        <v>1867275793</v>
      </c>
      <c r="E69" s="78">
        <f>12638456624-C68-I69-U69</f>
        <v>4879415087</v>
      </c>
      <c r="F69" s="78">
        <f>4814170695-D68-J69-V69</f>
        <v>1863167101</v>
      </c>
      <c r="G69" s="78">
        <f>41979652+849636</f>
        <v>42829288</v>
      </c>
      <c r="H69" s="78"/>
      <c r="I69" s="78">
        <v>4108692</v>
      </c>
      <c r="J69" s="78">
        <v>4108692</v>
      </c>
      <c r="K69" s="78">
        <v>410869</v>
      </c>
      <c r="L69" s="78"/>
      <c r="M69" s="78"/>
      <c r="N69" s="78"/>
      <c r="O69" s="78"/>
      <c r="P69" s="78"/>
      <c r="Q69" s="78"/>
      <c r="R69" s="78"/>
      <c r="S69" s="78"/>
      <c r="T69" s="78"/>
      <c r="U69" s="78">
        <v>618975</v>
      </c>
      <c r="V69" s="78"/>
      <c r="W69" s="78">
        <v>618975</v>
      </c>
      <c r="X69" s="78">
        <v>0</v>
      </c>
      <c r="Y69" s="291">
        <f t="shared" ref="Y69:Z69" si="15">+W69+S69+O69+K69</f>
        <v>1029844</v>
      </c>
      <c r="Z69" s="291">
        <f t="shared" si="15"/>
        <v>0</v>
      </c>
      <c r="AA69" s="60"/>
      <c r="AB69" s="60"/>
      <c r="AC69" s="591"/>
      <c r="AD69" s="591"/>
      <c r="AE69" s="242"/>
      <c r="AF69" s="242"/>
      <c r="AG69" s="242"/>
      <c r="AH69" s="242"/>
      <c r="AI69" s="242"/>
      <c r="AJ69" s="242"/>
    </row>
    <row r="70" spans="1:36" s="20" customFormat="1" ht="23.25" customHeight="1">
      <c r="A70" s="76"/>
      <c r="B70" s="75" t="s">
        <v>545</v>
      </c>
      <c r="C70" s="220">
        <f t="shared" ref="C70" si="16">E70+I70+M70+Q70+U70</f>
        <v>0</v>
      </c>
      <c r="D70" s="292">
        <f t="shared" si="11"/>
        <v>0</v>
      </c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0"/>
      <c r="U70" s="290"/>
      <c r="V70" s="290"/>
      <c r="W70" s="290"/>
      <c r="X70" s="290"/>
      <c r="Y70" s="291">
        <f t="shared" ref="Y70" si="17">+W70+S70+O70+K70</f>
        <v>0</v>
      </c>
      <c r="Z70" s="291">
        <f t="shared" ref="Z70" si="18">+X70+T70+P70+L70</f>
        <v>0</v>
      </c>
      <c r="AA70" s="60"/>
      <c r="AB70" s="60"/>
      <c r="AC70" s="591"/>
      <c r="AD70" s="591"/>
      <c r="AE70" s="242"/>
      <c r="AF70" s="242"/>
      <c r="AG70" s="242"/>
      <c r="AH70" s="242"/>
      <c r="AI70" s="242"/>
      <c r="AJ70" s="242"/>
    </row>
    <row r="71" spans="1:36" s="84" customFormat="1" ht="28.5" customHeight="1">
      <c r="A71" s="203">
        <v>39</v>
      </c>
      <c r="B71" s="203" t="s">
        <v>194</v>
      </c>
      <c r="C71" s="206">
        <f t="shared" ref="C71:AB71" si="19">+C50+C69</f>
        <v>12638456624</v>
      </c>
      <c r="D71" s="206">
        <f t="shared" si="19"/>
        <v>4814170695</v>
      </c>
      <c r="E71" s="206">
        <f t="shared" si="19"/>
        <v>11702786619</v>
      </c>
      <c r="F71" s="206">
        <f t="shared" si="19"/>
        <v>4617983744</v>
      </c>
      <c r="G71" s="206">
        <f t="shared" si="19"/>
        <v>101782253</v>
      </c>
      <c r="H71" s="206">
        <f t="shared" si="19"/>
        <v>387773</v>
      </c>
      <c r="I71" s="206">
        <f t="shared" si="19"/>
        <v>620718046</v>
      </c>
      <c r="J71" s="206">
        <f t="shared" si="19"/>
        <v>107377788</v>
      </c>
      <c r="K71" s="206">
        <f t="shared" si="19"/>
        <v>21153423</v>
      </c>
      <c r="L71" s="206">
        <f t="shared" si="19"/>
        <v>9121818</v>
      </c>
      <c r="M71" s="206">
        <f t="shared" si="19"/>
        <v>71675920</v>
      </c>
      <c r="N71" s="206">
        <f t="shared" si="19"/>
        <v>48446241</v>
      </c>
      <c r="O71" s="206">
        <f t="shared" si="19"/>
        <v>6483802</v>
      </c>
      <c r="P71" s="206">
        <f t="shared" si="19"/>
        <v>2080260</v>
      </c>
      <c r="Q71" s="206">
        <f t="shared" si="19"/>
        <v>73761027</v>
      </c>
      <c r="R71" s="206">
        <f t="shared" si="19"/>
        <v>5277170</v>
      </c>
      <c r="S71" s="206">
        <f t="shared" si="19"/>
        <v>16043961</v>
      </c>
      <c r="T71" s="206">
        <f t="shared" si="19"/>
        <v>626974</v>
      </c>
      <c r="U71" s="206">
        <f t="shared" si="19"/>
        <v>169515012</v>
      </c>
      <c r="V71" s="206">
        <f t="shared" si="19"/>
        <v>35085752</v>
      </c>
      <c r="W71" s="206">
        <f t="shared" si="19"/>
        <v>58343002</v>
      </c>
      <c r="X71" s="206">
        <f t="shared" si="19"/>
        <v>2951959</v>
      </c>
      <c r="Y71" s="206">
        <f t="shared" si="19"/>
        <v>102024188</v>
      </c>
      <c r="Z71" s="206">
        <f t="shared" si="19"/>
        <v>14781011</v>
      </c>
      <c r="AA71" s="592">
        <f t="shared" si="19"/>
        <v>25745378</v>
      </c>
      <c r="AB71" s="592">
        <f t="shared" si="19"/>
        <v>0</v>
      </c>
      <c r="AC71" s="591"/>
      <c r="AD71" s="591"/>
      <c r="AE71" s="242"/>
      <c r="AF71" s="242"/>
      <c r="AG71" s="242"/>
      <c r="AH71" s="242"/>
      <c r="AI71" s="242"/>
      <c r="AJ71" s="242"/>
    </row>
    <row r="72" spans="1:36">
      <c r="Y72" s="14"/>
    </row>
    <row r="73" spans="1:36">
      <c r="Y73" s="14"/>
    </row>
    <row r="74" spans="1:36">
      <c r="B74" s="5" t="s">
        <v>0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565"/>
      <c r="AB74" s="565"/>
    </row>
    <row r="75" spans="1:36">
      <c r="B75" s="5"/>
    </row>
    <row r="76" spans="1:36">
      <c r="B76" s="5" t="s">
        <v>1</v>
      </c>
    </row>
    <row r="77" spans="1:36">
      <c r="E77" s="13">
        <f>SUM('Asset quality'!D21:D47)+'Asset quality'!D16</f>
        <v>6823371532</v>
      </c>
      <c r="F77" s="13"/>
      <c r="G77" s="13">
        <f>SUM('Asset quality'!O21:O47)+'Asset quality'!O16</f>
        <v>58952965</v>
      </c>
      <c r="H77" s="13"/>
      <c r="I77" s="13">
        <f>SUM('Asset quality'!E21:E47)+'Asset quality'!E16</f>
        <v>616609354</v>
      </c>
      <c r="K77" s="13">
        <f>SUM('Asset quality'!P21:P47)+'Asset quality'!P16</f>
        <v>20742554</v>
      </c>
      <c r="L77" s="13"/>
      <c r="M77" s="13">
        <f>SUM('Asset quality'!F21:F47)</f>
        <v>71675920</v>
      </c>
      <c r="O77" s="13">
        <f>SUM('Asset quality'!Q21:Q47)+'Asset quality'!Q16</f>
        <v>6483802</v>
      </c>
      <c r="P77" s="13"/>
      <c r="Q77" s="13">
        <f>SUM('Asset quality'!G21:G47)</f>
        <v>73761027</v>
      </c>
      <c r="S77" s="13">
        <f>SUM('Asset quality'!R21:R47)+'Asset quality'!R16</f>
        <v>16043961</v>
      </c>
      <c r="T77" s="13"/>
      <c r="U77" s="13">
        <f>SUM('Asset quality'!H21:H47)</f>
        <v>168896037</v>
      </c>
      <c r="W77" s="13">
        <f>SUM('Asset quality'!S21:S47)+'Asset quality'!S16</f>
        <v>57724027</v>
      </c>
      <c r="Y77" s="13">
        <f>+W77+S77+O77+K77</f>
        <v>100994344</v>
      </c>
    </row>
    <row r="78" spans="1:36">
      <c r="E78" s="13"/>
      <c r="G78" s="13">
        <f>+'Asset quality'!O9+'Asset quality'!O62</f>
        <v>101782253</v>
      </c>
      <c r="I78" s="13"/>
      <c r="K78" s="13">
        <f>+'Asset quality'!P9+'Asset quality'!P62</f>
        <v>21153423</v>
      </c>
      <c r="M78" s="13"/>
      <c r="O78" s="13">
        <f>+'Asset quality'!Q9+'Asset quality'!Q62</f>
        <v>6483802</v>
      </c>
      <c r="S78" s="13">
        <f>+'Asset quality'!R9+'Asset quality'!R62</f>
        <v>16043961</v>
      </c>
      <c r="U78" s="13"/>
      <c r="W78" s="13">
        <f>+'Asset quality'!S9+'Asset quality'!S62</f>
        <v>58343002</v>
      </c>
      <c r="Y78" s="13">
        <f>+W78+S78+O78+K78</f>
        <v>102024188</v>
      </c>
    </row>
    <row r="79" spans="1:36">
      <c r="E79" s="384">
        <f>+E77-E50</f>
        <v>0</v>
      </c>
      <c r="F79" s="384"/>
      <c r="G79" s="384">
        <f>+G77-G50</f>
        <v>0</v>
      </c>
      <c r="H79" s="385"/>
      <c r="I79" s="384">
        <f>+I77-I50</f>
        <v>0</v>
      </c>
      <c r="J79" s="385"/>
      <c r="K79" s="384">
        <f>+K77-K50</f>
        <v>0</v>
      </c>
      <c r="L79" s="385"/>
      <c r="M79" s="384">
        <f>+M77-M50</f>
        <v>0</v>
      </c>
      <c r="N79" s="385"/>
      <c r="O79" s="384">
        <f>+O77-O50</f>
        <v>0</v>
      </c>
      <c r="P79" s="385"/>
      <c r="Q79" s="384">
        <f>+Q77-Q50</f>
        <v>0</v>
      </c>
      <c r="R79" s="385"/>
      <c r="S79" s="384">
        <f>+S77-S50</f>
        <v>0</v>
      </c>
      <c r="T79" s="385"/>
      <c r="U79" s="384">
        <f>+U77-U50</f>
        <v>0</v>
      </c>
      <c r="V79" s="385"/>
      <c r="W79" s="384">
        <f>+W77-W50</f>
        <v>0</v>
      </c>
      <c r="X79" s="385"/>
      <c r="Y79" s="384">
        <f>+Y77-Y50</f>
        <v>0</v>
      </c>
      <c r="Z79" s="385"/>
    </row>
    <row r="80" spans="1:36">
      <c r="E80" s="386"/>
      <c r="F80" s="384"/>
      <c r="G80" s="384">
        <f>+G78-G71</f>
        <v>0</v>
      </c>
      <c r="H80" s="385"/>
      <c r="I80" s="384"/>
      <c r="J80" s="385"/>
      <c r="K80" s="384">
        <f>+K78-K71</f>
        <v>0</v>
      </c>
      <c r="L80" s="385"/>
      <c r="M80" s="384"/>
      <c r="N80" s="385"/>
      <c r="O80" s="384">
        <f>+O78-O71</f>
        <v>0</v>
      </c>
      <c r="P80" s="385"/>
      <c r="Q80" s="384"/>
      <c r="R80" s="385"/>
      <c r="S80" s="384">
        <f>+S78-S71</f>
        <v>0</v>
      </c>
      <c r="T80" s="385"/>
      <c r="U80" s="384"/>
      <c r="V80" s="385"/>
      <c r="W80" s="384">
        <f>+W78-W71</f>
        <v>0</v>
      </c>
      <c r="X80" s="385"/>
      <c r="Y80" s="384">
        <f>+Y78-Y71</f>
        <v>0</v>
      </c>
      <c r="Z80" s="385"/>
    </row>
    <row r="81" spans="5:36"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  <c r="AC81" s="568"/>
      <c r="AD81" s="568"/>
      <c r="AE81" s="1"/>
      <c r="AF81" s="1"/>
      <c r="AG81" s="1"/>
      <c r="AH81" s="1"/>
      <c r="AI81" s="1"/>
      <c r="AJ81" s="1"/>
    </row>
    <row r="1048576" spans="29:36">
      <c r="AC1048576" s="593"/>
      <c r="AD1048576" s="568"/>
      <c r="AE1048576" s="1"/>
      <c r="AF1048576" s="1"/>
      <c r="AG1048576" s="1"/>
      <c r="AH1048576" s="1"/>
      <c r="AI1048576" s="1"/>
      <c r="AJ1048576" s="1"/>
    </row>
  </sheetData>
  <sheetProtection algorithmName="SHA-512" hashValue="XPiCtV+zAU4PMca4KgkiThjGFdmk/UW4TCKT3PP8HCZdMyBTJh41dusIG+30rCJKxzWBAJoweKmHwuDA3gqrMQ==" saltValue="orVyejIUnRO2z+H0KxDARg==" spinCount="100000" sheet="1" objects="1" scenarios="1"/>
  <phoneticPr fontId="20" type="noConversion"/>
  <conditionalFormatting sqref="D30">
    <cfRule type="cellIs" dxfId="248" priority="169" operator="notEqual">
      <formula>$D$50</formula>
    </cfRule>
  </conditionalFormatting>
  <conditionalFormatting sqref="E30">
    <cfRule type="cellIs" dxfId="247" priority="168" operator="notEqual">
      <formula>$E$50</formula>
    </cfRule>
  </conditionalFormatting>
  <conditionalFormatting sqref="F30">
    <cfRule type="cellIs" dxfId="246" priority="167" operator="notEqual">
      <formula>$F$50</formula>
    </cfRule>
  </conditionalFormatting>
  <conditionalFormatting sqref="G30">
    <cfRule type="cellIs" dxfId="245" priority="166" operator="notEqual">
      <formula>$G$50</formula>
    </cfRule>
  </conditionalFormatting>
  <conditionalFormatting sqref="H30">
    <cfRule type="cellIs" dxfId="244" priority="165" operator="notEqual">
      <formula>$H$50</formula>
    </cfRule>
  </conditionalFormatting>
  <conditionalFormatting sqref="I30">
    <cfRule type="cellIs" dxfId="243" priority="164" operator="notEqual">
      <formula>$I$50</formula>
    </cfRule>
  </conditionalFormatting>
  <conditionalFormatting sqref="J30">
    <cfRule type="cellIs" dxfId="242" priority="162" operator="notEqual">
      <formula>$J$50</formula>
    </cfRule>
  </conditionalFormatting>
  <conditionalFormatting sqref="K30">
    <cfRule type="cellIs" dxfId="241" priority="161" operator="notEqual">
      <formula>$K$50</formula>
    </cfRule>
  </conditionalFormatting>
  <conditionalFormatting sqref="L30">
    <cfRule type="cellIs" dxfId="240" priority="160" operator="notEqual">
      <formula>$L$50</formula>
    </cfRule>
  </conditionalFormatting>
  <conditionalFormatting sqref="M30">
    <cfRule type="cellIs" dxfId="239" priority="158" operator="notEqual">
      <formula>$M$50</formula>
    </cfRule>
  </conditionalFormatting>
  <conditionalFormatting sqref="N30">
    <cfRule type="cellIs" dxfId="238" priority="157" operator="notEqual">
      <formula>$N$50</formula>
    </cfRule>
  </conditionalFormatting>
  <conditionalFormatting sqref="O30">
    <cfRule type="cellIs" dxfId="237" priority="156" operator="notEqual">
      <formula>$O$50</formula>
    </cfRule>
  </conditionalFormatting>
  <conditionalFormatting sqref="P30">
    <cfRule type="cellIs" dxfId="236" priority="155" operator="notEqual">
      <formula>$P$50</formula>
    </cfRule>
  </conditionalFormatting>
  <conditionalFormatting sqref="Q30">
    <cfRule type="cellIs" dxfId="235" priority="153" operator="notEqual">
      <formula>$Q$50</formula>
    </cfRule>
  </conditionalFormatting>
  <conditionalFormatting sqref="R30">
    <cfRule type="cellIs" dxfId="234" priority="152" operator="notEqual">
      <formula>$R$50</formula>
    </cfRule>
  </conditionalFormatting>
  <conditionalFormatting sqref="S30">
    <cfRule type="cellIs" dxfId="233" priority="151" operator="notEqual">
      <formula>$S$50</formula>
    </cfRule>
  </conditionalFormatting>
  <conditionalFormatting sqref="T30">
    <cfRule type="cellIs" dxfId="232" priority="150" operator="notEqual">
      <formula>$T$50</formula>
    </cfRule>
  </conditionalFormatting>
  <conditionalFormatting sqref="U30">
    <cfRule type="cellIs" dxfId="231" priority="149" operator="notEqual">
      <formula>$U$50</formula>
    </cfRule>
  </conditionalFormatting>
  <conditionalFormatting sqref="V30">
    <cfRule type="cellIs" dxfId="230" priority="148" operator="notEqual">
      <formula>$V$50</formula>
    </cfRule>
  </conditionalFormatting>
  <conditionalFormatting sqref="W30">
    <cfRule type="cellIs" dxfId="229" priority="147" operator="notEqual">
      <formula>$W$50</formula>
    </cfRule>
  </conditionalFormatting>
  <conditionalFormatting sqref="X30">
    <cfRule type="cellIs" dxfId="228" priority="146" operator="notEqual">
      <formula>$X$50</formula>
    </cfRule>
  </conditionalFormatting>
  <conditionalFormatting sqref="Y30">
    <cfRule type="cellIs" dxfId="227" priority="145" operator="notEqual">
      <formula>$Y$50</formula>
    </cfRule>
  </conditionalFormatting>
  <conditionalFormatting sqref="D31">
    <cfRule type="cellIs" dxfId="226" priority="142" operator="notEqual">
      <formula>$D$51</formula>
    </cfRule>
  </conditionalFormatting>
  <conditionalFormatting sqref="I31">
    <cfRule type="cellIs" dxfId="225" priority="132" operator="notEqual">
      <formula>$I$51</formula>
    </cfRule>
  </conditionalFormatting>
  <conditionalFormatting sqref="J31">
    <cfRule type="cellIs" dxfId="224" priority="131" operator="notEqual">
      <formula>$J$51</formula>
    </cfRule>
  </conditionalFormatting>
  <conditionalFormatting sqref="K31">
    <cfRule type="cellIs" dxfId="223" priority="130" operator="notEqual">
      <formula>$K$51</formula>
    </cfRule>
  </conditionalFormatting>
  <conditionalFormatting sqref="L31">
    <cfRule type="cellIs" dxfId="222" priority="129" operator="notEqual">
      <formula>$L$51</formula>
    </cfRule>
  </conditionalFormatting>
  <conditionalFormatting sqref="M31">
    <cfRule type="cellIs" dxfId="221" priority="128" operator="notEqual">
      <formula>$M$51</formula>
    </cfRule>
  </conditionalFormatting>
  <conditionalFormatting sqref="N31">
    <cfRule type="cellIs" dxfId="220" priority="127" operator="notEqual">
      <formula>$N$51</formula>
    </cfRule>
  </conditionalFormatting>
  <conditionalFormatting sqref="O31">
    <cfRule type="cellIs" dxfId="219" priority="126" operator="notEqual">
      <formula>$O$51</formula>
    </cfRule>
  </conditionalFormatting>
  <conditionalFormatting sqref="P31">
    <cfRule type="cellIs" dxfId="218" priority="125" operator="notEqual">
      <formula>$P$51</formula>
    </cfRule>
  </conditionalFormatting>
  <conditionalFormatting sqref="Q31">
    <cfRule type="cellIs" dxfId="217" priority="124" operator="notEqual">
      <formula>$Q$51</formula>
    </cfRule>
  </conditionalFormatting>
  <conditionalFormatting sqref="R31">
    <cfRule type="cellIs" dxfId="216" priority="123" operator="notEqual">
      <formula>$R$51</formula>
    </cfRule>
  </conditionalFormatting>
  <conditionalFormatting sqref="S31">
    <cfRule type="cellIs" dxfId="215" priority="122" operator="notEqual">
      <formula>$S$51</formula>
    </cfRule>
  </conditionalFormatting>
  <conditionalFormatting sqref="T31">
    <cfRule type="cellIs" dxfId="214" priority="121" operator="notEqual">
      <formula>$T$51</formula>
    </cfRule>
  </conditionalFormatting>
  <conditionalFormatting sqref="U31">
    <cfRule type="cellIs" dxfId="213" priority="120" operator="notEqual">
      <formula>$U$51</formula>
    </cfRule>
  </conditionalFormatting>
  <conditionalFormatting sqref="V31">
    <cfRule type="cellIs" dxfId="212" priority="119" operator="notEqual">
      <formula>$V$51</formula>
    </cfRule>
  </conditionalFormatting>
  <conditionalFormatting sqref="W31">
    <cfRule type="cellIs" dxfId="211" priority="118" operator="notEqual">
      <formula>$W$51</formula>
    </cfRule>
  </conditionalFormatting>
  <conditionalFormatting sqref="X31">
    <cfRule type="cellIs" dxfId="210" priority="117" operator="notEqual">
      <formula>$X$51</formula>
    </cfRule>
  </conditionalFormatting>
  <conditionalFormatting sqref="Y31">
    <cfRule type="cellIs" dxfId="209" priority="116" operator="notEqual">
      <formula>$Y$51</formula>
    </cfRule>
  </conditionalFormatting>
  <conditionalFormatting sqref="Z31:AB31">
    <cfRule type="cellIs" dxfId="208" priority="115" operator="notEqual">
      <formula>$Z$51</formula>
    </cfRule>
  </conditionalFormatting>
  <conditionalFormatting sqref="E31">
    <cfRule type="cellIs" dxfId="207" priority="114" operator="notEqual">
      <formula>$E$51</formula>
    </cfRule>
  </conditionalFormatting>
  <conditionalFormatting sqref="F31">
    <cfRule type="cellIs" dxfId="206" priority="113" operator="notEqual">
      <formula>$F$51</formula>
    </cfRule>
  </conditionalFormatting>
  <conditionalFormatting sqref="G31">
    <cfRule type="cellIs" dxfId="205" priority="112" operator="notEqual">
      <formula>$G$51</formula>
    </cfRule>
  </conditionalFormatting>
  <conditionalFormatting sqref="H31">
    <cfRule type="cellIs" dxfId="204" priority="110" operator="notEqual">
      <formula>$H$49</formula>
    </cfRule>
  </conditionalFormatting>
  <conditionalFormatting sqref="G71">
    <cfRule type="cellIs" dxfId="203" priority="42" operator="notEqual">
      <formula>$G$78</formula>
    </cfRule>
    <cfRule type="cellIs" dxfId="202" priority="107" operator="notEqual">
      <formula>$G$78</formula>
    </cfRule>
  </conditionalFormatting>
  <conditionalFormatting sqref="K71">
    <cfRule type="cellIs" dxfId="201" priority="41" operator="notEqual">
      <formula>$K$78</formula>
    </cfRule>
    <cfRule type="cellIs" dxfId="200" priority="105" operator="notEqual">
      <formula>$K$78</formula>
    </cfRule>
  </conditionalFormatting>
  <conditionalFormatting sqref="S71">
    <cfRule type="cellIs" dxfId="199" priority="39" operator="notEqual">
      <formula>$S$78</formula>
    </cfRule>
    <cfRule type="cellIs" dxfId="198" priority="101" operator="notEqual">
      <formula>$S$78</formula>
    </cfRule>
  </conditionalFormatting>
  <conditionalFormatting sqref="W71">
    <cfRule type="cellIs" dxfId="197" priority="38" operator="notEqual">
      <formula>$W$78</formula>
    </cfRule>
    <cfRule type="cellIs" dxfId="196" priority="99" operator="notEqual">
      <formula>$W$78</formula>
    </cfRule>
  </conditionalFormatting>
  <conditionalFormatting sqref="Y71">
    <cfRule type="cellIs" dxfId="195" priority="37" operator="notEqual">
      <formula>$Y$78</formula>
    </cfRule>
    <cfRule type="cellIs" dxfId="194" priority="96" operator="notEqual">
      <formula>$Y$78</formula>
    </cfRule>
  </conditionalFormatting>
  <conditionalFormatting sqref="O71">
    <cfRule type="cellIs" dxfId="193" priority="40" operator="notEqual">
      <formula>$O$78</formula>
    </cfRule>
    <cfRule type="cellIs" dxfId="192" priority="94" operator="notEqual">
      <formula>$O$78</formula>
    </cfRule>
  </conditionalFormatting>
  <conditionalFormatting sqref="G68">
    <cfRule type="cellIs" dxfId="191" priority="36" operator="notEqual">
      <formula>$G$77</formula>
    </cfRule>
    <cfRule type="cellIs" dxfId="190" priority="69" operator="notEqual">
      <formula>$G$30</formula>
    </cfRule>
  </conditionalFormatting>
  <conditionalFormatting sqref="K68">
    <cfRule type="cellIs" dxfId="189" priority="34" operator="notEqual">
      <formula>$K$77</formula>
    </cfRule>
    <cfRule type="cellIs" dxfId="188" priority="68" operator="notEqual">
      <formula>$K$30</formula>
    </cfRule>
  </conditionalFormatting>
  <conditionalFormatting sqref="S68">
    <cfRule type="cellIs" dxfId="187" priority="30" operator="notEqual">
      <formula>$S$77</formula>
    </cfRule>
    <cfRule type="cellIs" dxfId="186" priority="67" operator="notEqual">
      <formula>$S$30</formula>
    </cfRule>
  </conditionalFormatting>
  <conditionalFormatting sqref="W68">
    <cfRule type="cellIs" dxfId="185" priority="28" operator="notEqual">
      <formula>$W$77</formula>
    </cfRule>
    <cfRule type="cellIs" dxfId="184" priority="66" operator="notEqual">
      <formula>$W$30</formula>
    </cfRule>
  </conditionalFormatting>
  <conditionalFormatting sqref="Y68">
    <cfRule type="cellIs" dxfId="183" priority="27" operator="notEqual">
      <formula>$Y$77</formula>
    </cfRule>
    <cfRule type="cellIs" dxfId="182" priority="65" operator="notEqual">
      <formula>$Y$30</formula>
    </cfRule>
  </conditionalFormatting>
  <conditionalFormatting sqref="O68">
    <cfRule type="cellIs" dxfId="181" priority="32" operator="notEqual">
      <formula>$O$77</formula>
    </cfRule>
    <cfRule type="cellIs" dxfId="180" priority="64" operator="notEqual">
      <formula>$O$30</formula>
    </cfRule>
  </conditionalFormatting>
  <conditionalFormatting sqref="E68">
    <cfRule type="cellIs" dxfId="179" priority="26" operator="notEqual">
      <formula>$E$77</formula>
    </cfRule>
    <cfRule type="cellIs" dxfId="178" priority="63" operator="notEqual">
      <formula>$E$30</formula>
    </cfRule>
  </conditionalFormatting>
  <conditionalFormatting sqref="M68">
    <cfRule type="cellIs" dxfId="177" priority="33" operator="notEqual">
      <formula>$M$77</formula>
    </cfRule>
    <cfRule type="cellIs" dxfId="176" priority="61" operator="notEqual">
      <formula>$M$30</formula>
    </cfRule>
  </conditionalFormatting>
  <conditionalFormatting sqref="Q68">
    <cfRule type="cellIs" dxfId="175" priority="31" operator="notEqual">
      <formula>$Q$77</formula>
    </cfRule>
    <cfRule type="cellIs" dxfId="174" priority="60" operator="notEqual">
      <formula>$Q$30</formula>
    </cfRule>
  </conditionalFormatting>
  <conditionalFormatting sqref="U68">
    <cfRule type="cellIs" dxfId="173" priority="29" operator="notEqual">
      <formula>$U$77</formula>
    </cfRule>
    <cfRule type="cellIs" dxfId="172" priority="59" operator="notEqual">
      <formula>$U$30</formula>
    </cfRule>
  </conditionalFormatting>
  <conditionalFormatting sqref="H50">
    <cfRule type="cellIs" dxfId="171" priority="58" operator="notEqual">
      <formula>H68</formula>
    </cfRule>
  </conditionalFormatting>
  <conditionalFormatting sqref="J68">
    <cfRule type="cellIs" dxfId="170" priority="57" operator="notEqual">
      <formula>$J$30</formula>
    </cfRule>
  </conditionalFormatting>
  <conditionalFormatting sqref="I68">
    <cfRule type="cellIs" dxfId="169" priority="35" operator="notEqual">
      <formula>$I$77</formula>
    </cfRule>
  </conditionalFormatting>
  <conditionalFormatting sqref="G50">
    <cfRule type="cellIs" dxfId="168" priority="563" operator="notEqual">
      <formula>$G$68</formula>
    </cfRule>
  </conditionalFormatting>
  <conditionalFormatting sqref="K50">
    <cfRule type="cellIs" dxfId="167" priority="564" operator="notEqual">
      <formula>$K$68</formula>
    </cfRule>
  </conditionalFormatting>
  <conditionalFormatting sqref="S50">
    <cfRule type="cellIs" dxfId="166" priority="565" operator="notEqual">
      <formula>$S$68</formula>
    </cfRule>
  </conditionalFormatting>
  <conditionalFormatting sqref="W50">
    <cfRule type="cellIs" dxfId="165" priority="566" operator="notEqual">
      <formula>$W$68</formula>
    </cfRule>
  </conditionalFormatting>
  <conditionalFormatting sqref="Y50">
    <cfRule type="cellIs" dxfId="164" priority="567" operator="notEqual">
      <formula>$Y$68</formula>
    </cfRule>
  </conditionalFormatting>
  <conditionalFormatting sqref="O50">
    <cfRule type="cellIs" dxfId="163" priority="568" operator="notEqual">
      <formula>$O$68</formula>
    </cfRule>
  </conditionalFormatting>
  <conditionalFormatting sqref="E50">
    <cfRule type="cellIs" dxfId="162" priority="569" operator="notEqual">
      <formula>$E$68</formula>
    </cfRule>
  </conditionalFormatting>
  <conditionalFormatting sqref="M50">
    <cfRule type="cellIs" dxfId="161" priority="570" operator="notEqual">
      <formula>$M$68</formula>
    </cfRule>
  </conditionalFormatting>
  <conditionalFormatting sqref="Q50">
    <cfRule type="cellIs" dxfId="160" priority="571" operator="notEqual">
      <formula>$Q$68</formula>
    </cfRule>
  </conditionalFormatting>
  <conditionalFormatting sqref="U50">
    <cfRule type="cellIs" dxfId="159" priority="572" operator="notEqual">
      <formula>$U$68</formula>
    </cfRule>
  </conditionalFormatting>
  <conditionalFormatting sqref="D50">
    <cfRule type="cellIs" dxfId="158" priority="573" operator="notEqual">
      <formula>$D$68</formula>
    </cfRule>
  </conditionalFormatting>
  <conditionalFormatting sqref="F50">
    <cfRule type="cellIs" dxfId="157" priority="574" operator="notEqual">
      <formula>$F$68</formula>
    </cfRule>
  </conditionalFormatting>
  <conditionalFormatting sqref="I50">
    <cfRule type="cellIs" dxfId="156" priority="575" operator="notEqual">
      <formula>$I$68</formula>
    </cfRule>
  </conditionalFormatting>
  <conditionalFormatting sqref="J50">
    <cfRule type="cellIs" dxfId="155" priority="576" operator="notEqual">
      <formula>$J$68</formula>
    </cfRule>
  </conditionalFormatting>
  <conditionalFormatting sqref="L50">
    <cfRule type="cellIs" dxfId="154" priority="577" operator="notEqual">
      <formula>$L$68</formula>
    </cfRule>
  </conditionalFormatting>
  <conditionalFormatting sqref="N50">
    <cfRule type="cellIs" dxfId="153" priority="578" operator="notEqual">
      <formula>$N$68</formula>
    </cfRule>
  </conditionalFormatting>
  <conditionalFormatting sqref="P50">
    <cfRule type="cellIs" dxfId="152" priority="579" operator="notEqual">
      <formula>$P$68</formula>
    </cfRule>
  </conditionalFormatting>
  <conditionalFormatting sqref="R50">
    <cfRule type="cellIs" dxfId="151" priority="580" operator="notEqual">
      <formula>$R$68</formula>
    </cfRule>
  </conditionalFormatting>
  <conditionalFormatting sqref="T50">
    <cfRule type="cellIs" dxfId="150" priority="581" operator="notEqual">
      <formula>$T$68</formula>
    </cfRule>
  </conditionalFormatting>
  <conditionalFormatting sqref="V50">
    <cfRule type="cellIs" dxfId="149" priority="582" operator="notEqual">
      <formula>$V$68</formula>
    </cfRule>
  </conditionalFormatting>
  <conditionalFormatting sqref="X50">
    <cfRule type="cellIs" dxfId="148" priority="583" operator="notEqual">
      <formula>$X$68</formula>
    </cfRule>
  </conditionalFormatting>
  <conditionalFormatting sqref="AB50">
    <cfRule type="cellIs" dxfId="147" priority="584" operator="notEqual">
      <formula>$AB$68</formula>
    </cfRule>
  </conditionalFormatting>
  <conditionalFormatting sqref="C6">
    <cfRule type="cellIs" dxfId="146" priority="24" operator="notEqual">
      <formula>$AC$6</formula>
    </cfRule>
  </conditionalFormatting>
  <conditionalFormatting sqref="C8">
    <cfRule type="cellIs" dxfId="145" priority="23" operator="notEqual">
      <formula>$AC$8</formula>
    </cfRule>
  </conditionalFormatting>
  <conditionalFormatting sqref="C10">
    <cfRule type="cellIs" dxfId="144" priority="22" operator="notEqual">
      <formula>$AC$10</formula>
    </cfRule>
  </conditionalFormatting>
  <conditionalFormatting sqref="C12">
    <cfRule type="cellIs" dxfId="143" priority="21" operator="notEqual">
      <formula>$AC$12</formula>
    </cfRule>
  </conditionalFormatting>
  <conditionalFormatting sqref="C14">
    <cfRule type="cellIs" dxfId="142" priority="20" operator="notEqual">
      <formula>$AC$14</formula>
    </cfRule>
  </conditionalFormatting>
  <conditionalFormatting sqref="C16">
    <cfRule type="cellIs" dxfId="141" priority="19" operator="notEqual">
      <formula>$AC$16</formula>
    </cfRule>
  </conditionalFormatting>
  <conditionalFormatting sqref="C18">
    <cfRule type="cellIs" dxfId="140" priority="18" operator="notEqual">
      <formula>$AC$18</formula>
    </cfRule>
  </conditionalFormatting>
  <conditionalFormatting sqref="C20">
    <cfRule type="cellIs" dxfId="139" priority="17" operator="notEqual">
      <formula>$AC$20</formula>
    </cfRule>
  </conditionalFormatting>
  <conditionalFormatting sqref="C22">
    <cfRule type="cellIs" dxfId="138" priority="16" operator="notEqual">
      <formula>$AC$22</formula>
    </cfRule>
  </conditionalFormatting>
  <conditionalFormatting sqref="C24">
    <cfRule type="cellIs" dxfId="137" priority="15" operator="notEqual">
      <formula>$AC$24</formula>
    </cfRule>
  </conditionalFormatting>
  <conditionalFormatting sqref="C26">
    <cfRule type="cellIs" dxfId="136" priority="14" operator="notEqual">
      <formula>$AC$26</formula>
    </cfRule>
  </conditionalFormatting>
  <conditionalFormatting sqref="C28">
    <cfRule type="cellIs" dxfId="135" priority="13" operator="notEqual">
      <formula>$AC$28</formula>
    </cfRule>
  </conditionalFormatting>
  <conditionalFormatting sqref="C34">
    <cfRule type="cellIs" dxfId="134" priority="12" operator="notEqual">
      <formula>$AC$34</formula>
    </cfRule>
  </conditionalFormatting>
  <conditionalFormatting sqref="C36">
    <cfRule type="cellIs" dxfId="133" priority="11" operator="notEqual">
      <formula>$AC$36</formula>
    </cfRule>
  </conditionalFormatting>
  <conditionalFormatting sqref="C38">
    <cfRule type="cellIs" dxfId="132" priority="10" operator="notEqual">
      <formula>$AC$38</formula>
    </cfRule>
  </conditionalFormatting>
  <conditionalFormatting sqref="C40">
    <cfRule type="cellIs" dxfId="131" priority="9" operator="notEqual">
      <formula>$AC$40</formula>
    </cfRule>
  </conditionalFormatting>
  <conditionalFormatting sqref="C42">
    <cfRule type="cellIs" dxfId="130" priority="8" operator="notEqual">
      <formula>$AC$42</formula>
    </cfRule>
  </conditionalFormatting>
  <conditionalFormatting sqref="C44">
    <cfRule type="cellIs" dxfId="129" priority="7" operator="notEqual">
      <formula>$AC$44</formula>
    </cfRule>
  </conditionalFormatting>
  <conditionalFormatting sqref="C46">
    <cfRule type="cellIs" dxfId="128" priority="6" operator="notEqual">
      <formula>$AC$46</formula>
    </cfRule>
  </conditionalFormatting>
  <conditionalFormatting sqref="C48">
    <cfRule type="cellIs" dxfId="127" priority="5" operator="notEqual">
      <formula>$AC$48</formula>
    </cfRule>
  </conditionalFormatting>
  <conditionalFormatting sqref="AA30">
    <cfRule type="cellIs" dxfId="126" priority="4" operator="notEqual">
      <formula>$AA$50</formula>
    </cfRule>
  </conditionalFormatting>
  <conditionalFormatting sqref="Z50">
    <cfRule type="cellIs" dxfId="125" priority="3" operator="notEqual">
      <formula>$Z$68</formula>
    </cfRule>
  </conditionalFormatting>
  <conditionalFormatting sqref="AA50">
    <cfRule type="cellIs" dxfId="124" priority="2" operator="notEqual">
      <formula>$AA$68</formula>
    </cfRule>
  </conditionalFormatting>
  <conditionalFormatting sqref="AB30">
    <cfRule type="cellIs" dxfId="123" priority="1" operator="notEqual">
      <formula>$AB$50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69:X69 V48:V49 T48:T49 R48:R49 P48:P49 N48:N49 L48:L49 J48:J49 H48:H49 F48:F49 I43:I49 W28 F46 H46 J46 L46 N46 P46 R46 T46 V46 M28 I28 O28 Q28 S28 U28 K28 G28 O43:O49 Q43:Q49 S43:S49 U43:U49 K43:K49 G43:G49 W43:W49 M43:M49 F67 H67 J67 L67 N67 P67 R67 T67 V67 M54:M60 W54:W60 G54:G60 K54:K60 U54:U60 S54:S60 Q54:Q60 O54:O60 I54:I60 E54:E60 M34:M41 W34:W41 G34:G41 K34:K41 U34:U41 S34:S41 Q34:Q41 O34:O41 I34:I41 E34:E41 E43:E49 W62:W67 G62:G67 K62:K67 U62:U67 S62:S67 Q62:Q67 O62:O67 I62:I67 E62:E67 M62:M67 X48:X49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0 E70 G70 I70 K70 M70 O70 Q70 S70 U70" xr:uid="{00000000-0002-0000-0600-000001000000}">
      <formula1>0</formula1>
    </dataValidation>
  </dataValidations>
  <printOptions horizontalCentered="1"/>
  <pageMargins left="0.23622047244094491" right="0.23622047244094491" top="0" bottom="0" header="0.31496062992125984" footer="0.31496062992125984"/>
  <pageSetup paperSize="9" scale="3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106"/>
  <sheetViews>
    <sheetView zoomScale="90" zoomScaleNormal="90" zoomScaleSheetLayoutView="70" workbookViewId="0">
      <pane xSplit="7" ySplit="8" topLeftCell="H24" activePane="bottomRight" state="frozen"/>
      <selection activeCell="C73" sqref="C73"/>
      <selection pane="topRight" activeCell="C73" sqref="C73"/>
      <selection pane="bottomLeft" activeCell="C73" sqref="C73"/>
      <selection pane="bottomRight" activeCell="O36" sqref="O36"/>
    </sheetView>
  </sheetViews>
  <sheetFormatPr defaultRowHeight="12.75"/>
  <cols>
    <col min="1" max="1" width="5.140625" style="562" customWidth="1"/>
    <col min="2" max="2" width="43.42578125" style="562" customWidth="1"/>
    <col min="3" max="3" width="14.140625" style="562" customWidth="1"/>
    <col min="4" max="6" width="10.140625" style="562" customWidth="1"/>
    <col min="7" max="8" width="14.28515625" style="562" customWidth="1"/>
    <col min="9" max="19" width="13.85546875" style="562" customWidth="1"/>
    <col min="20" max="20" width="8.28515625" style="562" customWidth="1"/>
    <col min="21" max="21" width="10.140625" style="562" customWidth="1"/>
    <col min="22" max="22" width="14" style="608" customWidth="1"/>
    <col min="23" max="23" width="9.85546875" style="562" customWidth="1"/>
    <col min="24" max="24" width="14" style="562" customWidth="1"/>
    <col min="25" max="25" width="13.28515625" style="562" customWidth="1"/>
    <col min="26" max="26" width="14.7109375" style="562" customWidth="1"/>
    <col min="27" max="27" width="17.140625" style="644" customWidth="1"/>
    <col min="28" max="16384" width="9.140625" style="562"/>
  </cols>
  <sheetData>
    <row r="1" spans="1:28" ht="20.25">
      <c r="A1" s="715" t="s">
        <v>897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Y1" s="636" t="s">
        <v>896</v>
      </c>
    </row>
    <row r="2" spans="1:28">
      <c r="A2" s="635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Q2" s="634"/>
      <c r="R2" s="634"/>
      <c r="S2" s="634"/>
      <c r="T2" s="634"/>
    </row>
    <row r="3" spans="1:28" ht="15.75">
      <c r="A3" s="584"/>
      <c r="B3" s="633" t="str">
        <f>+'Asset quality'!B3</f>
        <v xml:space="preserve">АК "АЛОКАБАНК" </v>
      </c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718"/>
      <c r="O3" s="718"/>
      <c r="P3" s="718"/>
      <c r="Q3" s="584"/>
      <c r="R3" s="584"/>
      <c r="T3" s="632"/>
      <c r="U3" s="718">
        <f>+'Asset quality'!P3</f>
        <v>44561</v>
      </c>
      <c r="V3" s="718" t="e">
        <f>+#REF!</f>
        <v>#REF!</v>
      </c>
      <c r="W3" s="718"/>
      <c r="Y3" s="714" t="s">
        <v>382</v>
      </c>
      <c r="Z3" s="714"/>
    </row>
    <row r="4" spans="1:28" ht="27.75" customHeight="1">
      <c r="A4" s="719" t="s">
        <v>83</v>
      </c>
      <c r="B4" s="719" t="s">
        <v>895</v>
      </c>
      <c r="C4" s="706" t="s">
        <v>894</v>
      </c>
      <c r="D4" s="706" t="s">
        <v>893</v>
      </c>
      <c r="E4" s="706" t="s">
        <v>892</v>
      </c>
      <c r="F4" s="706" t="s">
        <v>891</v>
      </c>
      <c r="G4" s="706" t="s">
        <v>890</v>
      </c>
      <c r="H4" s="716" t="s">
        <v>90</v>
      </c>
      <c r="I4" s="717"/>
      <c r="J4" s="717"/>
      <c r="K4" s="717"/>
      <c r="L4" s="717"/>
      <c r="M4" s="717"/>
      <c r="N4" s="717"/>
      <c r="O4" s="717"/>
      <c r="P4" s="717"/>
      <c r="Q4" s="717"/>
      <c r="R4" s="717"/>
      <c r="S4" s="717"/>
      <c r="T4" s="706" t="s">
        <v>889</v>
      </c>
      <c r="U4" s="709" t="s">
        <v>888</v>
      </c>
      <c r="V4" s="710"/>
      <c r="W4" s="706" t="s">
        <v>887</v>
      </c>
      <c r="X4" s="706" t="s">
        <v>886</v>
      </c>
      <c r="Y4" s="706" t="s">
        <v>885</v>
      </c>
      <c r="Z4" s="706" t="s">
        <v>884</v>
      </c>
      <c r="AB4" s="608"/>
    </row>
    <row r="5" spans="1:28" ht="27.75" customHeight="1">
      <c r="A5" s="720"/>
      <c r="B5" s="720"/>
      <c r="C5" s="707"/>
      <c r="D5" s="707"/>
      <c r="E5" s="707"/>
      <c r="F5" s="707"/>
      <c r="G5" s="707"/>
      <c r="H5" s="716" t="s">
        <v>883</v>
      </c>
      <c r="I5" s="717"/>
      <c r="J5" s="717"/>
      <c r="K5" s="717"/>
      <c r="L5" s="716" t="s">
        <v>882</v>
      </c>
      <c r="M5" s="717"/>
      <c r="N5" s="717"/>
      <c r="O5" s="717"/>
      <c r="P5" s="717"/>
      <c r="Q5" s="717"/>
      <c r="R5" s="717"/>
      <c r="S5" s="717"/>
      <c r="T5" s="707"/>
      <c r="U5" s="711"/>
      <c r="V5" s="712"/>
      <c r="W5" s="707"/>
      <c r="X5" s="707"/>
      <c r="Y5" s="707"/>
      <c r="Z5" s="707"/>
      <c r="AB5" s="608"/>
    </row>
    <row r="6" spans="1:28" ht="108.75" customHeight="1">
      <c r="A6" s="720"/>
      <c r="B6" s="720"/>
      <c r="C6" s="707"/>
      <c r="D6" s="707"/>
      <c r="E6" s="707"/>
      <c r="F6" s="707"/>
      <c r="G6" s="707"/>
      <c r="H6" s="706" t="s">
        <v>881</v>
      </c>
      <c r="I6" s="706" t="s">
        <v>880</v>
      </c>
      <c r="J6" s="706" t="s">
        <v>879</v>
      </c>
      <c r="K6" s="706" t="s">
        <v>875</v>
      </c>
      <c r="L6" s="722" t="s">
        <v>878</v>
      </c>
      <c r="M6" s="723"/>
      <c r="N6" s="722" t="s">
        <v>877</v>
      </c>
      <c r="O6" s="723"/>
      <c r="P6" s="722" t="s">
        <v>876</v>
      </c>
      <c r="Q6" s="723"/>
      <c r="R6" s="722" t="s">
        <v>875</v>
      </c>
      <c r="S6" s="723"/>
      <c r="T6" s="707"/>
      <c r="U6" s="706" t="s">
        <v>874</v>
      </c>
      <c r="V6" s="706" t="s">
        <v>577</v>
      </c>
      <c r="W6" s="707"/>
      <c r="X6" s="707"/>
      <c r="Y6" s="707"/>
      <c r="Z6" s="707"/>
      <c r="AB6" s="608"/>
    </row>
    <row r="7" spans="1:28" ht="41.25" customHeight="1">
      <c r="A7" s="721"/>
      <c r="B7" s="721"/>
      <c r="C7" s="708"/>
      <c r="D7" s="708"/>
      <c r="E7" s="708"/>
      <c r="F7" s="708"/>
      <c r="G7" s="708"/>
      <c r="H7" s="708"/>
      <c r="I7" s="708"/>
      <c r="J7" s="708"/>
      <c r="K7" s="708"/>
      <c r="L7" s="631" t="s">
        <v>873</v>
      </c>
      <c r="M7" s="631" t="s">
        <v>872</v>
      </c>
      <c r="N7" s="631" t="s">
        <v>873</v>
      </c>
      <c r="O7" s="631" t="s">
        <v>872</v>
      </c>
      <c r="P7" s="631" t="s">
        <v>873</v>
      </c>
      <c r="Q7" s="631" t="s">
        <v>872</v>
      </c>
      <c r="R7" s="631" t="s">
        <v>873</v>
      </c>
      <c r="S7" s="631" t="s">
        <v>872</v>
      </c>
      <c r="T7" s="708"/>
      <c r="U7" s="708"/>
      <c r="V7" s="708"/>
      <c r="W7" s="708"/>
      <c r="X7" s="708"/>
      <c r="Y7" s="708"/>
      <c r="Z7" s="708"/>
      <c r="AB7" s="608"/>
    </row>
    <row r="8" spans="1:28" s="629" customFormat="1" ht="15">
      <c r="A8" s="607"/>
      <c r="B8" s="607" t="s">
        <v>182</v>
      </c>
      <c r="C8" s="607" t="s">
        <v>183</v>
      </c>
      <c r="D8" s="607" t="s">
        <v>195</v>
      </c>
      <c r="E8" s="607" t="s">
        <v>184</v>
      </c>
      <c r="F8" s="607" t="s">
        <v>185</v>
      </c>
      <c r="G8" s="606" t="s">
        <v>196</v>
      </c>
      <c r="H8" s="607" t="s">
        <v>871</v>
      </c>
      <c r="I8" s="607" t="s">
        <v>870</v>
      </c>
      <c r="J8" s="607" t="s">
        <v>869</v>
      </c>
      <c r="K8" s="607" t="s">
        <v>868</v>
      </c>
      <c r="L8" s="704" t="s">
        <v>867</v>
      </c>
      <c r="M8" s="705"/>
      <c r="N8" s="704" t="s">
        <v>866</v>
      </c>
      <c r="O8" s="705"/>
      <c r="P8" s="704" t="s">
        <v>865</v>
      </c>
      <c r="Q8" s="705"/>
      <c r="R8" s="704" t="s">
        <v>864</v>
      </c>
      <c r="S8" s="705"/>
      <c r="T8" s="607" t="s">
        <v>186</v>
      </c>
      <c r="U8" s="607" t="s">
        <v>187</v>
      </c>
      <c r="V8" s="607" t="s">
        <v>188</v>
      </c>
      <c r="W8" s="607" t="s">
        <v>189</v>
      </c>
      <c r="X8" s="607" t="s">
        <v>190</v>
      </c>
      <c r="Y8" s="607" t="s">
        <v>191</v>
      </c>
      <c r="Z8" s="607" t="s">
        <v>192</v>
      </c>
      <c r="AA8" s="645"/>
      <c r="AB8" s="630"/>
    </row>
    <row r="9" spans="1:28" s="618" customFormat="1">
      <c r="A9" s="624">
        <v>1</v>
      </c>
      <c r="B9" s="620" t="s">
        <v>909</v>
      </c>
      <c r="C9" s="625">
        <v>203366731</v>
      </c>
      <c r="D9" s="625">
        <v>61100</v>
      </c>
      <c r="E9" s="623">
        <v>860</v>
      </c>
      <c r="F9" s="623">
        <v>1</v>
      </c>
      <c r="G9" s="622">
        <f t="shared" ref="G9:G40" si="0">+H9+I9+J9+K9+M9+O9+Q9+S9</f>
        <v>584524462</v>
      </c>
      <c r="H9" s="60"/>
      <c r="I9" s="60">
        <v>584524462</v>
      </c>
      <c r="J9" s="60"/>
      <c r="K9" s="60"/>
      <c r="L9" s="60"/>
      <c r="M9" s="60"/>
      <c r="N9" s="621">
        <v>108376600</v>
      </c>
      <c r="O9" s="621"/>
      <c r="P9" s="60"/>
      <c r="Q9" s="625"/>
      <c r="R9" s="625"/>
      <c r="S9" s="625"/>
      <c r="T9" s="625"/>
      <c r="U9" s="657">
        <v>2</v>
      </c>
      <c r="V9" s="657">
        <v>429776700</v>
      </c>
      <c r="W9" s="625">
        <v>1</v>
      </c>
      <c r="X9" s="625"/>
      <c r="Y9" s="625"/>
      <c r="Z9" s="619">
        <f t="shared" ref="Z9:Z40" si="1">+G9-V9-X9</f>
        <v>154747762</v>
      </c>
      <c r="AA9" s="643">
        <f>SUMIF($F$9:$F$63,$F9,$Z$9:$Z$63)</f>
        <v>154747762</v>
      </c>
    </row>
    <row r="10" spans="1:28" s="618" customFormat="1">
      <c r="A10" s="624">
        <v>2</v>
      </c>
      <c r="B10" s="620" t="s">
        <v>910</v>
      </c>
      <c r="C10" s="625">
        <v>207137166</v>
      </c>
      <c r="D10" s="625">
        <v>64910</v>
      </c>
      <c r="E10" s="623">
        <v>860</v>
      </c>
      <c r="F10" s="623">
        <v>2</v>
      </c>
      <c r="G10" s="622">
        <f t="shared" si="0"/>
        <v>161383437</v>
      </c>
      <c r="H10" s="60"/>
      <c r="I10" s="60">
        <v>161383437</v>
      </c>
      <c r="J10" s="60"/>
      <c r="K10" s="60"/>
      <c r="L10" s="60"/>
      <c r="M10" s="60"/>
      <c r="N10" s="621"/>
      <c r="O10" s="60"/>
      <c r="P10" s="60"/>
      <c r="Q10" s="625"/>
      <c r="R10" s="625"/>
      <c r="S10" s="625"/>
      <c r="T10" s="625"/>
      <c r="U10" s="625"/>
      <c r="V10" s="625"/>
      <c r="W10" s="625">
        <v>1</v>
      </c>
      <c r="X10" s="625"/>
      <c r="Y10" s="625"/>
      <c r="Z10" s="619">
        <f t="shared" si="1"/>
        <v>161383437</v>
      </c>
      <c r="AA10" s="643">
        <f t="shared" ref="AA10:AA63" si="2">SUMIF($F$9:$F$63,$F10,$Z$9:$Z$63)</f>
        <v>163050104</v>
      </c>
    </row>
    <row r="11" spans="1:28" s="618" customFormat="1">
      <c r="A11" s="624">
        <v>3</v>
      </c>
      <c r="B11" s="656" t="s">
        <v>913</v>
      </c>
      <c r="C11" s="657">
        <v>305059128</v>
      </c>
      <c r="D11" s="657">
        <v>62020</v>
      </c>
      <c r="E11" s="655">
        <v>860</v>
      </c>
      <c r="F11" s="655">
        <v>2</v>
      </c>
      <c r="G11" s="622">
        <f t="shared" ref="G11:G25" si="3">+H11+I11+J11+K11+M11+O11+Q11+S11</f>
        <v>1666667</v>
      </c>
      <c r="H11" s="60"/>
      <c r="I11" s="656">
        <v>1666667</v>
      </c>
      <c r="J11" s="654"/>
      <c r="K11" s="60"/>
      <c r="L11" s="60"/>
      <c r="M11" s="60"/>
      <c r="N11" s="621"/>
      <c r="O11" s="60"/>
      <c r="P11" s="60"/>
      <c r="Q11" s="625"/>
      <c r="R11" s="625"/>
      <c r="S11" s="620"/>
      <c r="T11" s="620"/>
      <c r="U11" s="625"/>
      <c r="V11" s="625"/>
      <c r="W11" s="620">
        <v>1</v>
      </c>
      <c r="X11" s="625"/>
      <c r="Y11" s="620"/>
      <c r="Z11" s="619">
        <f t="shared" si="1"/>
        <v>1666667</v>
      </c>
      <c r="AA11" s="643">
        <f>SUMIF($F$9:$F$63,$F12,$Z$9:$Z$63)</f>
        <v>50000000</v>
      </c>
    </row>
    <row r="12" spans="1:28" s="618" customFormat="1">
      <c r="A12" s="624">
        <v>4</v>
      </c>
      <c r="B12" s="620" t="s">
        <v>926</v>
      </c>
      <c r="C12" s="625">
        <v>200833833</v>
      </c>
      <c r="D12" s="625">
        <v>53100</v>
      </c>
      <c r="E12" s="623">
        <v>860</v>
      </c>
      <c r="F12" s="623">
        <v>3</v>
      </c>
      <c r="G12" s="622">
        <f t="shared" si="3"/>
        <v>50000000</v>
      </c>
      <c r="H12" s="60"/>
      <c r="I12" s="654"/>
      <c r="J12" s="654">
        <v>50000000</v>
      </c>
      <c r="K12" s="60"/>
      <c r="L12" s="60"/>
      <c r="M12" s="60"/>
      <c r="N12" s="621"/>
      <c r="O12" s="621"/>
      <c r="P12" s="60"/>
      <c r="Q12" s="625"/>
      <c r="R12" s="625"/>
      <c r="S12" s="620"/>
      <c r="T12" s="620"/>
      <c r="U12" s="625"/>
      <c r="V12" s="625"/>
      <c r="W12" s="620">
        <v>1</v>
      </c>
      <c r="X12" s="625"/>
      <c r="Y12" s="620"/>
      <c r="Z12" s="619">
        <f t="shared" si="1"/>
        <v>50000000</v>
      </c>
      <c r="AA12" s="643">
        <f>SUMIF($F$9:$F$63,$F13,$Z$9:$Z$63)</f>
        <v>25000000</v>
      </c>
    </row>
    <row r="13" spans="1:28" s="618" customFormat="1">
      <c r="A13" s="624">
        <v>5</v>
      </c>
      <c r="B13" s="620" t="s">
        <v>918</v>
      </c>
      <c r="C13" s="657">
        <v>308921880</v>
      </c>
      <c r="D13" s="625">
        <v>64300</v>
      </c>
      <c r="E13" s="623">
        <v>860</v>
      </c>
      <c r="F13" s="623">
        <v>4</v>
      </c>
      <c r="G13" s="622">
        <f t="shared" si="3"/>
        <v>25000000</v>
      </c>
      <c r="H13" s="620"/>
      <c r="I13" s="654"/>
      <c r="J13" s="654">
        <v>25000000</v>
      </c>
      <c r="K13" s="620"/>
      <c r="L13" s="620"/>
      <c r="M13" s="60"/>
      <c r="N13" s="621"/>
      <c r="O13" s="60"/>
      <c r="P13" s="60"/>
      <c r="Q13" s="625"/>
      <c r="R13" s="625"/>
      <c r="S13" s="620"/>
      <c r="T13" s="620"/>
      <c r="U13" s="625"/>
      <c r="V13" s="625"/>
      <c r="W13" s="620">
        <v>1</v>
      </c>
      <c r="X13" s="625"/>
      <c r="Y13" s="620"/>
      <c r="Z13" s="619">
        <f t="shared" si="1"/>
        <v>25000000</v>
      </c>
      <c r="AA13" s="643">
        <f>SUMIF($F$9:$F$63,$F20,$Z$9:$Z$63)</f>
        <v>22621</v>
      </c>
    </row>
    <row r="14" spans="1:28" s="618" customFormat="1">
      <c r="A14" s="624">
        <v>6</v>
      </c>
      <c r="B14" s="656" t="s">
        <v>912</v>
      </c>
      <c r="C14" s="657">
        <v>305186248</v>
      </c>
      <c r="D14" s="657">
        <v>96190</v>
      </c>
      <c r="E14" s="655">
        <v>860</v>
      </c>
      <c r="F14" s="655">
        <v>5</v>
      </c>
      <c r="G14" s="622">
        <f t="shared" si="3"/>
        <v>12665000</v>
      </c>
      <c r="H14" s="60"/>
      <c r="I14" s="654"/>
      <c r="J14" s="654">
        <v>12665000</v>
      </c>
      <c r="K14" s="60"/>
      <c r="L14" s="60"/>
      <c r="M14" s="60"/>
      <c r="N14" s="621"/>
      <c r="O14" s="60"/>
      <c r="P14" s="60"/>
      <c r="Q14" s="625"/>
      <c r="R14" s="625"/>
      <c r="S14" s="620"/>
      <c r="T14" s="620"/>
      <c r="U14" s="625"/>
      <c r="V14" s="625"/>
      <c r="W14" s="620">
        <v>1</v>
      </c>
      <c r="X14" s="625"/>
      <c r="Y14" s="620"/>
      <c r="Z14" s="619">
        <f t="shared" si="1"/>
        <v>12665000</v>
      </c>
      <c r="AA14" s="643">
        <f>SUMIF($F$9:$F$63,$F21,$Z$9:$Z$63)</f>
        <v>0</v>
      </c>
    </row>
    <row r="15" spans="1:28" s="618" customFormat="1">
      <c r="A15" s="624">
        <v>7</v>
      </c>
      <c r="B15" s="656" t="s">
        <v>927</v>
      </c>
      <c r="C15" s="657">
        <v>201941144</v>
      </c>
      <c r="D15" s="657">
        <v>65120</v>
      </c>
      <c r="E15" s="655">
        <v>860</v>
      </c>
      <c r="F15" s="655">
        <v>6</v>
      </c>
      <c r="G15" s="622">
        <f t="shared" si="3"/>
        <v>5603011</v>
      </c>
      <c r="H15" s="60"/>
      <c r="I15" s="654"/>
      <c r="J15" s="654">
        <v>5603011</v>
      </c>
      <c r="K15" s="60"/>
      <c r="L15" s="60"/>
      <c r="M15" s="620"/>
      <c r="N15" s="621"/>
      <c r="O15" s="621"/>
      <c r="P15" s="621"/>
      <c r="Q15" s="621"/>
      <c r="R15" s="620"/>
      <c r="S15" s="625"/>
      <c r="T15" s="625"/>
      <c r="U15" s="621"/>
      <c r="V15" s="625"/>
      <c r="W15" s="620">
        <v>1</v>
      </c>
      <c r="X15" s="625"/>
      <c r="Y15" s="625"/>
      <c r="Z15" s="619">
        <f t="shared" si="1"/>
        <v>5603011</v>
      </c>
      <c r="AA15" s="643">
        <f>SUMIF($F$9:$F$63,$F22,$Z$9:$Z$63)</f>
        <v>0</v>
      </c>
    </row>
    <row r="16" spans="1:28" s="618" customFormat="1">
      <c r="A16" s="624">
        <v>8</v>
      </c>
      <c r="B16" s="656" t="s">
        <v>911</v>
      </c>
      <c r="C16" s="657">
        <v>305186248</v>
      </c>
      <c r="D16" s="657">
        <v>64990</v>
      </c>
      <c r="E16" s="655">
        <v>860</v>
      </c>
      <c r="F16" s="655">
        <v>7</v>
      </c>
      <c r="G16" s="622">
        <f t="shared" si="3"/>
        <v>1298000</v>
      </c>
      <c r="H16" s="60"/>
      <c r="I16" s="658"/>
      <c r="J16" s="658">
        <v>1298000</v>
      </c>
      <c r="K16" s="60"/>
      <c r="L16" s="60"/>
      <c r="M16" s="620"/>
      <c r="N16" s="621"/>
      <c r="O16" s="621"/>
      <c r="P16" s="621"/>
      <c r="Q16" s="621"/>
      <c r="R16" s="620"/>
      <c r="S16" s="625"/>
      <c r="T16" s="625"/>
      <c r="U16" s="621"/>
      <c r="V16" s="625"/>
      <c r="W16" s="620">
        <v>4</v>
      </c>
      <c r="X16" s="625"/>
      <c r="Y16" s="625"/>
      <c r="Z16" s="619">
        <f t="shared" si="1"/>
        <v>1298000</v>
      </c>
      <c r="AA16" s="643">
        <f>SUMIF($F$9:$F$63,#REF!,$Z$9:$Z$63)</f>
        <v>0</v>
      </c>
    </row>
    <row r="17" spans="1:27" s="618" customFormat="1">
      <c r="A17" s="624">
        <v>9</v>
      </c>
      <c r="B17" s="656" t="s">
        <v>914</v>
      </c>
      <c r="C17" s="657">
        <v>207027936</v>
      </c>
      <c r="D17" s="657">
        <v>52300</v>
      </c>
      <c r="E17" s="655">
        <v>860</v>
      </c>
      <c r="F17" s="655">
        <v>8</v>
      </c>
      <c r="G17" s="622">
        <f t="shared" si="3"/>
        <v>1136155</v>
      </c>
      <c r="H17" s="60"/>
      <c r="I17" s="654"/>
      <c r="J17" s="60">
        <v>1136155</v>
      </c>
      <c r="K17" s="60"/>
      <c r="L17" s="60"/>
      <c r="M17" s="620"/>
      <c r="N17" s="621"/>
      <c r="O17" s="621"/>
      <c r="P17" s="621"/>
      <c r="Q17" s="621"/>
      <c r="R17" s="620"/>
      <c r="S17" s="625"/>
      <c r="T17" s="625"/>
      <c r="U17" s="621"/>
      <c r="V17" s="625"/>
      <c r="W17" s="620">
        <v>1</v>
      </c>
      <c r="X17" s="625"/>
      <c r="Y17" s="625"/>
      <c r="Z17" s="619">
        <f t="shared" si="1"/>
        <v>1136155</v>
      </c>
      <c r="AA17" s="643">
        <f>SUMIF($F$9:$F$63,$F23,$Z$9:$Z$63)</f>
        <v>0</v>
      </c>
    </row>
    <row r="18" spans="1:27" s="618" customFormat="1">
      <c r="A18" s="624">
        <v>10</v>
      </c>
      <c r="B18" s="656" t="s">
        <v>915</v>
      </c>
      <c r="C18" s="657">
        <v>496318340</v>
      </c>
      <c r="D18" s="657">
        <v>99950</v>
      </c>
      <c r="E18" s="655">
        <v>860</v>
      </c>
      <c r="F18" s="655">
        <v>8</v>
      </c>
      <c r="G18" s="622">
        <f t="shared" si="3"/>
        <v>135000</v>
      </c>
      <c r="H18" s="60"/>
      <c r="I18" s="654">
        <v>135000</v>
      </c>
      <c r="J18" s="654"/>
      <c r="K18" s="60"/>
      <c r="L18" s="60"/>
      <c r="M18" s="620"/>
      <c r="N18" s="621"/>
      <c r="O18" s="621"/>
      <c r="P18" s="621"/>
      <c r="Q18" s="621"/>
      <c r="R18" s="620"/>
      <c r="S18" s="625"/>
      <c r="T18" s="625"/>
      <c r="U18" s="621"/>
      <c r="V18" s="625"/>
      <c r="W18" s="620">
        <v>1</v>
      </c>
      <c r="X18" s="625"/>
      <c r="Y18" s="625"/>
      <c r="Z18" s="619">
        <f t="shared" si="1"/>
        <v>135000</v>
      </c>
      <c r="AA18" s="643">
        <f>SUMIF($F$9:$F$63,$F24,$Z$9:$Z$63)</f>
        <v>0</v>
      </c>
    </row>
    <row r="19" spans="1:27" s="618" customFormat="1">
      <c r="A19" s="624">
        <v>11</v>
      </c>
      <c r="B19" s="653" t="s">
        <v>919</v>
      </c>
      <c r="C19" s="657">
        <v>498617291</v>
      </c>
      <c r="D19" s="657">
        <v>99950</v>
      </c>
      <c r="E19" s="655">
        <v>860</v>
      </c>
      <c r="F19" s="655">
        <v>7</v>
      </c>
      <c r="G19" s="622">
        <f t="shared" si="3"/>
        <v>24843</v>
      </c>
      <c r="H19" s="60"/>
      <c r="I19" s="654">
        <v>24843</v>
      </c>
      <c r="J19" s="654"/>
      <c r="K19" s="60"/>
      <c r="L19" s="60"/>
      <c r="M19" s="620"/>
      <c r="N19" s="621"/>
      <c r="O19" s="621"/>
      <c r="P19" s="621"/>
      <c r="Q19" s="621"/>
      <c r="R19" s="620"/>
      <c r="S19" s="625"/>
      <c r="T19" s="625"/>
      <c r="U19" s="625"/>
      <c r="V19" s="625"/>
      <c r="W19" s="620">
        <v>1</v>
      </c>
      <c r="X19" s="625"/>
      <c r="Y19" s="625"/>
      <c r="Z19" s="619">
        <f t="shared" si="1"/>
        <v>24843</v>
      </c>
      <c r="AA19" s="643">
        <f>SUMIF($F$9:$F$63,$F25,$Z$9:$Z$63)</f>
        <v>0</v>
      </c>
    </row>
    <row r="20" spans="1:27" s="618" customFormat="1">
      <c r="A20" s="624">
        <v>12</v>
      </c>
      <c r="B20" s="620" t="s">
        <v>916</v>
      </c>
      <c r="C20" s="625">
        <v>501640297</v>
      </c>
      <c r="D20" s="625">
        <v>99950</v>
      </c>
      <c r="E20" s="623">
        <v>860</v>
      </c>
      <c r="F20" s="623">
        <v>9</v>
      </c>
      <c r="G20" s="622">
        <f t="shared" si="3"/>
        <v>22621</v>
      </c>
      <c r="H20" s="60"/>
      <c r="I20" s="656">
        <v>22621</v>
      </c>
      <c r="J20" s="656"/>
      <c r="K20" s="60"/>
      <c r="L20" s="60"/>
      <c r="M20" s="620"/>
      <c r="N20" s="621"/>
      <c r="O20" s="621"/>
      <c r="P20" s="621"/>
      <c r="Q20" s="621"/>
      <c r="R20" s="620"/>
      <c r="S20" s="625"/>
      <c r="T20" s="625"/>
      <c r="U20" s="625"/>
      <c r="V20" s="625"/>
      <c r="W20" s="620">
        <v>1</v>
      </c>
      <c r="X20" s="625"/>
      <c r="Y20" s="625"/>
      <c r="Z20" s="619">
        <f t="shared" si="1"/>
        <v>22621</v>
      </c>
      <c r="AA20" s="643">
        <f>SUMIF($F$9:$F$63,#REF!,$Z$9:$Z$63)</f>
        <v>0</v>
      </c>
    </row>
    <row r="21" spans="1:27" s="618" customFormat="1">
      <c r="A21" s="624">
        <v>13</v>
      </c>
      <c r="B21" s="620"/>
      <c r="C21" s="625"/>
      <c r="D21" s="625"/>
      <c r="E21" s="623"/>
      <c r="F21" s="623"/>
      <c r="G21" s="622">
        <f t="shared" si="3"/>
        <v>0</v>
      </c>
      <c r="H21" s="60"/>
      <c r="I21" s="654"/>
      <c r="J21" s="654"/>
      <c r="K21" s="60"/>
      <c r="L21" s="60"/>
      <c r="M21" s="620"/>
      <c r="N21" s="621"/>
      <c r="O21" s="621"/>
      <c r="P21" s="621"/>
      <c r="Q21" s="621"/>
      <c r="R21" s="620"/>
      <c r="S21" s="625"/>
      <c r="T21" s="625"/>
      <c r="U21" s="625"/>
      <c r="V21" s="625"/>
      <c r="W21" s="620">
        <v>1</v>
      </c>
      <c r="X21" s="625"/>
      <c r="Y21" s="625"/>
      <c r="Z21" s="619">
        <f t="shared" si="1"/>
        <v>0</v>
      </c>
      <c r="AA21" s="643">
        <f>SUMIF($F$9:$F$63,#REF!,$Z$9:$Z$63)</f>
        <v>0</v>
      </c>
    </row>
    <row r="22" spans="1:27" s="618" customFormat="1">
      <c r="A22" s="624">
        <v>14</v>
      </c>
      <c r="B22" s="620"/>
      <c r="C22" s="625"/>
      <c r="D22" s="625"/>
      <c r="E22" s="623"/>
      <c r="F22" s="623"/>
      <c r="G22" s="622">
        <f t="shared" si="3"/>
        <v>0</v>
      </c>
      <c r="H22" s="60"/>
      <c r="I22" s="654"/>
      <c r="J22" s="654"/>
      <c r="K22" s="60"/>
      <c r="L22" s="60"/>
      <c r="M22" s="620"/>
      <c r="N22" s="621"/>
      <c r="O22" s="621"/>
      <c r="P22" s="621"/>
      <c r="Q22" s="621"/>
      <c r="R22" s="620"/>
      <c r="S22" s="625"/>
      <c r="T22" s="625"/>
      <c r="U22" s="625"/>
      <c r="V22" s="625"/>
      <c r="W22" s="620"/>
      <c r="X22" s="625"/>
      <c r="Y22" s="625"/>
      <c r="Z22" s="619">
        <f t="shared" si="1"/>
        <v>0</v>
      </c>
      <c r="AA22" s="643">
        <f>SUMIF($F$9:$F$63,#REF!,$Z$9:$Z$63)</f>
        <v>0</v>
      </c>
    </row>
    <row r="23" spans="1:27" s="618" customFormat="1">
      <c r="A23" s="624">
        <v>15</v>
      </c>
      <c r="B23" s="620"/>
      <c r="C23" s="625"/>
      <c r="D23" s="625"/>
      <c r="E23" s="623"/>
      <c r="F23" s="623"/>
      <c r="G23" s="622">
        <f t="shared" si="3"/>
        <v>0</v>
      </c>
      <c r="H23" s="620"/>
      <c r="I23" s="658"/>
      <c r="J23" s="654"/>
      <c r="K23" s="620"/>
      <c r="L23" s="620"/>
      <c r="M23" s="620"/>
      <c r="N23" s="621"/>
      <c r="O23" s="621"/>
      <c r="P23" s="621"/>
      <c r="Q23" s="621"/>
      <c r="R23" s="620"/>
      <c r="S23" s="625"/>
      <c r="T23" s="625"/>
      <c r="U23" s="625"/>
      <c r="V23" s="625"/>
      <c r="W23" s="620"/>
      <c r="X23" s="625"/>
      <c r="Y23" s="625"/>
      <c r="Z23" s="619">
        <f t="shared" si="1"/>
        <v>0</v>
      </c>
      <c r="AA23" s="643">
        <f>SUMIF($F$9:$F$63,#REF!,$Z$9:$Z$63)</f>
        <v>0</v>
      </c>
    </row>
    <row r="24" spans="1:27" s="618" customFormat="1">
      <c r="A24" s="624">
        <v>16</v>
      </c>
      <c r="B24" s="620"/>
      <c r="C24" s="625"/>
      <c r="D24" s="625"/>
      <c r="E24" s="623"/>
      <c r="F24" s="623"/>
      <c r="G24" s="622">
        <f t="shared" si="3"/>
        <v>0</v>
      </c>
      <c r="H24" s="620"/>
      <c r="I24" s="658"/>
      <c r="J24" s="654"/>
      <c r="K24" s="620"/>
      <c r="L24" s="620"/>
      <c r="M24" s="620"/>
      <c r="N24" s="621"/>
      <c r="O24" s="621"/>
      <c r="P24" s="621"/>
      <c r="Q24" s="621"/>
      <c r="R24" s="620"/>
      <c r="S24" s="625"/>
      <c r="T24" s="625"/>
      <c r="U24" s="625"/>
      <c r="V24" s="625"/>
      <c r="W24" s="620"/>
      <c r="X24" s="625"/>
      <c r="Y24" s="625"/>
      <c r="Z24" s="619">
        <f t="shared" si="1"/>
        <v>0</v>
      </c>
      <c r="AA24" s="643">
        <f>SUMIF($F$9:$F$63,#REF!,$Z$9:$Z$63)</f>
        <v>0</v>
      </c>
    </row>
    <row r="25" spans="1:27" s="618" customFormat="1">
      <c r="A25" s="624">
        <v>17</v>
      </c>
      <c r="B25" s="656"/>
      <c r="C25" s="657"/>
      <c r="D25" s="657"/>
      <c r="E25" s="655"/>
      <c r="F25" s="655"/>
      <c r="G25" s="622">
        <f t="shared" si="3"/>
        <v>0</v>
      </c>
      <c r="H25" s="620"/>
      <c r="I25" s="654"/>
      <c r="J25" s="654"/>
      <c r="K25" s="620"/>
      <c r="L25" s="620"/>
      <c r="M25" s="620"/>
      <c r="N25" s="621"/>
      <c r="O25" s="621"/>
      <c r="P25" s="621"/>
      <c r="Q25" s="621"/>
      <c r="R25" s="620"/>
      <c r="S25" s="625"/>
      <c r="T25" s="625"/>
      <c r="U25" s="625"/>
      <c r="V25" s="625"/>
      <c r="W25" s="620"/>
      <c r="X25" s="625"/>
      <c r="Y25" s="625"/>
      <c r="Z25" s="619">
        <f t="shared" si="1"/>
        <v>0</v>
      </c>
      <c r="AA25" s="643">
        <f>SUMIF($F$9:$F$63,#REF!,$Z$9:$Z$63)</f>
        <v>0</v>
      </c>
    </row>
    <row r="26" spans="1:27" s="618" customFormat="1">
      <c r="A26" s="624">
        <v>18</v>
      </c>
      <c r="B26" s="627"/>
      <c r="C26" s="620"/>
      <c r="D26" s="620"/>
      <c r="E26" s="623"/>
      <c r="F26" s="623"/>
      <c r="G26" s="622">
        <f t="shared" si="0"/>
        <v>0</v>
      </c>
      <c r="H26" s="620"/>
      <c r="I26" s="626"/>
      <c r="J26" s="620"/>
      <c r="K26" s="620"/>
      <c r="L26" s="620"/>
      <c r="M26" s="620"/>
      <c r="N26" s="621"/>
      <c r="O26" s="621"/>
      <c r="P26" s="621"/>
      <c r="Q26" s="621"/>
      <c r="R26" s="620"/>
      <c r="S26" s="620"/>
      <c r="T26" s="620"/>
      <c r="U26" s="620"/>
      <c r="V26" s="620"/>
      <c r="W26" s="620"/>
      <c r="X26" s="625"/>
      <c r="Y26" s="620"/>
      <c r="Z26" s="619">
        <f t="shared" si="1"/>
        <v>0</v>
      </c>
      <c r="AA26" s="643">
        <f t="shared" si="2"/>
        <v>0</v>
      </c>
    </row>
    <row r="27" spans="1:27" s="618" customFormat="1">
      <c r="A27" s="624">
        <v>19</v>
      </c>
      <c r="B27" s="627"/>
      <c r="C27" s="620"/>
      <c r="D27" s="625"/>
      <c r="E27" s="623"/>
      <c r="F27" s="623"/>
      <c r="G27" s="622">
        <f t="shared" si="0"/>
        <v>0</v>
      </c>
      <c r="H27" s="620"/>
      <c r="I27" s="620"/>
      <c r="J27" s="620"/>
      <c r="K27" s="620"/>
      <c r="L27" s="620"/>
      <c r="M27" s="620"/>
      <c r="N27" s="621"/>
      <c r="O27" s="621"/>
      <c r="P27" s="621"/>
      <c r="Q27" s="621"/>
      <c r="R27" s="620"/>
      <c r="S27" s="620"/>
      <c r="T27" s="620"/>
      <c r="U27" s="620"/>
      <c r="V27" s="620"/>
      <c r="W27" s="620"/>
      <c r="X27" s="625"/>
      <c r="Y27" s="620"/>
      <c r="Z27" s="619">
        <f t="shared" si="1"/>
        <v>0</v>
      </c>
      <c r="AA27" s="643">
        <f t="shared" si="2"/>
        <v>0</v>
      </c>
    </row>
    <row r="28" spans="1:27" s="618" customFormat="1">
      <c r="A28" s="624">
        <v>20</v>
      </c>
      <c r="B28" s="627"/>
      <c r="C28" s="620"/>
      <c r="D28" s="620"/>
      <c r="E28" s="623"/>
      <c r="F28" s="623"/>
      <c r="G28" s="622">
        <f t="shared" si="0"/>
        <v>0</v>
      </c>
      <c r="H28" s="620"/>
      <c r="I28" s="626"/>
      <c r="J28" s="620"/>
      <c r="K28" s="620"/>
      <c r="L28" s="620"/>
      <c r="M28" s="620"/>
      <c r="N28" s="621"/>
      <c r="O28" s="621"/>
      <c r="P28" s="621"/>
      <c r="Q28" s="621"/>
      <c r="R28" s="620"/>
      <c r="S28" s="620"/>
      <c r="T28" s="620"/>
      <c r="U28" s="620"/>
      <c r="V28" s="620"/>
      <c r="W28" s="620"/>
      <c r="X28" s="625"/>
      <c r="Y28" s="620"/>
      <c r="Z28" s="619">
        <f t="shared" si="1"/>
        <v>0</v>
      </c>
      <c r="AA28" s="643">
        <f t="shared" si="2"/>
        <v>0</v>
      </c>
    </row>
    <row r="29" spans="1:27" s="618" customFormat="1">
      <c r="A29" s="624">
        <v>21</v>
      </c>
      <c r="B29" s="627"/>
      <c r="C29" s="620"/>
      <c r="D29" s="620"/>
      <c r="E29" s="623"/>
      <c r="F29" s="623"/>
      <c r="G29" s="622">
        <f t="shared" si="0"/>
        <v>0</v>
      </c>
      <c r="H29" s="620"/>
      <c r="I29" s="626"/>
      <c r="J29" s="620"/>
      <c r="K29" s="620"/>
      <c r="L29" s="620"/>
      <c r="M29" s="620"/>
      <c r="N29" s="621"/>
      <c r="O29" s="621"/>
      <c r="P29" s="621"/>
      <c r="Q29" s="621"/>
      <c r="R29" s="620"/>
      <c r="S29" s="620"/>
      <c r="T29" s="620"/>
      <c r="U29" s="620"/>
      <c r="V29" s="620"/>
      <c r="W29" s="620"/>
      <c r="X29" s="625"/>
      <c r="Y29" s="620"/>
      <c r="Z29" s="619">
        <f t="shared" si="1"/>
        <v>0</v>
      </c>
      <c r="AA29" s="643">
        <f t="shared" si="2"/>
        <v>0</v>
      </c>
    </row>
    <row r="30" spans="1:27" s="618" customFormat="1">
      <c r="A30" s="624">
        <v>22</v>
      </c>
      <c r="B30" s="627"/>
      <c r="C30" s="620"/>
      <c r="D30" s="620"/>
      <c r="E30" s="623"/>
      <c r="F30" s="623"/>
      <c r="G30" s="622">
        <f t="shared" si="0"/>
        <v>0</v>
      </c>
      <c r="H30" s="620"/>
      <c r="I30" s="626"/>
      <c r="J30" s="620"/>
      <c r="K30" s="620"/>
      <c r="L30" s="620"/>
      <c r="M30" s="620"/>
      <c r="N30" s="621"/>
      <c r="O30" s="621"/>
      <c r="P30" s="621"/>
      <c r="Q30" s="621"/>
      <c r="R30" s="620"/>
      <c r="S30" s="620"/>
      <c r="T30" s="620"/>
      <c r="U30" s="620"/>
      <c r="V30" s="620"/>
      <c r="W30" s="620"/>
      <c r="X30" s="625"/>
      <c r="Y30" s="620"/>
      <c r="Z30" s="619">
        <f t="shared" si="1"/>
        <v>0</v>
      </c>
      <c r="AA30" s="643">
        <f t="shared" si="2"/>
        <v>0</v>
      </c>
    </row>
    <row r="31" spans="1:27" s="618" customFormat="1">
      <c r="A31" s="624">
        <v>23</v>
      </c>
      <c r="B31" s="627"/>
      <c r="C31" s="620"/>
      <c r="D31" s="620"/>
      <c r="E31" s="623"/>
      <c r="F31" s="623"/>
      <c r="G31" s="622">
        <f t="shared" si="0"/>
        <v>0</v>
      </c>
      <c r="H31" s="620"/>
      <c r="I31" s="626"/>
      <c r="J31" s="620"/>
      <c r="K31" s="620"/>
      <c r="L31" s="620"/>
      <c r="M31" s="620"/>
      <c r="N31" s="621"/>
      <c r="O31" s="621"/>
      <c r="P31" s="621"/>
      <c r="Q31" s="621"/>
      <c r="R31" s="620"/>
      <c r="S31" s="620"/>
      <c r="T31" s="620"/>
      <c r="U31" s="620"/>
      <c r="V31" s="620"/>
      <c r="W31" s="620"/>
      <c r="X31" s="625"/>
      <c r="Y31" s="620"/>
      <c r="Z31" s="619">
        <f t="shared" si="1"/>
        <v>0</v>
      </c>
      <c r="AA31" s="643">
        <f t="shared" si="2"/>
        <v>0</v>
      </c>
    </row>
    <row r="32" spans="1:27" s="618" customFormat="1">
      <c r="A32" s="624">
        <v>24</v>
      </c>
      <c r="B32" s="656"/>
      <c r="C32" s="657"/>
      <c r="D32" s="657"/>
      <c r="E32" s="655"/>
      <c r="F32" s="655"/>
      <c r="G32" s="622">
        <f>+H32+I32+J32+K32+M32+O32+Q32+S32</f>
        <v>0</v>
      </c>
      <c r="H32" s="620"/>
      <c r="I32" s="654"/>
      <c r="J32" s="620"/>
      <c r="K32" s="620"/>
      <c r="L32" s="620"/>
      <c r="M32" s="620"/>
      <c r="N32" s="621"/>
      <c r="O32" s="621"/>
      <c r="P32" s="621"/>
      <c r="Q32" s="621"/>
      <c r="R32" s="620"/>
      <c r="S32" s="620"/>
      <c r="T32" s="620"/>
      <c r="U32" s="620"/>
      <c r="V32" s="620"/>
      <c r="W32" s="620"/>
      <c r="X32" s="625"/>
      <c r="Y32" s="620"/>
      <c r="Z32" s="619">
        <f t="shared" si="1"/>
        <v>0</v>
      </c>
      <c r="AA32" s="643">
        <f t="shared" si="2"/>
        <v>0</v>
      </c>
    </row>
    <row r="33" spans="1:27" s="618" customFormat="1">
      <c r="A33" s="624">
        <v>25</v>
      </c>
      <c r="B33" s="656"/>
      <c r="C33" s="657"/>
      <c r="D33" s="657"/>
      <c r="E33" s="655"/>
      <c r="F33" s="655"/>
      <c r="G33" s="622">
        <f>+H33+I33+J33+K33+M33+O33+Q33+S33</f>
        <v>0</v>
      </c>
      <c r="H33" s="620"/>
      <c r="I33" s="654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5"/>
      <c r="Y33" s="620"/>
      <c r="Z33" s="619">
        <f t="shared" si="1"/>
        <v>0</v>
      </c>
      <c r="AA33" s="643">
        <f t="shared" si="2"/>
        <v>0</v>
      </c>
    </row>
    <row r="34" spans="1:27" s="618" customFormat="1">
      <c r="A34" s="624">
        <v>26</v>
      </c>
      <c r="B34" s="656"/>
      <c r="C34" s="657"/>
      <c r="D34" s="657"/>
      <c r="E34" s="655"/>
      <c r="F34" s="655"/>
      <c r="G34" s="622">
        <f>+H34+I34+J34+K34+M34+O34+Q34+S34</f>
        <v>0</v>
      </c>
      <c r="H34" s="620"/>
      <c r="I34" s="654"/>
      <c r="J34" s="620"/>
      <c r="K34" s="620"/>
      <c r="L34" s="620"/>
      <c r="M34" s="620"/>
      <c r="N34" s="621"/>
      <c r="O34" s="621"/>
      <c r="P34" s="621"/>
      <c r="Q34" s="621"/>
      <c r="R34" s="620"/>
      <c r="S34" s="620"/>
      <c r="T34" s="620"/>
      <c r="U34" s="620"/>
      <c r="V34" s="620"/>
      <c r="W34" s="620"/>
      <c r="X34" s="625"/>
      <c r="Y34" s="620"/>
      <c r="Z34" s="619">
        <f t="shared" si="1"/>
        <v>0</v>
      </c>
      <c r="AA34" s="643">
        <f t="shared" si="2"/>
        <v>0</v>
      </c>
    </row>
    <row r="35" spans="1:27" s="618" customFormat="1">
      <c r="A35" s="624">
        <v>27</v>
      </c>
      <c r="B35" s="627"/>
      <c r="C35" s="620"/>
      <c r="D35" s="620"/>
      <c r="E35" s="623"/>
      <c r="F35" s="623"/>
      <c r="G35" s="622">
        <f t="shared" si="0"/>
        <v>0</v>
      </c>
      <c r="H35" s="620"/>
      <c r="I35" s="626"/>
      <c r="J35" s="620"/>
      <c r="K35" s="620"/>
      <c r="L35" s="620"/>
      <c r="M35" s="620"/>
      <c r="N35" s="621"/>
      <c r="O35" s="621"/>
      <c r="P35" s="621"/>
      <c r="Q35" s="621"/>
      <c r="R35" s="620"/>
      <c r="S35" s="620"/>
      <c r="T35" s="620"/>
      <c r="U35" s="620"/>
      <c r="V35" s="620"/>
      <c r="W35" s="620"/>
      <c r="X35" s="625"/>
      <c r="Y35" s="620"/>
      <c r="Z35" s="619">
        <f t="shared" si="1"/>
        <v>0</v>
      </c>
      <c r="AA35" s="643">
        <f t="shared" si="2"/>
        <v>0</v>
      </c>
    </row>
    <row r="36" spans="1:27" s="618" customFormat="1">
      <c r="A36" s="624">
        <v>28</v>
      </c>
      <c r="B36" s="627"/>
      <c r="C36" s="620"/>
      <c r="D36" s="620"/>
      <c r="E36" s="623"/>
      <c r="F36" s="623"/>
      <c r="G36" s="622">
        <f t="shared" si="0"/>
        <v>0</v>
      </c>
      <c r="H36" s="620"/>
      <c r="I36" s="628"/>
      <c r="J36" s="620"/>
      <c r="K36" s="620"/>
      <c r="L36" s="620"/>
      <c r="M36" s="620"/>
      <c r="N36" s="621"/>
      <c r="O36" s="621"/>
      <c r="P36" s="621"/>
      <c r="Q36" s="621"/>
      <c r="R36" s="620"/>
      <c r="S36" s="620"/>
      <c r="T36" s="620"/>
      <c r="U36" s="620"/>
      <c r="V36" s="620"/>
      <c r="W36" s="620"/>
      <c r="X36" s="625"/>
      <c r="Y36" s="620"/>
      <c r="Z36" s="619">
        <f t="shared" si="1"/>
        <v>0</v>
      </c>
      <c r="AA36" s="643">
        <f t="shared" si="2"/>
        <v>0</v>
      </c>
    </row>
    <row r="37" spans="1:27" s="618" customFormat="1">
      <c r="A37" s="624">
        <v>29</v>
      </c>
      <c r="B37" s="627"/>
      <c r="C37" s="620"/>
      <c r="D37" s="625"/>
      <c r="E37" s="623"/>
      <c r="F37" s="623"/>
      <c r="G37" s="622">
        <f t="shared" si="0"/>
        <v>0</v>
      </c>
      <c r="H37" s="620"/>
      <c r="I37" s="626"/>
      <c r="J37" s="620"/>
      <c r="K37" s="620"/>
      <c r="L37" s="620"/>
      <c r="M37" s="620"/>
      <c r="N37" s="621"/>
      <c r="O37" s="621"/>
      <c r="P37" s="621"/>
      <c r="Q37" s="621"/>
      <c r="R37" s="620"/>
      <c r="S37" s="620"/>
      <c r="T37" s="620"/>
      <c r="U37" s="620"/>
      <c r="V37" s="620"/>
      <c r="W37" s="620"/>
      <c r="X37" s="625"/>
      <c r="Y37" s="620"/>
      <c r="Z37" s="619">
        <f t="shared" si="1"/>
        <v>0</v>
      </c>
      <c r="AA37" s="643">
        <f t="shared" si="2"/>
        <v>0</v>
      </c>
    </row>
    <row r="38" spans="1:27" s="618" customFormat="1">
      <c r="A38" s="624">
        <v>30</v>
      </c>
      <c r="B38" s="627"/>
      <c r="C38" s="620"/>
      <c r="D38" s="625"/>
      <c r="E38" s="623"/>
      <c r="F38" s="623"/>
      <c r="G38" s="622">
        <f t="shared" si="0"/>
        <v>0</v>
      </c>
      <c r="H38" s="620"/>
      <c r="I38" s="626"/>
      <c r="J38" s="620"/>
      <c r="K38" s="620"/>
      <c r="L38" s="620"/>
      <c r="M38" s="620"/>
      <c r="N38" s="621"/>
      <c r="O38" s="621"/>
      <c r="P38" s="621"/>
      <c r="Q38" s="621"/>
      <c r="R38" s="620"/>
      <c r="S38" s="620"/>
      <c r="T38" s="620"/>
      <c r="U38" s="620"/>
      <c r="V38" s="620"/>
      <c r="W38" s="620"/>
      <c r="X38" s="625"/>
      <c r="Y38" s="620"/>
      <c r="Z38" s="619">
        <f t="shared" si="1"/>
        <v>0</v>
      </c>
      <c r="AA38" s="643">
        <f t="shared" si="2"/>
        <v>0</v>
      </c>
    </row>
    <row r="39" spans="1:27" s="618" customFormat="1">
      <c r="A39" s="624">
        <v>31</v>
      </c>
      <c r="B39" s="627"/>
      <c r="C39" s="620"/>
      <c r="D39" s="620"/>
      <c r="E39" s="623"/>
      <c r="F39" s="623"/>
      <c r="G39" s="622">
        <f t="shared" si="0"/>
        <v>0</v>
      </c>
      <c r="H39" s="620"/>
      <c r="I39" s="626"/>
      <c r="J39" s="620"/>
      <c r="K39" s="620"/>
      <c r="L39" s="620"/>
      <c r="M39" s="620"/>
      <c r="N39" s="621"/>
      <c r="O39" s="621"/>
      <c r="P39" s="621"/>
      <c r="Q39" s="621"/>
      <c r="R39" s="620"/>
      <c r="S39" s="620"/>
      <c r="T39" s="620"/>
      <c r="U39" s="620"/>
      <c r="V39" s="620"/>
      <c r="W39" s="620"/>
      <c r="X39" s="625"/>
      <c r="Y39" s="620"/>
      <c r="Z39" s="619">
        <f t="shared" si="1"/>
        <v>0</v>
      </c>
      <c r="AA39" s="643">
        <f t="shared" si="2"/>
        <v>0</v>
      </c>
    </row>
    <row r="40" spans="1:27" s="618" customFormat="1">
      <c r="A40" s="624">
        <v>32</v>
      </c>
      <c r="B40" s="627"/>
      <c r="C40" s="620"/>
      <c r="D40" s="620"/>
      <c r="E40" s="623"/>
      <c r="F40" s="623"/>
      <c r="G40" s="622">
        <f t="shared" si="0"/>
        <v>0</v>
      </c>
      <c r="H40" s="620"/>
      <c r="I40" s="626"/>
      <c r="J40" s="620"/>
      <c r="K40" s="620"/>
      <c r="L40" s="620"/>
      <c r="M40" s="620"/>
      <c r="N40" s="621"/>
      <c r="O40" s="621"/>
      <c r="P40" s="621"/>
      <c r="Q40" s="621"/>
      <c r="R40" s="620"/>
      <c r="S40" s="620"/>
      <c r="T40" s="620"/>
      <c r="U40" s="620"/>
      <c r="V40" s="620"/>
      <c r="W40" s="620"/>
      <c r="X40" s="625"/>
      <c r="Y40" s="620"/>
      <c r="Z40" s="619">
        <f t="shared" si="1"/>
        <v>0</v>
      </c>
      <c r="AA40" s="643">
        <f t="shared" si="2"/>
        <v>0</v>
      </c>
    </row>
    <row r="41" spans="1:27" s="618" customFormat="1">
      <c r="A41" s="624">
        <v>33</v>
      </c>
      <c r="B41" s="620"/>
      <c r="C41" s="620"/>
      <c r="D41" s="620"/>
      <c r="E41" s="623"/>
      <c r="F41" s="623"/>
      <c r="G41" s="622">
        <f t="shared" ref="G41:G63" si="4">+H41+I41+J41+K41+M41+O41+Q41+S41</f>
        <v>0</v>
      </c>
      <c r="H41" s="620"/>
      <c r="I41" s="620"/>
      <c r="J41" s="620"/>
      <c r="K41" s="620"/>
      <c r="L41" s="620"/>
      <c r="M41" s="620"/>
      <c r="N41" s="621"/>
      <c r="O41" s="621"/>
      <c r="P41" s="621"/>
      <c r="Q41" s="621"/>
      <c r="R41" s="620"/>
      <c r="S41" s="620"/>
      <c r="T41" s="620"/>
      <c r="U41" s="620"/>
      <c r="V41" s="620"/>
      <c r="W41" s="620"/>
      <c r="X41" s="620"/>
      <c r="Y41" s="620"/>
      <c r="Z41" s="619">
        <f t="shared" ref="Z41:Z63" si="5">+G41-V41-X41</f>
        <v>0</v>
      </c>
      <c r="AA41" s="643">
        <f t="shared" si="2"/>
        <v>0</v>
      </c>
    </row>
    <row r="42" spans="1:27" s="618" customFormat="1">
      <c r="A42" s="624">
        <v>34</v>
      </c>
      <c r="B42" s="620"/>
      <c r="C42" s="620"/>
      <c r="D42" s="620"/>
      <c r="E42" s="623"/>
      <c r="F42" s="623"/>
      <c r="G42" s="622">
        <f t="shared" si="4"/>
        <v>0</v>
      </c>
      <c r="H42" s="620"/>
      <c r="I42" s="620"/>
      <c r="J42" s="620"/>
      <c r="K42" s="620"/>
      <c r="L42" s="620"/>
      <c r="M42" s="620"/>
      <c r="N42" s="621"/>
      <c r="O42" s="621"/>
      <c r="P42" s="621"/>
      <c r="Q42" s="621"/>
      <c r="R42" s="620"/>
      <c r="S42" s="620"/>
      <c r="T42" s="620"/>
      <c r="U42" s="620"/>
      <c r="V42" s="620"/>
      <c r="W42" s="620"/>
      <c r="X42" s="620"/>
      <c r="Y42" s="620"/>
      <c r="Z42" s="619">
        <f t="shared" si="5"/>
        <v>0</v>
      </c>
      <c r="AA42" s="643">
        <f t="shared" si="2"/>
        <v>0</v>
      </c>
    </row>
    <row r="43" spans="1:27" s="618" customFormat="1">
      <c r="A43" s="624">
        <v>35</v>
      </c>
      <c r="B43" s="620"/>
      <c r="C43" s="620"/>
      <c r="D43" s="620"/>
      <c r="E43" s="623"/>
      <c r="F43" s="623"/>
      <c r="G43" s="622">
        <f t="shared" si="4"/>
        <v>0</v>
      </c>
      <c r="H43" s="620"/>
      <c r="I43" s="620"/>
      <c r="J43" s="620"/>
      <c r="K43" s="620"/>
      <c r="L43" s="620"/>
      <c r="M43" s="620"/>
      <c r="N43" s="621"/>
      <c r="O43" s="621"/>
      <c r="P43" s="621"/>
      <c r="Q43" s="621"/>
      <c r="R43" s="620"/>
      <c r="S43" s="620"/>
      <c r="T43" s="620"/>
      <c r="U43" s="620"/>
      <c r="V43" s="620"/>
      <c r="W43" s="620"/>
      <c r="X43" s="620"/>
      <c r="Y43" s="620"/>
      <c r="Z43" s="619">
        <f t="shared" si="5"/>
        <v>0</v>
      </c>
      <c r="AA43" s="643">
        <f t="shared" si="2"/>
        <v>0</v>
      </c>
    </row>
    <row r="44" spans="1:27" s="618" customFormat="1">
      <c r="A44" s="624">
        <v>36</v>
      </c>
      <c r="B44" s="620"/>
      <c r="C44" s="620"/>
      <c r="D44" s="620"/>
      <c r="E44" s="623"/>
      <c r="F44" s="623"/>
      <c r="G44" s="622">
        <f t="shared" si="4"/>
        <v>0</v>
      </c>
      <c r="H44" s="620"/>
      <c r="I44" s="620"/>
      <c r="J44" s="620"/>
      <c r="K44" s="620"/>
      <c r="L44" s="620"/>
      <c r="M44" s="620"/>
      <c r="N44" s="621"/>
      <c r="O44" s="621"/>
      <c r="P44" s="621"/>
      <c r="Q44" s="621"/>
      <c r="R44" s="620"/>
      <c r="S44" s="620"/>
      <c r="T44" s="620"/>
      <c r="U44" s="620"/>
      <c r="V44" s="620"/>
      <c r="W44" s="620"/>
      <c r="X44" s="620"/>
      <c r="Y44" s="620"/>
      <c r="Z44" s="619">
        <f t="shared" si="5"/>
        <v>0</v>
      </c>
      <c r="AA44" s="643">
        <f t="shared" si="2"/>
        <v>0</v>
      </c>
    </row>
    <row r="45" spans="1:27" s="618" customFormat="1">
      <c r="A45" s="624">
        <v>37</v>
      </c>
      <c r="B45" s="620"/>
      <c r="C45" s="620"/>
      <c r="D45" s="620"/>
      <c r="E45" s="623"/>
      <c r="F45" s="623"/>
      <c r="G45" s="622">
        <f t="shared" si="4"/>
        <v>0</v>
      </c>
      <c r="H45" s="620"/>
      <c r="I45" s="620"/>
      <c r="J45" s="620"/>
      <c r="K45" s="620"/>
      <c r="L45" s="620"/>
      <c r="M45" s="620"/>
      <c r="N45" s="621"/>
      <c r="O45" s="621"/>
      <c r="P45" s="621"/>
      <c r="Q45" s="621"/>
      <c r="R45" s="620"/>
      <c r="S45" s="620"/>
      <c r="T45" s="620"/>
      <c r="U45" s="620"/>
      <c r="V45" s="620"/>
      <c r="W45" s="620"/>
      <c r="X45" s="620"/>
      <c r="Y45" s="620"/>
      <c r="Z45" s="619">
        <f t="shared" si="5"/>
        <v>0</v>
      </c>
      <c r="AA45" s="643">
        <f t="shared" si="2"/>
        <v>0</v>
      </c>
    </row>
    <row r="46" spans="1:27" s="618" customFormat="1">
      <c r="A46" s="624">
        <v>38</v>
      </c>
      <c r="B46" s="620"/>
      <c r="C46" s="620"/>
      <c r="D46" s="620"/>
      <c r="E46" s="623"/>
      <c r="F46" s="623"/>
      <c r="G46" s="622">
        <f t="shared" si="4"/>
        <v>0</v>
      </c>
      <c r="H46" s="620"/>
      <c r="I46" s="620"/>
      <c r="J46" s="620"/>
      <c r="K46" s="620"/>
      <c r="L46" s="620"/>
      <c r="M46" s="620"/>
      <c r="N46" s="621"/>
      <c r="O46" s="621"/>
      <c r="P46" s="621"/>
      <c r="Q46" s="621"/>
      <c r="R46" s="620"/>
      <c r="S46" s="620"/>
      <c r="T46" s="620"/>
      <c r="U46" s="620"/>
      <c r="V46" s="620"/>
      <c r="W46" s="620"/>
      <c r="X46" s="620"/>
      <c r="Y46" s="620"/>
      <c r="Z46" s="619">
        <f t="shared" si="5"/>
        <v>0</v>
      </c>
      <c r="AA46" s="643">
        <f t="shared" si="2"/>
        <v>0</v>
      </c>
    </row>
    <row r="47" spans="1:27" s="618" customFormat="1">
      <c r="A47" s="624">
        <v>39</v>
      </c>
      <c r="B47" s="620"/>
      <c r="C47" s="620"/>
      <c r="D47" s="620"/>
      <c r="E47" s="623"/>
      <c r="F47" s="623"/>
      <c r="G47" s="622">
        <f t="shared" si="4"/>
        <v>0</v>
      </c>
      <c r="H47" s="620"/>
      <c r="I47" s="620"/>
      <c r="J47" s="620"/>
      <c r="K47" s="620"/>
      <c r="L47" s="620"/>
      <c r="M47" s="620"/>
      <c r="N47" s="621"/>
      <c r="O47" s="621"/>
      <c r="P47" s="621"/>
      <c r="Q47" s="621"/>
      <c r="R47" s="620"/>
      <c r="S47" s="620"/>
      <c r="T47" s="620"/>
      <c r="U47" s="620"/>
      <c r="V47" s="620"/>
      <c r="W47" s="620"/>
      <c r="X47" s="620"/>
      <c r="Y47" s="620"/>
      <c r="Z47" s="619">
        <f t="shared" si="5"/>
        <v>0</v>
      </c>
      <c r="AA47" s="643">
        <f t="shared" si="2"/>
        <v>0</v>
      </c>
    </row>
    <row r="48" spans="1:27" s="618" customFormat="1">
      <c r="A48" s="624">
        <v>40</v>
      </c>
      <c r="B48" s="620"/>
      <c r="C48" s="620"/>
      <c r="D48" s="620"/>
      <c r="E48" s="623"/>
      <c r="F48" s="623"/>
      <c r="G48" s="622">
        <f t="shared" si="4"/>
        <v>0</v>
      </c>
      <c r="H48" s="620"/>
      <c r="I48" s="620"/>
      <c r="J48" s="620"/>
      <c r="K48" s="620"/>
      <c r="L48" s="620"/>
      <c r="M48" s="620"/>
      <c r="N48" s="621"/>
      <c r="O48" s="621"/>
      <c r="P48" s="621"/>
      <c r="Q48" s="621"/>
      <c r="R48" s="620"/>
      <c r="S48" s="620"/>
      <c r="T48" s="620"/>
      <c r="U48" s="620"/>
      <c r="V48" s="620"/>
      <c r="W48" s="620"/>
      <c r="X48" s="620"/>
      <c r="Y48" s="620"/>
      <c r="Z48" s="619">
        <f t="shared" si="5"/>
        <v>0</v>
      </c>
      <c r="AA48" s="643">
        <f t="shared" si="2"/>
        <v>0</v>
      </c>
    </row>
    <row r="49" spans="1:27" s="618" customFormat="1">
      <c r="A49" s="624">
        <v>41</v>
      </c>
      <c r="B49" s="620"/>
      <c r="C49" s="620"/>
      <c r="D49" s="620"/>
      <c r="E49" s="623"/>
      <c r="F49" s="623"/>
      <c r="G49" s="622">
        <f t="shared" si="4"/>
        <v>0</v>
      </c>
      <c r="H49" s="620"/>
      <c r="I49" s="620"/>
      <c r="J49" s="620"/>
      <c r="K49" s="620"/>
      <c r="L49" s="620"/>
      <c r="M49" s="620"/>
      <c r="N49" s="621"/>
      <c r="O49" s="621"/>
      <c r="P49" s="621"/>
      <c r="Q49" s="621"/>
      <c r="R49" s="620"/>
      <c r="S49" s="620"/>
      <c r="T49" s="620"/>
      <c r="U49" s="620"/>
      <c r="V49" s="620"/>
      <c r="W49" s="620"/>
      <c r="X49" s="620"/>
      <c r="Y49" s="620"/>
      <c r="Z49" s="619">
        <f t="shared" si="5"/>
        <v>0</v>
      </c>
      <c r="AA49" s="643">
        <f t="shared" si="2"/>
        <v>0</v>
      </c>
    </row>
    <row r="50" spans="1:27" s="618" customFormat="1">
      <c r="A50" s="624">
        <v>42</v>
      </c>
      <c r="B50" s="620"/>
      <c r="C50" s="620"/>
      <c r="D50" s="620"/>
      <c r="E50" s="623"/>
      <c r="F50" s="623"/>
      <c r="G50" s="622">
        <f t="shared" si="4"/>
        <v>0</v>
      </c>
      <c r="H50" s="620"/>
      <c r="I50" s="620"/>
      <c r="J50" s="620"/>
      <c r="K50" s="620"/>
      <c r="L50" s="620"/>
      <c r="M50" s="620"/>
      <c r="N50" s="621"/>
      <c r="O50" s="621"/>
      <c r="P50" s="621"/>
      <c r="Q50" s="621"/>
      <c r="R50" s="620"/>
      <c r="S50" s="620"/>
      <c r="T50" s="620"/>
      <c r="U50" s="620"/>
      <c r="V50" s="620"/>
      <c r="W50" s="620"/>
      <c r="X50" s="620"/>
      <c r="Y50" s="620"/>
      <c r="Z50" s="619">
        <f t="shared" si="5"/>
        <v>0</v>
      </c>
      <c r="AA50" s="643">
        <f t="shared" si="2"/>
        <v>0</v>
      </c>
    </row>
    <row r="51" spans="1:27" s="618" customFormat="1">
      <c r="A51" s="624">
        <v>43</v>
      </c>
      <c r="B51" s="620"/>
      <c r="C51" s="620"/>
      <c r="D51" s="620"/>
      <c r="E51" s="623"/>
      <c r="F51" s="623"/>
      <c r="G51" s="622">
        <f t="shared" si="4"/>
        <v>0</v>
      </c>
      <c r="H51" s="620"/>
      <c r="I51" s="620"/>
      <c r="J51" s="620"/>
      <c r="K51" s="620"/>
      <c r="L51" s="620"/>
      <c r="M51" s="620"/>
      <c r="N51" s="621"/>
      <c r="O51" s="621"/>
      <c r="P51" s="621"/>
      <c r="Q51" s="621"/>
      <c r="R51" s="620"/>
      <c r="S51" s="620"/>
      <c r="T51" s="620"/>
      <c r="U51" s="620"/>
      <c r="V51" s="620"/>
      <c r="W51" s="620"/>
      <c r="X51" s="620"/>
      <c r="Y51" s="620"/>
      <c r="Z51" s="619">
        <f t="shared" si="5"/>
        <v>0</v>
      </c>
      <c r="AA51" s="643">
        <f t="shared" si="2"/>
        <v>0</v>
      </c>
    </row>
    <row r="52" spans="1:27" s="618" customFormat="1">
      <c r="A52" s="624">
        <v>44</v>
      </c>
      <c r="B52" s="620"/>
      <c r="C52" s="620"/>
      <c r="D52" s="620"/>
      <c r="E52" s="623"/>
      <c r="F52" s="623"/>
      <c r="G52" s="622">
        <f t="shared" si="4"/>
        <v>0</v>
      </c>
      <c r="H52" s="620"/>
      <c r="I52" s="620"/>
      <c r="J52" s="620"/>
      <c r="K52" s="620"/>
      <c r="L52" s="620"/>
      <c r="M52" s="620"/>
      <c r="N52" s="621"/>
      <c r="O52" s="621"/>
      <c r="P52" s="621"/>
      <c r="Q52" s="621"/>
      <c r="R52" s="620"/>
      <c r="S52" s="620"/>
      <c r="T52" s="620"/>
      <c r="U52" s="620"/>
      <c r="V52" s="620"/>
      <c r="W52" s="620"/>
      <c r="X52" s="620"/>
      <c r="Y52" s="620"/>
      <c r="Z52" s="619">
        <f t="shared" si="5"/>
        <v>0</v>
      </c>
      <c r="AA52" s="643">
        <f t="shared" si="2"/>
        <v>0</v>
      </c>
    </row>
    <row r="53" spans="1:27" s="618" customFormat="1">
      <c r="A53" s="624">
        <v>45</v>
      </c>
      <c r="B53" s="620"/>
      <c r="C53" s="620"/>
      <c r="D53" s="620"/>
      <c r="E53" s="623"/>
      <c r="F53" s="623"/>
      <c r="G53" s="622">
        <f t="shared" si="4"/>
        <v>0</v>
      </c>
      <c r="H53" s="620"/>
      <c r="I53" s="620"/>
      <c r="J53" s="620"/>
      <c r="K53" s="620"/>
      <c r="L53" s="620"/>
      <c r="M53" s="620"/>
      <c r="N53" s="621"/>
      <c r="O53" s="621"/>
      <c r="P53" s="621"/>
      <c r="Q53" s="621"/>
      <c r="R53" s="620"/>
      <c r="S53" s="620"/>
      <c r="T53" s="620"/>
      <c r="U53" s="620"/>
      <c r="V53" s="620"/>
      <c r="W53" s="620"/>
      <c r="X53" s="620"/>
      <c r="Y53" s="620"/>
      <c r="Z53" s="619">
        <f t="shared" si="5"/>
        <v>0</v>
      </c>
      <c r="AA53" s="643">
        <f t="shared" si="2"/>
        <v>0</v>
      </c>
    </row>
    <row r="54" spans="1:27" s="618" customFormat="1">
      <c r="A54" s="624">
        <v>46</v>
      </c>
      <c r="B54" s="620"/>
      <c r="C54" s="620"/>
      <c r="D54" s="620"/>
      <c r="E54" s="623"/>
      <c r="F54" s="623"/>
      <c r="G54" s="622">
        <f t="shared" si="4"/>
        <v>0</v>
      </c>
      <c r="H54" s="620"/>
      <c r="I54" s="620"/>
      <c r="J54" s="620"/>
      <c r="K54" s="620"/>
      <c r="L54" s="620"/>
      <c r="M54" s="620"/>
      <c r="N54" s="621"/>
      <c r="O54" s="621"/>
      <c r="P54" s="621"/>
      <c r="Q54" s="621"/>
      <c r="R54" s="620"/>
      <c r="S54" s="620"/>
      <c r="T54" s="620"/>
      <c r="U54" s="620"/>
      <c r="V54" s="620"/>
      <c r="W54" s="620"/>
      <c r="X54" s="620"/>
      <c r="Y54" s="620"/>
      <c r="Z54" s="619">
        <f t="shared" si="5"/>
        <v>0</v>
      </c>
      <c r="AA54" s="643">
        <f t="shared" si="2"/>
        <v>0</v>
      </c>
    </row>
    <row r="55" spans="1:27" s="618" customFormat="1">
      <c r="A55" s="624">
        <v>47</v>
      </c>
      <c r="B55" s="620"/>
      <c r="C55" s="620"/>
      <c r="D55" s="620"/>
      <c r="E55" s="623"/>
      <c r="F55" s="623"/>
      <c r="G55" s="622">
        <f t="shared" si="4"/>
        <v>0</v>
      </c>
      <c r="H55" s="620"/>
      <c r="I55" s="620"/>
      <c r="J55" s="620"/>
      <c r="K55" s="620"/>
      <c r="L55" s="620"/>
      <c r="M55" s="620"/>
      <c r="N55" s="621"/>
      <c r="O55" s="621"/>
      <c r="P55" s="621"/>
      <c r="Q55" s="621"/>
      <c r="R55" s="620"/>
      <c r="S55" s="620"/>
      <c r="T55" s="620"/>
      <c r="U55" s="620"/>
      <c r="V55" s="620"/>
      <c r="W55" s="620"/>
      <c r="X55" s="620"/>
      <c r="Y55" s="620"/>
      <c r="Z55" s="619">
        <f t="shared" si="5"/>
        <v>0</v>
      </c>
      <c r="AA55" s="643">
        <f t="shared" si="2"/>
        <v>0</v>
      </c>
    </row>
    <row r="56" spans="1:27" s="618" customFormat="1">
      <c r="A56" s="624">
        <v>48</v>
      </c>
      <c r="B56" s="620"/>
      <c r="C56" s="620"/>
      <c r="D56" s="620"/>
      <c r="E56" s="623"/>
      <c r="F56" s="623"/>
      <c r="G56" s="622">
        <f t="shared" si="4"/>
        <v>0</v>
      </c>
      <c r="H56" s="620"/>
      <c r="I56" s="620"/>
      <c r="J56" s="620"/>
      <c r="K56" s="620"/>
      <c r="L56" s="620"/>
      <c r="M56" s="620"/>
      <c r="N56" s="621"/>
      <c r="O56" s="621"/>
      <c r="P56" s="621"/>
      <c r="Q56" s="621"/>
      <c r="R56" s="620"/>
      <c r="S56" s="620"/>
      <c r="T56" s="620"/>
      <c r="U56" s="620"/>
      <c r="V56" s="620"/>
      <c r="W56" s="620"/>
      <c r="X56" s="620"/>
      <c r="Y56" s="620"/>
      <c r="Z56" s="619">
        <f t="shared" si="5"/>
        <v>0</v>
      </c>
      <c r="AA56" s="643">
        <f t="shared" si="2"/>
        <v>0</v>
      </c>
    </row>
    <row r="57" spans="1:27" s="618" customFormat="1">
      <c r="A57" s="624">
        <v>49</v>
      </c>
      <c r="B57" s="620"/>
      <c r="C57" s="620"/>
      <c r="D57" s="620"/>
      <c r="E57" s="623"/>
      <c r="F57" s="623"/>
      <c r="G57" s="622">
        <f t="shared" si="4"/>
        <v>0</v>
      </c>
      <c r="H57" s="620"/>
      <c r="I57" s="620"/>
      <c r="J57" s="620"/>
      <c r="K57" s="620"/>
      <c r="L57" s="620"/>
      <c r="M57" s="620"/>
      <c r="N57" s="621"/>
      <c r="O57" s="621"/>
      <c r="P57" s="621"/>
      <c r="Q57" s="621"/>
      <c r="R57" s="620"/>
      <c r="S57" s="620"/>
      <c r="T57" s="620"/>
      <c r="U57" s="620"/>
      <c r="V57" s="620"/>
      <c r="W57" s="620"/>
      <c r="X57" s="620"/>
      <c r="Y57" s="620"/>
      <c r="Z57" s="619">
        <f t="shared" si="5"/>
        <v>0</v>
      </c>
      <c r="AA57" s="643">
        <f t="shared" si="2"/>
        <v>0</v>
      </c>
    </row>
    <row r="58" spans="1:27" s="618" customFormat="1">
      <c r="A58" s="624">
        <v>50</v>
      </c>
      <c r="B58" s="620"/>
      <c r="C58" s="620"/>
      <c r="D58" s="620"/>
      <c r="E58" s="623"/>
      <c r="F58" s="623"/>
      <c r="G58" s="622">
        <f t="shared" si="4"/>
        <v>0</v>
      </c>
      <c r="H58" s="620"/>
      <c r="I58" s="620"/>
      <c r="J58" s="620"/>
      <c r="K58" s="620"/>
      <c r="L58" s="620"/>
      <c r="M58" s="620"/>
      <c r="N58" s="621"/>
      <c r="O58" s="621"/>
      <c r="P58" s="621"/>
      <c r="Q58" s="621"/>
      <c r="R58" s="620"/>
      <c r="S58" s="620"/>
      <c r="T58" s="620"/>
      <c r="U58" s="620"/>
      <c r="V58" s="620"/>
      <c r="W58" s="620"/>
      <c r="X58" s="620"/>
      <c r="Y58" s="620"/>
      <c r="Z58" s="619">
        <f t="shared" si="5"/>
        <v>0</v>
      </c>
      <c r="AA58" s="643">
        <f t="shared" si="2"/>
        <v>0</v>
      </c>
    </row>
    <row r="59" spans="1:27" s="618" customFormat="1">
      <c r="A59" s="624">
        <v>51</v>
      </c>
      <c r="B59" s="620"/>
      <c r="C59" s="620"/>
      <c r="D59" s="620"/>
      <c r="E59" s="623"/>
      <c r="F59" s="623"/>
      <c r="G59" s="622">
        <f t="shared" si="4"/>
        <v>0</v>
      </c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19">
        <f t="shared" si="5"/>
        <v>0</v>
      </c>
      <c r="AA59" s="643">
        <f t="shared" si="2"/>
        <v>0</v>
      </c>
    </row>
    <row r="60" spans="1:27" s="618" customFormat="1">
      <c r="A60" s="624">
        <v>52</v>
      </c>
      <c r="B60" s="620"/>
      <c r="C60" s="620"/>
      <c r="D60" s="620"/>
      <c r="E60" s="623"/>
      <c r="F60" s="623"/>
      <c r="G60" s="622">
        <f t="shared" si="4"/>
        <v>0</v>
      </c>
      <c r="H60" s="620"/>
      <c r="I60" s="620"/>
      <c r="J60" s="620"/>
      <c r="K60" s="620"/>
      <c r="L60" s="620"/>
      <c r="M60" s="620"/>
      <c r="N60" s="621"/>
      <c r="O60" s="621"/>
      <c r="P60" s="621"/>
      <c r="Q60" s="621"/>
      <c r="R60" s="620"/>
      <c r="S60" s="620"/>
      <c r="T60" s="620"/>
      <c r="U60" s="620"/>
      <c r="V60" s="620"/>
      <c r="W60" s="620"/>
      <c r="X60" s="620"/>
      <c r="Y60" s="620"/>
      <c r="Z60" s="619">
        <f t="shared" si="5"/>
        <v>0</v>
      </c>
      <c r="AA60" s="643">
        <f t="shared" si="2"/>
        <v>0</v>
      </c>
    </row>
    <row r="61" spans="1:27" s="618" customFormat="1">
      <c r="A61" s="624">
        <v>53</v>
      </c>
      <c r="B61" s="620"/>
      <c r="C61" s="620"/>
      <c r="D61" s="620"/>
      <c r="E61" s="623"/>
      <c r="F61" s="623"/>
      <c r="G61" s="622">
        <f t="shared" si="4"/>
        <v>0</v>
      </c>
      <c r="H61" s="620"/>
      <c r="I61" s="620"/>
      <c r="J61" s="620"/>
      <c r="K61" s="620"/>
      <c r="L61" s="620"/>
      <c r="M61" s="620"/>
      <c r="N61" s="621"/>
      <c r="O61" s="621"/>
      <c r="P61" s="621"/>
      <c r="Q61" s="621"/>
      <c r="R61" s="620"/>
      <c r="S61" s="620"/>
      <c r="T61" s="620"/>
      <c r="U61" s="620"/>
      <c r="V61" s="620"/>
      <c r="W61" s="620"/>
      <c r="X61" s="620"/>
      <c r="Y61" s="620"/>
      <c r="Z61" s="619">
        <f t="shared" si="5"/>
        <v>0</v>
      </c>
      <c r="AA61" s="643">
        <f t="shared" si="2"/>
        <v>0</v>
      </c>
    </row>
    <row r="62" spans="1:27" s="618" customFormat="1">
      <c r="A62" s="624">
        <v>54</v>
      </c>
      <c r="B62" s="620"/>
      <c r="C62" s="620"/>
      <c r="D62" s="620"/>
      <c r="E62" s="623"/>
      <c r="F62" s="623"/>
      <c r="G62" s="622">
        <f t="shared" si="4"/>
        <v>0</v>
      </c>
      <c r="H62" s="620"/>
      <c r="I62" s="620"/>
      <c r="J62" s="620"/>
      <c r="K62" s="620"/>
      <c r="L62" s="620"/>
      <c r="M62" s="620"/>
      <c r="N62" s="621"/>
      <c r="O62" s="621"/>
      <c r="P62" s="621"/>
      <c r="Q62" s="621"/>
      <c r="R62" s="620"/>
      <c r="S62" s="620"/>
      <c r="T62" s="620"/>
      <c r="U62" s="620"/>
      <c r="V62" s="620"/>
      <c r="W62" s="620"/>
      <c r="X62" s="620"/>
      <c r="Y62" s="620"/>
      <c r="Z62" s="619">
        <f t="shared" si="5"/>
        <v>0</v>
      </c>
      <c r="AA62" s="643">
        <f t="shared" si="2"/>
        <v>0</v>
      </c>
    </row>
    <row r="63" spans="1:27" s="618" customFormat="1">
      <c r="A63" s="624">
        <v>55</v>
      </c>
      <c r="B63" s="620"/>
      <c r="C63" s="620"/>
      <c r="D63" s="620"/>
      <c r="E63" s="623"/>
      <c r="F63" s="623"/>
      <c r="G63" s="622">
        <f t="shared" si="4"/>
        <v>0</v>
      </c>
      <c r="H63" s="620"/>
      <c r="I63" s="620"/>
      <c r="J63" s="620"/>
      <c r="K63" s="620"/>
      <c r="L63" s="620"/>
      <c r="M63" s="620"/>
      <c r="N63" s="621"/>
      <c r="O63" s="621"/>
      <c r="P63" s="621"/>
      <c r="Q63" s="621"/>
      <c r="R63" s="620"/>
      <c r="S63" s="620"/>
      <c r="T63" s="620"/>
      <c r="U63" s="620"/>
      <c r="V63" s="620"/>
      <c r="W63" s="620"/>
      <c r="X63" s="620"/>
      <c r="Y63" s="620"/>
      <c r="Z63" s="619">
        <f t="shared" si="5"/>
        <v>0</v>
      </c>
      <c r="AA63" s="643">
        <f t="shared" si="2"/>
        <v>0</v>
      </c>
    </row>
    <row r="64" spans="1:27" s="572" customFormat="1">
      <c r="A64" s="617" t="s">
        <v>863</v>
      </c>
      <c r="B64" s="614"/>
      <c r="C64" s="614"/>
      <c r="D64" s="614"/>
      <c r="E64" s="613"/>
      <c r="F64" s="613"/>
      <c r="G64" s="612">
        <f>SUM(G9:G63)</f>
        <v>843459196</v>
      </c>
      <c r="H64" s="612">
        <f t="shared" ref="H64:V64" si="6">SUM(H9:H63)</f>
        <v>0</v>
      </c>
      <c r="I64" s="612">
        <f t="shared" si="6"/>
        <v>747757030</v>
      </c>
      <c r="J64" s="612">
        <f t="shared" si="6"/>
        <v>95702166</v>
      </c>
      <c r="K64" s="612">
        <f t="shared" si="6"/>
        <v>0</v>
      </c>
      <c r="L64" s="612">
        <f t="shared" si="6"/>
        <v>0</v>
      </c>
      <c r="M64" s="612">
        <f t="shared" si="6"/>
        <v>0</v>
      </c>
      <c r="N64" s="612">
        <f t="shared" si="6"/>
        <v>108376600</v>
      </c>
      <c r="O64" s="612">
        <f t="shared" si="6"/>
        <v>0</v>
      </c>
      <c r="P64" s="612">
        <f t="shared" si="6"/>
        <v>0</v>
      </c>
      <c r="Q64" s="612">
        <f t="shared" si="6"/>
        <v>0</v>
      </c>
      <c r="R64" s="612">
        <f t="shared" si="6"/>
        <v>0</v>
      </c>
      <c r="S64" s="612">
        <f t="shared" si="6"/>
        <v>0</v>
      </c>
      <c r="T64" s="612">
        <f t="shared" si="6"/>
        <v>0</v>
      </c>
      <c r="U64" s="616"/>
      <c r="V64" s="612">
        <f t="shared" si="6"/>
        <v>429776700</v>
      </c>
      <c r="W64" s="616"/>
      <c r="X64" s="612">
        <f t="shared" ref="X64:Z64" si="7">SUM(X9:X63)</f>
        <v>0</v>
      </c>
      <c r="Y64" s="612">
        <f t="shared" si="7"/>
        <v>0</v>
      </c>
      <c r="Z64" s="612">
        <f t="shared" si="7"/>
        <v>413682496</v>
      </c>
      <c r="AA64" s="643"/>
    </row>
    <row r="65" spans="1:32" s="572" customFormat="1">
      <c r="A65" s="615" t="s">
        <v>862</v>
      </c>
      <c r="B65" s="614"/>
      <c r="C65" s="614"/>
      <c r="D65" s="614"/>
      <c r="E65" s="613"/>
      <c r="F65" s="613"/>
      <c r="G65" s="612">
        <f>+SUMIF($F$9:$F$63,$AA$65,$G$9:$G$63)</f>
        <v>163050104</v>
      </c>
      <c r="H65" s="612">
        <f>+SUMIF($F$9:$F$63,$AA$65,$H$9:$H$63)</f>
        <v>0</v>
      </c>
      <c r="I65" s="612">
        <f>+SUMIF($F$9:$F$63,$AA$65,$I$9:$I$63)</f>
        <v>163050104</v>
      </c>
      <c r="J65" s="612">
        <f>+SUMIF($F$9:$F$63,$AA$65,$J$9:$J$63)</f>
        <v>0</v>
      </c>
      <c r="K65" s="612">
        <f>+SUMIF($F$9:$F$63,$AA$65,$K$9:$K$63)</f>
        <v>0</v>
      </c>
      <c r="L65" s="612">
        <f>+SUMIF($F$9:$F$63,$AA$65,$L$9:$L$63)</f>
        <v>0</v>
      </c>
      <c r="M65" s="612">
        <f>+SUMIF($F$9:$F$63,$AA$65,$M$9:$M$63)</f>
        <v>0</v>
      </c>
      <c r="N65" s="612">
        <f>+SUMIF($F$9:$F$63,$AA$65,$N$9:$N$63)</f>
        <v>0</v>
      </c>
      <c r="O65" s="612">
        <f>+SUMIF($F$9:$F$63,$AA$65,$O$9:$O$63)</f>
        <v>0</v>
      </c>
      <c r="P65" s="612">
        <f>+SUMIF($F$9:$F$63,$AA$65,$P$9:$P$63)</f>
        <v>0</v>
      </c>
      <c r="Q65" s="612">
        <f>+SUMIF($F$9:$F$63,$AA$65,$Q$9:$Q$63)</f>
        <v>0</v>
      </c>
      <c r="R65" s="612">
        <f>+SUMIF($F$9:$F$63,$AA$65,$R$9:$R$63)</f>
        <v>0</v>
      </c>
      <c r="S65" s="612">
        <f>+SUMIF($F$9:$F$63,$AA$65,$S$9:$S$63)</f>
        <v>0</v>
      </c>
      <c r="T65" s="612">
        <f>+SUMIF($F$9:$F$63,$AA$65,$T$9:$T$63)</f>
        <v>0</v>
      </c>
      <c r="U65" s="616"/>
      <c r="V65" s="612">
        <f>+SUMIF($F$9:$F$63,$AA$65,$V$9:$V$63)</f>
        <v>0</v>
      </c>
      <c r="W65" s="616"/>
      <c r="X65" s="612">
        <f>+SUMIF($F$9:$F$63,$AA$65,$X$9:$X$63)</f>
        <v>0</v>
      </c>
      <c r="Y65" s="612">
        <f>+SUMIF($F$9:$F$63,$AA$65,$Y$9:$Y$63)</f>
        <v>0</v>
      </c>
      <c r="Z65" s="612">
        <f>+MAX(AA9:AA63)</f>
        <v>163050104</v>
      </c>
      <c r="AA65" s="643">
        <f>INDEX($F$9:$F$63,MATCH($Z65,$AA$9:$AA$63,0))</f>
        <v>2</v>
      </c>
    </row>
    <row r="66" spans="1:32" s="572" customFormat="1">
      <c r="AA66" s="646"/>
    </row>
    <row r="67" spans="1:32" s="572" customFormat="1">
      <c r="AA67" s="646"/>
    </row>
    <row r="68" spans="1:32" s="572" customFormat="1">
      <c r="B68" s="572" t="s">
        <v>861</v>
      </c>
      <c r="V68" s="610"/>
      <c r="AA68" s="646"/>
    </row>
    <row r="69" spans="1:32" s="572" customFormat="1">
      <c r="V69" s="610"/>
      <c r="AA69" s="646"/>
    </row>
    <row r="70" spans="1:32" s="572" customFormat="1">
      <c r="B70" s="611" t="s">
        <v>1</v>
      </c>
      <c r="V70" s="610"/>
      <c r="AA70" s="646"/>
    </row>
    <row r="71" spans="1:32" s="572" customFormat="1">
      <c r="B71" s="611"/>
      <c r="V71" s="610"/>
      <c r="AA71" s="646"/>
    </row>
    <row r="72" spans="1:32" s="572" customFormat="1">
      <c r="B72" s="611"/>
      <c r="V72" s="610"/>
      <c r="AA72" s="646"/>
    </row>
    <row r="73" spans="1:32" s="572" customFormat="1">
      <c r="V73" s="610"/>
      <c r="AA73" s="646"/>
    </row>
    <row r="74" spans="1:32" s="572" customFormat="1" ht="15.75">
      <c r="B74" s="713"/>
      <c r="C74" s="713"/>
      <c r="D74" s="713"/>
      <c r="E74" s="713"/>
      <c r="F74" s="713"/>
      <c r="G74" s="713"/>
      <c r="H74" s="713"/>
      <c r="I74" s="713"/>
      <c r="J74" s="713"/>
      <c r="K74" s="713"/>
      <c r="L74" s="713"/>
      <c r="M74" s="713"/>
      <c r="N74" s="713"/>
      <c r="O74" s="713"/>
      <c r="P74" s="713"/>
      <c r="Q74" s="713"/>
      <c r="R74" s="713"/>
      <c r="S74" s="713"/>
      <c r="T74" s="713"/>
      <c r="V74" s="610"/>
      <c r="AA74" s="646"/>
    </row>
    <row r="75" spans="1:32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V75" s="609"/>
      <c r="W75" s="97"/>
      <c r="X75" s="97"/>
      <c r="Y75" s="97"/>
      <c r="Z75" s="97"/>
      <c r="AA75" s="647"/>
      <c r="AB75" s="97"/>
      <c r="AC75" s="97"/>
      <c r="AD75" s="97"/>
      <c r="AE75" s="97"/>
      <c r="AF75" s="97"/>
    </row>
    <row r="76" spans="1:32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V76" s="609"/>
      <c r="W76" s="97"/>
      <c r="X76" s="97"/>
      <c r="Y76" s="97"/>
      <c r="Z76" s="97"/>
      <c r="AA76" s="647"/>
      <c r="AB76" s="97"/>
      <c r="AC76" s="97"/>
      <c r="AD76" s="97"/>
      <c r="AE76" s="97"/>
      <c r="AF76" s="97"/>
    </row>
    <row r="77" spans="1:32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V77" s="609"/>
      <c r="W77" s="97"/>
      <c r="X77" s="97"/>
      <c r="Y77" s="97"/>
      <c r="Z77" s="97"/>
      <c r="AA77" s="647"/>
      <c r="AB77" s="97"/>
      <c r="AC77" s="97"/>
      <c r="AD77" s="97"/>
      <c r="AE77" s="97"/>
      <c r="AF77" s="97"/>
    </row>
    <row r="78" spans="1:32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V78" s="609"/>
      <c r="W78" s="97"/>
      <c r="X78" s="97"/>
      <c r="Y78" s="97"/>
      <c r="Z78" s="97"/>
      <c r="AA78" s="647"/>
      <c r="AB78" s="97"/>
      <c r="AC78" s="97"/>
      <c r="AD78" s="97"/>
      <c r="AE78" s="97"/>
      <c r="AF78" s="97"/>
    </row>
    <row r="79" spans="1:32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V79" s="609"/>
      <c r="W79" s="97"/>
      <c r="X79" s="97"/>
      <c r="Y79" s="97"/>
      <c r="Z79" s="97"/>
      <c r="AA79" s="647"/>
      <c r="AB79" s="97"/>
      <c r="AC79" s="97"/>
      <c r="AD79" s="97"/>
      <c r="AE79" s="97"/>
      <c r="AF79" s="97"/>
    </row>
    <row r="80" spans="1:32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V80" s="609"/>
      <c r="W80" s="97"/>
      <c r="X80" s="97"/>
      <c r="Y80" s="97"/>
      <c r="Z80" s="97"/>
      <c r="AA80" s="647"/>
      <c r="AB80" s="97"/>
      <c r="AC80" s="97"/>
      <c r="AD80" s="97"/>
      <c r="AE80" s="97"/>
      <c r="AF80" s="97"/>
    </row>
    <row r="81" spans="1:32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V81" s="609"/>
      <c r="W81" s="97"/>
      <c r="X81" s="97"/>
      <c r="Y81" s="97"/>
      <c r="Z81" s="97"/>
      <c r="AA81" s="647"/>
      <c r="AB81" s="97"/>
      <c r="AC81" s="97"/>
      <c r="AD81" s="97"/>
      <c r="AE81" s="97"/>
      <c r="AF81" s="97"/>
    </row>
    <row r="82" spans="1:3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V82" s="609"/>
      <c r="W82" s="97"/>
      <c r="X82" s="97"/>
      <c r="Y82" s="97"/>
      <c r="Z82" s="97"/>
      <c r="AA82" s="647"/>
      <c r="AB82" s="97"/>
      <c r="AC82" s="97"/>
      <c r="AD82" s="97"/>
      <c r="AE82" s="97"/>
      <c r="AF82" s="97"/>
    </row>
    <row r="83" spans="1:32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V83" s="609"/>
      <c r="W83" s="97"/>
      <c r="X83" s="97"/>
      <c r="Y83" s="97"/>
      <c r="Z83" s="97"/>
      <c r="AA83" s="647"/>
      <c r="AB83" s="97"/>
      <c r="AC83" s="97"/>
      <c r="AD83" s="97"/>
      <c r="AE83" s="97"/>
      <c r="AF83" s="97"/>
    </row>
    <row r="84" spans="1:32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V84" s="609"/>
      <c r="W84" s="97"/>
      <c r="X84" s="97"/>
      <c r="Y84" s="97"/>
      <c r="Z84" s="97"/>
      <c r="AA84" s="647"/>
      <c r="AB84" s="97"/>
      <c r="AC84" s="97"/>
      <c r="AD84" s="97"/>
      <c r="AE84" s="97"/>
      <c r="AF84" s="97"/>
    </row>
    <row r="85" spans="1:32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V85" s="609"/>
      <c r="W85" s="97"/>
      <c r="X85" s="97"/>
      <c r="Y85" s="97"/>
      <c r="Z85" s="97"/>
      <c r="AA85" s="647"/>
      <c r="AB85" s="97"/>
      <c r="AC85" s="97"/>
      <c r="AD85" s="97"/>
      <c r="AE85" s="97"/>
      <c r="AF85" s="97"/>
    </row>
    <row r="86" spans="1:32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V86" s="609"/>
      <c r="W86" s="97"/>
      <c r="X86" s="97"/>
      <c r="Y86" s="97"/>
      <c r="Z86" s="97"/>
      <c r="AA86" s="647"/>
      <c r="AB86" s="97"/>
      <c r="AC86" s="97"/>
      <c r="AD86" s="97"/>
      <c r="AE86" s="97"/>
      <c r="AF86" s="97"/>
    </row>
    <row r="87" spans="1:32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V87" s="609"/>
      <c r="W87" s="97"/>
      <c r="X87" s="97"/>
      <c r="Y87" s="97"/>
      <c r="Z87" s="97"/>
      <c r="AA87" s="647"/>
      <c r="AB87" s="97"/>
      <c r="AC87" s="97"/>
      <c r="AD87" s="97"/>
      <c r="AE87" s="97"/>
      <c r="AF87" s="97"/>
    </row>
    <row r="88" spans="1:32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V88" s="609"/>
      <c r="W88" s="97"/>
      <c r="X88" s="97"/>
      <c r="Y88" s="97"/>
      <c r="Z88" s="97"/>
      <c r="AA88" s="647"/>
      <c r="AB88" s="97"/>
      <c r="AC88" s="97"/>
      <c r="AD88" s="97"/>
      <c r="AE88" s="97"/>
      <c r="AF88" s="97"/>
    </row>
    <row r="89" spans="1:32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V89" s="609"/>
      <c r="W89" s="97"/>
      <c r="X89" s="97"/>
      <c r="Y89" s="97"/>
      <c r="Z89" s="97"/>
      <c r="AA89" s="647"/>
      <c r="AB89" s="97"/>
      <c r="AC89" s="97"/>
      <c r="AD89" s="97"/>
      <c r="AE89" s="97"/>
      <c r="AF89" s="97"/>
    </row>
    <row r="90" spans="1:32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V90" s="609"/>
      <c r="W90" s="97"/>
      <c r="X90" s="97"/>
      <c r="Y90" s="97"/>
      <c r="Z90" s="97"/>
      <c r="AA90" s="647"/>
      <c r="AB90" s="97"/>
      <c r="AC90" s="97"/>
      <c r="AD90" s="97"/>
      <c r="AE90" s="97"/>
      <c r="AF90" s="97"/>
    </row>
    <row r="91" spans="1:32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V91" s="609"/>
      <c r="W91" s="97"/>
      <c r="X91" s="97"/>
      <c r="Y91" s="97"/>
      <c r="Z91" s="97"/>
      <c r="AA91" s="647"/>
      <c r="AB91" s="97"/>
      <c r="AC91" s="97"/>
      <c r="AD91" s="97"/>
      <c r="AE91" s="97"/>
      <c r="AF91" s="97"/>
    </row>
    <row r="92" spans="1:3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V92" s="609"/>
      <c r="W92" s="97"/>
      <c r="X92" s="97"/>
      <c r="Y92" s="97"/>
      <c r="Z92" s="97"/>
      <c r="AA92" s="647"/>
      <c r="AB92" s="97"/>
      <c r="AC92" s="97"/>
      <c r="AD92" s="97"/>
      <c r="AE92" s="97"/>
      <c r="AF92" s="97"/>
    </row>
    <row r="93" spans="1:32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V93" s="609"/>
      <c r="W93" s="97"/>
      <c r="X93" s="97"/>
      <c r="Y93" s="97"/>
      <c r="Z93" s="97"/>
      <c r="AA93" s="647"/>
      <c r="AB93" s="97"/>
      <c r="AC93" s="97"/>
      <c r="AD93" s="97"/>
      <c r="AE93" s="97"/>
      <c r="AF93" s="97"/>
    </row>
    <row r="94" spans="1:32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V94" s="609"/>
      <c r="W94" s="97"/>
      <c r="X94" s="97"/>
      <c r="Y94" s="97"/>
      <c r="Z94" s="97"/>
      <c r="AA94" s="647"/>
      <c r="AB94" s="97"/>
      <c r="AC94" s="97"/>
      <c r="AD94" s="97"/>
      <c r="AE94" s="97"/>
      <c r="AF94" s="97"/>
    </row>
    <row r="95" spans="1:32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V95" s="609"/>
      <c r="W95" s="97"/>
      <c r="X95" s="97"/>
      <c r="Y95" s="97"/>
      <c r="Z95" s="97"/>
      <c r="AA95" s="647"/>
      <c r="AB95" s="97"/>
      <c r="AC95" s="97"/>
      <c r="AD95" s="97"/>
      <c r="AE95" s="97"/>
      <c r="AF95" s="97"/>
    </row>
    <row r="96" spans="1:32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V96" s="609"/>
      <c r="W96" s="97"/>
      <c r="X96" s="97"/>
      <c r="Y96" s="97"/>
      <c r="Z96" s="97"/>
      <c r="AA96" s="647"/>
      <c r="AB96" s="97"/>
      <c r="AC96" s="97"/>
      <c r="AD96" s="97"/>
      <c r="AE96" s="97"/>
      <c r="AF96" s="97"/>
    </row>
    <row r="97" spans="1:32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V97" s="609"/>
      <c r="W97" s="97"/>
      <c r="X97" s="97"/>
      <c r="Y97" s="97"/>
      <c r="Z97" s="97"/>
      <c r="AA97" s="647"/>
      <c r="AB97" s="97"/>
      <c r="AC97" s="97"/>
      <c r="AD97" s="97"/>
      <c r="AE97" s="97"/>
      <c r="AF97" s="97"/>
    </row>
    <row r="98" spans="1:32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V98" s="609"/>
      <c r="W98" s="97"/>
      <c r="X98" s="97"/>
      <c r="Y98" s="97"/>
      <c r="Z98" s="97"/>
      <c r="AA98" s="647"/>
      <c r="AB98" s="97"/>
      <c r="AC98" s="97"/>
      <c r="AD98" s="97"/>
      <c r="AE98" s="97"/>
      <c r="AF98" s="97"/>
    </row>
    <row r="99" spans="1:32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V99" s="609"/>
      <c r="W99" s="97"/>
      <c r="X99" s="97"/>
      <c r="Y99" s="97"/>
      <c r="Z99" s="97"/>
      <c r="AA99" s="647"/>
      <c r="AB99" s="97"/>
      <c r="AC99" s="97"/>
      <c r="AD99" s="97"/>
      <c r="AE99" s="97"/>
      <c r="AF99" s="97"/>
    </row>
    <row r="100" spans="1:32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V100" s="609"/>
      <c r="W100" s="97"/>
      <c r="X100" s="97"/>
      <c r="Y100" s="97"/>
      <c r="Z100" s="97"/>
      <c r="AA100" s="647"/>
      <c r="AB100" s="97"/>
      <c r="AC100" s="97"/>
      <c r="AD100" s="97"/>
      <c r="AE100" s="97"/>
      <c r="AF100" s="97"/>
    </row>
    <row r="101" spans="1:32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V101" s="609"/>
      <c r="W101" s="97"/>
      <c r="X101" s="97"/>
      <c r="Y101" s="97"/>
      <c r="Z101" s="97"/>
      <c r="AA101" s="647"/>
      <c r="AB101" s="97"/>
      <c r="AC101" s="97"/>
      <c r="AD101" s="97"/>
      <c r="AE101" s="97"/>
      <c r="AF101" s="97"/>
    </row>
    <row r="102" spans="1:3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V102" s="609"/>
      <c r="W102" s="97"/>
      <c r="X102" s="97"/>
      <c r="Y102" s="97"/>
      <c r="Z102" s="97"/>
      <c r="AA102" s="647"/>
      <c r="AB102" s="97"/>
      <c r="AC102" s="97"/>
      <c r="AD102" s="97"/>
      <c r="AE102" s="97"/>
      <c r="AF102" s="97"/>
    </row>
    <row r="103" spans="1:32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V103" s="609"/>
      <c r="W103" s="97"/>
      <c r="X103" s="97"/>
      <c r="Y103" s="97"/>
      <c r="Z103" s="97"/>
      <c r="AA103" s="647"/>
      <c r="AB103" s="97"/>
      <c r="AC103" s="97"/>
      <c r="AD103" s="97"/>
      <c r="AE103" s="97"/>
      <c r="AF103" s="97"/>
    </row>
    <row r="104" spans="1:32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V104" s="609"/>
      <c r="W104" s="97"/>
      <c r="X104" s="97"/>
      <c r="Y104" s="97"/>
      <c r="Z104" s="97"/>
      <c r="AA104" s="647"/>
      <c r="AB104" s="97"/>
      <c r="AC104" s="97"/>
      <c r="AD104" s="97"/>
      <c r="AE104" s="97"/>
      <c r="AF104" s="97"/>
    </row>
    <row r="105" spans="1:32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V105" s="609"/>
      <c r="W105" s="97"/>
      <c r="X105" s="97"/>
      <c r="Y105" s="97"/>
      <c r="Z105" s="97"/>
      <c r="AA105" s="647"/>
      <c r="AB105" s="97"/>
      <c r="AC105" s="97"/>
      <c r="AD105" s="97"/>
      <c r="AE105" s="97"/>
      <c r="AF105" s="97"/>
    </row>
    <row r="106" spans="1:32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V106" s="609"/>
      <c r="W106" s="97"/>
      <c r="X106" s="97"/>
      <c r="Y106" s="97"/>
      <c r="Z106" s="97"/>
      <c r="AA106" s="647"/>
      <c r="AB106" s="97"/>
      <c r="AC106" s="97"/>
      <c r="AD106" s="97"/>
      <c r="AE106" s="97"/>
      <c r="AF106" s="97"/>
    </row>
  </sheetData>
  <sheetProtection algorithmName="SHA-512" hashValue="l/+MySrKuvw8ZnXBDzL1ZoNuvOtZBsK24j6JNl75gH2k5roNoXQx/hfFCAW1jyjm551Z7G5K9ABsCKZLwepZMQ==" saltValue="WQka5hx3SS5fQzp5KVazAA==" spinCount="100000" sheet="1" objects="1" scenarios="1"/>
  <mergeCells count="35">
    <mergeCell ref="D4:D7"/>
    <mergeCell ref="E4:E7"/>
    <mergeCell ref="H5:K5"/>
    <mergeCell ref="L5:S5"/>
    <mergeCell ref="H6:H7"/>
    <mergeCell ref="P6:Q6"/>
    <mergeCell ref="R6:S6"/>
    <mergeCell ref="B74:T74"/>
    <mergeCell ref="Y3:Z3"/>
    <mergeCell ref="A1:W1"/>
    <mergeCell ref="F4:F7"/>
    <mergeCell ref="G4:G7"/>
    <mergeCell ref="H4:S4"/>
    <mergeCell ref="U3:W3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L8:M8"/>
    <mergeCell ref="N8:O8"/>
    <mergeCell ref="P8:Q8"/>
    <mergeCell ref="R8:S8"/>
    <mergeCell ref="Z4:Z7"/>
    <mergeCell ref="U6:U7"/>
    <mergeCell ref="V6:V7"/>
    <mergeCell ref="T4:T7"/>
    <mergeCell ref="U4:V5"/>
    <mergeCell ref="W4:W7"/>
    <mergeCell ref="X4:X7"/>
    <mergeCell ref="Y4:Y7"/>
  </mergeCells>
  <dataValidations count="1">
    <dataValidation type="date" operator="greaterThan" allowBlank="1" showInputMessage="1" showErrorMessage="1" prompt="Введите дату в формате ЧЧ.ММ.ГГГГ" sqref="Y75:Z104" xr:uid="{00000000-0002-0000-07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4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106"/>
  <sheetViews>
    <sheetView view="pageBreakPreview" zoomScale="85" zoomScaleNormal="70" zoomScaleSheetLayoutView="85" workbookViewId="0">
      <selection activeCell="J38" sqref="J38"/>
    </sheetView>
  </sheetViews>
  <sheetFormatPr defaultRowHeight="12.75"/>
  <cols>
    <col min="1" max="1" width="5.140625" style="562" customWidth="1"/>
    <col min="2" max="2" width="43.42578125" style="562" customWidth="1"/>
    <col min="3" max="3" width="14.140625" style="562" customWidth="1"/>
    <col min="4" max="6" width="10.140625" style="562" customWidth="1"/>
    <col min="7" max="8" width="14.28515625" style="562" customWidth="1"/>
    <col min="9" max="19" width="13.85546875" style="562" customWidth="1"/>
    <col min="20" max="20" width="8.28515625" style="562" customWidth="1"/>
    <col min="21" max="21" width="10.140625" style="562" customWidth="1"/>
    <col min="22" max="22" width="14" style="608" customWidth="1"/>
    <col min="23" max="23" width="9.85546875" style="562" customWidth="1"/>
    <col min="24" max="24" width="14" style="562" customWidth="1"/>
    <col min="25" max="25" width="13.28515625" style="562" customWidth="1"/>
    <col min="26" max="26" width="14.7109375" style="562" customWidth="1"/>
    <col min="27" max="27" width="13.140625" style="644" bestFit="1" customWidth="1"/>
    <col min="28" max="16384" width="9.140625" style="562"/>
  </cols>
  <sheetData>
    <row r="1" spans="1:28" ht="20.25">
      <c r="A1" s="715" t="s">
        <v>901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Y1" s="636" t="s">
        <v>900</v>
      </c>
    </row>
    <row r="2" spans="1:28">
      <c r="A2" s="635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Q2" s="634"/>
      <c r="R2" s="634"/>
      <c r="S2" s="634"/>
      <c r="T2" s="634"/>
    </row>
    <row r="3" spans="1:28" ht="15.75">
      <c r="A3" s="584"/>
      <c r="B3" s="633" t="str">
        <f>+'Asset quality'!B3</f>
        <v xml:space="preserve">АК "АЛОКАБАНК" </v>
      </c>
      <c r="D3" s="584"/>
      <c r="E3" s="584"/>
      <c r="F3" s="584"/>
      <c r="G3" s="584"/>
      <c r="H3" s="584"/>
      <c r="I3" s="584"/>
      <c r="J3" s="584"/>
      <c r="K3" s="584"/>
      <c r="L3" s="584"/>
      <c r="M3" s="584"/>
      <c r="Q3" s="584"/>
      <c r="R3" s="584"/>
      <c r="T3" s="632"/>
      <c r="U3" s="718">
        <f>+'Asset quality'!P3</f>
        <v>44561</v>
      </c>
      <c r="V3" s="718" t="e">
        <f>+#REF!</f>
        <v>#REF!</v>
      </c>
      <c r="W3" s="718"/>
      <c r="Y3" s="714" t="s">
        <v>382</v>
      </c>
      <c r="Z3" s="714"/>
    </row>
    <row r="4" spans="1:28" ht="27.75" customHeight="1">
      <c r="A4" s="719" t="s">
        <v>83</v>
      </c>
      <c r="B4" s="719" t="s">
        <v>895</v>
      </c>
      <c r="C4" s="706" t="s">
        <v>894</v>
      </c>
      <c r="D4" s="706" t="s">
        <v>893</v>
      </c>
      <c r="E4" s="706" t="s">
        <v>892</v>
      </c>
      <c r="F4" s="706" t="s">
        <v>891</v>
      </c>
      <c r="G4" s="706" t="s">
        <v>890</v>
      </c>
      <c r="H4" s="716" t="s">
        <v>90</v>
      </c>
      <c r="I4" s="717"/>
      <c r="J4" s="717"/>
      <c r="K4" s="717"/>
      <c r="L4" s="717"/>
      <c r="M4" s="717"/>
      <c r="N4" s="717"/>
      <c r="O4" s="717"/>
      <c r="P4" s="717"/>
      <c r="Q4" s="717"/>
      <c r="R4" s="717"/>
      <c r="S4" s="717"/>
      <c r="T4" s="706" t="s">
        <v>889</v>
      </c>
      <c r="U4" s="709" t="s">
        <v>888</v>
      </c>
      <c r="V4" s="710"/>
      <c r="W4" s="706" t="s">
        <v>887</v>
      </c>
      <c r="X4" s="706" t="s">
        <v>886</v>
      </c>
      <c r="Y4" s="706" t="s">
        <v>885</v>
      </c>
      <c r="Z4" s="706" t="s">
        <v>884</v>
      </c>
      <c r="AB4" s="608"/>
    </row>
    <row r="5" spans="1:28" ht="27.75" customHeight="1">
      <c r="A5" s="720"/>
      <c r="B5" s="720"/>
      <c r="C5" s="707"/>
      <c r="D5" s="707"/>
      <c r="E5" s="707"/>
      <c r="F5" s="707"/>
      <c r="G5" s="707"/>
      <c r="H5" s="716" t="s">
        <v>883</v>
      </c>
      <c r="I5" s="717"/>
      <c r="J5" s="717"/>
      <c r="K5" s="717"/>
      <c r="L5" s="716" t="s">
        <v>882</v>
      </c>
      <c r="M5" s="717"/>
      <c r="N5" s="717"/>
      <c r="O5" s="717"/>
      <c r="P5" s="717"/>
      <c r="Q5" s="717"/>
      <c r="R5" s="717"/>
      <c r="S5" s="717"/>
      <c r="T5" s="707"/>
      <c r="U5" s="711"/>
      <c r="V5" s="712"/>
      <c r="W5" s="707"/>
      <c r="X5" s="707"/>
      <c r="Y5" s="707"/>
      <c r="Z5" s="707"/>
      <c r="AB5" s="608"/>
    </row>
    <row r="6" spans="1:28" ht="108.75" customHeight="1">
      <c r="A6" s="720"/>
      <c r="B6" s="720"/>
      <c r="C6" s="707"/>
      <c r="D6" s="707"/>
      <c r="E6" s="707"/>
      <c r="F6" s="707"/>
      <c r="G6" s="707"/>
      <c r="H6" s="706" t="s">
        <v>881</v>
      </c>
      <c r="I6" s="706" t="s">
        <v>880</v>
      </c>
      <c r="J6" s="706" t="s">
        <v>879</v>
      </c>
      <c r="K6" s="706" t="s">
        <v>875</v>
      </c>
      <c r="L6" s="722" t="s">
        <v>878</v>
      </c>
      <c r="M6" s="723"/>
      <c r="N6" s="722" t="s">
        <v>877</v>
      </c>
      <c r="O6" s="723"/>
      <c r="P6" s="722" t="s">
        <v>876</v>
      </c>
      <c r="Q6" s="723"/>
      <c r="R6" s="722" t="s">
        <v>875</v>
      </c>
      <c r="S6" s="723"/>
      <c r="T6" s="707"/>
      <c r="U6" s="706" t="s">
        <v>874</v>
      </c>
      <c r="V6" s="706" t="s">
        <v>577</v>
      </c>
      <c r="W6" s="707"/>
      <c r="X6" s="707"/>
      <c r="Y6" s="707"/>
      <c r="Z6" s="707"/>
      <c r="AB6" s="608"/>
    </row>
    <row r="7" spans="1:28" ht="41.25" customHeight="1">
      <c r="A7" s="721"/>
      <c r="B7" s="721"/>
      <c r="C7" s="708"/>
      <c r="D7" s="708"/>
      <c r="E7" s="708"/>
      <c r="F7" s="708"/>
      <c r="G7" s="708"/>
      <c r="H7" s="708"/>
      <c r="I7" s="708"/>
      <c r="J7" s="708"/>
      <c r="K7" s="708"/>
      <c r="L7" s="631" t="s">
        <v>873</v>
      </c>
      <c r="M7" s="631" t="s">
        <v>872</v>
      </c>
      <c r="N7" s="631" t="s">
        <v>873</v>
      </c>
      <c r="O7" s="631" t="s">
        <v>872</v>
      </c>
      <c r="P7" s="631" t="s">
        <v>873</v>
      </c>
      <c r="Q7" s="631" t="s">
        <v>872</v>
      </c>
      <c r="R7" s="631" t="s">
        <v>873</v>
      </c>
      <c r="S7" s="631" t="s">
        <v>872</v>
      </c>
      <c r="T7" s="708"/>
      <c r="U7" s="708"/>
      <c r="V7" s="708"/>
      <c r="W7" s="708"/>
      <c r="X7" s="708"/>
      <c r="Y7" s="708"/>
      <c r="Z7" s="708"/>
      <c r="AB7" s="608"/>
    </row>
    <row r="8" spans="1:28" s="629" customFormat="1" ht="15">
      <c r="A8" s="607"/>
      <c r="B8" s="607" t="s">
        <v>182</v>
      </c>
      <c r="C8" s="607" t="s">
        <v>183</v>
      </c>
      <c r="D8" s="607" t="s">
        <v>195</v>
      </c>
      <c r="E8" s="607" t="s">
        <v>184</v>
      </c>
      <c r="F8" s="607" t="s">
        <v>185</v>
      </c>
      <c r="G8" s="606" t="s">
        <v>196</v>
      </c>
      <c r="H8" s="607" t="s">
        <v>871</v>
      </c>
      <c r="I8" s="607" t="s">
        <v>870</v>
      </c>
      <c r="J8" s="607" t="s">
        <v>869</v>
      </c>
      <c r="K8" s="607" t="s">
        <v>868</v>
      </c>
      <c r="L8" s="704" t="s">
        <v>867</v>
      </c>
      <c r="M8" s="705"/>
      <c r="N8" s="704" t="s">
        <v>866</v>
      </c>
      <c r="O8" s="705"/>
      <c r="P8" s="704" t="s">
        <v>865</v>
      </c>
      <c r="Q8" s="705"/>
      <c r="R8" s="704" t="s">
        <v>864</v>
      </c>
      <c r="S8" s="705"/>
      <c r="T8" s="607" t="s">
        <v>186</v>
      </c>
      <c r="U8" s="607" t="s">
        <v>187</v>
      </c>
      <c r="V8" s="607" t="s">
        <v>188</v>
      </c>
      <c r="W8" s="607" t="s">
        <v>189</v>
      </c>
      <c r="X8" s="607" t="s">
        <v>190</v>
      </c>
      <c r="Y8" s="607" t="s">
        <v>191</v>
      </c>
      <c r="Z8" s="607" t="s">
        <v>192</v>
      </c>
      <c r="AA8" s="645"/>
      <c r="AB8" s="630"/>
    </row>
    <row r="9" spans="1:28" s="618" customFormat="1">
      <c r="A9" s="624">
        <v>1</v>
      </c>
      <c r="B9" s="620" t="s">
        <v>906</v>
      </c>
      <c r="C9" s="625">
        <v>203366731</v>
      </c>
      <c r="D9" s="625">
        <v>52300</v>
      </c>
      <c r="E9" s="623">
        <v>860</v>
      </c>
      <c r="F9" s="623">
        <v>1</v>
      </c>
      <c r="G9" s="641">
        <f t="shared" ref="G9:G40" si="0">+H9+I9+J9+K9+M9+O9+Q9+S9</f>
        <v>692901062</v>
      </c>
      <c r="H9" s="639"/>
      <c r="I9" s="639">
        <v>584524462</v>
      </c>
      <c r="J9" s="639"/>
      <c r="K9" s="639"/>
      <c r="L9" s="639"/>
      <c r="M9" s="639"/>
      <c r="N9" s="621">
        <v>108376600</v>
      </c>
      <c r="O9" s="621">
        <v>108376600</v>
      </c>
      <c r="P9" s="639"/>
      <c r="Q9" s="639"/>
      <c r="R9" s="639"/>
      <c r="S9" s="639"/>
      <c r="T9" s="642"/>
      <c r="U9" s="651">
        <v>2</v>
      </c>
      <c r="V9" s="651">
        <v>429776700</v>
      </c>
      <c r="W9" s="651"/>
      <c r="X9" s="642"/>
      <c r="Y9" s="642"/>
      <c r="Z9" s="638">
        <f t="shared" ref="Z9:Z40" si="1">+G9-V9-X9</f>
        <v>263124362</v>
      </c>
      <c r="AA9" s="643">
        <f>SUMIF($F$9:$F$63,$F9,$Z$9:$Z$63)</f>
        <v>263124362</v>
      </c>
    </row>
    <row r="10" spans="1:28" s="618" customFormat="1">
      <c r="A10" s="624">
        <v>2</v>
      </c>
      <c r="B10" s="620" t="s">
        <v>907</v>
      </c>
      <c r="C10" s="625">
        <v>201204514</v>
      </c>
      <c r="D10" s="625">
        <v>12411</v>
      </c>
      <c r="E10" s="623">
        <v>840</v>
      </c>
      <c r="F10" s="623">
        <v>2</v>
      </c>
      <c r="G10" s="641">
        <f t="shared" si="0"/>
        <v>332900848</v>
      </c>
      <c r="H10" s="639"/>
      <c r="I10" s="639">
        <v>332900848</v>
      </c>
      <c r="J10" s="639"/>
      <c r="K10" s="639"/>
      <c r="L10" s="639"/>
      <c r="M10" s="639"/>
      <c r="N10" s="639"/>
      <c r="O10" s="639"/>
      <c r="P10" s="639"/>
      <c r="Q10" s="639"/>
      <c r="R10" s="639"/>
      <c r="S10" s="639"/>
      <c r="T10" s="642"/>
      <c r="U10" s="651"/>
      <c r="V10" s="651"/>
      <c r="W10" s="651"/>
      <c r="X10" s="639"/>
      <c r="Y10" s="639"/>
      <c r="Z10" s="638">
        <f t="shared" si="1"/>
        <v>332900848</v>
      </c>
      <c r="AA10" s="643">
        <f t="shared" ref="AA10:AA63" si="2">SUMIF($F$9:$F$63,$F10,$Z$9:$Z$63)</f>
        <v>332900848</v>
      </c>
    </row>
    <row r="11" spans="1:28" s="618" customFormat="1">
      <c r="A11" s="624">
        <v>3</v>
      </c>
      <c r="B11" s="656" t="s">
        <v>928</v>
      </c>
      <c r="C11" s="656">
        <v>308440870</v>
      </c>
      <c r="D11" s="657">
        <v>23490</v>
      </c>
      <c r="E11" s="655">
        <v>860</v>
      </c>
      <c r="F11" s="623">
        <v>3</v>
      </c>
      <c r="G11" s="641">
        <f t="shared" si="0"/>
        <v>161935462</v>
      </c>
      <c r="H11" s="639"/>
      <c r="I11" s="639">
        <v>161935462</v>
      </c>
      <c r="J11" s="639"/>
      <c r="K11" s="639"/>
      <c r="L11" s="639"/>
      <c r="M11" s="639"/>
      <c r="N11" s="639"/>
      <c r="O11" s="639"/>
      <c r="P11" s="639"/>
      <c r="Q11" s="639"/>
      <c r="R11" s="639"/>
      <c r="S11" s="639"/>
      <c r="T11" s="642"/>
      <c r="U11" s="651"/>
      <c r="V11" s="651"/>
      <c r="W11" s="651"/>
      <c r="X11" s="639"/>
      <c r="Y11" s="639"/>
      <c r="Z11" s="638">
        <f t="shared" si="1"/>
        <v>161935462</v>
      </c>
      <c r="AA11" s="643">
        <f t="shared" si="2"/>
        <v>161935462</v>
      </c>
    </row>
    <row r="12" spans="1:28" s="618" customFormat="1">
      <c r="A12" s="624">
        <v>4</v>
      </c>
      <c r="B12" s="652" t="s">
        <v>910</v>
      </c>
      <c r="C12" s="656">
        <v>207137166</v>
      </c>
      <c r="D12" s="657">
        <v>64910</v>
      </c>
      <c r="E12" s="655">
        <v>860</v>
      </c>
      <c r="F12" s="623">
        <v>4</v>
      </c>
      <c r="G12" s="641">
        <f t="shared" si="0"/>
        <v>161383437</v>
      </c>
      <c r="H12" s="639"/>
      <c r="I12" s="639">
        <v>161383437</v>
      </c>
      <c r="J12" s="639"/>
      <c r="K12" s="639"/>
      <c r="L12" s="639"/>
      <c r="M12" s="639"/>
      <c r="N12" s="639"/>
      <c r="O12" s="639"/>
      <c r="P12" s="639"/>
      <c r="Q12" s="639"/>
      <c r="R12" s="639"/>
      <c r="S12" s="639"/>
      <c r="T12" s="642"/>
      <c r="U12" s="651"/>
      <c r="V12" s="651"/>
      <c r="W12" s="651"/>
      <c r="X12" s="639"/>
      <c r="Y12" s="642"/>
      <c r="Z12" s="638">
        <f t="shared" si="1"/>
        <v>161383437</v>
      </c>
      <c r="AA12" s="643">
        <f t="shared" si="2"/>
        <v>163050104</v>
      </c>
    </row>
    <row r="13" spans="1:28" s="618" customFormat="1">
      <c r="A13" s="624">
        <v>5</v>
      </c>
      <c r="B13" s="620" t="s">
        <v>913</v>
      </c>
      <c r="C13" s="620">
        <v>305059128</v>
      </c>
      <c r="D13" s="625">
        <v>62020</v>
      </c>
      <c r="E13" s="623">
        <v>860</v>
      </c>
      <c r="F13" s="623">
        <v>4</v>
      </c>
      <c r="G13" s="641">
        <f t="shared" si="0"/>
        <v>1666667</v>
      </c>
      <c r="H13" s="639"/>
      <c r="I13" s="639">
        <v>1666667</v>
      </c>
      <c r="J13" s="639"/>
      <c r="K13" s="639"/>
      <c r="L13" s="639"/>
      <c r="M13" s="639"/>
      <c r="N13" s="639"/>
      <c r="O13" s="639"/>
      <c r="P13" s="639"/>
      <c r="Q13" s="639"/>
      <c r="R13" s="639"/>
      <c r="S13" s="639"/>
      <c r="T13" s="642"/>
      <c r="U13" s="639"/>
      <c r="V13" s="639"/>
      <c r="W13" s="642"/>
      <c r="X13" s="639"/>
      <c r="Y13" s="642"/>
      <c r="Z13" s="638">
        <f t="shared" si="1"/>
        <v>1666667</v>
      </c>
      <c r="AA13" s="643">
        <f t="shared" si="2"/>
        <v>163050104</v>
      </c>
    </row>
    <row r="14" spans="1:28" s="618" customFormat="1">
      <c r="A14" s="624">
        <v>6</v>
      </c>
      <c r="B14" s="620" t="s">
        <v>929</v>
      </c>
      <c r="C14" s="620">
        <v>301945413</v>
      </c>
      <c r="D14" s="625">
        <v>14140</v>
      </c>
      <c r="E14" s="623" t="s">
        <v>930</v>
      </c>
      <c r="F14" s="623">
        <v>5</v>
      </c>
      <c r="G14" s="641">
        <f t="shared" si="0"/>
        <v>144799281</v>
      </c>
      <c r="H14" s="639"/>
      <c r="I14" s="639">
        <v>144799281</v>
      </c>
      <c r="J14" s="639"/>
      <c r="K14" s="639"/>
      <c r="L14" s="639"/>
      <c r="M14" s="639"/>
      <c r="N14" s="639"/>
      <c r="O14" s="639"/>
      <c r="P14" s="639"/>
      <c r="Q14" s="639"/>
      <c r="R14" s="639"/>
      <c r="S14" s="639"/>
      <c r="T14" s="642"/>
      <c r="U14" s="639"/>
      <c r="V14" s="639"/>
      <c r="W14" s="642"/>
      <c r="X14" s="639"/>
      <c r="Y14" s="642"/>
      <c r="Z14" s="638">
        <f t="shared" si="1"/>
        <v>144799281</v>
      </c>
      <c r="AA14" s="643">
        <f t="shared" si="2"/>
        <v>144799281</v>
      </c>
    </row>
    <row r="15" spans="1:28" s="618" customFormat="1">
      <c r="A15" s="624">
        <v>7</v>
      </c>
      <c r="B15" s="620" t="s">
        <v>931</v>
      </c>
      <c r="C15" s="620">
        <v>304457725</v>
      </c>
      <c r="D15" s="625">
        <v>23510</v>
      </c>
      <c r="E15" s="623" t="s">
        <v>917</v>
      </c>
      <c r="F15" s="623">
        <v>6</v>
      </c>
      <c r="G15" s="641">
        <f t="shared" si="0"/>
        <v>143524167</v>
      </c>
      <c r="H15" s="639"/>
      <c r="I15" s="639">
        <v>143524167</v>
      </c>
      <c r="J15" s="639"/>
      <c r="K15" s="639"/>
      <c r="L15" s="639"/>
      <c r="M15" s="639"/>
      <c r="N15" s="640"/>
      <c r="O15" s="640"/>
      <c r="P15" s="640"/>
      <c r="Q15" s="640"/>
      <c r="R15" s="639"/>
      <c r="S15" s="639"/>
      <c r="T15" s="642"/>
      <c r="U15" s="639"/>
      <c r="V15" s="639"/>
      <c r="W15" s="642"/>
      <c r="X15" s="639"/>
      <c r="Y15" s="639"/>
      <c r="Z15" s="638">
        <f t="shared" si="1"/>
        <v>143524167</v>
      </c>
      <c r="AA15" s="643">
        <f t="shared" si="2"/>
        <v>143524167</v>
      </c>
    </row>
    <row r="16" spans="1:28" s="618" customFormat="1" ht="25.5">
      <c r="A16" s="624">
        <v>8</v>
      </c>
      <c r="B16" s="620" t="s">
        <v>932</v>
      </c>
      <c r="C16" s="620">
        <v>200836354</v>
      </c>
      <c r="D16" s="625">
        <v>64190</v>
      </c>
      <c r="E16" s="623" t="s">
        <v>933</v>
      </c>
      <c r="F16" s="623">
        <v>7</v>
      </c>
      <c r="G16" s="641">
        <f t="shared" si="0"/>
        <v>300863753.40520996</v>
      </c>
      <c r="H16" s="639">
        <v>300863753.40520996</v>
      </c>
      <c r="I16" s="639"/>
      <c r="J16" s="639"/>
      <c r="K16" s="639"/>
      <c r="L16" s="639"/>
      <c r="M16" s="639"/>
      <c r="N16" s="640"/>
      <c r="O16" s="640"/>
      <c r="P16" s="640"/>
      <c r="Q16" s="640"/>
      <c r="R16" s="639"/>
      <c r="S16" s="639"/>
      <c r="T16" s="642"/>
      <c r="U16" s="639"/>
      <c r="V16" s="639"/>
      <c r="W16" s="642"/>
      <c r="X16" s="639"/>
      <c r="Y16" s="639"/>
      <c r="Z16" s="638">
        <f t="shared" si="1"/>
        <v>300863753.40520996</v>
      </c>
      <c r="AA16" s="643">
        <f t="shared" si="2"/>
        <v>300863753.40520996</v>
      </c>
    </row>
    <row r="17" spans="1:27" s="618" customFormat="1">
      <c r="A17" s="624">
        <v>9</v>
      </c>
      <c r="B17" s="620" t="s">
        <v>908</v>
      </c>
      <c r="C17" s="620">
        <v>207086151</v>
      </c>
      <c r="D17" s="625">
        <v>96120</v>
      </c>
      <c r="E17" s="623">
        <v>840</v>
      </c>
      <c r="F17" s="623">
        <v>8</v>
      </c>
      <c r="G17" s="641">
        <f t="shared" si="0"/>
        <v>162564900</v>
      </c>
      <c r="H17" s="639">
        <v>162564900</v>
      </c>
      <c r="I17" s="639"/>
      <c r="J17" s="639"/>
      <c r="K17" s="639"/>
      <c r="L17" s="639"/>
      <c r="M17" s="639"/>
      <c r="N17" s="640"/>
      <c r="O17" s="640"/>
      <c r="P17" s="640"/>
      <c r="Q17" s="640"/>
      <c r="R17" s="639"/>
      <c r="S17" s="639"/>
      <c r="T17" s="642"/>
      <c r="U17" s="639"/>
      <c r="V17" s="639"/>
      <c r="W17" s="642"/>
      <c r="X17" s="639"/>
      <c r="Y17" s="639"/>
      <c r="Z17" s="638">
        <f t="shared" si="1"/>
        <v>162564900</v>
      </c>
      <c r="AA17" s="643">
        <f t="shared" si="2"/>
        <v>162564900</v>
      </c>
    </row>
    <row r="18" spans="1:27" s="618" customFormat="1">
      <c r="A18" s="624">
        <v>10</v>
      </c>
      <c r="B18" s="620"/>
      <c r="C18" s="620"/>
      <c r="D18" s="625"/>
      <c r="E18" s="623"/>
      <c r="F18" s="623"/>
      <c r="G18" s="641">
        <f t="shared" si="0"/>
        <v>0</v>
      </c>
      <c r="H18" s="639"/>
      <c r="I18" s="639"/>
      <c r="J18" s="639"/>
      <c r="K18" s="639"/>
      <c r="L18" s="639"/>
      <c r="M18" s="639"/>
      <c r="N18" s="639"/>
      <c r="O18" s="639"/>
      <c r="P18" s="639"/>
      <c r="Q18" s="639"/>
      <c r="R18" s="639"/>
      <c r="S18" s="639"/>
      <c r="T18" s="642"/>
      <c r="U18" s="639"/>
      <c r="V18" s="639"/>
      <c r="W18" s="642"/>
      <c r="X18" s="639"/>
      <c r="Y18" s="639"/>
      <c r="Z18" s="638">
        <f t="shared" si="1"/>
        <v>0</v>
      </c>
      <c r="AA18" s="643">
        <f t="shared" si="2"/>
        <v>0</v>
      </c>
    </row>
    <row r="19" spans="1:27" s="618" customFormat="1">
      <c r="A19" s="624">
        <v>11</v>
      </c>
      <c r="B19" s="620"/>
      <c r="C19" s="620"/>
      <c r="D19" s="625"/>
      <c r="E19" s="623"/>
      <c r="F19" s="623"/>
      <c r="G19" s="641">
        <f t="shared" si="0"/>
        <v>0</v>
      </c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42"/>
      <c r="U19" s="639"/>
      <c r="V19" s="639"/>
      <c r="W19" s="642"/>
      <c r="X19" s="639"/>
      <c r="Y19" s="639"/>
      <c r="Z19" s="638">
        <f t="shared" si="1"/>
        <v>0</v>
      </c>
      <c r="AA19" s="643">
        <f t="shared" si="2"/>
        <v>0</v>
      </c>
    </row>
    <row r="20" spans="1:27" s="618" customFormat="1">
      <c r="A20" s="624">
        <v>12</v>
      </c>
      <c r="B20" s="620"/>
      <c r="C20" s="620"/>
      <c r="D20" s="625"/>
      <c r="E20" s="623"/>
      <c r="F20" s="623"/>
      <c r="G20" s="641">
        <f t="shared" si="0"/>
        <v>0</v>
      </c>
      <c r="H20" s="639"/>
      <c r="I20" s="639"/>
      <c r="J20" s="639"/>
      <c r="K20" s="639"/>
      <c r="L20" s="639"/>
      <c r="M20" s="639"/>
      <c r="N20" s="639"/>
      <c r="O20" s="639"/>
      <c r="P20" s="639"/>
      <c r="Q20" s="639"/>
      <c r="R20" s="639"/>
      <c r="S20" s="639"/>
      <c r="T20" s="642"/>
      <c r="U20" s="639"/>
      <c r="V20" s="639"/>
      <c r="W20" s="642"/>
      <c r="X20" s="639"/>
      <c r="Y20" s="639"/>
      <c r="Z20" s="638">
        <f t="shared" si="1"/>
        <v>0</v>
      </c>
      <c r="AA20" s="643">
        <f t="shared" si="2"/>
        <v>0</v>
      </c>
    </row>
    <row r="21" spans="1:27" s="618" customFormat="1">
      <c r="A21" s="624">
        <v>13</v>
      </c>
      <c r="B21" s="620"/>
      <c r="C21" s="620"/>
      <c r="D21" s="620"/>
      <c r="E21" s="623"/>
      <c r="F21" s="623"/>
      <c r="G21" s="641">
        <f t="shared" si="0"/>
        <v>0</v>
      </c>
      <c r="H21" s="639"/>
      <c r="I21" s="639"/>
      <c r="J21" s="639"/>
      <c r="K21" s="639"/>
      <c r="L21" s="639"/>
      <c r="M21" s="639"/>
      <c r="N21" s="640"/>
      <c r="O21" s="640"/>
      <c r="P21" s="640"/>
      <c r="Q21" s="640"/>
      <c r="R21" s="639"/>
      <c r="S21" s="639"/>
      <c r="T21" s="639"/>
      <c r="U21" s="639"/>
      <c r="V21" s="639"/>
      <c r="W21" s="639"/>
      <c r="X21" s="639"/>
      <c r="Y21" s="639"/>
      <c r="Z21" s="638">
        <f t="shared" si="1"/>
        <v>0</v>
      </c>
      <c r="AA21" s="643">
        <f t="shared" si="2"/>
        <v>0</v>
      </c>
    </row>
    <row r="22" spans="1:27" s="618" customFormat="1">
      <c r="A22" s="624">
        <v>14</v>
      </c>
      <c r="B22" s="620"/>
      <c r="C22" s="620"/>
      <c r="D22" s="625"/>
      <c r="E22" s="623"/>
      <c r="F22" s="623"/>
      <c r="G22" s="641">
        <f t="shared" si="0"/>
        <v>0</v>
      </c>
      <c r="H22" s="639"/>
      <c r="I22" s="639"/>
      <c r="J22" s="639"/>
      <c r="K22" s="639"/>
      <c r="L22" s="639"/>
      <c r="M22" s="639"/>
      <c r="N22" s="639"/>
      <c r="O22" s="639"/>
      <c r="P22" s="639"/>
      <c r="Q22" s="639"/>
      <c r="R22" s="639"/>
      <c r="S22" s="639"/>
      <c r="T22" s="642"/>
      <c r="U22" s="639"/>
      <c r="V22" s="639"/>
      <c r="W22" s="642"/>
      <c r="X22" s="639"/>
      <c r="Y22" s="642"/>
      <c r="Z22" s="638">
        <f t="shared" si="1"/>
        <v>0</v>
      </c>
      <c r="AA22" s="643">
        <f t="shared" si="2"/>
        <v>0</v>
      </c>
    </row>
    <row r="23" spans="1:27" s="618" customFormat="1">
      <c r="A23" s="624">
        <v>15</v>
      </c>
      <c r="B23" s="620"/>
      <c r="C23" s="620"/>
      <c r="D23" s="625"/>
      <c r="E23" s="623"/>
      <c r="F23" s="623"/>
      <c r="G23" s="641">
        <f t="shared" si="0"/>
        <v>0</v>
      </c>
      <c r="H23" s="639"/>
      <c r="I23" s="639"/>
      <c r="J23" s="639"/>
      <c r="K23" s="639"/>
      <c r="L23" s="639"/>
      <c r="M23" s="639"/>
      <c r="N23" s="639"/>
      <c r="O23" s="639"/>
      <c r="P23" s="639"/>
      <c r="Q23" s="639"/>
      <c r="R23" s="639"/>
      <c r="S23" s="639"/>
      <c r="T23" s="642"/>
      <c r="U23" s="639"/>
      <c r="V23" s="639"/>
      <c r="W23" s="642"/>
      <c r="X23" s="639"/>
      <c r="Y23" s="642"/>
      <c r="Z23" s="638">
        <f t="shared" si="1"/>
        <v>0</v>
      </c>
      <c r="AA23" s="643">
        <f t="shared" si="2"/>
        <v>0</v>
      </c>
    </row>
    <row r="24" spans="1:27" s="618" customFormat="1">
      <c r="A24" s="624">
        <v>16</v>
      </c>
      <c r="B24" s="620"/>
      <c r="C24" s="620"/>
      <c r="D24" s="625"/>
      <c r="E24" s="623"/>
      <c r="F24" s="623"/>
      <c r="G24" s="641">
        <f t="shared" si="0"/>
        <v>0</v>
      </c>
      <c r="H24" s="639"/>
      <c r="I24" s="639"/>
      <c r="J24" s="639"/>
      <c r="K24" s="639"/>
      <c r="L24" s="639"/>
      <c r="M24" s="639"/>
      <c r="N24" s="640"/>
      <c r="O24" s="640"/>
      <c r="P24" s="640"/>
      <c r="Q24" s="640"/>
      <c r="R24" s="639"/>
      <c r="S24" s="639"/>
      <c r="T24" s="642"/>
      <c r="U24" s="639"/>
      <c r="V24" s="639"/>
      <c r="W24" s="642"/>
      <c r="X24" s="639"/>
      <c r="Y24" s="642"/>
      <c r="Z24" s="638">
        <f t="shared" si="1"/>
        <v>0</v>
      </c>
      <c r="AA24" s="643">
        <f t="shared" si="2"/>
        <v>0</v>
      </c>
    </row>
    <row r="25" spans="1:27" s="618" customFormat="1">
      <c r="A25" s="624">
        <v>17</v>
      </c>
      <c r="B25" s="620"/>
      <c r="C25" s="620"/>
      <c r="D25" s="625"/>
      <c r="E25" s="623"/>
      <c r="F25" s="623"/>
      <c r="G25" s="641">
        <f t="shared" si="0"/>
        <v>0</v>
      </c>
      <c r="H25" s="639"/>
      <c r="I25" s="639"/>
      <c r="J25" s="639"/>
      <c r="K25" s="639"/>
      <c r="L25" s="639"/>
      <c r="M25" s="639"/>
      <c r="N25" s="640"/>
      <c r="O25" s="640"/>
      <c r="P25" s="640"/>
      <c r="Q25" s="640"/>
      <c r="R25" s="639"/>
      <c r="S25" s="639"/>
      <c r="T25" s="642"/>
      <c r="U25" s="639"/>
      <c r="V25" s="639"/>
      <c r="W25" s="642"/>
      <c r="X25" s="639"/>
      <c r="Y25" s="642"/>
      <c r="Z25" s="638">
        <f t="shared" si="1"/>
        <v>0</v>
      </c>
      <c r="AA25" s="643">
        <f t="shared" si="2"/>
        <v>0</v>
      </c>
    </row>
    <row r="26" spans="1:27" s="618" customFormat="1">
      <c r="A26" s="624">
        <v>18</v>
      </c>
      <c r="B26" s="620"/>
      <c r="C26" s="620"/>
      <c r="D26" s="625"/>
      <c r="E26" s="623"/>
      <c r="F26" s="623"/>
      <c r="G26" s="641">
        <f t="shared" si="0"/>
        <v>0</v>
      </c>
      <c r="H26" s="639"/>
      <c r="I26" s="639"/>
      <c r="J26" s="639"/>
      <c r="K26" s="639"/>
      <c r="L26" s="639"/>
      <c r="M26" s="639"/>
      <c r="N26" s="640"/>
      <c r="O26" s="640"/>
      <c r="P26" s="640"/>
      <c r="Q26" s="640"/>
      <c r="R26" s="639"/>
      <c r="S26" s="639"/>
      <c r="T26" s="642"/>
      <c r="U26" s="639"/>
      <c r="V26" s="639"/>
      <c r="W26" s="642"/>
      <c r="X26" s="639"/>
      <c r="Y26" s="639"/>
      <c r="Z26" s="638">
        <f t="shared" si="1"/>
        <v>0</v>
      </c>
      <c r="AA26" s="643">
        <f t="shared" si="2"/>
        <v>0</v>
      </c>
    </row>
    <row r="27" spans="1:27" s="618" customFormat="1">
      <c r="A27" s="624">
        <v>19</v>
      </c>
      <c r="B27" s="620"/>
      <c r="C27" s="620"/>
      <c r="D27" s="625"/>
      <c r="E27" s="623"/>
      <c r="F27" s="623"/>
      <c r="G27" s="641">
        <f t="shared" si="0"/>
        <v>0</v>
      </c>
      <c r="H27" s="639"/>
      <c r="I27" s="639"/>
      <c r="J27" s="639"/>
      <c r="K27" s="639"/>
      <c r="L27" s="639"/>
      <c r="M27" s="639"/>
      <c r="N27" s="640"/>
      <c r="O27" s="640"/>
      <c r="P27" s="640"/>
      <c r="Q27" s="640"/>
      <c r="R27" s="639"/>
      <c r="S27" s="639"/>
      <c r="T27" s="642"/>
      <c r="U27" s="639"/>
      <c r="V27" s="639"/>
      <c r="W27" s="642"/>
      <c r="X27" s="639"/>
      <c r="Y27" s="639"/>
      <c r="Z27" s="638">
        <f t="shared" si="1"/>
        <v>0</v>
      </c>
      <c r="AA27" s="643">
        <f t="shared" si="2"/>
        <v>0</v>
      </c>
    </row>
    <row r="28" spans="1:27" s="618" customFormat="1">
      <c r="A28" s="624">
        <v>20</v>
      </c>
      <c r="B28" s="620"/>
      <c r="C28" s="620"/>
      <c r="D28" s="625"/>
      <c r="E28" s="623"/>
      <c r="F28" s="623"/>
      <c r="G28" s="641">
        <f t="shared" si="0"/>
        <v>0</v>
      </c>
      <c r="H28" s="639"/>
      <c r="I28" s="639"/>
      <c r="J28" s="639"/>
      <c r="K28" s="639"/>
      <c r="L28" s="639"/>
      <c r="M28" s="639"/>
      <c r="N28" s="640"/>
      <c r="O28" s="640"/>
      <c r="P28" s="640"/>
      <c r="Q28" s="640"/>
      <c r="R28" s="639"/>
      <c r="S28" s="639"/>
      <c r="T28" s="642"/>
      <c r="U28" s="639"/>
      <c r="V28" s="639"/>
      <c r="W28" s="642"/>
      <c r="X28" s="639"/>
      <c r="Y28" s="639"/>
      <c r="Z28" s="638">
        <f t="shared" si="1"/>
        <v>0</v>
      </c>
      <c r="AA28" s="643">
        <f t="shared" si="2"/>
        <v>0</v>
      </c>
    </row>
    <row r="29" spans="1:27" s="618" customFormat="1">
      <c r="A29" s="624">
        <v>21</v>
      </c>
      <c r="B29" s="620"/>
      <c r="C29" s="620"/>
      <c r="D29" s="625"/>
      <c r="E29" s="623"/>
      <c r="F29" s="623"/>
      <c r="G29" s="641">
        <f t="shared" si="0"/>
        <v>0</v>
      </c>
      <c r="H29" s="639"/>
      <c r="I29" s="639"/>
      <c r="J29" s="639"/>
      <c r="K29" s="639"/>
      <c r="L29" s="639"/>
      <c r="M29" s="639"/>
      <c r="N29" s="640"/>
      <c r="O29" s="640"/>
      <c r="P29" s="60"/>
      <c r="Q29" s="625"/>
      <c r="R29" s="639"/>
      <c r="S29" s="639"/>
      <c r="T29" s="642"/>
      <c r="U29" s="639"/>
      <c r="V29" s="639"/>
      <c r="W29" s="642"/>
      <c r="X29" s="639"/>
      <c r="Y29" s="639"/>
      <c r="Z29" s="638">
        <f t="shared" si="1"/>
        <v>0</v>
      </c>
      <c r="AA29" s="643">
        <f t="shared" si="2"/>
        <v>0</v>
      </c>
    </row>
    <row r="30" spans="1:27" s="618" customFormat="1">
      <c r="A30" s="624">
        <v>22</v>
      </c>
      <c r="B30" s="620"/>
      <c r="C30" s="620"/>
      <c r="D30" s="625"/>
      <c r="E30" s="623"/>
      <c r="F30" s="623"/>
      <c r="G30" s="641">
        <f t="shared" si="0"/>
        <v>0</v>
      </c>
      <c r="H30" s="639"/>
      <c r="I30" s="639"/>
      <c r="J30" s="639"/>
      <c r="K30" s="639"/>
      <c r="L30" s="639"/>
      <c r="M30" s="639"/>
      <c r="N30" s="640"/>
      <c r="O30" s="640"/>
      <c r="P30" s="640"/>
      <c r="Q30" s="640"/>
      <c r="R30" s="639"/>
      <c r="S30" s="639"/>
      <c r="T30" s="642"/>
      <c r="U30" s="639"/>
      <c r="V30" s="639"/>
      <c r="W30" s="642"/>
      <c r="X30" s="639"/>
      <c r="Y30" s="639"/>
      <c r="Z30" s="638">
        <f t="shared" si="1"/>
        <v>0</v>
      </c>
      <c r="AA30" s="643">
        <f t="shared" si="2"/>
        <v>0</v>
      </c>
    </row>
    <row r="31" spans="1:27" s="618" customFormat="1">
      <c r="A31" s="624">
        <v>23</v>
      </c>
      <c r="B31" s="620"/>
      <c r="C31" s="620"/>
      <c r="D31" s="625"/>
      <c r="E31" s="623"/>
      <c r="F31" s="623"/>
      <c r="G31" s="641">
        <f t="shared" si="0"/>
        <v>0</v>
      </c>
      <c r="H31" s="639"/>
      <c r="I31" s="639"/>
      <c r="J31" s="639"/>
      <c r="K31" s="639"/>
      <c r="L31" s="639"/>
      <c r="M31" s="639"/>
      <c r="N31" s="640"/>
      <c r="O31" s="640"/>
      <c r="P31" s="640"/>
      <c r="Q31" s="640"/>
      <c r="R31" s="639"/>
      <c r="S31" s="639"/>
      <c r="T31" s="642"/>
      <c r="U31" s="639"/>
      <c r="V31" s="639"/>
      <c r="W31" s="642"/>
      <c r="X31" s="639"/>
      <c r="Y31" s="639"/>
      <c r="Z31" s="638">
        <f t="shared" si="1"/>
        <v>0</v>
      </c>
      <c r="AA31" s="643">
        <f t="shared" si="2"/>
        <v>0</v>
      </c>
    </row>
    <row r="32" spans="1:27" s="618" customFormat="1">
      <c r="A32" s="624">
        <v>24</v>
      </c>
      <c r="B32" s="620"/>
      <c r="C32" s="620"/>
      <c r="D32" s="625"/>
      <c r="E32" s="623"/>
      <c r="F32" s="623"/>
      <c r="G32" s="641">
        <f t="shared" si="0"/>
        <v>0</v>
      </c>
      <c r="H32" s="639"/>
      <c r="I32" s="639"/>
      <c r="J32" s="639"/>
      <c r="K32" s="639"/>
      <c r="L32" s="639"/>
      <c r="M32" s="639"/>
      <c r="N32" s="640"/>
      <c r="O32" s="640"/>
      <c r="P32" s="640"/>
      <c r="Q32" s="640"/>
      <c r="R32" s="639"/>
      <c r="S32" s="639"/>
      <c r="T32" s="642"/>
      <c r="U32" s="639"/>
      <c r="V32" s="639"/>
      <c r="W32" s="642"/>
      <c r="X32" s="639"/>
      <c r="Y32" s="639"/>
      <c r="Z32" s="638">
        <f t="shared" si="1"/>
        <v>0</v>
      </c>
      <c r="AA32" s="643">
        <f t="shared" si="2"/>
        <v>0</v>
      </c>
    </row>
    <row r="33" spans="1:27" s="618" customFormat="1">
      <c r="A33" s="624">
        <v>25</v>
      </c>
      <c r="B33" s="620"/>
      <c r="C33" s="620"/>
      <c r="D33" s="625"/>
      <c r="E33" s="623"/>
      <c r="F33" s="623"/>
      <c r="G33" s="641">
        <f t="shared" si="0"/>
        <v>0</v>
      </c>
      <c r="H33" s="639"/>
      <c r="I33" s="639"/>
      <c r="J33" s="639"/>
      <c r="K33" s="639"/>
      <c r="L33" s="639"/>
      <c r="M33" s="639"/>
      <c r="N33" s="639"/>
      <c r="O33" s="639"/>
      <c r="P33" s="639"/>
      <c r="Q33" s="639"/>
      <c r="R33" s="639"/>
      <c r="S33" s="639"/>
      <c r="T33" s="642"/>
      <c r="U33" s="639"/>
      <c r="V33" s="639"/>
      <c r="W33" s="642"/>
      <c r="X33" s="639"/>
      <c r="Y33" s="639"/>
      <c r="Z33" s="638">
        <f t="shared" si="1"/>
        <v>0</v>
      </c>
      <c r="AA33" s="643">
        <f t="shared" si="2"/>
        <v>0</v>
      </c>
    </row>
    <row r="34" spans="1:27" s="618" customFormat="1">
      <c r="A34" s="624">
        <v>26</v>
      </c>
      <c r="B34" s="620"/>
      <c r="C34" s="620"/>
      <c r="D34" s="625"/>
      <c r="E34" s="623"/>
      <c r="F34" s="623"/>
      <c r="G34" s="641">
        <f t="shared" si="0"/>
        <v>0</v>
      </c>
      <c r="H34" s="639"/>
      <c r="I34" s="639"/>
      <c r="J34" s="639"/>
      <c r="K34" s="639"/>
      <c r="L34" s="639"/>
      <c r="M34" s="639"/>
      <c r="N34" s="639"/>
      <c r="O34" s="639"/>
      <c r="P34" s="639"/>
      <c r="Q34" s="639"/>
      <c r="R34" s="639"/>
      <c r="S34" s="639"/>
      <c r="T34" s="642"/>
      <c r="U34" s="639"/>
      <c r="V34" s="639"/>
      <c r="W34" s="642"/>
      <c r="X34" s="639"/>
      <c r="Y34" s="639"/>
      <c r="Z34" s="638">
        <f t="shared" si="1"/>
        <v>0</v>
      </c>
      <c r="AA34" s="643">
        <f t="shared" si="2"/>
        <v>0</v>
      </c>
    </row>
    <row r="35" spans="1:27" s="618" customFormat="1">
      <c r="A35" s="624">
        <v>27</v>
      </c>
      <c r="B35" s="620"/>
      <c r="C35" s="620"/>
      <c r="D35" s="625"/>
      <c r="E35" s="623"/>
      <c r="F35" s="623"/>
      <c r="G35" s="641">
        <f t="shared" si="0"/>
        <v>0</v>
      </c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42"/>
      <c r="U35" s="639"/>
      <c r="V35" s="639"/>
      <c r="W35" s="642"/>
      <c r="X35" s="639"/>
      <c r="Y35" s="639"/>
      <c r="Z35" s="638">
        <f t="shared" si="1"/>
        <v>0</v>
      </c>
      <c r="AA35" s="643">
        <f t="shared" si="2"/>
        <v>0</v>
      </c>
    </row>
    <row r="36" spans="1:27" s="618" customFormat="1">
      <c r="A36" s="624">
        <v>28</v>
      </c>
      <c r="B36" s="620"/>
      <c r="C36" s="620"/>
      <c r="D36" s="625"/>
      <c r="E36" s="623"/>
      <c r="F36" s="623"/>
      <c r="G36" s="641">
        <f t="shared" si="0"/>
        <v>0</v>
      </c>
      <c r="H36" s="639"/>
      <c r="I36" s="639"/>
      <c r="J36" s="639"/>
      <c r="K36" s="639"/>
      <c r="L36" s="639"/>
      <c r="M36" s="639"/>
      <c r="N36" s="639"/>
      <c r="O36" s="639"/>
      <c r="P36" s="639"/>
      <c r="Q36" s="639"/>
      <c r="R36" s="639"/>
      <c r="S36" s="639"/>
      <c r="T36" s="642"/>
      <c r="U36" s="639"/>
      <c r="V36" s="639"/>
      <c r="W36" s="642"/>
      <c r="X36" s="639"/>
      <c r="Y36" s="639"/>
      <c r="Z36" s="638">
        <f t="shared" si="1"/>
        <v>0</v>
      </c>
      <c r="AA36" s="643">
        <f t="shared" si="2"/>
        <v>0</v>
      </c>
    </row>
    <row r="37" spans="1:27" s="618" customFormat="1">
      <c r="A37" s="624">
        <v>29</v>
      </c>
      <c r="B37" s="620"/>
      <c r="C37" s="620"/>
      <c r="D37" s="625"/>
      <c r="E37" s="623"/>
      <c r="F37" s="623"/>
      <c r="G37" s="641">
        <f t="shared" si="0"/>
        <v>0</v>
      </c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42"/>
      <c r="U37" s="639"/>
      <c r="V37" s="639"/>
      <c r="W37" s="642"/>
      <c r="X37" s="639"/>
      <c r="Y37" s="639"/>
      <c r="Z37" s="638">
        <f t="shared" si="1"/>
        <v>0</v>
      </c>
      <c r="AA37" s="643">
        <f t="shared" si="2"/>
        <v>0</v>
      </c>
    </row>
    <row r="38" spans="1:27" s="618" customFormat="1">
      <c r="A38" s="624">
        <v>30</v>
      </c>
      <c r="B38" s="620"/>
      <c r="C38" s="620"/>
      <c r="D38" s="625"/>
      <c r="E38" s="623"/>
      <c r="F38" s="623"/>
      <c r="G38" s="641">
        <f t="shared" si="0"/>
        <v>0</v>
      </c>
      <c r="H38" s="639"/>
      <c r="I38" s="639"/>
      <c r="J38" s="639"/>
      <c r="K38" s="639"/>
      <c r="L38" s="639"/>
      <c r="M38" s="639"/>
      <c r="N38" s="639"/>
      <c r="O38" s="639"/>
      <c r="P38" s="639"/>
      <c r="Q38" s="639"/>
      <c r="R38" s="639"/>
      <c r="S38" s="639"/>
      <c r="T38" s="642"/>
      <c r="U38" s="639"/>
      <c r="V38" s="639"/>
      <c r="W38" s="642"/>
      <c r="X38" s="639"/>
      <c r="Y38" s="639"/>
      <c r="Z38" s="638">
        <f t="shared" si="1"/>
        <v>0</v>
      </c>
      <c r="AA38" s="643">
        <f t="shared" si="2"/>
        <v>0</v>
      </c>
    </row>
    <row r="39" spans="1:27" s="618" customFormat="1">
      <c r="A39" s="624">
        <v>31</v>
      </c>
      <c r="B39" s="620"/>
      <c r="C39" s="620"/>
      <c r="D39" s="620"/>
      <c r="E39" s="623"/>
      <c r="F39" s="623"/>
      <c r="G39" s="641">
        <f t="shared" si="0"/>
        <v>0</v>
      </c>
      <c r="H39" s="639"/>
      <c r="I39" s="639"/>
      <c r="J39" s="639"/>
      <c r="K39" s="639"/>
      <c r="L39" s="639"/>
      <c r="M39" s="639"/>
      <c r="N39" s="639"/>
      <c r="O39" s="639"/>
      <c r="P39" s="639"/>
      <c r="Q39" s="639"/>
      <c r="R39" s="639"/>
      <c r="S39" s="639"/>
      <c r="T39" s="642"/>
      <c r="U39" s="639"/>
      <c r="V39" s="639"/>
      <c r="W39" s="642"/>
      <c r="X39" s="639"/>
      <c r="Y39" s="639"/>
      <c r="Z39" s="638">
        <f t="shared" si="1"/>
        <v>0</v>
      </c>
      <c r="AA39" s="643">
        <f t="shared" si="2"/>
        <v>0</v>
      </c>
    </row>
    <row r="40" spans="1:27" s="618" customFormat="1">
      <c r="A40" s="624">
        <v>32</v>
      </c>
      <c r="B40" s="620"/>
      <c r="C40" s="620"/>
      <c r="D40" s="620"/>
      <c r="E40" s="623"/>
      <c r="F40" s="623"/>
      <c r="G40" s="641">
        <f t="shared" si="0"/>
        <v>0</v>
      </c>
      <c r="H40" s="639"/>
      <c r="I40" s="639"/>
      <c r="J40" s="639"/>
      <c r="K40" s="639"/>
      <c r="L40" s="639"/>
      <c r="M40" s="639"/>
      <c r="N40" s="640"/>
      <c r="O40" s="640"/>
      <c r="P40" s="640"/>
      <c r="Q40" s="640"/>
      <c r="R40" s="639"/>
      <c r="S40" s="639"/>
      <c r="T40" s="642"/>
      <c r="U40" s="639"/>
      <c r="V40" s="639"/>
      <c r="W40" s="642"/>
      <c r="X40" s="639"/>
      <c r="Y40" s="639"/>
      <c r="Z40" s="638">
        <f t="shared" si="1"/>
        <v>0</v>
      </c>
      <c r="AA40" s="643">
        <f t="shared" si="2"/>
        <v>0</v>
      </c>
    </row>
    <row r="41" spans="1:27" s="618" customFormat="1">
      <c r="A41" s="624">
        <v>33</v>
      </c>
      <c r="B41" s="620"/>
      <c r="C41" s="620"/>
      <c r="D41" s="620"/>
      <c r="E41" s="623"/>
      <c r="F41" s="623"/>
      <c r="G41" s="641">
        <f t="shared" ref="G41:G63" si="3">+H41+I41+J41+K41+M41+O41+Q41+S41</f>
        <v>0</v>
      </c>
      <c r="H41" s="639"/>
      <c r="I41" s="639"/>
      <c r="J41" s="639"/>
      <c r="K41" s="639"/>
      <c r="L41" s="639"/>
      <c r="M41" s="639"/>
      <c r="N41" s="640"/>
      <c r="O41" s="640"/>
      <c r="P41" s="640"/>
      <c r="Q41" s="640"/>
      <c r="R41" s="639"/>
      <c r="S41" s="639"/>
      <c r="T41" s="642"/>
      <c r="U41" s="639"/>
      <c r="V41" s="639"/>
      <c r="W41" s="642"/>
      <c r="X41" s="639"/>
      <c r="Y41" s="639"/>
      <c r="Z41" s="638">
        <f t="shared" ref="Z41:Z63" si="4">+G41-V41-X41</f>
        <v>0</v>
      </c>
      <c r="AA41" s="643">
        <f t="shared" si="2"/>
        <v>0</v>
      </c>
    </row>
    <row r="42" spans="1:27" s="618" customFormat="1">
      <c r="A42" s="624">
        <v>34</v>
      </c>
      <c r="B42" s="620"/>
      <c r="C42" s="620"/>
      <c r="D42" s="620"/>
      <c r="E42" s="623"/>
      <c r="F42" s="623"/>
      <c r="G42" s="641">
        <f t="shared" si="3"/>
        <v>0</v>
      </c>
      <c r="H42" s="639"/>
      <c r="I42" s="639"/>
      <c r="J42" s="639"/>
      <c r="K42" s="639"/>
      <c r="L42" s="639"/>
      <c r="M42" s="639"/>
      <c r="N42" s="640"/>
      <c r="O42" s="640"/>
      <c r="P42" s="640"/>
      <c r="Q42" s="640"/>
      <c r="R42" s="639"/>
      <c r="S42" s="639"/>
      <c r="T42" s="642"/>
      <c r="U42" s="639"/>
      <c r="V42" s="639"/>
      <c r="W42" s="642"/>
      <c r="X42" s="639"/>
      <c r="Y42" s="639"/>
      <c r="Z42" s="638">
        <f t="shared" si="4"/>
        <v>0</v>
      </c>
      <c r="AA42" s="643">
        <f t="shared" si="2"/>
        <v>0</v>
      </c>
    </row>
    <row r="43" spans="1:27" s="618" customFormat="1">
      <c r="A43" s="624">
        <v>35</v>
      </c>
      <c r="B43" s="620"/>
      <c r="C43" s="620"/>
      <c r="D43" s="620"/>
      <c r="E43" s="623"/>
      <c r="F43" s="623"/>
      <c r="G43" s="641">
        <f t="shared" si="3"/>
        <v>0</v>
      </c>
      <c r="H43" s="639"/>
      <c r="I43" s="639"/>
      <c r="J43" s="639"/>
      <c r="K43" s="639"/>
      <c r="L43" s="639"/>
      <c r="M43" s="639"/>
      <c r="N43" s="640"/>
      <c r="O43" s="640"/>
      <c r="P43" s="640"/>
      <c r="Q43" s="640"/>
      <c r="R43" s="639"/>
      <c r="S43" s="639"/>
      <c r="T43" s="642"/>
      <c r="U43" s="639"/>
      <c r="V43" s="639"/>
      <c r="W43" s="642"/>
      <c r="X43" s="639"/>
      <c r="Y43" s="639"/>
      <c r="Z43" s="638">
        <f t="shared" si="4"/>
        <v>0</v>
      </c>
      <c r="AA43" s="643">
        <f t="shared" si="2"/>
        <v>0</v>
      </c>
    </row>
    <row r="44" spans="1:27" s="618" customFormat="1">
      <c r="A44" s="624">
        <v>36</v>
      </c>
      <c r="B44" s="620"/>
      <c r="C44" s="620"/>
      <c r="D44" s="620"/>
      <c r="E44" s="623"/>
      <c r="F44" s="623"/>
      <c r="G44" s="641">
        <f t="shared" si="3"/>
        <v>0</v>
      </c>
      <c r="H44" s="639"/>
      <c r="I44" s="639"/>
      <c r="J44" s="639"/>
      <c r="K44" s="639"/>
      <c r="L44" s="639"/>
      <c r="M44" s="639"/>
      <c r="N44" s="640"/>
      <c r="O44" s="640"/>
      <c r="P44" s="640"/>
      <c r="Q44" s="640"/>
      <c r="R44" s="639"/>
      <c r="S44" s="639"/>
      <c r="T44" s="642"/>
      <c r="U44" s="639"/>
      <c r="V44" s="639"/>
      <c r="W44" s="642"/>
      <c r="X44" s="639"/>
      <c r="Y44" s="639"/>
      <c r="Z44" s="638">
        <f t="shared" si="4"/>
        <v>0</v>
      </c>
      <c r="AA44" s="643">
        <f t="shared" si="2"/>
        <v>0</v>
      </c>
    </row>
    <row r="45" spans="1:27" s="618" customFormat="1">
      <c r="A45" s="624">
        <v>37</v>
      </c>
      <c r="B45" s="620"/>
      <c r="C45" s="620"/>
      <c r="D45" s="620"/>
      <c r="E45" s="623"/>
      <c r="F45" s="623"/>
      <c r="G45" s="641">
        <f t="shared" si="3"/>
        <v>0</v>
      </c>
      <c r="H45" s="639"/>
      <c r="I45" s="639"/>
      <c r="J45" s="639"/>
      <c r="K45" s="639"/>
      <c r="L45" s="639"/>
      <c r="M45" s="639"/>
      <c r="N45" s="640"/>
      <c r="O45" s="640"/>
      <c r="P45" s="640"/>
      <c r="Q45" s="640"/>
      <c r="R45" s="639"/>
      <c r="S45" s="639"/>
      <c r="T45" s="642"/>
      <c r="U45" s="639"/>
      <c r="V45" s="639"/>
      <c r="W45" s="642"/>
      <c r="X45" s="639"/>
      <c r="Y45" s="639"/>
      <c r="Z45" s="638">
        <f t="shared" si="4"/>
        <v>0</v>
      </c>
      <c r="AA45" s="643">
        <f t="shared" si="2"/>
        <v>0</v>
      </c>
    </row>
    <row r="46" spans="1:27" s="618" customFormat="1">
      <c r="A46" s="624">
        <v>38</v>
      </c>
      <c r="B46" s="620"/>
      <c r="C46" s="620"/>
      <c r="D46" s="620"/>
      <c r="E46" s="623"/>
      <c r="F46" s="623"/>
      <c r="G46" s="641">
        <f t="shared" si="3"/>
        <v>0</v>
      </c>
      <c r="H46" s="639"/>
      <c r="I46" s="639"/>
      <c r="J46" s="639"/>
      <c r="K46" s="639"/>
      <c r="L46" s="639"/>
      <c r="M46" s="639"/>
      <c r="N46" s="640"/>
      <c r="O46" s="640"/>
      <c r="P46" s="640"/>
      <c r="Q46" s="640"/>
      <c r="R46" s="639"/>
      <c r="S46" s="639"/>
      <c r="T46" s="642"/>
      <c r="U46" s="639"/>
      <c r="V46" s="639"/>
      <c r="W46" s="642"/>
      <c r="X46" s="639"/>
      <c r="Y46" s="639"/>
      <c r="Z46" s="638">
        <f t="shared" si="4"/>
        <v>0</v>
      </c>
      <c r="AA46" s="643">
        <f t="shared" si="2"/>
        <v>0</v>
      </c>
    </row>
    <row r="47" spans="1:27" s="618" customFormat="1">
      <c r="A47" s="624">
        <v>39</v>
      </c>
      <c r="B47" s="620"/>
      <c r="C47" s="620"/>
      <c r="D47" s="620"/>
      <c r="E47" s="623"/>
      <c r="F47" s="623"/>
      <c r="G47" s="641">
        <f t="shared" si="3"/>
        <v>0</v>
      </c>
      <c r="H47" s="639"/>
      <c r="I47" s="639"/>
      <c r="J47" s="639"/>
      <c r="K47" s="639"/>
      <c r="L47" s="639"/>
      <c r="M47" s="639"/>
      <c r="N47" s="640"/>
      <c r="O47" s="640"/>
      <c r="P47" s="640"/>
      <c r="Q47" s="640"/>
      <c r="R47" s="639"/>
      <c r="S47" s="639"/>
      <c r="T47" s="642"/>
      <c r="U47" s="639"/>
      <c r="V47" s="639"/>
      <c r="W47" s="642"/>
      <c r="X47" s="639"/>
      <c r="Y47" s="639"/>
      <c r="Z47" s="638">
        <f t="shared" si="4"/>
        <v>0</v>
      </c>
      <c r="AA47" s="643">
        <f t="shared" si="2"/>
        <v>0</v>
      </c>
    </row>
    <row r="48" spans="1:27" s="618" customFormat="1">
      <c r="A48" s="624">
        <v>40</v>
      </c>
      <c r="B48" s="620"/>
      <c r="C48" s="620"/>
      <c r="D48" s="620"/>
      <c r="E48" s="623"/>
      <c r="F48" s="623"/>
      <c r="G48" s="641">
        <f t="shared" si="3"/>
        <v>0</v>
      </c>
      <c r="H48" s="639"/>
      <c r="I48" s="639"/>
      <c r="J48" s="639"/>
      <c r="K48" s="639"/>
      <c r="L48" s="639"/>
      <c r="M48" s="639"/>
      <c r="N48" s="640"/>
      <c r="O48" s="640"/>
      <c r="P48" s="60"/>
      <c r="Q48" s="625"/>
      <c r="R48" s="639"/>
      <c r="S48" s="639"/>
      <c r="T48" s="642"/>
      <c r="U48" s="639"/>
      <c r="V48" s="639"/>
      <c r="W48" s="642"/>
      <c r="X48" s="639"/>
      <c r="Y48" s="639"/>
      <c r="Z48" s="638">
        <f t="shared" si="4"/>
        <v>0</v>
      </c>
      <c r="AA48" s="643">
        <f t="shared" si="2"/>
        <v>0</v>
      </c>
    </row>
    <row r="49" spans="1:27" s="618" customFormat="1">
      <c r="A49" s="624">
        <v>41</v>
      </c>
      <c r="B49" s="620"/>
      <c r="C49" s="620"/>
      <c r="D49" s="620"/>
      <c r="E49" s="623"/>
      <c r="F49" s="623"/>
      <c r="G49" s="641">
        <f t="shared" si="3"/>
        <v>0</v>
      </c>
      <c r="H49" s="639"/>
      <c r="I49" s="639"/>
      <c r="J49" s="639"/>
      <c r="K49" s="639"/>
      <c r="L49" s="639"/>
      <c r="M49" s="639"/>
      <c r="N49" s="640"/>
      <c r="O49" s="640"/>
      <c r="P49" s="640"/>
      <c r="Q49" s="640"/>
      <c r="R49" s="639"/>
      <c r="S49" s="639"/>
      <c r="T49" s="642"/>
      <c r="U49" s="639"/>
      <c r="V49" s="639"/>
      <c r="W49" s="642"/>
      <c r="X49" s="639"/>
      <c r="Y49" s="639"/>
      <c r="Z49" s="638">
        <f t="shared" si="4"/>
        <v>0</v>
      </c>
      <c r="AA49" s="643">
        <f t="shared" si="2"/>
        <v>0</v>
      </c>
    </row>
    <row r="50" spans="1:27" s="618" customFormat="1">
      <c r="A50" s="624">
        <v>42</v>
      </c>
      <c r="B50" s="620"/>
      <c r="C50" s="620"/>
      <c r="D50" s="620"/>
      <c r="E50" s="623"/>
      <c r="F50" s="623"/>
      <c r="G50" s="641">
        <f t="shared" si="3"/>
        <v>0</v>
      </c>
      <c r="H50" s="639"/>
      <c r="I50" s="639"/>
      <c r="J50" s="639"/>
      <c r="K50" s="639"/>
      <c r="L50" s="639"/>
      <c r="M50" s="639"/>
      <c r="N50" s="640"/>
      <c r="O50" s="640"/>
      <c r="P50" s="640"/>
      <c r="Q50" s="640"/>
      <c r="R50" s="639"/>
      <c r="S50" s="639"/>
      <c r="T50" s="642"/>
      <c r="U50" s="639"/>
      <c r="V50" s="639"/>
      <c r="W50" s="642"/>
      <c r="X50" s="639"/>
      <c r="Y50" s="639"/>
      <c r="Z50" s="638">
        <f t="shared" si="4"/>
        <v>0</v>
      </c>
      <c r="AA50" s="643">
        <f t="shared" si="2"/>
        <v>0</v>
      </c>
    </row>
    <row r="51" spans="1:27" s="618" customFormat="1">
      <c r="A51" s="624">
        <v>43</v>
      </c>
      <c r="B51" s="620"/>
      <c r="C51" s="620"/>
      <c r="D51" s="620"/>
      <c r="E51" s="623"/>
      <c r="F51" s="623"/>
      <c r="G51" s="641">
        <f t="shared" si="3"/>
        <v>0</v>
      </c>
      <c r="H51" s="639"/>
      <c r="I51" s="639"/>
      <c r="J51" s="639"/>
      <c r="K51" s="639"/>
      <c r="L51" s="639"/>
      <c r="M51" s="639"/>
      <c r="N51" s="640"/>
      <c r="O51" s="640"/>
      <c r="P51" s="640"/>
      <c r="Q51" s="640"/>
      <c r="R51" s="639"/>
      <c r="S51" s="639"/>
      <c r="T51" s="639"/>
      <c r="U51" s="639"/>
      <c r="V51" s="639"/>
      <c r="W51" s="639"/>
      <c r="X51" s="639"/>
      <c r="Y51" s="639"/>
      <c r="Z51" s="638">
        <f t="shared" si="4"/>
        <v>0</v>
      </c>
      <c r="AA51" s="643">
        <f t="shared" si="2"/>
        <v>0</v>
      </c>
    </row>
    <row r="52" spans="1:27" s="618" customFormat="1">
      <c r="A52" s="624">
        <v>44</v>
      </c>
      <c r="B52" s="620"/>
      <c r="C52" s="620"/>
      <c r="D52" s="620"/>
      <c r="E52" s="623"/>
      <c r="F52" s="623"/>
      <c r="G52" s="641">
        <f t="shared" si="3"/>
        <v>0</v>
      </c>
      <c r="H52" s="639"/>
      <c r="I52" s="639"/>
      <c r="J52" s="639"/>
      <c r="K52" s="639"/>
      <c r="L52" s="639"/>
      <c r="M52" s="639"/>
      <c r="N52" s="640"/>
      <c r="O52" s="640"/>
      <c r="P52" s="639"/>
      <c r="Q52" s="640"/>
      <c r="R52" s="639"/>
      <c r="S52" s="639"/>
      <c r="T52" s="639"/>
      <c r="U52" s="639"/>
      <c r="V52" s="639"/>
      <c r="W52" s="639"/>
      <c r="X52" s="639"/>
      <c r="Y52" s="639"/>
      <c r="Z52" s="638">
        <f t="shared" si="4"/>
        <v>0</v>
      </c>
      <c r="AA52" s="643">
        <f t="shared" si="2"/>
        <v>0</v>
      </c>
    </row>
    <row r="53" spans="1:27" s="618" customFormat="1">
      <c r="A53" s="624">
        <v>45</v>
      </c>
      <c r="B53" s="620"/>
      <c r="C53" s="620"/>
      <c r="D53" s="620"/>
      <c r="E53" s="623"/>
      <c r="F53" s="623"/>
      <c r="G53" s="641">
        <f t="shared" si="3"/>
        <v>0</v>
      </c>
      <c r="H53" s="639"/>
      <c r="I53" s="639"/>
      <c r="J53" s="639"/>
      <c r="K53" s="639"/>
      <c r="L53" s="639"/>
      <c r="M53" s="639"/>
      <c r="N53" s="640"/>
      <c r="O53" s="640"/>
      <c r="P53" s="639"/>
      <c r="Q53" s="640"/>
      <c r="R53" s="639"/>
      <c r="S53" s="639"/>
      <c r="T53" s="639"/>
      <c r="U53" s="639"/>
      <c r="V53" s="639"/>
      <c r="W53" s="639"/>
      <c r="X53" s="639"/>
      <c r="Y53" s="639"/>
      <c r="Z53" s="638">
        <f t="shared" si="4"/>
        <v>0</v>
      </c>
      <c r="AA53" s="643">
        <f t="shared" si="2"/>
        <v>0</v>
      </c>
    </row>
    <row r="54" spans="1:27" s="618" customFormat="1">
      <c r="A54" s="624">
        <v>46</v>
      </c>
      <c r="B54" s="620"/>
      <c r="C54" s="620"/>
      <c r="D54" s="620"/>
      <c r="E54" s="623"/>
      <c r="F54" s="623"/>
      <c r="G54" s="641">
        <f t="shared" si="3"/>
        <v>0</v>
      </c>
      <c r="H54" s="639"/>
      <c r="I54" s="639"/>
      <c r="J54" s="639"/>
      <c r="K54" s="639"/>
      <c r="L54" s="639"/>
      <c r="M54" s="639"/>
      <c r="N54" s="640"/>
      <c r="O54" s="640"/>
      <c r="P54" s="639"/>
      <c r="Q54" s="640"/>
      <c r="R54" s="639"/>
      <c r="S54" s="639"/>
      <c r="T54" s="639"/>
      <c r="U54" s="639"/>
      <c r="V54" s="639"/>
      <c r="W54" s="639"/>
      <c r="X54" s="639"/>
      <c r="Y54" s="639"/>
      <c r="Z54" s="638">
        <f t="shared" si="4"/>
        <v>0</v>
      </c>
      <c r="AA54" s="643">
        <f t="shared" si="2"/>
        <v>0</v>
      </c>
    </row>
    <row r="55" spans="1:27" s="618" customFormat="1">
      <c r="A55" s="624">
        <v>47</v>
      </c>
      <c r="B55" s="620"/>
      <c r="C55" s="620"/>
      <c r="D55" s="620"/>
      <c r="E55" s="623"/>
      <c r="F55" s="623"/>
      <c r="G55" s="641">
        <f t="shared" si="3"/>
        <v>0</v>
      </c>
      <c r="H55" s="639"/>
      <c r="I55" s="639"/>
      <c r="J55" s="639"/>
      <c r="K55" s="639"/>
      <c r="L55" s="639"/>
      <c r="M55" s="639"/>
      <c r="N55" s="640"/>
      <c r="O55" s="640"/>
      <c r="P55" s="60"/>
      <c r="Q55" s="640"/>
      <c r="R55" s="639"/>
      <c r="S55" s="639"/>
      <c r="T55" s="639"/>
      <c r="U55" s="639"/>
      <c r="V55" s="639"/>
      <c r="W55" s="639"/>
      <c r="X55" s="639"/>
      <c r="Y55" s="639"/>
      <c r="Z55" s="638">
        <f t="shared" si="4"/>
        <v>0</v>
      </c>
      <c r="AA55" s="643">
        <f t="shared" si="2"/>
        <v>0</v>
      </c>
    </row>
    <row r="56" spans="1:27" s="618" customFormat="1">
      <c r="A56" s="624">
        <v>48</v>
      </c>
      <c r="B56" s="620"/>
      <c r="C56" s="620"/>
      <c r="D56" s="620"/>
      <c r="E56" s="623"/>
      <c r="F56" s="623"/>
      <c r="G56" s="641">
        <f t="shared" si="3"/>
        <v>0</v>
      </c>
      <c r="H56" s="639"/>
      <c r="I56" s="639"/>
      <c r="J56" s="639"/>
      <c r="K56" s="639"/>
      <c r="L56" s="639"/>
      <c r="M56" s="639"/>
      <c r="N56" s="640"/>
      <c r="O56" s="640"/>
      <c r="P56" s="640"/>
      <c r="Q56" s="640"/>
      <c r="R56" s="639"/>
      <c r="S56" s="639"/>
      <c r="T56" s="639"/>
      <c r="U56" s="639"/>
      <c r="V56" s="639"/>
      <c r="W56" s="639"/>
      <c r="X56" s="639"/>
      <c r="Y56" s="639"/>
      <c r="Z56" s="638">
        <f t="shared" si="4"/>
        <v>0</v>
      </c>
      <c r="AA56" s="643">
        <f t="shared" si="2"/>
        <v>0</v>
      </c>
    </row>
    <row r="57" spans="1:27" s="618" customFormat="1">
      <c r="A57" s="624">
        <v>49</v>
      </c>
      <c r="B57" s="620"/>
      <c r="C57" s="620"/>
      <c r="D57" s="620"/>
      <c r="E57" s="623"/>
      <c r="F57" s="623"/>
      <c r="G57" s="641">
        <f t="shared" si="3"/>
        <v>0</v>
      </c>
      <c r="H57" s="639"/>
      <c r="I57" s="639"/>
      <c r="J57" s="639"/>
      <c r="K57" s="639"/>
      <c r="L57" s="639"/>
      <c r="M57" s="639"/>
      <c r="N57" s="640"/>
      <c r="O57" s="640"/>
      <c r="P57" s="640"/>
      <c r="Q57" s="640"/>
      <c r="R57" s="639"/>
      <c r="S57" s="639"/>
      <c r="T57" s="639"/>
      <c r="U57" s="639"/>
      <c r="V57" s="639"/>
      <c r="W57" s="639"/>
      <c r="X57" s="639"/>
      <c r="Y57" s="639"/>
      <c r="Z57" s="638">
        <f t="shared" si="4"/>
        <v>0</v>
      </c>
      <c r="AA57" s="643">
        <f t="shared" si="2"/>
        <v>0</v>
      </c>
    </row>
    <row r="58" spans="1:27" s="618" customFormat="1">
      <c r="A58" s="624">
        <v>50</v>
      </c>
      <c r="B58" s="620"/>
      <c r="C58" s="620"/>
      <c r="D58" s="620"/>
      <c r="E58" s="623"/>
      <c r="F58" s="623"/>
      <c r="G58" s="641">
        <f t="shared" si="3"/>
        <v>0</v>
      </c>
      <c r="H58" s="639"/>
      <c r="I58" s="639"/>
      <c r="J58" s="639"/>
      <c r="K58" s="639"/>
      <c r="L58" s="639"/>
      <c r="M58" s="639"/>
      <c r="N58" s="640"/>
      <c r="O58" s="640"/>
      <c r="P58" s="640"/>
      <c r="Q58" s="640"/>
      <c r="R58" s="639"/>
      <c r="S58" s="639"/>
      <c r="T58" s="639"/>
      <c r="U58" s="639"/>
      <c r="V58" s="639"/>
      <c r="W58" s="639"/>
      <c r="X58" s="639"/>
      <c r="Y58" s="639"/>
      <c r="Z58" s="638">
        <f t="shared" si="4"/>
        <v>0</v>
      </c>
      <c r="AA58" s="643">
        <f t="shared" si="2"/>
        <v>0</v>
      </c>
    </row>
    <row r="59" spans="1:27" s="618" customFormat="1">
      <c r="A59" s="624">
        <v>51</v>
      </c>
      <c r="B59" s="620"/>
      <c r="C59" s="620"/>
      <c r="D59" s="620"/>
      <c r="E59" s="623"/>
      <c r="F59" s="623"/>
      <c r="G59" s="641">
        <f t="shared" si="3"/>
        <v>0</v>
      </c>
      <c r="H59" s="639"/>
      <c r="I59" s="639"/>
      <c r="J59" s="639"/>
      <c r="K59" s="639"/>
      <c r="L59" s="639"/>
      <c r="M59" s="639"/>
      <c r="N59" s="640"/>
      <c r="O59" s="640"/>
      <c r="P59" s="640"/>
      <c r="Q59" s="640"/>
      <c r="R59" s="639"/>
      <c r="S59" s="639"/>
      <c r="T59" s="639"/>
      <c r="U59" s="639"/>
      <c r="V59" s="639"/>
      <c r="W59" s="639"/>
      <c r="X59" s="639"/>
      <c r="Y59" s="639"/>
      <c r="Z59" s="638">
        <f t="shared" si="4"/>
        <v>0</v>
      </c>
      <c r="AA59" s="643">
        <f t="shared" si="2"/>
        <v>0</v>
      </c>
    </row>
    <row r="60" spans="1:27" s="618" customFormat="1">
      <c r="A60" s="624">
        <v>52</v>
      </c>
      <c r="B60" s="620"/>
      <c r="C60" s="620"/>
      <c r="D60" s="620"/>
      <c r="E60" s="623"/>
      <c r="F60" s="623"/>
      <c r="G60" s="641">
        <f t="shared" si="3"/>
        <v>0</v>
      </c>
      <c r="H60" s="639"/>
      <c r="I60" s="639"/>
      <c r="J60" s="639"/>
      <c r="K60" s="639"/>
      <c r="L60" s="639"/>
      <c r="M60" s="639"/>
      <c r="N60" s="640"/>
      <c r="O60" s="640"/>
      <c r="P60" s="640"/>
      <c r="Q60" s="640"/>
      <c r="R60" s="639"/>
      <c r="S60" s="639"/>
      <c r="T60" s="639"/>
      <c r="U60" s="639"/>
      <c r="V60" s="639"/>
      <c r="W60" s="639"/>
      <c r="X60" s="639"/>
      <c r="Y60" s="639"/>
      <c r="Z60" s="638">
        <f t="shared" si="4"/>
        <v>0</v>
      </c>
      <c r="AA60" s="643">
        <f t="shared" si="2"/>
        <v>0</v>
      </c>
    </row>
    <row r="61" spans="1:27" s="618" customFormat="1">
      <c r="A61" s="624">
        <v>53</v>
      </c>
      <c r="B61" s="620"/>
      <c r="C61" s="620"/>
      <c r="D61" s="620"/>
      <c r="E61" s="623"/>
      <c r="F61" s="623"/>
      <c r="G61" s="641">
        <f t="shared" si="3"/>
        <v>0</v>
      </c>
      <c r="H61" s="639"/>
      <c r="I61" s="639"/>
      <c r="J61" s="639"/>
      <c r="K61" s="639"/>
      <c r="L61" s="639"/>
      <c r="M61" s="639"/>
      <c r="N61" s="640"/>
      <c r="O61" s="640"/>
      <c r="P61" s="640"/>
      <c r="Q61" s="640"/>
      <c r="R61" s="639"/>
      <c r="S61" s="639"/>
      <c r="T61" s="639"/>
      <c r="U61" s="639"/>
      <c r="V61" s="639"/>
      <c r="W61" s="639"/>
      <c r="X61" s="639"/>
      <c r="Y61" s="639"/>
      <c r="Z61" s="638">
        <f t="shared" si="4"/>
        <v>0</v>
      </c>
      <c r="AA61" s="643">
        <f t="shared" si="2"/>
        <v>0</v>
      </c>
    </row>
    <row r="62" spans="1:27" s="618" customFormat="1">
      <c r="A62" s="624">
        <v>54</v>
      </c>
      <c r="B62" s="620"/>
      <c r="C62" s="620"/>
      <c r="D62" s="620"/>
      <c r="E62" s="623"/>
      <c r="F62" s="623"/>
      <c r="G62" s="641">
        <f t="shared" si="3"/>
        <v>0</v>
      </c>
      <c r="H62" s="639"/>
      <c r="I62" s="639"/>
      <c r="J62" s="639"/>
      <c r="K62" s="639"/>
      <c r="L62" s="639"/>
      <c r="M62" s="639"/>
      <c r="N62" s="640"/>
      <c r="O62" s="640"/>
      <c r="P62" s="640"/>
      <c r="Q62" s="640"/>
      <c r="R62" s="639"/>
      <c r="S62" s="639"/>
      <c r="T62" s="639"/>
      <c r="U62" s="639"/>
      <c r="V62" s="639"/>
      <c r="W62" s="639"/>
      <c r="X62" s="639"/>
      <c r="Y62" s="639"/>
      <c r="Z62" s="638">
        <f t="shared" si="4"/>
        <v>0</v>
      </c>
      <c r="AA62" s="643">
        <f t="shared" si="2"/>
        <v>0</v>
      </c>
    </row>
    <row r="63" spans="1:27" s="618" customFormat="1">
      <c r="A63" s="624">
        <v>55</v>
      </c>
      <c r="B63" s="620"/>
      <c r="C63" s="620"/>
      <c r="D63" s="620"/>
      <c r="E63" s="623"/>
      <c r="F63" s="623"/>
      <c r="G63" s="641">
        <f t="shared" si="3"/>
        <v>0</v>
      </c>
      <c r="H63" s="639"/>
      <c r="I63" s="639"/>
      <c r="J63" s="639"/>
      <c r="K63" s="639"/>
      <c r="L63" s="639"/>
      <c r="M63" s="639"/>
      <c r="N63" s="640"/>
      <c r="O63" s="640"/>
      <c r="P63" s="640"/>
      <c r="Q63" s="640"/>
      <c r="R63" s="639"/>
      <c r="S63" s="639"/>
      <c r="T63" s="639"/>
      <c r="U63" s="639"/>
      <c r="V63" s="639"/>
      <c r="W63" s="639"/>
      <c r="X63" s="639"/>
      <c r="Y63" s="639"/>
      <c r="Z63" s="638">
        <f t="shared" si="4"/>
        <v>0</v>
      </c>
      <c r="AA63" s="643">
        <f t="shared" si="2"/>
        <v>0</v>
      </c>
    </row>
    <row r="64" spans="1:27" s="618" customFormat="1">
      <c r="A64" s="624"/>
      <c r="B64" s="637" t="s">
        <v>899</v>
      </c>
      <c r="C64" s="637"/>
      <c r="D64" s="637"/>
      <c r="E64" s="613"/>
      <c r="F64" s="613"/>
      <c r="G64" s="612">
        <f>SUM(G9:G63)</f>
        <v>2102539577.40521</v>
      </c>
      <c r="H64" s="612">
        <f t="shared" ref="H64:V64" si="5">SUM(H9:H63)</f>
        <v>463428653.40520996</v>
      </c>
      <c r="I64" s="612">
        <f t="shared" si="5"/>
        <v>1530734324</v>
      </c>
      <c r="J64" s="612">
        <f t="shared" si="5"/>
        <v>0</v>
      </c>
      <c r="K64" s="612">
        <f t="shared" si="5"/>
        <v>0</v>
      </c>
      <c r="L64" s="612">
        <f t="shared" si="5"/>
        <v>0</v>
      </c>
      <c r="M64" s="612">
        <f t="shared" si="5"/>
        <v>0</v>
      </c>
      <c r="N64" s="612">
        <f t="shared" si="5"/>
        <v>108376600</v>
      </c>
      <c r="O64" s="612">
        <f t="shared" si="5"/>
        <v>108376600</v>
      </c>
      <c r="P64" s="612">
        <f t="shared" si="5"/>
        <v>0</v>
      </c>
      <c r="Q64" s="612">
        <f t="shared" si="5"/>
        <v>0</v>
      </c>
      <c r="R64" s="612">
        <f t="shared" si="5"/>
        <v>0</v>
      </c>
      <c r="S64" s="612">
        <f t="shared" si="5"/>
        <v>0</v>
      </c>
      <c r="T64" s="612">
        <f t="shared" si="5"/>
        <v>0</v>
      </c>
      <c r="U64" s="616"/>
      <c r="V64" s="612">
        <f t="shared" si="5"/>
        <v>429776700</v>
      </c>
      <c r="W64" s="616"/>
      <c r="X64" s="612">
        <f t="shared" ref="X64:Z64" si="6">SUM(X9:X63)</f>
        <v>0</v>
      </c>
      <c r="Y64" s="612">
        <f t="shared" si="6"/>
        <v>0</v>
      </c>
      <c r="Z64" s="612">
        <f t="shared" si="6"/>
        <v>1672762877.40521</v>
      </c>
      <c r="AA64" s="643"/>
    </row>
    <row r="65" spans="1:32" s="618" customFormat="1">
      <c r="A65" s="624"/>
      <c r="B65" s="614" t="s">
        <v>898</v>
      </c>
      <c r="C65" s="637"/>
      <c r="D65" s="637"/>
      <c r="E65" s="613"/>
      <c r="F65" s="613"/>
      <c r="G65" s="612">
        <f>+SUMIF($F$9:$F$63,$AA$65,$G$9:$G$63)</f>
        <v>332900848</v>
      </c>
      <c r="H65" s="612">
        <f>+SUMIF($F$9:$F$63,$AA$65,$H$9:$H$63)</f>
        <v>0</v>
      </c>
      <c r="I65" s="612">
        <f>+SUMIF($F$9:$F$63,$AA$65,$I$9:$I$63)</f>
        <v>332900848</v>
      </c>
      <c r="J65" s="612">
        <f>+SUMIF($F$9:$F$63,$AA$65,$J$9:$J$63)</f>
        <v>0</v>
      </c>
      <c r="K65" s="612">
        <f>+SUMIF($F$9:$F$63,$AA$65,$K$9:$K$63)</f>
        <v>0</v>
      </c>
      <c r="L65" s="612">
        <f>+SUMIF($F$9:$F$63,$AA$65,$L$9:$L$63)</f>
        <v>0</v>
      </c>
      <c r="M65" s="612">
        <f>+SUMIF($F$9:$F$63,$AA$65,$M$9:$M$63)</f>
        <v>0</v>
      </c>
      <c r="N65" s="612">
        <f>+SUMIF($F$9:$F$63,$AA$65,$N$9:$N$63)</f>
        <v>0</v>
      </c>
      <c r="O65" s="612">
        <f>+SUMIF($F$9:$F$63,$AA$65,$O$9:$O$63)</f>
        <v>0</v>
      </c>
      <c r="P65" s="612">
        <f>+SUMIF($F$9:$F$63,$AA$65,$P$9:$P$63)</f>
        <v>0</v>
      </c>
      <c r="Q65" s="612">
        <f>+SUMIF($F$9:$F$63,$AA$65,$Q$9:$Q$63)</f>
        <v>0</v>
      </c>
      <c r="R65" s="612">
        <f>+SUMIF($F$9:$F$63,$AA$65,$R$9:$R$63)</f>
        <v>0</v>
      </c>
      <c r="S65" s="612">
        <f>+SUMIF($F$9:$F$63,$AA$65,$S$9:$S$63)</f>
        <v>0</v>
      </c>
      <c r="T65" s="612">
        <f>+SUMIF($F$9:$F$63,$AA$65,$T$9:$T$63)</f>
        <v>0</v>
      </c>
      <c r="U65" s="616"/>
      <c r="V65" s="612">
        <f>+SUMIF($F$9:$F$63,$AA$65,$V$9:$V$63)</f>
        <v>0</v>
      </c>
      <c r="W65" s="616"/>
      <c r="X65" s="612">
        <f>+SUMIF($F$9:$F$63,$AA$65,$X$9:$X$63)</f>
        <v>0</v>
      </c>
      <c r="Y65" s="612">
        <f>+SUMIF($F$9:$F$63,$AA$65,$Y$9:$Y$63)</f>
        <v>0</v>
      </c>
      <c r="Z65" s="612">
        <f>+MAX(AA9:AA63)</f>
        <v>332900848</v>
      </c>
      <c r="AA65" s="643">
        <f>INDEX($F$9:$F$63,MATCH($Z65,$AA$9:$AA$63,0))</f>
        <v>2</v>
      </c>
    </row>
    <row r="66" spans="1:32" s="572" customFormat="1">
      <c r="AA66" s="646"/>
    </row>
    <row r="67" spans="1:32" s="572" customFormat="1">
      <c r="AA67" s="646"/>
    </row>
    <row r="68" spans="1:32" s="572" customFormat="1">
      <c r="B68" s="572" t="s">
        <v>0</v>
      </c>
      <c r="V68" s="610"/>
      <c r="AA68" s="646"/>
    </row>
    <row r="69" spans="1:32" s="572" customFormat="1">
      <c r="V69" s="610"/>
      <c r="AA69" s="646"/>
    </row>
    <row r="70" spans="1:32" s="572" customFormat="1">
      <c r="B70" s="611" t="s">
        <v>1</v>
      </c>
      <c r="V70" s="610"/>
      <c r="AA70" s="646"/>
    </row>
    <row r="71" spans="1:32" s="572" customFormat="1">
      <c r="B71" s="611"/>
      <c r="V71" s="610"/>
      <c r="AA71" s="646"/>
    </row>
    <row r="72" spans="1:32" s="572" customFormat="1">
      <c r="B72" s="611"/>
      <c r="V72" s="610"/>
      <c r="AA72" s="646"/>
    </row>
    <row r="73" spans="1:32" s="572" customFormat="1">
      <c r="V73" s="610"/>
      <c r="AA73" s="646"/>
    </row>
    <row r="74" spans="1:32" s="572" customFormat="1" ht="15.75">
      <c r="B74" s="713"/>
      <c r="C74" s="713"/>
      <c r="D74" s="713"/>
      <c r="E74" s="713"/>
      <c r="F74" s="713"/>
      <c r="G74" s="713"/>
      <c r="H74" s="713"/>
      <c r="I74" s="713"/>
      <c r="J74" s="713"/>
      <c r="K74" s="713"/>
      <c r="L74" s="713"/>
      <c r="M74" s="713"/>
      <c r="N74" s="713"/>
      <c r="O74" s="713"/>
      <c r="P74" s="713"/>
      <c r="Q74" s="713"/>
      <c r="R74" s="713"/>
      <c r="S74" s="713"/>
      <c r="T74" s="713"/>
      <c r="V74" s="610"/>
      <c r="AA74" s="646"/>
    </row>
    <row r="75" spans="1:32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V75" s="609"/>
      <c r="W75" s="97"/>
      <c r="X75" s="97"/>
      <c r="Y75" s="97"/>
      <c r="Z75" s="97"/>
      <c r="AA75" s="647"/>
      <c r="AB75" s="97"/>
      <c r="AC75" s="97"/>
      <c r="AD75" s="97"/>
      <c r="AE75" s="97"/>
      <c r="AF75" s="97"/>
    </row>
    <row r="76" spans="1:32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V76" s="609"/>
      <c r="W76" s="97"/>
      <c r="X76" s="97"/>
      <c r="Y76" s="97"/>
      <c r="Z76" s="97"/>
      <c r="AA76" s="647"/>
      <c r="AB76" s="97"/>
      <c r="AC76" s="97"/>
      <c r="AD76" s="97"/>
      <c r="AE76" s="97"/>
      <c r="AF76" s="97"/>
    </row>
    <row r="77" spans="1:32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V77" s="609"/>
      <c r="W77" s="97"/>
      <c r="X77" s="97"/>
      <c r="Y77" s="97"/>
      <c r="Z77" s="97"/>
      <c r="AA77" s="647"/>
      <c r="AB77" s="97"/>
      <c r="AC77" s="97"/>
      <c r="AD77" s="97"/>
      <c r="AE77" s="97"/>
      <c r="AF77" s="97"/>
    </row>
    <row r="78" spans="1:32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V78" s="609"/>
      <c r="W78" s="97"/>
      <c r="X78" s="97"/>
      <c r="Y78" s="97"/>
      <c r="Z78" s="97"/>
      <c r="AA78" s="647"/>
      <c r="AB78" s="97"/>
      <c r="AC78" s="97"/>
      <c r="AD78" s="97"/>
      <c r="AE78" s="97"/>
      <c r="AF78" s="97"/>
    </row>
    <row r="79" spans="1:32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V79" s="609"/>
      <c r="W79" s="97"/>
      <c r="X79" s="97"/>
      <c r="Y79" s="97"/>
      <c r="Z79" s="97"/>
      <c r="AA79" s="647"/>
      <c r="AB79" s="97"/>
      <c r="AC79" s="97"/>
      <c r="AD79" s="97"/>
      <c r="AE79" s="97"/>
      <c r="AF79" s="97"/>
    </row>
    <row r="80" spans="1:32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V80" s="609"/>
      <c r="W80" s="97"/>
      <c r="X80" s="97"/>
      <c r="Y80" s="97"/>
      <c r="Z80" s="97"/>
      <c r="AA80" s="647"/>
      <c r="AB80" s="97"/>
      <c r="AC80" s="97"/>
      <c r="AD80" s="97"/>
      <c r="AE80" s="97"/>
      <c r="AF80" s="97"/>
    </row>
    <row r="81" spans="1:32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V81" s="609"/>
      <c r="W81" s="97"/>
      <c r="X81" s="97"/>
      <c r="Y81" s="97"/>
      <c r="Z81" s="97"/>
      <c r="AA81" s="647"/>
      <c r="AB81" s="97"/>
      <c r="AC81" s="97"/>
      <c r="AD81" s="97"/>
      <c r="AE81" s="97"/>
      <c r="AF81" s="97"/>
    </row>
    <row r="82" spans="1:3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V82" s="609"/>
      <c r="W82" s="97"/>
      <c r="X82" s="97"/>
      <c r="Y82" s="97"/>
      <c r="Z82" s="97"/>
      <c r="AA82" s="647"/>
      <c r="AB82" s="97"/>
      <c r="AC82" s="97"/>
      <c r="AD82" s="97"/>
      <c r="AE82" s="97"/>
      <c r="AF82" s="97"/>
    </row>
    <row r="83" spans="1:32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V83" s="609"/>
      <c r="W83" s="97"/>
      <c r="X83" s="97"/>
      <c r="Y83" s="97"/>
      <c r="Z83" s="97"/>
      <c r="AA83" s="647"/>
      <c r="AB83" s="97"/>
      <c r="AC83" s="97"/>
      <c r="AD83" s="97"/>
      <c r="AE83" s="97"/>
      <c r="AF83" s="97"/>
    </row>
    <row r="84" spans="1:32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V84" s="609"/>
      <c r="W84" s="97"/>
      <c r="X84" s="97"/>
      <c r="Y84" s="97"/>
      <c r="Z84" s="97"/>
      <c r="AA84" s="647"/>
      <c r="AB84" s="97"/>
      <c r="AC84" s="97"/>
      <c r="AD84" s="97"/>
      <c r="AE84" s="97"/>
      <c r="AF84" s="97"/>
    </row>
    <row r="85" spans="1:32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V85" s="609"/>
      <c r="W85" s="97"/>
      <c r="X85" s="97"/>
      <c r="Y85" s="97"/>
      <c r="Z85" s="97"/>
      <c r="AA85" s="647"/>
      <c r="AB85" s="97"/>
      <c r="AC85" s="97"/>
      <c r="AD85" s="97"/>
      <c r="AE85" s="97"/>
      <c r="AF85" s="97"/>
    </row>
    <row r="86" spans="1:32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V86" s="609"/>
      <c r="W86" s="97"/>
      <c r="X86" s="97"/>
      <c r="Y86" s="97"/>
      <c r="Z86" s="97"/>
      <c r="AA86" s="647"/>
      <c r="AB86" s="97"/>
      <c r="AC86" s="97"/>
      <c r="AD86" s="97"/>
      <c r="AE86" s="97"/>
      <c r="AF86" s="97"/>
    </row>
    <row r="87" spans="1:32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V87" s="609"/>
      <c r="W87" s="97"/>
      <c r="X87" s="97"/>
      <c r="Y87" s="97"/>
      <c r="Z87" s="97"/>
      <c r="AA87" s="647"/>
      <c r="AB87" s="97"/>
      <c r="AC87" s="97"/>
      <c r="AD87" s="97"/>
      <c r="AE87" s="97"/>
      <c r="AF87" s="97"/>
    </row>
    <row r="88" spans="1:32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V88" s="609"/>
      <c r="W88" s="97"/>
      <c r="X88" s="97"/>
      <c r="Y88" s="97"/>
      <c r="Z88" s="97"/>
      <c r="AA88" s="647"/>
      <c r="AB88" s="97"/>
      <c r="AC88" s="97"/>
      <c r="AD88" s="97"/>
      <c r="AE88" s="97"/>
      <c r="AF88" s="97"/>
    </row>
    <row r="89" spans="1:32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V89" s="609"/>
      <c r="W89" s="97"/>
      <c r="X89" s="97"/>
      <c r="Y89" s="97"/>
      <c r="Z89" s="97"/>
      <c r="AA89" s="647"/>
      <c r="AB89" s="97"/>
      <c r="AC89" s="97"/>
      <c r="AD89" s="97"/>
      <c r="AE89" s="97"/>
      <c r="AF89" s="97"/>
    </row>
    <row r="90" spans="1:32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V90" s="609"/>
      <c r="W90" s="97"/>
      <c r="X90" s="97"/>
      <c r="Y90" s="97"/>
      <c r="Z90" s="97"/>
      <c r="AA90" s="647"/>
      <c r="AB90" s="97"/>
      <c r="AC90" s="97"/>
      <c r="AD90" s="97"/>
      <c r="AE90" s="97"/>
      <c r="AF90" s="97"/>
    </row>
    <row r="91" spans="1:32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V91" s="609"/>
      <c r="W91" s="97"/>
      <c r="X91" s="97"/>
      <c r="Y91" s="97"/>
      <c r="Z91" s="97"/>
      <c r="AA91" s="647"/>
      <c r="AB91" s="97"/>
      <c r="AC91" s="97"/>
      <c r="AD91" s="97"/>
      <c r="AE91" s="97"/>
      <c r="AF91" s="97"/>
    </row>
    <row r="92" spans="1:3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V92" s="609"/>
      <c r="W92" s="97"/>
      <c r="X92" s="97"/>
      <c r="Y92" s="97"/>
      <c r="Z92" s="97"/>
      <c r="AA92" s="647"/>
      <c r="AB92" s="97"/>
      <c r="AC92" s="97"/>
      <c r="AD92" s="97"/>
      <c r="AE92" s="97"/>
      <c r="AF92" s="97"/>
    </row>
    <row r="93" spans="1:32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V93" s="609"/>
      <c r="W93" s="97"/>
      <c r="X93" s="97"/>
      <c r="Y93" s="97"/>
      <c r="Z93" s="97"/>
      <c r="AA93" s="647"/>
      <c r="AB93" s="97"/>
      <c r="AC93" s="97"/>
      <c r="AD93" s="97"/>
      <c r="AE93" s="97"/>
      <c r="AF93" s="97"/>
    </row>
    <row r="94" spans="1:32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V94" s="609"/>
      <c r="W94" s="97"/>
      <c r="X94" s="97"/>
      <c r="Y94" s="97"/>
      <c r="Z94" s="97"/>
      <c r="AA94" s="647"/>
      <c r="AB94" s="97"/>
      <c r="AC94" s="97"/>
      <c r="AD94" s="97"/>
      <c r="AE94" s="97"/>
      <c r="AF94" s="97"/>
    </row>
    <row r="95" spans="1:32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V95" s="609"/>
      <c r="W95" s="97"/>
      <c r="X95" s="97"/>
      <c r="Y95" s="97"/>
      <c r="Z95" s="97"/>
      <c r="AA95" s="647"/>
      <c r="AB95" s="97"/>
      <c r="AC95" s="97"/>
      <c r="AD95" s="97"/>
      <c r="AE95" s="97"/>
      <c r="AF95" s="97"/>
    </row>
    <row r="96" spans="1:32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V96" s="609"/>
      <c r="W96" s="97"/>
      <c r="X96" s="97"/>
      <c r="Y96" s="97"/>
      <c r="Z96" s="97"/>
      <c r="AA96" s="647"/>
      <c r="AB96" s="97"/>
      <c r="AC96" s="97"/>
      <c r="AD96" s="97"/>
      <c r="AE96" s="97"/>
      <c r="AF96" s="97"/>
    </row>
    <row r="97" spans="1:32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V97" s="609"/>
      <c r="W97" s="97"/>
      <c r="X97" s="97"/>
      <c r="Y97" s="97"/>
      <c r="Z97" s="97"/>
      <c r="AA97" s="647"/>
      <c r="AB97" s="97"/>
      <c r="AC97" s="97"/>
      <c r="AD97" s="97"/>
      <c r="AE97" s="97"/>
      <c r="AF97" s="97"/>
    </row>
    <row r="98" spans="1:32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V98" s="609"/>
      <c r="W98" s="97"/>
      <c r="X98" s="97"/>
      <c r="Y98" s="97"/>
      <c r="Z98" s="97"/>
      <c r="AA98" s="647"/>
      <c r="AB98" s="97"/>
      <c r="AC98" s="97"/>
      <c r="AD98" s="97"/>
      <c r="AE98" s="97"/>
      <c r="AF98" s="97"/>
    </row>
    <row r="99" spans="1:32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V99" s="609"/>
      <c r="W99" s="97"/>
      <c r="X99" s="97"/>
      <c r="Y99" s="97"/>
      <c r="Z99" s="97"/>
      <c r="AA99" s="647"/>
      <c r="AB99" s="97"/>
      <c r="AC99" s="97"/>
      <c r="AD99" s="97"/>
      <c r="AE99" s="97"/>
      <c r="AF99" s="97"/>
    </row>
    <row r="100" spans="1:32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V100" s="609"/>
      <c r="W100" s="97"/>
      <c r="X100" s="97"/>
      <c r="Y100" s="97"/>
      <c r="Z100" s="97"/>
      <c r="AA100" s="647"/>
      <c r="AB100" s="97"/>
      <c r="AC100" s="97"/>
      <c r="AD100" s="97"/>
      <c r="AE100" s="97"/>
      <c r="AF100" s="97"/>
    </row>
    <row r="101" spans="1:32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V101" s="609"/>
      <c r="W101" s="97"/>
      <c r="X101" s="97"/>
      <c r="Y101" s="97"/>
      <c r="Z101" s="97"/>
      <c r="AA101" s="647"/>
      <c r="AB101" s="97"/>
      <c r="AC101" s="97"/>
      <c r="AD101" s="97"/>
      <c r="AE101" s="97"/>
      <c r="AF101" s="97"/>
    </row>
    <row r="102" spans="1:3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V102" s="609"/>
      <c r="W102" s="97"/>
      <c r="X102" s="97"/>
      <c r="Y102" s="97"/>
      <c r="Z102" s="97"/>
      <c r="AA102" s="647"/>
      <c r="AB102" s="97"/>
      <c r="AC102" s="97"/>
      <c r="AD102" s="97"/>
      <c r="AE102" s="97"/>
      <c r="AF102" s="97"/>
    </row>
    <row r="103" spans="1:32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V103" s="609"/>
      <c r="W103" s="97"/>
      <c r="X103" s="97"/>
      <c r="Y103" s="97"/>
      <c r="Z103" s="97"/>
      <c r="AA103" s="647"/>
      <c r="AB103" s="97"/>
      <c r="AC103" s="97"/>
      <c r="AD103" s="97"/>
      <c r="AE103" s="97"/>
      <c r="AF103" s="97"/>
    </row>
    <row r="104" spans="1:32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V104" s="609"/>
      <c r="W104" s="97"/>
      <c r="X104" s="97"/>
      <c r="Y104" s="97"/>
      <c r="Z104" s="97"/>
      <c r="AA104" s="647"/>
      <c r="AB104" s="97"/>
      <c r="AC104" s="97"/>
      <c r="AD104" s="97"/>
      <c r="AE104" s="97"/>
      <c r="AF104" s="97"/>
    </row>
    <row r="105" spans="1:32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V105" s="609"/>
      <c r="W105" s="97"/>
      <c r="X105" s="97"/>
      <c r="Y105" s="97"/>
      <c r="Z105" s="97"/>
      <c r="AA105" s="647"/>
      <c r="AB105" s="97"/>
      <c r="AC105" s="97"/>
      <c r="AD105" s="97"/>
      <c r="AE105" s="97"/>
      <c r="AF105" s="97"/>
    </row>
    <row r="106" spans="1:32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V106" s="609"/>
      <c r="W106" s="97"/>
      <c r="X106" s="97"/>
      <c r="Y106" s="97"/>
      <c r="Z106" s="97"/>
      <c r="AA106" s="647"/>
      <c r="AB106" s="97"/>
      <c r="AC106" s="97"/>
      <c r="AD106" s="97"/>
      <c r="AE106" s="97"/>
      <c r="AF106" s="97"/>
    </row>
  </sheetData>
  <sheetProtection algorithmName="SHA-512" hashValue="1zyzWMqvvrp196d6tqYdPVTauAvDyReswarVi/a42nbH25NulTMFF/fjcGx7FU7a7wSrIj4peM+ZX/lHgqkfcw==" saltValue="16+bMZYat9ygLTUNfW3mvg==" spinCount="100000" sheet="1" objects="1" scenarios="1"/>
  <mergeCells count="34"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  <mergeCell ref="Y3:Z3"/>
    <mergeCell ref="X4:X7"/>
    <mergeCell ref="Y4:Y7"/>
    <mergeCell ref="U3:W3"/>
    <mergeCell ref="T4:T7"/>
    <mergeCell ref="Z4:Z7"/>
    <mergeCell ref="U6:U7"/>
    <mergeCell ref="V6:V7"/>
    <mergeCell ref="B74:T74"/>
    <mergeCell ref="G4:G7"/>
    <mergeCell ref="N6:O6"/>
    <mergeCell ref="P6:Q6"/>
    <mergeCell ref="R6:S6"/>
    <mergeCell ref="H6:H7"/>
    <mergeCell ref="I6:I7"/>
    <mergeCell ref="J6:J7"/>
    <mergeCell ref="K6:K7"/>
    <mergeCell ref="L6:M6"/>
  </mergeCells>
  <printOptions horizontalCentered="1"/>
  <pageMargins left="0.15748031496062992" right="0.19685039370078741" top="0.49" bottom="0.19685039370078741" header="0.51181102362204722" footer="0.51181102362204722"/>
  <pageSetup paperSize="9" scale="4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3">
    <pageSetUpPr fitToPage="1"/>
  </sheetPr>
  <dimension ref="A1:O53"/>
  <sheetViews>
    <sheetView view="pageBreakPreview" zoomScale="85" zoomScaleNormal="90" zoomScaleSheetLayoutView="85" workbookViewId="0">
      <pane xSplit="2" ySplit="6" topLeftCell="C40" activePane="bottomRight" state="frozen"/>
      <selection activeCell="C73" sqref="C73"/>
      <selection pane="topRight" activeCell="C73" sqref="C73"/>
      <selection pane="bottomLeft" activeCell="C73" sqref="C73"/>
      <selection pane="bottomRight" activeCell="J53" sqref="J53"/>
    </sheetView>
  </sheetViews>
  <sheetFormatPr defaultColWidth="9.42578125" defaultRowHeight="15"/>
  <cols>
    <col min="1" max="1" width="11" style="583" bestFit="1" customWidth="1"/>
    <col min="2" max="2" width="31" style="310" customWidth="1"/>
    <col min="3" max="3" width="17.28515625" style="310" customWidth="1"/>
    <col min="4" max="10" width="16.28515625" style="310" customWidth="1"/>
    <col min="11" max="11" width="9.42578125" style="310"/>
    <col min="12" max="12" width="15.140625" style="310" customWidth="1"/>
    <col min="13" max="13" width="9.42578125" style="310"/>
    <col min="14" max="14" width="24.7109375" style="310" customWidth="1"/>
    <col min="15" max="16384" width="9.42578125" style="310"/>
  </cols>
  <sheetData>
    <row r="1" spans="1:14" s="572" customFormat="1" ht="35.25" customHeight="1">
      <c r="A1" s="732" t="s">
        <v>835</v>
      </c>
      <c r="B1" s="732"/>
      <c r="C1" s="732"/>
      <c r="D1" s="732"/>
      <c r="E1" s="732"/>
      <c r="F1" s="732"/>
      <c r="G1" s="732"/>
      <c r="H1" s="732"/>
      <c r="I1" s="732"/>
      <c r="J1" s="597" t="s">
        <v>591</v>
      </c>
    </row>
    <row r="2" spans="1:14" s="562" customFormat="1" ht="15.75" customHeight="1">
      <c r="A2" s="573"/>
      <c r="B2" s="574"/>
      <c r="C2" s="574"/>
      <c r="E2" s="575"/>
    </row>
    <row r="3" spans="1:14" s="562" customFormat="1" ht="16.5" customHeight="1">
      <c r="A3" s="576" t="s">
        <v>836</v>
      </c>
      <c r="C3" s="576"/>
      <c r="F3" s="577"/>
      <c r="I3" s="718">
        <f>+'Asset quality'!P3</f>
        <v>44561</v>
      </c>
      <c r="J3" s="718"/>
    </row>
    <row r="4" spans="1:14" s="506" customFormat="1" ht="36" customHeight="1">
      <c r="A4" s="726" t="s">
        <v>83</v>
      </c>
      <c r="B4" s="729" t="s">
        <v>837</v>
      </c>
      <c r="C4" s="719" t="str">
        <f>"Остаток списаных кредита и лизинга на"&amp;" "&amp;DAY(I3)&amp;"."&amp;IF(LEN(MONTH(I3))&lt;2,"0"&amp;MONTH(I3),MONTH(I3))&amp;"."&amp;YEAR(I3)-1&amp;"г"</f>
        <v>Остаток списаных кредита и лизинга на 31.12.2020г</v>
      </c>
      <c r="D4" s="704" t="s">
        <v>838</v>
      </c>
      <c r="E4" s="730"/>
      <c r="F4" s="730"/>
      <c r="G4" s="730"/>
      <c r="H4" s="730"/>
      <c r="I4" s="705"/>
      <c r="J4" s="719" t="str">
        <f>"Остаток списаных кредита и лизинга на"&amp;" "&amp;DAY(I3)&amp;"."&amp;IF(LEN(MONTH(I3))&lt;2,"0"&amp;MONTH(I3),MONTH(I3))&amp;"."&amp;YEAR(I3)&amp;"г"</f>
        <v>Остаток списаных кредита и лизинга на 31.12.2021г</v>
      </c>
    </row>
    <row r="5" spans="1:14" s="506" customFormat="1" ht="33.75" customHeight="1">
      <c r="A5" s="727"/>
      <c r="B5" s="729"/>
      <c r="C5" s="720"/>
      <c r="D5" s="724" t="s">
        <v>839</v>
      </c>
      <c r="E5" s="725"/>
      <c r="F5" s="711" t="s">
        <v>840</v>
      </c>
      <c r="G5" s="731"/>
      <c r="H5" s="711" t="s">
        <v>841</v>
      </c>
      <c r="I5" s="731"/>
      <c r="J5" s="720"/>
      <c r="N5" s="578"/>
    </row>
    <row r="6" spans="1:14" s="506" customFormat="1" ht="44.25" customHeight="1">
      <c r="A6" s="728"/>
      <c r="B6" s="729"/>
      <c r="C6" s="721"/>
      <c r="D6" s="596" t="s">
        <v>152</v>
      </c>
      <c r="E6" s="596" t="s">
        <v>197</v>
      </c>
      <c r="F6" s="596" t="s">
        <v>152</v>
      </c>
      <c r="G6" s="596" t="s">
        <v>197</v>
      </c>
      <c r="H6" s="596" t="s">
        <v>152</v>
      </c>
      <c r="I6" s="596" t="s">
        <v>197</v>
      </c>
      <c r="J6" s="721"/>
    </row>
    <row r="7" spans="1:14" ht="19.5" customHeight="1">
      <c r="A7" s="596"/>
      <c r="B7" s="596" t="s">
        <v>182</v>
      </c>
      <c r="C7" s="596" t="s">
        <v>183</v>
      </c>
      <c r="D7" s="596" t="s">
        <v>195</v>
      </c>
      <c r="E7" s="596" t="s">
        <v>184</v>
      </c>
      <c r="F7" s="596" t="s">
        <v>185</v>
      </c>
      <c r="G7" s="596" t="s">
        <v>196</v>
      </c>
      <c r="H7" s="596" t="s">
        <v>186</v>
      </c>
      <c r="I7" s="596" t="s">
        <v>187</v>
      </c>
      <c r="J7" s="596" t="s">
        <v>188</v>
      </c>
    </row>
    <row r="8" spans="1:14" ht="19.5" customHeight="1">
      <c r="A8" s="596">
        <v>1</v>
      </c>
      <c r="B8" s="596" t="s">
        <v>752</v>
      </c>
      <c r="C8" s="596">
        <f>SUM(C10:C17)</f>
        <v>743185</v>
      </c>
      <c r="D8" s="596">
        <f t="shared" ref="D8:J8" si="0">SUM(D10:D17)</f>
        <v>0</v>
      </c>
      <c r="E8" s="596">
        <f t="shared" si="0"/>
        <v>0</v>
      </c>
      <c r="F8" s="596">
        <f t="shared" si="0"/>
        <v>0</v>
      </c>
      <c r="G8" s="596">
        <f t="shared" si="0"/>
        <v>0</v>
      </c>
      <c r="H8" s="596">
        <f t="shared" si="0"/>
        <v>0</v>
      </c>
      <c r="I8" s="596">
        <f t="shared" si="0"/>
        <v>0</v>
      </c>
      <c r="J8" s="596">
        <f t="shared" si="0"/>
        <v>15044994</v>
      </c>
    </row>
    <row r="9" spans="1:14" ht="19.5" customHeight="1">
      <c r="A9" s="579"/>
      <c r="B9" s="580" t="s">
        <v>90</v>
      </c>
      <c r="C9" s="581"/>
      <c r="D9" s="582"/>
      <c r="E9" s="582"/>
      <c r="F9" s="582"/>
      <c r="G9" s="582"/>
      <c r="H9" s="582"/>
      <c r="I9" s="582"/>
      <c r="J9" s="582"/>
      <c r="K9" s="583"/>
    </row>
    <row r="10" spans="1:14" ht="28.5" customHeight="1">
      <c r="A10" s="569" t="s">
        <v>242</v>
      </c>
      <c r="B10" s="581" t="s">
        <v>118</v>
      </c>
      <c r="C10" s="598"/>
      <c r="D10" s="598"/>
      <c r="E10" s="598">
        <v>0</v>
      </c>
      <c r="F10" s="598">
        <v>0</v>
      </c>
      <c r="G10" s="598">
        <v>0</v>
      </c>
      <c r="H10" s="598"/>
      <c r="I10" s="598"/>
      <c r="J10" s="598">
        <v>413675</v>
      </c>
    </row>
    <row r="11" spans="1:14" ht="28.5" customHeight="1">
      <c r="A11" s="569" t="s">
        <v>243</v>
      </c>
      <c r="B11" s="581" t="s">
        <v>126</v>
      </c>
      <c r="C11" s="598"/>
      <c r="D11" s="598">
        <v>0</v>
      </c>
      <c r="E11" s="598">
        <v>0</v>
      </c>
      <c r="F11" s="598">
        <v>0</v>
      </c>
      <c r="G11" s="598">
        <v>0</v>
      </c>
      <c r="H11" s="598"/>
      <c r="I11" s="598"/>
      <c r="J11" s="598">
        <v>949693</v>
      </c>
    </row>
    <row r="12" spans="1:14" ht="28.5" customHeight="1">
      <c r="A12" s="569" t="s">
        <v>244</v>
      </c>
      <c r="B12" s="581" t="s">
        <v>129</v>
      </c>
      <c r="C12" s="598"/>
      <c r="D12" s="598">
        <v>0</v>
      </c>
      <c r="E12" s="598">
        <v>0</v>
      </c>
      <c r="F12" s="598">
        <v>0</v>
      </c>
      <c r="G12" s="598">
        <v>0</v>
      </c>
      <c r="H12" s="598"/>
      <c r="I12" s="598"/>
      <c r="J12" s="598">
        <v>175451</v>
      </c>
    </row>
    <row r="13" spans="1:14" ht="28.5" customHeight="1">
      <c r="A13" s="569" t="s">
        <v>248</v>
      </c>
      <c r="B13" s="581" t="s">
        <v>131</v>
      </c>
      <c r="C13" s="598"/>
      <c r="D13" s="598"/>
      <c r="E13" s="598">
        <v>0</v>
      </c>
      <c r="F13" s="598">
        <v>0</v>
      </c>
      <c r="G13" s="598">
        <v>0</v>
      </c>
      <c r="H13" s="598"/>
      <c r="I13" s="598"/>
      <c r="J13" s="598">
        <v>1340662</v>
      </c>
    </row>
    <row r="14" spans="1:14" ht="28.5" customHeight="1">
      <c r="A14" s="569" t="s">
        <v>249</v>
      </c>
      <c r="B14" s="581" t="s">
        <v>133</v>
      </c>
      <c r="C14" s="598"/>
      <c r="D14" s="598"/>
      <c r="E14" s="598">
        <v>0</v>
      </c>
      <c r="F14" s="598">
        <v>0</v>
      </c>
      <c r="G14" s="598">
        <v>0</v>
      </c>
      <c r="H14" s="598"/>
      <c r="I14" s="598"/>
      <c r="J14" s="598">
        <v>10661645</v>
      </c>
    </row>
    <row r="15" spans="1:14" ht="28.5" customHeight="1">
      <c r="A15" s="569" t="s">
        <v>278</v>
      </c>
      <c r="B15" s="581" t="s">
        <v>135</v>
      </c>
      <c r="C15" s="598"/>
      <c r="D15" s="598"/>
      <c r="E15" s="598"/>
      <c r="F15" s="598"/>
      <c r="G15" s="598"/>
      <c r="H15" s="598"/>
      <c r="I15" s="598"/>
      <c r="J15" s="598">
        <v>320576</v>
      </c>
    </row>
    <row r="16" spans="1:14" ht="28.5" customHeight="1">
      <c r="A16" s="569" t="s">
        <v>842</v>
      </c>
      <c r="B16" s="581" t="s">
        <v>137</v>
      </c>
      <c r="C16" s="598"/>
      <c r="D16" s="598"/>
      <c r="E16" s="598">
        <v>0</v>
      </c>
      <c r="F16" s="598">
        <v>0</v>
      </c>
      <c r="G16" s="598">
        <v>0</v>
      </c>
      <c r="H16" s="598"/>
      <c r="I16" s="598"/>
      <c r="J16" s="598">
        <v>1150304</v>
      </c>
    </row>
    <row r="17" spans="1:15" ht="28.5" customHeight="1">
      <c r="A17" s="569" t="s">
        <v>843</v>
      </c>
      <c r="B17" s="581" t="s">
        <v>175</v>
      </c>
      <c r="C17" s="598">
        <v>743185</v>
      </c>
      <c r="D17" s="598">
        <v>0</v>
      </c>
      <c r="E17" s="598">
        <v>0</v>
      </c>
      <c r="F17" s="598">
        <v>0</v>
      </c>
      <c r="G17" s="598">
        <v>0</v>
      </c>
      <c r="H17" s="598"/>
      <c r="I17" s="598"/>
      <c r="J17" s="621">
        <f>10733372-10700384</f>
        <v>32988</v>
      </c>
    </row>
    <row r="18" spans="1:15" ht="19.5" customHeight="1">
      <c r="A18" s="596">
        <v>2</v>
      </c>
      <c r="B18" s="596" t="s">
        <v>164</v>
      </c>
      <c r="C18" s="596">
        <f>SUM(C20:C24)</f>
        <v>201513.75197999997</v>
      </c>
      <c r="D18" s="596">
        <f t="shared" ref="D18:J18" si="1">SUM(D20:D24)</f>
        <v>0</v>
      </c>
      <c r="E18" s="596">
        <f t="shared" si="1"/>
        <v>0</v>
      </c>
      <c r="F18" s="596">
        <f t="shared" si="1"/>
        <v>0</v>
      </c>
      <c r="G18" s="596">
        <f t="shared" si="1"/>
        <v>0</v>
      </c>
      <c r="H18" s="596">
        <f t="shared" si="1"/>
        <v>0</v>
      </c>
      <c r="I18" s="596">
        <f t="shared" si="1"/>
        <v>0</v>
      </c>
      <c r="J18" s="596">
        <f t="shared" si="1"/>
        <v>10700384</v>
      </c>
    </row>
    <row r="19" spans="1:15" ht="19.5" customHeight="1">
      <c r="A19" s="579"/>
      <c r="B19" s="580" t="s">
        <v>90</v>
      </c>
      <c r="C19" s="581"/>
      <c r="D19" s="582"/>
      <c r="E19" s="582"/>
      <c r="F19" s="582"/>
      <c r="G19" s="582"/>
      <c r="H19" s="582"/>
      <c r="I19" s="582"/>
      <c r="J19" s="582"/>
    </row>
    <row r="20" spans="1:15" ht="28.5" customHeight="1">
      <c r="A20" s="569" t="s">
        <v>255</v>
      </c>
      <c r="B20" s="581" t="s">
        <v>844</v>
      </c>
      <c r="C20" s="598">
        <v>0</v>
      </c>
      <c r="D20" s="598">
        <v>0</v>
      </c>
      <c r="E20" s="598">
        <v>0</v>
      </c>
      <c r="F20" s="598">
        <v>0</v>
      </c>
      <c r="G20" s="598">
        <v>0</v>
      </c>
      <c r="H20" s="598"/>
      <c r="I20" s="598"/>
      <c r="J20" s="598"/>
    </row>
    <row r="21" spans="1:15" ht="28.5" customHeight="1">
      <c r="A21" s="569" t="s">
        <v>256</v>
      </c>
      <c r="B21" s="581" t="s">
        <v>845</v>
      </c>
      <c r="C21" s="598"/>
      <c r="D21" s="598"/>
      <c r="E21" s="598"/>
      <c r="F21" s="598"/>
      <c r="G21" s="598"/>
      <c r="H21" s="598"/>
      <c r="I21" s="598"/>
      <c r="J21" s="598"/>
    </row>
    <row r="22" spans="1:15" ht="28.5" customHeight="1">
      <c r="A22" s="569" t="s">
        <v>258</v>
      </c>
      <c r="B22" s="581" t="s">
        <v>846</v>
      </c>
      <c r="C22" s="598"/>
      <c r="D22" s="598"/>
      <c r="E22" s="598"/>
      <c r="F22" s="598"/>
      <c r="G22" s="598"/>
      <c r="H22" s="598"/>
      <c r="I22" s="598"/>
      <c r="J22" s="598"/>
    </row>
    <row r="23" spans="1:15" ht="28.5" customHeight="1">
      <c r="A23" s="569" t="s">
        <v>260</v>
      </c>
      <c r="B23" s="581" t="s">
        <v>625</v>
      </c>
      <c r="C23" s="598">
        <v>41559.149270000002</v>
      </c>
      <c r="D23" s="598"/>
      <c r="E23" s="598"/>
      <c r="F23" s="598"/>
      <c r="G23" s="598"/>
      <c r="H23" s="598"/>
      <c r="I23" s="598"/>
      <c r="J23" s="598"/>
    </row>
    <row r="24" spans="1:15" ht="28.5" customHeight="1">
      <c r="A24" s="569" t="s">
        <v>619</v>
      </c>
      <c r="B24" s="581" t="s">
        <v>613</v>
      </c>
      <c r="C24" s="598">
        <v>159954.60270999998</v>
      </c>
      <c r="D24" s="598"/>
      <c r="E24" s="598"/>
      <c r="F24" s="598"/>
      <c r="G24" s="598"/>
      <c r="H24" s="598"/>
      <c r="I24" s="598"/>
      <c r="J24" s="598">
        <v>10700384</v>
      </c>
    </row>
    <row r="25" spans="1:15" ht="19.5" customHeight="1">
      <c r="A25" s="596">
        <v>3</v>
      </c>
      <c r="B25" s="596" t="s">
        <v>279</v>
      </c>
      <c r="C25" s="596">
        <f>+C18+C8</f>
        <v>944698.75197999994</v>
      </c>
      <c r="D25" s="596">
        <f t="shared" ref="D25:J25" si="2">+D18+D8</f>
        <v>0</v>
      </c>
      <c r="E25" s="596">
        <f t="shared" si="2"/>
        <v>0</v>
      </c>
      <c r="F25" s="596">
        <f t="shared" si="2"/>
        <v>0</v>
      </c>
      <c r="G25" s="596">
        <f t="shared" si="2"/>
        <v>0</v>
      </c>
      <c r="H25" s="596">
        <f t="shared" si="2"/>
        <v>0</v>
      </c>
      <c r="I25" s="596">
        <f t="shared" si="2"/>
        <v>0</v>
      </c>
      <c r="J25" s="596">
        <f t="shared" si="2"/>
        <v>25745378</v>
      </c>
    </row>
    <row r="26" spans="1:15">
      <c r="B26" s="573"/>
      <c r="C26" s="573"/>
      <c r="D26" s="584"/>
      <c r="E26" s="584"/>
      <c r="F26" s="584"/>
      <c r="G26" s="584"/>
      <c r="H26" s="584"/>
      <c r="I26" s="584"/>
      <c r="J26" s="584"/>
    </row>
    <row r="27" spans="1:15" s="562" customFormat="1" ht="16.5" customHeight="1">
      <c r="A27" s="576" t="s">
        <v>847</v>
      </c>
      <c r="B27" s="576"/>
      <c r="C27" s="576"/>
      <c r="G27" s="585"/>
      <c r="H27" s="563"/>
      <c r="L27" s="310"/>
      <c r="N27" s="586"/>
      <c r="O27" s="586"/>
    </row>
    <row r="28" spans="1:15" s="506" customFormat="1" ht="33.75" customHeight="1">
      <c r="A28" s="726" t="s">
        <v>83</v>
      </c>
      <c r="B28" s="729" t="s">
        <v>837</v>
      </c>
      <c r="C28" s="719" t="str">
        <f>"Резервы возможных потерь по кредитам и лизингу на"&amp;" "&amp;DAY(I3)&amp;"."&amp;IF(LEN(MONTH(I3))&lt;2,"0"&amp;MONTH(I3),MONTH(I3))&amp;"."&amp;YEAR(I3)-1&amp;"г"</f>
        <v>Резервы возможных потерь по кредитам и лизингу на 31.12.2020г</v>
      </c>
      <c r="D28" s="704" t="s">
        <v>848</v>
      </c>
      <c r="E28" s="730"/>
      <c r="F28" s="730"/>
      <c r="G28" s="730"/>
      <c r="H28" s="719" t="s">
        <v>902</v>
      </c>
      <c r="I28" s="719" t="str">
        <f>"Резервы возможных потерь по кредитам и лизингу на"&amp;" "&amp;DAY(I3)&amp;"."&amp;IF(LEN(MONTH(I3))&lt;2,"0"&amp;MONTH(I3),MONTH(I3))&amp;"."&amp;YEAR(I3)&amp;"г"</f>
        <v>Резервы возможных потерь по кредитам и лизингу на 31.12.2021г</v>
      </c>
      <c r="L28" s="310"/>
    </row>
    <row r="29" spans="1:15" s="506" customFormat="1" ht="28.5" customHeight="1">
      <c r="A29" s="727"/>
      <c r="B29" s="729"/>
      <c r="C29" s="720"/>
      <c r="D29" s="724" t="s">
        <v>849</v>
      </c>
      <c r="E29" s="725"/>
      <c r="F29" s="704" t="s">
        <v>850</v>
      </c>
      <c r="G29" s="705"/>
      <c r="H29" s="720"/>
      <c r="I29" s="720"/>
      <c r="L29" s="310"/>
    </row>
    <row r="30" spans="1:15" s="506" customFormat="1" ht="37.5" customHeight="1">
      <c r="A30" s="728"/>
      <c r="B30" s="729"/>
      <c r="C30" s="721"/>
      <c r="D30" s="596" t="s">
        <v>152</v>
      </c>
      <c r="E30" s="596" t="s">
        <v>197</v>
      </c>
      <c r="F30" s="596" t="s">
        <v>152</v>
      </c>
      <c r="G30" s="596" t="s">
        <v>197</v>
      </c>
      <c r="H30" s="721"/>
      <c r="I30" s="721"/>
      <c r="L30" s="310"/>
    </row>
    <row r="31" spans="1:15" ht="19.5" customHeight="1">
      <c r="A31" s="596"/>
      <c r="B31" s="596" t="s">
        <v>182</v>
      </c>
      <c r="C31" s="596" t="s">
        <v>183</v>
      </c>
      <c r="D31" s="596" t="s">
        <v>195</v>
      </c>
      <c r="E31" s="596" t="s">
        <v>184</v>
      </c>
      <c r="F31" s="596" t="s">
        <v>185</v>
      </c>
      <c r="G31" s="596" t="s">
        <v>196</v>
      </c>
      <c r="H31" s="596" t="s">
        <v>186</v>
      </c>
      <c r="I31" s="606" t="s">
        <v>187</v>
      </c>
    </row>
    <row r="32" spans="1:15" ht="19.5" customHeight="1">
      <c r="A32" s="596">
        <v>1</v>
      </c>
      <c r="B32" s="596" t="s">
        <v>752</v>
      </c>
      <c r="C32" s="596">
        <f>SUM(C34:C41)</f>
        <v>6729637</v>
      </c>
      <c r="D32" s="596">
        <f t="shared" ref="D32:H32" si="3">SUM(D34:D41)</f>
        <v>0</v>
      </c>
      <c r="E32" s="596">
        <f t="shared" si="3"/>
        <v>0</v>
      </c>
      <c r="F32" s="596">
        <f t="shared" si="3"/>
        <v>0</v>
      </c>
      <c r="G32" s="596">
        <f t="shared" si="3"/>
        <v>0</v>
      </c>
      <c r="H32" s="596">
        <f t="shared" si="3"/>
        <v>0</v>
      </c>
      <c r="I32" s="596">
        <f>SUM(I34:I41)</f>
        <v>54859184</v>
      </c>
    </row>
    <row r="33" spans="1:9" ht="19.5" customHeight="1">
      <c r="A33" s="579"/>
      <c r="B33" s="580" t="s">
        <v>90</v>
      </c>
      <c r="C33" s="581"/>
      <c r="D33" s="582"/>
      <c r="E33" s="582"/>
      <c r="F33" s="582"/>
      <c r="G33" s="582"/>
      <c r="H33" s="582"/>
      <c r="I33" s="582"/>
    </row>
    <row r="34" spans="1:9" ht="28.5" customHeight="1">
      <c r="A34" s="569" t="s">
        <v>242</v>
      </c>
      <c r="B34" s="581" t="s">
        <v>118</v>
      </c>
      <c r="C34" s="598">
        <v>833239</v>
      </c>
      <c r="D34" s="598"/>
      <c r="E34" s="598">
        <v>0</v>
      </c>
      <c r="F34" s="598"/>
      <c r="G34" s="598"/>
      <c r="H34" s="598"/>
      <c r="I34" s="598">
        <v>13303632</v>
      </c>
    </row>
    <row r="35" spans="1:9" ht="28.5" customHeight="1">
      <c r="A35" s="569" t="s">
        <v>243</v>
      </c>
      <c r="B35" s="581" t="s">
        <v>126</v>
      </c>
      <c r="C35" s="598">
        <v>2108992</v>
      </c>
      <c r="D35" s="598">
        <v>0</v>
      </c>
      <c r="E35" s="598">
        <v>0</v>
      </c>
      <c r="F35" s="598"/>
      <c r="G35" s="598"/>
      <c r="H35" s="598"/>
      <c r="I35" s="598">
        <v>3258002</v>
      </c>
    </row>
    <row r="36" spans="1:9" ht="28.5" customHeight="1">
      <c r="A36" s="569" t="s">
        <v>244</v>
      </c>
      <c r="B36" s="581" t="s">
        <v>129</v>
      </c>
      <c r="C36" s="598">
        <v>14747</v>
      </c>
      <c r="D36" s="598">
        <v>0</v>
      </c>
      <c r="E36" s="598">
        <v>0</v>
      </c>
      <c r="F36" s="598"/>
      <c r="G36" s="598"/>
      <c r="H36" s="598"/>
      <c r="I36" s="598">
        <v>3744907</v>
      </c>
    </row>
    <row r="37" spans="1:9" ht="28.5" customHeight="1">
      <c r="A37" s="569" t="s">
        <v>248</v>
      </c>
      <c r="B37" s="581" t="s">
        <v>131</v>
      </c>
      <c r="C37" s="598">
        <v>233213</v>
      </c>
      <c r="D37" s="598"/>
      <c r="E37" s="598">
        <v>0</v>
      </c>
      <c r="F37" s="598"/>
      <c r="G37" s="598"/>
      <c r="H37" s="598"/>
      <c r="I37" s="598">
        <v>2850677</v>
      </c>
    </row>
    <row r="38" spans="1:9" ht="28.5" customHeight="1">
      <c r="A38" s="569" t="s">
        <v>249</v>
      </c>
      <c r="B38" s="581" t="s">
        <v>133</v>
      </c>
      <c r="C38" s="598">
        <v>179623</v>
      </c>
      <c r="D38" s="598"/>
      <c r="E38" s="598">
        <v>0</v>
      </c>
      <c r="F38" s="598"/>
      <c r="G38" s="598"/>
      <c r="H38" s="598"/>
      <c r="I38" s="598">
        <v>8199274</v>
      </c>
    </row>
    <row r="39" spans="1:9" ht="28.5" customHeight="1">
      <c r="A39" s="569" t="s">
        <v>278</v>
      </c>
      <c r="B39" s="581" t="s">
        <v>135</v>
      </c>
      <c r="C39" s="598"/>
      <c r="D39" s="598"/>
      <c r="E39" s="598">
        <v>0</v>
      </c>
      <c r="F39" s="598"/>
      <c r="G39" s="598"/>
      <c r="H39" s="598"/>
      <c r="I39" s="598">
        <v>11716827</v>
      </c>
    </row>
    <row r="40" spans="1:9" ht="28.5" customHeight="1">
      <c r="A40" s="569" t="s">
        <v>842</v>
      </c>
      <c r="B40" s="581" t="s">
        <v>137</v>
      </c>
      <c r="C40" s="598">
        <v>694592</v>
      </c>
      <c r="D40" s="598"/>
      <c r="E40" s="598">
        <v>0</v>
      </c>
      <c r="F40" s="598"/>
      <c r="G40" s="598"/>
      <c r="H40" s="598"/>
      <c r="I40" s="598">
        <v>7767505</v>
      </c>
    </row>
    <row r="41" spans="1:9" ht="28.5" customHeight="1">
      <c r="A41" s="569" t="s">
        <v>843</v>
      </c>
      <c r="B41" s="581" t="s">
        <v>175</v>
      </c>
      <c r="C41" s="598">
        <f>5012762-2347531</f>
        <v>2665231</v>
      </c>
      <c r="D41" s="598">
        <v>0</v>
      </c>
      <c r="E41" s="598">
        <v>0</v>
      </c>
      <c r="F41" s="598"/>
      <c r="G41" s="598"/>
      <c r="H41" s="598"/>
      <c r="I41" s="598">
        <f>50153520-46135160</f>
        <v>4018360</v>
      </c>
    </row>
    <row r="42" spans="1:9" ht="19.5" customHeight="1">
      <c r="A42" s="596">
        <v>2</v>
      </c>
      <c r="B42" s="596" t="s">
        <v>164</v>
      </c>
      <c r="C42" s="596">
        <f>SUM(C44:C48)</f>
        <v>2347531</v>
      </c>
      <c r="D42" s="596">
        <f t="shared" ref="D42:H42" si="4">SUM(D44:D48)</f>
        <v>0</v>
      </c>
      <c r="E42" s="596">
        <f t="shared" si="4"/>
        <v>0</v>
      </c>
      <c r="F42" s="596">
        <f t="shared" si="4"/>
        <v>0</v>
      </c>
      <c r="G42" s="596">
        <f t="shared" si="4"/>
        <v>0</v>
      </c>
      <c r="H42" s="596">
        <f t="shared" si="4"/>
        <v>0</v>
      </c>
      <c r="I42" s="596">
        <f>SUM(I44:I48)</f>
        <v>46135160</v>
      </c>
    </row>
    <row r="43" spans="1:9" ht="19.5" customHeight="1">
      <c r="A43" s="579"/>
      <c r="B43" s="580" t="s">
        <v>90</v>
      </c>
      <c r="C43" s="587"/>
      <c r="D43" s="180"/>
      <c r="E43" s="180"/>
      <c r="F43" s="180"/>
      <c r="G43" s="180"/>
      <c r="H43" s="180"/>
      <c r="I43" s="180"/>
    </row>
    <row r="44" spans="1:9" ht="28.5" customHeight="1">
      <c r="A44" s="569" t="s">
        <v>255</v>
      </c>
      <c r="B44" s="581" t="s">
        <v>844</v>
      </c>
      <c r="C44" s="598">
        <v>0</v>
      </c>
      <c r="D44" s="598"/>
      <c r="E44" s="598"/>
      <c r="F44" s="598"/>
      <c r="G44" s="598"/>
      <c r="H44" s="598"/>
      <c r="I44" s="598">
        <v>20189790</v>
      </c>
    </row>
    <row r="45" spans="1:9" ht="28.5" customHeight="1">
      <c r="A45" s="569" t="s">
        <v>256</v>
      </c>
      <c r="B45" s="581" t="s">
        <v>845</v>
      </c>
      <c r="C45" s="598"/>
      <c r="D45" s="598"/>
      <c r="E45" s="598"/>
      <c r="F45" s="598"/>
      <c r="G45" s="598"/>
      <c r="H45" s="598"/>
      <c r="I45" s="598">
        <v>7813202</v>
      </c>
    </row>
    <row r="46" spans="1:9" ht="28.5" customHeight="1">
      <c r="A46" s="569" t="s">
        <v>258</v>
      </c>
      <c r="B46" s="581" t="s">
        <v>846</v>
      </c>
      <c r="C46" s="598"/>
      <c r="D46" s="598"/>
      <c r="E46" s="598"/>
      <c r="F46" s="598"/>
      <c r="G46" s="598"/>
      <c r="H46" s="598"/>
      <c r="I46" s="598">
        <v>7603550</v>
      </c>
    </row>
    <row r="47" spans="1:9" ht="28.5" customHeight="1">
      <c r="A47" s="569" t="s">
        <v>260</v>
      </c>
      <c r="B47" s="581" t="s">
        <v>625</v>
      </c>
      <c r="C47" s="598">
        <v>2347531</v>
      </c>
      <c r="D47" s="598"/>
      <c r="E47" s="598"/>
      <c r="F47" s="598"/>
      <c r="G47" s="598"/>
      <c r="H47" s="598"/>
      <c r="I47" s="598">
        <v>5900189</v>
      </c>
    </row>
    <row r="48" spans="1:9" ht="28.5" customHeight="1">
      <c r="A48" s="569" t="s">
        <v>619</v>
      </c>
      <c r="B48" s="581" t="s">
        <v>613</v>
      </c>
      <c r="C48" s="598"/>
      <c r="D48" s="598"/>
      <c r="E48" s="598"/>
      <c r="F48" s="598"/>
      <c r="G48" s="598"/>
      <c r="H48" s="598"/>
      <c r="I48" s="598">
        <v>4628429</v>
      </c>
    </row>
    <row r="49" spans="1:10" ht="19.5" customHeight="1">
      <c r="A49" s="596">
        <v>3</v>
      </c>
      <c r="B49" s="596" t="s">
        <v>279</v>
      </c>
      <c r="C49" s="596">
        <f>+C42+C32</f>
        <v>9077168</v>
      </c>
      <c r="D49" s="596">
        <f t="shared" ref="D49:H49" si="5">+D42+D32</f>
        <v>0</v>
      </c>
      <c r="E49" s="596">
        <f t="shared" si="5"/>
        <v>0</v>
      </c>
      <c r="F49" s="596">
        <f t="shared" si="5"/>
        <v>0</v>
      </c>
      <c r="G49" s="596">
        <f t="shared" si="5"/>
        <v>0</v>
      </c>
      <c r="H49" s="596">
        <f t="shared" si="5"/>
        <v>0</v>
      </c>
      <c r="I49" s="596">
        <f>+I42+I32</f>
        <v>100994344</v>
      </c>
    </row>
    <row r="51" spans="1:10" ht="15.75">
      <c r="A51" s="364"/>
      <c r="B51" s="365" t="s">
        <v>0</v>
      </c>
      <c r="J51" s="364"/>
    </row>
    <row r="52" spans="1:10" ht="15.75">
      <c r="A52" s="364"/>
      <c r="B52" s="365"/>
      <c r="J52" s="364"/>
    </row>
    <row r="53" spans="1:10" ht="15.75">
      <c r="A53" s="364"/>
      <c r="B53" s="365" t="s">
        <v>1</v>
      </c>
      <c r="J53" s="364"/>
    </row>
  </sheetData>
  <sheetProtection algorithmName="SHA-512" hashValue="0KXL4/wwursS9BW7A1V392rehW36vrmCmrXXySrmJPwt0025lx2FFZGF46XxwWUJb63AQgMvh+KnfKeLJPmbPw==" saltValue="zkmBxmyt4jMiknYhcJnJbQ==" spinCount="100000" sheet="1" objects="1" scenarios="1"/>
  <mergeCells count="18">
    <mergeCell ref="A1:I1"/>
    <mergeCell ref="A4:A6"/>
    <mergeCell ref="B4:B6"/>
    <mergeCell ref="C4:C6"/>
    <mergeCell ref="D4:I4"/>
    <mergeCell ref="J4:J6"/>
    <mergeCell ref="D5:E5"/>
    <mergeCell ref="F5:G5"/>
    <mergeCell ref="H5:I5"/>
    <mergeCell ref="I3:J3"/>
    <mergeCell ref="I28:I30"/>
    <mergeCell ref="D29:E29"/>
    <mergeCell ref="F29:G29"/>
    <mergeCell ref="A28:A30"/>
    <mergeCell ref="B28:B30"/>
    <mergeCell ref="C28:C30"/>
    <mergeCell ref="D28:G28"/>
    <mergeCell ref="H28:H30"/>
  </mergeCells>
  <phoneticPr fontId="20" type="noConversion"/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9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23">
    <pageSetUpPr fitToPage="1"/>
  </sheetPr>
  <dimension ref="A1:L59"/>
  <sheetViews>
    <sheetView zoomScale="70" zoomScaleNormal="70" zoomScaleSheetLayoutView="70" workbookViewId="0">
      <selection activeCell="L39" sqref="L39:L41"/>
    </sheetView>
  </sheetViews>
  <sheetFormatPr defaultRowHeight="15.75"/>
  <cols>
    <col min="1" max="1" width="10.140625" style="141" customWidth="1"/>
    <col min="2" max="2" width="52" style="141" customWidth="1"/>
    <col min="3" max="3" width="18.5703125" style="141" customWidth="1"/>
    <col min="4" max="4" width="20.42578125" style="195" customWidth="1"/>
    <col min="5" max="5" width="18.5703125" style="141" customWidth="1"/>
    <col min="6" max="6" width="20.42578125" style="141" customWidth="1"/>
    <col min="7" max="7" width="18.5703125" style="141" customWidth="1"/>
    <col min="8" max="8" width="20.42578125" style="141" customWidth="1"/>
    <col min="9" max="9" width="9.140625" style="141"/>
    <col min="10" max="12" width="16.85546875" style="141" customWidth="1"/>
    <col min="13" max="16384" width="9.140625" style="141"/>
  </cols>
  <sheetData>
    <row r="1" spans="1:12" s="146" customFormat="1" ht="37.5" customHeight="1">
      <c r="A1" s="733" t="s">
        <v>631</v>
      </c>
      <c r="B1" s="733"/>
      <c r="C1" s="733"/>
      <c r="D1" s="733"/>
      <c r="E1" s="733"/>
      <c r="F1" s="733"/>
      <c r="G1" s="733"/>
      <c r="H1" s="181" t="s">
        <v>592</v>
      </c>
    </row>
    <row r="2" spans="1:12" ht="19.5" customHeight="1">
      <c r="B2" s="734"/>
      <c r="C2" s="734"/>
      <c r="D2" s="734"/>
      <c r="E2" s="734"/>
      <c r="F2" s="734"/>
      <c r="G2" s="734"/>
      <c r="H2" s="734"/>
    </row>
    <row r="3" spans="1:12" ht="19.5" customHeight="1">
      <c r="B3" s="170" t="str">
        <f>+'Asset quality'!B3</f>
        <v xml:space="preserve">АК "АЛОКАБАНК" </v>
      </c>
      <c r="C3" s="182"/>
      <c r="D3" s="193"/>
      <c r="F3" s="742">
        <f>+'Asset quality'!P3</f>
        <v>44561</v>
      </c>
      <c r="G3" s="742"/>
      <c r="H3" s="171" t="s">
        <v>382</v>
      </c>
    </row>
    <row r="4" spans="1:12" s="142" customFormat="1" ht="29.25" customHeight="1">
      <c r="A4" s="726" t="s">
        <v>83</v>
      </c>
      <c r="B4" s="726" t="s">
        <v>615</v>
      </c>
      <c r="C4" s="735" t="s">
        <v>605</v>
      </c>
      <c r="D4" s="736"/>
      <c r="E4" s="739" t="s">
        <v>606</v>
      </c>
      <c r="F4" s="740"/>
      <c r="G4" s="740"/>
      <c r="H4" s="741"/>
    </row>
    <row r="5" spans="1:12" s="142" customFormat="1" ht="30" customHeight="1">
      <c r="A5" s="727"/>
      <c r="B5" s="727"/>
      <c r="C5" s="737"/>
      <c r="D5" s="738"/>
      <c r="E5" s="739" t="s">
        <v>617</v>
      </c>
      <c r="F5" s="741"/>
      <c r="G5" s="739" t="s">
        <v>197</v>
      </c>
      <c r="H5" s="741"/>
    </row>
    <row r="6" spans="1:12" s="142" customFormat="1" ht="55.5" customHeight="1">
      <c r="A6" s="727"/>
      <c r="B6" s="728"/>
      <c r="C6" s="213" t="s">
        <v>614</v>
      </c>
      <c r="D6" s="213" t="s">
        <v>609</v>
      </c>
      <c r="E6" s="213" t="s">
        <v>614</v>
      </c>
      <c r="F6" s="213" t="s">
        <v>609</v>
      </c>
      <c r="G6" s="213" t="s">
        <v>614</v>
      </c>
      <c r="H6" s="213" t="s">
        <v>609</v>
      </c>
    </row>
    <row r="7" spans="1:12" s="142" customFormat="1">
      <c r="A7" s="728"/>
      <c r="B7" s="213" t="s">
        <v>182</v>
      </c>
      <c r="C7" s="303" t="s">
        <v>183</v>
      </c>
      <c r="D7" s="213" t="s">
        <v>195</v>
      </c>
      <c r="E7" s="213" t="s">
        <v>184</v>
      </c>
      <c r="F7" s="213" t="s">
        <v>185</v>
      </c>
      <c r="G7" s="213" t="s">
        <v>196</v>
      </c>
      <c r="H7" s="213" t="s">
        <v>186</v>
      </c>
    </row>
    <row r="8" spans="1:12" s="142" customFormat="1" ht="24" customHeight="1">
      <c r="A8" s="159">
        <v>1</v>
      </c>
      <c r="B8" s="216" t="s">
        <v>651</v>
      </c>
      <c r="C8" s="288">
        <f>SUM(C10:C14)</f>
        <v>91630014</v>
      </c>
      <c r="D8" s="289">
        <f>IFERROR(((C10*D10)/C8)+((C11*D11)/C8)+((C12*D12)/C8)+((C13*D13)/C8)+((C14*D14)/C8),0)</f>
        <v>0.1067014738975367</v>
      </c>
      <c r="E8" s="288">
        <f>SUM(E10:E14)</f>
        <v>91630014</v>
      </c>
      <c r="F8" s="289">
        <f>IFERROR(((E10*F10)/E8)+((E11*F11)/E8)+((E12*F12)/E8)+((E13*F13)/E8)+((E14*F14)/E8),0)</f>
        <v>0.1067014738975367</v>
      </c>
      <c r="G8" s="288">
        <f>SUM(G10:G14)</f>
        <v>0</v>
      </c>
      <c r="H8" s="289">
        <f>IFERROR(((G10*H10)/G8)+((G11*H11)/G8)+((G12*H12)/G8)+((G13*H13)/G8)+((G14*H14)/G8),0)</f>
        <v>0</v>
      </c>
      <c r="J8" s="462">
        <f>+C8+C16+C24+C33</f>
        <v>7754313870</v>
      </c>
      <c r="K8" s="462">
        <f>+E8+E16+E24+E33</f>
        <v>4807418968</v>
      </c>
      <c r="L8" s="462">
        <f>+G8+G16+G24+G33</f>
        <v>2946894902</v>
      </c>
    </row>
    <row r="9" spans="1:12" s="142" customFormat="1" ht="17.25" customHeight="1">
      <c r="A9" s="159"/>
      <c r="B9" s="217" t="s">
        <v>616</v>
      </c>
      <c r="C9" s="286"/>
      <c r="D9" s="183"/>
      <c r="E9" s="286"/>
      <c r="F9" s="183"/>
      <c r="G9" s="286"/>
      <c r="H9" s="183"/>
      <c r="J9" s="462">
        <f>+'loans type'!C8</f>
        <v>7754313870</v>
      </c>
      <c r="K9" s="462">
        <f>+'loans type'!E8</f>
        <v>4807418968</v>
      </c>
      <c r="L9" s="462">
        <f>+'loans type'!G8</f>
        <v>2946894902</v>
      </c>
    </row>
    <row r="10" spans="1:12" s="142" customFormat="1" ht="24" customHeight="1">
      <c r="A10" s="145" t="s">
        <v>242</v>
      </c>
      <c r="B10" s="218" t="s">
        <v>607</v>
      </c>
      <c r="C10" s="286">
        <f>+E10+G10</f>
        <v>59138478</v>
      </c>
      <c r="D10" s="197">
        <v>0.1136380134850567</v>
      </c>
      <c r="E10" s="287">
        <v>59138478</v>
      </c>
      <c r="F10" s="197">
        <v>0.1136380134850567</v>
      </c>
      <c r="G10" s="287"/>
      <c r="H10" s="197"/>
      <c r="J10" s="462">
        <f>+J8-J9</f>
        <v>0</v>
      </c>
      <c r="K10" s="462">
        <f t="shared" ref="K10:L10" si="0">+K8-K9</f>
        <v>0</v>
      </c>
      <c r="L10" s="462">
        <f t="shared" si="0"/>
        <v>0</v>
      </c>
    </row>
    <row r="11" spans="1:12" s="142" customFormat="1" ht="24" customHeight="1">
      <c r="A11" s="145" t="s">
        <v>243</v>
      </c>
      <c r="B11" s="218" t="s">
        <v>608</v>
      </c>
      <c r="C11" s="286">
        <f t="shared" ref="C11:C14" si="1">+E11+G11</f>
        <v>45341</v>
      </c>
      <c r="D11" s="197">
        <v>0.14000000000000001</v>
      </c>
      <c r="E11" s="287">
        <v>45341</v>
      </c>
      <c r="F11" s="197">
        <v>0.14000000000000001</v>
      </c>
      <c r="G11" s="287"/>
      <c r="H11" s="197"/>
    </row>
    <row r="12" spans="1:12" s="142" customFormat="1" ht="24" customHeight="1">
      <c r="A12" s="145" t="s">
        <v>244</v>
      </c>
      <c r="B12" s="218" t="s">
        <v>761</v>
      </c>
      <c r="C12" s="286">
        <f t="shared" si="1"/>
        <v>0</v>
      </c>
      <c r="D12" s="197"/>
      <c r="E12" s="287"/>
      <c r="F12" s="197"/>
      <c r="G12" s="287"/>
      <c r="H12" s="197"/>
    </row>
    <row r="13" spans="1:12" s="142" customFormat="1" ht="24" customHeight="1">
      <c r="A13" s="145" t="s">
        <v>248</v>
      </c>
      <c r="B13" s="218" t="s">
        <v>625</v>
      </c>
      <c r="C13" s="286">
        <f t="shared" si="1"/>
        <v>5506710</v>
      </c>
      <c r="D13" s="197">
        <v>6.5457859380966141E-2</v>
      </c>
      <c r="E13" s="287">
        <v>5506710</v>
      </c>
      <c r="F13" s="197">
        <v>6.5457859380966141E-2</v>
      </c>
      <c r="G13" s="287"/>
      <c r="H13" s="197"/>
    </row>
    <row r="14" spans="1:12" s="142" customFormat="1" ht="24" customHeight="1">
      <c r="A14" s="145" t="s">
        <v>249</v>
      </c>
      <c r="B14" s="218" t="s">
        <v>613</v>
      </c>
      <c r="C14" s="286">
        <f t="shared" si="1"/>
        <v>26939485</v>
      </c>
      <c r="D14" s="197">
        <v>9.9848723825657112E-2</v>
      </c>
      <c r="E14" s="287">
        <v>26939485</v>
      </c>
      <c r="F14" s="197">
        <v>9.9848723825657112E-2</v>
      </c>
      <c r="G14" s="287"/>
      <c r="H14" s="197"/>
    </row>
    <row r="15" spans="1:12" s="142" customFormat="1">
      <c r="A15" s="143"/>
      <c r="B15" s="219"/>
      <c r="C15" s="286"/>
      <c r="D15" s="194"/>
      <c r="E15" s="286"/>
      <c r="F15" s="196"/>
      <c r="G15" s="286"/>
      <c r="H15" s="196"/>
    </row>
    <row r="16" spans="1:12" s="142" customFormat="1" ht="24" customHeight="1">
      <c r="A16" s="156">
        <v>2</v>
      </c>
      <c r="B16" s="216" t="s">
        <v>653</v>
      </c>
      <c r="C16" s="288">
        <f>SUM(C18:C22)</f>
        <v>1237354215</v>
      </c>
      <c r="D16" s="289">
        <f>IFERROR(((C18*D18)/C16)+((C19*D19)/C16)+((C20*D20)/C16)+((C21*D21)/C16)+((C22*D22)/C16),0)</f>
        <v>0.23306664419102663</v>
      </c>
      <c r="E16" s="288">
        <f>SUM(E18:E22)</f>
        <v>1237354215</v>
      </c>
      <c r="F16" s="289">
        <f>IFERROR(((E18*F18)/E16)+((E19*F19)/E16)+((E20*F20)/E16)+((E21*F21)/E16)+((E22*F22)/E16),0)</f>
        <v>0.23306664419102663</v>
      </c>
      <c r="G16" s="288">
        <f>SUM(G18:G22)</f>
        <v>0</v>
      </c>
      <c r="H16" s="289">
        <f>IFERROR(((G18*H18)/G16)+((G19*H19)/G16)+((G20*H20)/G16)+((G21*H21)/G16)+((G22*H22)/G16),0)</f>
        <v>0</v>
      </c>
    </row>
    <row r="17" spans="1:8" s="142" customFormat="1" ht="17.25" customHeight="1">
      <c r="A17" s="144"/>
      <c r="B17" s="217" t="s">
        <v>616</v>
      </c>
      <c r="C17" s="286"/>
      <c r="D17" s="183"/>
      <c r="E17" s="286"/>
      <c r="F17" s="183"/>
      <c r="G17" s="286"/>
      <c r="H17" s="183"/>
    </row>
    <row r="18" spans="1:8" s="142" customFormat="1" ht="24" customHeight="1">
      <c r="A18" s="145" t="s">
        <v>255</v>
      </c>
      <c r="B18" s="218" t="s">
        <v>607</v>
      </c>
      <c r="C18" s="286">
        <f t="shared" ref="C18:C22" si="2">+E18+G18</f>
        <v>339218462</v>
      </c>
      <c r="D18" s="197">
        <v>0.18101865709191109</v>
      </c>
      <c r="E18" s="287">
        <v>339218462</v>
      </c>
      <c r="F18" s="197">
        <v>0.18101865709191109</v>
      </c>
      <c r="G18" s="287"/>
      <c r="H18" s="197"/>
    </row>
    <row r="19" spans="1:8" s="142" customFormat="1" ht="24" customHeight="1">
      <c r="A19" s="145" t="s">
        <v>256</v>
      </c>
      <c r="B19" s="218" t="s">
        <v>608</v>
      </c>
      <c r="C19" s="286">
        <f t="shared" si="2"/>
        <v>362753040</v>
      </c>
      <c r="D19" s="197">
        <v>0.2331192550614217</v>
      </c>
      <c r="E19" s="287">
        <v>362753040</v>
      </c>
      <c r="F19" s="197">
        <v>0.2331192550614217</v>
      </c>
      <c r="G19" s="287"/>
      <c r="H19" s="197"/>
    </row>
    <row r="20" spans="1:8" s="142" customFormat="1" ht="24" customHeight="1">
      <c r="A20" s="145" t="s">
        <v>258</v>
      </c>
      <c r="B20" s="218" t="s">
        <v>761</v>
      </c>
      <c r="C20" s="286">
        <f t="shared" si="2"/>
        <v>513443354</v>
      </c>
      <c r="D20" s="197">
        <v>0.26706628332716154</v>
      </c>
      <c r="E20" s="287">
        <v>513443354</v>
      </c>
      <c r="F20" s="197">
        <v>0.26706628332716154</v>
      </c>
      <c r="G20" s="287"/>
      <c r="H20" s="197"/>
    </row>
    <row r="21" spans="1:8" s="142" customFormat="1" ht="24" customHeight="1">
      <c r="A21" s="145" t="s">
        <v>260</v>
      </c>
      <c r="B21" s="218" t="s">
        <v>625</v>
      </c>
      <c r="C21" s="286">
        <f t="shared" si="2"/>
        <v>17138978</v>
      </c>
      <c r="D21" s="197">
        <v>0.26651473425703093</v>
      </c>
      <c r="E21" s="287">
        <v>17138978</v>
      </c>
      <c r="F21" s="197">
        <v>0.26651473425703093</v>
      </c>
      <c r="G21" s="287"/>
      <c r="H21" s="197"/>
    </row>
    <row r="22" spans="1:8" s="142" customFormat="1" ht="24" customHeight="1">
      <c r="A22" s="145" t="s">
        <v>619</v>
      </c>
      <c r="B22" s="218" t="s">
        <v>613</v>
      </c>
      <c r="C22" s="286">
        <f t="shared" si="2"/>
        <v>4800381</v>
      </c>
      <c r="D22" s="197">
        <v>0.15107284998071827</v>
      </c>
      <c r="E22" s="287">
        <v>4800381</v>
      </c>
      <c r="F22" s="197">
        <v>0.15107284998071827</v>
      </c>
      <c r="G22" s="287"/>
      <c r="H22" s="197"/>
    </row>
    <row r="23" spans="1:8" s="142" customFormat="1">
      <c r="A23" s="143"/>
      <c r="B23" s="219"/>
      <c r="C23" s="286"/>
      <c r="D23" s="194"/>
      <c r="E23" s="286"/>
      <c r="F23" s="196"/>
      <c r="G23" s="286"/>
      <c r="H23" s="196"/>
    </row>
    <row r="24" spans="1:8" s="142" customFormat="1" ht="36.75" customHeight="1">
      <c r="A24" s="156">
        <v>3</v>
      </c>
      <c r="B24" s="216" t="s">
        <v>652</v>
      </c>
      <c r="C24" s="288">
        <f>SUM(C26:C31)</f>
        <v>1143197050</v>
      </c>
      <c r="D24" s="289">
        <f>IFERROR(((C26*D26)/C24)+((C27*D27)/C24)+((C28*D28)/C24)+((C29*D29)/C24)+((C30*D30)/C24)+((C31*D31)/C24),0)</f>
        <v>8.7918903256954076E-2</v>
      </c>
      <c r="E24" s="288">
        <f>SUM(E26:E31)</f>
        <v>751196483</v>
      </c>
      <c r="F24" s="289">
        <f>IFERROR(((E26*F26)/E24)+((E27*F27)/E24)+((E28*F28)/E24)+((E29*F29)/E24)+((E30*F30)/E24)+((E31*F31)/E24),0)</f>
        <v>0.11515432655057257</v>
      </c>
      <c r="G24" s="288">
        <f>SUM(G26:G31)</f>
        <v>392000567</v>
      </c>
      <c r="H24" s="289">
        <f>IFERROR(((G26*H26)/G24)+((G27*H27)/G24)+((G28*H28)/G24)+((G29*H29)/G24)+((G30*H30)/G24)+((G31*H31)/G24),0)</f>
        <v>3.5727258893981623E-2</v>
      </c>
    </row>
    <row r="25" spans="1:8" s="142" customFormat="1">
      <c r="A25" s="144"/>
      <c r="B25" s="217" t="s">
        <v>616</v>
      </c>
      <c r="C25" s="286"/>
      <c r="D25" s="196"/>
      <c r="E25" s="286"/>
      <c r="F25" s="196"/>
      <c r="G25" s="286"/>
      <c r="H25" s="196"/>
    </row>
    <row r="26" spans="1:8" s="142" customFormat="1" ht="24" customHeight="1">
      <c r="A26" s="145" t="s">
        <v>263</v>
      </c>
      <c r="B26" s="219" t="s">
        <v>626</v>
      </c>
      <c r="C26" s="286">
        <f t="shared" ref="C26:C31" si="3">+E26+G26</f>
        <v>5859843</v>
      </c>
      <c r="D26" s="197">
        <v>9.1134154867453035E-2</v>
      </c>
      <c r="E26" s="287">
        <v>5859843</v>
      </c>
      <c r="F26" s="197">
        <v>9.1134154867453035E-2</v>
      </c>
      <c r="G26" s="287">
        <v>0</v>
      </c>
      <c r="H26" s="197">
        <v>0</v>
      </c>
    </row>
    <row r="27" spans="1:8" s="142" customFormat="1" ht="24" customHeight="1">
      <c r="A27" s="145" t="s">
        <v>264</v>
      </c>
      <c r="B27" s="219" t="s">
        <v>627</v>
      </c>
      <c r="C27" s="286">
        <f t="shared" si="3"/>
        <v>0</v>
      </c>
      <c r="D27" s="197"/>
      <c r="E27" s="287"/>
      <c r="F27" s="197"/>
      <c r="G27" s="287"/>
      <c r="H27" s="197"/>
    </row>
    <row r="28" spans="1:8" s="142" customFormat="1" ht="24" customHeight="1">
      <c r="A28" s="145" t="s">
        <v>265</v>
      </c>
      <c r="B28" s="219" t="s">
        <v>628</v>
      </c>
      <c r="C28" s="286">
        <f t="shared" si="3"/>
        <v>305556</v>
      </c>
      <c r="D28" s="197">
        <v>0</v>
      </c>
      <c r="E28" s="287">
        <v>305556</v>
      </c>
      <c r="F28" s="197">
        <v>0</v>
      </c>
      <c r="G28" s="287">
        <v>0</v>
      </c>
      <c r="H28" s="197">
        <v>0</v>
      </c>
    </row>
    <row r="29" spans="1:8" s="142" customFormat="1" ht="32.25" customHeight="1">
      <c r="A29" s="145" t="s">
        <v>266</v>
      </c>
      <c r="B29" s="219" t="s">
        <v>629</v>
      </c>
      <c r="C29" s="286">
        <f t="shared" si="3"/>
        <v>0</v>
      </c>
      <c r="D29" s="197"/>
      <c r="E29" s="287"/>
      <c r="F29" s="197"/>
      <c r="G29" s="287"/>
      <c r="H29" s="197"/>
    </row>
    <row r="30" spans="1:8" s="142" customFormat="1" ht="32.25" customHeight="1">
      <c r="A30" s="145" t="s">
        <v>268</v>
      </c>
      <c r="B30" s="219" t="s">
        <v>630</v>
      </c>
      <c r="C30" s="286">
        <f t="shared" si="3"/>
        <v>0</v>
      </c>
      <c r="D30" s="197"/>
      <c r="E30" s="287"/>
      <c r="F30" s="197"/>
      <c r="G30" s="287"/>
      <c r="H30" s="197"/>
    </row>
    <row r="31" spans="1:8" s="142" customFormat="1" ht="32.25" customHeight="1">
      <c r="A31" s="145" t="s">
        <v>269</v>
      </c>
      <c r="B31" s="218" t="s">
        <v>618</v>
      </c>
      <c r="C31" s="286">
        <f t="shared" si="3"/>
        <v>1137031651</v>
      </c>
      <c r="D31" s="661">
        <v>8.7925959594175207E-2</v>
      </c>
      <c r="E31" s="287">
        <v>745031084</v>
      </c>
      <c r="F31" s="197">
        <v>0.11539047848312685</v>
      </c>
      <c r="G31" s="287">
        <v>392000567</v>
      </c>
      <c r="H31" s="197">
        <v>3.5727258893981623E-2</v>
      </c>
    </row>
    <row r="32" spans="1:8" s="142" customFormat="1">
      <c r="A32" s="143"/>
      <c r="B32" s="219"/>
      <c r="C32" s="286"/>
      <c r="D32" s="194"/>
      <c r="E32" s="286"/>
      <c r="F32" s="196"/>
      <c r="G32" s="286"/>
      <c r="H32" s="196"/>
    </row>
    <row r="33" spans="1:10" s="142" customFormat="1" ht="36.75" customHeight="1">
      <c r="A33" s="156">
        <v>4</v>
      </c>
      <c r="B33" s="216" t="s">
        <v>654</v>
      </c>
      <c r="C33" s="288">
        <f>SUM(C35:C40)</f>
        <v>5282132591</v>
      </c>
      <c r="D33" s="289">
        <f>IFERROR(((C35*D35)/C33)+((C36*D36)/C33)+((C37*D37)/C33)+((C38*D38)/C33)+((C39*D39)/C33)+((C40*D40)/C33),0)</f>
        <v>0.14579482955904782</v>
      </c>
      <c r="E33" s="288">
        <f>SUM(E35:E40)</f>
        <v>2727238256</v>
      </c>
      <c r="F33" s="289">
        <f>IFERROR(((E35*F35)/E33)+((E36*F36)/E33)+((E37*F37)/E33)+((E38*F38)/E33)+((E39*F39)/E33)+((E40*F40)/E33),0)</f>
        <v>0.20856435935610318</v>
      </c>
      <c r="G33" s="288">
        <f>SUM(G35:G40)</f>
        <v>2554894335</v>
      </c>
      <c r="H33" s="289">
        <f>IFERROR(((G35*H35)/G33)+((G36*H36)/G33)+((G37*H37)/G33)+((G38*H38)/G33)+((G39*H39)/G33)+((G40*H40)/G33),0)</f>
        <v>7.8791094478115095E-2</v>
      </c>
    </row>
    <row r="34" spans="1:10" s="142" customFormat="1">
      <c r="A34" s="144"/>
      <c r="B34" s="217" t="s">
        <v>616</v>
      </c>
      <c r="C34" s="286"/>
      <c r="D34" s="196"/>
      <c r="E34" s="286"/>
      <c r="F34" s="196"/>
      <c r="G34" s="286"/>
      <c r="H34" s="196"/>
    </row>
    <row r="35" spans="1:10" s="142" customFormat="1" ht="24" customHeight="1">
      <c r="A35" s="145" t="s">
        <v>559</v>
      </c>
      <c r="B35" s="219" t="s">
        <v>626</v>
      </c>
      <c r="C35" s="286">
        <f t="shared" ref="C35:C40" si="4">+E35+G35</f>
        <v>40510094</v>
      </c>
      <c r="D35" s="197">
        <v>0.23083762966348481</v>
      </c>
      <c r="E35" s="287">
        <v>37518726</v>
      </c>
      <c r="F35" s="197">
        <v>0.24044690588804873</v>
      </c>
      <c r="G35" s="287">
        <v>2991368</v>
      </c>
      <c r="H35" s="197">
        <v>0.11031489019174416</v>
      </c>
    </row>
    <row r="36" spans="1:10" s="142" customFormat="1" ht="24" customHeight="1">
      <c r="A36" s="145" t="s">
        <v>560</v>
      </c>
      <c r="B36" s="219" t="s">
        <v>627</v>
      </c>
      <c r="C36" s="286">
        <f t="shared" si="4"/>
        <v>0</v>
      </c>
      <c r="D36" s="197"/>
      <c r="E36" s="287"/>
      <c r="F36" s="197"/>
      <c r="G36" s="287"/>
      <c r="H36" s="197"/>
    </row>
    <row r="37" spans="1:10" s="142" customFormat="1" ht="24" customHeight="1">
      <c r="A37" s="145" t="s">
        <v>655</v>
      </c>
      <c r="B37" s="219" t="s">
        <v>628</v>
      </c>
      <c r="C37" s="286">
        <f t="shared" si="4"/>
        <v>0</v>
      </c>
      <c r="D37" s="197"/>
      <c r="E37" s="287"/>
      <c r="F37" s="197"/>
      <c r="G37" s="287"/>
      <c r="H37" s="197"/>
    </row>
    <row r="38" spans="1:10" s="142" customFormat="1" ht="32.25" customHeight="1">
      <c r="A38" s="145" t="s">
        <v>656</v>
      </c>
      <c r="B38" s="219" t="s">
        <v>629</v>
      </c>
      <c r="C38" s="286">
        <f t="shared" si="4"/>
        <v>0</v>
      </c>
      <c r="D38" s="197"/>
      <c r="E38" s="287"/>
      <c r="F38" s="197"/>
      <c r="G38" s="287"/>
      <c r="H38" s="197"/>
    </row>
    <row r="39" spans="1:10" s="142" customFormat="1" ht="32.25" customHeight="1">
      <c r="A39" s="145" t="s">
        <v>657</v>
      </c>
      <c r="B39" s="219" t="s">
        <v>630</v>
      </c>
      <c r="C39" s="286">
        <f t="shared" si="4"/>
        <v>0</v>
      </c>
      <c r="D39" s="197"/>
      <c r="E39" s="287"/>
      <c r="F39" s="197"/>
      <c r="G39" s="287"/>
      <c r="H39" s="197"/>
    </row>
    <row r="40" spans="1:10" s="142" customFormat="1" ht="32.25" customHeight="1">
      <c r="A40" s="145" t="s">
        <v>658</v>
      </c>
      <c r="B40" s="218" t="s">
        <v>618</v>
      </c>
      <c r="C40" s="286">
        <f t="shared" si="4"/>
        <v>5241622497</v>
      </c>
      <c r="D40" s="197">
        <v>0.14513757279776338</v>
      </c>
      <c r="E40" s="287">
        <v>2689719530</v>
      </c>
      <c r="F40" s="197">
        <v>0.20811963175005635</v>
      </c>
      <c r="G40" s="287">
        <v>2551902967</v>
      </c>
      <c r="H40" s="197">
        <v>7.875414194702135E-2</v>
      </c>
    </row>
    <row r="41" spans="1:10" s="20" customFormat="1" ht="12" customHeight="1">
      <c r="B41" s="30"/>
      <c r="C41" s="79"/>
    </row>
    <row r="42" spans="1:10" s="20" customFormat="1" ht="12.75">
      <c r="B42" s="30"/>
      <c r="C42" s="79"/>
    </row>
    <row r="43" spans="1:10" s="23" customFormat="1">
      <c r="A43" s="84"/>
      <c r="B43" s="94" t="s">
        <v>0</v>
      </c>
      <c r="C43" s="310"/>
      <c r="J43" s="84"/>
    </row>
    <row r="44" spans="1:10" s="23" customFormat="1">
      <c r="A44" s="84"/>
      <c r="B44" s="94"/>
      <c r="C44" s="310"/>
      <c r="J44" s="84"/>
    </row>
    <row r="45" spans="1:10" s="23" customFormat="1">
      <c r="A45" s="84"/>
      <c r="B45" s="94" t="s">
        <v>1</v>
      </c>
      <c r="C45" s="310"/>
      <c r="J45" s="84"/>
    </row>
    <row r="46" spans="1:10" s="23" customFormat="1">
      <c r="A46" s="84"/>
      <c r="B46" s="94"/>
      <c r="J46" s="84"/>
    </row>
    <row r="47" spans="1:10">
      <c r="A47" s="304"/>
      <c r="B47" s="304" t="s">
        <v>152</v>
      </c>
      <c r="C47" s="309">
        <f>+C8+C16+C24+C33</f>
        <v>7754313870</v>
      </c>
      <c r="D47" s="309"/>
      <c r="E47" s="309">
        <f>+E8+E16+E24+E33</f>
        <v>4807418968</v>
      </c>
      <c r="F47" s="309"/>
      <c r="G47" s="309">
        <f>+G8+G16+G24+G33</f>
        <v>2946894902</v>
      </c>
      <c r="H47" s="305"/>
    </row>
    <row r="48" spans="1:10">
      <c r="A48" s="304"/>
      <c r="B48" s="305"/>
      <c r="C48" s="309">
        <f>+C50+C54</f>
        <v>7754313870</v>
      </c>
      <c r="D48" s="309"/>
      <c r="E48" s="309">
        <f>+E9+E17+E25+E34</f>
        <v>0</v>
      </c>
      <c r="F48" s="309"/>
      <c r="G48" s="309">
        <f>+G50+G54</f>
        <v>2946894902</v>
      </c>
      <c r="H48" s="305"/>
    </row>
    <row r="49" spans="1:8">
      <c r="A49" s="304"/>
      <c r="B49" s="304"/>
      <c r="C49" s="309"/>
      <c r="D49" s="309"/>
      <c r="E49" s="309"/>
      <c r="F49" s="309"/>
      <c r="G49" s="309"/>
      <c r="H49" s="305"/>
    </row>
    <row r="50" spans="1:8">
      <c r="A50" s="305"/>
      <c r="B50" s="304" t="s">
        <v>683</v>
      </c>
      <c r="C50" s="309">
        <f>+'Asset Classification'!C12</f>
        <v>1328984229</v>
      </c>
      <c r="D50" s="309"/>
      <c r="E50" s="309"/>
      <c r="F50" s="309"/>
      <c r="G50" s="309">
        <f>+'Asset Classification'!D12</f>
        <v>0</v>
      </c>
      <c r="H50" s="306"/>
    </row>
    <row r="51" spans="1:8">
      <c r="A51" s="305"/>
      <c r="B51" s="304"/>
      <c r="C51" s="309">
        <f>C8+C16</f>
        <v>1328984229</v>
      </c>
      <c r="D51" s="309"/>
      <c r="E51" s="309"/>
      <c r="F51" s="309"/>
      <c r="G51" s="309">
        <f>G8+G16</f>
        <v>0</v>
      </c>
      <c r="H51" s="306"/>
    </row>
    <row r="52" spans="1:8">
      <c r="A52" s="305"/>
      <c r="B52" s="304"/>
      <c r="C52" s="309">
        <f>+C50-C51</f>
        <v>0</v>
      </c>
      <c r="D52" s="309"/>
      <c r="E52" s="309"/>
      <c r="F52" s="309"/>
      <c r="G52" s="309">
        <f>+G50-G51</f>
        <v>0</v>
      </c>
      <c r="H52" s="306"/>
    </row>
    <row r="53" spans="1:8">
      <c r="A53" s="305"/>
      <c r="B53" s="304"/>
      <c r="C53" s="308"/>
      <c r="D53" s="308"/>
      <c r="E53" s="308"/>
      <c r="F53" s="308"/>
      <c r="G53" s="308"/>
      <c r="H53" s="306"/>
    </row>
    <row r="54" spans="1:8">
      <c r="A54" s="305"/>
      <c r="B54" s="304" t="s">
        <v>684</v>
      </c>
      <c r="C54" s="309">
        <f>+'Asset Classification'!C30-'Asset Classification'!C12</f>
        <v>6425329641</v>
      </c>
      <c r="D54" s="309"/>
      <c r="E54" s="309"/>
      <c r="F54" s="309"/>
      <c r="G54" s="309">
        <f>+'Asset Classification'!D30-'Asset Classification'!D12</f>
        <v>2946894902</v>
      </c>
      <c r="H54" s="306"/>
    </row>
    <row r="55" spans="1:8">
      <c r="A55" s="305"/>
      <c r="B55" s="304"/>
      <c r="C55" s="309">
        <f>C24+C33</f>
        <v>6425329641</v>
      </c>
      <c r="D55" s="309"/>
      <c r="E55" s="309"/>
      <c r="F55" s="309"/>
      <c r="G55" s="309">
        <f>G24+G33</f>
        <v>2946894902</v>
      </c>
      <c r="H55" s="306"/>
    </row>
    <row r="56" spans="1:8">
      <c r="A56" s="305"/>
      <c r="B56" s="304"/>
      <c r="C56" s="309">
        <f>+C54-C55</f>
        <v>0</v>
      </c>
      <c r="D56" s="309"/>
      <c r="E56" s="309"/>
      <c r="F56" s="309"/>
      <c r="G56" s="309">
        <f>+G54-G55</f>
        <v>0</v>
      </c>
      <c r="H56" s="306"/>
    </row>
    <row r="57" spans="1:8">
      <c r="A57" s="305"/>
      <c r="B57" s="304"/>
      <c r="C57" s="306"/>
      <c r="D57" s="306"/>
      <c r="E57" s="306"/>
      <c r="F57" s="306"/>
      <c r="G57" s="306"/>
      <c r="H57" s="306"/>
    </row>
    <row r="58" spans="1:8">
      <c r="A58" s="305"/>
      <c r="B58" s="304"/>
      <c r="C58" s="306"/>
      <c r="D58" s="306"/>
      <c r="E58" s="306"/>
      <c r="F58" s="306"/>
      <c r="G58" s="306"/>
      <c r="H58" s="306"/>
    </row>
    <row r="59" spans="1:8">
      <c r="B59" s="304"/>
    </row>
  </sheetData>
  <sheetProtection algorithmName="SHA-512" hashValue="NSgma5BcadvqUmrpQwPf1+jTONhvlf1IVfD9eb9h/pt9nkA03o65DiApz+p/YzkvEaZL5hIxNzj3jsaUFsmaeg==" saltValue="lwxg64zdbJq6JPFPViUmfA==" spinCount="100000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122" priority="2" operator="notEqual">
      <formula>$C$54-$C$24</formula>
    </cfRule>
  </conditionalFormatting>
  <conditionalFormatting sqref="C16">
    <cfRule type="cellIs" dxfId="121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3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30">
    <pageSetUpPr fitToPage="1"/>
  </sheetPr>
  <dimension ref="A1:AF48"/>
  <sheetViews>
    <sheetView topLeftCell="A4" zoomScale="55" zoomScaleNormal="55" zoomScaleSheetLayoutView="55" workbookViewId="0">
      <pane xSplit="2" ySplit="4" topLeftCell="M8" activePane="bottomRight" state="frozen"/>
      <selection activeCell="C73" sqref="C73"/>
      <selection pane="topRight" activeCell="C73" sqref="C73"/>
      <selection pane="bottomLeft" activeCell="C73" sqref="C73"/>
      <selection pane="bottomRight" activeCell="Y36" sqref="Y36:Z39"/>
    </sheetView>
  </sheetViews>
  <sheetFormatPr defaultRowHeight="18.75"/>
  <cols>
    <col min="1" max="1" width="9.5703125" style="324" customWidth="1"/>
    <col min="2" max="2" width="61.7109375" style="324" customWidth="1"/>
    <col min="3" max="3" width="21.42578125" style="324" customWidth="1"/>
    <col min="4" max="4" width="13.7109375" style="325" customWidth="1"/>
    <col min="5" max="5" width="21.42578125" style="324" customWidth="1"/>
    <col min="6" max="6" width="13.7109375" style="324" customWidth="1"/>
    <col min="7" max="7" width="21.42578125" style="324" customWidth="1"/>
    <col min="8" max="8" width="13.7109375" style="324" customWidth="1"/>
    <col min="9" max="25" width="18.85546875" style="324" customWidth="1"/>
    <col min="26" max="26" width="21.7109375" style="324" customWidth="1"/>
    <col min="27" max="27" width="27.42578125" style="324" customWidth="1"/>
    <col min="28" max="32" width="20.7109375" style="373" customWidth="1"/>
    <col min="33" max="16384" width="9.140625" style="324"/>
  </cols>
  <sheetData>
    <row r="1" spans="1:32">
      <c r="Z1" s="351" t="s">
        <v>727</v>
      </c>
    </row>
    <row r="2" spans="1:32" s="326" customFormat="1" ht="50.25" customHeight="1">
      <c r="A2" s="743" t="s">
        <v>766</v>
      </c>
      <c r="B2" s="743"/>
      <c r="C2" s="743"/>
      <c r="D2" s="743"/>
      <c r="E2" s="743"/>
      <c r="F2" s="743"/>
      <c r="G2" s="743"/>
      <c r="H2" s="743"/>
      <c r="I2" s="743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743"/>
      <c r="U2" s="743"/>
      <c r="V2" s="743"/>
      <c r="W2" s="743"/>
      <c r="X2" s="743"/>
      <c r="Y2" s="743"/>
      <c r="Z2" s="743"/>
      <c r="AB2" s="374"/>
      <c r="AC2" s="374"/>
      <c r="AD2" s="374"/>
      <c r="AE2" s="374"/>
      <c r="AF2" s="374"/>
    </row>
    <row r="3" spans="1:32" ht="19.5" customHeight="1">
      <c r="B3" s="327" t="str">
        <f>+'Asset quality'!B3</f>
        <v xml:space="preserve">АК "АЛОКАБАНК" 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V3" s="754">
        <f>+'Asset quality'!P3</f>
        <v>44561</v>
      </c>
      <c r="W3" s="754"/>
      <c r="Z3" s="162" t="s">
        <v>382</v>
      </c>
    </row>
    <row r="4" spans="1:32" s="328" customFormat="1" ht="18.75" customHeight="1">
      <c r="A4" s="744" t="s">
        <v>83</v>
      </c>
      <c r="B4" s="744" t="s">
        <v>615</v>
      </c>
      <c r="C4" s="747" t="s">
        <v>605</v>
      </c>
      <c r="D4" s="748"/>
      <c r="E4" s="748"/>
      <c r="F4" s="748"/>
      <c r="G4" s="748"/>
      <c r="H4" s="749"/>
      <c r="I4" s="747" t="s">
        <v>728</v>
      </c>
      <c r="J4" s="748"/>
      <c r="K4" s="748"/>
      <c r="L4" s="748"/>
      <c r="M4" s="749"/>
      <c r="N4" s="753" t="s">
        <v>385</v>
      </c>
      <c r="O4" s="753"/>
      <c r="P4" s="753"/>
      <c r="Q4" s="753"/>
      <c r="R4" s="753"/>
      <c r="S4" s="753" t="s">
        <v>387</v>
      </c>
      <c r="T4" s="753"/>
      <c r="U4" s="753"/>
      <c r="V4" s="753"/>
      <c r="W4" s="753"/>
      <c r="X4" s="753"/>
      <c r="Y4" s="744" t="s">
        <v>729</v>
      </c>
      <c r="Z4" s="744" t="s">
        <v>730</v>
      </c>
      <c r="AB4" s="375"/>
      <c r="AC4" s="375"/>
      <c r="AD4" s="375"/>
      <c r="AE4" s="375"/>
      <c r="AF4" s="375"/>
    </row>
    <row r="5" spans="1:32" s="328" customFormat="1" ht="26.25" customHeight="1">
      <c r="A5" s="745"/>
      <c r="B5" s="745"/>
      <c r="C5" s="750"/>
      <c r="D5" s="751"/>
      <c r="E5" s="751"/>
      <c r="F5" s="751"/>
      <c r="G5" s="751"/>
      <c r="H5" s="752"/>
      <c r="I5" s="753" t="s">
        <v>731</v>
      </c>
      <c r="J5" s="753" t="s">
        <v>732</v>
      </c>
      <c r="K5" s="753" t="s">
        <v>733</v>
      </c>
      <c r="L5" s="753" t="s">
        <v>734</v>
      </c>
      <c r="M5" s="753" t="s">
        <v>735</v>
      </c>
      <c r="N5" s="753"/>
      <c r="O5" s="753"/>
      <c r="P5" s="753"/>
      <c r="Q5" s="753"/>
      <c r="R5" s="753"/>
      <c r="S5" s="753" t="s">
        <v>388</v>
      </c>
      <c r="T5" s="753" t="s">
        <v>394</v>
      </c>
      <c r="U5" s="753"/>
      <c r="V5" s="753"/>
      <c r="W5" s="753"/>
      <c r="X5" s="753"/>
      <c r="Y5" s="745"/>
      <c r="Z5" s="745"/>
      <c r="AB5" s="375"/>
      <c r="AC5" s="375"/>
      <c r="AD5" s="375"/>
      <c r="AE5" s="375"/>
      <c r="AF5" s="375"/>
    </row>
    <row r="6" spans="1:32" s="328" customFormat="1" ht="63" customHeight="1">
      <c r="A6" s="745"/>
      <c r="B6" s="746"/>
      <c r="C6" s="354" t="s">
        <v>736</v>
      </c>
      <c r="D6" s="353" t="s">
        <v>737</v>
      </c>
      <c r="E6" s="354" t="s">
        <v>738</v>
      </c>
      <c r="F6" s="353" t="s">
        <v>737</v>
      </c>
      <c r="G6" s="354" t="s">
        <v>739</v>
      </c>
      <c r="H6" s="353" t="s">
        <v>737</v>
      </c>
      <c r="I6" s="753"/>
      <c r="J6" s="753"/>
      <c r="K6" s="753"/>
      <c r="L6" s="753"/>
      <c r="M6" s="753"/>
      <c r="N6" s="355" t="s">
        <v>252</v>
      </c>
      <c r="O6" s="355" t="s">
        <v>75</v>
      </c>
      <c r="P6" s="355" t="s">
        <v>77</v>
      </c>
      <c r="Q6" s="355" t="s">
        <v>78</v>
      </c>
      <c r="R6" s="355" t="s">
        <v>81</v>
      </c>
      <c r="S6" s="753"/>
      <c r="T6" s="355" t="s">
        <v>252</v>
      </c>
      <c r="U6" s="355" t="s">
        <v>75</v>
      </c>
      <c r="V6" s="355" t="s">
        <v>77</v>
      </c>
      <c r="W6" s="355" t="s">
        <v>78</v>
      </c>
      <c r="X6" s="355" t="s">
        <v>81</v>
      </c>
      <c r="Y6" s="746"/>
      <c r="Z6" s="746"/>
      <c r="AA6" s="377"/>
      <c r="AB6" s="376" t="s">
        <v>252</v>
      </c>
      <c r="AC6" s="376" t="s">
        <v>75</v>
      </c>
      <c r="AD6" s="376" t="s">
        <v>77</v>
      </c>
      <c r="AE6" s="376" t="s">
        <v>78</v>
      </c>
      <c r="AF6" s="376" t="s">
        <v>81</v>
      </c>
    </row>
    <row r="7" spans="1:32" s="328" customFormat="1">
      <c r="A7" s="746"/>
      <c r="B7" s="352" t="s">
        <v>182</v>
      </c>
      <c r="C7" s="352" t="s">
        <v>183</v>
      </c>
      <c r="D7" s="352" t="s">
        <v>195</v>
      </c>
      <c r="E7" s="352" t="s">
        <v>184</v>
      </c>
      <c r="F7" s="352" t="s">
        <v>185</v>
      </c>
      <c r="G7" s="352" t="s">
        <v>196</v>
      </c>
      <c r="H7" s="352" t="s">
        <v>186</v>
      </c>
      <c r="I7" s="352" t="s">
        <v>187</v>
      </c>
      <c r="J7" s="352" t="s">
        <v>188</v>
      </c>
      <c r="K7" s="352" t="s">
        <v>189</v>
      </c>
      <c r="L7" s="352" t="s">
        <v>190</v>
      </c>
      <c r="M7" s="352" t="s">
        <v>191</v>
      </c>
      <c r="N7" s="352" t="s">
        <v>192</v>
      </c>
      <c r="O7" s="352" t="s">
        <v>395</v>
      </c>
      <c r="P7" s="352" t="s">
        <v>396</v>
      </c>
      <c r="Q7" s="352" t="s">
        <v>397</v>
      </c>
      <c r="R7" s="352" t="s">
        <v>398</v>
      </c>
      <c r="S7" s="352" t="s">
        <v>643</v>
      </c>
      <c r="T7" s="352" t="s">
        <v>681</v>
      </c>
      <c r="U7" s="352" t="s">
        <v>740</v>
      </c>
      <c r="V7" s="352" t="s">
        <v>741</v>
      </c>
      <c r="W7" s="352" t="s">
        <v>742</v>
      </c>
      <c r="X7" s="352" t="s">
        <v>743</v>
      </c>
      <c r="Y7" s="352" t="s">
        <v>744</v>
      </c>
      <c r="Z7" s="352" t="s">
        <v>745</v>
      </c>
      <c r="AA7" s="377"/>
      <c r="AB7" s="375"/>
      <c r="AC7" s="375"/>
      <c r="AD7" s="375"/>
      <c r="AE7" s="375"/>
      <c r="AF7" s="375"/>
    </row>
    <row r="8" spans="1:32" s="328" customFormat="1" ht="49.5" customHeight="1">
      <c r="A8" s="329"/>
      <c r="B8" s="330" t="s">
        <v>198</v>
      </c>
      <c r="C8" s="331">
        <f>+C9+C25</f>
        <v>7754313870</v>
      </c>
      <c r="D8" s="332">
        <f>IFERROR(((C9*D9)/C8)+((C25*D25)/C8),0)</f>
        <v>0</v>
      </c>
      <c r="E8" s="331">
        <f t="shared" ref="E8:G8" si="0">+E9+E25</f>
        <v>4807418968</v>
      </c>
      <c r="F8" s="332">
        <f>IFERROR(((E9*F9)/E8)+((E25*F25)/E8),0)</f>
        <v>0.20140533189233445</v>
      </c>
      <c r="G8" s="331">
        <f t="shared" si="0"/>
        <v>2946894902</v>
      </c>
      <c r="H8" s="332">
        <f>IFERROR(((G9*H9)/G8)+((G25*H25)/G8),0)</f>
        <v>7.3062675739332783E-2</v>
      </c>
      <c r="I8" s="331">
        <f t="shared" ref="I8:Z8" si="1">+I9+I25</f>
        <v>7585304009</v>
      </c>
      <c r="J8" s="331">
        <f t="shared" si="1"/>
        <v>165774170</v>
      </c>
      <c r="K8" s="331">
        <f t="shared" si="1"/>
        <v>15586</v>
      </c>
      <c r="L8" s="331">
        <f t="shared" si="1"/>
        <v>3220105</v>
      </c>
      <c r="M8" s="331">
        <f t="shared" si="1"/>
        <v>0</v>
      </c>
      <c r="N8" s="331">
        <f t="shared" si="1"/>
        <v>6823371532</v>
      </c>
      <c r="O8" s="331">
        <f t="shared" si="1"/>
        <v>616609354</v>
      </c>
      <c r="P8" s="331">
        <f t="shared" si="1"/>
        <v>71675920</v>
      </c>
      <c r="Q8" s="331">
        <f t="shared" si="1"/>
        <v>73761027</v>
      </c>
      <c r="R8" s="331">
        <f t="shared" si="1"/>
        <v>168896037</v>
      </c>
      <c r="S8" s="331">
        <f t="shared" si="1"/>
        <v>159947309</v>
      </c>
      <c r="T8" s="331">
        <f t="shared" si="1"/>
        <v>58952965</v>
      </c>
      <c r="U8" s="331">
        <f t="shared" si="1"/>
        <v>20742554</v>
      </c>
      <c r="V8" s="331">
        <f t="shared" si="1"/>
        <v>6483802</v>
      </c>
      <c r="W8" s="331">
        <f t="shared" si="1"/>
        <v>16043961</v>
      </c>
      <c r="X8" s="331">
        <f t="shared" si="1"/>
        <v>57724027</v>
      </c>
      <c r="Y8" s="331">
        <f t="shared" si="1"/>
        <v>25745378</v>
      </c>
      <c r="Z8" s="331">
        <f t="shared" si="1"/>
        <v>44554200</v>
      </c>
      <c r="AA8" s="377">
        <f>+'Loans Receivable'!C92</f>
        <v>7754313870</v>
      </c>
      <c r="AB8" s="377">
        <f>+'Asset Classification'!G30</f>
        <v>58952965</v>
      </c>
      <c r="AC8" s="377">
        <f>+'Asset Classification'!K30</f>
        <v>20742554</v>
      </c>
      <c r="AD8" s="377">
        <f>+'Asset Classification'!O50</f>
        <v>6483802</v>
      </c>
      <c r="AE8" s="377">
        <f>+'Asset Classification'!S50</f>
        <v>16043961</v>
      </c>
      <c r="AF8" s="377">
        <f>+'Asset Classification'!W50</f>
        <v>57724027</v>
      </c>
    </row>
    <row r="9" spans="1:32" s="345" customFormat="1" ht="49.5" customHeight="1">
      <c r="A9" s="330" t="s">
        <v>252</v>
      </c>
      <c r="B9" s="330" t="s">
        <v>746</v>
      </c>
      <c r="C9" s="331">
        <f>+C11+C16+C21+C22+C24</f>
        <v>1328984229</v>
      </c>
      <c r="D9" s="332">
        <f>IFERROR(((C11*D11)/C9)+((C16*D16)/C9)+((C21*D21)/C9)+((C22*D22)/C9)+((C24*D24)/C9),0)</f>
        <v>0</v>
      </c>
      <c r="E9" s="331">
        <f>+E11+E16+E21+E22+E24</f>
        <v>1328984229</v>
      </c>
      <c r="F9" s="332">
        <f>IFERROR(((E11*F11)/E9)+((E16*F16)/E9)+((E21*F21)/E9)+((E22*F22)/E9)+((E24*F24)/E9),0)</f>
        <v>0.23546674309827348</v>
      </c>
      <c r="G9" s="331">
        <f>+G11+G16+G21+G22+G24</f>
        <v>0</v>
      </c>
      <c r="H9" s="332">
        <f>IFERROR(((G11*H11)/G9)+((G16*H16)/G9)+((G21*H21)/G9)+((G22*H22)/G9)+((G24*H24)/G9),0)</f>
        <v>0</v>
      </c>
      <c r="I9" s="331">
        <f t="shared" ref="I9:Z9" si="2">+I11+I16+I21+I22+I24</f>
        <v>1280888885</v>
      </c>
      <c r="J9" s="331">
        <f t="shared" si="2"/>
        <v>45242414</v>
      </c>
      <c r="K9" s="331">
        <f t="shared" si="2"/>
        <v>15586</v>
      </c>
      <c r="L9" s="331">
        <f t="shared" si="2"/>
        <v>2837344</v>
      </c>
      <c r="M9" s="331">
        <f t="shared" si="2"/>
        <v>0</v>
      </c>
      <c r="N9" s="331">
        <f t="shared" si="2"/>
        <v>1196175378</v>
      </c>
      <c r="O9" s="331">
        <f t="shared" si="2"/>
        <v>54715259</v>
      </c>
      <c r="P9" s="331">
        <f t="shared" si="2"/>
        <v>13772216</v>
      </c>
      <c r="Q9" s="331">
        <f t="shared" si="2"/>
        <v>22457893</v>
      </c>
      <c r="R9" s="331">
        <f t="shared" si="2"/>
        <v>41863483</v>
      </c>
      <c r="S9" s="331">
        <f>+S11+S16+S21+S22+S24</f>
        <v>56469946</v>
      </c>
      <c r="T9" s="331">
        <f t="shared" si="2"/>
        <v>10334786</v>
      </c>
      <c r="U9" s="331">
        <f t="shared" si="2"/>
        <v>4895843</v>
      </c>
      <c r="V9" s="331">
        <f t="shared" si="2"/>
        <v>2687207</v>
      </c>
      <c r="W9" s="331">
        <f t="shared" si="2"/>
        <v>10589916</v>
      </c>
      <c r="X9" s="331">
        <f t="shared" si="2"/>
        <v>27962194</v>
      </c>
      <c r="Y9" s="331">
        <f t="shared" si="2"/>
        <v>2737724</v>
      </c>
      <c r="Z9" s="331">
        <f t="shared" si="2"/>
        <v>0</v>
      </c>
      <c r="AA9" s="377">
        <f>+'Loans Receivable'!C80</f>
        <v>1328984229</v>
      </c>
      <c r="AB9" s="387">
        <f>+'Asset Classification'!E30</f>
        <v>6823371532</v>
      </c>
      <c r="AC9" s="387">
        <f>+'Asset Classification'!I30</f>
        <v>616609354</v>
      </c>
      <c r="AD9" s="387">
        <f>+'Asset Classification'!M30</f>
        <v>71675920</v>
      </c>
      <c r="AE9" s="387">
        <f>+'Asset Classification'!Q30</f>
        <v>73761027</v>
      </c>
      <c r="AF9" s="387">
        <f>+'Asset Classification'!U30</f>
        <v>168896037</v>
      </c>
    </row>
    <row r="10" spans="1:32" s="328" customFormat="1" ht="33.75" customHeight="1">
      <c r="A10" s="329"/>
      <c r="B10" s="330" t="s">
        <v>616</v>
      </c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W10" s="331"/>
      <c r="X10" s="331"/>
      <c r="Y10" s="331"/>
      <c r="Z10" s="331"/>
      <c r="AA10" s="377"/>
      <c r="AB10" s="388">
        <f>+N8-AB9</f>
        <v>0</v>
      </c>
      <c r="AC10" s="388">
        <f>+O8-AC9</f>
        <v>0</v>
      </c>
      <c r="AD10" s="388">
        <f>+P8-AD9</f>
        <v>0</v>
      </c>
      <c r="AE10" s="388">
        <f>+Q8-AE9</f>
        <v>0</v>
      </c>
      <c r="AF10" s="388">
        <f>+R8-AF9</f>
        <v>0</v>
      </c>
    </row>
    <row r="11" spans="1:32" s="328" customFormat="1" ht="49.5" customHeight="1">
      <c r="A11" s="333">
        <v>1</v>
      </c>
      <c r="B11" s="334" t="s">
        <v>747</v>
      </c>
      <c r="C11" s="361">
        <f>SUM(C12:C15)</f>
        <v>59138478</v>
      </c>
      <c r="D11" s="362">
        <f>IFERROR(((C12*D12)/C11)+((C13*D13)/C11)+((C14*D14)/C11)+((C15*D15)/C11),0)</f>
        <v>0</v>
      </c>
      <c r="E11" s="361">
        <f>SUM(E12:E15)</f>
        <v>59138478</v>
      </c>
      <c r="F11" s="362">
        <f>IFERROR(((E12*F12)/E11)+((E13*F13)/E11)+((E14*F14)/E11)+((E15*F15)/E11),0)</f>
        <v>0.11461159812060093</v>
      </c>
      <c r="G11" s="361">
        <f>SUM(G12:G15)</f>
        <v>0</v>
      </c>
      <c r="H11" s="362">
        <f>IFERROR(((G12*H12)/G11)+((G13*H13)/G11)+((G14*H14)/G11)+((G15*H15)/G11),0)</f>
        <v>0</v>
      </c>
      <c r="I11" s="361">
        <f t="shared" ref="I11:Z11" si="3">SUM(I12:I15)</f>
        <v>38711873</v>
      </c>
      <c r="J11" s="361">
        <f t="shared" si="3"/>
        <v>18106283</v>
      </c>
      <c r="K11" s="361">
        <f t="shared" si="3"/>
        <v>15586</v>
      </c>
      <c r="L11" s="361">
        <f t="shared" si="3"/>
        <v>2304736</v>
      </c>
      <c r="M11" s="361">
        <f t="shared" si="3"/>
        <v>0</v>
      </c>
      <c r="N11" s="361">
        <f t="shared" si="3"/>
        <v>52858872</v>
      </c>
      <c r="O11" s="361">
        <f t="shared" si="3"/>
        <v>3603126</v>
      </c>
      <c r="P11" s="361">
        <f t="shared" si="3"/>
        <v>863174</v>
      </c>
      <c r="Q11" s="361">
        <f t="shared" si="3"/>
        <v>653575</v>
      </c>
      <c r="R11" s="361">
        <f t="shared" si="3"/>
        <v>1159731</v>
      </c>
      <c r="S11" s="361">
        <f t="shared" si="3"/>
        <v>2455681</v>
      </c>
      <c r="T11" s="361">
        <f t="shared" si="3"/>
        <v>456694</v>
      </c>
      <c r="U11" s="361">
        <f t="shared" si="3"/>
        <v>430514</v>
      </c>
      <c r="V11" s="361">
        <f t="shared" si="3"/>
        <v>152887</v>
      </c>
      <c r="W11" s="361">
        <f t="shared" si="3"/>
        <v>311994</v>
      </c>
      <c r="X11" s="361">
        <f t="shared" si="3"/>
        <v>1103592</v>
      </c>
      <c r="Y11" s="361">
        <f t="shared" si="3"/>
        <v>0</v>
      </c>
      <c r="Z11" s="361">
        <f t="shared" si="3"/>
        <v>0</v>
      </c>
      <c r="AA11" s="377">
        <f>+'loans_av rate'!C10</f>
        <v>59138478</v>
      </c>
      <c r="AB11" s="375">
        <f>+'loans_av rate'!E10</f>
        <v>59138478</v>
      </c>
      <c r="AC11" s="375">
        <f>+'loans_av rate'!G10</f>
        <v>0</v>
      </c>
      <c r="AD11" s="375"/>
      <c r="AE11" s="375"/>
      <c r="AF11" s="375"/>
    </row>
    <row r="12" spans="1:32" s="328" customFormat="1" ht="49.5" customHeight="1">
      <c r="A12" s="339" t="s">
        <v>242</v>
      </c>
      <c r="B12" s="358" t="s">
        <v>748</v>
      </c>
      <c r="C12" s="359">
        <f>+E12+G12</f>
        <v>17640776</v>
      </c>
      <c r="D12" s="335"/>
      <c r="E12" s="360">
        <v>17640776</v>
      </c>
      <c r="F12" s="335">
        <v>0.16950000000000001</v>
      </c>
      <c r="G12" s="360">
        <v>0</v>
      </c>
      <c r="H12" s="335">
        <v>0</v>
      </c>
      <c r="I12" s="360">
        <v>6976040</v>
      </c>
      <c r="J12" s="360">
        <v>10631345</v>
      </c>
      <c r="K12" s="360">
        <v>15586</v>
      </c>
      <c r="L12" s="360">
        <v>17805</v>
      </c>
      <c r="M12" s="360">
        <v>0</v>
      </c>
      <c r="N12" s="360">
        <v>16102312</v>
      </c>
      <c r="O12" s="360">
        <v>910838</v>
      </c>
      <c r="P12" s="360">
        <v>348970</v>
      </c>
      <c r="Q12" s="360">
        <v>189452</v>
      </c>
      <c r="R12" s="360">
        <v>89204</v>
      </c>
      <c r="S12" s="359">
        <f>SUM(T12:X12)</f>
        <v>450217</v>
      </c>
      <c r="T12" s="360">
        <v>139122</v>
      </c>
      <c r="U12" s="360">
        <v>52360</v>
      </c>
      <c r="V12" s="360">
        <v>74805</v>
      </c>
      <c r="W12" s="360">
        <v>94726</v>
      </c>
      <c r="X12" s="360">
        <v>89204</v>
      </c>
      <c r="Y12" s="360"/>
      <c r="Z12" s="360"/>
      <c r="AA12" s="377"/>
      <c r="AB12" s="375"/>
      <c r="AC12" s="375"/>
      <c r="AD12" s="375"/>
      <c r="AE12" s="375"/>
      <c r="AF12" s="375"/>
    </row>
    <row r="13" spans="1:32" s="328" customFormat="1" ht="49.5" customHeight="1">
      <c r="A13" s="339" t="s">
        <v>243</v>
      </c>
      <c r="B13" s="358" t="s">
        <v>749</v>
      </c>
      <c r="C13" s="359">
        <f>+E13+G13</f>
        <v>40645568</v>
      </c>
      <c r="D13" s="335"/>
      <c r="E13" s="360">
        <v>40645568</v>
      </c>
      <c r="F13" s="335">
        <v>0.09</v>
      </c>
      <c r="G13" s="360">
        <v>0</v>
      </c>
      <c r="H13" s="335">
        <v>0</v>
      </c>
      <c r="I13" s="360">
        <v>31100499</v>
      </c>
      <c r="J13" s="360">
        <v>7284805</v>
      </c>
      <c r="K13" s="360">
        <v>0</v>
      </c>
      <c r="L13" s="360">
        <v>2260264</v>
      </c>
      <c r="M13" s="360">
        <v>0</v>
      </c>
      <c r="N13" s="360">
        <v>35931093</v>
      </c>
      <c r="O13" s="360">
        <v>2665621</v>
      </c>
      <c r="P13" s="360">
        <v>514204</v>
      </c>
      <c r="Q13" s="360">
        <v>464123</v>
      </c>
      <c r="R13" s="360">
        <v>1070527</v>
      </c>
      <c r="S13" s="359">
        <f t="shared" ref="S13:S24" si="4">SUM(T13:X13)</f>
        <v>1995665</v>
      </c>
      <c r="T13" s="360">
        <v>310440</v>
      </c>
      <c r="U13" s="360">
        <v>375487</v>
      </c>
      <c r="V13" s="360">
        <v>78082</v>
      </c>
      <c r="W13" s="360">
        <v>217268</v>
      </c>
      <c r="X13" s="360">
        <v>1014388</v>
      </c>
      <c r="Y13" s="360"/>
      <c r="Z13" s="360"/>
      <c r="AA13" s="377"/>
      <c r="AB13" s="375"/>
      <c r="AC13" s="375"/>
      <c r="AD13" s="375"/>
      <c r="AE13" s="375"/>
      <c r="AF13" s="375"/>
    </row>
    <row r="14" spans="1:32" s="328" customFormat="1" ht="49.5" customHeight="1">
      <c r="A14" s="339" t="s">
        <v>244</v>
      </c>
      <c r="B14" s="358" t="s">
        <v>753</v>
      </c>
      <c r="C14" s="359">
        <f>+E14+G14</f>
        <v>390467</v>
      </c>
      <c r="D14" s="335"/>
      <c r="E14" s="360">
        <v>390467</v>
      </c>
      <c r="F14" s="335">
        <v>0.16189999999999999</v>
      </c>
      <c r="G14" s="360">
        <v>0</v>
      </c>
      <c r="H14" s="335">
        <v>0</v>
      </c>
      <c r="I14" s="360">
        <v>173667</v>
      </c>
      <c r="J14" s="360">
        <v>190133</v>
      </c>
      <c r="K14" s="360">
        <v>0</v>
      </c>
      <c r="L14" s="360">
        <v>26667</v>
      </c>
      <c r="M14" s="360">
        <v>0</v>
      </c>
      <c r="N14" s="360">
        <v>363800</v>
      </c>
      <c r="O14" s="360">
        <v>26667</v>
      </c>
      <c r="P14" s="360">
        <v>0</v>
      </c>
      <c r="Q14" s="360">
        <v>0</v>
      </c>
      <c r="R14" s="360">
        <v>0</v>
      </c>
      <c r="S14" s="359">
        <f t="shared" si="4"/>
        <v>5810</v>
      </c>
      <c r="T14" s="360">
        <v>3143</v>
      </c>
      <c r="U14" s="360">
        <v>2667</v>
      </c>
      <c r="V14" s="360">
        <v>0</v>
      </c>
      <c r="W14" s="360">
        <v>0</v>
      </c>
      <c r="X14" s="360">
        <v>0</v>
      </c>
      <c r="Y14" s="360"/>
      <c r="Z14" s="360"/>
      <c r="AA14" s="377"/>
      <c r="AB14" s="375"/>
      <c r="AC14" s="375"/>
      <c r="AD14" s="375"/>
      <c r="AE14" s="375"/>
      <c r="AF14" s="375"/>
    </row>
    <row r="15" spans="1:32" s="328" customFormat="1" ht="49.5" customHeight="1">
      <c r="A15" s="339" t="s">
        <v>248</v>
      </c>
      <c r="B15" s="358" t="s">
        <v>750</v>
      </c>
      <c r="C15" s="359">
        <f>+E15+G15</f>
        <v>461667</v>
      </c>
      <c r="D15" s="335"/>
      <c r="E15" s="360">
        <v>461667</v>
      </c>
      <c r="F15" s="335">
        <v>0.14410000000000001</v>
      </c>
      <c r="G15" s="360">
        <v>0</v>
      </c>
      <c r="H15" s="335">
        <v>0</v>
      </c>
      <c r="I15" s="360">
        <v>461667</v>
      </c>
      <c r="J15" s="360">
        <v>0</v>
      </c>
      <c r="K15" s="360">
        <v>0</v>
      </c>
      <c r="L15" s="360">
        <v>0</v>
      </c>
      <c r="M15" s="360">
        <v>0</v>
      </c>
      <c r="N15" s="360">
        <v>461667</v>
      </c>
      <c r="O15" s="360">
        <v>0</v>
      </c>
      <c r="P15" s="360">
        <v>0</v>
      </c>
      <c r="Q15" s="360">
        <v>0</v>
      </c>
      <c r="R15" s="360">
        <v>0</v>
      </c>
      <c r="S15" s="359">
        <f t="shared" si="4"/>
        <v>3989</v>
      </c>
      <c r="T15" s="360">
        <v>3989</v>
      </c>
      <c r="U15" s="360">
        <v>0</v>
      </c>
      <c r="V15" s="360">
        <v>0</v>
      </c>
      <c r="W15" s="360">
        <v>0</v>
      </c>
      <c r="X15" s="360">
        <v>0</v>
      </c>
      <c r="Y15" s="360"/>
      <c r="Z15" s="360"/>
      <c r="AA15" s="377"/>
      <c r="AB15" s="375"/>
      <c r="AC15" s="375"/>
      <c r="AD15" s="375"/>
      <c r="AE15" s="375"/>
      <c r="AF15" s="375"/>
    </row>
    <row r="16" spans="1:32" s="328" customFormat="1" ht="49.5" customHeight="1">
      <c r="A16" s="333">
        <v>2</v>
      </c>
      <c r="B16" s="334" t="s">
        <v>751</v>
      </c>
      <c r="C16" s="361">
        <f>SUM(C17:C20)</f>
        <v>339218462</v>
      </c>
      <c r="D16" s="362">
        <f>IFERROR(((C17*D17)/C16)+((C18*D18)/C16)+((C19*D19)/C16)+((C20*D20)/C16),0)</f>
        <v>0</v>
      </c>
      <c r="E16" s="361">
        <f>SUM(E17:E20)</f>
        <v>339218462</v>
      </c>
      <c r="F16" s="362">
        <f>IFERROR(((E17*F17)/E16)+((E18*F18)/E16)+((E19*F19)/E16)+((E20*F20)/E16),0)</f>
        <v>0.18088039928263103</v>
      </c>
      <c r="G16" s="361">
        <f>SUM(G17:G20)</f>
        <v>0</v>
      </c>
      <c r="H16" s="362">
        <f>IFERROR(((G17*H17)/G16)+((G18*H18)/G16)+((G19*H19)/G16)+((G20*H20)/G16),0)</f>
        <v>0</v>
      </c>
      <c r="I16" s="361">
        <f t="shared" ref="I16" si="5">SUM(I17:I20)</f>
        <v>322881239</v>
      </c>
      <c r="J16" s="361">
        <f t="shared" ref="J16:Z16" si="6">SUM(J17:J20)</f>
        <v>15948646</v>
      </c>
      <c r="K16" s="361">
        <f t="shared" si="6"/>
        <v>0</v>
      </c>
      <c r="L16" s="361">
        <f t="shared" si="6"/>
        <v>388577</v>
      </c>
      <c r="M16" s="361">
        <f t="shared" si="6"/>
        <v>0</v>
      </c>
      <c r="N16" s="361">
        <f t="shared" si="6"/>
        <v>276712547</v>
      </c>
      <c r="O16" s="361">
        <f t="shared" si="6"/>
        <v>22064291</v>
      </c>
      <c r="P16" s="361">
        <f t="shared" si="6"/>
        <v>6872812</v>
      </c>
      <c r="Q16" s="361">
        <f t="shared" si="6"/>
        <v>8458055</v>
      </c>
      <c r="R16" s="361">
        <f t="shared" si="6"/>
        <v>25110757</v>
      </c>
      <c r="S16" s="361">
        <f>SUM(S17:S20)</f>
        <v>20581560</v>
      </c>
      <c r="T16" s="361">
        <f t="shared" si="6"/>
        <v>2390757</v>
      </c>
      <c r="U16" s="361">
        <f t="shared" si="6"/>
        <v>1939075</v>
      </c>
      <c r="V16" s="361">
        <f t="shared" si="6"/>
        <v>1072962</v>
      </c>
      <c r="W16" s="361">
        <f t="shared" si="6"/>
        <v>3628350</v>
      </c>
      <c r="X16" s="361">
        <f t="shared" si="6"/>
        <v>11550416</v>
      </c>
      <c r="Y16" s="361">
        <f t="shared" si="6"/>
        <v>1991091</v>
      </c>
      <c r="Z16" s="361">
        <f t="shared" si="6"/>
        <v>0</v>
      </c>
      <c r="AA16" s="377">
        <f>+'loans_av rate'!C18</f>
        <v>339218462</v>
      </c>
      <c r="AB16" s="375">
        <f>+'loans_av rate'!E18</f>
        <v>339218462</v>
      </c>
      <c r="AC16" s="375">
        <f>+'loans_av rate'!G18</f>
        <v>0</v>
      </c>
      <c r="AD16" s="375"/>
      <c r="AE16" s="375"/>
      <c r="AF16" s="375"/>
    </row>
    <row r="17" spans="1:32" s="338" customFormat="1" ht="49.5" customHeight="1">
      <c r="A17" s="336" t="s">
        <v>255</v>
      </c>
      <c r="B17" s="337" t="s">
        <v>748</v>
      </c>
      <c r="C17" s="359">
        <f t="shared" ref="C17:C24" si="7">+E17+G17</f>
        <v>26578425</v>
      </c>
      <c r="D17" s="335"/>
      <c r="E17" s="360">
        <v>26578425</v>
      </c>
      <c r="F17" s="335">
        <v>0.18360000000000001</v>
      </c>
      <c r="G17" s="360">
        <v>0</v>
      </c>
      <c r="H17" s="335">
        <v>0</v>
      </c>
      <c r="I17" s="360">
        <v>25106738</v>
      </c>
      <c r="J17" s="360">
        <v>1445766</v>
      </c>
      <c r="K17" s="360">
        <v>0</v>
      </c>
      <c r="L17" s="360">
        <v>25921</v>
      </c>
      <c r="M17" s="360">
        <v>0</v>
      </c>
      <c r="N17" s="360">
        <v>24496247</v>
      </c>
      <c r="O17" s="360">
        <v>1453222</v>
      </c>
      <c r="P17" s="360">
        <v>0</v>
      </c>
      <c r="Q17" s="360">
        <v>628956</v>
      </c>
      <c r="R17" s="360">
        <v>0</v>
      </c>
      <c r="S17" s="359">
        <f t="shared" si="4"/>
        <v>799340</v>
      </c>
      <c r="T17" s="360">
        <v>211644</v>
      </c>
      <c r="U17" s="360">
        <v>273218</v>
      </c>
      <c r="V17" s="360">
        <v>0</v>
      </c>
      <c r="W17" s="360">
        <v>314478</v>
      </c>
      <c r="X17" s="360">
        <v>0</v>
      </c>
      <c r="Y17" s="360">
        <v>1991091</v>
      </c>
      <c r="Z17" s="360"/>
      <c r="AA17" s="377"/>
      <c r="AB17" s="379"/>
      <c r="AC17" s="379"/>
      <c r="AD17" s="379"/>
      <c r="AE17" s="379"/>
      <c r="AF17" s="379"/>
    </row>
    <row r="18" spans="1:32" s="338" customFormat="1" ht="49.5" customHeight="1">
      <c r="A18" s="336" t="s">
        <v>256</v>
      </c>
      <c r="B18" s="337" t="s">
        <v>749</v>
      </c>
      <c r="C18" s="359">
        <f t="shared" si="7"/>
        <v>298773391</v>
      </c>
      <c r="D18" s="335"/>
      <c r="E18" s="360">
        <v>298773391</v>
      </c>
      <c r="F18" s="335">
        <v>0.18099999999999999</v>
      </c>
      <c r="G18" s="360">
        <v>0</v>
      </c>
      <c r="H18" s="335">
        <v>0</v>
      </c>
      <c r="I18" s="360">
        <v>283989047</v>
      </c>
      <c r="J18" s="360">
        <v>14421688</v>
      </c>
      <c r="K18" s="360">
        <v>0</v>
      </c>
      <c r="L18" s="360">
        <v>362656</v>
      </c>
      <c r="M18" s="360">
        <v>0</v>
      </c>
      <c r="N18" s="360">
        <v>238445487</v>
      </c>
      <c r="O18" s="360">
        <v>20515236</v>
      </c>
      <c r="P18" s="360">
        <v>6872812</v>
      </c>
      <c r="Q18" s="360">
        <v>7829099</v>
      </c>
      <c r="R18" s="360">
        <v>25110757</v>
      </c>
      <c r="S18" s="359">
        <f t="shared" si="4"/>
        <v>19663242</v>
      </c>
      <c r="T18" s="360">
        <v>2060135</v>
      </c>
      <c r="U18" s="360">
        <v>1665857</v>
      </c>
      <c r="V18" s="360">
        <v>1072962</v>
      </c>
      <c r="W18" s="360">
        <v>3313872</v>
      </c>
      <c r="X18" s="360">
        <v>11550416</v>
      </c>
      <c r="Y18" s="360"/>
      <c r="Z18" s="360"/>
      <c r="AA18" s="377"/>
      <c r="AB18" s="379"/>
      <c r="AC18" s="379"/>
      <c r="AD18" s="379"/>
      <c r="AE18" s="379"/>
      <c r="AF18" s="379"/>
    </row>
    <row r="19" spans="1:32" s="338" customFormat="1" ht="49.5" customHeight="1">
      <c r="A19" s="336" t="s">
        <v>258</v>
      </c>
      <c r="B19" s="337" t="s">
        <v>753</v>
      </c>
      <c r="C19" s="359">
        <f t="shared" si="7"/>
        <v>13223568</v>
      </c>
      <c r="D19" s="335"/>
      <c r="E19" s="360">
        <v>13223568</v>
      </c>
      <c r="F19" s="335">
        <v>0.17469999999999999</v>
      </c>
      <c r="G19" s="360">
        <v>0</v>
      </c>
      <c r="H19" s="335">
        <v>0</v>
      </c>
      <c r="I19" s="360">
        <v>13223568</v>
      </c>
      <c r="J19" s="360">
        <v>0</v>
      </c>
      <c r="K19" s="360">
        <v>0</v>
      </c>
      <c r="L19" s="360">
        <v>0</v>
      </c>
      <c r="M19" s="360">
        <v>0</v>
      </c>
      <c r="N19" s="360">
        <v>13127735</v>
      </c>
      <c r="O19" s="360">
        <v>95833</v>
      </c>
      <c r="P19" s="360">
        <v>0</v>
      </c>
      <c r="Q19" s="360">
        <v>0</v>
      </c>
      <c r="R19" s="360">
        <v>0</v>
      </c>
      <c r="S19" s="359">
        <f t="shared" si="4"/>
        <v>113422</v>
      </c>
      <c r="T19" s="360">
        <v>113422</v>
      </c>
      <c r="U19" s="360">
        <v>0</v>
      </c>
      <c r="V19" s="360">
        <v>0</v>
      </c>
      <c r="W19" s="360">
        <v>0</v>
      </c>
      <c r="X19" s="360">
        <v>0</v>
      </c>
      <c r="Y19" s="360"/>
      <c r="Z19" s="360"/>
      <c r="AA19" s="377"/>
      <c r="AB19" s="379"/>
      <c r="AC19" s="379"/>
      <c r="AD19" s="379"/>
      <c r="AE19" s="379"/>
      <c r="AF19" s="379"/>
    </row>
    <row r="20" spans="1:32" s="338" customFormat="1" ht="49.5" customHeight="1">
      <c r="A20" s="336" t="s">
        <v>260</v>
      </c>
      <c r="B20" s="337" t="s">
        <v>750</v>
      </c>
      <c r="C20" s="359">
        <f t="shared" si="7"/>
        <v>643078</v>
      </c>
      <c r="D20" s="335"/>
      <c r="E20" s="360">
        <v>643078</v>
      </c>
      <c r="F20" s="335" t="s">
        <v>934</v>
      </c>
      <c r="G20" s="360">
        <v>0</v>
      </c>
      <c r="H20" s="335">
        <v>0</v>
      </c>
      <c r="I20" s="360">
        <v>561886</v>
      </c>
      <c r="J20" s="360">
        <v>81192</v>
      </c>
      <c r="K20" s="360">
        <v>0</v>
      </c>
      <c r="L20" s="360">
        <v>0</v>
      </c>
      <c r="M20" s="360">
        <v>0</v>
      </c>
      <c r="N20" s="360">
        <v>643078</v>
      </c>
      <c r="O20" s="360">
        <v>0</v>
      </c>
      <c r="P20" s="360">
        <v>0</v>
      </c>
      <c r="Q20" s="360">
        <v>0</v>
      </c>
      <c r="R20" s="360">
        <v>0</v>
      </c>
      <c r="S20" s="359">
        <f t="shared" si="4"/>
        <v>5556</v>
      </c>
      <c r="T20" s="360">
        <v>5556</v>
      </c>
      <c r="U20" s="360">
        <v>0</v>
      </c>
      <c r="V20" s="360">
        <v>0</v>
      </c>
      <c r="W20" s="360">
        <v>0</v>
      </c>
      <c r="X20" s="360">
        <v>0</v>
      </c>
      <c r="Y20" s="360"/>
      <c r="Z20" s="360"/>
      <c r="AA20" s="377"/>
      <c r="AB20" s="379"/>
      <c r="AC20" s="379"/>
      <c r="AD20" s="379"/>
      <c r="AE20" s="379"/>
      <c r="AF20" s="379"/>
    </row>
    <row r="21" spans="1:32" s="328" customFormat="1" ht="49.5" customHeight="1">
      <c r="A21" s="339">
        <v>3</v>
      </c>
      <c r="B21" s="340" t="s">
        <v>761</v>
      </c>
      <c r="C21" s="359">
        <f t="shared" si="7"/>
        <v>513443354</v>
      </c>
      <c r="D21" s="335"/>
      <c r="E21" s="360">
        <v>513443354</v>
      </c>
      <c r="F21" s="335">
        <v>0.26700000000000002</v>
      </c>
      <c r="G21" s="360">
        <v>0</v>
      </c>
      <c r="H21" s="335">
        <v>0</v>
      </c>
      <c r="I21" s="360">
        <v>513345024</v>
      </c>
      <c r="J21" s="360">
        <v>98330</v>
      </c>
      <c r="K21" s="360">
        <v>0</v>
      </c>
      <c r="L21" s="360">
        <v>0</v>
      </c>
      <c r="M21" s="360">
        <v>0</v>
      </c>
      <c r="N21" s="360">
        <v>491653338</v>
      </c>
      <c r="O21" s="360">
        <v>10582767</v>
      </c>
      <c r="P21" s="360">
        <v>2005853</v>
      </c>
      <c r="Q21" s="360">
        <v>5767292</v>
      </c>
      <c r="R21" s="360">
        <v>3434104</v>
      </c>
      <c r="S21" s="359">
        <f t="shared" si="4"/>
        <v>11851365</v>
      </c>
      <c r="T21" s="360">
        <v>4247815</v>
      </c>
      <c r="U21" s="360">
        <v>946700</v>
      </c>
      <c r="V21" s="360">
        <v>483884</v>
      </c>
      <c r="W21" s="360">
        <v>2844833</v>
      </c>
      <c r="X21" s="360">
        <v>3328133</v>
      </c>
      <c r="Y21" s="360">
        <v>138877</v>
      </c>
      <c r="Z21" s="360"/>
      <c r="AA21" s="377">
        <f>+'loans_av rate'!C12+'loans_av rate'!C20</f>
        <v>513443354</v>
      </c>
      <c r="AB21" s="377">
        <f>+'loans_av rate'!E12+'loans_av rate'!E20</f>
        <v>513443354</v>
      </c>
      <c r="AC21" s="377">
        <f>+'loans_av rate'!G12+'loans_av rate'!G20</f>
        <v>0</v>
      </c>
      <c r="AE21" s="375"/>
      <c r="AF21" s="375"/>
    </row>
    <row r="22" spans="1:32" s="328" customFormat="1" ht="49.5" customHeight="1">
      <c r="A22" s="339">
        <v>4</v>
      </c>
      <c r="B22" s="340" t="s">
        <v>625</v>
      </c>
      <c r="C22" s="359">
        <f t="shared" si="7"/>
        <v>385444069</v>
      </c>
      <c r="D22" s="335"/>
      <c r="E22" s="360">
        <v>385444069</v>
      </c>
      <c r="F22" s="335">
        <v>0.26700000000000002</v>
      </c>
      <c r="G22" s="360">
        <v>0</v>
      </c>
      <c r="H22" s="335">
        <v>0</v>
      </c>
      <c r="I22" s="360">
        <v>375777186</v>
      </c>
      <c r="J22" s="360">
        <v>9522852</v>
      </c>
      <c r="K22" s="360">
        <v>0</v>
      </c>
      <c r="L22" s="360">
        <v>144031</v>
      </c>
      <c r="M22" s="360">
        <v>0</v>
      </c>
      <c r="N22" s="360">
        <v>352726931</v>
      </c>
      <c r="O22" s="360">
        <v>14836590</v>
      </c>
      <c r="P22" s="360">
        <v>3047974</v>
      </c>
      <c r="Q22" s="360">
        <v>5582402</v>
      </c>
      <c r="R22" s="360">
        <v>9250172</v>
      </c>
      <c r="S22" s="359">
        <f t="shared" si="4"/>
        <v>16760902</v>
      </c>
      <c r="T22" s="360">
        <v>3047511</v>
      </c>
      <c r="U22" s="360">
        <v>1241316</v>
      </c>
      <c r="V22" s="360">
        <v>742750</v>
      </c>
      <c r="W22" s="360">
        <v>2659379</v>
      </c>
      <c r="X22" s="360">
        <v>9069946</v>
      </c>
      <c r="Y22" s="360">
        <v>607756</v>
      </c>
      <c r="Z22" s="360"/>
      <c r="AA22" s="377">
        <f>+'loans_av rate'!C11+'loans_av rate'!C13+'loans_av rate'!C19+'loans_av rate'!C21</f>
        <v>385444069</v>
      </c>
      <c r="AB22" s="377">
        <f>+'loans_av rate'!E11+'loans_av rate'!E13+'loans_av rate'!E19+'loans_av rate'!E21</f>
        <v>385444069</v>
      </c>
      <c r="AC22" s="377"/>
      <c r="AE22" s="375"/>
      <c r="AF22" s="375"/>
    </row>
    <row r="23" spans="1:32" s="328" customFormat="1" ht="49.5" customHeight="1">
      <c r="A23" s="339" t="s">
        <v>559</v>
      </c>
      <c r="B23" s="340" t="s">
        <v>754</v>
      </c>
      <c r="C23" s="359">
        <f t="shared" si="7"/>
        <v>362798381</v>
      </c>
      <c r="D23" s="335"/>
      <c r="E23" s="360">
        <v>362798381</v>
      </c>
      <c r="F23" s="335">
        <v>0.23300000000000001</v>
      </c>
      <c r="G23" s="360">
        <v>0</v>
      </c>
      <c r="H23" s="335">
        <v>0</v>
      </c>
      <c r="I23" s="360">
        <v>353789278</v>
      </c>
      <c r="J23" s="360">
        <v>9009103</v>
      </c>
      <c r="K23" s="360">
        <v>0</v>
      </c>
      <c r="L23" s="360">
        <v>0</v>
      </c>
      <c r="M23" s="360">
        <v>0</v>
      </c>
      <c r="N23" s="360">
        <v>338369594</v>
      </c>
      <c r="O23" s="360">
        <v>13452823</v>
      </c>
      <c r="P23" s="360">
        <v>2606503</v>
      </c>
      <c r="Q23" s="360">
        <v>3976844</v>
      </c>
      <c r="R23" s="360">
        <v>4392617</v>
      </c>
      <c r="S23" s="359">
        <f t="shared" si="4"/>
        <v>10736667</v>
      </c>
      <c r="T23" s="360">
        <v>2923465</v>
      </c>
      <c r="U23" s="360">
        <v>1117352</v>
      </c>
      <c r="V23" s="360">
        <v>636130</v>
      </c>
      <c r="W23" s="360">
        <v>1862254</v>
      </c>
      <c r="X23" s="360">
        <v>4197466</v>
      </c>
      <c r="Y23" s="360">
        <v>517656</v>
      </c>
      <c r="Z23" s="360"/>
      <c r="AA23" s="377">
        <f>+'loans_av rate'!C11+'loans_av rate'!C19</f>
        <v>362798381</v>
      </c>
      <c r="AB23" s="377">
        <f>+'loans_av rate'!E11+'loans_av rate'!E19</f>
        <v>362798381</v>
      </c>
      <c r="AC23" s="377">
        <f>+'loans_av rate'!G11+'loans_av rate'!G19</f>
        <v>0</v>
      </c>
      <c r="AE23" s="375"/>
      <c r="AF23" s="375"/>
    </row>
    <row r="24" spans="1:32" s="328" customFormat="1" ht="49.5" customHeight="1">
      <c r="A24" s="339">
        <v>5</v>
      </c>
      <c r="B24" s="340" t="s">
        <v>613</v>
      </c>
      <c r="C24" s="359">
        <f t="shared" si="7"/>
        <v>31739866</v>
      </c>
      <c r="D24" s="335"/>
      <c r="E24" s="360">
        <v>31739866</v>
      </c>
      <c r="F24" s="335">
        <v>0.151</v>
      </c>
      <c r="G24" s="360">
        <v>0</v>
      </c>
      <c r="H24" s="335">
        <v>0</v>
      </c>
      <c r="I24" s="360">
        <v>30173563</v>
      </c>
      <c r="J24" s="360">
        <v>1566303</v>
      </c>
      <c r="K24" s="360">
        <v>0</v>
      </c>
      <c r="L24" s="360">
        <v>0</v>
      </c>
      <c r="M24" s="360">
        <v>0</v>
      </c>
      <c r="N24" s="360">
        <v>22223690</v>
      </c>
      <c r="O24" s="360">
        <v>3628485</v>
      </c>
      <c r="P24" s="360">
        <v>982403</v>
      </c>
      <c r="Q24" s="360">
        <v>1996569</v>
      </c>
      <c r="R24" s="360">
        <v>2908719</v>
      </c>
      <c r="S24" s="359">
        <f t="shared" si="4"/>
        <v>4820438</v>
      </c>
      <c r="T24" s="360">
        <v>192009</v>
      </c>
      <c r="U24" s="360">
        <v>338238</v>
      </c>
      <c r="V24" s="360">
        <v>234724</v>
      </c>
      <c r="W24" s="360">
        <v>1145360</v>
      </c>
      <c r="X24" s="360">
        <v>2910107</v>
      </c>
      <c r="Y24" s="360"/>
      <c r="Z24" s="360"/>
      <c r="AA24" s="377">
        <f>+'loans_av rate'!C14+'loans_av rate'!C22</f>
        <v>31739866</v>
      </c>
      <c r="AB24" s="377">
        <f>+'loans_av rate'!E14+'loans_av rate'!E22</f>
        <v>31739866</v>
      </c>
      <c r="AC24" s="377"/>
      <c r="AE24" s="375"/>
      <c r="AF24" s="375"/>
    </row>
    <row r="25" spans="1:32" s="345" customFormat="1" ht="49.5" customHeight="1">
      <c r="A25" s="330" t="s">
        <v>75</v>
      </c>
      <c r="B25" s="330" t="s">
        <v>752</v>
      </c>
      <c r="C25" s="331">
        <f>+C26</f>
        <v>6425329641</v>
      </c>
      <c r="D25" s="332">
        <f>IFERROR(((C27*D27)/C25)+((C28*D28)/C25)+((C29*D29)/C25)+((C30*D30)/C25)+((C31*D31)/C25)+((C32*D32)/C25),0)</f>
        <v>0</v>
      </c>
      <c r="E25" s="331">
        <f t="shared" ref="E25:Z25" si="8">+E26</f>
        <v>3478434739</v>
      </c>
      <c r="F25" s="332">
        <f>IFERROR(((E27*F27)/E25)+((E28*F28)/E25)+((E29*F29)/E25)+((E30*F30)/E25)+((E31*F31)/E25)+((E32*F32)/E25),0)</f>
        <v>0.18839169739672496</v>
      </c>
      <c r="G25" s="331">
        <f t="shared" si="8"/>
        <v>2946894902</v>
      </c>
      <c r="H25" s="332">
        <f>IFERROR(((G27*H27)/G25)+((G28*H28)/G25)+((G29*H29)/G25)+((G30*H30)/G25)+((G31*H31)/G25)+((G32*H32)/G25),0)</f>
        <v>7.3062675739332783E-2</v>
      </c>
      <c r="I25" s="331">
        <f t="shared" si="8"/>
        <v>6304415124</v>
      </c>
      <c r="J25" s="331">
        <f t="shared" si="8"/>
        <v>120531756</v>
      </c>
      <c r="K25" s="331">
        <f t="shared" si="8"/>
        <v>0</v>
      </c>
      <c r="L25" s="331">
        <f t="shared" si="8"/>
        <v>382761</v>
      </c>
      <c r="M25" s="331">
        <f t="shared" si="8"/>
        <v>0</v>
      </c>
      <c r="N25" s="331">
        <f t="shared" si="8"/>
        <v>5627196154</v>
      </c>
      <c r="O25" s="331">
        <f t="shared" si="8"/>
        <v>561894095</v>
      </c>
      <c r="P25" s="331">
        <f t="shared" si="8"/>
        <v>57903704</v>
      </c>
      <c r="Q25" s="331">
        <f t="shared" si="8"/>
        <v>51303134</v>
      </c>
      <c r="R25" s="331">
        <f t="shared" si="8"/>
        <v>127032554</v>
      </c>
      <c r="S25" s="331">
        <f t="shared" si="8"/>
        <v>103477363</v>
      </c>
      <c r="T25" s="331">
        <f t="shared" si="8"/>
        <v>48618179</v>
      </c>
      <c r="U25" s="331">
        <f t="shared" si="8"/>
        <v>15846711</v>
      </c>
      <c r="V25" s="331">
        <f t="shared" si="8"/>
        <v>3796595</v>
      </c>
      <c r="W25" s="331">
        <f t="shared" si="8"/>
        <v>5454045</v>
      </c>
      <c r="X25" s="331">
        <f t="shared" si="8"/>
        <v>29761833</v>
      </c>
      <c r="Y25" s="331">
        <f t="shared" si="8"/>
        <v>23007654</v>
      </c>
      <c r="Z25" s="331">
        <f t="shared" si="8"/>
        <v>44554200</v>
      </c>
      <c r="AA25" s="377">
        <f>+'loans_av rate'!C24+'loans_av rate'!C33</f>
        <v>6425329641</v>
      </c>
      <c r="AB25" s="377">
        <f>+'loans_av rate'!E24+'loans_av rate'!E33</f>
        <v>3478434739</v>
      </c>
      <c r="AC25" s="377">
        <f>+'loans_av rate'!G24+'loans_av rate'!G33</f>
        <v>2946894902</v>
      </c>
      <c r="AE25" s="378"/>
      <c r="AF25" s="378"/>
    </row>
    <row r="26" spans="1:32" s="345" customFormat="1" ht="33.75" customHeight="1">
      <c r="A26" s="330"/>
      <c r="B26" s="330" t="s">
        <v>762</v>
      </c>
      <c r="C26" s="331">
        <f>SUM(C27:C32)</f>
        <v>6425329641</v>
      </c>
      <c r="D26" s="332">
        <f>IFERROR(((C28*D28)/C26)+((C29*D29)/C26)+((C30*D30)/C26)+((C31*D31)/C26)+((C32*D32)/C26),0)</f>
        <v>0</v>
      </c>
      <c r="E26" s="331">
        <f t="shared" ref="E26:Z26" si="9">SUM(E27:E32)</f>
        <v>3478434739</v>
      </c>
      <c r="F26" s="332">
        <f>IFERROR(((E28*F28)/E26)+((E29*F29)/E26)+((E30*F30)/E26)+((E31*F31)/E26)+((E32*F32)/E26),0)</f>
        <v>0.18564468786680755</v>
      </c>
      <c r="G26" s="331">
        <f t="shared" si="9"/>
        <v>2946894902</v>
      </c>
      <c r="H26" s="332">
        <f>IFERROR(((G28*H28)/G26)+((G29*H29)/G26)+((G30*H30)/G26)+((G31*H31)/G26)+((G32*H32)/G26),0)</f>
        <v>7.2950696030718423E-2</v>
      </c>
      <c r="I26" s="331">
        <f t="shared" si="9"/>
        <v>6304415124</v>
      </c>
      <c r="J26" s="331">
        <f t="shared" si="9"/>
        <v>120531756</v>
      </c>
      <c r="K26" s="331">
        <f t="shared" si="9"/>
        <v>0</v>
      </c>
      <c r="L26" s="331">
        <f t="shared" si="9"/>
        <v>382761</v>
      </c>
      <c r="M26" s="331">
        <f t="shared" si="9"/>
        <v>0</v>
      </c>
      <c r="N26" s="331">
        <f t="shared" si="9"/>
        <v>5627196154</v>
      </c>
      <c r="O26" s="331">
        <f t="shared" si="9"/>
        <v>561894095</v>
      </c>
      <c r="P26" s="331">
        <f t="shared" si="9"/>
        <v>57903704</v>
      </c>
      <c r="Q26" s="331">
        <f t="shared" si="9"/>
        <v>51303134</v>
      </c>
      <c r="R26" s="331">
        <f t="shared" si="9"/>
        <v>127032554</v>
      </c>
      <c r="S26" s="331">
        <f t="shared" si="9"/>
        <v>103477363</v>
      </c>
      <c r="T26" s="331">
        <f t="shared" si="9"/>
        <v>48618179</v>
      </c>
      <c r="U26" s="331">
        <f t="shared" si="9"/>
        <v>15846711</v>
      </c>
      <c r="V26" s="331">
        <f t="shared" si="9"/>
        <v>3796595</v>
      </c>
      <c r="W26" s="331">
        <f t="shared" si="9"/>
        <v>5454045</v>
      </c>
      <c r="X26" s="331">
        <f t="shared" si="9"/>
        <v>29761833</v>
      </c>
      <c r="Y26" s="331">
        <f t="shared" si="9"/>
        <v>23007654</v>
      </c>
      <c r="Z26" s="331">
        <f t="shared" si="9"/>
        <v>44554200</v>
      </c>
      <c r="AA26" s="377"/>
      <c r="AB26" s="377"/>
      <c r="AC26" s="377"/>
      <c r="AE26" s="378"/>
      <c r="AF26" s="378"/>
    </row>
    <row r="27" spans="1:32" s="328" customFormat="1" ht="49.5" customHeight="1">
      <c r="A27" s="339">
        <v>1</v>
      </c>
      <c r="B27" s="340" t="s">
        <v>626</v>
      </c>
      <c r="C27" s="359">
        <f t="shared" ref="C27:C32" si="10">+E27+G27</f>
        <v>46369937</v>
      </c>
      <c r="D27" s="197"/>
      <c r="E27" s="360">
        <v>43378569</v>
      </c>
      <c r="F27" s="335">
        <v>0.22027682326793074</v>
      </c>
      <c r="G27" s="360">
        <v>2991368</v>
      </c>
      <c r="H27" s="335">
        <v>0.11031489019174416</v>
      </c>
      <c r="I27" s="360">
        <v>45631533</v>
      </c>
      <c r="J27" s="360">
        <v>738404</v>
      </c>
      <c r="K27" s="360">
        <v>0</v>
      </c>
      <c r="L27" s="360">
        <v>0</v>
      </c>
      <c r="M27" s="360">
        <v>0</v>
      </c>
      <c r="N27" s="360">
        <v>41703130</v>
      </c>
      <c r="O27" s="360">
        <v>1384987</v>
      </c>
      <c r="P27" s="360">
        <v>450150</v>
      </c>
      <c r="Q27" s="360">
        <v>761235</v>
      </c>
      <c r="R27" s="360">
        <v>2070435</v>
      </c>
      <c r="S27" s="359">
        <f t="shared" ref="S27:S32" si="11">SUM(T27:X27)</f>
        <v>2850576</v>
      </c>
      <c r="T27" s="360">
        <v>360309</v>
      </c>
      <c r="U27" s="360">
        <v>324400</v>
      </c>
      <c r="V27" s="360">
        <v>100825</v>
      </c>
      <c r="W27" s="360">
        <v>372802</v>
      </c>
      <c r="X27" s="360">
        <v>1692240</v>
      </c>
      <c r="Y27" s="360">
        <v>8256395</v>
      </c>
      <c r="Z27" s="360"/>
      <c r="AA27" s="377">
        <f>+'loans_av rate'!C26+'loans_av rate'!C35</f>
        <v>46369937</v>
      </c>
      <c r="AB27" s="377">
        <f>+'loans_av rate'!E26+'loans_av rate'!E35</f>
        <v>43378569</v>
      </c>
      <c r="AC27" s="377">
        <f>+'loans_av rate'!G26+'loans_av rate'!G35</f>
        <v>2991368</v>
      </c>
      <c r="AE27" s="375"/>
      <c r="AF27" s="375"/>
    </row>
    <row r="28" spans="1:32" s="328" customFormat="1" ht="49.5" customHeight="1">
      <c r="A28" s="339">
        <v>2</v>
      </c>
      <c r="B28" s="340" t="s">
        <v>627</v>
      </c>
      <c r="C28" s="359">
        <f t="shared" si="10"/>
        <v>0</v>
      </c>
      <c r="D28" s="335"/>
      <c r="E28" s="360">
        <v>0</v>
      </c>
      <c r="F28" s="335">
        <v>0</v>
      </c>
      <c r="G28" s="360">
        <v>0</v>
      </c>
      <c r="H28" s="335">
        <v>0</v>
      </c>
      <c r="I28" s="360">
        <v>0</v>
      </c>
      <c r="J28" s="360">
        <v>0</v>
      </c>
      <c r="K28" s="360">
        <v>0</v>
      </c>
      <c r="L28" s="360">
        <v>0</v>
      </c>
      <c r="M28" s="360">
        <v>0</v>
      </c>
      <c r="N28" s="360">
        <v>0</v>
      </c>
      <c r="O28" s="360">
        <v>0</v>
      </c>
      <c r="P28" s="360">
        <v>0</v>
      </c>
      <c r="Q28" s="360">
        <v>0</v>
      </c>
      <c r="R28" s="360">
        <v>0</v>
      </c>
      <c r="S28" s="359">
        <f t="shared" si="11"/>
        <v>0</v>
      </c>
      <c r="T28" s="360">
        <v>0</v>
      </c>
      <c r="U28" s="360">
        <v>0</v>
      </c>
      <c r="V28" s="360">
        <v>0</v>
      </c>
      <c r="W28" s="360">
        <v>0</v>
      </c>
      <c r="X28" s="360">
        <v>0</v>
      </c>
      <c r="Y28" s="360"/>
      <c r="Z28" s="360"/>
      <c r="AA28" s="377">
        <f>+'loans_av rate'!C27+'loans_av rate'!C36</f>
        <v>0</v>
      </c>
      <c r="AB28" s="377">
        <f>+'loans_av rate'!E27+'loans_av rate'!E36</f>
        <v>0</v>
      </c>
      <c r="AC28" s="377">
        <f>+'loans_av rate'!G27+'loans_av rate'!G36</f>
        <v>0</v>
      </c>
      <c r="AE28" s="375"/>
      <c r="AF28" s="375"/>
    </row>
    <row r="29" spans="1:32" s="328" customFormat="1" ht="49.5" customHeight="1">
      <c r="A29" s="339">
        <v>3</v>
      </c>
      <c r="B29" s="340" t="s">
        <v>628</v>
      </c>
      <c r="C29" s="359">
        <f t="shared" si="10"/>
        <v>305556</v>
      </c>
      <c r="D29" s="197"/>
      <c r="E29" s="360">
        <v>305556</v>
      </c>
      <c r="F29" s="335">
        <v>0</v>
      </c>
      <c r="G29" s="360">
        <v>0</v>
      </c>
      <c r="H29" s="335">
        <v>0</v>
      </c>
      <c r="I29" s="360">
        <v>305556</v>
      </c>
      <c r="J29" s="360">
        <v>0</v>
      </c>
      <c r="K29" s="360">
        <v>0</v>
      </c>
      <c r="L29" s="360">
        <v>0</v>
      </c>
      <c r="M29" s="360">
        <v>0</v>
      </c>
      <c r="N29" s="360">
        <v>305556</v>
      </c>
      <c r="O29" s="360">
        <v>0</v>
      </c>
      <c r="P29" s="360">
        <v>0</v>
      </c>
      <c r="Q29" s="360">
        <v>0</v>
      </c>
      <c r="R29" s="360">
        <v>0</v>
      </c>
      <c r="S29" s="359">
        <f t="shared" si="11"/>
        <v>2640</v>
      </c>
      <c r="T29" s="360">
        <v>2640</v>
      </c>
      <c r="U29" s="360">
        <v>0</v>
      </c>
      <c r="V29" s="360">
        <v>0</v>
      </c>
      <c r="W29" s="360">
        <v>0</v>
      </c>
      <c r="X29" s="360">
        <v>0</v>
      </c>
      <c r="Y29" s="360"/>
      <c r="Z29" s="360"/>
      <c r="AA29" s="377">
        <f>+'loans_av rate'!C28+'loans_av rate'!C37</f>
        <v>305556</v>
      </c>
      <c r="AB29" s="377">
        <f>+'loans_av rate'!E28+'loans_av rate'!E37</f>
        <v>305556</v>
      </c>
      <c r="AC29" s="377">
        <f>+'loans_av rate'!G28+'loans_av rate'!G37</f>
        <v>0</v>
      </c>
      <c r="AE29" s="375"/>
      <c r="AF29" s="375"/>
    </row>
    <row r="30" spans="1:32" s="328" customFormat="1" ht="49.5" customHeight="1">
      <c r="A30" s="339">
        <v>4</v>
      </c>
      <c r="B30" s="340" t="s">
        <v>629</v>
      </c>
      <c r="C30" s="359">
        <f t="shared" si="10"/>
        <v>0</v>
      </c>
      <c r="D30" s="335"/>
      <c r="E30" s="360">
        <v>0</v>
      </c>
      <c r="F30" s="335">
        <v>0</v>
      </c>
      <c r="G30" s="360">
        <v>0</v>
      </c>
      <c r="H30" s="335">
        <v>0</v>
      </c>
      <c r="I30" s="360">
        <v>0</v>
      </c>
      <c r="J30" s="360">
        <v>0</v>
      </c>
      <c r="K30" s="360">
        <v>0</v>
      </c>
      <c r="L30" s="360">
        <v>0</v>
      </c>
      <c r="M30" s="360">
        <v>0</v>
      </c>
      <c r="N30" s="360">
        <v>0</v>
      </c>
      <c r="O30" s="360">
        <v>0</v>
      </c>
      <c r="P30" s="360">
        <v>0</v>
      </c>
      <c r="Q30" s="360">
        <v>0</v>
      </c>
      <c r="R30" s="360">
        <v>0</v>
      </c>
      <c r="S30" s="359">
        <f t="shared" si="11"/>
        <v>0</v>
      </c>
      <c r="T30" s="360">
        <v>0</v>
      </c>
      <c r="U30" s="360">
        <v>0</v>
      </c>
      <c r="V30" s="360">
        <v>0</v>
      </c>
      <c r="W30" s="360">
        <v>0</v>
      </c>
      <c r="X30" s="360">
        <v>0</v>
      </c>
      <c r="Y30" s="360"/>
      <c r="Z30" s="360"/>
      <c r="AA30" s="377">
        <f>+'loans_av rate'!C29+'loans_av rate'!C38</f>
        <v>0</v>
      </c>
      <c r="AB30" s="377">
        <f>+'loans_av rate'!E29+'loans_av rate'!E38</f>
        <v>0</v>
      </c>
      <c r="AC30" s="377">
        <f>+'loans_av rate'!G29+'loans_av rate'!G38</f>
        <v>0</v>
      </c>
      <c r="AE30" s="375"/>
      <c r="AF30" s="375"/>
    </row>
    <row r="31" spans="1:32" s="328" customFormat="1" ht="49.5" customHeight="1">
      <c r="A31" s="339">
        <v>5</v>
      </c>
      <c r="B31" s="340" t="s">
        <v>630</v>
      </c>
      <c r="C31" s="359">
        <f t="shared" si="10"/>
        <v>0</v>
      </c>
      <c r="D31" s="335"/>
      <c r="E31" s="360">
        <v>0</v>
      </c>
      <c r="F31" s="335">
        <v>0</v>
      </c>
      <c r="G31" s="360">
        <v>0</v>
      </c>
      <c r="H31" s="335">
        <v>0</v>
      </c>
      <c r="I31" s="360">
        <v>0</v>
      </c>
      <c r="J31" s="360">
        <v>0</v>
      </c>
      <c r="K31" s="360">
        <v>0</v>
      </c>
      <c r="L31" s="360">
        <v>0</v>
      </c>
      <c r="M31" s="360">
        <v>0</v>
      </c>
      <c r="N31" s="360">
        <v>0</v>
      </c>
      <c r="O31" s="360">
        <v>0</v>
      </c>
      <c r="P31" s="360">
        <v>0</v>
      </c>
      <c r="Q31" s="360">
        <v>0</v>
      </c>
      <c r="R31" s="360">
        <v>0</v>
      </c>
      <c r="S31" s="359">
        <f t="shared" si="11"/>
        <v>0</v>
      </c>
      <c r="T31" s="360">
        <v>0</v>
      </c>
      <c r="U31" s="360">
        <v>0</v>
      </c>
      <c r="V31" s="360">
        <v>0</v>
      </c>
      <c r="W31" s="360">
        <v>0</v>
      </c>
      <c r="X31" s="360">
        <v>0</v>
      </c>
      <c r="Y31" s="360"/>
      <c r="Z31" s="360"/>
      <c r="AA31" s="377">
        <f>+'loans_av rate'!C30+'loans_av rate'!C39</f>
        <v>0</v>
      </c>
      <c r="AB31" s="377">
        <f>+'loans_av rate'!E30+'loans_av rate'!E39</f>
        <v>0</v>
      </c>
      <c r="AC31" s="377">
        <f>+'loans_av rate'!G30+'loans_av rate'!G39</f>
        <v>0</v>
      </c>
      <c r="AE31" s="375"/>
      <c r="AF31" s="375"/>
    </row>
    <row r="32" spans="1:32" s="328" customFormat="1" ht="49.5" customHeight="1">
      <c r="A32" s="339">
        <v>6</v>
      </c>
      <c r="B32" s="340" t="s">
        <v>763</v>
      </c>
      <c r="C32" s="359">
        <f t="shared" si="10"/>
        <v>6378654148</v>
      </c>
      <c r="D32" s="197"/>
      <c r="E32" s="360">
        <v>3434750614</v>
      </c>
      <c r="F32" s="335">
        <v>0.1880057692557458</v>
      </c>
      <c r="G32" s="360">
        <v>2943903534</v>
      </c>
      <c r="H32" s="335">
        <v>7.3024822908574205E-2</v>
      </c>
      <c r="I32" s="360">
        <v>6258478035</v>
      </c>
      <c r="J32" s="360">
        <v>119793352</v>
      </c>
      <c r="K32" s="360">
        <v>0</v>
      </c>
      <c r="L32" s="360">
        <v>382761</v>
      </c>
      <c r="M32" s="360">
        <v>0</v>
      </c>
      <c r="N32" s="360">
        <v>5585187468</v>
      </c>
      <c r="O32" s="360">
        <v>560509108</v>
      </c>
      <c r="P32" s="360">
        <v>57453554</v>
      </c>
      <c r="Q32" s="360">
        <v>50541899</v>
      </c>
      <c r="R32" s="360">
        <v>124962119</v>
      </c>
      <c r="S32" s="359">
        <f t="shared" si="11"/>
        <v>100624147</v>
      </c>
      <c r="T32" s="360">
        <v>48255230</v>
      </c>
      <c r="U32" s="360">
        <v>15522311</v>
      </c>
      <c r="V32" s="360">
        <v>3695770</v>
      </c>
      <c r="W32" s="360">
        <v>5081243</v>
      </c>
      <c r="X32" s="360">
        <v>28069593</v>
      </c>
      <c r="Y32" s="360">
        <v>14751259</v>
      </c>
      <c r="Z32" s="360">
        <v>44554200</v>
      </c>
      <c r="AA32" s="377">
        <f>+'loans_av rate'!C31+'loans_av rate'!C40</f>
        <v>6378654148</v>
      </c>
      <c r="AB32" s="377">
        <f>+'loans_av rate'!E31+'loans_av rate'!E40</f>
        <v>3434750614</v>
      </c>
      <c r="AC32" s="377">
        <f>+'loans_av rate'!G31+'loans_av rate'!G40</f>
        <v>2943903534</v>
      </c>
      <c r="AE32" s="375"/>
      <c r="AF32" s="375"/>
    </row>
    <row r="33" spans="1:32" s="345" customFormat="1" ht="33.75" customHeight="1">
      <c r="A33" s="330"/>
      <c r="B33" s="330" t="s">
        <v>764</v>
      </c>
      <c r="C33" s="331">
        <f>SUM(C34:C39)</f>
        <v>6425329641</v>
      </c>
      <c r="D33" s="332">
        <f>IFERROR(((C35*D35)/C33)+((C36*D36)/C33)+((C37*D37)/C33)+((C38*D38)/C33)+((C39*D39)/C33),0)</f>
        <v>0</v>
      </c>
      <c r="E33" s="331">
        <f t="shared" ref="E33:Z33" si="12">SUM(E34:E39)</f>
        <v>3478434739</v>
      </c>
      <c r="F33" s="332">
        <f>IFERROR(((E35*F35)/E33)+((E36*F36)/E33)+((E37*F37)/E33)+((E38*F38)/E33)+((E39*F39)/E33),0)</f>
        <v>0.18590622959506961</v>
      </c>
      <c r="G33" s="331">
        <f t="shared" si="12"/>
        <v>2946894902</v>
      </c>
      <c r="H33" s="332">
        <f>IFERROR(((G35*H35)/G33)+((G36*H36)/G33)+((G37*H37)/G33)+((G38*H38)/G33)+((G39*H39)/G33),0)</f>
        <v>7.2791704235674159E-2</v>
      </c>
      <c r="I33" s="331">
        <f t="shared" si="12"/>
        <v>6304415124</v>
      </c>
      <c r="J33" s="331">
        <f t="shared" si="12"/>
        <v>120531756</v>
      </c>
      <c r="K33" s="331">
        <f t="shared" si="12"/>
        <v>0</v>
      </c>
      <c r="L33" s="331">
        <f t="shared" si="12"/>
        <v>382761</v>
      </c>
      <c r="M33" s="331">
        <f t="shared" si="12"/>
        <v>0</v>
      </c>
      <c r="N33" s="331">
        <f t="shared" si="12"/>
        <v>5627196154</v>
      </c>
      <c r="O33" s="331">
        <f t="shared" si="12"/>
        <v>561894095</v>
      </c>
      <c r="P33" s="331">
        <f t="shared" si="12"/>
        <v>57903704</v>
      </c>
      <c r="Q33" s="331">
        <f t="shared" si="12"/>
        <v>51303134</v>
      </c>
      <c r="R33" s="331">
        <f t="shared" si="12"/>
        <v>127032554</v>
      </c>
      <c r="S33" s="331">
        <f t="shared" si="12"/>
        <v>103477363</v>
      </c>
      <c r="T33" s="331">
        <f t="shared" si="12"/>
        <v>48618179</v>
      </c>
      <c r="U33" s="331">
        <f t="shared" si="12"/>
        <v>15846711</v>
      </c>
      <c r="V33" s="331">
        <f t="shared" si="12"/>
        <v>3796595</v>
      </c>
      <c r="W33" s="331">
        <f t="shared" si="12"/>
        <v>5454045</v>
      </c>
      <c r="X33" s="331">
        <f t="shared" si="12"/>
        <v>29761833</v>
      </c>
      <c r="Y33" s="331">
        <f t="shared" si="12"/>
        <v>23007654</v>
      </c>
      <c r="Z33" s="331">
        <f t="shared" si="12"/>
        <v>44554200</v>
      </c>
      <c r="AA33" s="377"/>
      <c r="AB33" s="378"/>
      <c r="AC33" s="378"/>
      <c r="AD33" s="378"/>
      <c r="AE33" s="378"/>
      <c r="AF33" s="378"/>
    </row>
    <row r="34" spans="1:32" s="328" customFormat="1" ht="49.5" customHeight="1">
      <c r="A34" s="339">
        <v>1</v>
      </c>
      <c r="B34" s="340" t="s">
        <v>756</v>
      </c>
      <c r="C34" s="359">
        <f t="shared" ref="C34:C39" si="13">+E34+G34</f>
        <v>0</v>
      </c>
      <c r="D34" s="197"/>
      <c r="E34" s="360">
        <v>0</v>
      </c>
      <c r="F34" s="335">
        <v>0</v>
      </c>
      <c r="G34" s="360">
        <v>0</v>
      </c>
      <c r="H34" s="335">
        <v>0</v>
      </c>
      <c r="I34" s="360">
        <v>0</v>
      </c>
      <c r="J34" s="360">
        <v>0</v>
      </c>
      <c r="K34" s="360">
        <v>0</v>
      </c>
      <c r="L34" s="360">
        <v>0</v>
      </c>
      <c r="M34" s="360">
        <v>0</v>
      </c>
      <c r="N34" s="360">
        <v>0</v>
      </c>
      <c r="O34" s="360">
        <v>0</v>
      </c>
      <c r="P34" s="360">
        <v>0</v>
      </c>
      <c r="Q34" s="360">
        <v>0</v>
      </c>
      <c r="R34" s="360">
        <v>0</v>
      </c>
      <c r="S34" s="359">
        <f t="shared" ref="S34:S39" si="14">SUM(T34:X34)</f>
        <v>0</v>
      </c>
      <c r="T34" s="360">
        <v>0</v>
      </c>
      <c r="U34" s="360">
        <v>0</v>
      </c>
      <c r="V34" s="360">
        <v>0</v>
      </c>
      <c r="W34" s="360">
        <v>0</v>
      </c>
      <c r="X34" s="360">
        <v>0</v>
      </c>
      <c r="Y34" s="360"/>
      <c r="Z34" s="360"/>
      <c r="AB34" s="375"/>
      <c r="AC34" s="375"/>
      <c r="AD34" s="375"/>
      <c r="AE34" s="375"/>
      <c r="AF34" s="375"/>
    </row>
    <row r="35" spans="1:32" s="328" customFormat="1" ht="49.5" customHeight="1">
      <c r="A35" s="339">
        <v>2</v>
      </c>
      <c r="B35" s="340" t="s">
        <v>757</v>
      </c>
      <c r="C35" s="359">
        <f t="shared" si="13"/>
        <v>1767059262</v>
      </c>
      <c r="D35" s="197"/>
      <c r="E35" s="360">
        <v>1087722678</v>
      </c>
      <c r="F35" s="335">
        <v>0.19400000000000001</v>
      </c>
      <c r="G35" s="360">
        <v>679336584</v>
      </c>
      <c r="H35" s="335">
        <v>7.8E-2</v>
      </c>
      <c r="I35" s="360">
        <v>1767059262</v>
      </c>
      <c r="J35" s="360">
        <v>0</v>
      </c>
      <c r="K35" s="360">
        <v>0</v>
      </c>
      <c r="L35" s="360">
        <v>0</v>
      </c>
      <c r="M35" s="360">
        <v>0</v>
      </c>
      <c r="N35" s="360">
        <v>1484768825</v>
      </c>
      <c r="O35" s="360">
        <v>240868101</v>
      </c>
      <c r="P35" s="360">
        <v>939930</v>
      </c>
      <c r="Q35" s="360">
        <v>22789348</v>
      </c>
      <c r="R35" s="360">
        <v>17693058</v>
      </c>
      <c r="S35" s="359">
        <f t="shared" si="14"/>
        <v>24957895</v>
      </c>
      <c r="T35" s="360">
        <v>12828193</v>
      </c>
      <c r="U35" s="360">
        <v>2132286</v>
      </c>
      <c r="V35" s="360">
        <v>206375</v>
      </c>
      <c r="W35" s="360">
        <v>1983977</v>
      </c>
      <c r="X35" s="360">
        <v>7807064</v>
      </c>
      <c r="Y35" s="360"/>
      <c r="Z35" s="360"/>
      <c r="AB35" s="375"/>
      <c r="AC35" s="375"/>
      <c r="AD35" s="375"/>
      <c r="AE35" s="375"/>
      <c r="AF35" s="375"/>
    </row>
    <row r="36" spans="1:32" s="328" customFormat="1" ht="58.5" customHeight="1">
      <c r="A36" s="339">
        <v>3</v>
      </c>
      <c r="B36" s="340" t="s">
        <v>758</v>
      </c>
      <c r="C36" s="359">
        <f t="shared" si="13"/>
        <v>2636724336</v>
      </c>
      <c r="D36" s="197"/>
      <c r="E36" s="360">
        <v>1415510512</v>
      </c>
      <c r="F36" s="335">
        <v>0.18099999999999999</v>
      </c>
      <c r="G36" s="360">
        <v>1221213824</v>
      </c>
      <c r="H36" s="335">
        <v>7.3999999999999996E-2</v>
      </c>
      <c r="I36" s="360">
        <v>2612235142</v>
      </c>
      <c r="J36" s="360">
        <v>24106433</v>
      </c>
      <c r="K36" s="360">
        <v>0</v>
      </c>
      <c r="L36" s="360">
        <v>382761</v>
      </c>
      <c r="M36" s="360">
        <v>0</v>
      </c>
      <c r="N36" s="360">
        <v>2327508831</v>
      </c>
      <c r="O36" s="360">
        <v>147794380</v>
      </c>
      <c r="P36" s="360">
        <v>50912310</v>
      </c>
      <c r="Q36" s="360">
        <v>24696286</v>
      </c>
      <c r="R36" s="360">
        <v>85812529</v>
      </c>
      <c r="S36" s="359">
        <f t="shared" si="14"/>
        <v>48163721</v>
      </c>
      <c r="T36" s="360">
        <v>20109347</v>
      </c>
      <c r="U36" s="360">
        <v>12504208</v>
      </c>
      <c r="V36" s="360">
        <v>801953</v>
      </c>
      <c r="W36" s="360">
        <v>2203923</v>
      </c>
      <c r="X36" s="360">
        <v>12544290</v>
      </c>
      <c r="Y36" s="360"/>
      <c r="Z36" s="360">
        <v>34341419</v>
      </c>
      <c r="AB36" s="375"/>
      <c r="AC36" s="375"/>
      <c r="AD36" s="375"/>
      <c r="AE36" s="375"/>
      <c r="AF36" s="375"/>
    </row>
    <row r="37" spans="1:32" s="328" customFormat="1" ht="49.5" customHeight="1">
      <c r="A37" s="339">
        <v>4</v>
      </c>
      <c r="B37" s="340" t="s">
        <v>759</v>
      </c>
      <c r="C37" s="359">
        <f t="shared" si="13"/>
        <v>0</v>
      </c>
      <c r="D37" s="335"/>
      <c r="E37" s="360">
        <v>0</v>
      </c>
      <c r="F37" s="335">
        <v>0</v>
      </c>
      <c r="G37" s="360">
        <v>0</v>
      </c>
      <c r="H37" s="335">
        <v>0</v>
      </c>
      <c r="I37" s="360">
        <v>0</v>
      </c>
      <c r="J37" s="360">
        <v>0</v>
      </c>
      <c r="K37" s="360">
        <v>0</v>
      </c>
      <c r="L37" s="360">
        <v>0</v>
      </c>
      <c r="M37" s="360">
        <v>0</v>
      </c>
      <c r="N37" s="360">
        <v>0</v>
      </c>
      <c r="O37" s="360">
        <v>0</v>
      </c>
      <c r="P37" s="360">
        <v>0</v>
      </c>
      <c r="Q37" s="360">
        <v>0</v>
      </c>
      <c r="R37" s="360">
        <v>0</v>
      </c>
      <c r="S37" s="359">
        <f t="shared" si="14"/>
        <v>0</v>
      </c>
      <c r="T37" s="360">
        <v>0</v>
      </c>
      <c r="U37" s="360">
        <v>0</v>
      </c>
      <c r="V37" s="360">
        <v>0</v>
      </c>
      <c r="W37" s="360">
        <v>0</v>
      </c>
      <c r="X37" s="360">
        <v>0</v>
      </c>
      <c r="Y37" s="360"/>
      <c r="Z37" s="360"/>
      <c r="AB37" s="375"/>
      <c r="AC37" s="375"/>
      <c r="AD37" s="375"/>
      <c r="AE37" s="375"/>
      <c r="AF37" s="375"/>
    </row>
    <row r="38" spans="1:32" s="328" customFormat="1" ht="49.5" customHeight="1">
      <c r="A38" s="339">
        <v>5</v>
      </c>
      <c r="B38" s="340" t="s">
        <v>760</v>
      </c>
      <c r="C38" s="359">
        <f t="shared" si="13"/>
        <v>0</v>
      </c>
      <c r="D38" s="335"/>
      <c r="E38" s="360">
        <v>0</v>
      </c>
      <c r="F38" s="335">
        <v>0</v>
      </c>
      <c r="G38" s="360">
        <v>0</v>
      </c>
      <c r="H38" s="335">
        <v>0</v>
      </c>
      <c r="I38" s="360">
        <v>0</v>
      </c>
      <c r="J38" s="360">
        <v>0</v>
      </c>
      <c r="K38" s="360">
        <v>0</v>
      </c>
      <c r="L38" s="360">
        <v>0</v>
      </c>
      <c r="M38" s="360">
        <v>0</v>
      </c>
      <c r="N38" s="360">
        <v>0</v>
      </c>
      <c r="O38" s="360">
        <v>0</v>
      </c>
      <c r="P38" s="360">
        <v>0</v>
      </c>
      <c r="Q38" s="360">
        <v>0</v>
      </c>
      <c r="R38" s="360">
        <v>0</v>
      </c>
      <c r="S38" s="359">
        <f t="shared" si="14"/>
        <v>0</v>
      </c>
      <c r="T38" s="360">
        <v>0</v>
      </c>
      <c r="U38" s="360">
        <v>0</v>
      </c>
      <c r="V38" s="360">
        <v>0</v>
      </c>
      <c r="W38" s="360">
        <v>0</v>
      </c>
      <c r="X38" s="360">
        <v>0</v>
      </c>
      <c r="Y38" s="360"/>
      <c r="Z38" s="360"/>
      <c r="AB38" s="375"/>
      <c r="AC38" s="375"/>
      <c r="AD38" s="375"/>
      <c r="AE38" s="375"/>
      <c r="AF38" s="375"/>
    </row>
    <row r="39" spans="1:32" s="328" customFormat="1" ht="49.5" customHeight="1">
      <c r="A39" s="339">
        <v>6</v>
      </c>
      <c r="B39" s="340" t="s">
        <v>765</v>
      </c>
      <c r="C39" s="359">
        <f t="shared" si="13"/>
        <v>2021546043</v>
      </c>
      <c r="D39" s="197"/>
      <c r="E39" s="360">
        <v>975201549</v>
      </c>
      <c r="F39" s="335">
        <v>0.184</v>
      </c>
      <c r="G39" s="360">
        <v>1046344494</v>
      </c>
      <c r="H39" s="335">
        <v>6.8000000000000005E-2</v>
      </c>
      <c r="I39" s="360">
        <v>1925120720</v>
      </c>
      <c r="J39" s="360">
        <v>96425323</v>
      </c>
      <c r="K39" s="360">
        <v>0</v>
      </c>
      <c r="L39" s="360">
        <v>0</v>
      </c>
      <c r="M39" s="360">
        <v>0</v>
      </c>
      <c r="N39" s="360">
        <v>1814918498</v>
      </c>
      <c r="O39" s="360">
        <v>173231614</v>
      </c>
      <c r="P39" s="360">
        <v>6051464</v>
      </c>
      <c r="Q39" s="360">
        <v>3817500</v>
      </c>
      <c r="R39" s="360">
        <v>23526967</v>
      </c>
      <c r="S39" s="359">
        <f t="shared" si="14"/>
        <v>30355747</v>
      </c>
      <c r="T39" s="360">
        <v>15680639</v>
      </c>
      <c r="U39" s="360">
        <v>1210217</v>
      </c>
      <c r="V39" s="360">
        <v>2788267</v>
      </c>
      <c r="W39" s="360">
        <v>1266145</v>
      </c>
      <c r="X39" s="360">
        <v>9410479</v>
      </c>
      <c r="Y39" s="360">
        <v>23007654</v>
      </c>
      <c r="Z39" s="360">
        <v>10212781</v>
      </c>
      <c r="AB39" s="375"/>
      <c r="AC39" s="375"/>
      <c r="AD39" s="375"/>
      <c r="AE39" s="375"/>
      <c r="AF39" s="375"/>
    </row>
    <row r="40" spans="1:32" s="328" customFormat="1" ht="37.5" customHeight="1">
      <c r="A40" s="346"/>
      <c r="B40" s="347"/>
      <c r="C40" s="348"/>
      <c r="D40" s="363"/>
      <c r="E40" s="348"/>
      <c r="F40" s="348"/>
      <c r="G40" s="348"/>
      <c r="H40" s="348"/>
      <c r="I40" s="347"/>
      <c r="J40" s="347"/>
      <c r="K40" s="347"/>
      <c r="L40" s="347"/>
      <c r="M40" s="347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3"/>
      <c r="Y40" s="363"/>
      <c r="Z40" s="363"/>
      <c r="AB40" s="375"/>
      <c r="AC40" s="375"/>
      <c r="AD40" s="375"/>
      <c r="AE40" s="375"/>
      <c r="AF40" s="375"/>
    </row>
    <row r="41" spans="1:32" s="368" customFormat="1" ht="15.75">
      <c r="A41" s="366"/>
      <c r="B41" s="367" t="s">
        <v>0</v>
      </c>
      <c r="J41" s="366"/>
      <c r="AB41" s="380"/>
      <c r="AC41" s="380"/>
      <c r="AD41" s="380"/>
      <c r="AE41" s="380"/>
      <c r="AF41" s="380"/>
    </row>
    <row r="42" spans="1:32" s="368" customFormat="1" ht="15.75">
      <c r="A42" s="366"/>
      <c r="B42" s="367"/>
      <c r="J42" s="366"/>
      <c r="AB42" s="380"/>
      <c r="AC42" s="380"/>
      <c r="AD42" s="380"/>
      <c r="AE42" s="380"/>
      <c r="AF42" s="380"/>
    </row>
    <row r="43" spans="1:32" s="368" customFormat="1" ht="15.75">
      <c r="A43" s="366"/>
      <c r="B43" s="367" t="s">
        <v>1</v>
      </c>
      <c r="J43" s="366"/>
      <c r="AB43" s="380"/>
      <c r="AC43" s="380"/>
      <c r="AD43" s="380"/>
      <c r="AE43" s="380"/>
      <c r="AF43" s="380"/>
    </row>
    <row r="44" spans="1:32" s="141" customFormat="1" ht="15.75">
      <c r="A44" s="161"/>
      <c r="AB44" s="381"/>
      <c r="AC44" s="381"/>
      <c r="AD44" s="381"/>
      <c r="AE44" s="381"/>
      <c r="AF44" s="381"/>
    </row>
    <row r="45" spans="1:32" s="310" customFormat="1" ht="15.75">
      <c r="A45" s="364"/>
      <c r="B45" s="365"/>
      <c r="J45" s="364"/>
      <c r="AB45" s="382"/>
      <c r="AC45" s="382"/>
      <c r="AD45" s="382"/>
      <c r="AE45" s="382"/>
      <c r="AF45" s="382"/>
    </row>
    <row r="46" spans="1:32" s="310" customFormat="1" ht="15.75">
      <c r="A46" s="364"/>
      <c r="B46" s="365"/>
      <c r="J46" s="364"/>
      <c r="AB46" s="382"/>
      <c r="AC46" s="382"/>
      <c r="AD46" s="382"/>
      <c r="AE46" s="382"/>
      <c r="AF46" s="382"/>
    </row>
    <row r="47" spans="1:32" s="310" customFormat="1" ht="15.75">
      <c r="A47" s="364"/>
      <c r="B47" s="365"/>
      <c r="J47" s="364"/>
      <c r="AB47" s="382"/>
      <c r="AC47" s="382"/>
      <c r="AD47" s="382"/>
      <c r="AE47" s="382"/>
      <c r="AF47" s="382"/>
    </row>
    <row r="48" spans="1:32" s="350" customFormat="1" ht="15.75">
      <c r="A48" s="349"/>
      <c r="AB48" s="383"/>
      <c r="AC48" s="383"/>
      <c r="AD48" s="383"/>
      <c r="AE48" s="383"/>
      <c r="AF48" s="383"/>
    </row>
  </sheetData>
  <sheetProtection password="CACA" sheet="1" objects="1" scenarios="1"/>
  <mergeCells count="17"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  <mergeCell ref="M5:M6"/>
  </mergeCells>
  <conditionalFormatting sqref="C8">
    <cfRule type="cellIs" dxfId="120" priority="198" operator="notEqual">
      <formula>$AA$8</formula>
    </cfRule>
  </conditionalFormatting>
  <conditionalFormatting sqref="C11">
    <cfRule type="cellIs" dxfId="119" priority="8" operator="notEqual">
      <formula>$AA$11</formula>
    </cfRule>
    <cfRule type="cellIs" dxfId="118" priority="189" operator="notEqual">
      <formula>N11+O11+P11+Q11+R11</formula>
    </cfRule>
    <cfRule type="cellIs" dxfId="117" priority="190" operator="notEqual">
      <formula>I11+J11+K11+L11+M11</formula>
    </cfRule>
  </conditionalFormatting>
  <conditionalFormatting sqref="C16">
    <cfRule type="cellIs" dxfId="116" priority="7" operator="notEqual">
      <formula>$AA$16</formula>
    </cfRule>
    <cfRule type="cellIs" dxfId="115" priority="187" operator="notEqual">
      <formula>N16+O16+P16+Q16+R16</formula>
    </cfRule>
    <cfRule type="cellIs" dxfId="114" priority="188" operator="notEqual">
      <formula>I16+J16+K16+L16+M16</formula>
    </cfRule>
  </conditionalFormatting>
  <conditionalFormatting sqref="C25">
    <cfRule type="cellIs" dxfId="113" priority="185" operator="notEqual">
      <formula>N25+O25+P25+Q25+R25</formula>
    </cfRule>
    <cfRule type="cellIs" dxfId="112" priority="186" operator="notEqual">
      <formula>I25+J25+K25+L25+M25</formula>
    </cfRule>
  </conditionalFormatting>
  <conditionalFormatting sqref="C26">
    <cfRule type="cellIs" dxfId="111" priority="178" operator="notEqual">
      <formula>N26+O26+P26+Q26+R26</formula>
    </cfRule>
    <cfRule type="cellIs" dxfId="110" priority="179" operator="notEqual">
      <formula>I26+J26+K26+L26+M26</formula>
    </cfRule>
  </conditionalFormatting>
  <conditionalFormatting sqref="C33">
    <cfRule type="cellIs" dxfId="109" priority="52" operator="notEqual">
      <formula>$C$26</formula>
    </cfRule>
    <cfRule type="cellIs" dxfId="108" priority="171" operator="notEqual">
      <formula>N33+O33+P33+Q33+R33</formula>
    </cfRule>
    <cfRule type="cellIs" dxfId="107" priority="172" operator="notEqual">
      <formula>I33+J33+K33+L33+M33</formula>
    </cfRule>
  </conditionalFormatting>
  <conditionalFormatting sqref="C12">
    <cfRule type="cellIs" dxfId="106" priority="109" operator="notEqual">
      <formula>N12+O12+P12+Q12+R12</formula>
    </cfRule>
    <cfRule type="cellIs" dxfId="105" priority="110" operator="notEqual">
      <formula>I12+J12+K12+L12+M12</formula>
    </cfRule>
  </conditionalFormatting>
  <conditionalFormatting sqref="C13">
    <cfRule type="cellIs" dxfId="104" priority="107" operator="notEqual">
      <formula>N13+O13+P13+Q13+R13</formula>
    </cfRule>
    <cfRule type="cellIs" dxfId="103" priority="108" operator="notEqual">
      <formula>I13+J13+K13+L13+M13</formula>
    </cfRule>
  </conditionalFormatting>
  <conditionalFormatting sqref="C14">
    <cfRule type="cellIs" dxfId="102" priority="105" operator="notEqual">
      <formula>N14+O14+P14+Q14+R14</formula>
    </cfRule>
    <cfRule type="cellIs" dxfId="101" priority="106" operator="notEqual">
      <formula>I14+J14+K14+L14+M14</formula>
    </cfRule>
  </conditionalFormatting>
  <conditionalFormatting sqref="C15">
    <cfRule type="cellIs" dxfId="100" priority="103" operator="notEqual">
      <formula>N15+O15+P15+Q15+R15</formula>
    </cfRule>
    <cfRule type="cellIs" dxfId="99" priority="104" operator="notEqual">
      <formula>I15+J15+K15+L15+M15</formula>
    </cfRule>
  </conditionalFormatting>
  <conditionalFormatting sqref="C17">
    <cfRule type="cellIs" dxfId="98" priority="101" operator="notEqual">
      <formula>N17+O17+P17+Q17+R17</formula>
    </cfRule>
    <cfRule type="cellIs" dxfId="97" priority="102" operator="notEqual">
      <formula>I17+J17+K17+L17+M17</formula>
    </cfRule>
  </conditionalFormatting>
  <conditionalFormatting sqref="C18">
    <cfRule type="cellIs" dxfId="96" priority="99" operator="notEqual">
      <formula>N18+O18+P18+Q18+R18</formula>
    </cfRule>
    <cfRule type="cellIs" dxfId="95" priority="100" operator="notEqual">
      <formula>I18+J18+K18+L18+M18</formula>
    </cfRule>
  </conditionalFormatting>
  <conditionalFormatting sqref="C19">
    <cfRule type="cellIs" dxfId="94" priority="97" operator="notEqual">
      <formula>N19+O19+P19+Q19+R19</formula>
    </cfRule>
    <cfRule type="cellIs" dxfId="93" priority="98" operator="notEqual">
      <formula>I19+J19+K19+L19+M19</formula>
    </cfRule>
  </conditionalFormatting>
  <conditionalFormatting sqref="C20">
    <cfRule type="cellIs" dxfId="92" priority="95" operator="notEqual">
      <formula>N20+O20+P20+Q20+R20</formula>
    </cfRule>
    <cfRule type="cellIs" dxfId="91" priority="96" operator="notEqual">
      <formula>I20+J20+K20+L20+M20</formula>
    </cfRule>
  </conditionalFormatting>
  <conditionalFormatting sqref="C21">
    <cfRule type="cellIs" dxfId="90" priority="26" operator="notEqual">
      <formula>$AA$21</formula>
    </cfRule>
    <cfRule type="cellIs" dxfId="89" priority="93" operator="notEqual">
      <formula>N21+O21+P21+Q21+R21</formula>
    </cfRule>
    <cfRule type="cellIs" dxfId="88" priority="94" operator="notEqual">
      <formula>I21+J21+K21+L21+M21</formula>
    </cfRule>
  </conditionalFormatting>
  <conditionalFormatting sqref="C22">
    <cfRule type="cellIs" dxfId="87" priority="91" operator="notEqual">
      <formula>N22+O22+P22+Q22+R22</formula>
    </cfRule>
    <cfRule type="cellIs" dxfId="86" priority="92" operator="notEqual">
      <formula>I22+J22+K22+L22+M22</formula>
    </cfRule>
  </conditionalFormatting>
  <conditionalFormatting sqref="C23">
    <cfRule type="cellIs" dxfId="85" priority="25" operator="notEqual">
      <formula>$AA$23</formula>
    </cfRule>
    <cfRule type="cellIs" dxfId="84" priority="89" operator="notEqual">
      <formula>N23+O23+P23+Q23+R23</formula>
    </cfRule>
    <cfRule type="cellIs" dxfId="83" priority="90" operator="notEqual">
      <formula>I23+J23+K23+L23+M23</formula>
    </cfRule>
  </conditionalFormatting>
  <conditionalFormatting sqref="C24">
    <cfRule type="cellIs" dxfId="82" priority="87" operator="notEqual">
      <formula>N24+O24+P24+Q24+R24</formula>
    </cfRule>
    <cfRule type="cellIs" dxfId="81" priority="88" operator="notEqual">
      <formula>I24+J24+K24+L24+M24</formula>
    </cfRule>
  </conditionalFormatting>
  <conditionalFormatting sqref="C27">
    <cfRule type="cellIs" dxfId="80" priority="32" operator="notEqual">
      <formula>$AA$27</formula>
    </cfRule>
    <cfRule type="cellIs" dxfId="79" priority="85" operator="notEqual">
      <formula>N27+O27+P27+Q27+R27</formula>
    </cfRule>
    <cfRule type="cellIs" dxfId="78" priority="86" operator="notEqual">
      <formula>I27+J27+K27+L27+M27</formula>
    </cfRule>
  </conditionalFormatting>
  <conditionalFormatting sqref="C28">
    <cfRule type="cellIs" dxfId="77" priority="31" operator="notEqual">
      <formula>$AA$28</formula>
    </cfRule>
    <cfRule type="cellIs" dxfId="76" priority="83" operator="notEqual">
      <formula>N28+O28+P28+Q28+R28</formula>
    </cfRule>
    <cfRule type="cellIs" dxfId="75" priority="84" operator="notEqual">
      <formula>I28+J28+K28+L28+M28</formula>
    </cfRule>
  </conditionalFormatting>
  <conditionalFormatting sqref="C29">
    <cfRule type="cellIs" dxfId="74" priority="30" operator="notEqual">
      <formula>$AA$29</formula>
    </cfRule>
    <cfRule type="cellIs" dxfId="73" priority="81" operator="notEqual">
      <formula>N29+O29+P29+Q29+R29</formula>
    </cfRule>
    <cfRule type="cellIs" dxfId="72" priority="82" operator="notEqual">
      <formula>I29+J29+K29+L29+M29</formula>
    </cfRule>
  </conditionalFormatting>
  <conditionalFormatting sqref="C30">
    <cfRule type="cellIs" dxfId="71" priority="29" operator="notEqual">
      <formula>$AA$30</formula>
    </cfRule>
    <cfRule type="cellIs" dxfId="70" priority="79" operator="notEqual">
      <formula>N30+O30+P30+Q30+R30</formula>
    </cfRule>
    <cfRule type="cellIs" dxfId="69" priority="80" operator="notEqual">
      <formula>I30+J30+K30+L30+M30</formula>
    </cfRule>
  </conditionalFormatting>
  <conditionalFormatting sqref="C31">
    <cfRule type="cellIs" dxfId="68" priority="28" operator="notEqual">
      <formula>$AA$31</formula>
    </cfRule>
    <cfRule type="cellIs" dxfId="67" priority="77" operator="notEqual">
      <formula>N31+O31+P31+Q31+R31</formula>
    </cfRule>
    <cfRule type="cellIs" dxfId="66" priority="78" operator="notEqual">
      <formula>I31+J31+K31+L31+M31</formula>
    </cfRule>
  </conditionalFormatting>
  <conditionalFormatting sqref="C32">
    <cfRule type="cellIs" dxfId="65" priority="27" operator="notEqual">
      <formula>$AA$32</formula>
    </cfRule>
    <cfRule type="cellIs" dxfId="64" priority="75" operator="notEqual">
      <formula>N32+O32+P32+Q32+R32</formula>
    </cfRule>
    <cfRule type="cellIs" dxfId="63" priority="76" operator="notEqual">
      <formula>I32+J32+K32+L32+M32</formula>
    </cfRule>
  </conditionalFormatting>
  <conditionalFormatting sqref="C34">
    <cfRule type="cellIs" dxfId="62" priority="73" operator="notEqual">
      <formula>N34+O34+P34+Q34+R34</formula>
    </cfRule>
    <cfRule type="cellIs" dxfId="61" priority="74" operator="notEqual">
      <formula>I34+J34+K34+L34+M34</formula>
    </cfRule>
  </conditionalFormatting>
  <conditionalFormatting sqref="C35">
    <cfRule type="cellIs" dxfId="60" priority="71" operator="notEqual">
      <formula>N35+O35+P35+Q35+R35</formula>
    </cfRule>
    <cfRule type="cellIs" dxfId="59" priority="72" operator="notEqual">
      <formula>I35+J35+K35+L35+M35</formula>
    </cfRule>
  </conditionalFormatting>
  <conditionalFormatting sqref="C36">
    <cfRule type="cellIs" dxfId="58" priority="69" operator="notEqual">
      <formula>N36+O36+P36+Q36+R36</formula>
    </cfRule>
    <cfRule type="cellIs" dxfId="57" priority="70" operator="notEqual">
      <formula>I36+J36+K36+L36+M36</formula>
    </cfRule>
  </conditionalFormatting>
  <conditionalFormatting sqref="C37">
    <cfRule type="cellIs" dxfId="56" priority="67" operator="notEqual">
      <formula>N37+O37+P37+Q37+R37</formula>
    </cfRule>
    <cfRule type="cellIs" dxfId="55" priority="68" operator="notEqual">
      <formula>I37+J37+K37+L37+M37</formula>
    </cfRule>
  </conditionalFormatting>
  <conditionalFormatting sqref="C38">
    <cfRule type="cellIs" dxfId="54" priority="65" operator="notEqual">
      <formula>N38+O38+P38+Q38+R38</formula>
    </cfRule>
    <cfRule type="cellIs" dxfId="53" priority="66" operator="notEqual">
      <formula>I38+J38+K38+L38+M38</formula>
    </cfRule>
  </conditionalFormatting>
  <conditionalFormatting sqref="C39">
    <cfRule type="cellIs" dxfId="52" priority="63" operator="notEqual">
      <formula>N39+O39+P39+Q39+R39</formula>
    </cfRule>
    <cfRule type="cellIs" dxfId="51" priority="64" operator="notEqual">
      <formula>I39+J39+K39+L39+M39</formula>
    </cfRule>
  </conditionalFormatting>
  <conditionalFormatting sqref="T8">
    <cfRule type="cellIs" dxfId="50" priority="62" operator="notEqual">
      <formula>$AB$8</formula>
    </cfRule>
  </conditionalFormatting>
  <conditionalFormatting sqref="U8">
    <cfRule type="cellIs" dxfId="49" priority="61" operator="notEqual">
      <formula>$AC$8</formula>
    </cfRule>
  </conditionalFormatting>
  <conditionalFormatting sqref="V8">
    <cfRule type="cellIs" dxfId="48" priority="60" operator="notEqual">
      <formula>$AD$8</formula>
    </cfRule>
  </conditionalFormatting>
  <conditionalFormatting sqref="W8">
    <cfRule type="cellIs" dxfId="47" priority="59" operator="notEqual">
      <formula>$AE$8</formula>
    </cfRule>
  </conditionalFormatting>
  <conditionalFormatting sqref="X8">
    <cfRule type="cellIs" dxfId="46" priority="58" operator="notEqual">
      <formula>$AF$8</formula>
    </cfRule>
  </conditionalFormatting>
  <conditionalFormatting sqref="N8">
    <cfRule type="cellIs" dxfId="45" priority="57" operator="notEqual">
      <formula>$AB$9</formula>
    </cfRule>
  </conditionalFormatting>
  <conditionalFormatting sqref="O8">
    <cfRule type="cellIs" dxfId="44" priority="56" operator="notEqual">
      <formula>$AC$9</formula>
    </cfRule>
  </conditionalFormatting>
  <conditionalFormatting sqref="P8">
    <cfRule type="cellIs" dxfId="43" priority="55" operator="notEqual">
      <formula>$AD$9</formula>
    </cfRule>
  </conditionalFormatting>
  <conditionalFormatting sqref="Q8">
    <cfRule type="cellIs" dxfId="42" priority="54" operator="notEqual">
      <formula>$AE$9</formula>
    </cfRule>
  </conditionalFormatting>
  <conditionalFormatting sqref="R8">
    <cfRule type="cellIs" dxfId="41" priority="53" operator="notEqual">
      <formula>$AF$9</formula>
    </cfRule>
  </conditionalFormatting>
  <conditionalFormatting sqref="E33">
    <cfRule type="cellIs" dxfId="40" priority="51" operator="notEqual">
      <formula>$E$26</formula>
    </cfRule>
  </conditionalFormatting>
  <conditionalFormatting sqref="G33">
    <cfRule type="cellIs" dxfId="39" priority="50" operator="notEqual">
      <formula>$G$26</formula>
    </cfRule>
  </conditionalFormatting>
  <conditionalFormatting sqref="J33">
    <cfRule type="cellIs" dxfId="38" priority="49" operator="notEqual">
      <formula>$J$26</formula>
    </cfRule>
  </conditionalFormatting>
  <conditionalFormatting sqref="K33">
    <cfRule type="cellIs" dxfId="37" priority="48" operator="notEqual">
      <formula>$K$26</formula>
    </cfRule>
  </conditionalFormatting>
  <conditionalFormatting sqref="L33">
    <cfRule type="cellIs" dxfId="36" priority="47" operator="notEqual">
      <formula>$L$26</formula>
    </cfRule>
  </conditionalFormatting>
  <conditionalFormatting sqref="M33">
    <cfRule type="cellIs" dxfId="35" priority="46" operator="notEqual">
      <formula>$M$26</formula>
    </cfRule>
  </conditionalFormatting>
  <conditionalFormatting sqref="N33">
    <cfRule type="cellIs" dxfId="34" priority="45" operator="notEqual">
      <formula>$N$26</formula>
    </cfRule>
  </conditionalFormatting>
  <conditionalFormatting sqref="O33">
    <cfRule type="cellIs" dxfId="33" priority="44" operator="notEqual">
      <formula>$O$26</formula>
    </cfRule>
  </conditionalFormatting>
  <conditionalFormatting sqref="P33">
    <cfRule type="cellIs" dxfId="32" priority="43" operator="notEqual">
      <formula>$P$26</formula>
    </cfRule>
  </conditionalFormatting>
  <conditionalFormatting sqref="Q33">
    <cfRule type="cellIs" dxfId="31" priority="42" operator="notEqual">
      <formula>$Q$26</formula>
    </cfRule>
  </conditionalFormatting>
  <conditionalFormatting sqref="R33">
    <cfRule type="cellIs" dxfId="30" priority="41" operator="notEqual">
      <formula>$R$26</formula>
    </cfRule>
  </conditionalFormatting>
  <conditionalFormatting sqref="S33">
    <cfRule type="cellIs" dxfId="29" priority="40" operator="notEqual">
      <formula>$S$26</formula>
    </cfRule>
  </conditionalFormatting>
  <conditionalFormatting sqref="T33">
    <cfRule type="cellIs" dxfId="28" priority="39" operator="notEqual">
      <formula>$T$26</formula>
    </cfRule>
  </conditionalFormatting>
  <conditionalFormatting sqref="U33">
    <cfRule type="cellIs" dxfId="27" priority="38" operator="notEqual">
      <formula>$U$26</formula>
    </cfRule>
  </conditionalFormatting>
  <conditionalFormatting sqref="V33">
    <cfRule type="cellIs" dxfId="26" priority="37" operator="notEqual">
      <formula>$V$26</formula>
    </cfRule>
  </conditionalFormatting>
  <conditionalFormatting sqref="W33">
    <cfRule type="cellIs" dxfId="25" priority="36" operator="notEqual">
      <formula>$W$26</formula>
    </cfRule>
  </conditionalFormatting>
  <conditionalFormatting sqref="X33">
    <cfRule type="cellIs" dxfId="24" priority="35" operator="notEqual">
      <formula>$X$26</formula>
    </cfRule>
  </conditionalFormatting>
  <conditionalFormatting sqref="Y33">
    <cfRule type="cellIs" dxfId="23" priority="34" operator="notEqual">
      <formula>$Y$26</formula>
    </cfRule>
  </conditionalFormatting>
  <conditionalFormatting sqref="Z33">
    <cfRule type="cellIs" dxfId="22" priority="33" operator="notEqual">
      <formula>$Z$26</formula>
    </cfRule>
  </conditionalFormatting>
  <conditionalFormatting sqref="E21">
    <cfRule type="cellIs" dxfId="21" priority="24" operator="notEqual">
      <formula>$AB$21</formula>
    </cfRule>
  </conditionalFormatting>
  <conditionalFormatting sqref="E23">
    <cfRule type="cellIs" dxfId="20" priority="23" operator="notEqual">
      <formula>$AB$23</formula>
    </cfRule>
  </conditionalFormatting>
  <conditionalFormatting sqref="G21">
    <cfRule type="cellIs" dxfId="19" priority="22" operator="notEqual">
      <formula>$AC$21</formula>
    </cfRule>
  </conditionalFormatting>
  <conditionalFormatting sqref="G23">
    <cfRule type="cellIs" dxfId="18" priority="21" operator="notEqual">
      <formula>$AC$23</formula>
    </cfRule>
  </conditionalFormatting>
  <conditionalFormatting sqref="G27">
    <cfRule type="cellIs" dxfId="17" priority="20" operator="notEqual">
      <formula>$AC$27</formula>
    </cfRule>
  </conditionalFormatting>
  <conditionalFormatting sqref="G28">
    <cfRule type="cellIs" dxfId="16" priority="19" operator="notEqual">
      <formula>$AC$28</formula>
    </cfRule>
  </conditionalFormatting>
  <conditionalFormatting sqref="G29">
    <cfRule type="cellIs" dxfId="15" priority="18" operator="notEqual">
      <formula>$AC$29</formula>
    </cfRule>
  </conditionalFormatting>
  <conditionalFormatting sqref="G30">
    <cfRule type="cellIs" dxfId="14" priority="17" operator="notEqual">
      <formula>$AC$30</formula>
    </cfRule>
  </conditionalFormatting>
  <conditionalFormatting sqref="G31">
    <cfRule type="cellIs" dxfId="13" priority="16" operator="notEqual">
      <formula>$AC$31</formula>
    </cfRule>
  </conditionalFormatting>
  <conditionalFormatting sqref="G32">
    <cfRule type="cellIs" dxfId="12" priority="15" operator="notEqual">
      <formula>$AC$32</formula>
    </cfRule>
  </conditionalFormatting>
  <conditionalFormatting sqref="E27">
    <cfRule type="cellIs" dxfId="11" priority="14" operator="notEqual">
      <formula>$AB$27</formula>
    </cfRule>
  </conditionalFormatting>
  <conditionalFormatting sqref="E28">
    <cfRule type="cellIs" dxfId="10" priority="13" operator="notEqual">
      <formula>$AB$28</formula>
    </cfRule>
  </conditionalFormatting>
  <conditionalFormatting sqref="E29">
    <cfRule type="cellIs" dxfId="9" priority="12" operator="notEqual">
      <formula>$AB$29</formula>
    </cfRule>
  </conditionalFormatting>
  <conditionalFormatting sqref="E30">
    <cfRule type="cellIs" dxfId="8" priority="11" operator="notEqual">
      <formula>$AB$30</formula>
    </cfRule>
  </conditionalFormatting>
  <conditionalFormatting sqref="E31">
    <cfRule type="cellIs" dxfId="7" priority="10" operator="notEqual">
      <formula>$AB$31</formula>
    </cfRule>
  </conditionalFormatting>
  <conditionalFormatting sqref="E32">
    <cfRule type="cellIs" dxfId="6" priority="9" operator="notEqual">
      <formula>$AB$32</formula>
    </cfRule>
  </conditionalFormatting>
  <conditionalFormatting sqref="E11">
    <cfRule type="cellIs" dxfId="5" priority="6" operator="notEqual">
      <formula>$AB$11</formula>
    </cfRule>
  </conditionalFormatting>
  <conditionalFormatting sqref="G11">
    <cfRule type="cellIs" dxfId="4" priority="5" operator="notEqual">
      <formula>$AC$11</formula>
    </cfRule>
  </conditionalFormatting>
  <conditionalFormatting sqref="E16">
    <cfRule type="cellIs" dxfId="3" priority="4" operator="notEqual">
      <formula>$AB$16</formula>
    </cfRule>
  </conditionalFormatting>
  <conditionalFormatting sqref="G16">
    <cfRule type="cellIs" dxfId="2" priority="3" operator="notEqual">
      <formula>$AC$16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99" customWidth="1"/>
    <col min="2" max="2" width="105.140625" style="99" customWidth="1"/>
    <col min="3" max="3" width="19.7109375" style="132" customWidth="1"/>
    <col min="4" max="4" width="10.28515625" style="221" bestFit="1" customWidth="1"/>
    <col min="5" max="5" width="19.42578125" style="222" bestFit="1" customWidth="1"/>
    <col min="6" max="6" width="9.28515625" style="221" bestFit="1" customWidth="1"/>
    <col min="7" max="7" width="9.140625" style="221"/>
    <col min="8" max="8" width="17.42578125" style="221" bestFit="1" customWidth="1"/>
    <col min="9" max="16384" width="9.140625" style="99"/>
  </cols>
  <sheetData>
    <row r="1" spans="1:8" ht="23.25" customHeight="1">
      <c r="A1" s="755" t="s">
        <v>644</v>
      </c>
      <c r="B1" s="756"/>
      <c r="C1" s="98" t="s">
        <v>604</v>
      </c>
    </row>
    <row r="2" spans="1:8">
      <c r="A2" s="134"/>
      <c r="B2" s="134"/>
      <c r="C2" s="134"/>
    </row>
    <row r="3" spans="1:8" ht="15.75">
      <c r="A3" s="100"/>
      <c r="B3" s="166" t="e">
        <f>#REF!</f>
        <v>#REF!</v>
      </c>
      <c r="C3" s="165" t="e">
        <f>+#REF!</f>
        <v>#REF!</v>
      </c>
    </row>
    <row r="4" spans="1:8" s="101" customFormat="1" ht="43.5" customHeight="1">
      <c r="A4" s="206" t="s">
        <v>83</v>
      </c>
      <c r="B4" s="206" t="s">
        <v>57</v>
      </c>
      <c r="C4" s="206" t="s">
        <v>16</v>
      </c>
      <c r="D4" s="223"/>
      <c r="E4" s="224"/>
      <c r="F4" s="223"/>
      <c r="G4" s="223"/>
      <c r="H4" s="223"/>
    </row>
    <row r="5" spans="1:8" ht="12.75" customHeight="1">
      <c r="A5" s="177" t="s">
        <v>61</v>
      </c>
      <c r="B5" s="103" t="s">
        <v>238</v>
      </c>
      <c r="C5" s="104"/>
    </row>
    <row r="6" spans="1:8" ht="12.75" customHeight="1">
      <c r="A6" s="102">
        <v>1</v>
      </c>
      <c r="B6" s="103" t="s">
        <v>239</v>
      </c>
      <c r="C6" s="105"/>
    </row>
    <row r="7" spans="1:8" s="112" customFormat="1" ht="18" customHeight="1">
      <c r="A7" s="109" t="s">
        <v>242</v>
      </c>
      <c r="B7" s="110" t="s">
        <v>240</v>
      </c>
      <c r="C7" s="140" t="s">
        <v>210</v>
      </c>
      <c r="D7" s="225"/>
      <c r="E7" s="151"/>
      <c r="F7" s="225"/>
      <c r="G7" s="225"/>
      <c r="H7" s="225"/>
    </row>
    <row r="8" spans="1:8" s="101" customFormat="1" ht="18" customHeight="1">
      <c r="A8" s="119" t="s">
        <v>62</v>
      </c>
      <c r="B8" s="191" t="s">
        <v>63</v>
      </c>
      <c r="C8" s="135"/>
      <c r="D8" s="223"/>
      <c r="E8" s="224"/>
      <c r="F8" s="223"/>
      <c r="G8" s="223"/>
      <c r="H8" s="223"/>
    </row>
    <row r="9" spans="1:8" s="101" customFormat="1" ht="18" customHeight="1">
      <c r="A9" s="119" t="s">
        <v>64</v>
      </c>
      <c r="B9" s="191" t="s">
        <v>65</v>
      </c>
      <c r="C9" s="136"/>
      <c r="D9" s="223"/>
      <c r="E9" s="224"/>
      <c r="F9" s="223"/>
      <c r="G9" s="223"/>
      <c r="H9" s="223"/>
    </row>
    <row r="10" spans="1:8" s="112" customFormat="1" ht="18" customHeight="1">
      <c r="A10" s="109" t="s">
        <v>243</v>
      </c>
      <c r="B10" s="110" t="s">
        <v>241</v>
      </c>
      <c r="C10" s="148">
        <v>0</v>
      </c>
      <c r="D10" s="225"/>
      <c r="E10" s="151"/>
      <c r="F10" s="225"/>
      <c r="G10" s="225"/>
      <c r="H10" s="225"/>
    </row>
    <row r="11" spans="1:8" s="101" customFormat="1" ht="18" customHeight="1">
      <c r="A11" s="119" t="s">
        <v>244</v>
      </c>
      <c r="B11" s="191" t="s">
        <v>245</v>
      </c>
      <c r="C11" s="140" t="s">
        <v>210</v>
      </c>
      <c r="D11" s="223"/>
      <c r="E11" s="224"/>
      <c r="F11" s="223"/>
      <c r="G11" s="223"/>
      <c r="H11" s="223"/>
    </row>
    <row r="12" spans="1:8" s="101" customFormat="1" ht="18" customHeight="1">
      <c r="A12" s="119" t="s">
        <v>68</v>
      </c>
      <c r="B12" s="191" t="s">
        <v>71</v>
      </c>
      <c r="C12" s="150"/>
      <c r="D12" s="223"/>
      <c r="E12" s="224"/>
      <c r="F12" s="223"/>
      <c r="G12" s="223"/>
      <c r="H12" s="223"/>
    </row>
    <row r="13" spans="1:8" s="101" customFormat="1" ht="18" customHeight="1">
      <c r="A13" s="114" t="s">
        <v>64</v>
      </c>
      <c r="B13" s="192" t="s">
        <v>72</v>
      </c>
      <c r="C13" s="150"/>
      <c r="D13" s="223"/>
      <c r="E13" s="224"/>
      <c r="F13" s="223"/>
      <c r="G13" s="223"/>
      <c r="H13" s="223"/>
    </row>
    <row r="14" spans="1:8" s="112" customFormat="1" ht="18" customHeight="1">
      <c r="A14" s="124" t="s">
        <v>66</v>
      </c>
      <c r="B14" s="189" t="s">
        <v>246</v>
      </c>
      <c r="C14" s="147"/>
      <c r="D14" s="225"/>
      <c r="E14" s="151"/>
      <c r="F14" s="225"/>
      <c r="G14" s="225"/>
      <c r="H14" s="225"/>
    </row>
    <row r="15" spans="1:8" s="112" customFormat="1" ht="18" customHeight="1">
      <c r="A15" s="124" t="s">
        <v>73</v>
      </c>
      <c r="B15" s="189" t="s">
        <v>247</v>
      </c>
      <c r="C15" s="147"/>
      <c r="D15" s="225"/>
      <c r="E15" s="151"/>
      <c r="F15" s="225"/>
      <c r="G15" s="225"/>
      <c r="H15" s="225"/>
    </row>
    <row r="16" spans="1:8" s="101" customFormat="1" ht="18" customHeight="1">
      <c r="A16" s="114" t="s">
        <v>248</v>
      </c>
      <c r="B16" s="192" t="s">
        <v>74</v>
      </c>
      <c r="C16" s="148"/>
      <c r="D16" s="223"/>
      <c r="E16" s="224"/>
      <c r="F16" s="223"/>
      <c r="G16" s="223"/>
      <c r="H16" s="223"/>
    </row>
    <row r="17" spans="1:8" s="101" customFormat="1" ht="18" customHeight="1">
      <c r="A17" s="114" t="s">
        <v>249</v>
      </c>
      <c r="B17" s="192" t="s">
        <v>17</v>
      </c>
      <c r="C17" s="148"/>
      <c r="D17" s="223"/>
      <c r="E17" s="224"/>
      <c r="F17" s="223"/>
      <c r="G17" s="223"/>
      <c r="H17" s="223"/>
    </row>
    <row r="18" spans="1:8" s="101" customFormat="1" ht="18" customHeight="1">
      <c r="A18" s="114"/>
      <c r="B18" s="192" t="s">
        <v>250</v>
      </c>
      <c r="C18" s="140" t="s">
        <v>210</v>
      </c>
      <c r="D18" s="223"/>
      <c r="E18" s="224"/>
      <c r="F18" s="223"/>
      <c r="G18" s="223"/>
      <c r="H18" s="223"/>
    </row>
    <row r="19" spans="1:8" s="101" customFormat="1" ht="18" customHeight="1">
      <c r="A19" s="114" t="s">
        <v>278</v>
      </c>
      <c r="B19" s="192" t="s">
        <v>251</v>
      </c>
      <c r="C19" s="140" t="s">
        <v>210</v>
      </c>
      <c r="D19" s="223"/>
      <c r="E19" s="224"/>
      <c r="F19" s="223"/>
      <c r="G19" s="223"/>
      <c r="H19" s="223"/>
    </row>
    <row r="20" spans="1:8" s="112" customFormat="1" ht="18" customHeight="1">
      <c r="A20" s="176" t="s">
        <v>68</v>
      </c>
      <c r="B20" s="342" t="s">
        <v>76</v>
      </c>
      <c r="C20" s="147"/>
      <c r="D20" s="225"/>
      <c r="E20" s="151"/>
      <c r="F20" s="225"/>
      <c r="G20" s="225"/>
      <c r="H20" s="225"/>
    </row>
    <row r="21" spans="1:8" s="111" customFormat="1" ht="25.5">
      <c r="A21" s="176" t="s">
        <v>64</v>
      </c>
      <c r="B21" s="189" t="s">
        <v>28</v>
      </c>
      <c r="C21" s="147"/>
      <c r="D21" s="225"/>
      <c r="E21" s="151"/>
      <c r="F21" s="225"/>
      <c r="G21" s="225"/>
      <c r="H21" s="225"/>
    </row>
    <row r="22" spans="1:8" s="112" customFormat="1" ht="18" customHeight="1">
      <c r="A22" s="176" t="s">
        <v>66</v>
      </c>
      <c r="B22" s="189" t="s">
        <v>18</v>
      </c>
      <c r="C22" s="147"/>
      <c r="D22" s="225"/>
      <c r="E22" s="151"/>
      <c r="F22" s="225"/>
      <c r="G22" s="225"/>
      <c r="H22" s="225"/>
    </row>
    <row r="23" spans="1:8" s="112" customFormat="1" ht="15" customHeight="1">
      <c r="A23" s="109" t="s">
        <v>252</v>
      </c>
      <c r="B23" s="110" t="s">
        <v>253</v>
      </c>
      <c r="C23" s="140" t="s">
        <v>210</v>
      </c>
      <c r="D23" s="225"/>
      <c r="E23" s="151"/>
      <c r="F23" s="225"/>
      <c r="G23" s="225"/>
      <c r="H23" s="225"/>
    </row>
    <row r="24" spans="1:8" ht="16.5" customHeight="1">
      <c r="A24" s="106">
        <v>2</v>
      </c>
      <c r="B24" s="113" t="s">
        <v>254</v>
      </c>
      <c r="C24" s="107"/>
    </row>
    <row r="25" spans="1:8" s="112" customFormat="1" ht="18" customHeight="1">
      <c r="A25" s="124" t="s">
        <v>255</v>
      </c>
      <c r="B25" s="189" t="s">
        <v>67</v>
      </c>
      <c r="C25" s="188">
        <f>+C26+C27</f>
        <v>0</v>
      </c>
      <c r="D25" s="225"/>
      <c r="E25" s="151"/>
      <c r="F25" s="225"/>
      <c r="G25" s="225"/>
      <c r="H25" s="225"/>
    </row>
    <row r="26" spans="1:8" s="112" customFormat="1" ht="18" customHeight="1">
      <c r="A26" s="124" t="s">
        <v>68</v>
      </c>
      <c r="B26" s="189" t="s">
        <v>69</v>
      </c>
      <c r="C26" s="147"/>
      <c r="D26" s="225"/>
      <c r="E26" s="151"/>
      <c r="F26" s="225"/>
      <c r="G26" s="225"/>
      <c r="H26" s="225"/>
    </row>
    <row r="27" spans="1:8" s="112" customFormat="1" ht="18" customHeight="1">
      <c r="A27" s="124" t="s">
        <v>64</v>
      </c>
      <c r="B27" s="189" t="s">
        <v>70</v>
      </c>
      <c r="C27" s="147"/>
      <c r="D27" s="225"/>
      <c r="E27" s="151"/>
      <c r="F27" s="225"/>
      <c r="G27" s="225"/>
      <c r="H27" s="225"/>
    </row>
    <row r="28" spans="1:8" s="112" customFormat="1" ht="18" customHeight="1">
      <c r="A28" s="124" t="s">
        <v>256</v>
      </c>
      <c r="B28" s="189" t="s">
        <v>257</v>
      </c>
      <c r="C28" s="147">
        <v>0</v>
      </c>
      <c r="D28" s="225"/>
      <c r="E28" s="151"/>
      <c r="F28" s="225"/>
      <c r="G28" s="225"/>
      <c r="H28" s="225"/>
    </row>
    <row r="29" spans="1:8">
      <c r="A29" s="114" t="s">
        <v>258</v>
      </c>
      <c r="B29" s="190" t="s">
        <v>259</v>
      </c>
      <c r="C29" s="137">
        <v>0</v>
      </c>
    </row>
    <row r="30" spans="1:8" s="112" customFormat="1" ht="29.25" customHeight="1">
      <c r="A30" s="124" t="s">
        <v>260</v>
      </c>
      <c r="B30" s="189" t="s">
        <v>27</v>
      </c>
      <c r="C30" s="147">
        <v>0</v>
      </c>
      <c r="D30" s="225"/>
      <c r="E30" s="151"/>
      <c r="F30" s="225"/>
      <c r="G30" s="225"/>
      <c r="H30" s="225"/>
    </row>
    <row r="31" spans="1:8" s="116" customFormat="1">
      <c r="A31" s="115" t="s">
        <v>75</v>
      </c>
      <c r="B31" s="155" t="s">
        <v>261</v>
      </c>
      <c r="C31" s="149">
        <f>+C25+C28+C29+C30</f>
        <v>0</v>
      </c>
      <c r="D31" s="226"/>
      <c r="E31" s="227"/>
      <c r="F31" s="228"/>
      <c r="G31" s="228"/>
      <c r="H31" s="228"/>
    </row>
    <row r="32" spans="1:8" s="116" customFormat="1" ht="16.5" customHeight="1">
      <c r="A32" s="115" t="s">
        <v>77</v>
      </c>
      <c r="B32" s="212" t="s">
        <v>262</v>
      </c>
      <c r="C32" s="140" t="s">
        <v>210</v>
      </c>
      <c r="D32" s="228"/>
      <c r="E32" s="227"/>
      <c r="F32" s="228"/>
      <c r="G32" s="228"/>
      <c r="H32" s="228"/>
    </row>
    <row r="33" spans="1:8" s="118" customFormat="1" ht="13.5" customHeight="1">
      <c r="A33" s="117"/>
      <c r="B33" s="117" t="s">
        <v>79</v>
      </c>
      <c r="C33" s="108"/>
      <c r="D33" s="229"/>
      <c r="E33" s="230"/>
      <c r="F33" s="229"/>
      <c r="G33" s="229"/>
      <c r="H33" s="231"/>
    </row>
    <row r="34" spans="1:8" s="112" customFormat="1" ht="18" customHeight="1">
      <c r="A34" s="124" t="s">
        <v>263</v>
      </c>
      <c r="B34" s="323" t="s">
        <v>711</v>
      </c>
      <c r="C34" s="147"/>
      <c r="D34" s="225"/>
      <c r="E34" s="151"/>
      <c r="F34" s="225"/>
      <c r="G34" s="225"/>
      <c r="H34" s="225"/>
    </row>
    <row r="35" spans="1:8" s="112" customFormat="1" ht="25.5">
      <c r="A35" s="124" t="s">
        <v>264</v>
      </c>
      <c r="B35" s="189" t="s">
        <v>29</v>
      </c>
      <c r="C35" s="315" t="e">
        <f>IF(#REF!&lt;(C43*1.25%),#REF!,(C43*1.25%))</f>
        <v>#REF!</v>
      </c>
      <c r="D35" s="225"/>
      <c r="E35" s="151"/>
      <c r="F35" s="225"/>
      <c r="G35" s="225"/>
      <c r="H35" s="225"/>
    </row>
    <row r="36" spans="1:8" s="112" customFormat="1" ht="18" customHeight="1">
      <c r="A36" s="124" t="s">
        <v>265</v>
      </c>
      <c r="B36" s="189" t="s">
        <v>19</v>
      </c>
      <c r="C36" s="147"/>
      <c r="D36" s="225"/>
      <c r="E36" s="151"/>
      <c r="F36" s="225"/>
      <c r="G36" s="225"/>
      <c r="H36" s="225"/>
    </row>
    <row r="37" spans="1:8" s="112" customFormat="1" ht="18" customHeight="1">
      <c r="A37" s="124" t="s">
        <v>266</v>
      </c>
      <c r="B37" s="189" t="s">
        <v>267</v>
      </c>
      <c r="C37" s="147"/>
      <c r="D37" s="225"/>
      <c r="E37" s="151"/>
      <c r="F37" s="225"/>
      <c r="G37" s="225"/>
      <c r="H37" s="225"/>
    </row>
    <row r="38" spans="1:8" s="112" customFormat="1" ht="18" customHeight="1">
      <c r="A38" s="124" t="s">
        <v>268</v>
      </c>
      <c r="B38" s="189" t="s">
        <v>20</v>
      </c>
      <c r="C38" s="147"/>
      <c r="D38" s="225"/>
      <c r="E38" s="151"/>
      <c r="F38" s="225"/>
      <c r="G38" s="225"/>
      <c r="H38" s="225"/>
    </row>
    <row r="39" spans="1:8" s="112" customFormat="1" ht="18" customHeight="1">
      <c r="A39" s="124" t="s">
        <v>269</v>
      </c>
      <c r="B39" s="189" t="s">
        <v>80</v>
      </c>
      <c r="C39" s="140" t="s">
        <v>210</v>
      </c>
      <c r="D39" s="225"/>
      <c r="E39" s="151"/>
      <c r="F39" s="225"/>
      <c r="G39" s="225"/>
      <c r="H39" s="225"/>
    </row>
    <row r="40" spans="1:8" ht="18.75" customHeight="1">
      <c r="A40" s="119"/>
      <c r="B40" s="120" t="s">
        <v>39</v>
      </c>
      <c r="C40" s="108" t="e">
        <f>SUM(C34:C38)</f>
        <v>#REF!</v>
      </c>
      <c r="D40" s="226"/>
    </row>
    <row r="41" spans="1:8" s="101" customFormat="1" ht="22.5" customHeight="1">
      <c r="A41" s="138" t="s">
        <v>78</v>
      </c>
      <c r="B41" s="121" t="s">
        <v>40</v>
      </c>
      <c r="C41" s="140" t="s">
        <v>210</v>
      </c>
      <c r="D41" s="232"/>
      <c r="E41" s="224"/>
      <c r="F41" s="223"/>
      <c r="G41" s="223"/>
      <c r="H41" s="223"/>
    </row>
    <row r="42" spans="1:8" s="101" customFormat="1" ht="15.75" customHeight="1">
      <c r="A42" s="117" t="s">
        <v>81</v>
      </c>
      <c r="B42" s="121" t="s">
        <v>270</v>
      </c>
      <c r="C42" s="140" t="s">
        <v>210</v>
      </c>
      <c r="D42" s="232"/>
      <c r="E42" s="224"/>
      <c r="F42" s="223"/>
      <c r="G42" s="223"/>
      <c r="H42" s="223"/>
    </row>
    <row r="43" spans="1:8" s="101" customFormat="1" ht="21.75" customHeight="1">
      <c r="A43" s="117" t="s">
        <v>25</v>
      </c>
      <c r="B43" s="110" t="s">
        <v>271</v>
      </c>
      <c r="C43" s="122" t="e">
        <f>+C44+C45+C46</f>
        <v>#REF!</v>
      </c>
      <c r="D43" s="223"/>
      <c r="E43" s="224"/>
      <c r="F43" s="223"/>
      <c r="G43" s="223"/>
      <c r="H43" s="223"/>
    </row>
    <row r="44" spans="1:8" s="112" customFormat="1" ht="18" customHeight="1">
      <c r="A44" s="124" t="s">
        <v>68</v>
      </c>
      <c r="B44" s="189" t="s">
        <v>30</v>
      </c>
      <c r="C44" s="188" t="e">
        <f>+#REF!</f>
        <v>#REF!</v>
      </c>
      <c r="D44" s="225"/>
      <c r="E44" s="151"/>
      <c r="F44" s="225"/>
      <c r="G44" s="225"/>
      <c r="H44" s="225"/>
    </row>
    <row r="45" spans="1:8" s="112" customFormat="1" ht="18" customHeight="1">
      <c r="A45" s="124" t="s">
        <v>64</v>
      </c>
      <c r="B45" s="189" t="s">
        <v>23</v>
      </c>
      <c r="C45" s="188" t="e">
        <f>+#REF!</f>
        <v>#REF!</v>
      </c>
      <c r="D45" s="225"/>
      <c r="E45" s="151"/>
      <c r="F45" s="225"/>
      <c r="G45" s="225"/>
      <c r="H45" s="225"/>
    </row>
    <row r="46" spans="1:8" s="112" customFormat="1" ht="18" customHeight="1">
      <c r="A46" s="124" t="s">
        <v>66</v>
      </c>
      <c r="B46" s="189" t="s">
        <v>24</v>
      </c>
      <c r="C46" s="188" t="e">
        <f>+#REF!</f>
        <v>#REF!</v>
      </c>
      <c r="D46" s="225"/>
      <c r="E46" s="151" t="e">
        <f>+#REF!</f>
        <v>#REF!</v>
      </c>
      <c r="F46" s="225"/>
      <c r="G46" s="225"/>
      <c r="H46" s="225"/>
    </row>
    <row r="47" spans="1:8" s="118" customFormat="1" ht="21.75" customHeight="1">
      <c r="A47" s="138" t="s">
        <v>26</v>
      </c>
      <c r="B47" s="139" t="s">
        <v>272</v>
      </c>
      <c r="C47" s="140" t="s">
        <v>210</v>
      </c>
      <c r="D47" s="229"/>
      <c r="E47" s="230"/>
      <c r="F47" s="229"/>
      <c r="G47" s="229"/>
      <c r="H47" s="229"/>
    </row>
    <row r="48" spans="1:8" s="118" customFormat="1" ht="21.75" customHeight="1">
      <c r="A48" s="138" t="s">
        <v>82</v>
      </c>
      <c r="B48" s="139" t="s">
        <v>273</v>
      </c>
      <c r="C48" s="140" t="s">
        <v>210</v>
      </c>
      <c r="D48" s="229"/>
      <c r="E48" s="230"/>
      <c r="F48" s="229"/>
      <c r="G48" s="229"/>
      <c r="H48" s="229"/>
    </row>
    <row r="49" spans="1:8" s="118" customFormat="1" ht="21.75" customHeight="1">
      <c r="A49" s="138" t="s">
        <v>41</v>
      </c>
      <c r="B49" s="139" t="s">
        <v>274</v>
      </c>
      <c r="C49" s="140" t="s">
        <v>210</v>
      </c>
      <c r="D49" s="229"/>
      <c r="E49" s="230"/>
      <c r="F49" s="229"/>
      <c r="G49" s="229"/>
      <c r="H49" s="229"/>
    </row>
    <row r="50" spans="1:8" s="123" customFormat="1" ht="21.75" customHeight="1">
      <c r="A50" s="117" t="s">
        <v>42</v>
      </c>
      <c r="B50" s="110" t="s">
        <v>33</v>
      </c>
      <c r="C50" s="140" t="s">
        <v>210</v>
      </c>
      <c r="D50" s="233"/>
      <c r="E50" s="234"/>
      <c r="F50" s="235"/>
      <c r="G50" s="233"/>
      <c r="H50" s="233"/>
    </row>
    <row r="51" spans="1:8" s="127" customFormat="1" ht="21.75" customHeight="1">
      <c r="A51" s="124" t="s">
        <v>68</v>
      </c>
      <c r="B51" s="125" t="s">
        <v>46</v>
      </c>
      <c r="C51" s="126" t="e">
        <f>+#REF!</f>
        <v>#REF!</v>
      </c>
      <c r="D51" s="236"/>
      <c r="E51" s="237"/>
      <c r="F51" s="238"/>
      <c r="G51" s="236"/>
      <c r="H51" s="236"/>
    </row>
    <row r="52" spans="1:8" s="127" customFormat="1" ht="21.75" customHeight="1">
      <c r="A52" s="124" t="s">
        <v>64</v>
      </c>
      <c r="B52" s="125" t="s">
        <v>275</v>
      </c>
      <c r="C52" s="260" t="e">
        <f>SUM(#REF!)</f>
        <v>#REF!</v>
      </c>
      <c r="D52" s="238" t="e">
        <f>+#REF!</f>
        <v>#REF!</v>
      </c>
      <c r="E52" s="237"/>
      <c r="F52" s="238"/>
      <c r="G52" s="236"/>
      <c r="H52" s="236"/>
    </row>
    <row r="53" spans="1:8" s="130" customFormat="1" ht="21.75" customHeight="1">
      <c r="A53" s="128" t="s">
        <v>66</v>
      </c>
      <c r="B53" s="129" t="s">
        <v>276</v>
      </c>
      <c r="C53" s="262" t="e">
        <f>SUM(#REF!)</f>
        <v>#REF!</v>
      </c>
      <c r="D53" s="259"/>
      <c r="E53" s="261"/>
      <c r="F53" s="239"/>
      <c r="G53" s="239"/>
      <c r="H53" s="239"/>
    </row>
    <row r="54" spans="1:8" s="130" customFormat="1" ht="21.75" customHeight="1">
      <c r="A54" s="128" t="s">
        <v>73</v>
      </c>
      <c r="B54" s="129" t="s">
        <v>277</v>
      </c>
      <c r="C54" s="160" t="str">
        <f>+C19</f>
        <v>Формула</v>
      </c>
      <c r="D54" s="239"/>
      <c r="E54" s="240"/>
      <c r="F54" s="239"/>
      <c r="G54" s="239"/>
      <c r="H54" s="239"/>
    </row>
    <row r="55" spans="1:8" s="118" customFormat="1" ht="21.75" customHeight="1">
      <c r="A55" s="138" t="s">
        <v>43</v>
      </c>
      <c r="B55" s="139" t="s">
        <v>47</v>
      </c>
      <c r="C55" s="140" t="s">
        <v>210</v>
      </c>
      <c r="D55" s="229"/>
      <c r="E55" s="230"/>
      <c r="F55" s="229"/>
      <c r="G55" s="229"/>
      <c r="H55" s="229"/>
    </row>
    <row r="56" spans="1:8">
      <c r="B56" s="131"/>
    </row>
    <row r="57" spans="1:8" s="1" customFormat="1">
      <c r="A57" s="46"/>
      <c r="B57" s="5" t="s">
        <v>0</v>
      </c>
      <c r="D57" s="95"/>
      <c r="E57" s="95"/>
      <c r="F57" s="95"/>
      <c r="G57" s="95"/>
      <c r="H57" s="95"/>
    </row>
    <row r="58" spans="1:8" s="1" customFormat="1">
      <c r="A58" s="46"/>
      <c r="B58" s="5"/>
      <c r="D58" s="95"/>
      <c r="E58" s="95"/>
      <c r="F58" s="95"/>
      <c r="G58" s="95"/>
      <c r="H58" s="95"/>
    </row>
    <row r="59" spans="1:8" s="1" customFormat="1">
      <c r="A59" s="46"/>
      <c r="B59" s="5" t="s">
        <v>1</v>
      </c>
      <c r="D59" s="95"/>
      <c r="E59" s="95"/>
      <c r="F59" s="95"/>
      <c r="G59" s="95"/>
      <c r="H59" s="95"/>
    </row>
    <row r="60" spans="1:8">
      <c r="B60" s="133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4">
    <pageSetUpPr fitToPage="1"/>
  </sheetPr>
  <dimension ref="A1:Z31"/>
  <sheetViews>
    <sheetView view="pageBreakPreview" zoomScale="65" zoomScaleNormal="65" zoomScaleSheetLayoutView="65" workbookViewId="0">
      <pane xSplit="3" ySplit="7" topLeftCell="D8" activePane="bottomRight" state="frozen"/>
      <selection activeCell="Z28" sqref="Z28"/>
      <selection pane="topRight" activeCell="Z28" sqref="Z28"/>
      <selection pane="bottomLeft" activeCell="Z28" sqref="Z28"/>
      <selection pane="bottomRight" activeCell="E12" sqref="E12"/>
    </sheetView>
  </sheetViews>
  <sheetFormatPr defaultRowHeight="15.75"/>
  <cols>
    <col min="1" max="1" width="9.7109375" style="161" customWidth="1"/>
    <col min="2" max="2" width="31.140625" style="141" customWidth="1"/>
    <col min="3" max="3" width="17.140625" style="141" customWidth="1"/>
    <col min="4" max="4" width="16.5703125" style="141" customWidth="1"/>
    <col min="5" max="5" width="17.140625" style="141" customWidth="1"/>
    <col min="6" max="6" width="16.5703125" style="141" customWidth="1"/>
    <col min="7" max="7" width="17.140625" style="141" customWidth="1"/>
    <col min="8" max="8" width="16.5703125" style="141" customWidth="1"/>
    <col min="9" max="9" width="19" style="141" customWidth="1"/>
    <col min="10" max="10" width="16.5703125" style="141" customWidth="1"/>
    <col min="11" max="11" width="17.140625" style="141" customWidth="1"/>
    <col min="12" max="12" width="16.5703125" style="141" customWidth="1"/>
    <col min="13" max="13" width="19" style="141" customWidth="1"/>
    <col min="14" max="14" width="16.5703125" style="141" customWidth="1"/>
    <col min="15" max="15" width="9.140625" style="141"/>
    <col min="16" max="16" width="26" style="141" customWidth="1"/>
    <col min="17" max="17" width="13.5703125" style="141" customWidth="1"/>
    <col min="18" max="16384" width="9.140625" style="141"/>
  </cols>
  <sheetData>
    <row r="1" spans="1:26" s="146" customFormat="1" ht="48.75" customHeight="1">
      <c r="A1" s="759" t="s">
        <v>634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181" t="s">
        <v>633</v>
      </c>
    </row>
    <row r="2" spans="1:26" ht="18.75">
      <c r="B2" s="170" t="str">
        <f>+'Asset quality'!B3</f>
        <v xml:space="preserve">АК "АЛОКАБАНК" </v>
      </c>
      <c r="K2" s="758">
        <f>+'loans_av rate'!F3</f>
        <v>44561</v>
      </c>
      <c r="L2" s="758"/>
      <c r="N2" s="162" t="s">
        <v>382</v>
      </c>
    </row>
    <row r="3" spans="1:26" s="142" customFormat="1" ht="38.25" customHeight="1">
      <c r="A3" s="757" t="s">
        <v>83</v>
      </c>
      <c r="B3" s="726" t="s">
        <v>685</v>
      </c>
      <c r="C3" s="757" t="s">
        <v>610</v>
      </c>
      <c r="D3" s="757"/>
      <c r="E3" s="757"/>
      <c r="F3" s="757"/>
      <c r="G3" s="757"/>
      <c r="H3" s="757"/>
      <c r="I3" s="757" t="s">
        <v>611</v>
      </c>
      <c r="J3" s="757"/>
      <c r="K3" s="757"/>
      <c r="L3" s="757"/>
      <c r="M3" s="757"/>
      <c r="N3" s="757"/>
    </row>
    <row r="4" spans="1:26" s="142" customFormat="1" ht="24" customHeight="1">
      <c r="A4" s="757"/>
      <c r="B4" s="727"/>
      <c r="C4" s="757" t="s">
        <v>612</v>
      </c>
      <c r="D4" s="757" t="s">
        <v>609</v>
      </c>
      <c r="E4" s="757" t="s">
        <v>616</v>
      </c>
      <c r="F4" s="757"/>
      <c r="G4" s="757"/>
      <c r="H4" s="757"/>
      <c r="I4" s="757" t="s">
        <v>612</v>
      </c>
      <c r="J4" s="757" t="s">
        <v>609</v>
      </c>
      <c r="K4" s="757" t="s">
        <v>616</v>
      </c>
      <c r="L4" s="757"/>
      <c r="M4" s="757"/>
      <c r="N4" s="757"/>
    </row>
    <row r="5" spans="1:26" s="142" customFormat="1" ht="54.75" customHeight="1">
      <c r="A5" s="757"/>
      <c r="B5" s="727"/>
      <c r="C5" s="757"/>
      <c r="D5" s="757"/>
      <c r="E5" s="757" t="s">
        <v>617</v>
      </c>
      <c r="F5" s="757"/>
      <c r="G5" s="757" t="s">
        <v>197</v>
      </c>
      <c r="H5" s="757"/>
      <c r="I5" s="757"/>
      <c r="J5" s="757"/>
      <c r="K5" s="757" t="s">
        <v>617</v>
      </c>
      <c r="L5" s="757"/>
      <c r="M5" s="757" t="s">
        <v>197</v>
      </c>
      <c r="N5" s="757"/>
    </row>
    <row r="6" spans="1:26" s="142" customFormat="1" ht="54.75" customHeight="1">
      <c r="A6" s="757"/>
      <c r="B6" s="728"/>
      <c r="C6" s="757"/>
      <c r="D6" s="757"/>
      <c r="E6" s="299" t="s">
        <v>614</v>
      </c>
      <c r="F6" s="299" t="s">
        <v>609</v>
      </c>
      <c r="G6" s="299" t="s">
        <v>614</v>
      </c>
      <c r="H6" s="299" t="s">
        <v>609</v>
      </c>
      <c r="I6" s="757"/>
      <c r="J6" s="757"/>
      <c r="K6" s="299" t="s">
        <v>614</v>
      </c>
      <c r="L6" s="299" t="s">
        <v>609</v>
      </c>
      <c r="M6" s="299" t="s">
        <v>614</v>
      </c>
      <c r="N6" s="299" t="s">
        <v>609</v>
      </c>
    </row>
    <row r="7" spans="1:26" s="142" customFormat="1" ht="22.5" customHeight="1">
      <c r="A7" s="757"/>
      <c r="B7" s="299" t="s">
        <v>182</v>
      </c>
      <c r="C7" s="299" t="s">
        <v>183</v>
      </c>
      <c r="D7" s="299" t="s">
        <v>195</v>
      </c>
      <c r="E7" s="299" t="s">
        <v>184</v>
      </c>
      <c r="F7" s="299" t="s">
        <v>185</v>
      </c>
      <c r="G7" s="299" t="s">
        <v>196</v>
      </c>
      <c r="H7" s="299" t="s">
        <v>186</v>
      </c>
      <c r="I7" s="299" t="s">
        <v>187</v>
      </c>
      <c r="J7" s="299" t="s">
        <v>188</v>
      </c>
      <c r="K7" s="299" t="s">
        <v>189</v>
      </c>
      <c r="L7" s="299" t="s">
        <v>190</v>
      </c>
      <c r="M7" s="299" t="s">
        <v>191</v>
      </c>
      <c r="N7" s="299" t="s">
        <v>192</v>
      </c>
    </row>
    <row r="8" spans="1:26" s="284" customFormat="1" ht="41.25" customHeight="1">
      <c r="A8" s="280">
        <v>1</v>
      </c>
      <c r="B8" s="281" t="s">
        <v>199</v>
      </c>
      <c r="C8" s="312">
        <f>+E8+G8</f>
        <v>468677597</v>
      </c>
      <c r="D8" s="282" t="s">
        <v>920</v>
      </c>
      <c r="E8" s="660">
        <v>398173130</v>
      </c>
      <c r="F8" s="659" t="s">
        <v>920</v>
      </c>
      <c r="G8" s="660">
        <v>70504467</v>
      </c>
      <c r="H8" s="659" t="s">
        <v>920</v>
      </c>
      <c r="I8" s="312">
        <f>+K8+M8</f>
        <v>1568248781</v>
      </c>
      <c r="J8" s="282" t="s">
        <v>920</v>
      </c>
      <c r="K8" s="300">
        <v>1284665368</v>
      </c>
      <c r="L8" s="282" t="s">
        <v>920</v>
      </c>
      <c r="M8" s="300">
        <v>283583413</v>
      </c>
      <c r="N8" s="282" t="s">
        <v>920</v>
      </c>
      <c r="O8" s="283"/>
      <c r="P8" s="313">
        <f>+'[8]Bank Liabilities Analysis'!$C$22</f>
        <v>2036926378</v>
      </c>
      <c r="Q8" s="313">
        <f t="shared" ref="Q8:Q15" si="0">+P8-C8-I8</f>
        <v>0</v>
      </c>
      <c r="R8" s="283"/>
      <c r="S8" s="283"/>
      <c r="T8" s="283"/>
      <c r="U8" s="283"/>
      <c r="V8" s="283"/>
      <c r="W8" s="283"/>
      <c r="X8" s="283"/>
      <c r="Y8" s="283"/>
      <c r="Z8" s="283"/>
    </row>
    <row r="9" spans="1:26" s="284" customFormat="1" ht="41.25" customHeight="1">
      <c r="A9" s="280">
        <v>2</v>
      </c>
      <c r="B9" s="281" t="s">
        <v>686</v>
      </c>
      <c r="C9" s="312">
        <f t="shared" ref="C9" si="1">+E9+G9</f>
        <v>1693376</v>
      </c>
      <c r="D9" s="282">
        <v>0.122</v>
      </c>
      <c r="E9" s="660">
        <v>1519974</v>
      </c>
      <c r="F9" s="659">
        <v>0.184</v>
      </c>
      <c r="G9" s="660">
        <v>173402</v>
      </c>
      <c r="H9" s="659" t="s">
        <v>922</v>
      </c>
      <c r="I9" s="312">
        <f t="shared" ref="I9" si="2">+K9+M9</f>
        <v>309535000</v>
      </c>
      <c r="J9" s="282">
        <v>1.4999999999999999E-2</v>
      </c>
      <c r="K9" s="300">
        <v>309535000</v>
      </c>
      <c r="L9" s="282">
        <v>4.0000000000000001E-3</v>
      </c>
      <c r="M9" s="300">
        <v>0</v>
      </c>
      <c r="N9" s="282">
        <v>0</v>
      </c>
      <c r="O9" s="283"/>
      <c r="P9" s="313">
        <f>+'[8]Bank Liabilities Analysis'!$E$22</f>
        <v>311228376</v>
      </c>
      <c r="Q9" s="313">
        <f t="shared" si="0"/>
        <v>0</v>
      </c>
      <c r="R9" s="283"/>
      <c r="S9" s="283"/>
      <c r="T9" s="283"/>
      <c r="U9" s="283"/>
      <c r="V9" s="283"/>
      <c r="W9" s="283"/>
      <c r="X9" s="283"/>
      <c r="Y9" s="283"/>
      <c r="Z9" s="283"/>
    </row>
    <row r="10" spans="1:26" s="284" customFormat="1" ht="41.25" customHeight="1">
      <c r="A10" s="280">
        <v>3</v>
      </c>
      <c r="B10" s="281" t="s">
        <v>687</v>
      </c>
      <c r="C10" s="312">
        <f t="shared" ref="C10:C15" si="3">+E10+G10</f>
        <v>6862058</v>
      </c>
      <c r="D10" s="282">
        <v>0.17199999999999999</v>
      </c>
      <c r="E10" s="660">
        <v>6277694</v>
      </c>
      <c r="F10" s="659">
        <v>0.183</v>
      </c>
      <c r="G10" s="660">
        <v>584364</v>
      </c>
      <c r="H10" s="659" t="s">
        <v>922</v>
      </c>
      <c r="I10" s="312">
        <f t="shared" ref="I10:I15" si="4">+K10+M10</f>
        <v>118000000</v>
      </c>
      <c r="J10" s="282" t="s">
        <v>921</v>
      </c>
      <c r="K10" s="300">
        <v>118000000</v>
      </c>
      <c r="L10" s="282" t="s">
        <v>921</v>
      </c>
      <c r="M10" s="300">
        <v>0</v>
      </c>
      <c r="N10" s="282" t="s">
        <v>920</v>
      </c>
      <c r="O10" s="283"/>
      <c r="P10" s="313">
        <f>+'[8]Bank Liabilities Analysis'!$G$22</f>
        <v>124862058</v>
      </c>
      <c r="Q10" s="313">
        <f t="shared" si="0"/>
        <v>0</v>
      </c>
      <c r="R10" s="283"/>
      <c r="S10" s="283"/>
      <c r="T10" s="283"/>
      <c r="U10" s="283"/>
      <c r="V10" s="283"/>
      <c r="W10" s="283"/>
      <c r="X10" s="283"/>
      <c r="Y10" s="283"/>
      <c r="Z10" s="283"/>
    </row>
    <row r="11" spans="1:26" s="284" customFormat="1" ht="41.25" customHeight="1">
      <c r="A11" s="280">
        <v>4</v>
      </c>
      <c r="B11" s="281" t="s">
        <v>578</v>
      </c>
      <c r="C11" s="312">
        <f t="shared" si="3"/>
        <v>113067732</v>
      </c>
      <c r="D11" s="282">
        <v>0.191</v>
      </c>
      <c r="E11" s="660">
        <v>102587003</v>
      </c>
      <c r="F11" s="659">
        <v>0.19700000000000001</v>
      </c>
      <c r="G11" s="660">
        <v>10480729</v>
      </c>
      <c r="H11" s="659" t="s">
        <v>922</v>
      </c>
      <c r="I11" s="312">
        <f t="shared" si="4"/>
        <v>138289769</v>
      </c>
      <c r="J11" s="282">
        <v>0.14799999999999999</v>
      </c>
      <c r="K11" s="300">
        <v>92945000</v>
      </c>
      <c r="L11" s="282">
        <v>0.16300000000000001</v>
      </c>
      <c r="M11" s="300">
        <v>45344769</v>
      </c>
      <c r="N11" s="282" t="s">
        <v>924</v>
      </c>
      <c r="O11" s="283"/>
      <c r="P11" s="313">
        <f>+'[8]Bank Liabilities Analysis'!$I$22</f>
        <v>251357501</v>
      </c>
      <c r="Q11" s="313">
        <f t="shared" si="0"/>
        <v>0</v>
      </c>
      <c r="R11" s="283"/>
      <c r="S11" s="283"/>
      <c r="T11" s="283"/>
      <c r="U11" s="283"/>
      <c r="V11" s="283"/>
      <c r="W11" s="283"/>
      <c r="X11" s="283"/>
      <c r="Y11" s="283"/>
      <c r="Z11" s="283"/>
    </row>
    <row r="12" spans="1:26" s="284" customFormat="1" ht="41.25" customHeight="1">
      <c r="A12" s="280">
        <v>5</v>
      </c>
      <c r="B12" s="281" t="s">
        <v>579</v>
      </c>
      <c r="C12" s="312">
        <f t="shared" si="3"/>
        <v>92334194</v>
      </c>
      <c r="D12" s="282">
        <v>0.19500000000000001</v>
      </c>
      <c r="E12" s="660">
        <v>91860187</v>
      </c>
      <c r="F12" s="659">
        <v>0.20899999999999999</v>
      </c>
      <c r="G12" s="660">
        <v>474007</v>
      </c>
      <c r="H12" s="659" t="s">
        <v>922</v>
      </c>
      <c r="I12" s="312">
        <f t="shared" si="4"/>
        <v>527449894</v>
      </c>
      <c r="J12" s="282">
        <v>0.14499999999999999</v>
      </c>
      <c r="K12" s="300">
        <v>517696000</v>
      </c>
      <c r="L12" s="282">
        <v>0.16600000000000001</v>
      </c>
      <c r="M12" s="300">
        <v>9753894</v>
      </c>
      <c r="N12" s="282">
        <v>4.1000000000000002E-2</v>
      </c>
      <c r="O12" s="283"/>
      <c r="P12" s="313">
        <f>+'[8]Bank Liabilities Analysis'!$K$22</f>
        <v>619784088</v>
      </c>
      <c r="Q12" s="313">
        <f t="shared" si="0"/>
        <v>0</v>
      </c>
      <c r="R12" s="283"/>
      <c r="S12" s="283"/>
      <c r="T12" s="283"/>
      <c r="U12" s="283"/>
      <c r="V12" s="283"/>
      <c r="W12" s="283"/>
      <c r="X12" s="283"/>
      <c r="Y12" s="283"/>
      <c r="Z12" s="283"/>
    </row>
    <row r="13" spans="1:26" s="284" customFormat="1" ht="41.25" customHeight="1">
      <c r="A13" s="280">
        <v>6</v>
      </c>
      <c r="B13" s="281" t="s">
        <v>638</v>
      </c>
      <c r="C13" s="312">
        <f t="shared" si="3"/>
        <v>86660671</v>
      </c>
      <c r="D13" s="282">
        <v>0.183</v>
      </c>
      <c r="E13" s="660">
        <v>72596757</v>
      </c>
      <c r="F13" s="659" t="s">
        <v>923</v>
      </c>
      <c r="G13" s="660">
        <v>14063914</v>
      </c>
      <c r="H13" s="659">
        <v>4.8000000000000001E-2</v>
      </c>
      <c r="I13" s="312">
        <f t="shared" si="4"/>
        <v>913629792</v>
      </c>
      <c r="J13" s="282">
        <v>0.129</v>
      </c>
      <c r="K13" s="300">
        <v>583115843</v>
      </c>
      <c r="L13" s="282">
        <v>0.16500000000000001</v>
      </c>
      <c r="M13" s="300">
        <v>330513949</v>
      </c>
      <c r="N13" s="282">
        <v>1.2E-2</v>
      </c>
      <c r="O13" s="283"/>
      <c r="P13" s="313">
        <f>+'[8]Bank Liabilities Analysis'!$M$22</f>
        <v>1000290463</v>
      </c>
      <c r="Q13" s="313">
        <f t="shared" si="0"/>
        <v>0</v>
      </c>
      <c r="R13" s="283"/>
      <c r="S13" s="283"/>
      <c r="T13" s="283"/>
      <c r="U13" s="283"/>
      <c r="V13" s="283"/>
      <c r="W13" s="283"/>
      <c r="X13" s="283"/>
      <c r="Y13" s="283"/>
      <c r="Z13" s="283"/>
    </row>
    <row r="14" spans="1:26" s="284" customFormat="1" ht="41.25" customHeight="1">
      <c r="A14" s="280">
        <v>7</v>
      </c>
      <c r="B14" s="281" t="s">
        <v>639</v>
      </c>
      <c r="C14" s="312">
        <f t="shared" si="3"/>
        <v>138934073</v>
      </c>
      <c r="D14" s="282">
        <v>0.19700000000000001</v>
      </c>
      <c r="E14" s="660">
        <v>136579493</v>
      </c>
      <c r="F14" s="659">
        <v>0.19900000000000001</v>
      </c>
      <c r="G14" s="660">
        <v>2354580</v>
      </c>
      <c r="H14" s="659">
        <v>4.9000000000000002E-2</v>
      </c>
      <c r="I14" s="312">
        <f t="shared" si="4"/>
        <v>1522606320</v>
      </c>
      <c r="J14" s="282">
        <v>7.8E-2</v>
      </c>
      <c r="K14" s="300">
        <v>713443664</v>
      </c>
      <c r="L14" s="282">
        <v>0.17899999999999999</v>
      </c>
      <c r="M14" s="300">
        <v>809162656</v>
      </c>
      <c r="N14" s="282" t="s">
        <v>925</v>
      </c>
      <c r="O14" s="283"/>
      <c r="P14" s="313">
        <f>+'[8]Bank Liabilities Analysis'!$O$22</f>
        <v>1661540393</v>
      </c>
      <c r="Q14" s="313">
        <f t="shared" si="0"/>
        <v>0</v>
      </c>
      <c r="R14" s="283"/>
      <c r="S14" s="283"/>
      <c r="T14" s="283"/>
      <c r="U14" s="283"/>
      <c r="V14" s="283"/>
      <c r="W14" s="283"/>
      <c r="X14" s="283"/>
      <c r="Y14" s="283"/>
      <c r="Z14" s="283"/>
    </row>
    <row r="15" spans="1:26" s="284" customFormat="1" ht="41.25" customHeight="1">
      <c r="A15" s="280">
        <v>8</v>
      </c>
      <c r="B15" s="281" t="s">
        <v>158</v>
      </c>
      <c r="C15" s="312">
        <f t="shared" si="3"/>
        <v>1032318</v>
      </c>
      <c r="D15" s="282">
        <v>0.17100000000000001</v>
      </c>
      <c r="E15" s="660">
        <v>1032318</v>
      </c>
      <c r="F15" s="659">
        <v>0.17100000000000001</v>
      </c>
      <c r="G15" s="660"/>
      <c r="H15" s="659" t="s">
        <v>920</v>
      </c>
      <c r="I15" s="312">
        <f t="shared" si="4"/>
        <v>789087608</v>
      </c>
      <c r="J15" s="282">
        <v>6.7000000000000004E-2</v>
      </c>
      <c r="K15" s="300">
        <v>321767709</v>
      </c>
      <c r="L15" s="282">
        <v>8.8999999999999996E-2</v>
      </c>
      <c r="M15" s="300">
        <v>467319899</v>
      </c>
      <c r="N15" s="282">
        <v>5.5E-2</v>
      </c>
      <c r="O15" s="283"/>
      <c r="P15" s="313">
        <f>+'[8]Bank Liabilities Analysis'!$Q$22</f>
        <v>790119926</v>
      </c>
      <c r="Q15" s="313">
        <f t="shared" si="0"/>
        <v>0</v>
      </c>
      <c r="R15" s="283"/>
      <c r="S15" s="283"/>
      <c r="T15" s="283"/>
      <c r="U15" s="283"/>
      <c r="V15" s="283"/>
      <c r="W15" s="283"/>
      <c r="X15" s="283"/>
      <c r="Y15" s="283"/>
      <c r="Z15" s="283"/>
    </row>
    <row r="16" spans="1:26" s="284" customFormat="1" ht="41.25" customHeight="1">
      <c r="A16" s="280">
        <v>9</v>
      </c>
      <c r="B16" s="285" t="s">
        <v>688</v>
      </c>
      <c r="C16" s="301">
        <f>SUM(C8:C15)</f>
        <v>909262019</v>
      </c>
      <c r="D16" s="302">
        <f>IFERROR(((C8*D8)/C16)+((C9*D9)/C16)+((C10*D10)/C16)+((C11*D11)/C16)+((C12*D12)/C16)+((C13*D13)/C16)+((C14*D14)/C16)+((C15*D15)/C16),0)</f>
        <v>9.2815283470011514E-2</v>
      </c>
      <c r="E16" s="301">
        <f t="shared" ref="E16:M16" si="5">SUM(E8:E15)</f>
        <v>810626556</v>
      </c>
      <c r="F16" s="302">
        <f>IFERROR(((E8*F8)/E16)+((E9*F9)/E16)+((E10*F10)/E16)+((E11*F11)/E16)+((E12*F12)/E16)+((E13*F13)/E16)+((E14*F14)/E16)+((E15*F15)/E16),0)</f>
        <v>0.10203478798565291</v>
      </c>
      <c r="G16" s="301">
        <f t="shared" si="5"/>
        <v>98635463</v>
      </c>
      <c r="H16" s="302">
        <f>IFERROR(((G8*H8)/G16)+((G9*H9)/G16)+((G10*H10)/G16)+((G11*H11)/G16)+((G12*H12)/G16)+((G13*H13)/G16)+((G14*H14)/G16)+((G15*H15)/G16),0)</f>
        <v>1.2763587595264797E-2</v>
      </c>
      <c r="I16" s="301">
        <f t="shared" si="5"/>
        <v>5886847164</v>
      </c>
      <c r="J16" s="302">
        <f>IFERROR(((I8*J8)/I16)+((I9*J9)/I16)+((I10*J10)/I16)+((I11*J11)/I16)+((I12*J12)/I16)+((I13*J13)/I16)+((I14*J14)/I16)+((I15*J15)/I16),0)</f>
        <v>6.9640087450043395E-2</v>
      </c>
      <c r="K16" s="301">
        <f t="shared" si="5"/>
        <v>3941168584</v>
      </c>
      <c r="L16" s="302">
        <f>IFERROR(((K8*L8)/K16)+((K9*L9)/K16)+((K10*L10)/K16)+((K11*L11)/K16)+((K12*L12)/K16)+((K13*L13)/K16)+((K14*L14)/K16)+((K15*L15)/K16),0)</f>
        <v>9.4835721711923615E-2</v>
      </c>
      <c r="M16" s="301">
        <f t="shared" si="5"/>
        <v>1945678580</v>
      </c>
      <c r="N16" s="302">
        <f>IFERROR(((M8*N8)/M16)+((M9*N9)/M16)+((M10*N10)/M16)+((M11*N11)/M16)+((M12*N12)/M16)+((M13*N13)/M16)+((M14*N14)/M16)+((M15*N15)/M16),0)</f>
        <v>2.5169938781461017E-2</v>
      </c>
      <c r="O16" s="283"/>
      <c r="P16" s="314">
        <f>+'[8]Bank Liabilities Analysis'!$S$22</f>
        <v>6796109183</v>
      </c>
      <c r="Q16" s="313">
        <f>+P16-C16-I16</f>
        <v>0</v>
      </c>
      <c r="R16" s="283"/>
      <c r="S16" s="283"/>
      <c r="T16" s="283"/>
      <c r="U16" s="283"/>
      <c r="V16" s="283"/>
      <c r="W16" s="283"/>
      <c r="X16" s="283"/>
      <c r="Y16" s="283"/>
      <c r="Z16" s="283"/>
    </row>
    <row r="17" spans="1:26" s="20" customFormat="1" ht="12" customHeight="1">
      <c r="B17" s="30"/>
      <c r="C17" s="79"/>
      <c r="I17" s="79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</row>
    <row r="18" spans="1:26" s="20" customFormat="1" ht="12.75">
      <c r="B18" s="30"/>
      <c r="C18" s="79"/>
      <c r="I18" s="79"/>
    </row>
    <row r="19" spans="1:26" s="23" customFormat="1">
      <c r="A19" s="84"/>
      <c r="B19" s="94" t="s">
        <v>0</v>
      </c>
      <c r="C19" s="310"/>
      <c r="J19" s="84"/>
    </row>
    <row r="20" spans="1:26" s="23" customFormat="1">
      <c r="A20" s="84"/>
      <c r="B20" s="94"/>
      <c r="J20" s="84"/>
    </row>
    <row r="21" spans="1:26" s="23" customFormat="1">
      <c r="A21" s="84"/>
      <c r="B21" s="94" t="s">
        <v>1</v>
      </c>
      <c r="J21" s="84"/>
    </row>
    <row r="24" spans="1:26" s="305" customFormat="1">
      <c r="A24" s="304"/>
      <c r="B24" s="305" t="s">
        <v>683</v>
      </c>
      <c r="C24" s="309">
        <f>+'[8]Deposits by Client'!$C$6+'[8]Deposits by Client'!$C$15</f>
        <v>909262019</v>
      </c>
      <c r="D24" s="309"/>
      <c r="E24" s="309"/>
      <c r="F24" s="309"/>
      <c r="G24" s="309">
        <f>+'[8]Deposits by Client'!$D$6+'[8]Deposits by Client'!$D$15</f>
        <v>98635463</v>
      </c>
      <c r="H24" s="309"/>
      <c r="I24" s="309"/>
      <c r="J24" s="309"/>
      <c r="K24" s="309"/>
      <c r="L24" s="309"/>
      <c r="M24" s="309"/>
      <c r="N24" s="307"/>
    </row>
    <row r="25" spans="1:26" s="305" customFormat="1">
      <c r="A25" s="304"/>
      <c r="C25" s="309">
        <f>+C16</f>
        <v>909262019</v>
      </c>
      <c r="D25" s="309"/>
      <c r="E25" s="309"/>
      <c r="F25" s="309"/>
      <c r="G25" s="309">
        <f>+G16</f>
        <v>98635463</v>
      </c>
      <c r="H25" s="309"/>
      <c r="I25" s="311"/>
      <c r="J25" s="311"/>
      <c r="K25" s="311"/>
      <c r="L25" s="311"/>
      <c r="M25" s="311"/>
      <c r="N25" s="307"/>
    </row>
    <row r="26" spans="1:26" s="305" customFormat="1">
      <c r="A26" s="304"/>
      <c r="C26" s="309">
        <f>+C24-C25</f>
        <v>0</v>
      </c>
      <c r="D26" s="309"/>
      <c r="E26" s="309"/>
      <c r="F26" s="309"/>
      <c r="G26" s="309">
        <f>+G24-G25</f>
        <v>0</v>
      </c>
      <c r="H26" s="309"/>
      <c r="I26" s="311"/>
      <c r="J26" s="311"/>
      <c r="K26" s="311"/>
      <c r="L26" s="311"/>
      <c r="M26" s="311"/>
      <c r="N26" s="307"/>
    </row>
    <row r="27" spans="1:26" s="305" customFormat="1">
      <c r="A27" s="304"/>
      <c r="B27" s="305" t="s">
        <v>684</v>
      </c>
      <c r="C27" s="311"/>
      <c r="D27" s="311"/>
      <c r="E27" s="311"/>
      <c r="F27" s="311"/>
      <c r="G27" s="311"/>
      <c r="H27" s="311"/>
      <c r="I27" s="309">
        <f>+'[8]Deposits by Client'!$C$22-'[8]Deposits by Client'!$C$6-'[8]Deposits by Client'!$C$15</f>
        <v>5886847164</v>
      </c>
      <c r="J27" s="309"/>
      <c r="K27" s="309"/>
      <c r="L27" s="309"/>
      <c r="M27" s="309">
        <f>+'[8]Deposits by Client'!$D$22-'[8]Deposits by Client'!$D$6-'[8]Deposits by Client'!$D$15</f>
        <v>1945678580</v>
      </c>
    </row>
    <row r="28" spans="1:26" s="305" customFormat="1">
      <c r="A28" s="304"/>
      <c r="C28" s="311"/>
      <c r="D28" s="311"/>
      <c r="E28" s="311"/>
      <c r="F28" s="311"/>
      <c r="G28" s="311"/>
      <c r="H28" s="311"/>
      <c r="I28" s="309">
        <f>+I16</f>
        <v>5886847164</v>
      </c>
      <c r="J28" s="309"/>
      <c r="K28" s="309"/>
      <c r="L28" s="309"/>
      <c r="M28" s="309">
        <f>+M16</f>
        <v>1945678580</v>
      </c>
    </row>
    <row r="29" spans="1:26" s="305" customFormat="1">
      <c r="A29" s="304"/>
      <c r="C29" s="311"/>
      <c r="D29" s="311"/>
      <c r="E29" s="311"/>
      <c r="F29" s="311"/>
      <c r="G29" s="311"/>
      <c r="H29" s="311"/>
      <c r="I29" s="309">
        <f>+I27-I28</f>
        <v>0</v>
      </c>
      <c r="J29" s="311"/>
      <c r="K29" s="311"/>
      <c r="L29" s="311"/>
      <c r="M29" s="309">
        <f>+M27-M28</f>
        <v>0</v>
      </c>
    </row>
    <row r="30" spans="1:26" s="305" customFormat="1">
      <c r="A30" s="304"/>
    </row>
    <row r="31" spans="1:26" s="305" customFormat="1">
      <c r="A31" s="304"/>
    </row>
  </sheetData>
  <sheetProtection algorithmName="SHA-512" hashValue="/QdByd/lCMaGNjU1W87I+FiesXfeV+P5AZS9kDXJBZ+nzNbH4oNFjo/D8vG/YXOaRwhVhC/l9uxsUBh21wyzGA==" saltValue="V2ijb7sJ2AT1/rhpB+kPKg==" spinCount="100000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0">
    <pageSetUpPr fitToPage="1"/>
  </sheetPr>
  <dimension ref="A1:M49"/>
  <sheetViews>
    <sheetView view="pageBreakPreview" zoomScaleNormal="100" zoomScaleSheetLayoutView="100" workbookViewId="0">
      <pane xSplit="1" ySplit="5" topLeftCell="B6" activePane="bottomRight" state="frozen"/>
      <selection activeCell="L13" sqref="L13"/>
      <selection pane="topRight" activeCell="L13" sqref="L13"/>
      <selection pane="bottomLeft" activeCell="L13" sqref="L13"/>
      <selection pane="bottomRight" activeCell="I44" sqref="I44:I45"/>
    </sheetView>
  </sheetViews>
  <sheetFormatPr defaultColWidth="9" defaultRowHeight="12.75"/>
  <cols>
    <col min="1" max="1" width="5" style="79" customWidth="1"/>
    <col min="2" max="3" width="9" style="80" customWidth="1"/>
    <col min="4" max="4" width="25.42578125" style="80" customWidth="1"/>
    <col min="5" max="5" width="42.140625" style="80" customWidth="1"/>
    <col min="6" max="6" width="15.42578125" style="80" bestFit="1" customWidth="1"/>
    <col min="7" max="7" width="9" style="80" customWidth="1"/>
    <col min="8" max="8" width="36.28515625" style="80" customWidth="1"/>
    <col min="9" max="9" width="18.42578125" style="80" customWidth="1"/>
    <col min="10" max="10" width="15" style="79" customWidth="1"/>
    <col min="11" max="11" width="15.5703125" style="80" customWidth="1"/>
    <col min="12" max="12" width="9" style="80"/>
    <col min="13" max="13" width="9" style="601"/>
    <col min="14" max="16384" width="9" style="80"/>
  </cols>
  <sheetData>
    <row r="1" spans="1:13" s="505" customFormat="1" ht="27" customHeight="1">
      <c r="A1" s="865" t="s">
        <v>755</v>
      </c>
      <c r="B1" s="865"/>
      <c r="C1" s="865"/>
      <c r="D1" s="865"/>
      <c r="E1" s="865"/>
      <c r="F1" s="865"/>
      <c r="G1" s="865"/>
      <c r="H1" s="865"/>
      <c r="I1" s="866" t="s">
        <v>635</v>
      </c>
      <c r="J1" s="866"/>
      <c r="K1" s="866"/>
      <c r="M1" s="600"/>
    </row>
    <row r="2" spans="1:13" ht="21" customHeight="1">
      <c r="A2" s="423"/>
      <c r="B2" s="874" t="str">
        <f>+'Asset quality'!B3</f>
        <v xml:space="preserve">АК "АЛОКАБАНК" </v>
      </c>
      <c r="C2" s="874"/>
      <c r="D2" s="874"/>
      <c r="E2" s="424"/>
      <c r="F2" s="424"/>
      <c r="G2" s="424"/>
      <c r="H2" s="424"/>
      <c r="I2" s="425">
        <f>+'Asset quality'!P3</f>
        <v>44561</v>
      </c>
      <c r="J2" s="178"/>
      <c r="K2" s="26"/>
    </row>
    <row r="3" spans="1:13" ht="6.75" customHeight="1">
      <c r="A3" s="867"/>
      <c r="B3" s="868"/>
      <c r="C3" s="868"/>
      <c r="D3" s="868"/>
      <c r="E3" s="868"/>
      <c r="F3" s="868"/>
      <c r="G3" s="868"/>
      <c r="H3" s="868"/>
      <c r="I3" s="868"/>
      <c r="J3" s="868"/>
      <c r="K3" s="869"/>
    </row>
    <row r="4" spans="1:13" s="506" customFormat="1" ht="41.25" customHeight="1">
      <c r="A4" s="873" t="s">
        <v>83</v>
      </c>
      <c r="B4" s="873" t="s">
        <v>209</v>
      </c>
      <c r="C4" s="873"/>
      <c r="D4" s="873"/>
      <c r="E4" s="873"/>
      <c r="F4" s="873" t="s">
        <v>210</v>
      </c>
      <c r="G4" s="873"/>
      <c r="H4" s="873"/>
      <c r="I4" s="465" t="s">
        <v>211</v>
      </c>
      <c r="J4" s="465" t="s">
        <v>212</v>
      </c>
      <c r="K4" s="465" t="s">
        <v>213</v>
      </c>
      <c r="M4" s="602"/>
    </row>
    <row r="5" spans="1:13" s="506" customFormat="1" ht="14.25">
      <c r="A5" s="873"/>
      <c r="B5" s="873" t="s">
        <v>214</v>
      </c>
      <c r="C5" s="873"/>
      <c r="D5" s="873"/>
      <c r="E5" s="873"/>
      <c r="F5" s="873" t="s">
        <v>183</v>
      </c>
      <c r="G5" s="873"/>
      <c r="H5" s="873"/>
      <c r="I5" s="465" t="s">
        <v>195</v>
      </c>
      <c r="J5" s="465" t="s">
        <v>184</v>
      </c>
      <c r="K5" s="465" t="s">
        <v>185</v>
      </c>
      <c r="M5" s="602"/>
    </row>
    <row r="6" spans="1:13" s="507" customFormat="1">
      <c r="A6" s="426">
        <v>1</v>
      </c>
      <c r="B6" s="872" t="s">
        <v>215</v>
      </c>
      <c r="C6" s="844"/>
      <c r="D6" s="844"/>
      <c r="E6" s="844"/>
      <c r="F6" s="844"/>
      <c r="G6" s="844"/>
      <c r="H6" s="844"/>
      <c r="I6" s="844"/>
      <c r="J6" s="844"/>
      <c r="K6" s="845"/>
      <c r="M6" s="603"/>
    </row>
    <row r="7" spans="1:13" ht="24" customHeight="1">
      <c r="A7" s="824" t="s">
        <v>203</v>
      </c>
      <c r="B7" s="837" t="s">
        <v>216</v>
      </c>
      <c r="C7" s="838"/>
      <c r="D7" s="838"/>
      <c r="E7" s="839"/>
      <c r="F7" s="812" t="s">
        <v>217</v>
      </c>
      <c r="G7" s="813"/>
      <c r="H7" s="814"/>
      <c r="I7" s="849">
        <f>+'[9]Bank Capital Calc'!$C$51</f>
        <v>0.13209545823040439</v>
      </c>
      <c r="J7" s="427" t="s">
        <v>218</v>
      </c>
      <c r="K7" s="762" t="str">
        <f>IF(I7="",0-J8,(IF((I7-J8)&gt;0,"",I7-J8)))</f>
        <v/>
      </c>
    </row>
    <row r="8" spans="1:13">
      <c r="A8" s="825"/>
      <c r="B8" s="857"/>
      <c r="C8" s="858"/>
      <c r="D8" s="858"/>
      <c r="E8" s="859"/>
      <c r="F8" s="837" t="s">
        <v>219</v>
      </c>
      <c r="G8" s="870"/>
      <c r="H8" s="871"/>
      <c r="I8" s="850"/>
      <c r="J8" s="428">
        <v>0.13</v>
      </c>
      <c r="K8" s="763"/>
    </row>
    <row r="9" spans="1:13">
      <c r="A9" s="824" t="s">
        <v>205</v>
      </c>
      <c r="B9" s="837" t="s">
        <v>220</v>
      </c>
      <c r="C9" s="838"/>
      <c r="D9" s="838"/>
      <c r="E9" s="839"/>
      <c r="F9" s="860" t="s">
        <v>221</v>
      </c>
      <c r="G9" s="861"/>
      <c r="H9" s="862"/>
      <c r="I9" s="849">
        <f>+'[9]Bank Capital Calc'!$C$50</f>
        <v>0.11425105011171013</v>
      </c>
      <c r="J9" s="427" t="s">
        <v>218</v>
      </c>
      <c r="K9" s="762" t="str">
        <f>IF(I9="",0-J10,(IF((I9-J10)&gt;0,"",I9-J10)))</f>
        <v/>
      </c>
    </row>
    <row r="10" spans="1:13">
      <c r="A10" s="825"/>
      <c r="B10" s="840"/>
      <c r="C10" s="841"/>
      <c r="D10" s="841"/>
      <c r="E10" s="842"/>
      <c r="F10" s="851" t="s">
        <v>219</v>
      </c>
      <c r="G10" s="852"/>
      <c r="H10" s="853"/>
      <c r="I10" s="850"/>
      <c r="J10" s="428">
        <v>0.1</v>
      </c>
      <c r="K10" s="763"/>
    </row>
    <row r="11" spans="1:13">
      <c r="A11" s="824" t="s">
        <v>206</v>
      </c>
      <c r="B11" s="854" t="s">
        <v>574</v>
      </c>
      <c r="C11" s="855"/>
      <c r="D11" s="855"/>
      <c r="E11" s="856"/>
      <c r="F11" s="860" t="s">
        <v>575</v>
      </c>
      <c r="G11" s="861"/>
      <c r="H11" s="862"/>
      <c r="I11" s="849">
        <f>+'[9]Bank Capital Calc'!$C$49</f>
        <v>0.1140646342641264</v>
      </c>
      <c r="J11" s="427" t="s">
        <v>218</v>
      </c>
      <c r="K11" s="762" t="str">
        <f>IF(I11="",0-J12,(IF((I11-J12)&gt;0,"",I11-J12)))</f>
        <v/>
      </c>
    </row>
    <row r="12" spans="1:13" ht="24.75" customHeight="1">
      <c r="A12" s="825"/>
      <c r="B12" s="857"/>
      <c r="C12" s="858"/>
      <c r="D12" s="858"/>
      <c r="E12" s="859"/>
      <c r="F12" s="812" t="s">
        <v>219</v>
      </c>
      <c r="G12" s="813"/>
      <c r="H12" s="814"/>
      <c r="I12" s="850"/>
      <c r="J12" s="428">
        <v>0.08</v>
      </c>
      <c r="K12" s="763"/>
    </row>
    <row r="13" spans="1:13">
      <c r="A13" s="824" t="s">
        <v>208</v>
      </c>
      <c r="B13" s="854" t="s">
        <v>222</v>
      </c>
      <c r="C13" s="855"/>
      <c r="D13" s="855"/>
      <c r="E13" s="856"/>
      <c r="F13" s="846" t="s">
        <v>221</v>
      </c>
      <c r="G13" s="847"/>
      <c r="H13" s="848"/>
      <c r="I13" s="849">
        <f>+'[9]Bank Capital Calc'!$C$57</f>
        <v>9.3587296452882149E-2</v>
      </c>
      <c r="J13" s="427" t="s">
        <v>218</v>
      </c>
      <c r="K13" s="762" t="str">
        <f>IF(I13="",0-J14,(IF((I13-J14)&gt;0,"",I13-J14)))</f>
        <v/>
      </c>
    </row>
    <row r="14" spans="1:13" ht="24.75" customHeight="1">
      <c r="A14" s="825"/>
      <c r="B14" s="857"/>
      <c r="C14" s="858"/>
      <c r="D14" s="858"/>
      <c r="E14" s="859"/>
      <c r="F14" s="812" t="s">
        <v>645</v>
      </c>
      <c r="G14" s="813"/>
      <c r="H14" s="814"/>
      <c r="I14" s="850"/>
      <c r="J14" s="428">
        <v>0.06</v>
      </c>
      <c r="K14" s="763"/>
    </row>
    <row r="15" spans="1:13" s="507" customFormat="1">
      <c r="A15" s="429">
        <v>2</v>
      </c>
      <c r="B15" s="843" t="s">
        <v>642</v>
      </c>
      <c r="C15" s="844"/>
      <c r="D15" s="844"/>
      <c r="E15" s="844"/>
      <c r="F15" s="844"/>
      <c r="G15" s="844"/>
      <c r="H15" s="844"/>
      <c r="I15" s="844"/>
      <c r="J15" s="844"/>
      <c r="K15" s="845"/>
      <c r="M15" s="603"/>
    </row>
    <row r="16" spans="1:13" s="505" customFormat="1" ht="15.75" customHeight="1">
      <c r="A16" s="770" t="s">
        <v>223</v>
      </c>
      <c r="B16" s="794" t="s">
        <v>48</v>
      </c>
      <c r="C16" s="795"/>
      <c r="D16" s="795"/>
      <c r="E16" s="430" t="s">
        <v>152</v>
      </c>
      <c r="F16" s="815" t="s">
        <v>49</v>
      </c>
      <c r="G16" s="816"/>
      <c r="H16" s="817"/>
      <c r="I16" s="467">
        <f>IFERROR((+'[8]Liquidity Analysis'!$C$23),0)</f>
        <v>1.1086379749329072</v>
      </c>
      <c r="J16" s="863" t="s">
        <v>218</v>
      </c>
      <c r="K16" s="467" t="str">
        <f>IF(I16="",0-$J$18,(IF((I16-$J$18)&gt;0,"",I16-$J$18)))</f>
        <v/>
      </c>
      <c r="M16" s="600"/>
    </row>
    <row r="17" spans="1:13" s="505" customFormat="1" ht="15.75" customHeight="1">
      <c r="A17" s="810"/>
      <c r="B17" s="796"/>
      <c r="C17" s="797"/>
      <c r="D17" s="797"/>
      <c r="E17" s="431" t="s">
        <v>280</v>
      </c>
      <c r="F17" s="818"/>
      <c r="G17" s="819"/>
      <c r="H17" s="820"/>
      <c r="I17" s="467">
        <f>IFERROR((+'[8]Liquidity Analysis'!$D$23),0)</f>
        <v>1.1563961389563551</v>
      </c>
      <c r="J17" s="864"/>
      <c r="K17" s="467" t="str">
        <f>IF(I17="",0-$J$18,(IF((I17-$J$18)&gt;0,"",I17-$J$18)))</f>
        <v/>
      </c>
      <c r="M17" s="600"/>
    </row>
    <row r="18" spans="1:13" s="505" customFormat="1" ht="15.75" customHeight="1">
      <c r="A18" s="771"/>
      <c r="B18" s="798"/>
      <c r="C18" s="799"/>
      <c r="D18" s="799"/>
      <c r="E18" s="431" t="s">
        <v>197</v>
      </c>
      <c r="F18" s="811" t="s">
        <v>50</v>
      </c>
      <c r="G18" s="811"/>
      <c r="H18" s="811"/>
      <c r="I18" s="467">
        <f>IFERROR((+'[8]Liquidity Analysis'!$E$23),0)</f>
        <v>1.0606035851512252</v>
      </c>
      <c r="J18" s="432">
        <v>1</v>
      </c>
      <c r="K18" s="467" t="str">
        <f>IF(I18="",0-$J$18,(IF((I18-$J$18)&gt;0,"",I18-$J$18)))</f>
        <v/>
      </c>
      <c r="M18" s="600"/>
    </row>
    <row r="19" spans="1:13" s="505" customFormat="1" ht="15" customHeight="1">
      <c r="A19" s="770" t="s">
        <v>55</v>
      </c>
      <c r="B19" s="794" t="s">
        <v>53</v>
      </c>
      <c r="C19" s="795"/>
      <c r="D19" s="795"/>
      <c r="E19" s="430" t="s">
        <v>152</v>
      </c>
      <c r="F19" s="831" t="s">
        <v>52</v>
      </c>
      <c r="G19" s="832"/>
      <c r="H19" s="833"/>
      <c r="I19" s="467">
        <f>IFERROR((+'[8]Liquidity Analysis'!$C$28),0)</f>
        <v>1.0801928482327652</v>
      </c>
      <c r="J19" s="863" t="s">
        <v>218</v>
      </c>
      <c r="K19" s="467" t="str">
        <f>IF(I19="",0-$J$21,(IF((I19-$J$21)&gt;0,"",I19-$J$21)))</f>
        <v/>
      </c>
      <c r="M19" s="600"/>
    </row>
    <row r="20" spans="1:13" s="505" customFormat="1" ht="15" customHeight="1">
      <c r="A20" s="810"/>
      <c r="B20" s="796"/>
      <c r="C20" s="797"/>
      <c r="D20" s="797"/>
      <c r="E20" s="431" t="s">
        <v>280</v>
      </c>
      <c r="F20" s="834"/>
      <c r="G20" s="835"/>
      <c r="H20" s="836"/>
      <c r="I20" s="467">
        <f>IFERROR((+'[8]Liquidity Analysis'!$D$28),0)</f>
        <v>1.0178284812548508</v>
      </c>
      <c r="J20" s="864"/>
      <c r="K20" s="467" t="str">
        <f>IF(I20="",0-$J$21,(IF((I20-$J$21)&gt;0,"",I20-$J$21)))</f>
        <v/>
      </c>
      <c r="M20" s="600"/>
    </row>
    <row r="21" spans="1:13" s="505" customFormat="1" ht="15" customHeight="1">
      <c r="A21" s="771"/>
      <c r="B21" s="798"/>
      <c r="C21" s="799"/>
      <c r="D21" s="799"/>
      <c r="E21" s="431" t="s">
        <v>197</v>
      </c>
      <c r="F21" s="830" t="s">
        <v>51</v>
      </c>
      <c r="G21" s="830"/>
      <c r="H21" s="830"/>
      <c r="I21" s="467">
        <f>IFERROR((+'[8]Liquidity Analysis'!$E$28),0)</f>
        <v>1.1818679730111574</v>
      </c>
      <c r="J21" s="464">
        <v>1</v>
      </c>
      <c r="K21" s="467" t="str">
        <f>IF(I21="",0-$J$21,(IF((I21-$J$21)&gt;0,"",I21-$J$21)))</f>
        <v/>
      </c>
      <c r="M21" s="600"/>
    </row>
    <row r="22" spans="1:13" s="507" customFormat="1">
      <c r="A22" s="429">
        <v>3</v>
      </c>
      <c r="B22" s="827" t="s">
        <v>224</v>
      </c>
      <c r="C22" s="828"/>
      <c r="D22" s="828"/>
      <c r="E22" s="828"/>
      <c r="F22" s="828"/>
      <c r="G22" s="828"/>
      <c r="H22" s="828"/>
      <c r="I22" s="828"/>
      <c r="J22" s="828"/>
      <c r="K22" s="829"/>
      <c r="M22" s="603"/>
    </row>
    <row r="23" spans="1:13" ht="24" customHeight="1">
      <c r="A23" s="824" t="s">
        <v>225</v>
      </c>
      <c r="B23" s="791" t="s">
        <v>827</v>
      </c>
      <c r="C23" s="792"/>
      <c r="D23" s="792"/>
      <c r="E23" s="793"/>
      <c r="F23" s="433" t="s">
        <v>828</v>
      </c>
      <c r="G23" s="434"/>
      <c r="H23" s="435"/>
      <c r="I23" s="781">
        <f>IFERROR((+' Largest risk'!Z65/'[9]Bank Capital Calc'!$C$34),0)</f>
        <v>0.24533522837474905</v>
      </c>
      <c r="J23" s="463" t="s">
        <v>226</v>
      </c>
      <c r="K23" s="781" t="str">
        <f>IF(I23="","",IF(I23&lt;0,"ОТР",IF((I23-J24)&lt;0,"",I23-J24)))</f>
        <v/>
      </c>
    </row>
    <row r="24" spans="1:13">
      <c r="A24" s="825"/>
      <c r="B24" s="788"/>
      <c r="C24" s="789"/>
      <c r="D24" s="789"/>
      <c r="E24" s="790"/>
      <c r="F24" s="764" t="s">
        <v>221</v>
      </c>
      <c r="G24" s="765"/>
      <c r="H24" s="766"/>
      <c r="I24" s="782"/>
      <c r="J24" s="432">
        <v>0.25</v>
      </c>
      <c r="K24" s="826"/>
    </row>
    <row r="25" spans="1:13" s="96" customFormat="1" ht="28.5" customHeight="1">
      <c r="A25" s="770" t="s">
        <v>227</v>
      </c>
      <c r="B25" s="772" t="s">
        <v>857</v>
      </c>
      <c r="C25" s="792"/>
      <c r="D25" s="792"/>
      <c r="E25" s="793"/>
      <c r="F25" s="433" t="s">
        <v>857</v>
      </c>
      <c r="G25" s="434"/>
      <c r="H25" s="435"/>
      <c r="I25" s="760">
        <f>IFERROR((' Largest risk'!H16/+'[9]Bank Capital Calc'!$C$34),0)</f>
        <v>0.22172511153035984</v>
      </c>
      <c r="J25" s="452" t="s">
        <v>226</v>
      </c>
      <c r="K25" s="762" t="str">
        <f>IF(I25&lt;0,"ОТР",IF((I25-J26)&lt;0,"",I25-J26))</f>
        <v/>
      </c>
      <c r="M25" s="600" t="s">
        <v>856</v>
      </c>
    </row>
    <row r="26" spans="1:13" s="96" customFormat="1">
      <c r="A26" s="771"/>
      <c r="B26" s="775"/>
      <c r="C26" s="776"/>
      <c r="D26" s="776"/>
      <c r="E26" s="777"/>
      <c r="F26" s="764" t="s">
        <v>221</v>
      </c>
      <c r="G26" s="765"/>
      <c r="H26" s="766"/>
      <c r="I26" s="761"/>
      <c r="J26" s="451">
        <v>0.25</v>
      </c>
      <c r="K26" s="763"/>
      <c r="M26" s="600"/>
    </row>
    <row r="27" spans="1:13" s="96" customFormat="1" ht="36">
      <c r="A27" s="770" t="s">
        <v>31</v>
      </c>
      <c r="B27" s="791" t="s">
        <v>829</v>
      </c>
      <c r="C27" s="792"/>
      <c r="D27" s="792"/>
      <c r="E27" s="793"/>
      <c r="F27" s="561" t="s">
        <v>829</v>
      </c>
      <c r="G27" s="434"/>
      <c r="H27" s="435"/>
      <c r="I27" s="760">
        <f>IFERROR((0/'[9]Bank Capital Calc'!$C$34),0)</f>
        <v>0</v>
      </c>
      <c r="J27" s="452" t="s">
        <v>226</v>
      </c>
      <c r="K27" s="762" t="str">
        <f>IF(I27&lt;0,"ОТР",IF((I27-J28)&lt;0,"",I27-J28))</f>
        <v/>
      </c>
      <c r="M27" s="600" t="s">
        <v>856</v>
      </c>
    </row>
    <row r="28" spans="1:13" s="96" customFormat="1">
      <c r="A28" s="771"/>
      <c r="B28" s="775"/>
      <c r="C28" s="776"/>
      <c r="D28" s="776"/>
      <c r="E28" s="777"/>
      <c r="F28" s="764" t="s">
        <v>221</v>
      </c>
      <c r="G28" s="765"/>
      <c r="H28" s="766"/>
      <c r="I28" s="761"/>
      <c r="J28" s="451">
        <v>0.05</v>
      </c>
      <c r="K28" s="763"/>
      <c r="M28" s="600"/>
    </row>
    <row r="29" spans="1:13" s="96" customFormat="1" ht="14.25" customHeight="1">
      <c r="A29" s="770" t="s">
        <v>580</v>
      </c>
      <c r="B29" s="821" t="s">
        <v>858</v>
      </c>
      <c r="C29" s="822"/>
      <c r="D29" s="822"/>
      <c r="E29" s="823"/>
      <c r="F29" s="436" t="s">
        <v>858</v>
      </c>
      <c r="G29" s="437"/>
      <c r="H29" s="438"/>
      <c r="I29" s="781">
        <f>IFERROR((+' Largest risk'!Z64/'[9]Bank Capital Calc'!$C$34),0)</f>
        <v>1.2327624426628363</v>
      </c>
      <c r="J29" s="450" t="s">
        <v>226</v>
      </c>
      <c r="K29" s="762" t="str">
        <f>IF(I29="","",IF(I29&lt;0,"ОТР",IF((I29-J30)&lt;0,"",I29-J30)))</f>
        <v/>
      </c>
      <c r="M29" s="600"/>
    </row>
    <row r="30" spans="1:13" s="96" customFormat="1">
      <c r="A30" s="771"/>
      <c r="B30" s="775"/>
      <c r="C30" s="776"/>
      <c r="D30" s="776"/>
      <c r="E30" s="777"/>
      <c r="F30" s="764" t="s">
        <v>221</v>
      </c>
      <c r="G30" s="765"/>
      <c r="H30" s="766"/>
      <c r="I30" s="782"/>
      <c r="J30" s="450">
        <v>5</v>
      </c>
      <c r="K30" s="763"/>
      <c r="M30" s="600"/>
    </row>
    <row r="31" spans="1:13" s="508" customFormat="1">
      <c r="A31" s="409">
        <v>4</v>
      </c>
      <c r="B31" s="800" t="s">
        <v>228</v>
      </c>
      <c r="C31" s="801"/>
      <c r="D31" s="801"/>
      <c r="E31" s="801"/>
      <c r="F31" s="801"/>
      <c r="G31" s="801"/>
      <c r="H31" s="801"/>
      <c r="I31" s="801"/>
      <c r="J31" s="801"/>
      <c r="K31" s="802"/>
      <c r="M31" s="604"/>
    </row>
    <row r="32" spans="1:13" s="96" customFormat="1">
      <c r="A32" s="770" t="s">
        <v>229</v>
      </c>
      <c r="B32" s="803" t="s">
        <v>230</v>
      </c>
      <c r="C32" s="773"/>
      <c r="D32" s="773"/>
      <c r="E32" s="774"/>
      <c r="F32" s="433" t="s">
        <v>231</v>
      </c>
      <c r="G32" s="434"/>
      <c r="H32" s="435"/>
      <c r="I32" s="760">
        <f>IFERROR((50000000/+'[9]Bank Capital Calc'!$C$34),0)</f>
        <v>3.6848093035609972E-2</v>
      </c>
      <c r="J32" s="452" t="s">
        <v>226</v>
      </c>
      <c r="K32" s="762" t="str">
        <f>IF(I32&lt;0,"ОТР",IF((I32-J33)&lt;0,"",I32-J33))</f>
        <v/>
      </c>
      <c r="M32" s="600" t="s">
        <v>856</v>
      </c>
    </row>
    <row r="33" spans="1:13" s="96" customFormat="1">
      <c r="A33" s="771"/>
      <c r="B33" s="789"/>
      <c r="C33" s="789"/>
      <c r="D33" s="789"/>
      <c r="E33" s="790"/>
      <c r="F33" s="764" t="s">
        <v>221</v>
      </c>
      <c r="G33" s="765"/>
      <c r="H33" s="766"/>
      <c r="I33" s="761"/>
      <c r="J33" s="451">
        <v>0.15</v>
      </c>
      <c r="K33" s="763"/>
      <c r="M33" s="600"/>
    </row>
    <row r="34" spans="1:13" s="96" customFormat="1" ht="24.75" customHeight="1">
      <c r="A34" s="770" t="s">
        <v>37</v>
      </c>
      <c r="B34" s="803" t="s">
        <v>232</v>
      </c>
      <c r="C34" s="773"/>
      <c r="D34" s="773"/>
      <c r="E34" s="774"/>
      <c r="F34" s="778" t="s">
        <v>233</v>
      </c>
      <c r="G34" s="807"/>
      <c r="H34" s="808"/>
      <c r="I34" s="781">
        <f>IFERROR((+('[8]Investment Securities'!$B$22+'[8]Investment Securities'!$B$23+'[8]Investment Securities'!$B$24+'[8]Investment Securities'!$B$25-'[8]Investment Securities'!$B$28)/'[9]Bank Capital Calc'!$C$34),0)</f>
        <v>0</v>
      </c>
      <c r="J34" s="452" t="s">
        <v>226</v>
      </c>
      <c r="K34" s="762" t="str">
        <f>IF(I34="","",IF(I34&lt;0,"ОТР",IF((I34-J35)&lt;0,"",I34-J35)))</f>
        <v/>
      </c>
      <c r="M34" s="600"/>
    </row>
    <row r="35" spans="1:13" s="96" customFormat="1">
      <c r="A35" s="771"/>
      <c r="B35" s="789"/>
      <c r="C35" s="789"/>
      <c r="D35" s="789"/>
      <c r="E35" s="790"/>
      <c r="F35" s="764" t="s">
        <v>221</v>
      </c>
      <c r="G35" s="765"/>
      <c r="H35" s="766"/>
      <c r="I35" s="809"/>
      <c r="J35" s="451">
        <v>0.25</v>
      </c>
      <c r="K35" s="763"/>
      <c r="M35" s="600"/>
    </row>
    <row r="36" spans="1:13" s="96" customFormat="1" ht="36" customHeight="1">
      <c r="A36" s="770" t="s">
        <v>38</v>
      </c>
      <c r="B36" s="803" t="s">
        <v>234</v>
      </c>
      <c r="C36" s="773"/>
      <c r="D36" s="773"/>
      <c r="E36" s="774"/>
      <c r="F36" s="778" t="s">
        <v>235</v>
      </c>
      <c r="G36" s="807"/>
      <c r="H36" s="808"/>
      <c r="I36" s="781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Securities'!$B$28)/'[9]Bank Capital Calc'!$C$34),0)</f>
        <v>7.247214106005978E-2</v>
      </c>
      <c r="J36" s="450" t="s">
        <v>226</v>
      </c>
      <c r="K36" s="762" t="str">
        <f>IF(I36="","",IF(I36&lt;0,"ОТР",IF((I36-J37)&lt;0,"",I36-J37)))</f>
        <v/>
      </c>
      <c r="M36" s="600"/>
    </row>
    <row r="37" spans="1:13" s="96" customFormat="1">
      <c r="A37" s="771"/>
      <c r="B37" s="789"/>
      <c r="C37" s="789"/>
      <c r="D37" s="789"/>
      <c r="E37" s="790"/>
      <c r="F37" s="804" t="s">
        <v>221</v>
      </c>
      <c r="G37" s="805"/>
      <c r="H37" s="806"/>
      <c r="I37" s="782"/>
      <c r="J37" s="450">
        <v>0.5</v>
      </c>
      <c r="K37" s="763"/>
      <c r="M37" s="600"/>
    </row>
    <row r="38" spans="1:13" s="508" customFormat="1">
      <c r="A38" s="409">
        <v>5</v>
      </c>
      <c r="B38" s="767" t="s">
        <v>855</v>
      </c>
      <c r="C38" s="768"/>
      <c r="D38" s="768"/>
      <c r="E38" s="768"/>
      <c r="F38" s="768"/>
      <c r="G38" s="768"/>
      <c r="H38" s="768"/>
      <c r="I38" s="768"/>
      <c r="J38" s="768"/>
      <c r="K38" s="769"/>
      <c r="M38" s="604"/>
    </row>
    <row r="39" spans="1:13" s="96" customFormat="1" ht="23.25" customHeight="1">
      <c r="A39" s="770" t="s">
        <v>236</v>
      </c>
      <c r="B39" s="772" t="s">
        <v>830</v>
      </c>
      <c r="C39" s="773"/>
      <c r="D39" s="773"/>
      <c r="E39" s="774"/>
      <c r="F39" s="778" t="s">
        <v>830</v>
      </c>
      <c r="G39" s="779"/>
      <c r="H39" s="780"/>
      <c r="I39" s="781">
        <f>IFERROR(((+'Transactions of related parties'!Z65-'[9]Bank Capital Calc'!$C$24)/'[9]Bank Capital Calc'!$C$34),0)</f>
        <v>0.12016170803315762</v>
      </c>
      <c r="J39" s="452" t="s">
        <v>226</v>
      </c>
      <c r="K39" s="762" t="str">
        <f>IF(I39="","",IF(I39&lt;0,"ОТР",IF((I39-J40)&lt;0,"",I39-J40)))</f>
        <v/>
      </c>
      <c r="M39" s="600"/>
    </row>
    <row r="40" spans="1:13" s="96" customFormat="1">
      <c r="A40" s="771"/>
      <c r="B40" s="788"/>
      <c r="C40" s="789"/>
      <c r="D40" s="789"/>
      <c r="E40" s="790"/>
      <c r="F40" s="764" t="s">
        <v>221</v>
      </c>
      <c r="G40" s="765"/>
      <c r="H40" s="766"/>
      <c r="I40" s="782"/>
      <c r="J40" s="451">
        <v>0.25</v>
      </c>
      <c r="K40" s="763"/>
      <c r="M40" s="600"/>
    </row>
    <row r="41" spans="1:13" s="96" customFormat="1" ht="23.25" customHeight="1">
      <c r="A41" s="770" t="s">
        <v>823</v>
      </c>
      <c r="B41" s="783" t="s">
        <v>859</v>
      </c>
      <c r="C41" s="784"/>
      <c r="D41" s="784"/>
      <c r="E41" s="784"/>
      <c r="F41" s="785" t="s">
        <v>859</v>
      </c>
      <c r="G41" s="786"/>
      <c r="H41" s="787"/>
      <c r="I41" s="781">
        <f>IFERROR(((+'Transactions of related parties'!Z64-'[9]Bank Capital Calc'!$C$24)/'[9]Bank Capital Calc'!$C$34),0)</f>
        <v>0.30486822199622698</v>
      </c>
      <c r="J41" s="450" t="s">
        <v>226</v>
      </c>
      <c r="K41" s="762" t="str">
        <f>IF(I41="","",IF(I41&lt;0,"ОТР",IF((I41-J42)&lt;0,"",I41-J42)))</f>
        <v/>
      </c>
      <c r="M41" s="600"/>
    </row>
    <row r="42" spans="1:13" s="96" customFormat="1">
      <c r="A42" s="771"/>
      <c r="B42" s="784"/>
      <c r="C42" s="784"/>
      <c r="D42" s="784"/>
      <c r="E42" s="784"/>
      <c r="F42" s="764" t="s">
        <v>221</v>
      </c>
      <c r="G42" s="765"/>
      <c r="H42" s="766"/>
      <c r="I42" s="782"/>
      <c r="J42" s="450">
        <v>0.5</v>
      </c>
      <c r="K42" s="763"/>
      <c r="M42" s="600"/>
    </row>
    <row r="43" spans="1:13" s="508" customFormat="1">
      <c r="A43" s="409">
        <v>6</v>
      </c>
      <c r="B43" s="767" t="s">
        <v>770</v>
      </c>
      <c r="C43" s="768"/>
      <c r="D43" s="768"/>
      <c r="E43" s="768"/>
      <c r="F43" s="768"/>
      <c r="G43" s="768"/>
      <c r="H43" s="768"/>
      <c r="I43" s="768"/>
      <c r="J43" s="768"/>
      <c r="K43" s="769"/>
      <c r="M43" s="604"/>
    </row>
    <row r="44" spans="1:13" s="96" customFormat="1" ht="23.25" customHeight="1">
      <c r="A44" s="770" t="s">
        <v>771</v>
      </c>
      <c r="B44" s="772" t="s">
        <v>772</v>
      </c>
      <c r="C44" s="773"/>
      <c r="D44" s="773"/>
      <c r="E44" s="774"/>
      <c r="F44" s="778" t="s">
        <v>773</v>
      </c>
      <c r="G44" s="779"/>
      <c r="H44" s="780"/>
      <c r="I44" s="760">
        <f>IFERROR(((1213800044)/+'[9]Bank Capital Calc'!$C$34),0)</f>
        <v>0.89452433895878947</v>
      </c>
      <c r="J44" s="450" t="s">
        <v>226</v>
      </c>
      <c r="K44" s="762" t="str">
        <f>IF(I44="","",IF(I44&lt;0,"ОТР",IF((I44-J45)&lt;0,"",I44-J45)))</f>
        <v/>
      </c>
      <c r="M44" s="600" t="s">
        <v>856</v>
      </c>
    </row>
    <row r="45" spans="1:13" s="96" customFormat="1">
      <c r="A45" s="771"/>
      <c r="B45" s="775"/>
      <c r="C45" s="776"/>
      <c r="D45" s="776"/>
      <c r="E45" s="777"/>
      <c r="F45" s="764" t="s">
        <v>221</v>
      </c>
      <c r="G45" s="765"/>
      <c r="H45" s="766"/>
      <c r="I45" s="761"/>
      <c r="J45" s="451">
        <v>1</v>
      </c>
      <c r="K45" s="763"/>
      <c r="M45" s="600"/>
    </row>
    <row r="46" spans="1:13" s="96" customFormat="1">
      <c r="A46" s="453"/>
      <c r="J46" s="453"/>
      <c r="M46" s="600"/>
    </row>
    <row r="47" spans="1:13" s="96" customFormat="1">
      <c r="A47" s="453"/>
      <c r="D47" s="454" t="s">
        <v>0</v>
      </c>
      <c r="J47" s="453"/>
      <c r="M47" s="600"/>
    </row>
    <row r="48" spans="1:13" s="96" customFormat="1">
      <c r="A48" s="453"/>
      <c r="D48" s="454"/>
      <c r="J48" s="453"/>
      <c r="M48" s="600"/>
    </row>
    <row r="49" spans="1:13" s="96" customFormat="1">
      <c r="A49" s="453"/>
      <c r="D49" s="454" t="s">
        <v>1</v>
      </c>
      <c r="J49" s="453"/>
      <c r="M49" s="600"/>
    </row>
  </sheetData>
  <sheetProtection algorithmName="SHA-512" hashValue="Hskhr8WsX9hoERLDdRgRnKpj1+bKjE6JobizMTl0B8FkZckLbgRUDnLx9ZJQT20MPgzriHR55XDOZosBG9BSqg==" saltValue="n6EF8xX2v8MUIaYgINEQ4w==" spinCount="100000" sheet="1" objects="1" scenarios="1"/>
  <mergeCells count="108">
    <mergeCell ref="J16:J17"/>
    <mergeCell ref="J19:J2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  <mergeCell ref="A9:A1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A16:A18"/>
    <mergeCell ref="F18:H18"/>
    <mergeCell ref="K13:K14"/>
    <mergeCell ref="F14:H14"/>
    <mergeCell ref="B16:D18"/>
    <mergeCell ref="F16:H17"/>
    <mergeCell ref="A27:A28"/>
    <mergeCell ref="B29:E30"/>
    <mergeCell ref="I29:I30"/>
    <mergeCell ref="K29:K30"/>
    <mergeCell ref="F30:H30"/>
    <mergeCell ref="K27:K28"/>
    <mergeCell ref="F28:H28"/>
    <mergeCell ref="A19:A21"/>
    <mergeCell ref="A29:A30"/>
    <mergeCell ref="A23:A24"/>
    <mergeCell ref="B23:E24"/>
    <mergeCell ref="I23:I24"/>
    <mergeCell ref="K23:K24"/>
    <mergeCell ref="F24:H24"/>
    <mergeCell ref="B22:E22"/>
    <mergeCell ref="F22:K22"/>
    <mergeCell ref="F21:H21"/>
    <mergeCell ref="F19:H20"/>
    <mergeCell ref="B19:D21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25:A26"/>
    <mergeCell ref="B25:E26"/>
    <mergeCell ref="I25:I26"/>
    <mergeCell ref="K25:K26"/>
    <mergeCell ref="F26:H26"/>
    <mergeCell ref="B43:K43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</mergeCells>
  <phoneticPr fontId="20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6 I7:I14 I16:I21 I29:I30 I44:I45 I39:I42" xr:uid="{00000000-0002-0000-0E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3 I25:I28" xr:uid="{00000000-0002-0000-0E00-000001000000}"/>
  </dataValidations>
  <printOptions horizontalCentered="1" verticalCentered="1"/>
  <pageMargins left="0.16" right="0.18" top="0.22" bottom="0.15" header="0.51181102362204722" footer="0.51181102362204722"/>
  <pageSetup paperSize="9" scale="69" orientation="landscape" r:id="rId1"/>
  <headerFooter alignWithMargins="0"/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1">
    <pageSetUpPr fitToPage="1"/>
  </sheetPr>
  <dimension ref="A1:E30"/>
  <sheetViews>
    <sheetView zoomScaleNormal="100" zoomScaleSheetLayoutView="100" workbookViewId="0">
      <pane xSplit="1" ySplit="2" topLeftCell="B3" activePane="bottomRight" state="frozen"/>
      <selection activeCell="C73" sqref="C73"/>
      <selection pane="topRight" activeCell="C73" sqref="C73"/>
      <selection pane="bottomLeft" activeCell="C73" sqref="C73"/>
      <selection pane="bottomRight" activeCell="E4" sqref="E4"/>
    </sheetView>
  </sheetViews>
  <sheetFormatPr defaultRowHeight="12.75"/>
  <cols>
    <col min="1" max="1" width="6" style="1" customWidth="1"/>
    <col min="2" max="2" width="71.85546875" style="22" customWidth="1"/>
    <col min="3" max="3" width="19.28515625" style="1" customWidth="1"/>
    <col min="4" max="16384" width="9.140625" style="1"/>
  </cols>
  <sheetData>
    <row r="1" spans="1:5" s="20" customFormat="1" ht="39.75" customHeight="1">
      <c r="B1" s="57" t="s">
        <v>237</v>
      </c>
      <c r="C1" s="58" t="s">
        <v>636</v>
      </c>
    </row>
    <row r="2" spans="1:5" s="20" customFormat="1" ht="35.25" customHeight="1">
      <c r="A2" s="440"/>
      <c r="B2" s="440" t="str">
        <f>+'Asset quality'!B3</f>
        <v xml:space="preserve">АК "АЛОКАБАНК" </v>
      </c>
      <c r="C2" s="215" t="s">
        <v>382</v>
      </c>
    </row>
    <row r="3" spans="1:5" s="20" customFormat="1" ht="32.25" customHeight="1">
      <c r="A3" s="49" t="s">
        <v>562</v>
      </c>
      <c r="B3" s="66" t="s">
        <v>573</v>
      </c>
      <c r="C3" s="64"/>
    </row>
    <row r="4" spans="1:5" s="65" customFormat="1" ht="30" customHeight="1">
      <c r="A4" s="63" t="s">
        <v>68</v>
      </c>
      <c r="B4" s="68" t="s">
        <v>563</v>
      </c>
      <c r="C4" s="64">
        <v>1467</v>
      </c>
    </row>
    <row r="5" spans="1:5" s="65" customFormat="1" ht="30" customHeight="1">
      <c r="A5" s="63" t="s">
        <v>64</v>
      </c>
      <c r="B5" s="68" t="s">
        <v>564</v>
      </c>
      <c r="C5" s="64">
        <v>1380</v>
      </c>
    </row>
    <row r="6" spans="1:5" s="20" customFormat="1" ht="32.25" customHeight="1">
      <c r="A6" s="49" t="s">
        <v>479</v>
      </c>
      <c r="B6" s="66" t="s">
        <v>571</v>
      </c>
      <c r="C6" s="64"/>
    </row>
    <row r="7" spans="1:5" s="20" customFormat="1">
      <c r="A7" s="49"/>
      <c r="B7" s="67" t="s">
        <v>572</v>
      </c>
      <c r="C7" s="62"/>
    </row>
    <row r="8" spans="1:5" s="65" customFormat="1" ht="30" customHeight="1">
      <c r="A8" s="63" t="s">
        <v>68</v>
      </c>
      <c r="B8" s="68" t="s">
        <v>565</v>
      </c>
      <c r="C8" s="64">
        <v>0</v>
      </c>
    </row>
    <row r="9" spans="1:5" s="65" customFormat="1" ht="30" customHeight="1">
      <c r="A9" s="63" t="s">
        <v>64</v>
      </c>
      <c r="B9" s="68" t="s">
        <v>566</v>
      </c>
      <c r="C9" s="64">
        <v>0</v>
      </c>
    </row>
    <row r="10" spans="1:5" s="65" customFormat="1" ht="30" customHeight="1">
      <c r="A10" s="63" t="s">
        <v>66</v>
      </c>
      <c r="B10" s="68" t="s">
        <v>646</v>
      </c>
      <c r="C10" s="64">
        <v>105</v>
      </c>
    </row>
    <row r="11" spans="1:5" s="446" customFormat="1" ht="30" customHeight="1">
      <c r="A11" s="443" t="s">
        <v>73</v>
      </c>
      <c r="B11" s="444" t="s">
        <v>774</v>
      </c>
      <c r="C11" s="445">
        <v>87</v>
      </c>
    </row>
    <row r="12" spans="1:5" s="73" customFormat="1" ht="30" customHeight="1">
      <c r="A12" s="447" t="s">
        <v>480</v>
      </c>
      <c r="B12" s="448" t="s">
        <v>567</v>
      </c>
      <c r="C12" s="570">
        <f>C14+C15+C16</f>
        <v>1298774</v>
      </c>
    </row>
    <row r="13" spans="1:5" s="73" customFormat="1">
      <c r="A13" s="447"/>
      <c r="B13" s="448" t="s">
        <v>572</v>
      </c>
      <c r="C13" s="449"/>
    </row>
    <row r="14" spans="1:5" s="446" customFormat="1" ht="30" customHeight="1">
      <c r="A14" s="443" t="s">
        <v>68</v>
      </c>
      <c r="B14" s="444" t="s">
        <v>164</v>
      </c>
      <c r="C14" s="445">
        <v>1264097</v>
      </c>
    </row>
    <row r="15" spans="1:5" s="446" customFormat="1" ht="30" customHeight="1">
      <c r="A15" s="443" t="s">
        <v>64</v>
      </c>
      <c r="B15" s="444" t="s">
        <v>825</v>
      </c>
      <c r="C15" s="445">
        <v>9207</v>
      </c>
    </row>
    <row r="16" spans="1:5" s="446" customFormat="1" ht="30" customHeight="1">
      <c r="A16" s="443" t="s">
        <v>66</v>
      </c>
      <c r="B16" s="444" t="s">
        <v>752</v>
      </c>
      <c r="C16" s="571">
        <f>+C18+C19+C20+C21+C22</f>
        <v>25470</v>
      </c>
      <c r="E16" s="588" t="s">
        <v>852</v>
      </c>
    </row>
    <row r="17" spans="1:5" s="446" customFormat="1">
      <c r="A17" s="443"/>
      <c r="B17" s="444" t="s">
        <v>775</v>
      </c>
      <c r="C17" s="445"/>
      <c r="E17" s="588" t="s">
        <v>851</v>
      </c>
    </row>
    <row r="18" spans="1:5" s="446" customFormat="1" ht="30" customHeight="1">
      <c r="A18" s="443" t="s">
        <v>824</v>
      </c>
      <c r="B18" s="444" t="s">
        <v>165</v>
      </c>
      <c r="C18" s="445" t="s">
        <v>935</v>
      </c>
    </row>
    <row r="19" spans="1:5" s="446" customFormat="1" ht="29.25" customHeight="1">
      <c r="A19" s="443" t="s">
        <v>824</v>
      </c>
      <c r="B19" s="444" t="s">
        <v>167</v>
      </c>
      <c r="C19" s="445" t="s">
        <v>936</v>
      </c>
    </row>
    <row r="20" spans="1:5" s="446" customFormat="1" ht="30" customHeight="1">
      <c r="A20" s="443" t="s">
        <v>824</v>
      </c>
      <c r="B20" s="444" t="s">
        <v>168</v>
      </c>
      <c r="C20" s="445" t="s">
        <v>937</v>
      </c>
    </row>
    <row r="21" spans="1:5" s="446" customFormat="1" ht="30" customHeight="1">
      <c r="A21" s="443" t="s">
        <v>824</v>
      </c>
      <c r="B21" s="444" t="s">
        <v>163</v>
      </c>
      <c r="C21" s="445" t="s">
        <v>10</v>
      </c>
    </row>
    <row r="22" spans="1:5" s="446" customFormat="1" ht="30" customHeight="1">
      <c r="A22" s="443" t="s">
        <v>824</v>
      </c>
      <c r="B22" s="444" t="s">
        <v>172</v>
      </c>
      <c r="C22" s="445">
        <f>2332-1760</f>
        <v>572</v>
      </c>
    </row>
    <row r="23" spans="1:5" s="20" customFormat="1" ht="32.25" customHeight="1">
      <c r="A23" s="49" t="s">
        <v>481</v>
      </c>
      <c r="B23" s="66" t="s">
        <v>568</v>
      </c>
      <c r="C23" s="61"/>
    </row>
    <row r="24" spans="1:5" s="446" customFormat="1" ht="30" customHeight="1">
      <c r="A24" s="443" t="s">
        <v>68</v>
      </c>
      <c r="B24" s="444" t="s">
        <v>569</v>
      </c>
      <c r="C24" s="64" t="s">
        <v>903</v>
      </c>
    </row>
    <row r="25" spans="1:5" s="446" customFormat="1" ht="30" customHeight="1">
      <c r="A25" s="443" t="s">
        <v>64</v>
      </c>
      <c r="B25" s="444" t="s">
        <v>570</v>
      </c>
      <c r="C25" s="64" t="s">
        <v>904</v>
      </c>
    </row>
    <row r="26" spans="1:5" s="20" customFormat="1" ht="12" customHeight="1">
      <c r="B26" s="30"/>
    </row>
    <row r="27" spans="1:5" s="20" customFormat="1">
      <c r="B27" s="30"/>
    </row>
    <row r="28" spans="1:5">
      <c r="A28" s="20"/>
      <c r="B28" s="5" t="s">
        <v>0</v>
      </c>
    </row>
    <row r="29" spans="1:5">
      <c r="A29" s="20"/>
      <c r="B29" s="5"/>
    </row>
    <row r="30" spans="1:5">
      <c r="A30" s="20"/>
      <c r="B30" s="5" t="s">
        <v>1</v>
      </c>
    </row>
  </sheetData>
  <sheetProtection algorithmName="SHA-512" hashValue="vPVqHNiQOv3btIisoBLQ6Ms8lXo8EmnxlHK6+ttCij2sMOZ77GZ5ZnTRQb0Yf3uONfXAYekcX7FFB8IuL2t2GQ==" saltValue="RMaxT/OEF1JidnL2omgeqw==" spinCount="100000" sheet="1" objects="1" scenarios="1"/>
  <phoneticPr fontId="20" type="noConversion"/>
  <dataValidations count="1">
    <dataValidation type="whole" operator="greaterThanOrEqual" allowBlank="1" showErrorMessage="1" error="Введите как целое положительное число." sqref="C8 C4:C5" xr:uid="{00000000-0002-0000-0F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31">
    <pageSetUpPr fitToPage="1"/>
  </sheetPr>
  <dimension ref="A1:AF54"/>
  <sheetViews>
    <sheetView view="pageBreakPreview" zoomScale="70" zoomScaleNormal="40" zoomScaleSheetLayoutView="70" workbookViewId="0">
      <pane xSplit="1" ySplit="3" topLeftCell="B13" activePane="bottomRight" state="frozen"/>
      <selection activeCell="Z28" sqref="Z28"/>
      <selection pane="topRight" activeCell="Z28" sqref="Z28"/>
      <selection pane="bottomLeft" activeCell="Z28" sqref="Z28"/>
      <selection pane="bottomRight" activeCell="M19" sqref="M19"/>
    </sheetView>
  </sheetViews>
  <sheetFormatPr defaultColWidth="97.7109375" defaultRowHeight="18.75"/>
  <cols>
    <col min="1" max="1" width="103.140625" style="395" customWidth="1"/>
    <col min="2" max="2" width="24.85546875" style="396" bestFit="1" customWidth="1"/>
    <col min="3" max="4" width="14.7109375" style="389" customWidth="1"/>
    <col min="5" max="5" width="8.5703125" style="396" bestFit="1" customWidth="1"/>
    <col min="6" max="6" width="9.7109375" style="396" customWidth="1"/>
    <col min="7" max="9" width="9.7109375" style="389" customWidth="1"/>
    <col min="10" max="10" width="15" style="389" customWidth="1"/>
    <col min="11" max="11" width="10.140625" style="396" customWidth="1"/>
    <col min="12" max="13" width="19.5703125" style="389" customWidth="1"/>
    <col min="14" max="14" width="3.85546875" style="389" bestFit="1" customWidth="1"/>
    <col min="15" max="16" width="19.5703125" style="389" customWidth="1"/>
    <col min="17" max="16384" width="97.7109375" style="389"/>
  </cols>
  <sheetData>
    <row r="1" spans="1:16" s="397" customFormat="1" ht="33.75" customHeight="1">
      <c r="A1" s="875" t="s">
        <v>776</v>
      </c>
      <c r="B1" s="875"/>
    </row>
    <row r="2" spans="1:16" ht="20.25" customHeight="1">
      <c r="A2" s="442" t="str">
        <f>+'Asset quality'!B3</f>
        <v xml:space="preserve">АК "АЛОКАБАНК" </v>
      </c>
      <c r="B2" s="370" t="s">
        <v>382</v>
      </c>
      <c r="C2" s="399" t="s">
        <v>809</v>
      </c>
      <c r="D2" s="408"/>
      <c r="E2" s="410"/>
      <c r="F2" s="410"/>
      <c r="K2" s="389"/>
      <c r="M2" s="390"/>
    </row>
    <row r="3" spans="1:16" s="391" customFormat="1" ht="59.25" customHeight="1">
      <c r="A3" s="440" t="s">
        <v>777</v>
      </c>
      <c r="B3" s="441">
        <f>+'Asset quality'!P3</f>
        <v>44561</v>
      </c>
      <c r="C3" s="439"/>
      <c r="D3" s="408"/>
      <c r="E3" s="410"/>
      <c r="F3" s="410"/>
      <c r="K3" s="399" t="s">
        <v>809</v>
      </c>
      <c r="L3" s="401" t="s">
        <v>806</v>
      </c>
      <c r="M3" s="399" t="s">
        <v>807</v>
      </c>
      <c r="N3" s="410"/>
      <c r="O3" s="400" t="s">
        <v>791</v>
      </c>
      <c r="P3" s="402" t="s">
        <v>793</v>
      </c>
    </row>
    <row r="4" spans="1:16" ht="24" customHeight="1">
      <c r="A4" s="392" t="s">
        <v>778</v>
      </c>
      <c r="B4" s="415">
        <f>IFERROR((B5/B6),0)</f>
        <v>0.13209545823040439</v>
      </c>
      <c r="D4" s="408"/>
      <c r="E4" s="410"/>
      <c r="F4" s="410"/>
      <c r="J4" s="421" t="s">
        <v>810</v>
      </c>
      <c r="K4" s="422">
        <v>1</v>
      </c>
      <c r="L4" s="509">
        <v>8108166331</v>
      </c>
      <c r="M4" s="509">
        <v>1568529812</v>
      </c>
      <c r="N4" s="410"/>
      <c r="O4" s="391"/>
      <c r="P4" s="391"/>
    </row>
    <row r="5" spans="1:16" ht="24" customHeight="1">
      <c r="A5" s="393" t="s">
        <v>779</v>
      </c>
      <c r="B5" s="416">
        <f>+'[9]Bank Capital Calc'!$C$44</f>
        <v>1568854517</v>
      </c>
      <c r="D5" s="408"/>
      <c r="E5" s="460"/>
      <c r="F5" s="460"/>
      <c r="J5" s="421" t="s">
        <v>811</v>
      </c>
      <c r="K5" s="422">
        <v>2</v>
      </c>
      <c r="L5" s="509">
        <v>8197503266</v>
      </c>
      <c r="M5" s="509">
        <v>1589698112</v>
      </c>
      <c r="N5" s="412">
        <v>1</v>
      </c>
      <c r="O5" s="413">
        <f>+(L4+L5)/2</f>
        <v>8152834798.5</v>
      </c>
      <c r="P5" s="413">
        <f>+(M4+M5)/2</f>
        <v>1579113962</v>
      </c>
    </row>
    <row r="6" spans="1:16" ht="24" customHeight="1">
      <c r="A6" s="394" t="s">
        <v>780</v>
      </c>
      <c r="B6" s="417">
        <f>+'[9]Bank Capital Calc'!$C$45</f>
        <v>11876672657.916538</v>
      </c>
      <c r="D6" s="408"/>
      <c r="E6" s="460"/>
      <c r="F6" s="460"/>
      <c r="J6" s="421" t="s">
        <v>812</v>
      </c>
      <c r="K6" s="422">
        <v>3</v>
      </c>
      <c r="L6" s="509">
        <v>8252689648</v>
      </c>
      <c r="M6" s="509">
        <v>1606410581</v>
      </c>
      <c r="N6" s="412">
        <v>2</v>
      </c>
      <c r="O6" s="413">
        <f>+(L4+L5+L6)/3</f>
        <v>8186119748.333333</v>
      </c>
      <c r="P6" s="413">
        <f>+(M4+M5+M6)/3</f>
        <v>1588212835</v>
      </c>
    </row>
    <row r="7" spans="1:16" ht="24" customHeight="1">
      <c r="A7" s="392" t="s">
        <v>781</v>
      </c>
      <c r="B7" s="415">
        <f>IFERROR((B8/B9),0)</f>
        <v>0.11425105011171013</v>
      </c>
      <c r="D7" s="408"/>
      <c r="E7" s="410"/>
      <c r="F7" s="410"/>
      <c r="J7" s="421" t="s">
        <v>813</v>
      </c>
      <c r="K7" s="422">
        <v>4</v>
      </c>
      <c r="L7" s="509">
        <v>8511503564</v>
      </c>
      <c r="M7" s="509">
        <v>1619990176</v>
      </c>
      <c r="N7" s="412">
        <v>3</v>
      </c>
      <c r="O7" s="414">
        <f>+(L4+L7)/2</f>
        <v>8309834947.5</v>
      </c>
      <c r="P7" s="414">
        <f>+(M4+M7)/2</f>
        <v>1594259994</v>
      </c>
    </row>
    <row r="8" spans="1:16" ht="24" customHeight="1">
      <c r="A8" s="393" t="s">
        <v>782</v>
      </c>
      <c r="B8" s="416">
        <f>+'[9]Bank Capital Calc'!$C$34</f>
        <v>1356922323</v>
      </c>
      <c r="D8" s="408"/>
      <c r="E8" s="460"/>
      <c r="F8" s="460"/>
      <c r="J8" s="421" t="s">
        <v>814</v>
      </c>
      <c r="K8" s="422">
        <v>5</v>
      </c>
      <c r="L8" s="509">
        <v>8760607774</v>
      </c>
      <c r="M8" s="509">
        <v>1580998108</v>
      </c>
      <c r="N8" s="412">
        <v>4</v>
      </c>
      <c r="O8" s="413">
        <f>+(+L4+L5+L6+L7+L8)/5</f>
        <v>8366094116.6000004</v>
      </c>
      <c r="P8" s="413">
        <f>+(+M4+M5+M6+M7+M8)/5</f>
        <v>1593125357.8</v>
      </c>
    </row>
    <row r="9" spans="1:16" ht="24" customHeight="1">
      <c r="A9" s="394" t="s">
        <v>780</v>
      </c>
      <c r="B9" s="417">
        <f>+'[9]Bank Capital Calc'!$C$45</f>
        <v>11876672657.916538</v>
      </c>
      <c r="D9" s="408"/>
      <c r="E9" s="460"/>
      <c r="F9" s="460"/>
      <c r="J9" s="421" t="s">
        <v>815</v>
      </c>
      <c r="K9" s="422">
        <v>6</v>
      </c>
      <c r="L9" s="509">
        <v>9026704527</v>
      </c>
      <c r="M9" s="509">
        <v>1587998848</v>
      </c>
      <c r="N9" s="412">
        <v>5</v>
      </c>
      <c r="O9" s="413">
        <f>+(+L4+L5+L6+L7+L8+L9)/6</f>
        <v>8476195851.666667</v>
      </c>
      <c r="P9" s="413">
        <f>+(+M4+M5+M6+M7+M8+M9)/6</f>
        <v>1592270939.5</v>
      </c>
    </row>
    <row r="10" spans="1:16" ht="24" customHeight="1">
      <c r="A10" s="392" t="s">
        <v>783</v>
      </c>
      <c r="B10" s="415">
        <f>IFERROR((B11/B12),0)</f>
        <v>0.13987473123661323</v>
      </c>
      <c r="D10" s="408"/>
      <c r="E10" s="410"/>
      <c r="F10" s="410"/>
      <c r="J10" s="421" t="s">
        <v>816</v>
      </c>
      <c r="K10" s="422">
        <v>7</v>
      </c>
      <c r="L10" s="509">
        <v>9047039799</v>
      </c>
      <c r="M10" s="509">
        <v>1608201435</v>
      </c>
      <c r="N10" s="412">
        <v>6</v>
      </c>
      <c r="O10" s="414">
        <f>+(L4+L7+L10)/3</f>
        <v>8555569898</v>
      </c>
      <c r="P10" s="414">
        <f>+(M4+M7+M10)/3</f>
        <v>1598907141</v>
      </c>
    </row>
    <row r="11" spans="1:16" ht="24" customHeight="1">
      <c r="A11" s="393" t="s">
        <v>784</v>
      </c>
      <c r="B11" s="416">
        <f>+('Asset Classification'!M50-'Asset Classification'!O50+'Asset Classification'!Q50-'Asset Classification'!S50+'Asset Classification'!U50-'Asset Classification'!W50)</f>
        <v>234081194</v>
      </c>
      <c r="D11" s="408"/>
      <c r="E11" s="410"/>
      <c r="F11" s="410"/>
      <c r="J11" s="421" t="s">
        <v>817</v>
      </c>
      <c r="K11" s="422">
        <v>8</v>
      </c>
      <c r="L11" s="509">
        <v>9260791292</v>
      </c>
      <c r="M11" s="509">
        <v>1593050322</v>
      </c>
      <c r="N11" s="412">
        <v>7</v>
      </c>
      <c r="O11" s="413">
        <f>(L4+L5+L6+L7+L8+L9+L10+L11)/8</f>
        <v>8645625775.125</v>
      </c>
      <c r="P11" s="413">
        <f>(M4+M5+M6+M7+M8+M9+M10+M11)/8</f>
        <v>1594359674.25</v>
      </c>
    </row>
    <row r="12" spans="1:16" ht="24" customHeight="1">
      <c r="A12" s="394" t="s">
        <v>785</v>
      </c>
      <c r="B12" s="417">
        <f>+B35</f>
        <v>1673505943</v>
      </c>
      <c r="D12" s="408"/>
      <c r="E12" s="410"/>
      <c r="F12" s="410"/>
      <c r="J12" s="421" t="s">
        <v>818</v>
      </c>
      <c r="K12" s="422">
        <v>9</v>
      </c>
      <c r="L12" s="509">
        <v>9532266721</v>
      </c>
      <c r="M12" s="509">
        <v>1629349225</v>
      </c>
      <c r="N12" s="412">
        <v>8</v>
      </c>
      <c r="O12" s="413">
        <f>(L4+L5+L6+L7+L8+L9+L10+L11+L12)/9</f>
        <v>8744141435.7777786</v>
      </c>
      <c r="P12" s="413">
        <f>(M4+M5+M6+M7+M8+M9+M10+M11+M12)/9</f>
        <v>1598247402.1111112</v>
      </c>
    </row>
    <row r="13" spans="1:16" ht="24" customHeight="1">
      <c r="A13" s="392" t="s">
        <v>786</v>
      </c>
      <c r="B13" s="415">
        <f>IFERROR((B14/B15),0)</f>
        <v>4.0536530925849662E-2</v>
      </c>
      <c r="E13" s="389"/>
      <c r="F13" s="389"/>
      <c r="J13" s="421" t="s">
        <v>819</v>
      </c>
      <c r="K13" s="422">
        <v>10</v>
      </c>
      <c r="L13" s="509">
        <v>10041392673</v>
      </c>
      <c r="M13" s="509">
        <v>1666992405</v>
      </c>
      <c r="N13" s="412">
        <v>9</v>
      </c>
      <c r="O13" s="414">
        <f>+(L4+L7+L10+L13)/4</f>
        <v>8927025591.75</v>
      </c>
      <c r="P13" s="414">
        <f>+(M4+M7+M10+M13)/4</f>
        <v>1615928457</v>
      </c>
    </row>
    <row r="14" spans="1:16" ht="24" customHeight="1">
      <c r="A14" s="393" t="s">
        <v>787</v>
      </c>
      <c r="B14" s="416">
        <f>+('Asset Classification'!M50+'Asset Classification'!Q50+'Asset Classification'!U50)</f>
        <v>314332984</v>
      </c>
      <c r="E14" s="389"/>
      <c r="F14" s="389"/>
      <c r="J14" s="421" t="s">
        <v>820</v>
      </c>
      <c r="K14" s="422">
        <v>11</v>
      </c>
      <c r="L14" s="509">
        <v>10985677372</v>
      </c>
      <c r="M14" s="509">
        <v>1687121784</v>
      </c>
      <c r="N14" s="412">
        <v>10</v>
      </c>
      <c r="O14" s="413">
        <f>(+L4+L5+L6+L7+L8+L9+L10+L11+L12+L13+L14)/11</f>
        <v>9065849360.636364</v>
      </c>
      <c r="P14" s="413">
        <f>(+M4+M5+M6+M7+M8+M9+M10+M11+M12+M13+M14)/11</f>
        <v>1612576437.090909</v>
      </c>
    </row>
    <row r="15" spans="1:16" ht="24" customHeight="1">
      <c r="A15" s="394" t="s">
        <v>788</v>
      </c>
      <c r="B15" s="417">
        <f>+'Loans Receivable'!C92</f>
        <v>7754313870</v>
      </c>
      <c r="E15" s="389"/>
      <c r="F15" s="389"/>
      <c r="J15" s="421" t="s">
        <v>821</v>
      </c>
      <c r="K15" s="422">
        <v>12</v>
      </c>
      <c r="L15" s="509">
        <v>11344587789</v>
      </c>
      <c r="M15" s="509">
        <v>1704882568</v>
      </c>
      <c r="N15" s="412">
        <v>11</v>
      </c>
      <c r="O15" s="413">
        <f>(+L4+L5+L6+L7+L8+L9+L10+L11+L12+L13+L14+L15)/12</f>
        <v>9255744229.666666</v>
      </c>
      <c r="P15" s="413">
        <f>(+M4+M5+M6+M7+M8+M9+M10+M11+M12+M13+M14+M15)/12</f>
        <v>1620268614.6666667</v>
      </c>
    </row>
    <row r="16" spans="1:16" ht="24" customHeight="1">
      <c r="A16" s="392" t="s">
        <v>789</v>
      </c>
      <c r="B16" s="415">
        <f>IFERROR((B17/B18),0)</f>
        <v>1.4481959204797544E-2</v>
      </c>
      <c r="E16" s="389"/>
      <c r="F16" s="389"/>
      <c r="J16" s="421" t="s">
        <v>822</v>
      </c>
      <c r="K16" s="422">
        <v>13</v>
      </c>
      <c r="L16" s="509">
        <v>12638456624</v>
      </c>
      <c r="M16" s="509">
        <v>1673505943</v>
      </c>
      <c r="N16" s="412">
        <v>12</v>
      </c>
      <c r="O16" s="414">
        <f>+(L4+L7+L10+L13+L16)/5</f>
        <v>9669311798.2000008</v>
      </c>
      <c r="P16" s="414">
        <f>+(M4+M7+M10+M13+M16)/5</f>
        <v>1627443954.2</v>
      </c>
    </row>
    <row r="17" spans="1:11" ht="24" customHeight="1">
      <c r="A17" s="393" t="s">
        <v>790</v>
      </c>
      <c r="B17" s="416">
        <f>(+'Income '!C72)/MONTH(B3)*12</f>
        <v>140030579</v>
      </c>
      <c r="C17" s="411"/>
      <c r="E17" s="389"/>
      <c r="F17" s="389"/>
      <c r="K17" s="389"/>
    </row>
    <row r="18" spans="1:11" ht="24" customHeight="1">
      <c r="A18" s="394" t="s">
        <v>791</v>
      </c>
      <c r="B18" s="417">
        <f>VLOOKUP(MONTH(B3),$N$4:$P$16,2,0)</f>
        <v>9669311798.2000008</v>
      </c>
      <c r="E18" s="389"/>
      <c r="F18" s="389"/>
      <c r="K18" s="389"/>
    </row>
    <row r="19" spans="1:11" ht="24" customHeight="1">
      <c r="A19" s="392" t="s">
        <v>792</v>
      </c>
      <c r="B19" s="415">
        <f>IFERROR((B20/B21),0)</f>
        <v>6.6105188889828248E-2</v>
      </c>
      <c r="E19" s="389"/>
      <c r="F19" s="389"/>
      <c r="K19" s="389"/>
    </row>
    <row r="20" spans="1:11" ht="24" customHeight="1">
      <c r="A20" s="393" t="s">
        <v>826</v>
      </c>
      <c r="B20" s="416">
        <f>(+'Income '!C79)/MONTH(B3)*12</f>
        <v>107582490</v>
      </c>
      <c r="E20" s="389"/>
      <c r="F20" s="389"/>
      <c r="K20" s="389"/>
    </row>
    <row r="21" spans="1:11" ht="24" customHeight="1">
      <c r="A21" s="394" t="s">
        <v>793</v>
      </c>
      <c r="B21" s="417">
        <f>VLOOKUP(MONTH(B3),$N$4:$P$16,3,0)</f>
        <v>1627443954.2</v>
      </c>
      <c r="E21" s="389"/>
      <c r="F21" s="389"/>
      <c r="K21" s="389"/>
    </row>
    <row r="22" spans="1:11" ht="24" customHeight="1">
      <c r="A22" s="392" t="s">
        <v>794</v>
      </c>
      <c r="B22" s="415">
        <f>IFERROR((B23/B24),0)</f>
        <v>0.48876654282575266</v>
      </c>
      <c r="E22" s="389"/>
      <c r="F22" s="389"/>
      <c r="K22" s="389"/>
    </row>
    <row r="23" spans="1:11" ht="24" customHeight="1">
      <c r="A23" s="393" t="s">
        <v>795</v>
      </c>
      <c r="B23" s="416">
        <f>+'Income '!C30</f>
        <v>408381482</v>
      </c>
      <c r="E23" s="389"/>
      <c r="F23" s="389"/>
      <c r="K23" s="389"/>
    </row>
    <row r="24" spans="1:11" ht="24" customHeight="1">
      <c r="A24" s="394" t="s">
        <v>796</v>
      </c>
      <c r="B24" s="417">
        <f>+B27</f>
        <v>835534854</v>
      </c>
      <c r="E24" s="389"/>
      <c r="F24" s="389"/>
      <c r="K24" s="389"/>
    </row>
    <row r="25" spans="1:11" ht="24" customHeight="1">
      <c r="A25" s="392" t="s">
        <v>797</v>
      </c>
      <c r="B25" s="415">
        <f>IFERROR((B26/B27),0)</f>
        <v>0.6877265086538209</v>
      </c>
      <c r="E25" s="389"/>
      <c r="F25" s="389"/>
      <c r="K25" s="389"/>
    </row>
    <row r="26" spans="1:11" ht="24" customHeight="1">
      <c r="A26" s="393" t="s">
        <v>798</v>
      </c>
      <c r="B26" s="416">
        <f>+'Income '!C54+'Income '!C70</f>
        <v>574619468</v>
      </c>
      <c r="E26" s="389"/>
      <c r="F26" s="389"/>
      <c r="K26" s="389"/>
    </row>
    <row r="27" spans="1:11" ht="24" customHeight="1">
      <c r="A27" s="394" t="s">
        <v>799</v>
      </c>
      <c r="B27" s="417">
        <f>+'Income '!C30+'Income '!C46</f>
        <v>835534854</v>
      </c>
      <c r="E27" s="389"/>
      <c r="F27" s="389"/>
      <c r="K27" s="389"/>
    </row>
    <row r="28" spans="1:11" ht="24" customHeight="1">
      <c r="A28" s="392" t="s">
        <v>800</v>
      </c>
      <c r="B28" s="415">
        <f>IFERROR((B29/B30),0)</f>
        <v>0.19710139309784613</v>
      </c>
      <c r="E28" s="389"/>
      <c r="F28" s="389"/>
      <c r="K28" s="389"/>
    </row>
    <row r="29" spans="1:11" ht="24" customHeight="1">
      <c r="A29" s="393" t="s">
        <v>682</v>
      </c>
      <c r="B29" s="416">
        <f>+B32</f>
        <v>2491057407</v>
      </c>
      <c r="E29" s="389"/>
      <c r="F29" s="389"/>
      <c r="K29" s="389"/>
    </row>
    <row r="30" spans="1:11" ht="24" customHeight="1">
      <c r="A30" s="394" t="s">
        <v>801</v>
      </c>
      <c r="B30" s="417">
        <f>+B36</f>
        <v>12638456623</v>
      </c>
      <c r="E30" s="389"/>
      <c r="F30" s="389"/>
      <c r="K30" s="389"/>
    </row>
    <row r="31" spans="1:11" ht="24" customHeight="1">
      <c r="A31" s="392" t="s">
        <v>802</v>
      </c>
      <c r="B31" s="415">
        <f>IFERROR((B29/B33),0)</f>
        <v>0.36151330715751318</v>
      </c>
      <c r="E31" s="389"/>
      <c r="F31" s="389"/>
      <c r="K31" s="389"/>
    </row>
    <row r="32" spans="1:11" ht="24" customHeight="1">
      <c r="A32" s="393" t="s">
        <v>682</v>
      </c>
      <c r="B32" s="403">
        <f>+B54</f>
        <v>2491057407</v>
      </c>
      <c r="E32" s="389"/>
      <c r="F32" s="389"/>
      <c r="K32" s="389"/>
    </row>
    <row r="33" spans="1:32" ht="24" customHeight="1">
      <c r="A33" s="394" t="s">
        <v>769</v>
      </c>
      <c r="B33" s="417">
        <f>+('[8]Bank Liabilities Analysis'!$C$39+'[8]Bank Liabilities Analysis'!$E$39+'[8]Bank Liabilities Analysis'!$G$39+'[8]Bank Liabilities Analysis'!$I$39+'[8]Bank Liabilities Analysis'!$K$39+'[8]Bank Liabilities Analysis'!$M$39)</f>
        <v>6890638208</v>
      </c>
      <c r="E33" s="389"/>
      <c r="F33" s="389"/>
      <c r="K33" s="389"/>
    </row>
    <row r="34" spans="1:32" ht="24" customHeight="1">
      <c r="A34" s="392" t="s">
        <v>803</v>
      </c>
      <c r="B34" s="415">
        <f>IFERROR((B35/B36),0)</f>
        <v>0.13241379014226173</v>
      </c>
      <c r="E34" s="389"/>
      <c r="F34" s="389"/>
      <c r="K34" s="389"/>
    </row>
    <row r="35" spans="1:32" ht="24" customHeight="1">
      <c r="A35" s="393" t="s">
        <v>785</v>
      </c>
      <c r="B35" s="416">
        <f>+[8]Balance!$C$77</f>
        <v>1673505943</v>
      </c>
      <c r="E35" s="389"/>
      <c r="F35" s="389"/>
      <c r="K35" s="389"/>
    </row>
    <row r="36" spans="1:32" ht="24" customHeight="1">
      <c r="A36" s="394" t="s">
        <v>801</v>
      </c>
      <c r="B36" s="417">
        <f>+[8]Balance!$C$45</f>
        <v>12638456623</v>
      </c>
      <c r="E36" s="389"/>
      <c r="F36" s="389"/>
      <c r="K36" s="389"/>
    </row>
    <row r="37" spans="1:32" ht="24" customHeight="1">
      <c r="A37" s="392" t="s">
        <v>804</v>
      </c>
      <c r="B37" s="415">
        <f>IFERROR((B38/B39),0)</f>
        <v>6.9276074868411752E-2</v>
      </c>
      <c r="E37" s="389"/>
      <c r="F37" s="389"/>
      <c r="K37" s="389"/>
    </row>
    <row r="38" spans="1:32" ht="24" customHeight="1">
      <c r="A38" s="393" t="s">
        <v>805</v>
      </c>
      <c r="B38" s="416">
        <f>+'[9]Calculation of Risk'!$C$26</f>
        <v>115933923</v>
      </c>
      <c r="E38" s="389"/>
      <c r="F38" s="389"/>
      <c r="K38" s="389"/>
    </row>
    <row r="39" spans="1:32" ht="24" customHeight="1">
      <c r="A39" s="394" t="s">
        <v>785</v>
      </c>
      <c r="B39" s="417">
        <f>+B35</f>
        <v>1673505943</v>
      </c>
      <c r="E39" s="389"/>
      <c r="F39" s="389"/>
      <c r="K39" s="389"/>
    </row>
    <row r="40" spans="1:32">
      <c r="E40" s="389"/>
      <c r="F40" s="389"/>
      <c r="K40" s="389"/>
    </row>
    <row r="42" spans="1:32" s="368" customFormat="1" ht="15.75">
      <c r="A42" s="367" t="s">
        <v>0</v>
      </c>
      <c r="J42" s="366"/>
      <c r="AB42" s="380"/>
      <c r="AC42" s="380"/>
      <c r="AD42" s="380"/>
      <c r="AE42" s="380"/>
      <c r="AF42" s="380"/>
    </row>
    <row r="43" spans="1:32" s="368" customFormat="1" ht="15.75">
      <c r="A43" s="367"/>
      <c r="J43" s="366"/>
      <c r="AB43" s="380"/>
      <c r="AC43" s="380"/>
      <c r="AD43" s="380"/>
      <c r="AE43" s="380"/>
      <c r="AF43" s="380"/>
    </row>
    <row r="44" spans="1:32" s="368" customFormat="1" ht="15.75">
      <c r="A44" s="367" t="s">
        <v>1</v>
      </c>
      <c r="J44" s="366"/>
      <c r="AB44" s="380"/>
      <c r="AC44" s="380"/>
      <c r="AD44" s="380"/>
      <c r="AE44" s="380"/>
      <c r="AF44" s="380"/>
    </row>
    <row r="46" spans="1:32">
      <c r="A46" s="203" t="s">
        <v>682</v>
      </c>
      <c r="B46" s="605" t="s">
        <v>577</v>
      </c>
      <c r="C46" s="605" t="s">
        <v>690</v>
      </c>
      <c r="D46" s="605" t="s">
        <v>691</v>
      </c>
      <c r="E46" s="395"/>
    </row>
    <row r="47" spans="1:32" s="96" customFormat="1" ht="13.5" customHeight="1">
      <c r="A47" s="398" t="s">
        <v>808</v>
      </c>
      <c r="B47" s="404">
        <f>+'[8]Liquidity Analysis'!C50</f>
        <v>275814140</v>
      </c>
      <c r="C47" s="404">
        <f>+'[8]Liquidity Analysis'!D50</f>
        <v>94523351</v>
      </c>
      <c r="D47" s="404">
        <f>+'[8]Liquidity Analysis'!E50</f>
        <v>181290789</v>
      </c>
      <c r="E47" s="418" t="s">
        <v>303</v>
      </c>
      <c r="F47" s="405"/>
      <c r="G47" s="405"/>
      <c r="H47" s="406"/>
      <c r="I47" s="406"/>
      <c r="J47" s="405"/>
      <c r="K47" s="405"/>
      <c r="L47" s="405"/>
    </row>
    <row r="48" spans="1:32" s="96" customFormat="1" ht="13.5" customHeight="1">
      <c r="A48" s="398" t="s">
        <v>504</v>
      </c>
      <c r="B48" s="404">
        <f>+'[8]Liquidity Analysis'!C51</f>
        <v>1238811513</v>
      </c>
      <c r="C48" s="404">
        <f>+'[8]Liquidity Analysis'!D51</f>
        <v>988225440</v>
      </c>
      <c r="D48" s="404">
        <f>+'[8]Liquidity Analysis'!E51</f>
        <v>250586073</v>
      </c>
      <c r="E48" s="70" t="s">
        <v>315</v>
      </c>
      <c r="F48" s="405"/>
      <c r="G48" s="405"/>
      <c r="H48" s="406"/>
      <c r="I48" s="406"/>
      <c r="J48" s="405"/>
      <c r="K48" s="405"/>
      <c r="L48" s="405"/>
    </row>
    <row r="49" spans="1:12" s="96" customFormat="1" ht="13.5" customHeight="1">
      <c r="A49" s="398" t="s">
        <v>201</v>
      </c>
      <c r="B49" s="404">
        <f>+'[8]Liquidity Analysis'!C52</f>
        <v>558326754</v>
      </c>
      <c r="C49" s="404">
        <f>+'[8]Liquidity Analysis'!D52</f>
        <v>446829</v>
      </c>
      <c r="D49" s="404">
        <f>+'[8]Liquidity Analysis'!E52</f>
        <v>557879925</v>
      </c>
      <c r="E49" s="70" t="s">
        <v>530</v>
      </c>
      <c r="F49" s="405"/>
      <c r="G49" s="405"/>
      <c r="H49" s="406"/>
      <c r="I49" s="406"/>
      <c r="J49" s="405"/>
      <c r="K49" s="405"/>
      <c r="L49" s="405"/>
    </row>
    <row r="50" spans="1:12" s="96" customFormat="1" ht="13.5" customHeight="1">
      <c r="A50" s="398" t="s">
        <v>581</v>
      </c>
      <c r="B50" s="404">
        <f>+'[8]Liquidity Analysis'!C53</f>
        <v>0</v>
      </c>
      <c r="C50" s="404">
        <f>+'[8]Liquidity Analysis'!D53</f>
        <v>0</v>
      </c>
      <c r="D50" s="404">
        <f>+'[8]Liquidity Analysis'!E53</f>
        <v>0</v>
      </c>
      <c r="E50" s="70" t="s">
        <v>576</v>
      </c>
      <c r="F50" s="407"/>
      <c r="G50" s="407"/>
      <c r="H50" s="407"/>
      <c r="I50" s="406"/>
      <c r="J50" s="405"/>
      <c r="K50" s="405"/>
      <c r="L50" s="405"/>
    </row>
    <row r="51" spans="1:12" s="96" customFormat="1" ht="27.75" customHeight="1">
      <c r="A51" s="398" t="s">
        <v>32</v>
      </c>
      <c r="B51" s="404">
        <f>+'[8]Liquidity Analysis'!C54</f>
        <v>418105000</v>
      </c>
      <c r="C51" s="404">
        <f>+'[8]Liquidity Analysis'!D54</f>
        <v>418105000</v>
      </c>
      <c r="D51" s="404">
        <f>+'[8]Liquidity Analysis'!E54</f>
        <v>0</v>
      </c>
      <c r="E51" s="70" t="s">
        <v>327</v>
      </c>
      <c r="F51" s="405"/>
      <c r="G51" s="405"/>
      <c r="H51" s="406"/>
      <c r="I51" s="406"/>
      <c r="J51" s="405"/>
      <c r="K51" s="405"/>
      <c r="L51" s="405"/>
    </row>
    <row r="52" spans="1:12" s="96" customFormat="1" ht="13.5" customHeight="1">
      <c r="A52" s="398" t="s">
        <v>582</v>
      </c>
      <c r="B52" s="404">
        <f>+'[8]Liquidity Analysis'!C55</f>
        <v>0</v>
      </c>
      <c r="C52" s="404">
        <f>+'[8]Liquidity Analysis'!D55</f>
        <v>0</v>
      </c>
      <c r="D52" s="404">
        <f>+'[8]Liquidity Analysis'!E55</f>
        <v>0</v>
      </c>
      <c r="E52" s="418" t="s">
        <v>334</v>
      </c>
      <c r="F52" s="405"/>
      <c r="G52" s="405"/>
      <c r="H52" s="406"/>
      <c r="I52" s="406"/>
      <c r="J52" s="405"/>
      <c r="K52" s="405"/>
      <c r="L52" s="405"/>
    </row>
    <row r="53" spans="1:12" s="96" customFormat="1" ht="13.5" customHeight="1">
      <c r="A53" s="398" t="s">
        <v>583</v>
      </c>
      <c r="B53" s="404">
        <f>+'[8]Liquidity Analysis'!C56</f>
        <v>0</v>
      </c>
      <c r="C53" s="404">
        <f>+'[8]Liquidity Analysis'!D56</f>
        <v>0</v>
      </c>
      <c r="D53" s="404">
        <f>+'[8]Liquidity Analysis'!E56</f>
        <v>0</v>
      </c>
      <c r="E53" s="418" t="s">
        <v>531</v>
      </c>
      <c r="F53" s="405"/>
      <c r="G53" s="405"/>
      <c r="H53" s="406"/>
      <c r="I53" s="406"/>
      <c r="J53" s="405"/>
      <c r="K53" s="405"/>
      <c r="L53" s="405"/>
    </row>
    <row r="54" spans="1:12" s="96" customFormat="1" ht="13.5" customHeight="1">
      <c r="A54" s="419" t="s">
        <v>584</v>
      </c>
      <c r="B54" s="404">
        <f>+'[8]Liquidity Analysis'!C57</f>
        <v>2491057407</v>
      </c>
      <c r="C54" s="404">
        <f>+'[8]Liquidity Analysis'!D57</f>
        <v>1501300620</v>
      </c>
      <c r="D54" s="404">
        <f>+'[8]Liquidity Analysis'!E57</f>
        <v>989756787</v>
      </c>
      <c r="E54" s="420" t="s">
        <v>336</v>
      </c>
      <c r="F54" s="405"/>
      <c r="G54" s="405"/>
      <c r="H54" s="406"/>
      <c r="I54" s="407"/>
      <c r="J54" s="405"/>
      <c r="K54" s="405"/>
      <c r="L54" s="405"/>
    </row>
  </sheetData>
  <sheetProtection algorithmName="SHA-512" hashValue="M4HiCWl9ZyFLDroMls26tFoCECeDRM3KedXMQ1zQZkM0TMU8RrEYm61TtuJfo3SvR3k7uTZb/szh3YbUyDRXfA==" saltValue="jaok/q3fwGjjz4t0oxVLLQ==" spinCount="100000" sheet="1" objects="1" scenarios="1"/>
  <mergeCells count="1">
    <mergeCell ref="A1:B1"/>
  </mergeCells>
  <conditionalFormatting sqref="B34 B37 E4:F4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:D46" xr:uid="{00000000-0002-0000-1000-000000000000}"/>
  </dataValidations>
  <printOptions horizontalCentered="1"/>
  <pageMargins left="0" right="0" top="0.31496062992125984" bottom="0.39370078740157483" header="0.23622047244094491" footer="0.15748031496062992"/>
  <pageSetup paperSize="9" scale="76" orientation="portrait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Transactions of related parties</vt:lpstr>
      <vt:lpstr> Largest risk</vt:lpstr>
      <vt:lpstr>Charge-offs and Recoveries</vt:lpstr>
      <vt:lpstr>loans_av rate</vt:lpstr>
      <vt:lpstr>loans type</vt:lpstr>
      <vt:lpstr>Bank Capital Calc (2)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Yuldashev Islombek Shuhratovich</cp:lastModifiedBy>
  <cp:lastPrinted>2022-01-12T09:37:50Z</cp:lastPrinted>
  <dcterms:created xsi:type="dcterms:W3CDTF">2014-01-27T05:06:32Z</dcterms:created>
  <dcterms:modified xsi:type="dcterms:W3CDTF">2022-09-23T10:01:53Z</dcterms:modified>
</cp:coreProperties>
</file>