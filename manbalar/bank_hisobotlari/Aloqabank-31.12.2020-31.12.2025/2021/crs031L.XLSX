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alb-fs.aloqabank.local\Profiles$\Shohzod\Desktop\2021.12.31\"/>
    </mc:Choice>
  </mc:AlternateContent>
  <xr:revisionPtr revIDLastSave="0" documentId="13_ncr:1_{F0D97831-52DA-4511-8F4D-E067E0AF6EE5}" xr6:coauthVersionLast="43" xr6:coauthVersionMax="45" xr10:uidLastSave="{00000000-0000-0000-0000-000000000000}"/>
  <workbookProtection workbookPassword="CB5C" lockStructure="1"/>
  <bookViews>
    <workbookView xWindow="-120" yWindow="-120" windowWidth="29040" windowHeight="15840" tabRatio="922" activeTab="3" xr2:uid="{00000000-000D-0000-FFFF-FFFF00000000}"/>
  </bookViews>
  <sheets>
    <sheet name="Balance" sheetId="1" r:id="rId1"/>
    <sheet name="Bank Capital Calc (2)" sheetId="41" state="hidden" r:id="rId2"/>
    <sheet name="Liquidity Analysis" sheetId="16" r:id="rId3"/>
    <sheet name="Bank Assets Analysis" sheetId="17" r:id="rId4"/>
    <sheet name="Bank Assets Analysis (нац)" sheetId="36" r:id="rId5"/>
    <sheet name="Bank Liabilities Analysis" sheetId="18" r:id="rId6"/>
    <sheet name="Bank Liabilities Analysis (нац)" sheetId="37" r:id="rId7"/>
    <sheet name="Commitments" sheetId="19" r:id="rId8"/>
    <sheet name="Deposits by Client" sheetId="14" r:id="rId9"/>
    <sheet name="Investment Securities" sheetId="15" r:id="rId10"/>
  </sheets>
  <externalReferences>
    <externalReference r:id="rId11"/>
    <externalReference r:id="rId12"/>
    <externalReference r:id="rId13"/>
    <externalReference r:id="rId14"/>
    <externalReference r:id="rId15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OLE_LINK19" localSheetId="0">Balance!$D$34</definedName>
    <definedName name="TwentyLargestData" localSheetId="1">#REF!</definedName>
    <definedName name="Е" localSheetId="1">#REF!</definedName>
    <definedName name="_xlnm.Print_Area" localSheetId="0">Balance!$A$1:$E$88</definedName>
    <definedName name="_xlnm.Print_Area" localSheetId="3">'Bank Assets Analysis'!$A$1:$Z$58</definedName>
    <definedName name="_xlnm.Print_Area" localSheetId="4">'Bank Assets Analysis (нац)'!$A$1:$N$58</definedName>
    <definedName name="_xlnm.Print_Area" localSheetId="1">'Bank Capital Calc (2)'!$A$1:$C$55</definedName>
    <definedName name="_xlnm.Print_Area" localSheetId="5">'Bank Liabilities Analysis'!$A$1:$X$59</definedName>
    <definedName name="_xlnm.Print_Area" localSheetId="6">'Bank Liabilities Analysis (нац)'!$A$1:$N$60</definedName>
    <definedName name="_xlnm.Print_Area" localSheetId="7">Commitments!$A$1:$E$30</definedName>
    <definedName name="_xlnm.Print_Area" localSheetId="8">'Deposits by Client'!$A$1:$G$27</definedName>
    <definedName name="_xlnm.Print_Area" localSheetId="9">'Investment Securities'!$A$1:$E$54</definedName>
    <definedName name="_xlnm.Print_Area" localSheetId="2">'Liquidity Analysis'!$A$1:$I$45</definedName>
  </definedNames>
  <calcPr calcId="191029"/>
</workbook>
</file>

<file path=xl/calcChain.xml><?xml version="1.0" encoding="utf-8"?>
<calcChain xmlns="http://schemas.openxmlformats.org/spreadsheetml/2006/main">
  <c r="D42" i="1" l="1"/>
  <c r="E42" i="1"/>
  <c r="C41" i="36" l="1"/>
  <c r="H53" i="16" l="1"/>
  <c r="G53" i="16"/>
  <c r="F53" i="16"/>
  <c r="U45" i="17" l="1"/>
  <c r="Y45" i="17" s="1"/>
  <c r="Z45" i="17" s="1"/>
  <c r="S45" i="17"/>
  <c r="T45" i="17" l="1"/>
  <c r="W45" i="17"/>
  <c r="X45" i="17" s="1"/>
  <c r="B37" i="15"/>
  <c r="B36" i="15"/>
  <c r="B35" i="15"/>
  <c r="B28" i="15"/>
  <c r="B27" i="15"/>
  <c r="B25" i="15"/>
  <c r="B24" i="15"/>
  <c r="B23" i="15"/>
  <c r="B22" i="15"/>
  <c r="B21" i="15"/>
  <c r="B20" i="15"/>
  <c r="B19" i="15"/>
  <c r="B12" i="15"/>
  <c r="B11" i="15"/>
  <c r="B10" i="15"/>
  <c r="B9" i="15"/>
  <c r="B8" i="15"/>
  <c r="J48" i="36"/>
  <c r="I48" i="36"/>
  <c r="H48" i="36"/>
  <c r="G48" i="36"/>
  <c r="F48" i="36"/>
  <c r="E48" i="36"/>
  <c r="D48" i="36"/>
  <c r="C48" i="36"/>
  <c r="J49" i="36"/>
  <c r="I49" i="36"/>
  <c r="H49" i="36"/>
  <c r="G49" i="36"/>
  <c r="F49" i="36"/>
  <c r="E49" i="36"/>
  <c r="D49" i="36"/>
  <c r="C49" i="36"/>
  <c r="J50" i="36"/>
  <c r="I50" i="36"/>
  <c r="H50" i="36"/>
  <c r="G50" i="36"/>
  <c r="F50" i="36"/>
  <c r="E50" i="36"/>
  <c r="D50" i="36"/>
  <c r="C50" i="36"/>
  <c r="E14" i="16"/>
  <c r="K50" i="36" l="1"/>
  <c r="K49" i="36"/>
  <c r="K48" i="36"/>
  <c r="D14" i="16"/>
  <c r="C14" i="16"/>
  <c r="J45" i="36" l="1"/>
  <c r="I45" i="36"/>
  <c r="H45" i="36"/>
  <c r="G45" i="36"/>
  <c r="F45" i="36"/>
  <c r="E45" i="36"/>
  <c r="D45" i="36"/>
  <c r="C45" i="36"/>
  <c r="U53" i="17"/>
  <c r="S53" i="17"/>
  <c r="U52" i="17"/>
  <c r="S52" i="17"/>
  <c r="U51" i="17"/>
  <c r="S51" i="17"/>
  <c r="U50" i="17"/>
  <c r="S50" i="17"/>
  <c r="U49" i="17"/>
  <c r="S49" i="17"/>
  <c r="T49" i="17" l="1"/>
  <c r="T53" i="17"/>
  <c r="T52" i="17"/>
  <c r="T50" i="17"/>
  <c r="T51" i="17"/>
  <c r="K45" i="36"/>
  <c r="M45" i="36" s="1"/>
  <c r="N45" i="36" s="1"/>
  <c r="D19" i="17" l="1"/>
  <c r="J53" i="36" l="1"/>
  <c r="I53" i="36"/>
  <c r="H53" i="36"/>
  <c r="G53" i="36"/>
  <c r="F53" i="36"/>
  <c r="E53" i="36"/>
  <c r="D53" i="36"/>
  <c r="C53" i="36"/>
  <c r="J52" i="36"/>
  <c r="I52" i="36"/>
  <c r="H52" i="36"/>
  <c r="G52" i="36"/>
  <c r="F52" i="36"/>
  <c r="E52" i="36"/>
  <c r="D52" i="36"/>
  <c r="C52" i="36"/>
  <c r="J51" i="36"/>
  <c r="I51" i="36"/>
  <c r="H51" i="36"/>
  <c r="G51" i="36"/>
  <c r="F51" i="36"/>
  <c r="E51" i="36"/>
  <c r="D51" i="36"/>
  <c r="C51" i="36"/>
  <c r="E13" i="1"/>
  <c r="E12" i="1"/>
  <c r="D13" i="1"/>
  <c r="D12" i="1"/>
  <c r="C12" i="1" l="1"/>
  <c r="C13" i="1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C19" i="17"/>
  <c r="E77" i="1"/>
  <c r="K53" i="36"/>
  <c r="K52" i="36"/>
  <c r="K51" i="36"/>
  <c r="J32" i="36"/>
  <c r="I32" i="36"/>
  <c r="H32" i="36"/>
  <c r="G32" i="36"/>
  <c r="F32" i="36"/>
  <c r="E32" i="36"/>
  <c r="D32" i="36"/>
  <c r="C32" i="36"/>
  <c r="J21" i="36"/>
  <c r="I21" i="36"/>
  <c r="H21" i="36"/>
  <c r="G21" i="36"/>
  <c r="F21" i="36"/>
  <c r="E21" i="36"/>
  <c r="D21" i="36"/>
  <c r="C21" i="36"/>
  <c r="U48" i="17"/>
  <c r="S48" i="17"/>
  <c r="Y32" i="17"/>
  <c r="Z32" i="17" s="1"/>
  <c r="W32" i="17"/>
  <c r="X32" i="17" s="1"/>
  <c r="U32" i="17"/>
  <c r="S32" i="17"/>
  <c r="Y21" i="17"/>
  <c r="Z21" i="17" s="1"/>
  <c r="W21" i="17"/>
  <c r="X21" i="17" s="1"/>
  <c r="U21" i="17"/>
  <c r="S21" i="17"/>
  <c r="T48" i="17" l="1"/>
  <c r="T32" i="17"/>
  <c r="T21" i="17"/>
  <c r="K32" i="36"/>
  <c r="M21" i="36"/>
  <c r="N21" i="36" s="1"/>
  <c r="K21" i="36"/>
  <c r="C52" i="16" l="1"/>
  <c r="F17" i="16" l="1"/>
  <c r="C38" i="16" l="1"/>
  <c r="C73" i="1"/>
  <c r="C72" i="1"/>
  <c r="C69" i="1"/>
  <c r="C68" i="1"/>
  <c r="C67" i="1"/>
  <c r="C25" i="1"/>
  <c r="C7" i="19"/>
  <c r="C4" i="19"/>
  <c r="E52" i="16"/>
  <c r="C53" i="16"/>
  <c r="D53" i="16"/>
  <c r="E53" i="16"/>
  <c r="D54" i="16"/>
  <c r="E54" i="16"/>
  <c r="D52" i="16" l="1"/>
  <c r="W37" i="18"/>
  <c r="X37" i="18"/>
  <c r="Y43" i="17" l="1"/>
  <c r="W43" i="17"/>
  <c r="Z43" i="17" l="1"/>
  <c r="X43" i="17"/>
  <c r="Y31" i="17"/>
  <c r="Z31" i="17" s="1"/>
  <c r="W31" i="17"/>
  <c r="X31" i="17" s="1"/>
  <c r="Y30" i="17"/>
  <c r="Z30" i="17" s="1"/>
  <c r="W30" i="17"/>
  <c r="X30" i="17" s="1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18" i="17"/>
  <c r="Z18" i="17" s="1"/>
  <c r="W18" i="17"/>
  <c r="X18" i="17" s="1"/>
  <c r="Y17" i="17"/>
  <c r="Z17" i="17" s="1"/>
  <c r="W17" i="17"/>
  <c r="X17" i="17" s="1"/>
  <c r="Y16" i="17"/>
  <c r="Z16" i="17" s="1"/>
  <c r="W16" i="17"/>
  <c r="X16" i="17" s="1"/>
  <c r="Y15" i="17"/>
  <c r="Z15" i="17" s="1"/>
  <c r="W15" i="17"/>
  <c r="X15" i="17" s="1"/>
  <c r="Y14" i="17"/>
  <c r="Z14" i="17" s="1"/>
  <c r="W14" i="17"/>
  <c r="X14" i="17" s="1"/>
  <c r="Y13" i="17"/>
  <c r="Z13" i="17" s="1"/>
  <c r="W13" i="17"/>
  <c r="X13" i="17" s="1"/>
  <c r="Y12" i="17"/>
  <c r="Z12" i="17" s="1"/>
  <c r="W12" i="17"/>
  <c r="X12" i="17" s="1"/>
  <c r="J26" i="37" l="1"/>
  <c r="I26" i="37"/>
  <c r="H26" i="37"/>
  <c r="G26" i="37"/>
  <c r="F26" i="37"/>
  <c r="E26" i="37"/>
  <c r="D26" i="37"/>
  <c r="C26" i="37"/>
  <c r="N37" i="36" l="1"/>
  <c r="N38" i="36"/>
  <c r="N39" i="36"/>
  <c r="N40" i="36"/>
  <c r="N41" i="36"/>
  <c r="N42" i="36"/>
  <c r="N44" i="36"/>
  <c r="E9" i="16" l="1"/>
  <c r="E10" i="16"/>
  <c r="X23" i="18" l="1"/>
  <c r="X34" i="18"/>
  <c r="X33" i="18"/>
  <c r="X32" i="18"/>
  <c r="X30" i="18"/>
  <c r="X29" i="18"/>
  <c r="X28" i="18"/>
  <c r="X27" i="18"/>
  <c r="X26" i="18"/>
  <c r="R24" i="18" l="1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W26" i="18" l="1"/>
  <c r="U25" i="18" l="1"/>
  <c r="S25" i="18"/>
  <c r="W34" i="18" l="1"/>
  <c r="W33" i="18"/>
  <c r="W32" i="18"/>
  <c r="W30" i="18"/>
  <c r="W29" i="18"/>
  <c r="W28" i="18"/>
  <c r="W27" i="18"/>
  <c r="W23" i="18"/>
  <c r="N41" i="37"/>
  <c r="N3" i="36"/>
  <c r="N19" i="36"/>
  <c r="N11" i="36"/>
  <c r="U13" i="17" l="1"/>
  <c r="S13" i="17"/>
  <c r="T25" i="18" l="1"/>
  <c r="C10" i="16"/>
  <c r="W25" i="18" l="1"/>
  <c r="U23" i="17"/>
  <c r="S23" i="17"/>
  <c r="U15" i="17"/>
  <c r="S15" i="17"/>
  <c r="U14" i="17"/>
  <c r="S14" i="17"/>
  <c r="S8" i="17"/>
  <c r="J23" i="36"/>
  <c r="I23" i="36"/>
  <c r="H23" i="36"/>
  <c r="G23" i="36"/>
  <c r="F23" i="36"/>
  <c r="E23" i="36"/>
  <c r="D23" i="36"/>
  <c r="C23" i="36"/>
  <c r="T14" i="17" l="1"/>
  <c r="W23" i="17"/>
  <c r="X23" i="17" s="1"/>
  <c r="Y23" i="17"/>
  <c r="Z23" i="17" s="1"/>
  <c r="U8" i="17"/>
  <c r="T8" i="17" s="1"/>
  <c r="T23" i="17"/>
  <c r="C9" i="16"/>
  <c r="K23" i="36"/>
  <c r="M23" i="36" l="1"/>
  <c r="N23" i="36" s="1"/>
  <c r="E11" i="16"/>
  <c r="D11" i="16"/>
  <c r="C11" i="16"/>
  <c r="T15" i="17" l="1"/>
  <c r="T13" i="17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3" i="36"/>
  <c r="I13" i="36"/>
  <c r="H13" i="36"/>
  <c r="G13" i="36"/>
  <c r="F13" i="36"/>
  <c r="E13" i="36"/>
  <c r="D13" i="36"/>
  <c r="C13" i="36"/>
  <c r="J8" i="36"/>
  <c r="I8" i="36"/>
  <c r="H8" i="36"/>
  <c r="G8" i="36"/>
  <c r="F8" i="36"/>
  <c r="E8" i="36"/>
  <c r="D8" i="36"/>
  <c r="C8" i="36"/>
  <c r="M14" i="36" l="1"/>
  <c r="N14" i="36" s="1"/>
  <c r="M15" i="36"/>
  <c r="N15" i="36" s="1"/>
  <c r="M13" i="36"/>
  <c r="N13" i="36" s="1"/>
  <c r="K13" i="36"/>
  <c r="K14" i="36"/>
  <c r="K15" i="36"/>
  <c r="K8" i="36"/>
  <c r="H17" i="16" l="1"/>
  <c r="C8" i="19" l="1"/>
  <c r="C5" i="19"/>
  <c r="C52" i="41" l="1"/>
  <c r="C25" i="41"/>
  <c r="C31" i="41" s="1"/>
  <c r="C54" i="41"/>
  <c r="C3" i="41"/>
  <c r="B3" i="41"/>
  <c r="C37" i="16" l="1"/>
  <c r="E37" i="16"/>
  <c r="E41" i="1" l="1"/>
  <c r="D41" i="1"/>
  <c r="J44" i="1"/>
  <c r="J56" i="37" l="1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D55" i="37"/>
  <c r="C55" i="37"/>
  <c r="J53" i="37"/>
  <c r="I53" i="37"/>
  <c r="H53" i="37"/>
  <c r="G53" i="37"/>
  <c r="F53" i="37"/>
  <c r="E53" i="37"/>
  <c r="D53" i="37"/>
  <c r="C53" i="37"/>
  <c r="J52" i="37"/>
  <c r="I52" i="37"/>
  <c r="H52" i="37"/>
  <c r="G52" i="37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I49" i="37"/>
  <c r="I48" i="37" s="1"/>
  <c r="H49" i="37"/>
  <c r="G49" i="37"/>
  <c r="F49" i="37"/>
  <c r="F48" i="37" s="1"/>
  <c r="E49" i="37"/>
  <c r="D49" i="37"/>
  <c r="C49" i="37"/>
  <c r="C48" i="37" s="1"/>
  <c r="J47" i="37"/>
  <c r="I47" i="37"/>
  <c r="H47" i="37"/>
  <c r="G47" i="37"/>
  <c r="F47" i="37"/>
  <c r="E47" i="37"/>
  <c r="D47" i="37"/>
  <c r="C47" i="37"/>
  <c r="J46" i="37"/>
  <c r="J45" i="37" s="1"/>
  <c r="I46" i="37"/>
  <c r="H46" i="37"/>
  <c r="G46" i="37"/>
  <c r="G45" i="37" s="1"/>
  <c r="F46" i="37"/>
  <c r="E46" i="37"/>
  <c r="D46" i="37"/>
  <c r="D45" i="37" s="1"/>
  <c r="C46" i="37"/>
  <c r="J44" i="37"/>
  <c r="I44" i="37"/>
  <c r="H44" i="37"/>
  <c r="G44" i="37"/>
  <c r="F44" i="37"/>
  <c r="E44" i="37"/>
  <c r="D44" i="37"/>
  <c r="C44" i="37"/>
  <c r="J43" i="37"/>
  <c r="I43" i="37"/>
  <c r="H43" i="37"/>
  <c r="G43" i="37"/>
  <c r="F43" i="37"/>
  <c r="E43" i="37"/>
  <c r="D43" i="37"/>
  <c r="C43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6" i="37"/>
  <c r="I36" i="37"/>
  <c r="H36" i="37"/>
  <c r="G36" i="37"/>
  <c r="F36" i="37"/>
  <c r="E36" i="37"/>
  <c r="D36" i="37"/>
  <c r="C36" i="37"/>
  <c r="J35" i="37"/>
  <c r="I35" i="37"/>
  <c r="H35" i="37"/>
  <c r="G35" i="37"/>
  <c r="F35" i="37"/>
  <c r="E35" i="37"/>
  <c r="D35" i="37"/>
  <c r="C35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6" i="37" s="1"/>
  <c r="M26" i="37" s="1"/>
  <c r="J27" i="37"/>
  <c r="I27" i="37"/>
  <c r="H27" i="37"/>
  <c r="G27" i="37"/>
  <c r="F27" i="37"/>
  <c r="E27" i="37"/>
  <c r="D27" i="37"/>
  <c r="C27" i="37"/>
  <c r="J24" i="37"/>
  <c r="I24" i="37"/>
  <c r="H24" i="37"/>
  <c r="G24" i="37"/>
  <c r="F24" i="37"/>
  <c r="E24" i="37"/>
  <c r="D24" i="37"/>
  <c r="C24" i="37"/>
  <c r="J22" i="37"/>
  <c r="I22" i="37"/>
  <c r="H22" i="37"/>
  <c r="G22" i="37"/>
  <c r="F22" i="37"/>
  <c r="E22" i="37"/>
  <c r="D22" i="37"/>
  <c r="C22" i="37"/>
  <c r="J21" i="37"/>
  <c r="I21" i="37"/>
  <c r="H21" i="37"/>
  <c r="G21" i="37"/>
  <c r="F21" i="37"/>
  <c r="E21" i="37"/>
  <c r="D21" i="37"/>
  <c r="C21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6" i="37"/>
  <c r="I16" i="37"/>
  <c r="H16" i="37"/>
  <c r="G16" i="37"/>
  <c r="F16" i="37"/>
  <c r="E16" i="37"/>
  <c r="D16" i="37"/>
  <c r="C16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I9" i="37" s="1"/>
  <c r="H10" i="37"/>
  <c r="G10" i="37"/>
  <c r="F10" i="37"/>
  <c r="E10" i="37"/>
  <c r="D10" i="37"/>
  <c r="C10" i="37"/>
  <c r="J44" i="36"/>
  <c r="I44" i="36"/>
  <c r="H44" i="36"/>
  <c r="G44" i="36"/>
  <c r="F44" i="36"/>
  <c r="E44" i="36"/>
  <c r="D44" i="36"/>
  <c r="C44" i="36"/>
  <c r="J43" i="36"/>
  <c r="I43" i="36"/>
  <c r="H43" i="36"/>
  <c r="G43" i="36"/>
  <c r="F43" i="36"/>
  <c r="E43" i="36"/>
  <c r="D43" i="36"/>
  <c r="C43" i="36"/>
  <c r="J42" i="36"/>
  <c r="I42" i="36"/>
  <c r="H42" i="36"/>
  <c r="G42" i="36"/>
  <c r="F42" i="36"/>
  <c r="E42" i="36"/>
  <c r="D42" i="36"/>
  <c r="C42" i="36"/>
  <c r="J40" i="36"/>
  <c r="I40" i="36"/>
  <c r="H40" i="36"/>
  <c r="G40" i="36"/>
  <c r="F40" i="36"/>
  <c r="E40" i="36"/>
  <c r="D40" i="36"/>
  <c r="C40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D35" i="36" s="1"/>
  <c r="C36" i="36"/>
  <c r="J34" i="36"/>
  <c r="I34" i="36"/>
  <c r="H34" i="36"/>
  <c r="G34" i="36"/>
  <c r="F34" i="36"/>
  <c r="E34" i="36"/>
  <c r="D34" i="36"/>
  <c r="C34" i="36"/>
  <c r="J33" i="36"/>
  <c r="I33" i="36"/>
  <c r="H33" i="36"/>
  <c r="G33" i="36"/>
  <c r="F33" i="36"/>
  <c r="E33" i="36"/>
  <c r="D33" i="36"/>
  <c r="C33" i="36"/>
  <c r="J31" i="36"/>
  <c r="I31" i="36"/>
  <c r="H31" i="36"/>
  <c r="G31" i="36"/>
  <c r="F31" i="36"/>
  <c r="E31" i="36"/>
  <c r="D31" i="36"/>
  <c r="C31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4" i="36"/>
  <c r="I24" i="36"/>
  <c r="H24" i="36"/>
  <c r="G24" i="36"/>
  <c r="F24" i="36"/>
  <c r="E24" i="36"/>
  <c r="D24" i="36"/>
  <c r="C24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8" i="36"/>
  <c r="I18" i="36"/>
  <c r="H18" i="36"/>
  <c r="G18" i="36"/>
  <c r="F18" i="36"/>
  <c r="E18" i="36"/>
  <c r="D18" i="36"/>
  <c r="C18" i="36"/>
  <c r="J17" i="36"/>
  <c r="I17" i="36"/>
  <c r="H17" i="36"/>
  <c r="G17" i="36"/>
  <c r="F17" i="36"/>
  <c r="E17" i="36"/>
  <c r="D17" i="36"/>
  <c r="C17" i="36"/>
  <c r="J16" i="36"/>
  <c r="I16" i="36"/>
  <c r="H16" i="36"/>
  <c r="G16" i="36"/>
  <c r="F16" i="36"/>
  <c r="E16" i="36"/>
  <c r="D16" i="36"/>
  <c r="C16" i="36"/>
  <c r="J12" i="36"/>
  <c r="I12" i="36"/>
  <c r="H12" i="36"/>
  <c r="G12" i="36"/>
  <c r="F12" i="36"/>
  <c r="E12" i="36"/>
  <c r="D12" i="36"/>
  <c r="C12" i="36"/>
  <c r="J10" i="36"/>
  <c r="I10" i="36"/>
  <c r="H10" i="36"/>
  <c r="G10" i="36"/>
  <c r="F10" i="36"/>
  <c r="N10" i="36" s="1"/>
  <c r="E10" i="36"/>
  <c r="D10" i="36"/>
  <c r="C10" i="36"/>
  <c r="J9" i="36"/>
  <c r="I9" i="36"/>
  <c r="H9" i="36"/>
  <c r="G9" i="36"/>
  <c r="F9" i="36"/>
  <c r="E9" i="36"/>
  <c r="D9" i="36"/>
  <c r="C9" i="36"/>
  <c r="J7" i="36"/>
  <c r="I7" i="36"/>
  <c r="H7" i="36"/>
  <c r="G7" i="36"/>
  <c r="F7" i="36"/>
  <c r="E7" i="36"/>
  <c r="D7" i="36"/>
  <c r="C7" i="36"/>
  <c r="K41" i="37"/>
  <c r="M3" i="37"/>
  <c r="B3" i="37"/>
  <c r="B3" i="36"/>
  <c r="S20" i="17"/>
  <c r="D16" i="1"/>
  <c r="H45" i="37" l="1"/>
  <c r="D48" i="37"/>
  <c r="J48" i="37"/>
  <c r="C35" i="36"/>
  <c r="J19" i="36"/>
  <c r="F11" i="36"/>
  <c r="D19" i="36"/>
  <c r="H35" i="36"/>
  <c r="I19" i="36"/>
  <c r="E9" i="37"/>
  <c r="E45" i="37"/>
  <c r="F45" i="37"/>
  <c r="J51" i="37"/>
  <c r="H51" i="37"/>
  <c r="I51" i="37"/>
  <c r="D42" i="37"/>
  <c r="I42" i="37"/>
  <c r="F42" i="37"/>
  <c r="H42" i="37"/>
  <c r="J42" i="37"/>
  <c r="G19" i="36"/>
  <c r="C42" i="37"/>
  <c r="G48" i="37"/>
  <c r="C51" i="37"/>
  <c r="D51" i="37"/>
  <c r="E51" i="37"/>
  <c r="G42" i="37"/>
  <c r="C45" i="37"/>
  <c r="G51" i="37"/>
  <c r="C54" i="37"/>
  <c r="E19" i="36"/>
  <c r="C19" i="36"/>
  <c r="G25" i="37"/>
  <c r="D25" i="37"/>
  <c r="E25" i="37"/>
  <c r="F25" i="37"/>
  <c r="H25" i="37"/>
  <c r="I17" i="37"/>
  <c r="I25" i="37"/>
  <c r="J25" i="37"/>
  <c r="G17" i="37"/>
  <c r="C25" i="37"/>
  <c r="E11" i="36"/>
  <c r="F19" i="36"/>
  <c r="F51" i="37"/>
  <c r="G9" i="37"/>
  <c r="W20" i="17"/>
  <c r="X20" i="17" s="1"/>
  <c r="H19" i="36"/>
  <c r="G11" i="36"/>
  <c r="I11" i="36"/>
  <c r="J11" i="36"/>
  <c r="H54" i="37"/>
  <c r="H11" i="36"/>
  <c r="D11" i="36"/>
  <c r="D46" i="36" s="1"/>
  <c r="M43" i="36"/>
  <c r="N43" i="36" s="1"/>
  <c r="M38" i="37"/>
  <c r="M12" i="36"/>
  <c r="N12" i="36" s="1"/>
  <c r="C11" i="36"/>
  <c r="C9" i="37"/>
  <c r="M28" i="36"/>
  <c r="N28" i="36" s="1"/>
  <c r="M24" i="36"/>
  <c r="N24" i="36" s="1"/>
  <c r="M26" i="36"/>
  <c r="N26" i="36" s="1"/>
  <c r="M27" i="36"/>
  <c r="N27" i="36" s="1"/>
  <c r="M30" i="36"/>
  <c r="N30" i="36" s="1"/>
  <c r="M31" i="36"/>
  <c r="N31" i="36" s="1"/>
  <c r="H48" i="37"/>
  <c r="D54" i="37"/>
  <c r="M16" i="36"/>
  <c r="N16" i="36" s="1"/>
  <c r="M24" i="37"/>
  <c r="M27" i="37"/>
  <c r="M28" i="37"/>
  <c r="M29" i="37"/>
  <c r="M30" i="37"/>
  <c r="M31" i="37"/>
  <c r="M33" i="37"/>
  <c r="M34" i="37"/>
  <c r="M35" i="37"/>
  <c r="F54" i="37"/>
  <c r="C17" i="37"/>
  <c r="M17" i="36"/>
  <c r="N17" i="36" s="1"/>
  <c r="D37" i="16"/>
  <c r="M29" i="36"/>
  <c r="N29" i="36" s="1"/>
  <c r="M18" i="36"/>
  <c r="N18" i="36" s="1"/>
  <c r="I45" i="37"/>
  <c r="G54" i="37"/>
  <c r="E48" i="37"/>
  <c r="I54" i="37"/>
  <c r="J54" i="37"/>
  <c r="K11" i="37"/>
  <c r="K15" i="37"/>
  <c r="K18" i="37"/>
  <c r="K31" i="37"/>
  <c r="K33" i="37"/>
  <c r="K36" i="37"/>
  <c r="M36" i="37" s="1"/>
  <c r="K38" i="37"/>
  <c r="K43" i="37"/>
  <c r="K44" i="37"/>
  <c r="K55" i="37"/>
  <c r="G17" i="16"/>
  <c r="E42" i="37"/>
  <c r="K30" i="37"/>
  <c r="K56" i="37"/>
  <c r="E54" i="37"/>
  <c r="K28" i="37"/>
  <c r="K49" i="37"/>
  <c r="K29" i="37"/>
  <c r="K32" i="37"/>
  <c r="M32" i="37" s="1"/>
  <c r="K34" i="37"/>
  <c r="K37" i="37"/>
  <c r="M37" i="37" s="1"/>
  <c r="E35" i="36"/>
  <c r="K52" i="37"/>
  <c r="K35" i="37"/>
  <c r="K41" i="36"/>
  <c r="K24" i="37"/>
  <c r="K19" i="37"/>
  <c r="K20" i="37"/>
  <c r="K21" i="37"/>
  <c r="K43" i="36"/>
  <c r="K36" i="36"/>
  <c r="E17" i="37"/>
  <c r="K22" i="37"/>
  <c r="K13" i="37"/>
  <c r="K14" i="37"/>
  <c r="K12" i="37"/>
  <c r="K10" i="37"/>
  <c r="K26" i="36"/>
  <c r="K27" i="36"/>
  <c r="K47" i="37"/>
  <c r="K50" i="37"/>
  <c r="K53" i="37"/>
  <c r="K34" i="36"/>
  <c r="K9" i="36"/>
  <c r="K7" i="36"/>
  <c r="K25" i="36"/>
  <c r="K22" i="36"/>
  <c r="K24" i="36"/>
  <c r="K37" i="36"/>
  <c r="K39" i="36"/>
  <c r="K42" i="36"/>
  <c r="K33" i="36"/>
  <c r="K38" i="36"/>
  <c r="K40" i="36"/>
  <c r="K20" i="36"/>
  <c r="K12" i="36"/>
  <c r="G35" i="36"/>
  <c r="K44" i="36"/>
  <c r="K29" i="36"/>
  <c r="K30" i="36"/>
  <c r="K31" i="36"/>
  <c r="K18" i="36"/>
  <c r="K10" i="36"/>
  <c r="K16" i="36"/>
  <c r="K17" i="36"/>
  <c r="K28" i="36"/>
  <c r="F35" i="36"/>
  <c r="J35" i="36"/>
  <c r="I35" i="36"/>
  <c r="K27" i="37"/>
  <c r="F17" i="37"/>
  <c r="H17" i="37"/>
  <c r="J17" i="37"/>
  <c r="K46" i="37"/>
  <c r="K16" i="37"/>
  <c r="D17" i="37"/>
  <c r="K39" i="37"/>
  <c r="M39" i="37" s="1"/>
  <c r="F9" i="37"/>
  <c r="H9" i="37"/>
  <c r="J9" i="37"/>
  <c r="D9" i="37"/>
  <c r="I23" i="37"/>
  <c r="C50" i="18"/>
  <c r="E23" i="37" l="1"/>
  <c r="E40" i="37" s="1"/>
  <c r="K45" i="37"/>
  <c r="H46" i="36"/>
  <c r="K42" i="37"/>
  <c r="K51" i="37"/>
  <c r="I40" i="37"/>
  <c r="J46" i="36"/>
  <c r="K48" i="37"/>
  <c r="I46" i="36"/>
  <c r="G46" i="36"/>
  <c r="C46" i="36"/>
  <c r="F46" i="36"/>
  <c r="E46" i="36"/>
  <c r="G23" i="37"/>
  <c r="G40" i="37" s="1"/>
  <c r="M20" i="36"/>
  <c r="N20" i="36" s="1"/>
  <c r="C23" i="37"/>
  <c r="C40" i="37" s="1"/>
  <c r="M9" i="36"/>
  <c r="N9" i="36" s="1"/>
  <c r="M7" i="36"/>
  <c r="N7" i="36" s="1"/>
  <c r="M22" i="36"/>
  <c r="N22" i="36" s="1"/>
  <c r="M36" i="36"/>
  <c r="N36" i="36" s="1"/>
  <c r="G20" i="16"/>
  <c r="K54" i="37"/>
  <c r="K25" i="37"/>
  <c r="K19" i="36"/>
  <c r="K17" i="37"/>
  <c r="K35" i="36"/>
  <c r="K11" i="36"/>
  <c r="J23" i="37"/>
  <c r="J40" i="37" s="1"/>
  <c r="F23" i="37"/>
  <c r="F40" i="37" s="1"/>
  <c r="H23" i="37"/>
  <c r="H40" i="37" s="1"/>
  <c r="D23" i="37"/>
  <c r="D40" i="37" s="1"/>
  <c r="K9" i="37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5" i="18"/>
  <c r="S45" i="18"/>
  <c r="U43" i="18"/>
  <c r="S43" i="18"/>
  <c r="U42" i="18"/>
  <c r="S42" i="18"/>
  <c r="U40" i="18"/>
  <c r="S40" i="18"/>
  <c r="U38" i="18"/>
  <c r="X38" i="18" s="1"/>
  <c r="S38" i="18"/>
  <c r="W38" i="18" s="1"/>
  <c r="U37" i="18"/>
  <c r="S37" i="18"/>
  <c r="U36" i="18"/>
  <c r="X36" i="18" s="1"/>
  <c r="S36" i="18"/>
  <c r="W36" i="18" s="1"/>
  <c r="U35" i="18"/>
  <c r="X35" i="18" s="1"/>
  <c r="S35" i="18"/>
  <c r="W35" i="18" s="1"/>
  <c r="U34" i="18"/>
  <c r="S34" i="18"/>
  <c r="U33" i="18"/>
  <c r="S33" i="18"/>
  <c r="U32" i="18"/>
  <c r="S32" i="18"/>
  <c r="U31" i="18"/>
  <c r="X31" i="18" s="1"/>
  <c r="W31" i="18" s="1"/>
  <c r="S31" i="18"/>
  <c r="U30" i="18"/>
  <c r="S30" i="18"/>
  <c r="U29" i="18"/>
  <c r="S29" i="18"/>
  <c r="U28" i="18"/>
  <c r="S28" i="18"/>
  <c r="U27" i="18"/>
  <c r="S27" i="18"/>
  <c r="U26" i="18"/>
  <c r="S26" i="18"/>
  <c r="U23" i="18"/>
  <c r="S23" i="18"/>
  <c r="U21" i="18"/>
  <c r="S21" i="18"/>
  <c r="U20" i="18"/>
  <c r="S20" i="18"/>
  <c r="U19" i="18"/>
  <c r="S19" i="18"/>
  <c r="U18" i="18"/>
  <c r="S18" i="18"/>
  <c r="U17" i="18"/>
  <c r="S17" i="18"/>
  <c r="U15" i="18"/>
  <c r="S15" i="18"/>
  <c r="U14" i="18"/>
  <c r="S14" i="18"/>
  <c r="U13" i="18"/>
  <c r="S13" i="18"/>
  <c r="U12" i="18"/>
  <c r="S12" i="18"/>
  <c r="U11" i="18"/>
  <c r="S11" i="18"/>
  <c r="U10" i="18"/>
  <c r="S10" i="18"/>
  <c r="U9" i="18"/>
  <c r="S9" i="18"/>
  <c r="U44" i="17"/>
  <c r="S44" i="17"/>
  <c r="U43" i="17"/>
  <c r="S43" i="17"/>
  <c r="U42" i="17"/>
  <c r="S42" i="17"/>
  <c r="U41" i="17"/>
  <c r="S41" i="17"/>
  <c r="U40" i="17"/>
  <c r="S40" i="17"/>
  <c r="U39" i="17"/>
  <c r="S39" i="17"/>
  <c r="U38" i="17"/>
  <c r="E36" i="16" s="1"/>
  <c r="S38" i="17"/>
  <c r="C36" i="16" s="1"/>
  <c r="U37" i="17"/>
  <c r="S37" i="17"/>
  <c r="U36" i="17"/>
  <c r="S36" i="17"/>
  <c r="C8" i="16" s="1"/>
  <c r="U34" i="17"/>
  <c r="S34" i="17"/>
  <c r="U33" i="17"/>
  <c r="S33" i="17"/>
  <c r="U31" i="17"/>
  <c r="S31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4" i="17"/>
  <c r="S24" i="17"/>
  <c r="U22" i="17"/>
  <c r="S22" i="17"/>
  <c r="U20" i="17"/>
  <c r="U18" i="17"/>
  <c r="S18" i="17"/>
  <c r="U17" i="17"/>
  <c r="S17" i="17"/>
  <c r="U16" i="17"/>
  <c r="S16" i="17"/>
  <c r="U12" i="17"/>
  <c r="S12" i="17"/>
  <c r="U10" i="17"/>
  <c r="S10" i="17"/>
  <c r="U9" i="17"/>
  <c r="S9" i="17"/>
  <c r="U7" i="17"/>
  <c r="S7" i="17"/>
  <c r="D31" i="16" l="1"/>
  <c r="P56" i="36"/>
  <c r="E8" i="16"/>
  <c r="Y20" i="17"/>
  <c r="Z20" i="17" s="1"/>
  <c r="K46" i="36"/>
  <c r="C51" i="16"/>
  <c r="E51" i="16"/>
  <c r="W7" i="17"/>
  <c r="X7" i="17" s="1"/>
  <c r="C6" i="16"/>
  <c r="Y22" i="17"/>
  <c r="Z22" i="17" s="1"/>
  <c r="Y9" i="17"/>
  <c r="Z9" i="17" s="1"/>
  <c r="E7" i="16"/>
  <c r="W22" i="17"/>
  <c r="X22" i="17" s="1"/>
  <c r="Y24" i="17"/>
  <c r="Z24" i="17" s="1"/>
  <c r="Y36" i="17"/>
  <c r="Z36" i="17" s="1"/>
  <c r="W9" i="17"/>
  <c r="X9" i="17" s="1"/>
  <c r="C7" i="16"/>
  <c r="Y7" i="17"/>
  <c r="Z7" i="17" s="1"/>
  <c r="E6" i="16"/>
  <c r="W24" i="17"/>
  <c r="X24" i="17" s="1"/>
  <c r="W36" i="17"/>
  <c r="X36" i="17" s="1"/>
  <c r="N46" i="36"/>
  <c r="M46" i="36"/>
  <c r="T20" i="17"/>
  <c r="C12" i="16"/>
  <c r="E12" i="16"/>
  <c r="T51" i="18"/>
  <c r="T46" i="18"/>
  <c r="T48" i="18"/>
  <c r="T54" i="18"/>
  <c r="T42" i="18"/>
  <c r="T45" i="18"/>
  <c r="T40" i="18"/>
  <c r="T43" i="18"/>
  <c r="D32" i="16"/>
  <c r="T44" i="17"/>
  <c r="T15" i="18"/>
  <c r="T23" i="18"/>
  <c r="T17" i="18"/>
  <c r="T19" i="18"/>
  <c r="T20" i="18"/>
  <c r="T26" i="18"/>
  <c r="T28" i="18"/>
  <c r="T30" i="18"/>
  <c r="T32" i="18"/>
  <c r="T34" i="18"/>
  <c r="T36" i="18"/>
  <c r="T27" i="18"/>
  <c r="T29" i="18"/>
  <c r="T31" i="18"/>
  <c r="T35" i="18"/>
  <c r="T37" i="18"/>
  <c r="T10" i="17"/>
  <c r="T37" i="17"/>
  <c r="T39" i="17"/>
  <c r="T41" i="17"/>
  <c r="T43" i="17"/>
  <c r="T22" i="17"/>
  <c r="D12" i="16" s="1"/>
  <c r="T25" i="17"/>
  <c r="T26" i="17"/>
  <c r="T30" i="17"/>
  <c r="T18" i="17"/>
  <c r="T9" i="17"/>
  <c r="T21" i="18"/>
  <c r="T12" i="18"/>
  <c r="T14" i="18"/>
  <c r="T38" i="18"/>
  <c r="D33" i="16"/>
  <c r="K23" i="37"/>
  <c r="M23" i="37" s="1"/>
  <c r="M40" i="37" s="1"/>
  <c r="T52" i="18"/>
  <c r="T24" i="17"/>
  <c r="T28" i="17"/>
  <c r="T29" i="17"/>
  <c r="T13" i="18"/>
  <c r="T11" i="18"/>
  <c r="T9" i="18"/>
  <c r="T40" i="17"/>
  <c r="T10" i="18"/>
  <c r="T18" i="18"/>
  <c r="T16" i="17"/>
  <c r="T36" i="17"/>
  <c r="T33" i="18"/>
  <c r="T49" i="18"/>
  <c r="T55" i="18"/>
  <c r="T17" i="17"/>
  <c r="T27" i="17"/>
  <c r="T31" i="17"/>
  <c r="T33" i="17"/>
  <c r="T34" i="17"/>
  <c r="T38" i="17"/>
  <c r="D36" i="16" s="1"/>
  <c r="T42" i="17"/>
  <c r="T12" i="17"/>
  <c r="F53" i="18"/>
  <c r="E53" i="18"/>
  <c r="F50" i="18"/>
  <c r="E50" i="18"/>
  <c r="F47" i="18"/>
  <c r="E47" i="18"/>
  <c r="F44" i="18"/>
  <c r="E44" i="18"/>
  <c r="F41" i="18"/>
  <c r="E41" i="18"/>
  <c r="F16" i="18"/>
  <c r="E16" i="18"/>
  <c r="F8" i="18"/>
  <c r="E8" i="18"/>
  <c r="F35" i="17"/>
  <c r="F46" i="17" s="1"/>
  <c r="E35" i="17"/>
  <c r="E46" i="17" s="1"/>
  <c r="X63" i="17" l="1"/>
  <c r="E15" i="16"/>
  <c r="Z63" i="17"/>
  <c r="D8" i="16"/>
  <c r="D7" i="16"/>
  <c r="D51" i="16"/>
  <c r="X46" i="17"/>
  <c r="Z46" i="17"/>
  <c r="P55" i="36"/>
  <c r="K40" i="37"/>
  <c r="F22" i="18"/>
  <c r="F39" i="18" s="1"/>
  <c r="E22" i="18"/>
  <c r="Z62" i="17" l="1"/>
  <c r="E21" i="16"/>
  <c r="E18" i="16"/>
  <c r="E24" i="16"/>
  <c r="E39" i="18"/>
  <c r="X62" i="17" l="1"/>
  <c r="R41" i="18"/>
  <c r="Q41" i="18"/>
  <c r="P41" i="18"/>
  <c r="O41" i="18"/>
  <c r="N41" i="18"/>
  <c r="M41" i="18"/>
  <c r="L41" i="18"/>
  <c r="K41" i="18"/>
  <c r="J41" i="18"/>
  <c r="I41" i="18"/>
  <c r="H41" i="18"/>
  <c r="G41" i="18"/>
  <c r="D41" i="18"/>
  <c r="C41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D44" i="18"/>
  <c r="C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C53" i="18"/>
  <c r="S50" i="18" l="1"/>
  <c r="U53" i="18"/>
  <c r="U47" i="18"/>
  <c r="U41" i="18"/>
  <c r="S44" i="18"/>
  <c r="S53" i="18"/>
  <c r="S47" i="18"/>
  <c r="S41" i="18"/>
  <c r="U50" i="18"/>
  <c r="U44" i="18"/>
  <c r="C56" i="1"/>
  <c r="T50" i="18" l="1"/>
  <c r="T41" i="18"/>
  <c r="T53" i="18"/>
  <c r="T44" i="18"/>
  <c r="T47" i="18"/>
  <c r="E10" i="19"/>
  <c r="E40" i="16" s="1"/>
  <c r="D10" i="19"/>
  <c r="D40" i="16" s="1"/>
  <c r="C10" i="19" l="1"/>
  <c r="C40" i="16" s="1"/>
  <c r="J35" i="17"/>
  <c r="J46" i="17" s="1"/>
  <c r="H35" i="17"/>
  <c r="H46" i="17" s="1"/>
  <c r="D18" i="19"/>
  <c r="P60" i="36" l="1"/>
  <c r="P59" i="36" s="1"/>
  <c r="D26" i="16" s="1"/>
  <c r="D25" i="19"/>
  <c r="J65" i="1" l="1"/>
  <c r="J56" i="1" l="1"/>
  <c r="C8" i="1"/>
  <c r="J66" i="1"/>
  <c r="J64" i="1"/>
  <c r="J63" i="1"/>
  <c r="F20" i="16" l="1"/>
  <c r="H20" i="16"/>
  <c r="U24" i="18"/>
  <c r="S24" i="18"/>
  <c r="T24" i="18" l="1"/>
  <c r="C35" i="17"/>
  <c r="C46" i="17" s="1"/>
  <c r="D35" i="17"/>
  <c r="D46" i="17" s="1"/>
  <c r="G35" i="17"/>
  <c r="G46" i="17" s="1"/>
  <c r="C58" i="1" l="1"/>
  <c r="E60" i="1"/>
  <c r="C60" i="1"/>
  <c r="C54" i="1"/>
  <c r="E53" i="1"/>
  <c r="C53" i="1"/>
  <c r="C52" i="1"/>
  <c r="E34" i="1"/>
  <c r="C34" i="1"/>
  <c r="C37" i="1"/>
  <c r="C32" i="1"/>
  <c r="C26" i="1"/>
  <c r="E2" i="19"/>
  <c r="E2" i="15"/>
  <c r="G20" i="14" l="1"/>
  <c r="E51" i="1"/>
  <c r="C23" i="1"/>
  <c r="D60" i="1"/>
  <c r="J60" i="1" s="1"/>
  <c r="D34" i="1"/>
  <c r="J34" i="1" s="1"/>
  <c r="D53" i="1"/>
  <c r="B2" i="14"/>
  <c r="F20" i="14" l="1"/>
  <c r="D51" i="1"/>
  <c r="T7" i="17" l="1"/>
  <c r="D6" i="16" s="1"/>
  <c r="J73" i="1" l="1"/>
  <c r="J69" i="1"/>
  <c r="J68" i="1"/>
  <c r="E19" i="1"/>
  <c r="D19" i="1"/>
  <c r="E16" i="1"/>
  <c r="S11" i="17" l="1"/>
  <c r="U11" i="17"/>
  <c r="E37" i="1"/>
  <c r="E32" i="1"/>
  <c r="D29" i="1"/>
  <c r="E26" i="1"/>
  <c r="E6" i="1"/>
  <c r="E58" i="1"/>
  <c r="E54" i="1"/>
  <c r="D54" i="1"/>
  <c r="E52" i="1"/>
  <c r="D52" i="1"/>
  <c r="E7" i="1" l="1"/>
  <c r="T11" i="17"/>
  <c r="D7" i="1" s="1"/>
  <c r="J52" i="1"/>
  <c r="C7" i="1"/>
  <c r="J54" i="1"/>
  <c r="J53" i="1"/>
  <c r="D58" i="1"/>
  <c r="D6" i="1"/>
  <c r="D26" i="1"/>
  <c r="J26" i="1" s="1"/>
  <c r="E29" i="1"/>
  <c r="D37" i="1"/>
  <c r="J37" i="1" s="1"/>
  <c r="E23" i="1"/>
  <c r="D23" i="1"/>
  <c r="D32" i="1"/>
  <c r="J32" i="1" s="1"/>
  <c r="J23" i="1" l="1"/>
  <c r="B39" i="15"/>
  <c r="B14" i="15"/>
  <c r="R35" i="17"/>
  <c r="R46" i="17" s="1"/>
  <c r="Q35" i="17"/>
  <c r="Q46" i="17" s="1"/>
  <c r="P35" i="17"/>
  <c r="P46" i="17" s="1"/>
  <c r="O35" i="17"/>
  <c r="O46" i="17" s="1"/>
  <c r="N35" i="17"/>
  <c r="N46" i="17" s="1"/>
  <c r="M35" i="17"/>
  <c r="M46" i="17" s="1"/>
  <c r="L35" i="17"/>
  <c r="L46" i="17" s="1"/>
  <c r="K35" i="17"/>
  <c r="K46" i="17" s="1"/>
  <c r="I35" i="17"/>
  <c r="I46" i="17" s="1"/>
  <c r="R16" i="18"/>
  <c r="Q16" i="18"/>
  <c r="P16" i="18"/>
  <c r="O16" i="18"/>
  <c r="N16" i="18"/>
  <c r="M16" i="18"/>
  <c r="L16" i="18"/>
  <c r="K16" i="18"/>
  <c r="J16" i="18"/>
  <c r="I16" i="18"/>
  <c r="H16" i="18"/>
  <c r="G16" i="18"/>
  <c r="D16" i="18"/>
  <c r="C16" i="18"/>
  <c r="C61" i="1"/>
  <c r="J61" i="1" s="1"/>
  <c r="C76" i="1"/>
  <c r="J76" i="1" s="1"/>
  <c r="E18" i="19"/>
  <c r="C14" i="19"/>
  <c r="C23" i="19"/>
  <c r="C22" i="19"/>
  <c r="C21" i="19"/>
  <c r="C20" i="19"/>
  <c r="C19" i="19"/>
  <c r="C16" i="19"/>
  <c r="C13" i="19"/>
  <c r="C12" i="19"/>
  <c r="C11" i="19"/>
  <c r="Z67" i="17" l="1"/>
  <c r="U16" i="18"/>
  <c r="E25" i="19"/>
  <c r="S16" i="18"/>
  <c r="U19" i="17"/>
  <c r="S35" i="17"/>
  <c r="U35" i="17"/>
  <c r="E20" i="1" s="1"/>
  <c r="C18" i="19"/>
  <c r="E35" i="16"/>
  <c r="X67" i="17" l="1"/>
  <c r="T16" i="18"/>
  <c r="C25" i="19"/>
  <c r="T35" i="17"/>
  <c r="U46" i="17"/>
  <c r="H45" i="1" s="1"/>
  <c r="C38" i="15"/>
  <c r="B7" i="15"/>
  <c r="B6" i="15"/>
  <c r="C26" i="15"/>
  <c r="C13" i="15"/>
  <c r="D18" i="1" s="1"/>
  <c r="C29" i="15" l="1"/>
  <c r="D10" i="1" s="1"/>
  <c r="D11" i="1"/>
  <c r="C54" i="16"/>
  <c r="C15" i="15"/>
  <c r="D17" i="1" s="1"/>
  <c r="C40" i="15"/>
  <c r="D50" i="16" s="1"/>
  <c r="D57" i="16" s="1"/>
  <c r="D15" i="1"/>
  <c r="D14" i="1" l="1"/>
  <c r="D39" i="16" l="1"/>
  <c r="D77" i="1"/>
  <c r="D30" i="16" s="1"/>
  <c r="J72" i="1" l="1"/>
  <c r="E30" i="16"/>
  <c r="J67" i="1"/>
  <c r="C59" i="1"/>
  <c r="J59" i="1" s="1"/>
  <c r="C42" i="1"/>
  <c r="J42" i="1" s="1"/>
  <c r="C36" i="1"/>
  <c r="J36" i="1" s="1"/>
  <c r="C35" i="1"/>
  <c r="J35" i="1" s="1"/>
  <c r="C40" i="1"/>
  <c r="J40" i="1" s="1"/>
  <c r="C39" i="1"/>
  <c r="J39" i="1" s="1"/>
  <c r="C38" i="1"/>
  <c r="J38" i="1" s="1"/>
  <c r="E33" i="1"/>
  <c r="C28" i="1"/>
  <c r="J28" i="1" s="1"/>
  <c r="C22" i="1"/>
  <c r="J22" i="1" s="1"/>
  <c r="C21" i="1"/>
  <c r="J21" i="1" s="1"/>
  <c r="C24" i="1"/>
  <c r="J8" i="1"/>
  <c r="J13" i="1"/>
  <c r="J24" i="1" l="1"/>
  <c r="D33" i="1"/>
  <c r="D11" i="14" l="1"/>
  <c r="D20" i="14"/>
  <c r="D38" i="15"/>
  <c r="E15" i="1" s="1"/>
  <c r="D26" i="15"/>
  <c r="D13" i="15"/>
  <c r="E18" i="1" s="1"/>
  <c r="P8" i="18"/>
  <c r="P22" i="18" s="1"/>
  <c r="P39" i="18" s="1"/>
  <c r="O8" i="18"/>
  <c r="O22" i="18" s="1"/>
  <c r="O39" i="18" s="1"/>
  <c r="J8" i="18"/>
  <c r="J22" i="18" s="1"/>
  <c r="J39" i="18" s="1"/>
  <c r="I8" i="18"/>
  <c r="I22" i="18" s="1"/>
  <c r="I39" i="18" s="1"/>
  <c r="D29" i="15" l="1"/>
  <c r="E10" i="1" s="1"/>
  <c r="C10" i="1" s="1"/>
  <c r="E11" i="1"/>
  <c r="C11" i="1" s="1"/>
  <c r="J11" i="1" s="1"/>
  <c r="E5" i="1"/>
  <c r="D40" i="15"/>
  <c r="E50" i="16" s="1"/>
  <c r="E57" i="16" s="1"/>
  <c r="B38" i="15"/>
  <c r="D15" i="15"/>
  <c r="B13" i="15"/>
  <c r="D5" i="1"/>
  <c r="E20" i="14"/>
  <c r="B26" i="15"/>
  <c r="D22" i="14"/>
  <c r="R8" i="18"/>
  <c r="R22" i="18" s="1"/>
  <c r="R39" i="18" s="1"/>
  <c r="E31" i="16" s="1"/>
  <c r="Q8" i="18"/>
  <c r="Q22" i="18" s="1"/>
  <c r="Q39" i="18" s="1"/>
  <c r="N8" i="18"/>
  <c r="N22" i="18" s="1"/>
  <c r="N39" i="18" s="1"/>
  <c r="M8" i="18"/>
  <c r="L8" i="18"/>
  <c r="K8" i="18"/>
  <c r="K22" i="18" s="1"/>
  <c r="K39" i="18" s="1"/>
  <c r="H8" i="18"/>
  <c r="H22" i="18" s="1"/>
  <c r="G8" i="18"/>
  <c r="D8" i="18"/>
  <c r="B15" i="15" l="1"/>
  <c r="E17" i="1"/>
  <c r="E39" i="16"/>
  <c r="E34" i="16" s="1"/>
  <c r="H39" i="18"/>
  <c r="U8" i="18"/>
  <c r="C31" i="16"/>
  <c r="D22" i="18"/>
  <c r="B29" i="15"/>
  <c r="J10" i="1"/>
  <c r="B40" i="15"/>
  <c r="C50" i="16" s="1"/>
  <c r="C57" i="16" s="1"/>
  <c r="E14" i="1"/>
  <c r="L22" i="18"/>
  <c r="L39" i="18" s="1"/>
  <c r="G22" i="18"/>
  <c r="G39" i="18" s="1"/>
  <c r="M22" i="18"/>
  <c r="M39" i="18" s="1"/>
  <c r="C17" i="1" l="1"/>
  <c r="J17" i="1" s="1"/>
  <c r="E33" i="16"/>
  <c r="C33" i="16"/>
  <c r="D39" i="18"/>
  <c r="E22" i="16" s="1"/>
  <c r="E20" i="16" s="1"/>
  <c r="E45" i="1"/>
  <c r="U22" i="18"/>
  <c r="G11" i="14"/>
  <c r="E50" i="1"/>
  <c r="E62" i="1" s="1"/>
  <c r="C75" i="1"/>
  <c r="J75" i="1" s="1"/>
  <c r="C74" i="1"/>
  <c r="J74" i="1" s="1"/>
  <c r="C71" i="1"/>
  <c r="J71" i="1" s="1"/>
  <c r="J70" i="1"/>
  <c r="C57" i="1"/>
  <c r="J57" i="1" s="1"/>
  <c r="C55" i="1"/>
  <c r="J55" i="1" s="1"/>
  <c r="C43" i="1"/>
  <c r="C41" i="1" s="1"/>
  <c r="C33" i="1"/>
  <c r="J33" i="1" s="1"/>
  <c r="C31" i="1"/>
  <c r="J31" i="1" s="1"/>
  <c r="X22" i="18" l="1"/>
  <c r="X39" i="18" s="1"/>
  <c r="E19" i="16"/>
  <c r="E17" i="16" s="1"/>
  <c r="U39" i="18"/>
  <c r="Y60" i="17"/>
  <c r="E32" i="16"/>
  <c r="E29" i="16" s="1"/>
  <c r="Q46" i="36"/>
  <c r="J41" i="1"/>
  <c r="J43" i="1"/>
  <c r="E78" i="1"/>
  <c r="AA39" i="18"/>
  <c r="G22" i="14"/>
  <c r="H62" i="1" l="1"/>
  <c r="Z66" i="17"/>
  <c r="E26" i="16" s="1"/>
  <c r="E28" i="16"/>
  <c r="B2" i="1"/>
  <c r="S19" i="17"/>
  <c r="T19" i="17" s="1"/>
  <c r="A2" i="15"/>
  <c r="C8" i="18"/>
  <c r="E38" i="15"/>
  <c r="B49" i="15" s="1"/>
  <c r="E26" i="15"/>
  <c r="B47" i="15" s="1"/>
  <c r="C9" i="1"/>
  <c r="E13" i="15"/>
  <c r="C20" i="14"/>
  <c r="C51" i="1" s="1"/>
  <c r="J51" i="1" s="1"/>
  <c r="C11" i="14"/>
  <c r="C50" i="1" s="1"/>
  <c r="J58" i="1"/>
  <c r="B2" i="19"/>
  <c r="B2" i="18"/>
  <c r="C30" i="1"/>
  <c r="J30" i="1" s="1"/>
  <c r="C18" i="1"/>
  <c r="J18" i="1" s="1"/>
  <c r="B2" i="17"/>
  <c r="B2" i="16"/>
  <c r="C16" i="1"/>
  <c r="J16" i="1" s="1"/>
  <c r="Z69" i="17" l="1"/>
  <c r="C53" i="41"/>
  <c r="C2" i="16"/>
  <c r="J3" i="36"/>
  <c r="J3" i="37"/>
  <c r="S8" i="18"/>
  <c r="T8" i="18" s="1"/>
  <c r="J7" i="1"/>
  <c r="J9" i="1"/>
  <c r="C35" i="16"/>
  <c r="D35" i="16" s="1"/>
  <c r="D20" i="1"/>
  <c r="D45" i="1" s="1"/>
  <c r="C20" i="1"/>
  <c r="T2" i="18"/>
  <c r="C2" i="19"/>
  <c r="T2" i="17"/>
  <c r="C2" i="14"/>
  <c r="C2" i="15"/>
  <c r="B45" i="15"/>
  <c r="C22" i="14"/>
  <c r="C5" i="1"/>
  <c r="J5" i="1" s="1"/>
  <c r="C27" i="1"/>
  <c r="J27" i="1" s="1"/>
  <c r="C29" i="1"/>
  <c r="J29" i="1" s="1"/>
  <c r="C19" i="1"/>
  <c r="J19" i="1" s="1"/>
  <c r="C15" i="1"/>
  <c r="D19" i="16" l="1"/>
  <c r="Z64" i="17"/>
  <c r="E25" i="16" s="1"/>
  <c r="E23" i="16" s="1"/>
  <c r="E27" i="16"/>
  <c r="X60" i="17"/>
  <c r="F11" i="14"/>
  <c r="D50" i="1"/>
  <c r="J50" i="1" s="1"/>
  <c r="S46" i="17"/>
  <c r="J20" i="1"/>
  <c r="C14" i="1"/>
  <c r="J14" i="1" s="1"/>
  <c r="J15" i="1"/>
  <c r="J25" i="1"/>
  <c r="E11" i="14"/>
  <c r="C77" i="1"/>
  <c r="C39" i="16" l="1"/>
  <c r="F45" i="1"/>
  <c r="E46" i="41"/>
  <c r="C45" i="41"/>
  <c r="C44" i="41"/>
  <c r="D52" i="41"/>
  <c r="O46" i="36"/>
  <c r="D62" i="1"/>
  <c r="N40" i="37" s="1"/>
  <c r="C30" i="16"/>
  <c r="T46" i="17"/>
  <c r="G45" i="1" s="1"/>
  <c r="J77" i="1"/>
  <c r="C6" i="1"/>
  <c r="J6" i="1" s="1"/>
  <c r="P46" i="36" l="1"/>
  <c r="R46" i="36"/>
  <c r="S46" i="36" s="1"/>
  <c r="C46" i="41"/>
  <c r="C43" i="41" s="1"/>
  <c r="C35" i="41" s="1"/>
  <c r="C40" i="41" s="1"/>
  <c r="C34" i="16"/>
  <c r="D34" i="16"/>
  <c r="C62" i="1"/>
  <c r="Y39" i="18" s="1"/>
  <c r="D78" i="1"/>
  <c r="C78" i="1" s="1"/>
  <c r="J78" i="1" s="1"/>
  <c r="Z39" i="18"/>
  <c r="C45" i="1"/>
  <c r="C13" i="16" l="1"/>
  <c r="C15" i="16" s="1"/>
  <c r="D15" i="16"/>
  <c r="C84" i="1"/>
  <c r="C19" i="16"/>
  <c r="P61" i="36"/>
  <c r="D27" i="16" s="1"/>
  <c r="W60" i="17"/>
  <c r="C51" i="41"/>
  <c r="J62" i="1"/>
  <c r="J45" i="1"/>
  <c r="D18" i="16" l="1"/>
  <c r="D17" i="16" s="1"/>
  <c r="D21" i="16"/>
  <c r="D24" i="16"/>
  <c r="C24" i="16"/>
  <c r="C18" i="16"/>
  <c r="C17" i="16" s="1"/>
  <c r="C21" i="16"/>
  <c r="P57" i="36"/>
  <c r="D25" i="16" s="1"/>
  <c r="C22" i="18"/>
  <c r="S22" i="18" l="1"/>
  <c r="C39" i="18"/>
  <c r="W22" i="18" l="1"/>
  <c r="W39" i="18" s="1"/>
  <c r="S39" i="18"/>
  <c r="C22" i="16"/>
  <c r="T22" i="18"/>
  <c r="T39" i="18" s="1"/>
  <c r="C32" i="16"/>
  <c r="E22" i="14"/>
  <c r="X66" i="17" l="1"/>
  <c r="C26" i="16" s="1"/>
  <c r="D22" i="16"/>
  <c r="D20" i="16" s="1"/>
  <c r="C20" i="16"/>
  <c r="F22" i="14"/>
  <c r="C29" i="16"/>
  <c r="D29" i="16"/>
  <c r="F62" i="1"/>
  <c r="G62" i="1"/>
  <c r="X69" i="17" l="1"/>
  <c r="C27" i="16" s="1"/>
  <c r="C28" i="16"/>
  <c r="D28" i="16"/>
  <c r="D23" i="16"/>
  <c r="X64" i="17" l="1"/>
  <c r="C25" i="16" s="1"/>
  <c r="C23" i="16" s="1"/>
</calcChain>
</file>

<file path=xl/sharedStrings.xml><?xml version="1.0" encoding="utf-8"?>
<sst xmlns="http://schemas.openxmlformats.org/spreadsheetml/2006/main" count="977" uniqueCount="549">
  <si>
    <t>АКТИВЫ</t>
  </si>
  <si>
    <t>ОБЯЗАТЕЛЬСТВА И СОБСТВЕННЫЙ  КАПИТАЛ</t>
  </si>
  <si>
    <t>ОБЯЗАТЕЛЬСТВА</t>
  </si>
  <si>
    <t>СОБСТВЕННЫЙ  КАПИТАЛ</t>
  </si>
  <si>
    <t>Подпись Председателя правления:</t>
  </si>
  <si>
    <t>Подпись Главного Бухгалтера:</t>
  </si>
  <si>
    <t>Категории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</si>
  <si>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</si>
  <si>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</si>
  <si>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</si>
  <si>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</si>
  <si>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</si>
  <si>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</si>
  <si>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</si>
  <si>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</si>
  <si>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</si>
  <si>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</si>
  <si>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</si>
  <si>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</si>
  <si>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</si>
  <si>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</si>
  <si>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Другие</t>
  </si>
  <si>
    <t>3.3</t>
  </si>
  <si>
    <t>К получению из других банков по расчетам пластиковых карт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</si>
  <si>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</si>
  <si>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13.1</t>
  </si>
  <si>
    <t>Другие ценные бумаги купленные по соглашению с обратным выкупом (РЕПО)</t>
  </si>
  <si>
    <t>отток</t>
  </si>
  <si>
    <t xml:space="preserve">Высоко-ликвидные активы </t>
  </si>
  <si>
    <t>Активы для расчета левеража</t>
  </si>
  <si>
    <t>4.2</t>
  </si>
  <si>
    <t>4.3</t>
  </si>
  <si>
    <t>Другие статьи</t>
  </si>
  <si>
    <t>Коэффициент</t>
  </si>
  <si>
    <t xml:space="preserve">Другие депозиты до востребования </t>
  </si>
  <si>
    <t>Итого капитала Уровня II</t>
  </si>
  <si>
    <t>СКОРРЕКТИРОВАННЫЙ КАПИТАЛ УРОВНЯ II</t>
  </si>
  <si>
    <t>IX</t>
  </si>
  <si>
    <t>X</t>
  </si>
  <si>
    <t>XI</t>
  </si>
  <si>
    <t xml:space="preserve">Сумма активов </t>
  </si>
  <si>
    <t>22.</t>
  </si>
  <si>
    <t>23.</t>
  </si>
  <si>
    <t>4.4</t>
  </si>
  <si>
    <t>Ценные бумаги ведущих транснациональных компаний с низким уровнем странового риска</t>
  </si>
  <si>
    <t>Правительственные ценные бумаги стран с низкой степенью странового риска</t>
  </si>
  <si>
    <t xml:space="preserve">Общие активы </t>
  </si>
  <si>
    <t>Коэффициент левеража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</si>
  <si>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</si>
  <si>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</si>
  <si>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</si>
  <si>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</si>
  <si>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</si>
  <si>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 xml:space="preserve">К получению со счетов в банках стран с низким уровнем риска (ностро, депозиты), но размещенные не в качестве обеспечения </t>
  </si>
  <si>
    <t>Характеристики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</si>
  <si>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</si>
  <si>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</si>
  <si>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</si>
  <si>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</si>
  <si>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</si>
  <si>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</si>
  <si>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</si>
  <si>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</si>
  <si>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</si>
  <si>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</si>
  <si>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>Добавленный капитал</t>
  </si>
  <si>
    <t>Нераспределенная прибыль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</si>
  <si>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</si>
  <si>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</si>
  <si>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</si>
  <si>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</si>
  <si>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</si>
  <si>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</si>
  <si>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</si>
  <si>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</si>
  <si>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</si>
  <si>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</si>
  <si>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</si>
  <si>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</si>
  <si>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</si>
  <si>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1.</t>
  </si>
  <si>
    <t>Другие активы, чистые</t>
  </si>
  <si>
    <t>из них</t>
  </si>
  <si>
    <t>Всего</t>
  </si>
  <si>
    <t>Свыше 2 лет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</si>
  <si>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</si>
  <si>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</si>
  <si>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</si>
  <si>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</si>
  <si>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</si>
  <si>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Примечание:</t>
  </si>
  <si>
    <t>ОТЧЕТ ОБ ИНВЕСТИЦИЯХ В ЦЕННЫЕ БУМАГИ И СЧЕТА КУПЛИ-ПРОДАЖИ АКТИВОВ</t>
  </si>
  <si>
    <t>Часть 1 - Инвестиции в ценные бумаги</t>
  </si>
  <si>
    <t>Балансовая 
    стоимость</t>
  </si>
  <si>
    <t>Рыночная 
стоимость</t>
  </si>
  <si>
    <t>1. Инвестиции в государственные облигации</t>
  </si>
  <si>
    <t>2. Инвестиции в ценные бумаги и облигации ЦБРУ</t>
  </si>
  <si>
    <t>3. Инвестиции в частные облигации</t>
  </si>
  <si>
    <t>4. Инвестиции в еврооблигации</t>
  </si>
  <si>
    <t>5. Инвестиции в акции гос предприятий</t>
  </si>
  <si>
    <t>6. Инвестиции в акции частных предприятий</t>
  </si>
  <si>
    <t>7. Инвестиции в другие ценные бумаги</t>
  </si>
  <si>
    <t>8. Итого инвестиций</t>
  </si>
  <si>
    <t>9. Минус: Резерв возможных убытков</t>
  </si>
  <si>
    <t>10. Чистая балансовая стоимость инвестиций</t>
  </si>
  <si>
    <t>Часть 2 - Счета купли-продажи ценных бумаг</t>
  </si>
  <si>
    <t>1. Государственные казначейские векселя</t>
  </si>
  <si>
    <t>2. Государственные облигации</t>
  </si>
  <si>
    <t>3. Ценные бумаги и облигации ЦБРУ</t>
  </si>
  <si>
    <t>4. Ценные бумаги гос корпораций</t>
  </si>
  <si>
    <t>5. Еврооблигации</t>
  </si>
  <si>
    <t>6. Частные ценные бумаги</t>
  </si>
  <si>
    <t>7. Другие ценные бумаги</t>
  </si>
  <si>
    <t>8. Итого по счетам купли-продажи ценных бумаг</t>
  </si>
  <si>
    <t>Часть 3 - Счета купли и продажи драгоценных металлов</t>
  </si>
  <si>
    <t>Первоначальная  
    стоимость</t>
  </si>
  <si>
    <t>1. Драгоценные металлы</t>
  </si>
  <si>
    <t>2. Драгоценные камни</t>
  </si>
  <si>
    <t>3. Драгоценные монеты</t>
  </si>
  <si>
    <t>Итого ценных бумаг заложенных для общественных депозитов</t>
  </si>
  <si>
    <t>Портфель инвестиций в ценные бумаги</t>
  </si>
  <si>
    <t>Увеличение (Снижение) стоимости</t>
  </si>
  <si>
    <t>Счета купли-продажи ценных бумаг</t>
  </si>
  <si>
    <t>Счета купли-продажи драгоценных предметов</t>
  </si>
  <si>
    <t>АНАЛИЗ ЛИКВИДНОСТИ</t>
  </si>
  <si>
    <t>в процентах</t>
  </si>
  <si>
    <t>АНАЛИЗ АКТИВОВ БАНКА</t>
  </si>
  <si>
    <t>ВСЕГО</t>
  </si>
  <si>
    <t>Бессрочные</t>
  </si>
  <si>
    <t>Наличность и другие кассовые документы</t>
  </si>
  <si>
    <t>2.</t>
  </si>
  <si>
    <t>3.</t>
  </si>
  <si>
    <t>К получению из других банков</t>
  </si>
  <si>
    <t>4.</t>
  </si>
  <si>
    <t>Счета купли и продажи, чистые</t>
  </si>
  <si>
    <t>5.</t>
  </si>
  <si>
    <t>Купленные векселя, чистые</t>
  </si>
  <si>
    <t>6.</t>
  </si>
  <si>
    <t>Обязательства клиентов по траттам под аккредитивы или трастовые документы</t>
  </si>
  <si>
    <t>7.</t>
  </si>
  <si>
    <t>Обязательства клиентов по непогашенным акцептам этого банка</t>
  </si>
  <si>
    <t>8.</t>
  </si>
  <si>
    <t>Кредиты и лизинги, предоставленные ЦБРУ, чистые</t>
  </si>
  <si>
    <t>9.</t>
  </si>
  <si>
    <t>Кредиты и лизинги, предоставленные другим банкам, чистые</t>
  </si>
  <si>
    <t>Кредиты и лизинги, предоставленные другим клиентам, чистые</t>
  </si>
  <si>
    <t>Кредиты и лизинги и авансы в процессе судебного разбирательства, чистые</t>
  </si>
  <si>
    <t>12.</t>
  </si>
  <si>
    <t>Инвестиции, чистые</t>
  </si>
  <si>
    <t>13.</t>
  </si>
  <si>
    <t>Ценные бумаги купленные по соглашению с обратным выкупом</t>
  </si>
  <si>
    <t>14.</t>
  </si>
  <si>
    <t>Банковские помещения, мебель и оборудование, чистые</t>
  </si>
  <si>
    <t>15.</t>
  </si>
  <si>
    <t>16.</t>
  </si>
  <si>
    <t>Нереализованная прибыль при ревальвации по сделкам "форвард"</t>
  </si>
  <si>
    <t>17.</t>
  </si>
  <si>
    <t>Счета купли-продажи валюты и валютные позиции</t>
  </si>
  <si>
    <t>18.</t>
  </si>
  <si>
    <t xml:space="preserve">Клиринговые счета </t>
  </si>
  <si>
    <t>19.</t>
  </si>
  <si>
    <t>Начисленные проценты</t>
  </si>
  <si>
    <t>20.</t>
  </si>
  <si>
    <t>Другие активы</t>
  </si>
  <si>
    <t>21.</t>
  </si>
  <si>
    <t>ИТОГО АКТИВОВ</t>
  </si>
  <si>
    <t>АНАЛИЗ ОБЯЗАТЕЛЬСТВ БАНКА</t>
  </si>
  <si>
    <t>Срок погашения (в днях)</t>
  </si>
  <si>
    <t>ДЕПОЗИТЫ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</si>
  <si>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</si>
  <si>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</si>
  <si>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</si>
  <si>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</si>
  <si>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</si>
  <si>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</si>
  <si>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Итого депозитов</t>
  </si>
  <si>
    <t>К оплате в ЦБРУ</t>
  </si>
  <si>
    <t>К оплате в другие банки</t>
  </si>
  <si>
    <t>Управленческие чеки</t>
  </si>
  <si>
    <t>Непогашенные акцепты, выполненные банком или по поручению этого банка</t>
  </si>
  <si>
    <t>Кредиты и лизинговые операции к оплате</t>
  </si>
  <si>
    <t>Ценные бумаги проданные по соглашению с последующим выкупом</t>
  </si>
  <si>
    <t>Другие депозиты клиентов</t>
  </si>
  <si>
    <t>Нереализованная прибыль или убытки по форвардным сделкам и другим отсроченным кредитам</t>
  </si>
  <si>
    <t>10.</t>
  </si>
  <si>
    <t>Клиринговые счета - кредитовый остаток</t>
  </si>
  <si>
    <t>11.</t>
  </si>
  <si>
    <t>Другие обязательства</t>
  </si>
  <si>
    <t>ИТОГО ОБЯЗАТЕЛЬСТВ</t>
  </si>
  <si>
    <t>ОТЧЕТ О СЧЕТАХ  ОБЯЗАТЕЛЬСТВ И НЕПРЕДВИДЕННЫХ ОБСТОЯТЕЛЬСТВ</t>
  </si>
  <si>
    <t>Формула</t>
  </si>
  <si>
    <t>2.1</t>
  </si>
  <si>
    <t>3.1</t>
  </si>
  <si>
    <t>3.2</t>
  </si>
  <si>
    <t>4.1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</si>
  <si>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</si>
  <si>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</si>
  <si>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</si>
  <si>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</si>
  <si>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</si>
  <si>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</si>
  <si>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</si>
  <si>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</si>
  <si>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</si>
  <si>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</si>
  <si>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</si>
  <si>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</si>
  <si>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</si>
  <si>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</si>
  <si>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</si>
  <si>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</si>
  <si>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</si>
  <si>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</si>
  <si>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</si>
  <si>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</si>
  <si>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</si>
  <si>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</si>
  <si>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</si>
  <si>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</si>
  <si>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</si>
  <si>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</si>
  <si>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</si>
  <si>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</si>
  <si>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</si>
  <si>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</si>
  <si>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</si>
  <si>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</si>
  <si>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</si>
  <si>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</si>
  <si>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</si>
  <si>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</si>
  <si>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</si>
  <si>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</si>
  <si>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</si>
  <si>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</si>
  <si>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</si>
  <si>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</si>
  <si>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</si>
  <si>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</si>
  <si>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</si>
  <si>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</si>
  <si>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</si>
  <si>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</si>
  <si>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</si>
  <si>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</si>
  <si>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</si>
  <si>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</si>
  <si>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</si>
  <si>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</si>
  <si>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</si>
  <si>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>тыс. сум</t>
  </si>
  <si>
    <t>К получению из ЦБРУ</t>
  </si>
  <si>
    <t>Другие аккредитивы</t>
  </si>
  <si>
    <t xml:space="preserve">3. </t>
  </si>
  <si>
    <t xml:space="preserve">6. </t>
  </si>
  <si>
    <t>4.1.</t>
  </si>
  <si>
    <t>4.2.</t>
  </si>
  <si>
    <t>5.1.</t>
  </si>
  <si>
    <t>5.2.</t>
  </si>
  <si>
    <t>6.1.</t>
  </si>
  <si>
    <t>6.2.</t>
  </si>
  <si>
    <t>7.1.</t>
  </si>
  <si>
    <t>7.2.</t>
  </si>
  <si>
    <t>8.1.</t>
  </si>
  <si>
    <t>8.2.</t>
  </si>
  <si>
    <t>9.1.</t>
  </si>
  <si>
    <t>9.2.</t>
  </si>
  <si>
    <t>10.1.</t>
  </si>
  <si>
    <t>10.2.</t>
  </si>
  <si>
    <t>12.1.</t>
  </si>
  <si>
    <t>12.2.</t>
  </si>
  <si>
    <t>12.2.1.</t>
  </si>
  <si>
    <t>13.1.</t>
  </si>
  <si>
    <t>13.2.</t>
  </si>
  <si>
    <t>13.3.</t>
  </si>
  <si>
    <t>14.1.</t>
  </si>
  <si>
    <t>14.2.</t>
  </si>
  <si>
    <t xml:space="preserve">16. </t>
  </si>
  <si>
    <t>24.</t>
  </si>
  <si>
    <t>25.</t>
  </si>
  <si>
    <t>26.</t>
  </si>
  <si>
    <t>27.</t>
  </si>
  <si>
    <t>28.</t>
  </si>
  <si>
    <t>29.</t>
  </si>
  <si>
    <t>30.</t>
  </si>
  <si>
    <t>31.</t>
  </si>
  <si>
    <t>31.1.</t>
  </si>
  <si>
    <t>32.</t>
  </si>
  <si>
    <t>33.</t>
  </si>
  <si>
    <t xml:space="preserve">Кассовая наличность и другие платежные документы </t>
  </si>
  <si>
    <t>К получению из других банков, чистые</t>
  </si>
  <si>
    <t>К получению из других банков, брутто</t>
  </si>
  <si>
    <t>Минус: Резерв возможных убытков</t>
  </si>
  <si>
    <t>Кредиты и лизинги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</si>
  <si>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</si>
  <si>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</si>
  <si>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</si>
  <si>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</si>
  <si>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</si>
  <si>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</si>
  <si>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</si>
  <si>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</si>
  <si>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</si>
  <si>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Гарантии и поручительства</t>
  </si>
  <si>
    <t>Итого аккредитивы</t>
  </si>
  <si>
    <t xml:space="preserve">Покрытый аккредитив, открытый в банках плательщиком </t>
  </si>
  <si>
    <t>Непогашенные аккредитивы на импорт с оплатой тратт на предъявителя</t>
  </si>
  <si>
    <t>Непогашенные аккредитивы на импорт против выставления срочных тратт</t>
  </si>
  <si>
    <t>Факторинг, инкассо и другие торговые финансирование</t>
  </si>
  <si>
    <t>Итого других статей непредвиденных обстоятельств</t>
  </si>
  <si>
    <t>Условная стоимость процентного свопа</t>
  </si>
  <si>
    <t>Условная стоимость обменного свопа (Валютный своп)</t>
  </si>
  <si>
    <t>Фьючерсные, Форвардные и Опционные контракты</t>
  </si>
  <si>
    <t>Обязательства по покупке кредитов, ценных бумаг или других активов</t>
  </si>
  <si>
    <t>Другие счета непредвиденных обстоятельств</t>
  </si>
  <si>
    <t>Итого статей непредвиденных обстоятельств</t>
  </si>
  <si>
    <t>Таблица-19</t>
  </si>
  <si>
    <t>Сумма</t>
  </si>
  <si>
    <t>в том числе, в иностранной валюте
 (в экв. в сумах)</t>
  </si>
  <si>
    <t>1.1.1</t>
  </si>
  <si>
    <t xml:space="preserve">Вклады физических лиц </t>
  </si>
  <si>
    <t>1.1.2</t>
  </si>
  <si>
    <t>1.1.3</t>
  </si>
  <si>
    <t>Другие депозиты до востребования - под залогом по выданным кредитам</t>
  </si>
  <si>
    <t>1.1.4</t>
  </si>
  <si>
    <t>Вклады физических лиц - под залогом по выданным кредитам</t>
  </si>
  <si>
    <t>1.3.1</t>
  </si>
  <si>
    <t>1.3.2</t>
  </si>
  <si>
    <t>1.3.3</t>
  </si>
  <si>
    <t xml:space="preserve">Средства на банковских пластиковых карточках - физических лиц </t>
  </si>
  <si>
    <t xml:space="preserve">Средства на банковских пластиковых карточках - других клиентов </t>
  </si>
  <si>
    <t>Депозиты клиентов по аккредитивам</t>
  </si>
  <si>
    <t>1.3.4</t>
  </si>
  <si>
    <t>Зарезервированные средства клиентов для конвертации на валютном рынке</t>
  </si>
  <si>
    <t>1.3.5</t>
  </si>
  <si>
    <t>К оплате в другие банки - депозиты</t>
  </si>
  <si>
    <t xml:space="preserve">К оплате в другие банки по расчётам с пластиковых карт </t>
  </si>
  <si>
    <t>из них, обязательства перед:</t>
  </si>
  <si>
    <t>Министерство Финансов Республики Узбекистан, из них</t>
  </si>
  <si>
    <t>Депозитные ресурсы</t>
  </si>
  <si>
    <t>Внебюджетные фонды, из них</t>
  </si>
  <si>
    <t>Фонд реконструкции и развития Узбекистана (ФРРУ) , из них</t>
  </si>
  <si>
    <t>Зарубежные банки, из них</t>
  </si>
  <si>
    <t>Другие зарубежные финансовые организации, из них</t>
  </si>
  <si>
    <t>От 31 до 90 дней</t>
  </si>
  <si>
    <t>От 91 до 180 дней</t>
  </si>
  <si>
    <t>К получению из других банков - депозиты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</si>
  <si>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</si>
  <si>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</si>
  <si>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</si>
  <si>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</si>
  <si>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</si>
  <si>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 xml:space="preserve">2.1. </t>
  </si>
  <si>
    <t>Обязательства свыше 1 года</t>
  </si>
  <si>
    <t>30% других бессрочных обязательств</t>
  </si>
  <si>
    <t>30% других обязательств менее 1 года</t>
  </si>
  <si>
    <t>Активы свыше 1 года</t>
  </si>
  <si>
    <t>30% других активов менее 1 го года (за исключением бессрочных и со сроком менее 1 го года ликвидных активов)</t>
  </si>
  <si>
    <t>Балансовая стоимость</t>
  </si>
  <si>
    <t>Таблица-15</t>
  </si>
  <si>
    <t xml:space="preserve">ОТЧЕТ О ДЕПОЗИТАХ ПО ТИПАМ КЛИЕНТОВ        </t>
  </si>
  <si>
    <t xml:space="preserve"> Таблица-14</t>
  </si>
  <si>
    <t xml:space="preserve"> Драгоценные металлы, монеты, камни, чистые</t>
  </si>
  <si>
    <t>Инвестиции, брутто</t>
  </si>
  <si>
    <t>Ценные бумаги купленные по соглашению c обратным выкупом, чистые</t>
  </si>
  <si>
    <t xml:space="preserve">Ценные бумаги, купленные по соглашению с обратным выкупом, брутто </t>
  </si>
  <si>
    <t>Резерв возможных убытков</t>
  </si>
  <si>
    <t>Кредиты и лизинговые операции, чистые</t>
  </si>
  <si>
    <t>Кредиты и лизинговые операции, брутто</t>
  </si>
  <si>
    <t>Купленные векселя, брутто</t>
  </si>
  <si>
    <t>Обязательства клиентов по финансовым инструментам, чистые</t>
  </si>
  <si>
    <t>Основные средства, чистые</t>
  </si>
  <si>
    <t>Другое собственное имущество банка, чистые</t>
  </si>
  <si>
    <t>Минус:Накопленный износ и резервы на возможные убытки</t>
  </si>
  <si>
    <t>Другие активы, брутто</t>
  </si>
  <si>
    <t xml:space="preserve">Срочные депозиты </t>
  </si>
  <si>
    <t>Проданные по сделкам РЕПО ценные бумаги</t>
  </si>
  <si>
    <t>Субординированные долговые обязательства</t>
  </si>
  <si>
    <t>Начисленные проценты к оплате</t>
  </si>
  <si>
    <t>Начисленные налоги к оплате</t>
  </si>
  <si>
    <t>Клиринговые трансакции</t>
  </si>
  <si>
    <t>Уставный капитал</t>
  </si>
  <si>
    <t>Акции - Обыкновенные</t>
  </si>
  <si>
    <t>Акции - Привилегированные</t>
  </si>
  <si>
    <t>Резервный капитал.</t>
  </si>
  <si>
    <t xml:space="preserve">Резервный фонд общего назначения </t>
  </si>
  <si>
    <t>Резервы созданные по стандартным активам</t>
  </si>
  <si>
    <t>Резерв на Девальвацию</t>
  </si>
  <si>
    <t xml:space="preserve">Другие резервы и фонды  </t>
  </si>
  <si>
    <t>Итого собственного капитала</t>
  </si>
  <si>
    <t>Итого обязательств и собственного капитала</t>
  </si>
  <si>
    <t>Итого обязательств</t>
  </si>
  <si>
    <t>Другие депозиты до востребования</t>
  </si>
  <si>
    <t>Итого депозитов до востребования</t>
  </si>
  <si>
    <t>Итого срочных депозитов</t>
  </si>
  <si>
    <t>в иностранной валюте
 (в экв. в сумах)</t>
  </si>
  <si>
    <t>из них, в иностранной валюте
 (в экв. в сумах)</t>
  </si>
  <si>
    <t>Таблица-18</t>
  </si>
  <si>
    <t>Таблица-17</t>
  </si>
  <si>
    <t>Таблица-1</t>
  </si>
  <si>
    <t>Таблица-5</t>
  </si>
  <si>
    <t>Собственный  капитал</t>
  </si>
  <si>
    <t>15% из забалансовых инструментов</t>
  </si>
  <si>
    <t>Итого активов</t>
  </si>
  <si>
    <t>Выпущенные банком ценные бумаги</t>
  </si>
  <si>
    <t>29.1.</t>
  </si>
  <si>
    <t>29.2.</t>
  </si>
  <si>
    <t>31.2.</t>
  </si>
  <si>
    <t>31.3.</t>
  </si>
  <si>
    <t>31.4.</t>
  </si>
  <si>
    <t>32.1.</t>
  </si>
  <si>
    <t>34.</t>
  </si>
  <si>
    <t>От 181 до 365 дней</t>
  </si>
  <si>
    <t>От 366 до 730 дней</t>
  </si>
  <si>
    <t>Обязательства клиентов по финансовым инструментам, брутто</t>
  </si>
  <si>
    <t>Начисленные процентные и беспроцентные доходы всего, чистые</t>
  </si>
  <si>
    <t>Начисленные проценты к получению, брутто</t>
  </si>
  <si>
    <t>Начисленные беспроцентные доходы к получению, брутто</t>
  </si>
  <si>
    <t>Другие собственное имущество, взысканное по кредитам и лизингу, брутто</t>
  </si>
  <si>
    <t>Другое собственное имущество банка, брутто</t>
  </si>
  <si>
    <t xml:space="preserve"> Драгоценные металлы, монеты, камни, брутто</t>
  </si>
  <si>
    <t>Ценные бумаги для купли продажи, брутто</t>
  </si>
  <si>
    <t>РАСЧЕТ РЕГУЛЯТИВНОГО КАПИТАЛА БАНКА</t>
  </si>
  <si>
    <t>из них, чистая прибыль (убыток) текущего года</t>
  </si>
  <si>
    <t xml:space="preserve">     ж. </t>
  </si>
  <si>
    <t>СТРУКТУРА БАЛАНСА БАНКА</t>
  </si>
  <si>
    <t xml:space="preserve">К получению из ЦБРУ (сумма обязательных резервов банка(ФОР)) </t>
  </si>
  <si>
    <t xml:space="preserve">К получению из ЦБРУ не учитывая сумму обязательных резервов банка(ФОР) </t>
  </si>
  <si>
    <t>Депозитные сертификаты</t>
  </si>
  <si>
    <t>1.2.1</t>
  </si>
  <si>
    <t>1.2.2</t>
  </si>
  <si>
    <t>Срочные депозиты, в том числе:</t>
  </si>
  <si>
    <t>Ликвидные активы</t>
  </si>
  <si>
    <t>Чистый отток за 30 дней</t>
  </si>
  <si>
    <t>Отток</t>
  </si>
  <si>
    <t>Приток по положению</t>
  </si>
  <si>
    <t>4. Итого драгоценных металлов</t>
  </si>
  <si>
    <t>5. Минус: Резерв возможных убытков</t>
  </si>
  <si>
    <t>6. Чистая балансовая стоимость по счетам купли и продажи д/м</t>
  </si>
  <si>
    <t>Другие cрочные депозиты</t>
  </si>
  <si>
    <t>От 1 до 7 дней</t>
  </si>
  <si>
    <t>От 8 до 30 дней</t>
  </si>
  <si>
    <t>7a.</t>
  </si>
  <si>
    <t>Нацвалюта</t>
  </si>
  <si>
    <t>Инвалюта</t>
  </si>
  <si>
    <t>Купля-продажа валюты и валютные позиции</t>
  </si>
  <si>
    <t>Таблица-17А</t>
  </si>
  <si>
    <t>Таблица-18А</t>
  </si>
  <si>
    <t>14.3.</t>
  </si>
  <si>
    <t xml:space="preserve">АНАЛИЗ АКТИВОВ БАНКА В НАЦИОНАЛЬНОЙ ВАЛЮТЕ </t>
  </si>
  <si>
    <t>АНАЛИЗ ОБЯЗАТЕЛЬСТВ БАНКА В НАЦИОНАЛЬНОЙ ВАЛЮТЕ</t>
  </si>
  <si>
    <t>Сумма активов 
 (в иностранной валюте)</t>
  </si>
  <si>
    <t xml:space="preserve">Прибыль за текущий год </t>
  </si>
  <si>
    <t xml:space="preserve">1.1. </t>
  </si>
  <si>
    <t>Обязательства по выдачи кредитов</t>
  </si>
  <si>
    <t>в том числе, обеспеченные депозитами</t>
  </si>
  <si>
    <t>в том числе, за счет кредитных линий (с особыми условиями)</t>
  </si>
  <si>
    <t>Всего высоколиквидных активов</t>
  </si>
  <si>
    <t>Наличные денежные средства</t>
  </si>
  <si>
    <t>Ценные бумаги, выпущенные Правительством Республики Узбекистан и ЦБРУ</t>
  </si>
  <si>
    <t xml:space="preserve">Ценные бумаги выпущенные МВФ, входящие организации в группу Всемирного банка, МФК, АБР, Азиатский банк инфроструктуры и инвестиции, ЕБРР, Европейский инвестиционный банк, Исламский банк развития и Банк развития Европейского союза </t>
  </si>
  <si>
    <t>Расчет коэффициента высоколиквидных активов к всего активам</t>
  </si>
  <si>
    <t>Всего активов</t>
  </si>
  <si>
    <t>Расчет коэффициента высоколиквидных активов к краткосрочным обязательствам</t>
  </si>
  <si>
    <t>Краткосрочные обязательства</t>
  </si>
  <si>
    <t>Депозиты размещенные на условиях овернайт</t>
  </si>
  <si>
    <t>3.5</t>
  </si>
  <si>
    <t>3.6</t>
  </si>
  <si>
    <t>4.5</t>
  </si>
  <si>
    <t>Депозиты размещенные на условиях овернайт в иностранной валюте с рейтингом не ниже инвестиционного</t>
  </si>
  <si>
    <t>Сумма оттока за 30 дней</t>
  </si>
  <si>
    <t>Сумма притока за 30 дней</t>
  </si>
  <si>
    <t xml:space="preserve">Наличные денежные средства и Драгоценные металлы </t>
  </si>
  <si>
    <t>Часть 1. Высоколиквидные активы</t>
  </si>
  <si>
    <t>1.7.</t>
  </si>
  <si>
    <t>1.8.</t>
  </si>
  <si>
    <t>Часть 2. Экономические нормативы - Ликвидность</t>
  </si>
  <si>
    <t xml:space="preserve">2.1.1. </t>
  </si>
  <si>
    <t xml:space="preserve">2.1.2. </t>
  </si>
  <si>
    <t xml:space="preserve">2.2.1. </t>
  </si>
  <si>
    <t xml:space="preserve">2.2.2. </t>
  </si>
  <si>
    <t xml:space="preserve">2.3. </t>
  </si>
  <si>
    <t>2.3.2.</t>
  </si>
  <si>
    <t>2.3.1.</t>
  </si>
  <si>
    <t xml:space="preserve">2.4. </t>
  </si>
  <si>
    <t xml:space="preserve">2.5. </t>
  </si>
  <si>
    <t xml:space="preserve">2.6. </t>
  </si>
  <si>
    <t xml:space="preserve">2.6.1. </t>
  </si>
  <si>
    <t xml:space="preserve">2.6.2. </t>
  </si>
  <si>
    <t xml:space="preserve">2.6.3. </t>
  </si>
  <si>
    <t xml:space="preserve">2.6.4. </t>
  </si>
  <si>
    <t>Депозиты размещенные в местных банках имеющие рейтинг не ниже В- или В3</t>
  </si>
  <si>
    <t>Кассовая наличность и другие платежные документы</t>
  </si>
  <si>
    <t>в том числе чеки и другие платежные документы</t>
  </si>
  <si>
    <t>3.3.1.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</si>
  <si>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</si>
  <si>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Высоко-ликвидные активы/приток</t>
  </si>
  <si>
    <t>Высоко-ликвидные активы/приток
(в иностранной валюте)</t>
  </si>
  <si>
    <t>Ценные бумаги Правительства и ЦБ купленные по соглашению с обратным выкупом (РЕПО)</t>
  </si>
  <si>
    <t>Сумма оттока за 30 дней
(в иностранной валюте)</t>
  </si>
  <si>
    <t>Приток</t>
  </si>
  <si>
    <t>Ин вал</t>
  </si>
  <si>
    <t>По новым расчетам</t>
  </si>
  <si>
    <t>К оплате на корреспондентские счета других банков</t>
  </si>
  <si>
    <t>Денежные средства на корсчетах открытых в иностранных банках с рейтингом не ниже инвестиционного и в местных банках имеющих кредитный рейтинг</t>
  </si>
  <si>
    <t>Всего отток</t>
  </si>
  <si>
    <t>в том числе отток по внебалансу</t>
  </si>
  <si>
    <t>всего отток</t>
  </si>
  <si>
    <t>Кор счета в местных банках (ностро) имеющих кредитный рейтинг</t>
  </si>
  <si>
    <t>13.2</t>
  </si>
  <si>
    <t xml:space="preserve">в том числе депозиты размещенные на условиях овернайт в иностранной валюте с рейтингом не ниже инвестиционного. </t>
  </si>
  <si>
    <t>Кор счета в банках с низким уровнем риска (ностро)</t>
  </si>
  <si>
    <t>Ценные бумаги ведущих транснациональных компаний с рейтингом не ниже инвестиционного</t>
  </si>
  <si>
    <t>Таблица-16</t>
  </si>
  <si>
    <t xml:space="preserve">Дисконт и премии по ценным бумагам </t>
  </si>
  <si>
    <t>4.3.</t>
  </si>
  <si>
    <t>9. Дисконт и премии по ценным бумагам</t>
  </si>
  <si>
    <t>10. Минус: Резерв возможных убытков</t>
  </si>
  <si>
    <t>11. Чистая балансовая стоимость по счетам купли-продажи ц/б</t>
  </si>
  <si>
    <t>4.1.1</t>
  </si>
  <si>
    <t>10.1</t>
  </si>
  <si>
    <t xml:space="preserve">забалансовые  обязательства </t>
  </si>
  <si>
    <t>Гарантии и поручительства (90993)</t>
  </si>
  <si>
    <t>Аккредитивы (90908-90958)</t>
  </si>
  <si>
    <t>в том числе, кредиты и лизинги, предоставленные физическим лицам, чистые</t>
  </si>
  <si>
    <t>в том числе, Ценные бумаги, выпущенные Правительством Республики Узбекистан и ЦБРУ  (векселя, облигации и другие долговые ценные бумаги) под залогом</t>
  </si>
  <si>
    <t>Безотзывные кредитные линии</t>
  </si>
  <si>
    <t>1.9.</t>
  </si>
  <si>
    <t xml:space="preserve">Высоколиквидные активы находящиеся под залогом </t>
  </si>
  <si>
    <t>1.10.</t>
  </si>
  <si>
    <t xml:space="preserve">Коэффициент покрытия ликвидности </t>
  </si>
  <si>
    <t xml:space="preserve">2.5.1. </t>
  </si>
  <si>
    <t xml:space="preserve">2.5.2. </t>
  </si>
  <si>
    <t xml:space="preserve">2.5.3. </t>
  </si>
  <si>
    <t xml:space="preserve">2.5.4. </t>
  </si>
  <si>
    <t xml:space="preserve">2.6.5. </t>
  </si>
  <si>
    <t xml:space="preserve">2.6.6. </t>
  </si>
  <si>
    <t>Высоколиквидные активы, находящиеся под залогом кроме строки 4.1.1.</t>
  </si>
  <si>
    <t>Обязательства по выдаче кредитов (91809)</t>
  </si>
  <si>
    <t xml:space="preserve">из них, обеспеченные денежными средствами (МФИ, МинФин, Фонды и депозиты других организации </t>
  </si>
  <si>
    <t>из них, гарантии и поручительства, обеспеченные денежными средствами (депозитами на отдельных блокированных счетах)</t>
  </si>
  <si>
    <t>из них, аккредитивы, покрытые депозитами на балансовых счетах 22602</t>
  </si>
  <si>
    <t xml:space="preserve">Расчет коэффициента покрытия ликвидности </t>
  </si>
  <si>
    <t>Расчет коэффициента покрытия ликвидности</t>
  </si>
  <si>
    <t xml:space="preserve">Кредиты, лизинги и авансы в процессе судебного разбирательства или не взысканные в установленном порядке (чистые) </t>
  </si>
  <si>
    <t xml:space="preserve">Активы в процессе судебного разбирательства или не взысканные в установленном порядке, чистые (не указанные в строке 2.6.3.) </t>
  </si>
  <si>
    <t>Данную строку заполнять при заключении соответствующего кредитного договора с ЦБРУ. Отражается 2% нетто остатка от общих активов банка на отчётную дату.</t>
  </si>
  <si>
    <t>№4</t>
  </si>
  <si>
    <t xml:space="preserve">АК "АЛОКАБАНК"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</si>
</sst>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\-##########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&quot;   &quot;@"/>
    <numFmt numFmtId="183" formatCode="&quot;      &quot;@"/>
    <numFmt numFmtId="184" formatCode="&quot;            &quot;@"/>
    <numFmt numFmtId="185" formatCode="_-* #,##0.00\ &quot;сум&quot;_-;\-* #,##0.00\ &quot;сум&quot;_-;_-* &quot;-&quot;??\ &quot;сум&quot;_-;_-@_-"/>
    <numFmt numFmtId="186" formatCode="&quot;$&quot;#,##0\ ;\(&quot;$&quot;#,##0\)"/>
    <numFmt numFmtId="187" formatCode="_([$€-2]* #,##0.00_);_([$€-2]* \(#,##0.00\);_([$€-2]* &quot;-&quot;??_)"/>
    <numFmt numFmtId="188" formatCode="General_)"/>
    <numFmt numFmtId="189" formatCode="_(* #,##0_);_(* \(#,##0\);_(* &quot;-&quot;_);_(@_)"/>
    <numFmt numFmtId="190" formatCode="_(&quot;$&quot;* #,##0_);_(&quot;$&quot;* \(#,##0\);_(&quot;$&quot;* &quot;-&quot;_);_(@_)"/>
    <numFmt numFmtId="191" formatCode="_(&quot;$&quot;* #,##0.00_);_(&quot;$&quot;* \(#,##0.00\);_(&quot;$&quot;* &quot;-&quot;??_);_(@_)"/>
    <numFmt numFmtId="192" formatCode="[Black]#,##0.0;[Black]\-#,##0.0;;"/>
  </numFmts>
  <fonts count="115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b/>
      <sz val="13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9"/>
      <color theme="0" tint="-0.34998626667073579"/>
      <name val="Times New Roman"/>
      <family val="1"/>
      <charset val="204"/>
    </font>
    <font>
      <b/>
      <sz val="9"/>
      <color theme="0" tint="-0.34998626667073579"/>
      <name val="Times New Roman"/>
      <family val="1"/>
      <charset val="204"/>
    </font>
    <font>
      <sz val="14"/>
      <color theme="0" tint="-0.499984740745262"/>
      <name val="Arial Cyr"/>
      <family val="2"/>
      <charset val="204"/>
    </font>
    <font>
      <sz val="12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sz val="10"/>
      <color rgb="FFFF0000"/>
      <name val="Times New Roman Cyr"/>
      <charset val="204"/>
    </font>
    <font>
      <sz val="11"/>
      <color theme="0" tint="-0.34998626667073579"/>
      <name val="Arial Cyr"/>
      <family val="2"/>
      <charset val="204"/>
    </font>
    <font>
      <b/>
      <sz val="12"/>
      <color theme="0" tint="-0.499984740745262"/>
      <name val="Arial Cyr"/>
      <family val="2"/>
      <charset val="204"/>
    </font>
    <font>
      <sz val="8"/>
      <color rgb="FF7030A0"/>
      <name val="Arial Cyr"/>
      <family val="2"/>
      <charset val="204"/>
    </font>
    <font>
      <sz val="8"/>
      <color theme="0" tint="-0.249977111117893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sz val="11"/>
      <color theme="0" tint="-0.249977111117893"/>
      <name val="Arial Cyr"/>
      <family val="2"/>
      <charset val="204"/>
    </font>
    <font>
      <b/>
      <sz val="20"/>
      <color theme="1"/>
      <name val="Arial Cyr"/>
      <charset val="204"/>
    </font>
    <font>
      <sz val="10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Arial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8"/>
      <color rgb="FFFF0000"/>
      <name val="Arial Cyr"/>
      <family val="2"/>
      <charset val="204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0"/>
      <color theme="0" tint="-0.34998626667073579"/>
      <name val="Arial Cyr"/>
      <charset val="204"/>
    </font>
    <font>
      <sz val="8"/>
      <color theme="0" tint="-0.34998626667073579"/>
      <name val="Arial Cyr"/>
      <charset val="204"/>
    </font>
    <font>
      <b/>
      <sz val="20"/>
      <name val="Arial Cyr"/>
      <charset val="204"/>
    </font>
    <font>
      <sz val="12"/>
      <color rgb="FF7030A0"/>
      <name val="Arial Cyr"/>
      <family val="2"/>
      <charset val="204"/>
    </font>
    <font>
      <i/>
      <sz val="11"/>
      <name val="Arial Cyr"/>
      <charset val="204"/>
    </font>
    <font>
      <i/>
      <sz val="12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b/>
      <sz val="10"/>
      <color theme="0"/>
      <name val="Arial Cyr"/>
      <family val="2"/>
      <charset val="204"/>
    </font>
    <font>
      <sz val="8"/>
      <color theme="0" tint="-0.249977111117893"/>
      <name val="Times New Roman"/>
      <family val="1"/>
      <charset val="204"/>
    </font>
    <font>
      <b/>
      <sz val="16"/>
      <color rgb="FFFFFF00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24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167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63" fillId="0" borderId="0">
      <protection locked="0"/>
    </xf>
    <xf numFmtId="0" fontId="63" fillId="0" borderId="0">
      <protection locked="0"/>
    </xf>
    <xf numFmtId="0" fontId="63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3" fillId="0" borderId="15">
      <protection locked="0"/>
    </xf>
    <xf numFmtId="173" fontId="65" fillId="0" borderId="0">
      <protection locked="0"/>
    </xf>
    <xf numFmtId="174" fontId="65" fillId="0" borderId="15">
      <protection locked="0"/>
    </xf>
    <xf numFmtId="175" fontId="65" fillId="0" borderId="0">
      <protection locked="0"/>
    </xf>
    <xf numFmtId="4" fontId="65" fillId="0" borderId="0">
      <protection locked="0"/>
    </xf>
    <xf numFmtId="176" fontId="65" fillId="0" borderId="0">
      <protection locked="0"/>
    </xf>
    <xf numFmtId="174" fontId="66" fillId="0" borderId="0">
      <protection locked="0"/>
    </xf>
    <xf numFmtId="174" fontId="67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68" fillId="0" borderId="5">
      <alignment horizontal="center"/>
    </xf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69" fillId="0" borderId="0"/>
    <xf numFmtId="0" fontId="28" fillId="0" borderId="0"/>
    <xf numFmtId="9" fontId="30" fillId="0" borderId="0" applyFont="0" applyFill="0" applyBorder="0" applyAlignment="0" applyProtection="0"/>
    <xf numFmtId="0" fontId="70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9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71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0" fillId="0" borderId="0"/>
    <xf numFmtId="0" fontId="72" fillId="0" borderId="0"/>
    <xf numFmtId="0" fontId="1" fillId="0" borderId="0"/>
    <xf numFmtId="0" fontId="1" fillId="0" borderId="0"/>
    <xf numFmtId="0" fontId="71" fillId="0" borderId="0"/>
    <xf numFmtId="0" fontId="1" fillId="0" borderId="0"/>
    <xf numFmtId="0" fontId="70" fillId="0" borderId="0"/>
    <xf numFmtId="0" fontId="73" fillId="0" borderId="0"/>
    <xf numFmtId="0" fontId="7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0" fontId="71" fillId="0" borderId="0"/>
    <xf numFmtId="0" fontId="70" fillId="0" borderId="0"/>
    <xf numFmtId="0" fontId="1" fillId="0" borderId="0"/>
    <xf numFmtId="0" fontId="7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71" fillId="0" borderId="0"/>
    <xf numFmtId="0" fontId="28" fillId="0" borderId="0"/>
    <xf numFmtId="0" fontId="70" fillId="0" borderId="0"/>
    <xf numFmtId="0" fontId="28" fillId="0" borderId="0"/>
    <xf numFmtId="0" fontId="7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72" fillId="0" borderId="0"/>
    <xf numFmtId="0" fontId="1" fillId="0" borderId="0"/>
    <xf numFmtId="0" fontId="70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0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8" fillId="0" borderId="0"/>
    <xf numFmtId="0" fontId="2" fillId="0" borderId="0"/>
    <xf numFmtId="0" fontId="30" fillId="0" borderId="0"/>
    <xf numFmtId="0" fontId="1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1" fillId="0" borderId="0"/>
    <xf numFmtId="0" fontId="72" fillId="0" borderId="0"/>
    <xf numFmtId="0" fontId="70" fillId="0" borderId="0"/>
    <xf numFmtId="0" fontId="75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6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0" fontId="70" fillId="0" borderId="0"/>
    <xf numFmtId="0" fontId="70" fillId="0" borderId="0"/>
    <xf numFmtId="0" fontId="70" fillId="0" borderId="0"/>
    <xf numFmtId="0" fontId="30" fillId="0" borderId="0"/>
    <xf numFmtId="0" fontId="1" fillId="0" borderId="0"/>
    <xf numFmtId="0" fontId="1" fillId="0" borderId="0"/>
    <xf numFmtId="0" fontId="76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77" fillId="0" borderId="0"/>
    <xf numFmtId="0" fontId="30" fillId="0" borderId="0"/>
    <xf numFmtId="0" fontId="72" fillId="0" borderId="0"/>
    <xf numFmtId="0" fontId="70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30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/>
    <xf numFmtId="0" fontId="70" fillId="0" borderId="0"/>
    <xf numFmtId="0" fontId="3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72" fillId="0" borderId="0"/>
    <xf numFmtId="0" fontId="1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/>
    <xf numFmtId="0" fontId="70" fillId="0" borderId="0"/>
    <xf numFmtId="0" fontId="1" fillId="0" borderId="0"/>
    <xf numFmtId="0" fontId="70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0" fillId="0" borderId="0"/>
    <xf numFmtId="0" fontId="28" fillId="0" borderId="0"/>
    <xf numFmtId="0" fontId="70" fillId="0" borderId="0"/>
    <xf numFmtId="0" fontId="70" fillId="0" borderId="0"/>
    <xf numFmtId="0" fontId="28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0" fillId="0" borderId="0"/>
    <xf numFmtId="0" fontId="70" fillId="0" borderId="0"/>
    <xf numFmtId="0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0" fillId="0" borderId="0"/>
    <xf numFmtId="0" fontId="1" fillId="0" borderId="0"/>
    <xf numFmtId="0" fontId="74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0" fillId="0" borderId="0"/>
    <xf numFmtId="0" fontId="70" fillId="0" borderId="0"/>
    <xf numFmtId="0" fontId="70" fillId="0" borderId="0"/>
    <xf numFmtId="0" fontId="3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30" fillId="0" borderId="0"/>
    <xf numFmtId="0" fontId="3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0" fillId="0" borderId="0"/>
    <xf numFmtId="0" fontId="71" fillId="0" borderId="0"/>
    <xf numFmtId="0" fontId="71" fillId="0" borderId="0"/>
    <xf numFmtId="0" fontId="30" fillId="0" borderId="0"/>
    <xf numFmtId="0" fontId="71" fillId="0" borderId="0"/>
    <xf numFmtId="0" fontId="71" fillId="0" borderId="0"/>
    <xf numFmtId="0" fontId="30" fillId="0" borderId="0"/>
    <xf numFmtId="0" fontId="30" fillId="0" borderId="0"/>
    <xf numFmtId="0" fontId="29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0" fontId="74" fillId="7" borderId="14" applyNumberFormat="0" applyFont="0" applyAlignment="0" applyProtection="0"/>
    <xf numFmtId="9" fontId="7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79" fillId="0" borderId="0"/>
    <xf numFmtId="166" fontId="2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74" fillId="0" borderId="0" applyFont="0" applyFill="0" applyBorder="0" applyAlignment="0" applyProtection="0"/>
    <xf numFmtId="164" fontId="74" fillId="0" borderId="0" applyFont="0" applyFill="0" applyBorder="0" applyAlignment="0" applyProtection="0"/>
    <xf numFmtId="164" fontId="7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70" fontId="2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8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72" fontId="74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4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9" fontId="28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7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80" fillId="0" borderId="0" applyFont="0" applyFill="0" applyBorder="0" applyAlignment="0" applyProtection="0"/>
    <xf numFmtId="181" fontId="72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28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3" fillId="0" borderId="0">
      <protection locked="0"/>
    </xf>
    <xf numFmtId="0" fontId="7" fillId="0" borderId="0">
      <alignment vertical="top"/>
    </xf>
    <xf numFmtId="182" fontId="85" fillId="0" borderId="0" applyFont="0" applyFill="0" applyBorder="0" applyAlignment="0" applyProtection="0"/>
    <xf numFmtId="183" fontId="85" fillId="0" borderId="0" applyFont="0" applyFill="0" applyBorder="0" applyAlignment="0" applyProtection="0"/>
    <xf numFmtId="0" fontId="74" fillId="21" borderId="0" applyNumberFormat="0" applyBorder="0" applyAlignment="0" applyProtection="0"/>
    <xf numFmtId="0" fontId="74" fillId="22" borderId="0" applyNumberFormat="0" applyBorder="0" applyAlignment="0" applyProtection="0"/>
    <xf numFmtId="0" fontId="74" fillId="23" borderId="0" applyNumberFormat="0" applyBorder="0" applyAlignment="0" applyProtection="0"/>
    <xf numFmtId="0" fontId="74" fillId="24" borderId="0" applyNumberFormat="0" applyBorder="0" applyAlignment="0" applyProtection="0"/>
    <xf numFmtId="0" fontId="74" fillId="25" borderId="0" applyNumberFormat="0" applyBorder="0" applyAlignment="0" applyProtection="0"/>
    <xf numFmtId="0" fontId="74" fillId="26" borderId="0" applyNumberFormat="0" applyBorder="0" applyAlignment="0" applyProtection="0"/>
    <xf numFmtId="184" fontId="85" fillId="0" borderId="0" applyFont="0" applyFill="0" applyBorder="0" applyAlignment="0" applyProtection="0"/>
    <xf numFmtId="0" fontId="74" fillId="27" borderId="0" applyNumberFormat="0" applyBorder="0" applyAlignment="0" applyProtection="0"/>
    <xf numFmtId="0" fontId="74" fillId="28" borderId="0" applyNumberFormat="0" applyBorder="0" applyAlignment="0" applyProtection="0"/>
    <xf numFmtId="0" fontId="74" fillId="29" borderId="0" applyNumberFormat="0" applyBorder="0" applyAlignment="0" applyProtection="0"/>
    <xf numFmtId="0" fontId="74" fillId="24" borderId="0" applyNumberFormat="0" applyBorder="0" applyAlignment="0" applyProtection="0"/>
    <xf numFmtId="0" fontId="74" fillId="27" borderId="0" applyNumberFormat="0" applyBorder="0" applyAlignment="0" applyProtection="0"/>
    <xf numFmtId="0" fontId="74" fillId="30" borderId="0" applyNumberFormat="0" applyBorder="0" applyAlignment="0" applyProtection="0"/>
    <xf numFmtId="0" fontId="86" fillId="31" borderId="0" applyNumberFormat="0" applyBorder="0" applyAlignment="0" applyProtection="0"/>
    <xf numFmtId="0" fontId="86" fillId="28" borderId="0" applyNumberFormat="0" applyBorder="0" applyAlignment="0" applyProtection="0"/>
    <xf numFmtId="0" fontId="86" fillId="29" borderId="0" applyNumberFormat="0" applyBorder="0" applyAlignment="0" applyProtection="0"/>
    <xf numFmtId="0" fontId="86" fillId="32" borderId="0" applyNumberFormat="0" applyBorder="0" applyAlignment="0" applyProtection="0"/>
    <xf numFmtId="0" fontId="86" fillId="33" borderId="0" applyNumberFormat="0" applyBorder="0" applyAlignment="0" applyProtection="0"/>
    <xf numFmtId="0" fontId="86" fillId="34" borderId="0" applyNumberFormat="0" applyBorder="0" applyAlignment="0" applyProtection="0"/>
    <xf numFmtId="0" fontId="86" fillId="35" borderId="0" applyNumberFormat="0" applyBorder="0" applyAlignment="0" applyProtection="0"/>
    <xf numFmtId="0" fontId="86" fillId="36" borderId="0" applyNumberFormat="0" applyBorder="0" applyAlignment="0" applyProtection="0"/>
    <xf numFmtId="0" fontId="86" fillId="37" borderId="0" applyNumberFormat="0" applyBorder="0" applyAlignment="0" applyProtection="0"/>
    <xf numFmtId="0" fontId="86" fillId="32" borderId="0" applyNumberFormat="0" applyBorder="0" applyAlignment="0" applyProtection="0"/>
    <xf numFmtId="0" fontId="86" fillId="33" borderId="0" applyNumberFormat="0" applyBorder="0" applyAlignment="0" applyProtection="0"/>
    <xf numFmtId="0" fontId="86" fillId="38" borderId="0" applyNumberFormat="0" applyBorder="0" applyAlignment="0" applyProtection="0"/>
    <xf numFmtId="0" fontId="87" fillId="22" borderId="0" applyNumberFormat="0" applyBorder="0" applyAlignment="0" applyProtection="0"/>
    <xf numFmtId="0" fontId="88" fillId="39" borderId="16" applyNumberFormat="0" applyAlignment="0" applyProtection="0"/>
    <xf numFmtId="0" fontId="89" fillId="40" borderId="17" applyNumberFormat="0" applyAlignment="0" applyProtection="0"/>
    <xf numFmtId="177" fontId="90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14" fillId="0" borderId="0" applyNumberFormat="0" applyFont="0" applyFill="0" applyBorder="0" applyAlignment="0"/>
    <xf numFmtId="185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7" fontId="20" fillId="0" borderId="0" applyFont="0" applyFill="0" applyBorder="0" applyAlignment="0" applyProtection="0"/>
    <xf numFmtId="188" fontId="91" fillId="0" borderId="0"/>
    <xf numFmtId="0" fontId="92" fillId="0" borderId="0" applyNumberFormat="0" applyFill="0" applyBorder="0" applyAlignment="0" applyProtection="0"/>
    <xf numFmtId="2" fontId="28" fillId="0" borderId="0" applyFont="0" applyFill="0" applyBorder="0" applyAlignment="0" applyProtection="0"/>
    <xf numFmtId="0" fontId="93" fillId="23" borderId="0" applyNumberFormat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18" applyNumberFormat="0" applyFill="0" applyAlignment="0" applyProtection="0"/>
    <xf numFmtId="0" fontId="96" fillId="0" borderId="0" applyNumberFormat="0" applyFill="0" applyBorder="0" applyAlignment="0" applyProtection="0"/>
    <xf numFmtId="172" fontId="85" fillId="0" borderId="0" applyFont="0" applyFill="0" applyBorder="0" applyAlignment="0" applyProtection="0"/>
    <xf numFmtId="0" fontId="97" fillId="26" borderId="16" applyNumberFormat="0" applyAlignment="0" applyProtection="0"/>
    <xf numFmtId="0" fontId="98" fillId="0" borderId="19" applyNumberFormat="0" applyFill="0" applyAlignment="0" applyProtection="0"/>
    <xf numFmtId="189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90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72" fontId="99" fillId="0" borderId="0" applyFill="0" applyBorder="0"/>
    <xf numFmtId="0" fontId="100" fillId="41" borderId="0" applyNumberFormat="0" applyBorder="0" applyAlignment="0" applyProtection="0"/>
    <xf numFmtId="0" fontId="99" fillId="0" borderId="0"/>
    <xf numFmtId="0" fontId="30" fillId="42" borderId="20" applyNumberFormat="0" applyFont="0" applyAlignment="0" applyProtection="0"/>
    <xf numFmtId="0" fontId="101" fillId="39" borderId="21" applyNumberFormat="0" applyAlignment="0" applyProtection="0"/>
    <xf numFmtId="9" fontId="28" fillId="0" borderId="0" applyFont="0" applyFill="0" applyBorder="0" applyAlignment="0" applyProtection="0"/>
    <xf numFmtId="192" fontId="85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0" fontId="28" fillId="0" borderId="22" applyNumberFormat="0" applyFont="0" applyFill="0" applyAlignment="0" applyProtection="0"/>
    <xf numFmtId="0" fontId="103" fillId="0" borderId="0" applyNumberFormat="0" applyFill="0" applyBorder="0" applyAlignment="0" applyProtection="0"/>
  </cellStyleXfs>
  <cellXfs count="575">
    <xf numFmtId="0" fontId="0" fillId="0" borderId="0" xfId="0"/>
    <xf numFmtId="0" fontId="3" fillId="0" borderId="0" xfId="0" applyFont="1"/>
    <xf numFmtId="0" fontId="3" fillId="0" borderId="0" xfId="0" applyFont="1" applyProtection="1">
      <protection hidden="1"/>
    </xf>
    <xf numFmtId="0" fontId="6" fillId="0" borderId="0" xfId="0" applyFont="1" applyBorder="1"/>
    <xf numFmtId="0" fontId="6" fillId="0" borderId="0" xfId="0" applyFont="1" applyBorder="1" applyProtection="1"/>
    <xf numFmtId="3" fontId="3" fillId="0" borderId="3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3" fillId="0" borderId="0" xfId="0" applyNumberFormat="1" applyFont="1" applyAlignment="1">
      <alignment horizontal="centerContinuous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shrinkToFit="1"/>
    </xf>
    <xf numFmtId="0" fontId="13" fillId="0" borderId="0" xfId="0" applyFont="1"/>
    <xf numFmtId="0" fontId="4" fillId="0" borderId="2" xfId="0" applyFont="1" applyBorder="1" applyAlignment="1">
      <alignment horizontal="center"/>
    </xf>
    <xf numFmtId="3" fontId="7" fillId="0" borderId="3" xfId="0" applyNumberFormat="1" applyFont="1" applyBorder="1" applyAlignment="1" applyProtection="1">
      <alignment horizontal="right"/>
      <protection locked="0"/>
    </xf>
    <xf numFmtId="0" fontId="5" fillId="0" borderId="0" xfId="0" applyFont="1" applyBorder="1"/>
    <xf numFmtId="49" fontId="3" fillId="0" borderId="0" xfId="0" applyNumberFormat="1" applyFont="1"/>
    <xf numFmtId="9" fontId="3" fillId="0" borderId="0" xfId="3" applyFont="1"/>
    <xf numFmtId="3" fontId="7" fillId="0" borderId="3" xfId="0" applyNumberFormat="1" applyFont="1" applyBorder="1" applyAlignment="1" applyProtection="1">
      <alignment horizontal="right"/>
    </xf>
    <xf numFmtId="3" fontId="7" fillId="2" borderId="3" xfId="0" applyNumberFormat="1" applyFont="1" applyFill="1" applyBorder="1" applyAlignment="1" applyProtection="1">
      <alignment horizontal="right"/>
    </xf>
    <xf numFmtId="3" fontId="3" fillId="0" borderId="0" xfId="3" applyNumberFormat="1" applyFont="1"/>
    <xf numFmtId="3" fontId="3" fillId="0" borderId="0" xfId="0" applyNumberFormat="1" applyFont="1" applyFill="1"/>
    <xf numFmtId="49" fontId="3" fillId="0" borderId="0" xfId="0" applyNumberFormat="1" applyFont="1" applyFill="1"/>
    <xf numFmtId="9" fontId="3" fillId="0" borderId="0" xfId="3" applyFont="1" applyFill="1"/>
    <xf numFmtId="170" fontId="6" fillId="0" borderId="0" xfId="0" applyNumberFormat="1" applyFont="1" applyAlignment="1">
      <alignment horizontal="centerContinuous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3" fontId="3" fillId="0" borderId="1" xfId="0" applyNumberFormat="1" applyFont="1" applyBorder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vertical="center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6" fillId="0" borderId="0" xfId="0" applyNumberFormat="1" applyFont="1" applyBorder="1" applyAlignment="1">
      <alignment horizontal="centerContinuous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vertical="center"/>
    </xf>
    <xf numFmtId="3" fontId="3" fillId="0" borderId="1" xfId="0" quotePrefix="1" applyNumberFormat="1" applyFont="1" applyFill="1" applyBorder="1" applyAlignment="1" applyProtection="1">
      <alignment horizontal="left" vertical="center" wrapText="1" indent="2"/>
    </xf>
    <xf numFmtId="3" fontId="3" fillId="0" borderId="1" xfId="0" quotePrefix="1" applyNumberFormat="1" applyFont="1" applyFill="1" applyBorder="1" applyAlignment="1" applyProtection="1">
      <alignment horizontal="left" vertical="center" wrapText="1" indent="4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6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2" fillId="0" borderId="4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2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wrapText="1" indent="4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 wrapText="1" indent="2"/>
    </xf>
    <xf numFmtId="0" fontId="3" fillId="0" borderId="0" xfId="0" applyFont="1" applyBorder="1" applyProtection="1"/>
    <xf numFmtId="0" fontId="5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26" fillId="0" borderId="4" xfId="0" applyFont="1" applyBorder="1" applyAlignment="1" applyProtection="1">
      <alignment horizontal="center" vertical="center"/>
    </xf>
    <xf numFmtId="0" fontId="26" fillId="0" borderId="2" xfId="0" applyFont="1" applyBorder="1" applyAlignment="1" applyProtection="1">
      <alignment horizontal="left" vertical="center" wrapText="1" indent="2"/>
    </xf>
    <xf numFmtId="3" fontId="26" fillId="0" borderId="1" xfId="0" applyNumberFormat="1" applyFont="1" applyBorder="1" applyAlignment="1" applyProtection="1">
      <alignment vertical="center"/>
    </xf>
    <xf numFmtId="3" fontId="26" fillId="0" borderId="1" xfId="0" applyNumberFormat="1" applyFont="1" applyBorder="1" applyAlignment="1" applyProtection="1">
      <alignment vertical="center"/>
      <protection locked="0"/>
    </xf>
    <xf numFmtId="9" fontId="3" fillId="0" borderId="1" xfId="3" applyFont="1" applyBorder="1" applyAlignment="1" applyProtection="1">
      <alignment vertical="center"/>
    </xf>
    <xf numFmtId="3" fontId="3" fillId="0" borderId="1" xfId="3" applyNumberFormat="1" applyFont="1" applyBorder="1" applyAlignment="1" applyProtection="1">
      <alignment vertical="center"/>
    </xf>
    <xf numFmtId="9" fontId="3" fillId="0" borderId="1" xfId="3" applyFont="1" applyFill="1" applyBorder="1" applyAlignment="1" applyProtection="1">
      <alignment vertical="center"/>
    </xf>
    <xf numFmtId="3" fontId="6" fillId="0" borderId="1" xfId="0" applyNumberFormat="1" applyFont="1" applyBorder="1" applyAlignment="1" applyProtection="1">
      <alignment horizontal="left" vertical="center" wrapText="1" indent="2"/>
    </xf>
    <xf numFmtId="3" fontId="3" fillId="0" borderId="1" xfId="0" applyNumberFormat="1" applyFont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1"/>
    </xf>
    <xf numFmtId="3" fontId="6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quotePrefix="1" applyNumberFormat="1" applyFont="1" applyFill="1" applyBorder="1" applyAlignment="1" applyProtection="1">
      <alignment horizontal="left" vertical="center" wrapText="1" indent="1"/>
    </xf>
    <xf numFmtId="3" fontId="27" fillId="0" borderId="1" xfId="0" quotePrefix="1" applyNumberFormat="1" applyFont="1" applyFill="1" applyBorder="1" applyAlignment="1" applyProtection="1">
      <alignment horizontal="center" vertical="center" wrapText="1"/>
    </xf>
    <xf numFmtId="3" fontId="26" fillId="0" borderId="1" xfId="0" applyNumberFormat="1" applyFont="1" applyFill="1" applyBorder="1" applyAlignment="1" applyProtection="1">
      <alignment horizontal="left" vertical="center" wrapText="1" indent="1"/>
    </xf>
    <xf numFmtId="0" fontId="8" fillId="0" borderId="0" xfId="0" applyFont="1" applyAlignment="1">
      <alignment vertical="center"/>
    </xf>
    <xf numFmtId="0" fontId="32" fillId="0" borderId="0" xfId="0" applyFont="1" applyProtection="1">
      <protection hidden="1"/>
    </xf>
    <xf numFmtId="0" fontId="10" fillId="0" borderId="0" xfId="0" applyFont="1" applyAlignment="1" applyProtection="1">
      <alignment horizontal="center" vertical="center" wrapText="1"/>
    </xf>
    <xf numFmtId="0" fontId="2" fillId="0" borderId="0" xfId="0" applyFont="1" applyFill="1" applyProtection="1"/>
    <xf numFmtId="0" fontId="2" fillId="0" borderId="2" xfId="0" applyFont="1" applyFill="1" applyBorder="1" applyAlignment="1" applyProtection="1">
      <alignment horizontal="center" vertical="center"/>
    </xf>
    <xf numFmtId="3" fontId="7" fillId="0" borderId="3" xfId="0" applyNumberFormat="1" applyFont="1" applyBorder="1" applyProtection="1"/>
    <xf numFmtId="0" fontId="2" fillId="0" borderId="0" xfId="0" applyFont="1" applyBorder="1" applyProtection="1"/>
    <xf numFmtId="0" fontId="2" fillId="0" borderId="0" xfId="0" applyFont="1" applyProtection="1"/>
    <xf numFmtId="0" fontId="2" fillId="0" borderId="2" xfId="0" applyFont="1" applyFill="1" applyBorder="1" applyAlignment="1" applyProtection="1">
      <alignment horizontal="center" vertical="center" wrapText="1"/>
    </xf>
    <xf numFmtId="3" fontId="7" fillId="0" borderId="1" xfId="0" applyNumberFormat="1" applyFont="1" applyBorder="1" applyAlignment="1" applyProtection="1">
      <alignment horizontal="right" wrapText="1"/>
    </xf>
    <xf numFmtId="0" fontId="5" fillId="0" borderId="2" xfId="0" applyFont="1" applyBorder="1" applyAlignment="1" applyProtection="1">
      <alignment horizontal="center"/>
    </xf>
    <xf numFmtId="3" fontId="17" fillId="0" borderId="1" xfId="0" applyNumberFormat="1" applyFont="1" applyBorder="1" applyAlignment="1" applyProtection="1">
      <alignment horizontal="right"/>
    </xf>
    <xf numFmtId="3" fontId="17" fillId="2" borderId="3" xfId="0" applyNumberFormat="1" applyFont="1" applyFill="1" applyBorder="1" applyAlignment="1" applyProtection="1">
      <alignment horizontal="right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3" fontId="17" fillId="0" borderId="3" xfId="0" applyNumberFormat="1" applyFont="1" applyBorder="1" applyAlignment="1" applyProtection="1">
      <alignment horizontal="right"/>
    </xf>
    <xf numFmtId="3" fontId="7" fillId="0" borderId="3" xfId="0" applyNumberFormat="1" applyFont="1" applyFill="1" applyBorder="1" applyAlignment="1" applyProtection="1">
      <alignment horizontal="right"/>
      <protection locked="0"/>
    </xf>
    <xf numFmtId="3" fontId="7" fillId="2" borderId="3" xfId="0" applyNumberFormat="1" applyFont="1" applyFill="1" applyBorder="1" applyAlignment="1" applyProtection="1">
      <alignment horizontal="right"/>
      <protection locked="0"/>
    </xf>
    <xf numFmtId="169" fontId="21" fillId="0" borderId="0" xfId="4" applyNumberFormat="1" applyFont="1" applyBorder="1" applyAlignment="1" applyProtection="1">
      <alignment horizontal="center" vertical="center" wrapText="1"/>
    </xf>
    <xf numFmtId="0" fontId="19" fillId="0" borderId="0" xfId="0" applyFont="1" applyProtection="1"/>
    <xf numFmtId="0" fontId="19" fillId="0" borderId="0" xfId="0" applyFont="1" applyBorder="1" applyAlignment="1" applyProtection="1">
      <alignment wrapText="1"/>
    </xf>
    <xf numFmtId="0" fontId="19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wrapText="1"/>
    </xf>
    <xf numFmtId="0" fontId="18" fillId="0" borderId="1" xfId="0" applyFont="1" applyBorder="1" applyAlignment="1" applyProtection="1">
      <alignment horizontal="center" vertical="center"/>
    </xf>
    <xf numFmtId="169" fontId="18" fillId="0" borderId="1" xfId="4" applyNumberFormat="1" applyFont="1" applyBorder="1" applyAlignment="1" applyProtection="1">
      <alignment horizontal="left" vertical="center"/>
    </xf>
    <xf numFmtId="3" fontId="18" fillId="0" borderId="1" xfId="4" applyNumberFormat="1" applyFont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wrapText="1"/>
    </xf>
    <xf numFmtId="3" fontId="19" fillId="0" borderId="1" xfId="4" applyNumberFormat="1" applyFont="1" applyFill="1" applyBorder="1" applyAlignment="1" applyProtection="1">
      <alignment horizontal="center" wrapText="1"/>
    </xf>
    <xf numFmtId="3" fontId="25" fillId="0" borderId="1" xfId="4" applyNumberFormat="1" applyFont="1" applyFill="1" applyBorder="1" applyAlignment="1" applyProtection="1">
      <alignment horizont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 indent="2"/>
    </xf>
    <xf numFmtId="0" fontId="23" fillId="0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8" fillId="0" borderId="1" xfId="0" applyFont="1" applyFill="1" applyBorder="1" applyAlignment="1" applyProtection="1">
      <alignment horizontal="left" vertical="center" indent="2"/>
    </xf>
    <xf numFmtId="0" fontId="19" fillId="0" borderId="1" xfId="0" applyFont="1" applyFill="1" applyBorder="1" applyAlignment="1" applyProtection="1">
      <alignment horizontal="center" vertical="center" wrapText="1"/>
    </xf>
    <xf numFmtId="0" fontId="25" fillId="0" borderId="1" xfId="0" applyFont="1" applyFill="1" applyBorder="1" applyAlignment="1" applyProtection="1">
      <alignment horizontal="center" wrapText="1"/>
    </xf>
    <xf numFmtId="0" fontId="25" fillId="0" borderId="0" xfId="0" applyFont="1" applyProtection="1"/>
    <xf numFmtId="0" fontId="25" fillId="0" borderId="1" xfId="0" applyFont="1" applyFill="1" applyBorder="1" applyAlignment="1" applyProtection="1">
      <alignment horizontal="center" vertical="center" wrapText="1"/>
    </xf>
    <xf numFmtId="0" fontId="25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left" vertical="center" indent="2"/>
    </xf>
    <xf numFmtId="0" fontId="18" fillId="0" borderId="1" xfId="0" applyFont="1" applyBorder="1" applyAlignment="1" applyProtection="1">
      <alignment horizontal="left" vertical="center" wrapText="1" indent="2"/>
    </xf>
    <xf numFmtId="3" fontId="25" fillId="0" borderId="1" xfId="4" applyNumberFormat="1" applyFont="1" applyBorder="1" applyAlignment="1" applyProtection="1">
      <alignment horizontal="center" vertical="center" wrapText="1"/>
    </xf>
    <xf numFmtId="0" fontId="19" fillId="0" borderId="0" xfId="0" applyFont="1" applyFill="1" applyAlignment="1" applyProtection="1">
      <alignment vertical="center"/>
    </xf>
    <xf numFmtId="0" fontId="29" fillId="0" borderId="1" xfId="0" applyFont="1" applyFill="1" applyBorder="1" applyAlignment="1" applyProtection="1">
      <alignment horizontal="center" vertical="center" wrapText="1"/>
    </xf>
    <xf numFmtId="0" fontId="29" fillId="0" borderId="1" xfId="0" applyFont="1" applyFill="1" applyBorder="1" applyAlignment="1" applyProtection="1">
      <alignment horizontal="left" vertical="center" wrapText="1" indent="2"/>
    </xf>
    <xf numFmtId="3" fontId="29" fillId="0" borderId="1" xfId="4" applyNumberFormat="1" applyFont="1" applyFill="1" applyBorder="1" applyAlignment="1" applyProtection="1">
      <alignment horizontal="center"/>
    </xf>
    <xf numFmtId="0" fontId="29" fillId="0" borderId="0" xfId="0" applyFont="1" applyFill="1" applyAlignment="1" applyProtection="1">
      <alignment vertical="center"/>
    </xf>
    <xf numFmtId="0" fontId="29" fillId="0" borderId="1" xfId="0" applyFont="1" applyBorder="1" applyAlignment="1" applyProtection="1">
      <alignment horizontal="center" vertical="center" wrapText="1"/>
    </xf>
    <xf numFmtId="0" fontId="29" fillId="0" borderId="1" xfId="0" applyFont="1" applyBorder="1" applyAlignment="1" applyProtection="1">
      <alignment horizontal="left" vertical="center" wrapText="1" indent="2"/>
    </xf>
    <xf numFmtId="0" fontId="29" fillId="0" borderId="0" xfId="0" applyFont="1" applyAlignment="1" applyProtection="1">
      <alignment vertical="center"/>
    </xf>
    <xf numFmtId="0" fontId="18" fillId="0" borderId="0" xfId="0" applyFont="1" applyBorder="1" applyProtection="1"/>
    <xf numFmtId="169" fontId="19" fillId="0" borderId="0" xfId="4" applyNumberFormat="1" applyFont="1" applyProtection="1"/>
    <xf numFmtId="0" fontId="18" fillId="0" borderId="0" xfId="0" applyFont="1" applyFill="1" applyBorder="1" applyAlignment="1" applyProtection="1">
      <alignment horizontal="right"/>
    </xf>
    <xf numFmtId="170" fontId="19" fillId="0" borderId="0" xfId="0" applyNumberFormat="1" applyFont="1" applyBorder="1" applyAlignment="1" applyProtection="1">
      <alignment wrapText="1"/>
    </xf>
    <xf numFmtId="3" fontId="29" fillId="0" borderId="1" xfId="4" applyNumberFormat="1" applyFont="1" applyBorder="1" applyAlignment="1" applyProtection="1">
      <alignment horizontal="center" vertical="center"/>
      <protection locked="0"/>
    </xf>
    <xf numFmtId="3" fontId="18" fillId="0" borderId="1" xfId="4" applyNumberFormat="1" applyFont="1" applyBorder="1" applyAlignment="1" applyProtection="1">
      <alignment horizontal="center" vertical="center"/>
      <protection locked="0"/>
    </xf>
    <xf numFmtId="3" fontId="19" fillId="0" borderId="1" xfId="4" applyNumberFormat="1" applyFont="1" applyFill="1" applyBorder="1" applyAlignment="1" applyProtection="1">
      <alignment horizontal="center" wrapText="1"/>
      <protection locked="0"/>
    </xf>
    <xf numFmtId="0" fontId="25" fillId="0" borderId="1" xfId="0" applyFont="1" applyBorder="1" applyAlignment="1" applyProtection="1">
      <alignment horizontal="center" vertical="center" wrapText="1"/>
    </xf>
    <xf numFmtId="0" fontId="25" fillId="0" borderId="1" xfId="0" applyFont="1" applyBorder="1" applyAlignment="1" applyProtection="1">
      <alignment horizontal="left" vertical="center" wrapText="1" indent="2"/>
    </xf>
    <xf numFmtId="10" fontId="25" fillId="0" borderId="1" xfId="3" applyNumberFormat="1" applyFont="1" applyFill="1" applyBorder="1" applyAlignment="1" applyProtection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9" fontId="2" fillId="6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26" fillId="0" borderId="0" xfId="0" applyNumberFormat="1" applyFont="1" applyAlignment="1">
      <alignment horizontal="center"/>
    </xf>
    <xf numFmtId="0" fontId="8" fillId="0" borderId="1" xfId="0" applyFont="1" applyBorder="1" applyProtection="1"/>
    <xf numFmtId="0" fontId="4" fillId="0" borderId="0" xfId="0" applyFont="1" applyFill="1" applyBorder="1" applyAlignment="1" applyProtection="1">
      <alignment horizontal="left"/>
    </xf>
    <xf numFmtId="0" fontId="5" fillId="0" borderId="1" xfId="0" applyFont="1" applyBorder="1" applyAlignment="1" applyProtection="1">
      <alignment horizontal="center" vertical="center" wrapText="1"/>
      <protection locked="0"/>
    </xf>
    <xf numFmtId="3" fontId="3" fillId="0" borderId="0" xfId="0" applyNumberFormat="1" applyFont="1" applyBorder="1" applyAlignment="1">
      <alignment vertical="center"/>
    </xf>
    <xf numFmtId="0" fontId="0" fillId="0" borderId="0" xfId="0" applyFont="1" applyProtection="1"/>
    <xf numFmtId="3" fontId="19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5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25" fillId="0" borderId="1" xfId="4" applyNumberFormat="1" applyFont="1" applyFill="1" applyBorder="1" applyAlignment="1" applyProtection="1">
      <alignment horizontal="center" vertical="center" wrapText="1"/>
    </xf>
    <xf numFmtId="3" fontId="29" fillId="0" borderId="1" xfId="4" applyNumberFormat="1" applyFont="1" applyFill="1" applyBorder="1" applyAlignment="1" applyProtection="1">
      <alignment horizontal="center" vertical="center" wrapText="1"/>
      <protection locked="0"/>
    </xf>
    <xf numFmtId="167" fontId="35" fillId="0" borderId="0" xfId="4" applyFont="1" applyFill="1" applyBorder="1" applyAlignment="1" applyProtection="1">
      <alignment vertical="center"/>
    </xf>
    <xf numFmtId="0" fontId="2" fillId="0" borderId="1" xfId="0" applyFont="1" applyBorder="1" applyAlignment="1" applyProtection="1">
      <alignment horizontal="left" vertical="center" indent="2"/>
    </xf>
    <xf numFmtId="0" fontId="5" fillId="0" borderId="2" xfId="0" applyFont="1" applyBorder="1" applyAlignment="1" applyProtection="1">
      <alignment horizontal="left" vertical="center" indent="2"/>
    </xf>
    <xf numFmtId="0" fontId="2" fillId="0" borderId="2" xfId="1" applyNumberFormat="1" applyFont="1" applyBorder="1" applyAlignment="1" applyProtection="1">
      <alignment horizontal="left" vertical="center" indent="1"/>
    </xf>
    <xf numFmtId="0" fontId="25" fillId="0" borderId="1" xfId="0" applyFont="1" applyFill="1" applyBorder="1" applyAlignment="1" applyProtection="1">
      <alignment horizontal="left" vertical="center" indent="2"/>
    </xf>
    <xf numFmtId="0" fontId="4" fillId="0" borderId="0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left" vertical="center" indent="1"/>
    </xf>
    <xf numFmtId="3" fontId="38" fillId="0" borderId="1" xfId="4" applyNumberFormat="1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  <protection locked="0"/>
    </xf>
    <xf numFmtId="15" fontId="0" fillId="0" borderId="0" xfId="0" applyNumberFormat="1" applyFont="1" applyBorder="1" applyAlignment="1" applyProtection="1">
      <alignment horizontal="center"/>
    </xf>
    <xf numFmtId="15" fontId="29" fillId="0" borderId="0" xfId="0" applyNumberFormat="1" applyFont="1" applyBorder="1" applyAlignment="1" applyProtection="1">
      <alignment horizontal="left" wrapText="1" indent="3"/>
    </xf>
    <xf numFmtId="169" fontId="21" fillId="0" borderId="0" xfId="4" applyNumberFormat="1" applyFont="1" applyBorder="1" applyAlignment="1" applyProtection="1">
      <alignment horizontal="left" indent="2"/>
    </xf>
    <xf numFmtId="0" fontId="33" fillId="0" borderId="0" xfId="0" applyFont="1" applyAlignment="1" applyProtection="1"/>
    <xf numFmtId="0" fontId="33" fillId="0" borderId="0" xfId="0" applyFont="1" applyProtection="1"/>
    <xf numFmtId="170" fontId="37" fillId="0" borderId="0" xfId="0" applyNumberFormat="1" applyFont="1" applyBorder="1" applyAlignment="1" applyProtection="1">
      <alignment horizontal="center"/>
    </xf>
    <xf numFmtId="0" fontId="33" fillId="0" borderId="0" xfId="0" quotePrefix="1" applyFont="1" applyAlignment="1" applyProtection="1">
      <alignment horizontal="left" indent="6"/>
    </xf>
    <xf numFmtId="0" fontId="37" fillId="0" borderId="1" xfId="0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left" vertical="center" indent="2"/>
    </xf>
    <xf numFmtId="0" fontId="33" fillId="0" borderId="0" xfId="0" applyFont="1" applyAlignment="1" applyProtection="1">
      <alignment vertical="center"/>
    </xf>
    <xf numFmtId="3" fontId="37" fillId="0" borderId="1" xfId="0" applyNumberFormat="1" applyFont="1" applyBorder="1" applyAlignment="1" applyProtection="1">
      <alignment vertical="center"/>
    </xf>
    <xf numFmtId="0" fontId="37" fillId="0" borderId="0" xfId="0" applyFont="1" applyAlignment="1" applyProtection="1">
      <alignment vertical="center"/>
    </xf>
    <xf numFmtId="0" fontId="33" fillId="0" borderId="1" xfId="0" applyFont="1" applyBorder="1" applyAlignment="1" applyProtection="1">
      <alignment vertical="center"/>
    </xf>
    <xf numFmtId="3" fontId="33" fillId="0" borderId="1" xfId="0" applyNumberFormat="1" applyFont="1" applyBorder="1" applyAlignment="1" applyProtection="1">
      <alignment vertical="center"/>
    </xf>
    <xf numFmtId="0" fontId="37" fillId="0" borderId="0" xfId="0" applyFont="1" applyBorder="1" applyProtection="1"/>
    <xf numFmtId="170" fontId="0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</xf>
    <xf numFmtId="0" fontId="39" fillId="0" borderId="0" xfId="0" applyFont="1" applyBorder="1" applyAlignment="1" applyProtection="1">
      <alignment horizontal="center"/>
    </xf>
    <xf numFmtId="3" fontId="0" fillId="0" borderId="0" xfId="0" applyNumberFormat="1" applyFont="1" applyAlignment="1">
      <alignment horizontal="center"/>
    </xf>
    <xf numFmtId="15" fontId="6" fillId="0" borderId="0" xfId="0" applyNumberFormat="1" applyFont="1" applyBorder="1" applyProtection="1"/>
    <xf numFmtId="170" fontId="33" fillId="0" borderId="0" xfId="0" applyNumberFormat="1" applyFont="1" applyBorder="1" applyAlignment="1" applyProtection="1">
      <alignment horizont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49" fontId="26" fillId="0" borderId="1" xfId="0" applyNumberFormat="1" applyFont="1" applyFill="1" applyBorder="1" applyAlignment="1" applyProtection="1">
      <alignment horizontal="center" vertical="center"/>
    </xf>
    <xf numFmtId="3" fontId="26" fillId="0" borderId="1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left" vertical="center"/>
    </xf>
    <xf numFmtId="0" fontId="33" fillId="0" borderId="1" xfId="0" applyFont="1" applyBorder="1" applyAlignment="1" applyProtection="1">
      <alignment horizontal="center" vertical="center"/>
    </xf>
    <xf numFmtId="0" fontId="33" fillId="0" borderId="1" xfId="0" applyFont="1" applyBorder="1" applyAlignment="1" applyProtection="1">
      <alignment horizontal="left" vertical="center" indent="2"/>
    </xf>
    <xf numFmtId="3" fontId="33" fillId="0" borderId="1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left" vertical="center" indent="2"/>
    </xf>
    <xf numFmtId="0" fontId="40" fillId="0" borderId="1" xfId="0" applyFont="1" applyFill="1" applyBorder="1" applyAlignment="1" applyProtection="1">
      <alignment horizontal="center" vertical="center" wrapText="1"/>
    </xf>
    <xf numFmtId="0" fontId="25" fillId="0" borderId="1" xfId="0" applyFont="1" applyBorder="1" applyAlignment="1" applyProtection="1">
      <alignment horizontal="center" wrapText="1"/>
    </xf>
    <xf numFmtId="3" fontId="3" fillId="0" borderId="3" xfId="0" applyNumberFormat="1" applyFont="1" applyBorder="1" applyProtection="1"/>
    <xf numFmtId="0" fontId="5" fillId="0" borderId="1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 shrinkToFit="1"/>
    </xf>
    <xf numFmtId="3" fontId="2" fillId="0" borderId="1" xfId="0" applyNumberFormat="1" applyFont="1" applyBorder="1" applyProtection="1"/>
    <xf numFmtId="3" fontId="5" fillId="0" borderId="1" xfId="0" applyNumberFormat="1" applyFont="1" applyFill="1" applyBorder="1" applyProtection="1"/>
    <xf numFmtId="3" fontId="0" fillId="0" borderId="1" xfId="0" applyNumberFormat="1" applyFont="1" applyFill="1" applyBorder="1" applyProtection="1"/>
    <xf numFmtId="3" fontId="5" fillId="0" borderId="1" xfId="3" applyNumberFormat="1" applyFont="1" applyFill="1" applyBorder="1" applyProtection="1"/>
    <xf numFmtId="0" fontId="26" fillId="0" borderId="0" xfId="0" applyFont="1" applyFill="1" applyAlignment="1" applyProtection="1">
      <alignment vertical="center"/>
    </xf>
    <xf numFmtId="3" fontId="19" fillId="0" borderId="1" xfId="4" applyNumberFormat="1" applyFont="1" applyFill="1" applyBorder="1" applyAlignment="1" applyProtection="1">
      <alignment horizontal="center" vertical="center" wrapText="1"/>
    </xf>
    <xf numFmtId="171" fontId="5" fillId="0" borderId="3" xfId="3" applyNumberFormat="1" applyFont="1" applyBorder="1" applyProtection="1"/>
    <xf numFmtId="0" fontId="29" fillId="0" borderId="1" xfId="0" applyFont="1" applyFill="1" applyBorder="1" applyAlignment="1" applyProtection="1">
      <alignment horizontal="left" vertical="center" wrapText="1" indent="1"/>
    </xf>
    <xf numFmtId="0" fontId="29" fillId="0" borderId="1" xfId="0" applyFont="1" applyFill="1" applyBorder="1" applyAlignment="1" applyProtection="1">
      <alignment horizontal="left" vertical="center" indent="1"/>
    </xf>
    <xf numFmtId="0" fontId="19" fillId="0" borderId="1" xfId="0" applyFont="1" applyBorder="1" applyAlignment="1" applyProtection="1">
      <alignment horizontal="left" vertical="center" wrapText="1" indent="1"/>
    </xf>
    <xf numFmtId="0" fontId="19" fillId="0" borderId="1" xfId="0" applyFont="1" applyFill="1" applyBorder="1" applyAlignment="1" applyProtection="1">
      <alignment horizontal="left" vertical="center" wrapText="1" indent="1"/>
    </xf>
    <xf numFmtId="0" fontId="4" fillId="0" borderId="1" xfId="0" applyFont="1" applyFill="1" applyBorder="1" applyAlignment="1" applyProtection="1">
      <alignment horizontal="center" vertical="center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3" fontId="26" fillId="3" borderId="1" xfId="0" applyNumberFormat="1" applyFont="1" applyFill="1" applyBorder="1" applyAlignment="1" applyProtection="1">
      <alignment horizontal="center" vertical="center" wrapText="1"/>
    </xf>
    <xf numFmtId="0" fontId="25" fillId="0" borderId="1" xfId="0" applyFont="1" applyFill="1" applyBorder="1" applyAlignment="1" applyProtection="1">
      <alignment horizontal="left" vertical="center" wrapText="1" indent="2"/>
    </xf>
    <xf numFmtId="3" fontId="2" fillId="0" borderId="1" xfId="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 applyProtection="1">
      <alignment horizontal="left" vertical="center" wrapText="1" indent="3"/>
    </xf>
    <xf numFmtId="49" fontId="11" fillId="0" borderId="0" xfId="0" applyNumberFormat="1" applyFont="1" applyAlignment="1">
      <alignment horizontal="centerContinuous" vertical="center"/>
    </xf>
    <xf numFmtId="3" fontId="6" fillId="0" borderId="0" xfId="0" applyNumberFormat="1" applyFont="1" applyAlignment="1">
      <alignment horizontal="centerContinuous" vertical="center"/>
    </xf>
    <xf numFmtId="3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13" fillId="0" borderId="1" xfId="0" applyNumberFormat="1" applyFont="1" applyBorder="1" applyAlignment="1" applyProtection="1">
      <alignment horizontal="center"/>
    </xf>
    <xf numFmtId="3" fontId="10" fillId="0" borderId="1" xfId="0" applyNumberFormat="1" applyFont="1" applyBorder="1" applyAlignment="1" applyProtection="1">
      <alignment horizontal="center" vertical="center" wrapText="1"/>
    </xf>
    <xf numFmtId="3" fontId="13" fillId="0" borderId="1" xfId="0" applyNumberFormat="1" applyFont="1" applyBorder="1" applyProtection="1"/>
    <xf numFmtId="9" fontId="13" fillId="0" borderId="1" xfId="3" applyFont="1" applyBorder="1" applyProtection="1"/>
    <xf numFmtId="3" fontId="13" fillId="0" borderId="1" xfId="3" applyNumberFormat="1" applyFont="1" applyBorder="1" applyProtection="1"/>
    <xf numFmtId="3" fontId="0" fillId="0" borderId="1" xfId="0" applyNumberFormat="1" applyFont="1" applyFill="1" applyBorder="1" applyAlignment="1" applyProtection="1">
      <alignment horizontal="left" vertical="center" wrapText="1" indent="1"/>
    </xf>
    <xf numFmtId="3" fontId="3" fillId="0" borderId="1" xfId="0" applyNumberFormat="1" applyFont="1" applyFill="1" applyBorder="1" applyAlignment="1" applyProtection="1">
      <alignment horizontal="left" vertical="center" wrapText="1" indent="3"/>
    </xf>
    <xf numFmtId="3" fontId="36" fillId="3" borderId="1" xfId="0" applyNumberFormat="1" applyFont="1" applyFill="1" applyBorder="1" applyAlignment="1" applyProtection="1">
      <alignment horizontal="center" vertical="center" wrapText="1"/>
    </xf>
    <xf numFmtId="0" fontId="26" fillId="0" borderId="2" xfId="0" applyFont="1" applyBorder="1" applyAlignment="1" applyProtection="1">
      <alignment horizontal="center" vertical="center"/>
    </xf>
    <xf numFmtId="3" fontId="26" fillId="0" borderId="3" xfId="0" applyNumberFormat="1" applyFont="1" applyBorder="1" applyAlignment="1" applyProtection="1">
      <alignment vertical="center"/>
    </xf>
    <xf numFmtId="3" fontId="26" fillId="0" borderId="3" xfId="0" applyNumberFormat="1" applyFont="1" applyBorder="1" applyAlignment="1" applyProtection="1">
      <alignment vertical="center"/>
      <protection locked="0"/>
    </xf>
    <xf numFmtId="3" fontId="14" fillId="3" borderId="1" xfId="0" applyNumberFormat="1" applyFont="1" applyFill="1" applyBorder="1" applyAlignment="1" applyProtection="1">
      <alignment horizontal="center" vertical="center" wrapText="1"/>
    </xf>
    <xf numFmtId="3" fontId="16" fillId="3" borderId="5" xfId="0" applyNumberFormat="1" applyFont="1" applyFill="1" applyBorder="1" applyAlignment="1" applyProtection="1">
      <alignment horizontal="center" vertical="center" textRotation="90" wrapText="1"/>
    </xf>
    <xf numFmtId="49" fontId="3" fillId="0" borderId="1" xfId="0" applyNumberFormat="1" applyFont="1" applyBorder="1" applyAlignment="1" applyProtection="1">
      <alignment vertical="center"/>
    </xf>
    <xf numFmtId="49" fontId="11" fillId="0" borderId="0" xfId="0" applyNumberFormat="1" applyFont="1" applyBorder="1" applyAlignment="1">
      <alignment horizontal="centerContinuous" vertical="center"/>
    </xf>
    <xf numFmtId="3" fontId="31" fillId="0" borderId="0" xfId="0" applyNumberFormat="1" applyFont="1" applyBorder="1" applyAlignment="1">
      <alignment horizontal="centerContinuous" vertical="center"/>
    </xf>
    <xf numFmtId="3" fontId="11" fillId="0" borderId="0" xfId="0" applyNumberFormat="1" applyFont="1" applyBorder="1" applyAlignment="1">
      <alignment horizontal="centerContinuous" vertical="center"/>
    </xf>
    <xf numFmtId="3" fontId="31" fillId="0" borderId="0" xfId="0" applyNumberFormat="1" applyFont="1" applyBorder="1" applyAlignment="1">
      <alignment vertical="center"/>
    </xf>
    <xf numFmtId="3" fontId="42" fillId="0" borderId="0" xfId="0" applyNumberFormat="1" applyFont="1"/>
    <xf numFmtId="0" fontId="43" fillId="0" borderId="0" xfId="0" applyFont="1" applyProtection="1"/>
    <xf numFmtId="167" fontId="43" fillId="0" borderId="0" xfId="4" applyFont="1" applyBorder="1" applyProtection="1"/>
    <xf numFmtId="0" fontId="43" fillId="0" borderId="0" xfId="0" applyFont="1" applyAlignment="1" applyProtection="1">
      <alignment vertical="center"/>
    </xf>
    <xf numFmtId="167" fontId="43" fillId="0" borderId="0" xfId="4" applyFont="1" applyBorder="1" applyAlignment="1" applyProtection="1">
      <alignment vertical="center"/>
    </xf>
    <xf numFmtId="0" fontId="35" fillId="0" borderId="0" xfId="0" applyFont="1" applyFill="1" applyAlignment="1" applyProtection="1">
      <alignment vertical="center"/>
    </xf>
    <xf numFmtId="3" fontId="44" fillId="0" borderId="0" xfId="0" applyNumberFormat="1" applyFont="1" applyProtection="1"/>
    <xf numFmtId="167" fontId="44" fillId="0" borderId="0" xfId="4" applyFont="1" applyBorder="1" applyProtection="1"/>
    <xf numFmtId="0" fontId="44" fillId="0" borderId="0" xfId="0" applyFont="1" applyProtection="1"/>
    <xf numFmtId="0" fontId="44" fillId="0" borderId="0" xfId="0" applyFont="1" applyAlignment="1" applyProtection="1">
      <alignment vertical="center"/>
    </xf>
    <xf numFmtId="167" fontId="44" fillId="0" borderId="0" xfId="4" applyFont="1" applyBorder="1" applyAlignment="1" applyProtection="1">
      <alignment vertical="center"/>
    </xf>
    <xf numFmtId="169" fontId="44" fillId="0" borderId="0" xfId="4" applyNumberFormat="1" applyFont="1" applyAlignment="1" applyProtection="1">
      <alignment vertical="center"/>
    </xf>
    <xf numFmtId="3" fontId="43" fillId="0" borderId="0" xfId="0" applyNumberFormat="1" applyFont="1" applyAlignment="1" applyProtection="1">
      <alignment vertical="center"/>
    </xf>
    <xf numFmtId="0" fontId="43" fillId="0" borderId="0" xfId="0" applyFont="1" applyFill="1" applyAlignment="1" applyProtection="1">
      <alignment vertical="center"/>
    </xf>
    <xf numFmtId="167" fontId="43" fillId="0" borderId="0" xfId="4" applyFont="1" applyFill="1" applyBorder="1" applyAlignment="1" applyProtection="1">
      <alignment vertical="center"/>
    </xf>
    <xf numFmtId="3" fontId="43" fillId="0" borderId="0" xfId="0" applyNumberFormat="1" applyFont="1" applyFill="1" applyAlignment="1" applyProtection="1">
      <alignment vertical="center"/>
    </xf>
    <xf numFmtId="0" fontId="45" fillId="0" borderId="0" xfId="0" applyFont="1" applyFill="1" applyAlignment="1" applyProtection="1">
      <alignment vertical="center"/>
    </xf>
    <xf numFmtId="167" fontId="45" fillId="0" borderId="0" xfId="4" applyFont="1" applyFill="1" applyBorder="1" applyAlignment="1" applyProtection="1">
      <alignment vertical="center"/>
    </xf>
    <xf numFmtId="3" fontId="45" fillId="0" borderId="0" xfId="0" applyNumberFormat="1" applyFont="1" applyFill="1" applyAlignment="1" applyProtection="1">
      <alignment vertical="center"/>
    </xf>
    <xf numFmtId="0" fontId="45" fillId="0" borderId="0" xfId="0" applyFont="1" applyAlignment="1" applyProtection="1">
      <alignment vertical="center"/>
    </xf>
    <xf numFmtId="167" fontId="45" fillId="0" borderId="0" xfId="4" applyFont="1" applyBorder="1" applyAlignment="1" applyProtection="1">
      <alignment vertical="center"/>
    </xf>
    <xf numFmtId="0" fontId="46" fillId="0" borderId="0" xfId="0" applyFont="1" applyProtection="1"/>
    <xf numFmtId="0" fontId="46" fillId="0" borderId="0" xfId="0" applyFont="1" applyAlignment="1" applyProtection="1">
      <alignment vertical="center"/>
    </xf>
    <xf numFmtId="3" fontId="47" fillId="0" borderId="0" xfId="0" applyNumberFormat="1" applyFont="1" applyAlignment="1" applyProtection="1">
      <alignment vertical="center"/>
    </xf>
    <xf numFmtId="3" fontId="48" fillId="0" borderId="0" xfId="0" applyNumberFormat="1" applyFont="1" applyBorder="1" applyAlignment="1">
      <alignment vertical="center"/>
    </xf>
    <xf numFmtId="0" fontId="49" fillId="0" borderId="0" xfId="0" applyFont="1" applyAlignment="1">
      <alignment vertical="center"/>
    </xf>
    <xf numFmtId="3" fontId="50" fillId="0" borderId="0" xfId="0" applyNumberFormat="1" applyFont="1" applyBorder="1" applyAlignment="1">
      <alignment vertical="center"/>
    </xf>
    <xf numFmtId="49" fontId="10" fillId="0" borderId="1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left" vertical="center" wrapText="1" indent="1"/>
    </xf>
    <xf numFmtId="3" fontId="13" fillId="0" borderId="1" xfId="0" applyNumberFormat="1" applyFont="1" applyFill="1" applyBorder="1" applyAlignment="1" applyProtection="1">
      <alignment vertical="center"/>
    </xf>
    <xf numFmtId="9" fontId="13" fillId="0" borderId="1" xfId="3" applyFont="1" applyFill="1" applyBorder="1" applyAlignment="1" applyProtection="1">
      <alignment vertical="center"/>
    </xf>
    <xf numFmtId="3" fontId="13" fillId="0" borderId="1" xfId="3" applyNumberFormat="1" applyFont="1" applyBorder="1" applyAlignment="1" applyProtection="1">
      <alignment vertical="center"/>
    </xf>
    <xf numFmtId="3" fontId="13" fillId="5" borderId="1" xfId="0" applyNumberFormat="1" applyFont="1" applyFill="1" applyBorder="1" applyAlignment="1" applyProtection="1">
      <alignment vertical="center"/>
    </xf>
    <xf numFmtId="3" fontId="10" fillId="0" borderId="0" xfId="0" applyNumberFormat="1" applyFont="1" applyBorder="1" applyAlignment="1">
      <alignment vertical="center"/>
    </xf>
    <xf numFmtId="3" fontId="13" fillId="0" borderId="0" xfId="0" applyNumberFormat="1" applyFont="1" applyBorder="1" applyAlignment="1">
      <alignment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0" fontId="13" fillId="0" borderId="0" xfId="0" applyFont="1" applyFill="1"/>
    <xf numFmtId="0" fontId="51" fillId="0" borderId="0" xfId="0" applyFont="1" applyAlignment="1" applyProtection="1">
      <alignment vertical="center"/>
    </xf>
    <xf numFmtId="3" fontId="29" fillId="0" borderId="1" xfId="4" applyNumberFormat="1" applyFont="1" applyFill="1" applyBorder="1" applyAlignment="1" applyProtection="1">
      <alignment horizontal="center"/>
      <protection locked="0"/>
    </xf>
    <xf numFmtId="167" fontId="51" fillId="0" borderId="0" xfId="4" applyFont="1" applyBorder="1" applyAlignment="1" applyProtection="1">
      <alignment vertical="center"/>
    </xf>
    <xf numFmtId="3" fontId="51" fillId="0" borderId="1" xfId="4" applyNumberFormat="1" applyFont="1" applyFill="1" applyBorder="1" applyAlignment="1" applyProtection="1">
      <alignment horizontal="center"/>
    </xf>
    <xf numFmtId="9" fontId="26" fillId="0" borderId="1" xfId="3" applyFont="1" applyFill="1" applyBorder="1" applyAlignment="1" applyProtection="1">
      <alignment horizontal="center" vertical="center"/>
    </xf>
    <xf numFmtId="170" fontId="0" fillId="0" borderId="0" xfId="0" applyNumberFormat="1" applyFont="1" applyBorder="1" applyAlignment="1" applyProtection="1">
      <alignment horizontal="center"/>
      <protection locked="0"/>
    </xf>
    <xf numFmtId="3" fontId="5" fillId="0" borderId="1" xfId="0" applyNumberFormat="1" applyFont="1" applyFill="1" applyBorder="1" applyAlignment="1" applyProtection="1">
      <alignment vertical="center"/>
    </xf>
    <xf numFmtId="0" fontId="32" fillId="0" borderId="0" xfId="0" applyFont="1" applyFill="1"/>
    <xf numFmtId="0" fontId="5" fillId="0" borderId="1" xfId="0" applyFont="1" applyBorder="1" applyProtection="1"/>
    <xf numFmtId="0" fontId="2" fillId="0" borderId="1" xfId="0" applyFont="1" applyBorder="1" applyAlignment="1" applyProtection="1">
      <alignment horizontal="left"/>
    </xf>
    <xf numFmtId="0" fontId="2" fillId="0" borderId="1" xfId="0" applyFont="1" applyFill="1" applyBorder="1" applyAlignment="1" applyProtection="1">
      <alignment wrapText="1"/>
    </xf>
    <xf numFmtId="3" fontId="9" fillId="0" borderId="1" xfId="4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 vertical="center" wrapText="1" indent="1"/>
    </xf>
    <xf numFmtId="3" fontId="8" fillId="0" borderId="1" xfId="0" applyNumberFormat="1" applyFont="1" applyFill="1" applyBorder="1" applyAlignment="1" applyProtection="1">
      <alignment vertical="center"/>
    </xf>
    <xf numFmtId="9" fontId="8" fillId="0" borderId="1" xfId="3" applyFont="1" applyFill="1" applyBorder="1" applyAlignment="1" applyProtection="1">
      <alignment vertical="center"/>
    </xf>
    <xf numFmtId="3" fontId="8" fillId="0" borderId="1" xfId="3" applyNumberFormat="1" applyFont="1" applyBorder="1" applyAlignment="1" applyProtection="1">
      <alignment vertical="center"/>
    </xf>
    <xf numFmtId="3" fontId="8" fillId="5" borderId="1" xfId="0" applyNumberFormat="1" applyFont="1" applyFill="1" applyBorder="1" applyAlignment="1" applyProtection="1">
      <alignment vertical="center"/>
    </xf>
    <xf numFmtId="3" fontId="53" fillId="0" borderId="0" xfId="0" applyNumberFormat="1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49" fontId="4" fillId="0" borderId="1" xfId="0" quotePrefix="1" applyNumberFormat="1" applyFont="1" applyBorder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indent="1"/>
    </xf>
    <xf numFmtId="3" fontId="4" fillId="0" borderId="1" xfId="0" applyNumberFormat="1" applyFont="1" applyFill="1" applyBorder="1" applyAlignment="1" applyProtection="1">
      <alignment vertical="center"/>
    </xf>
    <xf numFmtId="3" fontId="34" fillId="0" borderId="0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 applyProtection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Fill="1"/>
    <xf numFmtId="3" fontId="2" fillId="0" borderId="1" xfId="0" applyNumberFormat="1" applyFont="1" applyFill="1" applyBorder="1" applyAlignment="1" applyProtection="1">
      <alignment vertical="center"/>
    </xf>
    <xf numFmtId="3" fontId="2" fillId="0" borderId="0" xfId="3" applyNumberFormat="1" applyFont="1"/>
    <xf numFmtId="3" fontId="2" fillId="0" borderId="0" xfId="0" applyNumberFormat="1" applyFont="1"/>
    <xf numFmtId="3" fontId="5" fillId="0" borderId="0" xfId="0" applyNumberFormat="1" applyFont="1" applyBorder="1" applyAlignment="1">
      <alignment vertical="center"/>
    </xf>
    <xf numFmtId="0" fontId="2" fillId="0" borderId="0" xfId="0" applyFont="1" applyFill="1"/>
    <xf numFmtId="3" fontId="2" fillId="0" borderId="0" xfId="0" applyNumberFormat="1" applyFont="1" applyBorder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5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5" fillId="0" borderId="0" xfId="0" applyFont="1" applyFill="1" applyProtection="1">
      <protection hidden="1"/>
    </xf>
    <xf numFmtId="0" fontId="15" fillId="0" borderId="0" xfId="0" applyFont="1" applyFill="1"/>
    <xf numFmtId="3" fontId="54" fillId="0" borderId="0" xfId="0" applyNumberFormat="1" applyFont="1" applyFill="1" applyProtection="1"/>
    <xf numFmtId="3" fontId="54" fillId="0" borderId="0" xfId="0" applyNumberFormat="1" applyFont="1" applyFill="1" applyProtection="1">
      <protection hidden="1"/>
    </xf>
    <xf numFmtId="3" fontId="26" fillId="0" borderId="1" xfId="0" applyNumberFormat="1" applyFont="1" applyFill="1" applyBorder="1" applyProtection="1"/>
    <xf numFmtId="0" fontId="15" fillId="0" borderId="0" xfId="0" applyFont="1" applyBorder="1" applyProtection="1"/>
    <xf numFmtId="3" fontId="15" fillId="0" borderId="0" xfId="0" applyNumberFormat="1" applyFont="1" applyBorder="1" applyProtection="1"/>
    <xf numFmtId="3" fontId="55" fillId="0" borderId="0" xfId="0" applyNumberFormat="1" applyFont="1" applyFill="1" applyAlignment="1" applyProtection="1">
      <alignment horizontal="center"/>
    </xf>
    <xf numFmtId="3" fontId="55" fillId="0" borderId="0" xfId="0" applyNumberFormat="1" applyFont="1" applyFill="1" applyAlignment="1" applyProtection="1">
      <alignment horizontal="center"/>
      <protection hidden="1"/>
    </xf>
    <xf numFmtId="3" fontId="56" fillId="0" borderId="0" xfId="0" applyNumberFormat="1" applyFont="1"/>
    <xf numFmtId="0" fontId="56" fillId="0" borderId="0" xfId="0" applyFont="1" applyFill="1"/>
    <xf numFmtId="0" fontId="56" fillId="0" borderId="0" xfId="0" applyFont="1" applyAlignment="1">
      <alignment vertical="center"/>
    </xf>
    <xf numFmtId="167" fontId="56" fillId="0" borderId="0" xfId="4" applyFont="1" applyAlignment="1">
      <alignment vertical="center"/>
    </xf>
    <xf numFmtId="0" fontId="56" fillId="0" borderId="0" xfId="0" applyFont="1"/>
    <xf numFmtId="167" fontId="56" fillId="0" borderId="0" xfId="4" applyFont="1"/>
    <xf numFmtId="0" fontId="58" fillId="0" borderId="0" xfId="0" applyFont="1"/>
    <xf numFmtId="167" fontId="58" fillId="0" borderId="0" xfId="4" applyFont="1"/>
    <xf numFmtId="0" fontId="56" fillId="0" borderId="0" xfId="0" applyFont="1" applyFill="1" applyAlignment="1">
      <alignment vertical="center"/>
    </xf>
    <xf numFmtId="167" fontId="56" fillId="0" borderId="0" xfId="4" applyFont="1" applyFill="1" applyAlignment="1">
      <alignment vertical="center"/>
    </xf>
    <xf numFmtId="3" fontId="57" fillId="0" borderId="0" xfId="0" applyNumberFormat="1" applyFont="1" applyFill="1" applyAlignment="1" applyProtection="1">
      <alignment vertical="center"/>
    </xf>
    <xf numFmtId="167" fontId="56" fillId="0" borderId="0" xfId="4" applyFont="1" applyFill="1"/>
    <xf numFmtId="3" fontId="59" fillId="0" borderId="0" xfId="0" applyNumberFormat="1" applyFont="1" applyBorder="1" applyAlignment="1">
      <alignment horizontal="center" vertical="center"/>
    </xf>
    <xf numFmtId="170" fontId="60" fillId="0" borderId="0" xfId="0" applyNumberFormat="1" applyFont="1" applyBorder="1" applyAlignment="1" applyProtection="1">
      <alignment horizontal="center"/>
    </xf>
    <xf numFmtId="3" fontId="61" fillId="3" borderId="1" xfId="0" applyNumberFormat="1" applyFont="1" applyFill="1" applyBorder="1" applyAlignment="1" applyProtection="1">
      <alignment horizontal="center" vertical="center" wrapText="1"/>
    </xf>
    <xf numFmtId="0" fontId="61" fillId="0" borderId="2" xfId="0" applyFont="1" applyBorder="1" applyAlignment="1">
      <alignment horizontal="center"/>
    </xf>
    <xf numFmtId="3" fontId="60" fillId="0" borderId="3" xfId="0" applyNumberFormat="1" applyFont="1" applyBorder="1" applyProtection="1">
      <protection locked="0"/>
    </xf>
    <xf numFmtId="171" fontId="62" fillId="0" borderId="3" xfId="3" applyNumberFormat="1" applyFont="1" applyBorder="1" applyProtection="1"/>
    <xf numFmtId="3" fontId="62" fillId="0" borderId="1" xfId="0" applyNumberFormat="1" applyFont="1" applyFill="1" applyBorder="1" applyProtection="1"/>
    <xf numFmtId="3" fontId="60" fillId="0" borderId="1" xfId="0" applyNumberFormat="1" applyFont="1" applyFill="1" applyBorder="1" applyProtection="1"/>
    <xf numFmtId="3" fontId="62" fillId="0" borderId="1" xfId="3" applyNumberFormat="1" applyFont="1" applyFill="1" applyBorder="1" applyProtection="1"/>
    <xf numFmtId="0" fontId="60" fillId="0" borderId="0" xfId="0" applyFont="1" applyProtection="1"/>
    <xf numFmtId="0" fontId="51" fillId="20" borderId="1" xfId="0" applyFont="1" applyFill="1" applyBorder="1" applyAlignment="1" applyProtection="1">
      <alignment horizontal="left" vertical="center" wrapText="1" indent="1"/>
    </xf>
    <xf numFmtId="0" fontId="29" fillId="20" borderId="1" xfId="0" applyFont="1" applyFill="1" applyBorder="1" applyAlignment="1" applyProtection="1">
      <alignment horizontal="left" vertical="center" wrapText="1" indent="1"/>
    </xf>
    <xf numFmtId="3" fontId="26" fillId="0" borderId="3" xfId="0" applyNumberFormat="1" applyFont="1" applyFill="1" applyBorder="1" applyAlignment="1" applyProtection="1">
      <alignment vertical="center"/>
    </xf>
    <xf numFmtId="0" fontId="26" fillId="0" borderId="2" xfId="0" applyFont="1" applyFill="1" applyBorder="1" applyAlignment="1" applyProtection="1">
      <alignment horizontal="left" vertical="center" wrapText="1" indent="2"/>
    </xf>
    <xf numFmtId="3" fontId="26" fillId="0" borderId="3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</xf>
    <xf numFmtId="0" fontId="2" fillId="0" borderId="2" xfId="0" applyFont="1" applyFill="1" applyBorder="1" applyAlignment="1" applyProtection="1">
      <alignment horizontal="left" vertical="center" wrapText="1" indent="2"/>
    </xf>
    <xf numFmtId="0" fontId="26" fillId="0" borderId="4" xfId="0" applyFont="1" applyFill="1" applyBorder="1" applyAlignment="1" applyProtection="1">
      <alignment horizontal="center" vertical="center"/>
    </xf>
    <xf numFmtId="3" fontId="26" fillId="0" borderId="1" xfId="0" applyNumberFormat="1" applyFont="1" applyFill="1" applyBorder="1" applyAlignment="1" applyProtection="1">
      <alignment vertical="center"/>
      <protection locked="0"/>
    </xf>
    <xf numFmtId="3" fontId="30" fillId="0" borderId="1" xfId="3" applyNumberFormat="1" applyFont="1" applyFill="1" applyBorder="1" applyProtection="1"/>
    <xf numFmtId="0" fontId="83" fillId="0" borderId="0" xfId="0" applyFont="1" applyFill="1" applyAlignment="1" applyProtection="1">
      <alignment horizontal="center" vertical="center"/>
    </xf>
    <xf numFmtId="0" fontId="83" fillId="0" borderId="0" xfId="0" applyFont="1" applyFill="1" applyAlignment="1" applyProtection="1">
      <alignment horizontal="center" vertical="center"/>
      <protection hidden="1"/>
    </xf>
    <xf numFmtId="0" fontId="83" fillId="0" borderId="0" xfId="0" applyFont="1" applyFill="1" applyAlignment="1" applyProtection="1">
      <alignment horizontal="center"/>
    </xf>
    <xf numFmtId="0" fontId="83" fillId="0" borderId="0" xfId="0" applyFont="1" applyFill="1" applyAlignment="1" applyProtection="1">
      <alignment horizontal="center"/>
      <protection hidden="1"/>
    </xf>
    <xf numFmtId="3" fontId="83" fillId="0" borderId="0" xfId="0" applyNumberFormat="1" applyFont="1" applyFill="1" applyAlignment="1" applyProtection="1">
      <alignment horizontal="center"/>
    </xf>
    <xf numFmtId="0" fontId="83" fillId="0" borderId="0" xfId="0" applyFont="1" applyFill="1" applyAlignment="1">
      <alignment horizontal="center"/>
    </xf>
    <xf numFmtId="0" fontId="2" fillId="0" borderId="1" xfId="0" applyFont="1" applyBorder="1" applyAlignment="1">
      <alignment horizontal="left" vertical="center" wrapText="1" indent="1"/>
    </xf>
    <xf numFmtId="3" fontId="60" fillId="0" borderId="1" xfId="0" applyNumberFormat="1" applyFont="1" applyBorder="1" applyAlignment="1" applyProtection="1">
      <alignment vertical="center"/>
    </xf>
    <xf numFmtId="3" fontId="13" fillId="0" borderId="1" xfId="3" applyNumberFormat="1" applyFont="1" applyFill="1" applyBorder="1" applyAlignment="1" applyProtection="1">
      <alignment vertical="center"/>
    </xf>
    <xf numFmtId="0" fontId="84" fillId="0" borderId="0" xfId="0" applyFont="1" applyFill="1" applyProtection="1"/>
    <xf numFmtId="0" fontId="84" fillId="0" borderId="0" xfId="0" applyFont="1" applyFill="1" applyAlignment="1" applyProtection="1">
      <alignment wrapText="1"/>
    </xf>
    <xf numFmtId="0" fontId="84" fillId="0" borderId="0" xfId="0" applyFont="1" applyFill="1" applyAlignment="1" applyProtection="1">
      <alignment horizontal="center"/>
    </xf>
    <xf numFmtId="0" fontId="2" fillId="0" borderId="1" xfId="0" applyFont="1" applyFill="1" applyBorder="1" applyAlignment="1" applyProtection="1">
      <alignment horizontal="left" vertical="center" wrapText="1" indent="2"/>
    </xf>
    <xf numFmtId="3" fontId="2" fillId="0" borderId="3" xfId="0" applyNumberFormat="1" applyFont="1" applyFill="1" applyBorder="1" applyProtection="1"/>
    <xf numFmtId="3" fontId="0" fillId="0" borderId="3" xfId="0" applyNumberFormat="1" applyFont="1" applyFill="1" applyBorder="1" applyProtection="1"/>
    <xf numFmtId="0" fontId="15" fillId="0" borderId="0" xfId="0" applyFont="1" applyFill="1" applyProtection="1"/>
    <xf numFmtId="0" fontId="15" fillId="0" borderId="0" xfId="0" applyFont="1" applyFill="1" applyAlignment="1" applyProtection="1">
      <alignment horizontal="center"/>
    </xf>
    <xf numFmtId="3" fontId="15" fillId="0" borderId="0" xfId="0" applyNumberFormat="1" applyFont="1" applyFill="1" applyAlignment="1" applyProtection="1">
      <alignment horizontal="center"/>
    </xf>
    <xf numFmtId="3" fontId="4" fillId="0" borderId="0" xfId="0" applyNumberFormat="1" applyFont="1" applyAlignment="1">
      <alignment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8" fillId="0" borderId="1" xfId="3" applyNumberFormat="1" applyFont="1" applyFill="1" applyBorder="1" applyAlignment="1" applyProtection="1">
      <alignment vertical="center"/>
    </xf>
    <xf numFmtId="3" fontId="105" fillId="0" borderId="0" xfId="0" applyNumberFormat="1" applyFont="1" applyFill="1" applyAlignment="1" applyProtection="1">
      <alignment horizontal="center"/>
    </xf>
    <xf numFmtId="0" fontId="105" fillId="0" borderId="0" xfId="0" applyFont="1" applyFill="1" applyAlignment="1" applyProtection="1">
      <alignment horizontal="center"/>
    </xf>
    <xf numFmtId="3" fontId="105" fillId="0" borderId="0" xfId="0" applyNumberFormat="1" applyFont="1" applyFill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center" vertical="center"/>
    </xf>
    <xf numFmtId="0" fontId="26" fillId="0" borderId="1" xfId="0" applyFont="1" applyFill="1" applyBorder="1" applyAlignment="1" applyProtection="1">
      <alignment horizontal="left" vertical="center" wrapText="1" indent="2"/>
    </xf>
    <xf numFmtId="0" fontId="26" fillId="0" borderId="1" xfId="0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26" fillId="0" borderId="1" xfId="0" applyFont="1" applyFill="1" applyBorder="1" applyAlignment="1">
      <alignment horizontal="left" vertical="center" wrapText="1" indent="1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>
      <alignment vertical="center" wrapText="1"/>
    </xf>
    <xf numFmtId="4" fontId="3" fillId="0" borderId="0" xfId="0" applyNumberFormat="1" applyFont="1" applyFill="1" applyBorder="1" applyProtection="1">
      <protection locked="0"/>
    </xf>
    <xf numFmtId="4" fontId="60" fillId="0" borderId="0" xfId="0" applyNumberFormat="1" applyFont="1" applyFill="1" applyBorder="1" applyProtection="1">
      <protection locked="0"/>
    </xf>
    <xf numFmtId="171" fontId="5" fillId="0" borderId="1" xfId="3" applyNumberFormat="1" applyFont="1" applyFill="1" applyBorder="1" applyAlignment="1" applyProtection="1">
      <alignment vertical="center"/>
    </xf>
    <xf numFmtId="171" fontId="62" fillId="0" borderId="1" xfId="3" applyNumberFormat="1" applyFont="1" applyFill="1" applyBorder="1" applyAlignment="1" applyProtection="1">
      <alignment vertical="center"/>
    </xf>
    <xf numFmtId="3" fontId="2" fillId="0" borderId="1" xfId="0" applyNumberFormat="1" applyFont="1" applyFill="1" applyBorder="1" applyProtection="1"/>
    <xf numFmtId="3" fontId="26" fillId="0" borderId="12" xfId="0" applyNumberFormat="1" applyFont="1" applyFill="1" applyBorder="1" applyAlignment="1" applyProtection="1">
      <alignment vertical="center"/>
    </xf>
    <xf numFmtId="3" fontId="20" fillId="43" borderId="1" xfId="0" applyNumberFormat="1" applyFont="1" applyFill="1" applyBorder="1" applyAlignment="1" applyProtection="1">
      <alignment horizontal="right" vertical="center"/>
    </xf>
    <xf numFmtId="49" fontId="11" fillId="0" borderId="0" xfId="0" applyNumberFormat="1" applyFont="1" applyFill="1" applyBorder="1" applyAlignment="1">
      <alignment horizontal="centerContinuous" vertical="center"/>
    </xf>
    <xf numFmtId="0" fontId="4" fillId="0" borderId="0" xfId="0" applyFont="1" applyFill="1" applyBorder="1" applyAlignment="1" applyProtection="1">
      <alignment horizontal="center"/>
    </xf>
    <xf numFmtId="49" fontId="10" fillId="0" borderId="1" xfId="0" quotePrefix="1" applyNumberFormat="1" applyFont="1" applyFill="1" applyBorder="1" applyAlignment="1" applyProtection="1">
      <alignment horizontal="center" vertical="center"/>
    </xf>
    <xf numFmtId="3" fontId="10" fillId="0" borderId="1" xfId="0" applyNumberFormat="1" applyFont="1" applyFill="1" applyBorder="1" applyAlignment="1" applyProtection="1">
      <alignment horizontal="left" vertical="center" indent="1"/>
    </xf>
    <xf numFmtId="170" fontId="5" fillId="0" borderId="0" xfId="0" applyNumberFormat="1" applyFont="1" applyFill="1" applyAlignment="1">
      <alignment horizontal="centerContinuous"/>
    </xf>
    <xf numFmtId="49" fontId="2" fillId="0" borderId="1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Protection="1"/>
    <xf numFmtId="3" fontId="2" fillId="0" borderId="0" xfId="0" applyNumberFormat="1" applyFont="1" applyFill="1" applyProtection="1"/>
    <xf numFmtId="49" fontId="2" fillId="0" borderId="0" xfId="0" applyNumberFormat="1" applyFont="1" applyFill="1"/>
    <xf numFmtId="3" fontId="2" fillId="0" borderId="0" xfId="0" applyNumberFormat="1" applyFont="1" applyFill="1" applyBorder="1"/>
    <xf numFmtId="0" fontId="5" fillId="0" borderId="0" xfId="0" applyFont="1" applyFill="1" applyBorder="1"/>
    <xf numFmtId="9" fontId="2" fillId="0" borderId="1" xfId="3" applyFont="1" applyFill="1" applyBorder="1" applyAlignment="1" applyProtection="1">
      <alignment vertical="center"/>
    </xf>
    <xf numFmtId="3" fontId="2" fillId="0" borderId="0" xfId="0" applyNumberFormat="1" applyFont="1" applyBorder="1" applyAlignment="1">
      <alignment vertical="center"/>
    </xf>
    <xf numFmtId="3" fontId="2" fillId="0" borderId="0" xfId="0" applyNumberFormat="1" applyFont="1" applyProtection="1"/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Fill="1" applyBorder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Fill="1" applyAlignment="1">
      <alignment wrapText="1"/>
    </xf>
    <xf numFmtId="9" fontId="2" fillId="0" borderId="0" xfId="3" applyFont="1" applyAlignment="1">
      <alignment wrapText="1"/>
    </xf>
    <xf numFmtId="3" fontId="13" fillId="0" borderId="0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wrapText="1"/>
    </xf>
    <xf numFmtId="3" fontId="5" fillId="0" borderId="1" xfId="3" applyNumberFormat="1" applyFont="1" applyBorder="1" applyAlignment="1">
      <alignment horizontal="center" wrapText="1"/>
    </xf>
    <xf numFmtId="3" fontId="2" fillId="0" borderId="1" xfId="0" applyNumberFormat="1" applyFont="1" applyFill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Fill="1" applyBorder="1" applyAlignment="1" applyProtection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Fill="1" applyBorder="1" applyAlignment="1" applyProtection="1">
      <alignment horizontal="center" wrapText="1"/>
    </xf>
    <xf numFmtId="3" fontId="2" fillId="0" borderId="1" xfId="0" applyNumberFormat="1" applyFont="1" applyBorder="1" applyAlignment="1">
      <alignment wrapText="1"/>
    </xf>
    <xf numFmtId="3" fontId="2" fillId="0" borderId="1" xfId="0" applyNumberFormat="1" applyFont="1" applyFill="1" applyBorder="1" applyAlignment="1" applyProtection="1">
      <alignment horizontal="left" wrapText="1"/>
    </xf>
    <xf numFmtId="3" fontId="106" fillId="0" borderId="0" xfId="0" applyNumberFormat="1" applyFont="1" applyBorder="1" applyAlignment="1">
      <alignment horizontal="center" vertical="center"/>
    </xf>
    <xf numFmtId="170" fontId="5" fillId="0" borderId="0" xfId="0" applyNumberFormat="1" applyFont="1" applyAlignment="1">
      <alignment horizontal="centerContinuous"/>
    </xf>
    <xf numFmtId="49" fontId="2" fillId="0" borderId="1" xfId="0" applyNumberFormat="1" applyFont="1" applyBorder="1" applyAlignment="1" applyProtection="1">
      <alignment vertical="center"/>
    </xf>
    <xf numFmtId="3" fontId="4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49" fontId="2" fillId="0" borderId="0" xfId="0" applyNumberFormat="1" applyFont="1" applyProtection="1"/>
    <xf numFmtId="49" fontId="2" fillId="0" borderId="0" xfId="0" applyNumberFormat="1" applyFont="1"/>
    <xf numFmtId="9" fontId="2" fillId="0" borderId="1" xfId="9" applyFont="1" applyFill="1" applyBorder="1" applyProtection="1">
      <protection hidden="1"/>
    </xf>
    <xf numFmtId="3" fontId="2" fillId="0" borderId="1" xfId="0" applyNumberFormat="1" applyFont="1" applyBorder="1"/>
    <xf numFmtId="3" fontId="2" fillId="0" borderId="0" xfId="0" applyNumberFormat="1" applyFont="1" applyAlignment="1">
      <alignment wrapText="1"/>
    </xf>
    <xf numFmtId="3" fontId="2" fillId="0" borderId="0" xfId="0" applyNumberFormat="1" applyFont="1" applyProtection="1">
      <protection hidden="1"/>
    </xf>
    <xf numFmtId="3" fontId="2" fillId="0" borderId="3" xfId="0" applyNumberFormat="1" applyFont="1" applyFill="1" applyBorder="1" applyProtection="1">
      <protection locked="0"/>
    </xf>
    <xf numFmtId="3" fontId="0" fillId="0" borderId="3" xfId="0" applyNumberFormat="1" applyFont="1" applyFill="1" applyBorder="1" applyProtection="1">
      <protection locked="0"/>
    </xf>
    <xf numFmtId="3" fontId="107" fillId="0" borderId="1" xfId="3" applyNumberFormat="1" applyFont="1" applyBorder="1" applyAlignment="1" applyProtection="1">
      <alignment vertical="center"/>
    </xf>
    <xf numFmtId="0" fontId="32" fillId="0" borderId="0" xfId="0" applyFont="1" applyFill="1" applyAlignment="1">
      <alignment vertical="center"/>
    </xf>
    <xf numFmtId="0" fontId="52" fillId="0" borderId="0" xfId="0" applyFont="1" applyFill="1"/>
    <xf numFmtId="0" fontId="105" fillId="0" borderId="0" xfId="0" applyFont="1" applyFill="1" applyAlignment="1" applyProtection="1">
      <alignment horizontal="center"/>
      <protection hidden="1"/>
    </xf>
    <xf numFmtId="0" fontId="4" fillId="0" borderId="3" xfId="0" applyFont="1" applyBorder="1" applyAlignment="1">
      <alignment horizontal="center"/>
    </xf>
    <xf numFmtId="3" fontId="0" fillId="0" borderId="3" xfId="0" applyNumberFormat="1" applyFont="1" applyFill="1" applyBorder="1" applyAlignment="1">
      <alignment vertical="center" wrapText="1"/>
    </xf>
    <xf numFmtId="3" fontId="0" fillId="0" borderId="12" xfId="0" quotePrefix="1" applyNumberFormat="1" applyFill="1" applyBorder="1" applyAlignment="1">
      <alignment vertical="center" wrapText="1"/>
    </xf>
    <xf numFmtId="0" fontId="5" fillId="0" borderId="23" xfId="0" applyFont="1" applyFill="1" applyBorder="1" applyAlignment="1">
      <alignment horizontal="center" wrapText="1"/>
    </xf>
    <xf numFmtId="4" fontId="3" fillId="0" borderId="24" xfId="0" applyNumberFormat="1" applyFont="1" applyFill="1" applyBorder="1" applyProtection="1">
      <protection locked="0"/>
    </xf>
    <xf numFmtId="167" fontId="2" fillId="0" borderId="0" xfId="4" applyFont="1" applyBorder="1" applyProtection="1"/>
    <xf numFmtId="0" fontId="2" fillId="0" borderId="1" xfId="0" applyFont="1" applyFill="1" applyBorder="1" applyAlignment="1" applyProtection="1">
      <alignment horizontal="left" vertical="center"/>
    </xf>
    <xf numFmtId="0" fontId="2" fillId="0" borderId="0" xfId="0" applyFont="1" applyFill="1" applyAlignment="1" applyProtection="1">
      <alignment vertical="center"/>
    </xf>
    <xf numFmtId="3" fontId="7" fillId="0" borderId="1" xfId="0" applyNumberFormat="1" applyFont="1" applyBorder="1" applyAlignment="1" applyProtection="1">
      <alignment horizontal="right" wrapText="1"/>
      <protection locked="0"/>
    </xf>
    <xf numFmtId="3" fontId="108" fillId="0" borderId="1" xfId="0" quotePrefix="1" applyNumberFormat="1" applyFont="1" applyFill="1" applyBorder="1" applyAlignment="1" applyProtection="1">
      <alignment horizontal="center" vertical="center" wrapText="1"/>
    </xf>
    <xf numFmtId="3" fontId="13" fillId="0" borderId="0" xfId="0" applyNumberFormat="1" applyFont="1" applyFill="1" applyBorder="1" applyAlignment="1">
      <alignment vertical="center"/>
    </xf>
    <xf numFmtId="168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3" fontId="42" fillId="0" borderId="0" xfId="0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109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3" fontId="0" fillId="0" borderId="2" xfId="0" applyNumberFormat="1" applyFont="1" applyFill="1" applyBorder="1" applyAlignment="1" applyProtection="1">
      <alignment vertical="center" wrapText="1"/>
      <protection locked="0"/>
    </xf>
    <xf numFmtId="3" fontId="0" fillId="0" borderId="2" xfId="0" applyNumberFormat="1" applyFont="1" applyFill="1" applyBorder="1" applyAlignment="1">
      <alignment horizontal="left" vertical="center" wrapText="1" indent="1"/>
    </xf>
    <xf numFmtId="0" fontId="26" fillId="0" borderId="1" xfId="0" applyFont="1" applyFill="1" applyBorder="1" applyAlignment="1">
      <alignment horizontal="left" vertical="center" indent="1"/>
    </xf>
    <xf numFmtId="167" fontId="2" fillId="0" borderId="0" xfId="4" applyFont="1" applyFill="1" applyAlignment="1" applyProtection="1">
      <alignment vertical="center"/>
    </xf>
    <xf numFmtId="167" fontId="2" fillId="0" borderId="0" xfId="4" applyFont="1" applyFill="1" applyAlignment="1">
      <alignment vertical="center"/>
    </xf>
    <xf numFmtId="0" fontId="110" fillId="0" borderId="0" xfId="0" applyFont="1" applyFill="1" applyAlignment="1" applyProtection="1">
      <alignment horizontal="center"/>
    </xf>
    <xf numFmtId="0" fontId="110" fillId="0" borderId="0" xfId="0" applyFont="1" applyFill="1" applyAlignment="1" applyProtection="1">
      <alignment horizontal="center"/>
      <protection hidden="1"/>
    </xf>
    <xf numFmtId="0" fontId="110" fillId="0" borderId="0" xfId="0" applyFont="1" applyFill="1" applyProtection="1">
      <protection hidden="1"/>
    </xf>
    <xf numFmtId="0" fontId="110" fillId="0" borderId="0" xfId="0" applyFont="1" applyFill="1"/>
    <xf numFmtId="0" fontId="0" fillId="0" borderId="0" xfId="0" applyFont="1" applyFill="1"/>
    <xf numFmtId="0" fontId="15" fillId="0" borderId="0" xfId="0" applyFont="1" applyProtection="1"/>
    <xf numFmtId="3" fontId="106" fillId="0" borderId="0" xfId="0" applyNumberFormat="1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left" vertical="center" indent="3"/>
    </xf>
    <xf numFmtId="0" fontId="2" fillId="0" borderId="2" xfId="0" applyFont="1" applyBorder="1" applyProtection="1"/>
    <xf numFmtId="0" fontId="5" fillId="0" borderId="2" xfId="0" applyFont="1" applyBorder="1" applyAlignment="1" applyProtection="1">
      <alignment horizontal="left"/>
    </xf>
    <xf numFmtId="0" fontId="5" fillId="0" borderId="2" xfId="0" applyFont="1" applyBorder="1" applyProtection="1"/>
    <xf numFmtId="0" fontId="2" fillId="0" borderId="2" xfId="0" applyFont="1" applyBorder="1" applyAlignment="1" applyProtection="1">
      <alignment horizontal="left" vertical="center" wrapText="1" indent="1"/>
    </xf>
    <xf numFmtId="0" fontId="5" fillId="0" borderId="2" xfId="0" applyFont="1" applyBorder="1" applyAlignment="1" applyProtection="1">
      <alignment horizontal="left" vertical="center" indent="1"/>
    </xf>
    <xf numFmtId="3" fontId="15" fillId="0" borderId="0" xfId="0" applyNumberFormat="1" applyFont="1" applyProtection="1"/>
    <xf numFmtId="0" fontId="2" fillId="0" borderId="1" xfId="0" applyFont="1" applyBorder="1" applyAlignment="1" applyProtection="1">
      <alignment horizontal="left" vertical="center" indent="1"/>
    </xf>
    <xf numFmtId="0" fontId="5" fillId="0" borderId="4" xfId="0" applyFont="1" applyBorder="1" applyAlignment="1" applyProtection="1">
      <alignment horizontal="left" vertical="center" indent="1"/>
    </xf>
    <xf numFmtId="0" fontId="5" fillId="0" borderId="0" xfId="0" applyFont="1" applyBorder="1" applyProtection="1"/>
    <xf numFmtId="167" fontId="15" fillId="0" borderId="0" xfId="4" applyFont="1" applyBorder="1" applyProtection="1"/>
    <xf numFmtId="167" fontId="2" fillId="0" borderId="0" xfId="4" applyFont="1" applyProtection="1"/>
    <xf numFmtId="0" fontId="111" fillId="0" borderId="0" xfId="0" applyFont="1" applyProtection="1"/>
    <xf numFmtId="0" fontId="2" fillId="0" borderId="0" xfId="0" applyFont="1" applyAlignment="1" applyProtection="1">
      <alignment vertical="center"/>
    </xf>
    <xf numFmtId="170" fontId="2" fillId="0" borderId="0" xfId="0" applyNumberFormat="1" applyFont="1" applyBorder="1" applyAlignment="1" applyProtection="1">
      <alignment horizontal="center"/>
    </xf>
    <xf numFmtId="0" fontId="2" fillId="0" borderId="0" xfId="0" applyFont="1" applyAlignment="1" applyProtection="1">
      <alignment horizontal="center" vertical="center" wrapText="1"/>
    </xf>
    <xf numFmtId="15" fontId="2" fillId="0" borderId="0" xfId="0" applyNumberFormat="1" applyFont="1" applyAlignment="1" applyProtection="1">
      <alignment horizontal="center" vertical="center" wrapText="1"/>
    </xf>
    <xf numFmtId="0" fontId="111" fillId="0" borderId="0" xfId="0" applyFont="1" applyAlignment="1" applyProtection="1">
      <alignment vertical="center"/>
    </xf>
    <xf numFmtId="0" fontId="111" fillId="0" borderId="0" xfId="0" applyFont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0" fontId="5" fillId="0" borderId="1" xfId="0" quotePrefix="1" applyFont="1" applyFill="1" applyBorder="1" applyAlignment="1" applyProtection="1">
      <alignment horizontal="left" vertical="center"/>
    </xf>
    <xf numFmtId="0" fontId="2" fillId="0" borderId="1" xfId="0" quotePrefix="1" applyFont="1" applyFill="1" applyBorder="1" applyAlignment="1" applyProtection="1">
      <alignment horizontal="left" vertical="center"/>
    </xf>
    <xf numFmtId="3" fontId="2" fillId="4" borderId="5" xfId="0" applyNumberFormat="1" applyFont="1" applyFill="1" applyBorder="1" applyAlignment="1" applyProtection="1">
      <alignment vertical="center"/>
    </xf>
    <xf numFmtId="3" fontId="2" fillId="4" borderId="3" xfId="0" applyNumberFormat="1" applyFont="1" applyFill="1" applyBorder="1" applyAlignment="1" applyProtection="1">
      <alignment vertical="center"/>
    </xf>
    <xf numFmtId="3" fontId="111" fillId="0" borderId="0" xfId="0" applyNumberFormat="1" applyFont="1" applyBorder="1" applyAlignment="1" applyProtection="1">
      <alignment vertical="center"/>
    </xf>
    <xf numFmtId="0" fontId="5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111" fillId="0" borderId="0" xfId="0" applyFont="1" applyBorder="1" applyProtection="1"/>
    <xf numFmtId="0" fontId="5" fillId="0" borderId="1" xfId="0" quotePrefix="1" applyFont="1" applyBorder="1" applyAlignment="1" applyProtection="1">
      <alignment horizontal="left" vertical="center" wrapText="1"/>
    </xf>
    <xf numFmtId="3" fontId="111" fillId="0" borderId="0" xfId="0" applyNumberFormat="1" applyFont="1" applyAlignment="1" applyProtection="1">
      <alignment vertical="center"/>
    </xf>
    <xf numFmtId="0" fontId="5" fillId="0" borderId="1" xfId="0" applyFont="1" applyFill="1" applyBorder="1" applyAlignment="1" applyProtection="1">
      <alignment vertical="center"/>
    </xf>
    <xf numFmtId="0" fontId="111" fillId="0" borderId="0" xfId="0" applyFont="1" applyFill="1" applyBorder="1" applyAlignment="1" applyProtection="1">
      <alignment vertical="center"/>
    </xf>
    <xf numFmtId="3" fontId="111" fillId="0" borderId="0" xfId="0" applyNumberFormat="1" applyFont="1" applyBorder="1" applyProtection="1"/>
    <xf numFmtId="49" fontId="5" fillId="0" borderId="0" xfId="0" quotePrefix="1" applyNumberFormat="1" applyFont="1" applyFill="1" applyBorder="1" applyAlignment="1" applyProtection="1">
      <alignment wrapText="1"/>
    </xf>
    <xf numFmtId="0" fontId="5" fillId="0" borderId="1" xfId="0" applyFont="1" applyBorder="1" applyAlignment="1" applyProtection="1">
      <alignment horizontal="left" vertical="center" wrapText="1"/>
    </xf>
    <xf numFmtId="0" fontId="111" fillId="0" borderId="0" xfId="0" applyFont="1" applyBorder="1" applyAlignment="1" applyProtection="1">
      <alignment vertical="center" wrapText="1"/>
    </xf>
    <xf numFmtId="0" fontId="2" fillId="0" borderId="0" xfId="0" applyFont="1" applyAlignment="1" applyProtection="1">
      <alignment vertical="center" wrapText="1"/>
    </xf>
    <xf numFmtId="0" fontId="2" fillId="0" borderId="1" xfId="0" applyFont="1" applyBorder="1" applyProtection="1"/>
    <xf numFmtId="168" fontId="2" fillId="0" borderId="1" xfId="0" applyNumberFormat="1" applyFont="1" applyFill="1" applyBorder="1" applyAlignment="1" applyProtection="1"/>
    <xf numFmtId="3" fontId="2" fillId="4" borderId="5" xfId="0" applyNumberFormat="1" applyFont="1" applyFill="1" applyBorder="1" applyAlignment="1" applyProtection="1"/>
    <xf numFmtId="3" fontId="2" fillId="0" borderId="1" xfId="0" applyNumberFormat="1" applyFont="1" applyFill="1" applyBorder="1" applyAlignment="1" applyProtection="1"/>
    <xf numFmtId="3" fontId="2" fillId="4" borderId="3" xfId="0" applyNumberFormat="1" applyFont="1" applyFill="1" applyBorder="1" applyAlignment="1" applyProtection="1"/>
    <xf numFmtId="0" fontId="5" fillId="0" borderId="0" xfId="0" applyFont="1" applyProtection="1"/>
    <xf numFmtId="3" fontId="2" fillId="4" borderId="1" xfId="0" applyNumberFormat="1" applyFont="1" applyFill="1" applyBorder="1" applyAlignment="1" applyProtection="1"/>
    <xf numFmtId="0" fontId="111" fillId="0" borderId="0" xfId="0" applyFont="1" applyFill="1" applyBorder="1" applyProtection="1"/>
    <xf numFmtId="0" fontId="2" fillId="0" borderId="1" xfId="0" quotePrefix="1" applyFont="1" applyBorder="1" applyAlignment="1" applyProtection="1">
      <alignment horizontal="left" wrapText="1"/>
    </xf>
    <xf numFmtId="3" fontId="26" fillId="0" borderId="1" xfId="0" applyNumberFormat="1" applyFont="1" applyBorder="1" applyProtection="1"/>
    <xf numFmtId="0" fontId="112" fillId="0" borderId="0" xfId="0" quotePrefix="1" applyNumberFormat="1" applyFont="1" applyFill="1" applyBorder="1" applyAlignment="1" applyProtection="1">
      <alignment horizontal="left"/>
    </xf>
    <xf numFmtId="0" fontId="104" fillId="0" borderId="0" xfId="0" applyFont="1" applyFill="1" applyAlignment="1" applyProtection="1">
      <alignment horizontal="center"/>
    </xf>
    <xf numFmtId="0" fontId="26" fillId="0" borderId="0" xfId="0" applyFont="1" applyFill="1" applyAlignment="1" applyProtection="1">
      <alignment horizontal="center"/>
    </xf>
    <xf numFmtId="0" fontId="55" fillId="0" borderId="0" xfId="0" applyFont="1" applyFill="1" applyAlignment="1" applyProtection="1">
      <alignment horizontal="center"/>
    </xf>
    <xf numFmtId="0" fontId="33" fillId="0" borderId="0" xfId="0" applyFont="1" applyAlignment="1"/>
    <xf numFmtId="0" fontId="113" fillId="0" borderId="0" xfId="0" applyFont="1" applyAlignment="1">
      <alignment vertical="center"/>
    </xf>
    <xf numFmtId="0" fontId="114" fillId="0" borderId="0" xfId="0" applyFont="1" applyAlignment="1" applyProtection="1">
      <alignment horizontal="center"/>
    </xf>
    <xf numFmtId="3" fontId="13" fillId="0" borderId="0" xfId="0" applyNumberFormat="1" applyFont="1" applyAlignment="1" applyProtection="1">
      <alignment vertical="center"/>
      <protection locked="0"/>
    </xf>
    <xf numFmtId="3" fontId="7" fillId="0" borderId="3" xfId="454" applyNumberFormat="1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3" fontId="16" fillId="3" borderId="6" xfId="0" applyNumberFormat="1" applyFont="1" applyFill="1" applyBorder="1" applyAlignment="1" applyProtection="1">
      <alignment horizontal="center" vertical="center" wrapText="1"/>
    </xf>
    <xf numFmtId="3" fontId="16" fillId="3" borderId="8" xfId="0" applyNumberFormat="1" applyFont="1" applyFill="1" applyBorder="1" applyAlignment="1" applyProtection="1">
      <alignment horizontal="center" vertical="center" wrapText="1"/>
    </xf>
    <xf numFmtId="3" fontId="16" fillId="0" borderId="5" xfId="0" applyNumberFormat="1" applyFont="1" applyFill="1" applyBorder="1" applyAlignment="1" applyProtection="1">
      <alignment horizontal="center" vertical="center" wrapText="1"/>
    </xf>
    <xf numFmtId="3" fontId="16" fillId="0" borderId="11" xfId="0" applyNumberFormat="1" applyFont="1" applyFill="1" applyBorder="1" applyAlignment="1" applyProtection="1">
      <alignment horizontal="center" vertical="center" wrapText="1"/>
    </xf>
    <xf numFmtId="3" fontId="5" fillId="0" borderId="0" xfId="3" applyNumberFormat="1" applyFont="1" applyAlignment="1">
      <alignment horizontal="center" wrapText="1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11" xfId="0" applyNumberFormat="1" applyFont="1" applyFill="1" applyBorder="1" applyAlignment="1" applyProtection="1">
      <alignment horizontal="center" vertical="center" wrapText="1"/>
    </xf>
    <xf numFmtId="3" fontId="16" fillId="3" borderId="7" xfId="0" applyNumberFormat="1" applyFont="1" applyFill="1" applyBorder="1" applyAlignment="1" applyProtection="1">
      <alignment horizontal="center" vertical="center" wrapText="1"/>
    </xf>
    <xf numFmtId="3" fontId="16" fillId="3" borderId="13" xfId="0" applyNumberFormat="1" applyFont="1" applyFill="1" applyBorder="1" applyAlignment="1" applyProtection="1">
      <alignment horizontal="center" vertical="center" wrapText="1"/>
    </xf>
    <xf numFmtId="3" fontId="16" fillId="3" borderId="2" xfId="0" applyNumberFormat="1" applyFont="1" applyFill="1" applyBorder="1" applyAlignment="1" applyProtection="1">
      <alignment horizontal="center" vertical="center" wrapText="1"/>
    </xf>
    <xf numFmtId="3" fontId="16" fillId="3" borderId="12" xfId="0" applyNumberFormat="1" applyFont="1" applyFill="1" applyBorder="1" applyAlignment="1" applyProtection="1">
      <alignment horizontal="center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3" fontId="16" fillId="3" borderId="10" xfId="0" applyNumberFormat="1" applyFont="1" applyFill="1" applyBorder="1" applyAlignment="1" applyProtection="1">
      <alignment horizontal="center" vertical="center" wrapText="1"/>
    </xf>
    <xf numFmtId="3" fontId="16" fillId="3" borderId="9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3" fontId="41" fillId="3" borderId="11" xfId="0" applyNumberFormat="1" applyFont="1" applyFill="1" applyBorder="1" applyAlignment="1" applyProtection="1">
      <alignment horizontal="center" vertical="center" wrapText="1"/>
    </xf>
    <xf numFmtId="3" fontId="41" fillId="3" borderId="4" xfId="0" applyNumberFormat="1" applyFont="1" applyFill="1" applyBorder="1" applyAlignment="1" applyProtection="1">
      <alignment horizontal="center" vertical="center" wrapText="1"/>
    </xf>
    <xf numFmtId="3" fontId="41" fillId="3" borderId="6" xfId="0" applyNumberFormat="1" applyFont="1" applyFill="1" applyBorder="1" applyAlignment="1" applyProtection="1">
      <alignment horizontal="center" vertical="center" wrapText="1"/>
    </xf>
    <xf numFmtId="3" fontId="41" fillId="3" borderId="7" xfId="0" applyNumberFormat="1" applyFont="1" applyFill="1" applyBorder="1" applyAlignment="1" applyProtection="1">
      <alignment horizontal="center" vertical="center" wrapText="1"/>
    </xf>
    <xf numFmtId="3" fontId="41" fillId="3" borderId="13" xfId="0" applyNumberFormat="1" applyFont="1" applyFill="1" applyBorder="1" applyAlignment="1" applyProtection="1">
      <alignment horizontal="center" vertical="center" wrapText="1"/>
    </xf>
    <xf numFmtId="3" fontId="41" fillId="3" borderId="2" xfId="0" applyNumberFormat="1" applyFont="1" applyFill="1" applyBorder="1" applyAlignment="1" applyProtection="1">
      <alignment horizontal="center" vertical="center" wrapText="1"/>
    </xf>
    <xf numFmtId="3" fontId="41" fillId="3" borderId="12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Border="1" applyAlignment="1">
      <alignment horizontal="center" vertical="center" wrapText="1"/>
    </xf>
    <xf numFmtId="3" fontId="41" fillId="3" borderId="10" xfId="0" applyNumberFormat="1" applyFont="1" applyFill="1" applyBorder="1" applyAlignment="1" applyProtection="1">
      <alignment horizontal="center" vertical="center" wrapText="1"/>
    </xf>
    <xf numFmtId="3" fontId="41" fillId="3" borderId="9" xfId="0" applyNumberFormat="1" applyFont="1" applyFill="1" applyBorder="1" applyAlignment="1" applyProtection="1">
      <alignment horizontal="center" vertical="center" wrapText="1"/>
    </xf>
    <xf numFmtId="3" fontId="41" fillId="3" borderId="8" xfId="0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170" fontId="26" fillId="0" borderId="9" xfId="0" applyNumberFormat="1" applyFont="1" applyBorder="1" applyAlignment="1" applyProtection="1">
      <alignment horizontal="center"/>
    </xf>
    <xf numFmtId="0" fontId="37" fillId="0" borderId="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Денежный [0]" xfId="1" builtinId="7"/>
    <cellStyle name="Обычный" xfId="0" builtinId="0"/>
    <cellStyle name="Обычный 10" xfId="331" xr:uid="{00000000-0005-0000-0000-000080010000}"/>
    <cellStyle name="Обычный 10 10" xfId="332" xr:uid="{00000000-0005-0000-0000-000081010000}"/>
    <cellStyle name="Обычный 10 11" xfId="333" xr:uid="{00000000-0005-0000-0000-000082010000}"/>
    <cellStyle name="Обычный 10 2" xfId="334" xr:uid="{00000000-0005-0000-0000-000083010000}"/>
    <cellStyle name="Обычный 10 2 2" xfId="335" xr:uid="{00000000-0005-0000-0000-000084010000}"/>
    <cellStyle name="Обычный 10 2 2 2" xfId="336" xr:uid="{00000000-0005-0000-0000-000085010000}"/>
    <cellStyle name="Обычный 10 2 3" xfId="337" xr:uid="{00000000-0005-0000-0000-000086010000}"/>
    <cellStyle name="Обычный 10 3" xfId="338" xr:uid="{00000000-0005-0000-0000-000087010000}"/>
    <cellStyle name="Обычный 10 3 2" xfId="339" xr:uid="{00000000-0005-0000-0000-000088010000}"/>
    <cellStyle name="Обычный 10 3 3" xfId="340" xr:uid="{00000000-0005-0000-0000-000089010000}"/>
    <cellStyle name="Обычный 10 4" xfId="341" xr:uid="{00000000-0005-0000-0000-00008A010000}"/>
    <cellStyle name="Обычный 10 5" xfId="342" xr:uid="{00000000-0005-0000-0000-00008B010000}"/>
    <cellStyle name="Обычный 10 6" xfId="343" xr:uid="{00000000-0005-0000-0000-00008C010000}"/>
    <cellStyle name="Обычный 10 7" xfId="344" xr:uid="{00000000-0005-0000-0000-00008D010000}"/>
    <cellStyle name="Обычный 10 8" xfId="345" xr:uid="{00000000-0005-0000-0000-00008E010000}"/>
    <cellStyle name="Обычный 10 9" xfId="346" xr:uid="{00000000-0005-0000-0000-00008F010000}"/>
    <cellStyle name="Обычный 100" xfId="347" xr:uid="{00000000-0005-0000-0000-000090010000}"/>
    <cellStyle name="Обычный 100 2" xfId="348" xr:uid="{00000000-0005-0000-0000-000091010000}"/>
    <cellStyle name="Обычный 100 2 2" xfId="349" xr:uid="{00000000-0005-0000-0000-000092010000}"/>
    <cellStyle name="Обычный 101" xfId="350" xr:uid="{00000000-0005-0000-0000-000093010000}"/>
    <cellStyle name="Обычный 102" xfId="351" xr:uid="{00000000-0005-0000-0000-000094010000}"/>
    <cellStyle name="Обычный 103" xfId="352" xr:uid="{00000000-0005-0000-0000-000095010000}"/>
    <cellStyle name="Обычный 104" xfId="353" xr:uid="{00000000-0005-0000-0000-000096010000}"/>
    <cellStyle name="Обычный 106" xfId="354" xr:uid="{00000000-0005-0000-0000-000097010000}"/>
    <cellStyle name="Обычный 107" xfId="355" xr:uid="{00000000-0005-0000-0000-000098010000}"/>
    <cellStyle name="Обычный 109" xfId="356" xr:uid="{00000000-0005-0000-0000-000099010000}"/>
    <cellStyle name="Обычный 11" xfId="357" xr:uid="{00000000-0005-0000-0000-00009A010000}"/>
    <cellStyle name="Обычный 11 2" xfId="358" xr:uid="{00000000-0005-0000-0000-00009B010000}"/>
    <cellStyle name="Обычный 11 2 2" xfId="359" xr:uid="{00000000-0005-0000-0000-00009C010000}"/>
    <cellStyle name="Обычный 11 3" xfId="360" xr:uid="{00000000-0005-0000-0000-00009D010000}"/>
    <cellStyle name="Обычный 11 4" xfId="361" xr:uid="{00000000-0005-0000-0000-00009E010000}"/>
    <cellStyle name="Обычный 11 6" xfId="362" xr:uid="{00000000-0005-0000-0000-00009F010000}"/>
    <cellStyle name="Обычный 110" xfId="363" xr:uid="{00000000-0005-0000-0000-0000A0010000}"/>
    <cellStyle name="Обычный 112" xfId="364" xr:uid="{00000000-0005-0000-0000-0000A1010000}"/>
    <cellStyle name="Обычный 113" xfId="365" xr:uid="{00000000-0005-0000-0000-0000A2010000}"/>
    <cellStyle name="Обычный 115" xfId="366" xr:uid="{00000000-0005-0000-0000-0000A3010000}"/>
    <cellStyle name="Обычный 116" xfId="367" xr:uid="{00000000-0005-0000-0000-0000A4010000}"/>
    <cellStyle name="Обычный 118" xfId="368" xr:uid="{00000000-0005-0000-0000-0000A5010000}"/>
    <cellStyle name="Обычный 12" xfId="369" xr:uid="{00000000-0005-0000-0000-0000A6010000}"/>
    <cellStyle name="Обычный 12 2" xfId="370" xr:uid="{00000000-0005-0000-0000-0000A7010000}"/>
    <cellStyle name="Обычный 12 2 2" xfId="371" xr:uid="{00000000-0005-0000-0000-0000A8010000}"/>
    <cellStyle name="Обычный 12 3" xfId="372" xr:uid="{00000000-0005-0000-0000-0000A9010000}"/>
    <cellStyle name="Обычный 12 4" xfId="373" xr:uid="{00000000-0005-0000-0000-0000AA010000}"/>
    <cellStyle name="Обычный 12 5" xfId="374" xr:uid="{00000000-0005-0000-0000-0000AB010000}"/>
    <cellStyle name="Обычный 12 6" xfId="375" xr:uid="{00000000-0005-0000-0000-0000AC010000}"/>
    <cellStyle name="Обычный 12 7" xfId="376" xr:uid="{00000000-0005-0000-0000-0000AD010000}"/>
    <cellStyle name="Обычный 12 8" xfId="377" xr:uid="{00000000-0005-0000-0000-0000AE010000}"/>
    <cellStyle name="Обычный 120" xfId="378" xr:uid="{00000000-0005-0000-0000-0000AF010000}"/>
    <cellStyle name="Обычный 121" xfId="379" xr:uid="{00000000-0005-0000-0000-0000B0010000}"/>
    <cellStyle name="Обычный 122" xfId="380" xr:uid="{00000000-0005-0000-0000-0000B1010000}"/>
    <cellStyle name="Обычный 123" xfId="381" xr:uid="{00000000-0005-0000-0000-0000B2010000}"/>
    <cellStyle name="Обычный 13" xfId="382" xr:uid="{00000000-0005-0000-0000-0000B3010000}"/>
    <cellStyle name="Обычный 13 2" xfId="383" xr:uid="{00000000-0005-0000-0000-0000B4010000}"/>
    <cellStyle name="Обычный 13 2 2" xfId="384" xr:uid="{00000000-0005-0000-0000-0000B5010000}"/>
    <cellStyle name="Обычный 14" xfId="385" xr:uid="{00000000-0005-0000-0000-0000B6010000}"/>
    <cellStyle name="Обычный 14 2" xfId="386" xr:uid="{00000000-0005-0000-0000-0000B7010000}"/>
    <cellStyle name="Обычный 14 2 2" xfId="387" xr:uid="{00000000-0005-0000-0000-0000B8010000}"/>
    <cellStyle name="Обычный 14 3" xfId="388" xr:uid="{00000000-0005-0000-0000-0000B9010000}"/>
    <cellStyle name="Обычный 14 4" xfId="389" xr:uid="{00000000-0005-0000-0000-0000BA010000}"/>
    <cellStyle name="Обычный 14 5" xfId="390" xr:uid="{00000000-0005-0000-0000-0000BB010000}"/>
    <cellStyle name="Обычный 144" xfId="391" xr:uid="{00000000-0005-0000-0000-0000BC010000}"/>
    <cellStyle name="Обычный 147" xfId="392" xr:uid="{00000000-0005-0000-0000-0000BD010000}"/>
    <cellStyle name="Обычный 148" xfId="393" xr:uid="{00000000-0005-0000-0000-0000BE010000}"/>
    <cellStyle name="Обычный 15" xfId="394" xr:uid="{00000000-0005-0000-0000-0000BF010000}"/>
    <cellStyle name="Обычный 15 2" xfId="395" xr:uid="{00000000-0005-0000-0000-0000C0010000}"/>
    <cellStyle name="Обычный 15 2 2" xfId="396" xr:uid="{00000000-0005-0000-0000-0000C1010000}"/>
    <cellStyle name="Обычный 15 2 3" xfId="397" xr:uid="{00000000-0005-0000-0000-0000C2010000}"/>
    <cellStyle name="Обычный 15 2 4" xfId="398" xr:uid="{00000000-0005-0000-0000-0000C3010000}"/>
    <cellStyle name="Обычный 15 2 5" xfId="399" xr:uid="{00000000-0005-0000-0000-0000C4010000}"/>
    <cellStyle name="Обычный 15 2 6" xfId="400" xr:uid="{00000000-0005-0000-0000-0000C5010000}"/>
    <cellStyle name="Обычный 15 3" xfId="401" xr:uid="{00000000-0005-0000-0000-0000C6010000}"/>
    <cellStyle name="Обычный 15 4" xfId="402" xr:uid="{00000000-0005-0000-0000-0000C7010000}"/>
    <cellStyle name="Обычный 15 5" xfId="403" xr:uid="{00000000-0005-0000-0000-0000C8010000}"/>
    <cellStyle name="Обычный 16" xfId="404" xr:uid="{00000000-0005-0000-0000-0000C9010000}"/>
    <cellStyle name="Обычный 16 10" xfId="405" xr:uid="{00000000-0005-0000-0000-0000CA010000}"/>
    <cellStyle name="Обычный 16 11" xfId="406" xr:uid="{00000000-0005-0000-0000-0000CB010000}"/>
    <cellStyle name="Обычный 16 12" xfId="407" xr:uid="{00000000-0005-0000-0000-0000CC010000}"/>
    <cellStyle name="Обычный 16 13" xfId="408" xr:uid="{00000000-0005-0000-0000-0000CD010000}"/>
    <cellStyle name="Обычный 16 14" xfId="409" xr:uid="{00000000-0005-0000-0000-0000CE010000}"/>
    <cellStyle name="Обычный 16 2" xfId="410" xr:uid="{00000000-0005-0000-0000-0000CF010000}"/>
    <cellStyle name="Обычный 16 2 2" xfId="411" xr:uid="{00000000-0005-0000-0000-0000D0010000}"/>
    <cellStyle name="Обычный 16 3" xfId="412" xr:uid="{00000000-0005-0000-0000-0000D1010000}"/>
    <cellStyle name="Обычный 16 3 2" xfId="413" xr:uid="{00000000-0005-0000-0000-0000D2010000}"/>
    <cellStyle name="Обычный 16 4" xfId="414" xr:uid="{00000000-0005-0000-0000-0000D3010000}"/>
    <cellStyle name="Обычный 16 4 2" xfId="415" xr:uid="{00000000-0005-0000-0000-0000D4010000}"/>
    <cellStyle name="Обычный 16 5" xfId="416" xr:uid="{00000000-0005-0000-0000-0000D5010000}"/>
    <cellStyle name="Обычный 16 6" xfId="417" xr:uid="{00000000-0005-0000-0000-0000D6010000}"/>
    <cellStyle name="Обычный 16 7" xfId="418" xr:uid="{00000000-0005-0000-0000-0000D7010000}"/>
    <cellStyle name="Обычный 16 8" xfId="419" xr:uid="{00000000-0005-0000-0000-0000D8010000}"/>
    <cellStyle name="Обычный 16 9" xfId="420" xr:uid="{00000000-0005-0000-0000-0000D9010000}"/>
    <cellStyle name="Обычный 17" xfId="421" xr:uid="{00000000-0005-0000-0000-0000DA010000}"/>
    <cellStyle name="Обычный 17 2" xfId="422" xr:uid="{00000000-0005-0000-0000-0000DB010000}"/>
    <cellStyle name="Обычный 17 2 2" xfId="423" xr:uid="{00000000-0005-0000-0000-0000DC010000}"/>
    <cellStyle name="Обычный 17 3" xfId="424" xr:uid="{00000000-0005-0000-0000-0000DD010000}"/>
    <cellStyle name="Обычный 17 4" xfId="425" xr:uid="{00000000-0005-0000-0000-0000DE010000}"/>
    <cellStyle name="Обычный 18" xfId="426" xr:uid="{00000000-0005-0000-0000-0000DF010000}"/>
    <cellStyle name="Обычный 18 2" xfId="427" xr:uid="{00000000-0005-0000-0000-0000E0010000}"/>
    <cellStyle name="Обычный 18 2 2" xfId="428" xr:uid="{00000000-0005-0000-0000-0000E1010000}"/>
    <cellStyle name="Обычный 18 2 2 2" xfId="429" xr:uid="{00000000-0005-0000-0000-0000E2010000}"/>
    <cellStyle name="Обычный 18 2 3" xfId="430" xr:uid="{00000000-0005-0000-0000-0000E3010000}"/>
    <cellStyle name="Обычный 18 2 4" xfId="431" xr:uid="{00000000-0005-0000-0000-0000E4010000}"/>
    <cellStyle name="Обычный 18 3" xfId="432" xr:uid="{00000000-0005-0000-0000-0000E5010000}"/>
    <cellStyle name="Обычный 18 3 2" xfId="433" xr:uid="{00000000-0005-0000-0000-0000E6010000}"/>
    <cellStyle name="Обычный 18 4" xfId="434" xr:uid="{00000000-0005-0000-0000-0000E7010000}"/>
    <cellStyle name="Обычный 18 5" xfId="435" xr:uid="{00000000-0005-0000-0000-0000E8010000}"/>
    <cellStyle name="Обычный 18 6" xfId="436" xr:uid="{00000000-0005-0000-0000-0000E9010000}"/>
    <cellStyle name="Обычный 188" xfId="437" xr:uid="{00000000-0005-0000-0000-0000EA010000}"/>
    <cellStyle name="Обычный 19" xfId="438" xr:uid="{00000000-0005-0000-0000-0000EB010000}"/>
    <cellStyle name="Обычный 19 2" xfId="439" xr:uid="{00000000-0005-0000-0000-0000EC010000}"/>
    <cellStyle name="Обычный 19 2 2" xfId="440" xr:uid="{00000000-0005-0000-0000-0000ED010000}"/>
    <cellStyle name="Обычный 19 2 3" xfId="441" xr:uid="{00000000-0005-0000-0000-0000EE010000}"/>
    <cellStyle name="Обычный 19 3" xfId="442" xr:uid="{00000000-0005-0000-0000-0000EF010000}"/>
    <cellStyle name="Обычный 190" xfId="443" xr:uid="{00000000-0005-0000-0000-0000F0010000}"/>
    <cellStyle name="Обычный 2" xfId="2" xr:uid="{00000000-0005-0000-0000-0000F1010000}"/>
    <cellStyle name="Обычный 2 10" xfId="444" xr:uid="{00000000-0005-0000-0000-0000F2010000}"/>
    <cellStyle name="Обычный 2 11" xfId="445" xr:uid="{00000000-0005-0000-0000-0000F3010000}"/>
    <cellStyle name="Обычный 2 12" xfId="446" xr:uid="{00000000-0005-0000-0000-0000F4010000}"/>
    <cellStyle name="Обычный 2 13" xfId="447" xr:uid="{00000000-0005-0000-0000-0000F5010000}"/>
    <cellStyle name="Обычный 2 14" xfId="448" xr:uid="{00000000-0005-0000-0000-0000F6010000}"/>
    <cellStyle name="Обычный 2 15" xfId="449" xr:uid="{00000000-0005-0000-0000-0000F7010000}"/>
    <cellStyle name="Обычный 2 16" xfId="450" xr:uid="{00000000-0005-0000-0000-0000F8010000}"/>
    <cellStyle name="Обычный 2 17" xfId="451" xr:uid="{00000000-0005-0000-0000-0000F9010000}"/>
    <cellStyle name="Обычный 2 18" xfId="452" xr:uid="{00000000-0005-0000-0000-0000FA010000}"/>
    <cellStyle name="Обычный 2 19" xfId="453" xr:uid="{00000000-0005-0000-0000-0000FB010000}"/>
    <cellStyle name="Обычный 2 2" xfId="454" xr:uid="{00000000-0005-0000-0000-0000FC010000}"/>
    <cellStyle name="Обычный 2 2 10" xfId="455" xr:uid="{00000000-0005-0000-0000-0000FD010000}"/>
    <cellStyle name="Обычный 2 2 10 2" xfId="456" xr:uid="{00000000-0005-0000-0000-0000FE010000}"/>
    <cellStyle name="Обычный 2 2 11" xfId="457" xr:uid="{00000000-0005-0000-0000-0000FF010000}"/>
    <cellStyle name="Обычный 2 2 11 2" xfId="458" xr:uid="{00000000-0005-0000-0000-000000020000}"/>
    <cellStyle name="Обычный 2 2 12" xfId="459" xr:uid="{00000000-0005-0000-0000-000001020000}"/>
    <cellStyle name="Обычный 2 2 12 2" xfId="460" xr:uid="{00000000-0005-0000-0000-000002020000}"/>
    <cellStyle name="Обычный 2 2 13" xfId="461" xr:uid="{00000000-0005-0000-0000-000003020000}"/>
    <cellStyle name="Обычный 2 2 13 2" xfId="462" xr:uid="{00000000-0005-0000-0000-000004020000}"/>
    <cellStyle name="Обычный 2 2 14" xfId="463" xr:uid="{00000000-0005-0000-0000-000005020000}"/>
    <cellStyle name="Обычный 2 2 14 2" xfId="464" xr:uid="{00000000-0005-0000-0000-000006020000}"/>
    <cellStyle name="Обычный 2 2 15" xfId="465" xr:uid="{00000000-0005-0000-0000-000007020000}"/>
    <cellStyle name="Обычный 2 2 15 2" xfId="466" xr:uid="{00000000-0005-0000-0000-000008020000}"/>
    <cellStyle name="Обычный 2 2 16" xfId="467" xr:uid="{00000000-0005-0000-0000-000009020000}"/>
    <cellStyle name="Обычный 2 2 16 2" xfId="468" xr:uid="{00000000-0005-0000-0000-00000A020000}"/>
    <cellStyle name="Обычный 2 2 17" xfId="469" xr:uid="{00000000-0005-0000-0000-00000B020000}"/>
    <cellStyle name="Обычный 2 2 17 2" xfId="470" xr:uid="{00000000-0005-0000-0000-00000C020000}"/>
    <cellStyle name="Обычный 2 2 18" xfId="471" xr:uid="{00000000-0005-0000-0000-00000D020000}"/>
    <cellStyle name="Обычный 2 2 18 2" xfId="472" xr:uid="{00000000-0005-0000-0000-00000E020000}"/>
    <cellStyle name="Обычный 2 2 19" xfId="473" xr:uid="{00000000-0005-0000-0000-00000F020000}"/>
    <cellStyle name="Обычный 2 2 19 2" xfId="474" xr:uid="{00000000-0005-0000-0000-000010020000}"/>
    <cellStyle name="Обычный 2 2 2" xfId="475" xr:uid="{00000000-0005-0000-0000-000011020000}"/>
    <cellStyle name="Обычный 2 2 2 10" xfId="476" xr:uid="{00000000-0005-0000-0000-000012020000}"/>
    <cellStyle name="Обычный 2 2 2 11" xfId="477" xr:uid="{00000000-0005-0000-0000-000013020000}"/>
    <cellStyle name="Обычный 2 2 2 12" xfId="478" xr:uid="{00000000-0005-0000-0000-000014020000}"/>
    <cellStyle name="Обычный 2 2 2 13" xfId="479" xr:uid="{00000000-0005-0000-0000-000015020000}"/>
    <cellStyle name="Обычный 2 2 2 14" xfId="480" xr:uid="{00000000-0005-0000-0000-000016020000}"/>
    <cellStyle name="Обычный 2 2 2 15" xfId="481" xr:uid="{00000000-0005-0000-0000-000017020000}"/>
    <cellStyle name="Обычный 2 2 2 16" xfId="482" xr:uid="{00000000-0005-0000-0000-000018020000}"/>
    <cellStyle name="Обычный 2 2 2 17" xfId="483" xr:uid="{00000000-0005-0000-0000-000019020000}"/>
    <cellStyle name="Обычный 2 2 2 18" xfId="484" xr:uid="{00000000-0005-0000-0000-00001A020000}"/>
    <cellStyle name="Обычный 2 2 2 19" xfId="485" xr:uid="{00000000-0005-0000-0000-00001B020000}"/>
    <cellStyle name="Обычный 2 2 2 2" xfId="486" xr:uid="{00000000-0005-0000-0000-00001C020000}"/>
    <cellStyle name="Обычный 2 2 2 2 10" xfId="487" xr:uid="{00000000-0005-0000-0000-00001D020000}"/>
    <cellStyle name="Обычный 2 2 2 2 11" xfId="488" xr:uid="{00000000-0005-0000-0000-00001E020000}"/>
    <cellStyle name="Обычный 2 2 2 2 12" xfId="489" xr:uid="{00000000-0005-0000-0000-00001F020000}"/>
    <cellStyle name="Обычный 2 2 2 2 13" xfId="490" xr:uid="{00000000-0005-0000-0000-000020020000}"/>
    <cellStyle name="Обычный 2 2 2 2 14" xfId="491" xr:uid="{00000000-0005-0000-0000-000021020000}"/>
    <cellStyle name="Обычный 2 2 2 2 15" xfId="492" xr:uid="{00000000-0005-0000-0000-000022020000}"/>
    <cellStyle name="Обычный 2 2 2 2 16" xfId="493" xr:uid="{00000000-0005-0000-0000-000023020000}"/>
    <cellStyle name="Обычный 2 2 2 2 17" xfId="494" xr:uid="{00000000-0005-0000-0000-000024020000}"/>
    <cellStyle name="Обычный 2 2 2 2 18" xfId="495" xr:uid="{00000000-0005-0000-0000-000025020000}"/>
    <cellStyle name="Обычный 2 2 2 2 19" xfId="496" xr:uid="{00000000-0005-0000-0000-000026020000}"/>
    <cellStyle name="Обычный 2 2 2 2 2" xfId="497" xr:uid="{00000000-0005-0000-0000-000027020000}"/>
    <cellStyle name="Обычный 2 2 2 2 20" xfId="498" xr:uid="{00000000-0005-0000-0000-000028020000}"/>
    <cellStyle name="Обычный 2 2 2 2 21" xfId="499" xr:uid="{00000000-0005-0000-0000-000029020000}"/>
    <cellStyle name="Обычный 2 2 2 2 22" xfId="500" xr:uid="{00000000-0005-0000-0000-00002A020000}"/>
    <cellStyle name="Обычный 2 2 2 2 23" xfId="501" xr:uid="{00000000-0005-0000-0000-00002B020000}"/>
    <cellStyle name="Обычный 2 2 2 2 24" xfId="502" xr:uid="{00000000-0005-0000-0000-00002C020000}"/>
    <cellStyle name="Обычный 2 2 2 2 25" xfId="503" xr:uid="{00000000-0005-0000-0000-00002D020000}"/>
    <cellStyle name="Обычный 2 2 2 2 26" xfId="504" xr:uid="{00000000-0005-0000-0000-00002E020000}"/>
    <cellStyle name="Обычный 2 2 2 2 27" xfId="505" xr:uid="{00000000-0005-0000-0000-00002F020000}"/>
    <cellStyle name="Обычный 2 2 2 2 28" xfId="506" xr:uid="{00000000-0005-0000-0000-000030020000}"/>
    <cellStyle name="Обычный 2 2 2 2 29" xfId="507" xr:uid="{00000000-0005-0000-0000-000031020000}"/>
    <cellStyle name="Обычный 2 2 2 2 3" xfId="508" xr:uid="{00000000-0005-0000-0000-000032020000}"/>
    <cellStyle name="Обычный 2 2 2 2 30" xfId="509" xr:uid="{00000000-0005-0000-0000-000033020000}"/>
    <cellStyle name="Обычный 2 2 2 2 4" xfId="510" xr:uid="{00000000-0005-0000-0000-000034020000}"/>
    <cellStyle name="Обычный 2 2 2 2 5" xfId="511" xr:uid="{00000000-0005-0000-0000-000035020000}"/>
    <cellStyle name="Обычный 2 2 2 2 6" xfId="512" xr:uid="{00000000-0005-0000-0000-000036020000}"/>
    <cellStyle name="Обычный 2 2 2 2 7" xfId="513" xr:uid="{00000000-0005-0000-0000-000037020000}"/>
    <cellStyle name="Обычный 2 2 2 2 8" xfId="514" xr:uid="{00000000-0005-0000-0000-000038020000}"/>
    <cellStyle name="Обычный 2 2 2 2 9" xfId="515" xr:uid="{00000000-0005-0000-0000-000039020000}"/>
    <cellStyle name="Обычный 2 2 2 20" xfId="516" xr:uid="{00000000-0005-0000-0000-00003A020000}"/>
    <cellStyle name="Обычный 2 2 2 21" xfId="517" xr:uid="{00000000-0005-0000-0000-00003B020000}"/>
    <cellStyle name="Обычный 2 2 2 22" xfId="518" xr:uid="{00000000-0005-0000-0000-00003C020000}"/>
    <cellStyle name="Обычный 2 2 2 23" xfId="519" xr:uid="{00000000-0005-0000-0000-00003D020000}"/>
    <cellStyle name="Обычный 2 2 2 24" xfId="520" xr:uid="{00000000-0005-0000-0000-00003E020000}"/>
    <cellStyle name="Обычный 2 2 2 25" xfId="521" xr:uid="{00000000-0005-0000-0000-00003F020000}"/>
    <cellStyle name="Обычный 2 2 2 26" xfId="522" xr:uid="{00000000-0005-0000-0000-000040020000}"/>
    <cellStyle name="Обычный 2 2 2 27" xfId="523" xr:uid="{00000000-0005-0000-0000-000041020000}"/>
    <cellStyle name="Обычный 2 2 2 28" xfId="524" xr:uid="{00000000-0005-0000-0000-000042020000}"/>
    <cellStyle name="Обычный 2 2 2 29" xfId="525" xr:uid="{00000000-0005-0000-0000-000043020000}"/>
    <cellStyle name="Обычный 2 2 2 3" xfId="526" xr:uid="{00000000-0005-0000-0000-000044020000}"/>
    <cellStyle name="Обычный 2 2 2 30" xfId="527" xr:uid="{00000000-0005-0000-0000-000045020000}"/>
    <cellStyle name="Обычный 2 2 2 31" xfId="528" xr:uid="{00000000-0005-0000-0000-000046020000}"/>
    <cellStyle name="Обычный 2 2 2 4" xfId="529" xr:uid="{00000000-0005-0000-0000-000047020000}"/>
    <cellStyle name="Обычный 2 2 2 5" xfId="530" xr:uid="{00000000-0005-0000-0000-000048020000}"/>
    <cellStyle name="Обычный 2 2 2 6" xfId="531" xr:uid="{00000000-0005-0000-0000-000049020000}"/>
    <cellStyle name="Обычный 2 2 2 7" xfId="532" xr:uid="{00000000-0005-0000-0000-00004A020000}"/>
    <cellStyle name="Обычный 2 2 2 8" xfId="533" xr:uid="{00000000-0005-0000-0000-00004B020000}"/>
    <cellStyle name="Обычный 2 2 2 9" xfId="534" xr:uid="{00000000-0005-0000-0000-00004C020000}"/>
    <cellStyle name="Обычный 2 2 20" xfId="535" xr:uid="{00000000-0005-0000-0000-00004D020000}"/>
    <cellStyle name="Обычный 2 2 20 2" xfId="536" xr:uid="{00000000-0005-0000-0000-00004E020000}"/>
    <cellStyle name="Обычный 2 2 21" xfId="537" xr:uid="{00000000-0005-0000-0000-00004F020000}"/>
    <cellStyle name="Обычный 2 2 21 2" xfId="538" xr:uid="{00000000-0005-0000-0000-000050020000}"/>
    <cellStyle name="Обычный 2 2 22" xfId="539" xr:uid="{00000000-0005-0000-0000-000051020000}"/>
    <cellStyle name="Обычный 2 2 22 2" xfId="540" xr:uid="{00000000-0005-0000-0000-000052020000}"/>
    <cellStyle name="Обычный 2 2 23" xfId="541" xr:uid="{00000000-0005-0000-0000-000053020000}"/>
    <cellStyle name="Обычный 2 2 23 2" xfId="542" xr:uid="{00000000-0005-0000-0000-000054020000}"/>
    <cellStyle name="Обычный 2 2 24" xfId="543" xr:uid="{00000000-0005-0000-0000-000055020000}"/>
    <cellStyle name="Обычный 2 2 24 2" xfId="544" xr:uid="{00000000-0005-0000-0000-000056020000}"/>
    <cellStyle name="Обычный 2 2 25" xfId="545" xr:uid="{00000000-0005-0000-0000-000057020000}"/>
    <cellStyle name="Обычный 2 2 25 2" xfId="546" xr:uid="{00000000-0005-0000-0000-000058020000}"/>
    <cellStyle name="Обычный 2 2 26" xfId="547" xr:uid="{00000000-0005-0000-0000-000059020000}"/>
    <cellStyle name="Обычный 2 2 26 2" xfId="548" xr:uid="{00000000-0005-0000-0000-00005A020000}"/>
    <cellStyle name="Обычный 2 2 27" xfId="549" xr:uid="{00000000-0005-0000-0000-00005B020000}"/>
    <cellStyle name="Обычный 2 2 27 2" xfId="550" xr:uid="{00000000-0005-0000-0000-00005C020000}"/>
    <cellStyle name="Обычный 2 2 28" xfId="551" xr:uid="{00000000-0005-0000-0000-00005D020000}"/>
    <cellStyle name="Обычный 2 2 28 2" xfId="552" xr:uid="{00000000-0005-0000-0000-00005E020000}"/>
    <cellStyle name="Обычный 2 2 29" xfId="553" xr:uid="{00000000-0005-0000-0000-00005F020000}"/>
    <cellStyle name="Обычный 2 2 29 2" xfId="554" xr:uid="{00000000-0005-0000-0000-000060020000}"/>
    <cellStyle name="Обычный 2 2 3" xfId="555" xr:uid="{00000000-0005-0000-0000-000061020000}"/>
    <cellStyle name="Обычный 2 2 3 2" xfId="556" xr:uid="{00000000-0005-0000-0000-000062020000}"/>
    <cellStyle name="Обычный 2 2 30" xfId="557" xr:uid="{00000000-0005-0000-0000-000063020000}"/>
    <cellStyle name="Обычный 2 2 30 2" xfId="558" xr:uid="{00000000-0005-0000-0000-000064020000}"/>
    <cellStyle name="Обычный 2 2 31" xfId="559" xr:uid="{00000000-0005-0000-0000-000065020000}"/>
    <cellStyle name="Обычный 2 2 31 2" xfId="560" xr:uid="{00000000-0005-0000-0000-000066020000}"/>
    <cellStyle name="Обычный 2 2 32" xfId="561" xr:uid="{00000000-0005-0000-0000-000067020000}"/>
    <cellStyle name="Обычный 2 2 4" xfId="562" xr:uid="{00000000-0005-0000-0000-000068020000}"/>
    <cellStyle name="Обычный 2 2 4 2" xfId="563" xr:uid="{00000000-0005-0000-0000-000069020000}"/>
    <cellStyle name="Обычный 2 2 5" xfId="564" xr:uid="{00000000-0005-0000-0000-00006A020000}"/>
    <cellStyle name="Обычный 2 2 5 2" xfId="565" xr:uid="{00000000-0005-0000-0000-00006B020000}"/>
    <cellStyle name="Обычный 2 2 6" xfId="566" xr:uid="{00000000-0005-0000-0000-00006C020000}"/>
    <cellStyle name="Обычный 2 2 6 2" xfId="567" xr:uid="{00000000-0005-0000-0000-00006D020000}"/>
    <cellStyle name="Обычный 2 2 7" xfId="568" xr:uid="{00000000-0005-0000-0000-00006E020000}"/>
    <cellStyle name="Обычный 2 2 7 2" xfId="569" xr:uid="{00000000-0005-0000-0000-00006F020000}"/>
    <cellStyle name="Обычный 2 2 8" xfId="570" xr:uid="{00000000-0005-0000-0000-000070020000}"/>
    <cellStyle name="Обычный 2 2 8 2" xfId="571" xr:uid="{00000000-0005-0000-0000-000071020000}"/>
    <cellStyle name="Обычный 2 2 9" xfId="572" xr:uid="{00000000-0005-0000-0000-000072020000}"/>
    <cellStyle name="Обычный 2 2 9 2" xfId="573" xr:uid="{00000000-0005-0000-0000-000073020000}"/>
    <cellStyle name="Обычный 2 20" xfId="574" xr:uid="{00000000-0005-0000-0000-000074020000}"/>
    <cellStyle name="Обычный 2 21" xfId="575" xr:uid="{00000000-0005-0000-0000-000075020000}"/>
    <cellStyle name="Обычный 2 22" xfId="576" xr:uid="{00000000-0005-0000-0000-000076020000}"/>
    <cellStyle name="Обычный 2 23" xfId="577" xr:uid="{00000000-0005-0000-0000-000077020000}"/>
    <cellStyle name="Обычный 2 24" xfId="578" xr:uid="{00000000-0005-0000-0000-000078020000}"/>
    <cellStyle name="Обычный 2 25" xfId="579" xr:uid="{00000000-0005-0000-0000-000079020000}"/>
    <cellStyle name="Обычный 2 26" xfId="580" xr:uid="{00000000-0005-0000-0000-00007A020000}"/>
    <cellStyle name="Обычный 2 27" xfId="581" xr:uid="{00000000-0005-0000-0000-00007B020000}"/>
    <cellStyle name="Обычный 2 28" xfId="582" xr:uid="{00000000-0005-0000-0000-00007C020000}"/>
    <cellStyle name="Обычный 2 29" xfId="583" xr:uid="{00000000-0005-0000-0000-00007D020000}"/>
    <cellStyle name="Обычный 2 3" xfId="584" xr:uid="{00000000-0005-0000-0000-00007E020000}"/>
    <cellStyle name="Обычный 2 3 2" xfId="585" xr:uid="{00000000-0005-0000-0000-00007F020000}"/>
    <cellStyle name="Обычный 2 3 3" xfId="586" xr:uid="{00000000-0005-0000-0000-000080020000}"/>
    <cellStyle name="Обычный 2 30" xfId="587" xr:uid="{00000000-0005-0000-0000-000081020000}"/>
    <cellStyle name="Обычный 2 31" xfId="588" xr:uid="{00000000-0005-0000-0000-000082020000}"/>
    <cellStyle name="Обычный 2 32" xfId="589" xr:uid="{00000000-0005-0000-0000-000083020000}"/>
    <cellStyle name="Обычный 2 33" xfId="590" xr:uid="{00000000-0005-0000-0000-000084020000}"/>
    <cellStyle name="Обычный 2 34" xfId="591" xr:uid="{00000000-0005-0000-0000-000085020000}"/>
    <cellStyle name="Обычный 2 34 2" xfId="592" xr:uid="{00000000-0005-0000-0000-000086020000}"/>
    <cellStyle name="Обычный 2 35" xfId="593" xr:uid="{00000000-0005-0000-0000-000087020000}"/>
    <cellStyle name="Обычный 2 36" xfId="594" xr:uid="{00000000-0005-0000-0000-000088020000}"/>
    <cellStyle name="Обычный 2 4" xfId="595" xr:uid="{00000000-0005-0000-0000-000089020000}"/>
    <cellStyle name="Обычный 2 4 2" xfId="596" xr:uid="{00000000-0005-0000-0000-00008A020000}"/>
    <cellStyle name="Обычный 2 4 3" xfId="597" xr:uid="{00000000-0005-0000-0000-00008B020000}"/>
    <cellStyle name="Обычный 2 5" xfId="598" xr:uid="{00000000-0005-0000-0000-00008C020000}"/>
    <cellStyle name="Обычный 2 5 2" xfId="599" xr:uid="{00000000-0005-0000-0000-00008D020000}"/>
    <cellStyle name="Обычный 2 5 3" xfId="600" xr:uid="{00000000-0005-0000-0000-00008E020000}"/>
    <cellStyle name="Обычный 2 6" xfId="601" xr:uid="{00000000-0005-0000-0000-00008F020000}"/>
    <cellStyle name="Обычный 2 7" xfId="602" xr:uid="{00000000-0005-0000-0000-000090020000}"/>
    <cellStyle name="Обычный 2 8" xfId="603" xr:uid="{00000000-0005-0000-0000-000091020000}"/>
    <cellStyle name="Обычный 2 9" xfId="604" xr:uid="{00000000-0005-0000-0000-000092020000}"/>
    <cellStyle name="Обычный 20" xfId="605" xr:uid="{00000000-0005-0000-0000-000093020000}"/>
    <cellStyle name="Обычный 20 10" xfId="606" xr:uid="{00000000-0005-0000-0000-000094020000}"/>
    <cellStyle name="Обычный 20 11" xfId="607" xr:uid="{00000000-0005-0000-0000-000095020000}"/>
    <cellStyle name="Обычный 20 12" xfId="608" xr:uid="{00000000-0005-0000-0000-000096020000}"/>
    <cellStyle name="Обычный 20 13" xfId="609" xr:uid="{00000000-0005-0000-0000-000097020000}"/>
    <cellStyle name="Обычный 20 14" xfId="610" xr:uid="{00000000-0005-0000-0000-000098020000}"/>
    <cellStyle name="Обычный 20 15" xfId="611" xr:uid="{00000000-0005-0000-0000-000099020000}"/>
    <cellStyle name="Обычный 20 16" xfId="612" xr:uid="{00000000-0005-0000-0000-00009A020000}"/>
    <cellStyle name="Обычный 20 17" xfId="613" xr:uid="{00000000-0005-0000-0000-00009B020000}"/>
    <cellStyle name="Обычный 20 18" xfId="614" xr:uid="{00000000-0005-0000-0000-00009C020000}"/>
    <cellStyle name="Обычный 20 19" xfId="615" xr:uid="{00000000-0005-0000-0000-00009D020000}"/>
    <cellStyle name="Обычный 20 2" xfId="616" xr:uid="{00000000-0005-0000-0000-00009E020000}"/>
    <cellStyle name="Обычный 20 2 2" xfId="617" xr:uid="{00000000-0005-0000-0000-00009F020000}"/>
    <cellStyle name="Обычный 20 2 2 2" xfId="618" xr:uid="{00000000-0005-0000-0000-0000A0020000}"/>
    <cellStyle name="Обычный 20 2 3" xfId="619" xr:uid="{00000000-0005-0000-0000-0000A1020000}"/>
    <cellStyle name="Обычный 20 2 4" xfId="620" xr:uid="{00000000-0005-0000-0000-0000A2020000}"/>
    <cellStyle name="Обычный 20 20" xfId="621" xr:uid="{00000000-0005-0000-0000-0000A3020000}"/>
    <cellStyle name="Обычный 20 21" xfId="622" xr:uid="{00000000-0005-0000-0000-0000A4020000}"/>
    <cellStyle name="Обычный 20 22" xfId="623" xr:uid="{00000000-0005-0000-0000-0000A5020000}"/>
    <cellStyle name="Обычный 20 23" xfId="624" xr:uid="{00000000-0005-0000-0000-0000A6020000}"/>
    <cellStyle name="Обычный 20 24" xfId="625" xr:uid="{00000000-0005-0000-0000-0000A7020000}"/>
    <cellStyle name="Обычный 20 25" xfId="626" xr:uid="{00000000-0005-0000-0000-0000A8020000}"/>
    <cellStyle name="Обычный 20 26" xfId="627" xr:uid="{00000000-0005-0000-0000-0000A9020000}"/>
    <cellStyle name="Обычный 20 27" xfId="628" xr:uid="{00000000-0005-0000-0000-0000AA020000}"/>
    <cellStyle name="Обычный 20 28" xfId="629" xr:uid="{00000000-0005-0000-0000-0000AB020000}"/>
    <cellStyle name="Обычный 20 29" xfId="630" xr:uid="{00000000-0005-0000-0000-0000AC020000}"/>
    <cellStyle name="Обычный 20 3" xfId="631" xr:uid="{00000000-0005-0000-0000-0000AD020000}"/>
    <cellStyle name="Обычный 20 3 2" xfId="632" xr:uid="{00000000-0005-0000-0000-0000AE020000}"/>
    <cellStyle name="Обычный 20 30" xfId="633" xr:uid="{00000000-0005-0000-0000-0000AF020000}"/>
    <cellStyle name="Обычный 20 31" xfId="634" xr:uid="{00000000-0005-0000-0000-0000B0020000}"/>
    <cellStyle name="Обычный 20 32" xfId="635" xr:uid="{00000000-0005-0000-0000-0000B1020000}"/>
    <cellStyle name="Обычный 20 4" xfId="636" xr:uid="{00000000-0005-0000-0000-0000B2020000}"/>
    <cellStyle name="Обычный 20 5" xfId="637" xr:uid="{00000000-0005-0000-0000-0000B3020000}"/>
    <cellStyle name="Обычный 20 6" xfId="638" xr:uid="{00000000-0005-0000-0000-0000B4020000}"/>
    <cellStyle name="Обычный 20 7" xfId="639" xr:uid="{00000000-0005-0000-0000-0000B5020000}"/>
    <cellStyle name="Обычный 20 8" xfId="640" xr:uid="{00000000-0005-0000-0000-0000B6020000}"/>
    <cellStyle name="Обычный 20 9" xfId="641" xr:uid="{00000000-0005-0000-0000-0000B7020000}"/>
    <cellStyle name="Обычный 21" xfId="642" xr:uid="{00000000-0005-0000-0000-0000B8020000}"/>
    <cellStyle name="Обычный 21 2" xfId="643" xr:uid="{00000000-0005-0000-0000-0000B9020000}"/>
    <cellStyle name="Обычный 21 2 2" xfId="644" xr:uid="{00000000-0005-0000-0000-0000BA020000}"/>
    <cellStyle name="Обычный 21 2 3" xfId="645" xr:uid="{00000000-0005-0000-0000-0000BB020000}"/>
    <cellStyle name="Обычный 21 2 4" xfId="646" xr:uid="{00000000-0005-0000-0000-0000BC020000}"/>
    <cellStyle name="Обычный 22" xfId="647" xr:uid="{00000000-0005-0000-0000-0000BD020000}"/>
    <cellStyle name="Обычный 22 10" xfId="648" xr:uid="{00000000-0005-0000-0000-0000BE020000}"/>
    <cellStyle name="Обычный 22 11" xfId="649" xr:uid="{00000000-0005-0000-0000-0000BF020000}"/>
    <cellStyle name="Обычный 22 12" xfId="650" xr:uid="{00000000-0005-0000-0000-0000C0020000}"/>
    <cellStyle name="Обычный 22 13" xfId="651" xr:uid="{00000000-0005-0000-0000-0000C1020000}"/>
    <cellStyle name="Обычный 22 14" xfId="652" xr:uid="{00000000-0005-0000-0000-0000C2020000}"/>
    <cellStyle name="Обычный 22 15" xfId="653" xr:uid="{00000000-0005-0000-0000-0000C3020000}"/>
    <cellStyle name="Обычный 22 16" xfId="654" xr:uid="{00000000-0005-0000-0000-0000C4020000}"/>
    <cellStyle name="Обычный 22 17" xfId="655" xr:uid="{00000000-0005-0000-0000-0000C5020000}"/>
    <cellStyle name="Обычный 22 18" xfId="656" xr:uid="{00000000-0005-0000-0000-0000C6020000}"/>
    <cellStyle name="Обычный 22 19" xfId="657" xr:uid="{00000000-0005-0000-0000-0000C7020000}"/>
    <cellStyle name="Обычный 22 2" xfId="658" xr:uid="{00000000-0005-0000-0000-0000C8020000}"/>
    <cellStyle name="Обычный 22 2 2" xfId="659" xr:uid="{00000000-0005-0000-0000-0000C9020000}"/>
    <cellStyle name="Обычный 22 2 3" xfId="660" xr:uid="{00000000-0005-0000-0000-0000CA020000}"/>
    <cellStyle name="Обычный 22 20" xfId="661" xr:uid="{00000000-0005-0000-0000-0000CB020000}"/>
    <cellStyle name="Обычный 22 21" xfId="662" xr:uid="{00000000-0005-0000-0000-0000CC020000}"/>
    <cellStyle name="Обычный 22 22" xfId="663" xr:uid="{00000000-0005-0000-0000-0000CD020000}"/>
    <cellStyle name="Обычный 22 23" xfId="664" xr:uid="{00000000-0005-0000-0000-0000CE020000}"/>
    <cellStyle name="Обычный 22 24" xfId="665" xr:uid="{00000000-0005-0000-0000-0000CF020000}"/>
    <cellStyle name="Обычный 22 25" xfId="666" xr:uid="{00000000-0005-0000-0000-0000D0020000}"/>
    <cellStyle name="Обычный 22 26" xfId="667" xr:uid="{00000000-0005-0000-0000-0000D1020000}"/>
    <cellStyle name="Обычный 22 27" xfId="668" xr:uid="{00000000-0005-0000-0000-0000D2020000}"/>
    <cellStyle name="Обычный 22 28" xfId="669" xr:uid="{00000000-0005-0000-0000-0000D3020000}"/>
    <cellStyle name="Обычный 22 29" xfId="670" xr:uid="{00000000-0005-0000-0000-0000D4020000}"/>
    <cellStyle name="Обычный 22 3" xfId="671" xr:uid="{00000000-0005-0000-0000-0000D5020000}"/>
    <cellStyle name="Обычный 22 30" xfId="672" xr:uid="{00000000-0005-0000-0000-0000D6020000}"/>
    <cellStyle name="Обычный 22 31" xfId="673" xr:uid="{00000000-0005-0000-0000-0000D7020000}"/>
    <cellStyle name="Обычный 22 32" xfId="674" xr:uid="{00000000-0005-0000-0000-0000D8020000}"/>
    <cellStyle name="Обычный 22 4" xfId="675" xr:uid="{00000000-0005-0000-0000-0000D9020000}"/>
    <cellStyle name="Обычный 22 5" xfId="676" xr:uid="{00000000-0005-0000-0000-0000DA020000}"/>
    <cellStyle name="Обычный 22 6" xfId="677" xr:uid="{00000000-0005-0000-0000-0000DB020000}"/>
    <cellStyle name="Обычный 22 7" xfId="678" xr:uid="{00000000-0005-0000-0000-0000DC020000}"/>
    <cellStyle name="Обычный 22 8" xfId="679" xr:uid="{00000000-0005-0000-0000-0000DD020000}"/>
    <cellStyle name="Обычный 22 9" xfId="680" xr:uid="{00000000-0005-0000-0000-0000DE020000}"/>
    <cellStyle name="Обычный 23" xfId="681" xr:uid="{00000000-0005-0000-0000-0000DF020000}"/>
    <cellStyle name="Обычный 24" xfId="682" xr:uid="{00000000-0005-0000-0000-0000E0020000}"/>
    <cellStyle name="Обычный 24 2" xfId="683" xr:uid="{00000000-0005-0000-0000-0000E1020000}"/>
    <cellStyle name="Обычный 24 3" xfId="684" xr:uid="{00000000-0005-0000-0000-0000E2020000}"/>
    <cellStyle name="Обычный 24 4" xfId="685" xr:uid="{00000000-0005-0000-0000-0000E3020000}"/>
    <cellStyle name="Обычный 25" xfId="686" xr:uid="{00000000-0005-0000-0000-0000E4020000}"/>
    <cellStyle name="Обычный 25 2" xfId="687" xr:uid="{00000000-0005-0000-0000-0000E5020000}"/>
    <cellStyle name="Обычный 256" xfId="688" xr:uid="{00000000-0005-0000-0000-0000E6020000}"/>
    <cellStyle name="Обычный 256 2" xfId="689" xr:uid="{00000000-0005-0000-0000-0000E7020000}"/>
    <cellStyle name="Обычный 26" xfId="690" xr:uid="{00000000-0005-0000-0000-0000E8020000}"/>
    <cellStyle name="Обычный 26 10" xfId="691" xr:uid="{00000000-0005-0000-0000-0000E9020000}"/>
    <cellStyle name="Обычный 26 11" xfId="692" xr:uid="{00000000-0005-0000-0000-0000EA020000}"/>
    <cellStyle name="Обычный 26 12" xfId="693" xr:uid="{00000000-0005-0000-0000-0000EB020000}"/>
    <cellStyle name="Обычный 26 13" xfId="694" xr:uid="{00000000-0005-0000-0000-0000EC020000}"/>
    <cellStyle name="Обычный 26 14" xfId="695" xr:uid="{00000000-0005-0000-0000-0000ED020000}"/>
    <cellStyle name="Обычный 26 15" xfId="696" xr:uid="{00000000-0005-0000-0000-0000EE020000}"/>
    <cellStyle name="Обычный 26 16" xfId="697" xr:uid="{00000000-0005-0000-0000-0000EF020000}"/>
    <cellStyle name="Обычный 26 17" xfId="698" xr:uid="{00000000-0005-0000-0000-0000F0020000}"/>
    <cellStyle name="Обычный 26 18" xfId="699" xr:uid="{00000000-0005-0000-0000-0000F1020000}"/>
    <cellStyle name="Обычный 26 19" xfId="700" xr:uid="{00000000-0005-0000-0000-0000F2020000}"/>
    <cellStyle name="Обычный 26 2" xfId="701" xr:uid="{00000000-0005-0000-0000-0000F3020000}"/>
    <cellStyle name="Обычный 26 20" xfId="702" xr:uid="{00000000-0005-0000-0000-0000F4020000}"/>
    <cellStyle name="Обычный 26 21" xfId="703" xr:uid="{00000000-0005-0000-0000-0000F5020000}"/>
    <cellStyle name="Обычный 26 22" xfId="704" xr:uid="{00000000-0005-0000-0000-0000F6020000}"/>
    <cellStyle name="Обычный 26 23" xfId="705" xr:uid="{00000000-0005-0000-0000-0000F7020000}"/>
    <cellStyle name="Обычный 26 24" xfId="706" xr:uid="{00000000-0005-0000-0000-0000F8020000}"/>
    <cellStyle name="Обычный 26 25" xfId="707" xr:uid="{00000000-0005-0000-0000-0000F9020000}"/>
    <cellStyle name="Обычный 26 26" xfId="708" xr:uid="{00000000-0005-0000-0000-0000FA020000}"/>
    <cellStyle name="Обычный 26 27" xfId="709" xr:uid="{00000000-0005-0000-0000-0000FB020000}"/>
    <cellStyle name="Обычный 26 28" xfId="710" xr:uid="{00000000-0005-0000-0000-0000FC020000}"/>
    <cellStyle name="Обычный 26 29" xfId="711" xr:uid="{00000000-0005-0000-0000-0000FD020000}"/>
    <cellStyle name="Обычный 26 3" xfId="712" xr:uid="{00000000-0005-0000-0000-0000FE020000}"/>
    <cellStyle name="Обычный 26 3 2" xfId="713" xr:uid="{00000000-0005-0000-0000-0000FF020000}"/>
    <cellStyle name="Обычный 26 30" xfId="714" xr:uid="{00000000-0005-0000-0000-000000030000}"/>
    <cellStyle name="Обычный 26 31" xfId="715" xr:uid="{00000000-0005-0000-0000-000001030000}"/>
    <cellStyle name="Обычный 26 32" xfId="716" xr:uid="{00000000-0005-0000-0000-000002030000}"/>
    <cellStyle name="Обычный 26 4" xfId="717" xr:uid="{00000000-0005-0000-0000-000003030000}"/>
    <cellStyle name="Обычный 26 5" xfId="718" xr:uid="{00000000-0005-0000-0000-000004030000}"/>
    <cellStyle name="Обычный 26 6" xfId="719" xr:uid="{00000000-0005-0000-0000-000005030000}"/>
    <cellStyle name="Обычный 26 7" xfId="720" xr:uid="{00000000-0005-0000-0000-000006030000}"/>
    <cellStyle name="Обычный 26 8" xfId="721" xr:uid="{00000000-0005-0000-0000-000007030000}"/>
    <cellStyle name="Обычный 26 9" xfId="722" xr:uid="{00000000-0005-0000-0000-000008030000}"/>
    <cellStyle name="Обычный 27" xfId="723" xr:uid="{00000000-0005-0000-0000-000009030000}"/>
    <cellStyle name="Обычный 27 2" xfId="724" xr:uid="{00000000-0005-0000-0000-00000A030000}"/>
    <cellStyle name="Обычный 28" xfId="725" xr:uid="{00000000-0005-0000-0000-00000B030000}"/>
    <cellStyle name="Обычный 29" xfId="726" xr:uid="{00000000-0005-0000-0000-00000C030000}"/>
    <cellStyle name="Обычный 3" xfId="6" xr:uid="{00000000-0005-0000-0000-00000D030000}"/>
    <cellStyle name="Обычный 3 2" xfId="727" xr:uid="{00000000-0005-0000-0000-00000E030000}"/>
    <cellStyle name="Обычный 3 2 2" xfId="728" xr:uid="{00000000-0005-0000-0000-00000F030000}"/>
    <cellStyle name="Обычный 3 2 2 2" xfId="729" xr:uid="{00000000-0005-0000-0000-000010030000}"/>
    <cellStyle name="Обычный 3 2 3" xfId="730" xr:uid="{00000000-0005-0000-0000-000011030000}"/>
    <cellStyle name="Обычный 3 2 4" xfId="731" xr:uid="{00000000-0005-0000-0000-000012030000}"/>
    <cellStyle name="Обычный 3 3" xfId="732" xr:uid="{00000000-0005-0000-0000-000013030000}"/>
    <cellStyle name="Обычный 3 3 2" xfId="733" xr:uid="{00000000-0005-0000-0000-000014030000}"/>
    <cellStyle name="Обычный 3 3 2 2" xfId="734" xr:uid="{00000000-0005-0000-0000-000015030000}"/>
    <cellStyle name="Обычный 3 3 3" xfId="735" xr:uid="{00000000-0005-0000-0000-000016030000}"/>
    <cellStyle name="Обычный 3 4" xfId="736" xr:uid="{00000000-0005-0000-0000-000017030000}"/>
    <cellStyle name="Обычный 3 5" xfId="737" xr:uid="{00000000-0005-0000-0000-000018030000}"/>
    <cellStyle name="Обычный 3 5 2" xfId="738" xr:uid="{00000000-0005-0000-0000-000019030000}"/>
    <cellStyle name="Обычный 3 6" xfId="739" xr:uid="{00000000-0005-0000-0000-00001A030000}"/>
    <cellStyle name="Обычный 3 7" xfId="740" xr:uid="{00000000-0005-0000-0000-00001B030000}"/>
    <cellStyle name="Обычный 3 8" xfId="10" xr:uid="{00000000-0005-0000-0000-00001C030000}"/>
    <cellStyle name="Обычный 30" xfId="741" xr:uid="{00000000-0005-0000-0000-00001D030000}"/>
    <cellStyle name="Обычный 30 2" xfId="742" xr:uid="{00000000-0005-0000-0000-00001E030000}"/>
    <cellStyle name="Обычный 31" xfId="743" xr:uid="{00000000-0005-0000-0000-00001F030000}"/>
    <cellStyle name="Обычный 31 2" xfId="744" xr:uid="{00000000-0005-0000-0000-000020030000}"/>
    <cellStyle name="Обычный 32" xfId="745" xr:uid="{00000000-0005-0000-0000-000021030000}"/>
    <cellStyle name="Обычный 32 2" xfId="746" xr:uid="{00000000-0005-0000-0000-000022030000}"/>
    <cellStyle name="Обычный 33" xfId="747" xr:uid="{00000000-0005-0000-0000-000023030000}"/>
    <cellStyle name="Обычный 33 2" xfId="748" xr:uid="{00000000-0005-0000-0000-000024030000}"/>
    <cellStyle name="Обычный 34" xfId="749" xr:uid="{00000000-0005-0000-0000-000025030000}"/>
    <cellStyle name="Обычный 34 2" xfId="750" xr:uid="{00000000-0005-0000-0000-000026030000}"/>
    <cellStyle name="Обычный 35" xfId="751" xr:uid="{00000000-0005-0000-0000-000027030000}"/>
    <cellStyle name="Обычный 35 10" xfId="752" xr:uid="{00000000-0005-0000-0000-000028030000}"/>
    <cellStyle name="Обычный 35 11" xfId="753" xr:uid="{00000000-0005-0000-0000-000029030000}"/>
    <cellStyle name="Обычный 35 12" xfId="754" xr:uid="{00000000-0005-0000-0000-00002A030000}"/>
    <cellStyle name="Обычный 35 13" xfId="755" xr:uid="{00000000-0005-0000-0000-00002B030000}"/>
    <cellStyle name="Обычный 35 14" xfId="756" xr:uid="{00000000-0005-0000-0000-00002C030000}"/>
    <cellStyle name="Обычный 35 15" xfId="757" xr:uid="{00000000-0005-0000-0000-00002D030000}"/>
    <cellStyle name="Обычный 35 16" xfId="758" xr:uid="{00000000-0005-0000-0000-00002E030000}"/>
    <cellStyle name="Обычный 35 17" xfId="759" xr:uid="{00000000-0005-0000-0000-00002F030000}"/>
    <cellStyle name="Обычный 35 18" xfId="760" xr:uid="{00000000-0005-0000-0000-000030030000}"/>
    <cellStyle name="Обычный 35 19" xfId="761" xr:uid="{00000000-0005-0000-0000-000031030000}"/>
    <cellStyle name="Обычный 35 2" xfId="762" xr:uid="{00000000-0005-0000-0000-000032030000}"/>
    <cellStyle name="Обычный 35 2 2" xfId="763" xr:uid="{00000000-0005-0000-0000-000033030000}"/>
    <cellStyle name="Обычный 35 20" xfId="764" xr:uid="{00000000-0005-0000-0000-000034030000}"/>
    <cellStyle name="Обычный 35 21" xfId="765" xr:uid="{00000000-0005-0000-0000-000035030000}"/>
    <cellStyle name="Обычный 35 22" xfId="766" xr:uid="{00000000-0005-0000-0000-000036030000}"/>
    <cellStyle name="Обычный 35 23" xfId="767" xr:uid="{00000000-0005-0000-0000-000037030000}"/>
    <cellStyle name="Обычный 35 24" xfId="768" xr:uid="{00000000-0005-0000-0000-000038030000}"/>
    <cellStyle name="Обычный 35 25" xfId="769" xr:uid="{00000000-0005-0000-0000-000039030000}"/>
    <cellStyle name="Обычный 35 26" xfId="770" xr:uid="{00000000-0005-0000-0000-00003A030000}"/>
    <cellStyle name="Обычный 35 27" xfId="771" xr:uid="{00000000-0005-0000-0000-00003B030000}"/>
    <cellStyle name="Обычный 35 28" xfId="772" xr:uid="{00000000-0005-0000-0000-00003C030000}"/>
    <cellStyle name="Обычный 35 29" xfId="773" xr:uid="{00000000-0005-0000-0000-00003D030000}"/>
    <cellStyle name="Обычный 35 3" xfId="774" xr:uid="{00000000-0005-0000-0000-00003E030000}"/>
    <cellStyle name="Обычный 35 30" xfId="775" xr:uid="{00000000-0005-0000-0000-00003F030000}"/>
    <cellStyle name="Обычный 35 31" xfId="776" xr:uid="{00000000-0005-0000-0000-000040030000}"/>
    <cellStyle name="Обычный 35 4" xfId="777" xr:uid="{00000000-0005-0000-0000-000041030000}"/>
    <cellStyle name="Обычный 35 5" xfId="778" xr:uid="{00000000-0005-0000-0000-000042030000}"/>
    <cellStyle name="Обычный 35 6" xfId="779" xr:uid="{00000000-0005-0000-0000-000043030000}"/>
    <cellStyle name="Обычный 35 7" xfId="780" xr:uid="{00000000-0005-0000-0000-000044030000}"/>
    <cellStyle name="Обычный 35 8" xfId="781" xr:uid="{00000000-0005-0000-0000-000045030000}"/>
    <cellStyle name="Обычный 35 9" xfId="782" xr:uid="{00000000-0005-0000-0000-000046030000}"/>
    <cellStyle name="Обычный 36" xfId="783" xr:uid="{00000000-0005-0000-0000-000047030000}"/>
    <cellStyle name="Обычный 36 2" xfId="784" xr:uid="{00000000-0005-0000-0000-000048030000}"/>
    <cellStyle name="Обычный 37" xfId="785" xr:uid="{00000000-0005-0000-0000-000049030000}"/>
    <cellStyle name="Обычный 37 2" xfId="786" xr:uid="{00000000-0005-0000-0000-00004A030000}"/>
    <cellStyle name="Обычный 38" xfId="787" xr:uid="{00000000-0005-0000-0000-00004B030000}"/>
    <cellStyle name="Обычный 38 2" xfId="788" xr:uid="{00000000-0005-0000-0000-00004C030000}"/>
    <cellStyle name="Обычный 39" xfId="789" xr:uid="{00000000-0005-0000-0000-00004D030000}"/>
    <cellStyle name="Обычный 39 2" xfId="790" xr:uid="{00000000-0005-0000-0000-00004E030000}"/>
    <cellStyle name="Обычный 4" xfId="7" xr:uid="{00000000-0005-0000-0000-00004F030000}"/>
    <cellStyle name="Обычный 4 2" xfId="5" xr:uid="{00000000-0005-0000-0000-000050030000}"/>
    <cellStyle name="Обычный 4 2 2" xfId="791" xr:uid="{00000000-0005-0000-0000-000051030000}"/>
    <cellStyle name="Обычный 4 2 3" xfId="792" xr:uid="{00000000-0005-0000-0000-000052030000}"/>
    <cellStyle name="Обычный 4 3" xfId="793" xr:uid="{00000000-0005-0000-0000-000053030000}"/>
    <cellStyle name="Обычный 4 3 2" xfId="794" xr:uid="{00000000-0005-0000-0000-000054030000}"/>
    <cellStyle name="Обычный 4 4" xfId="795" xr:uid="{00000000-0005-0000-0000-000055030000}"/>
    <cellStyle name="Обычный 4 4 2" xfId="796" xr:uid="{00000000-0005-0000-0000-000056030000}"/>
    <cellStyle name="Обычный 4 5" xfId="797" xr:uid="{00000000-0005-0000-0000-000057030000}"/>
    <cellStyle name="Обычный 40" xfId="798" xr:uid="{00000000-0005-0000-0000-000058030000}"/>
    <cellStyle name="Обычный 40 10" xfId="799" xr:uid="{00000000-0005-0000-0000-000059030000}"/>
    <cellStyle name="Обычный 40 11" xfId="800" xr:uid="{00000000-0005-0000-0000-00005A030000}"/>
    <cellStyle name="Обычный 40 12" xfId="801" xr:uid="{00000000-0005-0000-0000-00005B030000}"/>
    <cellStyle name="Обычный 40 13" xfId="802" xr:uid="{00000000-0005-0000-0000-00005C030000}"/>
    <cellStyle name="Обычный 40 14" xfId="803" xr:uid="{00000000-0005-0000-0000-00005D030000}"/>
    <cellStyle name="Обычный 40 15" xfId="804" xr:uid="{00000000-0005-0000-0000-00005E030000}"/>
    <cellStyle name="Обычный 40 16" xfId="805" xr:uid="{00000000-0005-0000-0000-00005F030000}"/>
    <cellStyle name="Обычный 40 17" xfId="806" xr:uid="{00000000-0005-0000-0000-000060030000}"/>
    <cellStyle name="Обычный 40 18" xfId="807" xr:uid="{00000000-0005-0000-0000-000061030000}"/>
    <cellStyle name="Обычный 40 19" xfId="808" xr:uid="{00000000-0005-0000-0000-000062030000}"/>
    <cellStyle name="Обычный 40 2" xfId="809" xr:uid="{00000000-0005-0000-0000-000063030000}"/>
    <cellStyle name="Обычный 40 2 2" xfId="810" xr:uid="{00000000-0005-0000-0000-000064030000}"/>
    <cellStyle name="Обычный 40 20" xfId="811" xr:uid="{00000000-0005-0000-0000-000065030000}"/>
    <cellStyle name="Обычный 40 21" xfId="812" xr:uid="{00000000-0005-0000-0000-000066030000}"/>
    <cellStyle name="Обычный 40 22" xfId="813" xr:uid="{00000000-0005-0000-0000-000067030000}"/>
    <cellStyle name="Обычный 40 23" xfId="814" xr:uid="{00000000-0005-0000-0000-000068030000}"/>
    <cellStyle name="Обычный 40 24" xfId="815" xr:uid="{00000000-0005-0000-0000-000069030000}"/>
    <cellStyle name="Обычный 40 25" xfId="816" xr:uid="{00000000-0005-0000-0000-00006A030000}"/>
    <cellStyle name="Обычный 40 26" xfId="817" xr:uid="{00000000-0005-0000-0000-00006B030000}"/>
    <cellStyle name="Обычный 40 27" xfId="818" xr:uid="{00000000-0005-0000-0000-00006C030000}"/>
    <cellStyle name="Обычный 40 28" xfId="819" xr:uid="{00000000-0005-0000-0000-00006D030000}"/>
    <cellStyle name="Обычный 40 29" xfId="820" xr:uid="{00000000-0005-0000-0000-00006E030000}"/>
    <cellStyle name="Обычный 40 3" xfId="821" xr:uid="{00000000-0005-0000-0000-00006F030000}"/>
    <cellStyle name="Обычный 40 30" xfId="822" xr:uid="{00000000-0005-0000-0000-000070030000}"/>
    <cellStyle name="Обычный 40 31" xfId="823" xr:uid="{00000000-0005-0000-0000-000071030000}"/>
    <cellStyle name="Обычный 40 32" xfId="824" xr:uid="{00000000-0005-0000-0000-000072030000}"/>
    <cellStyle name="Обычный 40 4" xfId="825" xr:uid="{00000000-0005-0000-0000-000073030000}"/>
    <cellStyle name="Обычный 40 5" xfId="826" xr:uid="{00000000-0005-0000-0000-000074030000}"/>
    <cellStyle name="Обычный 40 6" xfId="827" xr:uid="{00000000-0005-0000-0000-000075030000}"/>
    <cellStyle name="Обычный 40 7" xfId="828" xr:uid="{00000000-0005-0000-0000-000076030000}"/>
    <cellStyle name="Обычный 40 8" xfId="829" xr:uid="{00000000-0005-0000-0000-000077030000}"/>
    <cellStyle name="Обычный 40 9" xfId="830" xr:uid="{00000000-0005-0000-0000-000078030000}"/>
    <cellStyle name="Обычный 41" xfId="831" xr:uid="{00000000-0005-0000-0000-000079030000}"/>
    <cellStyle name="Обычный 41 10" xfId="832" xr:uid="{00000000-0005-0000-0000-00007A030000}"/>
    <cellStyle name="Обычный 41 11" xfId="833" xr:uid="{00000000-0005-0000-0000-00007B030000}"/>
    <cellStyle name="Обычный 41 12" xfId="834" xr:uid="{00000000-0005-0000-0000-00007C030000}"/>
    <cellStyle name="Обычный 41 13" xfId="835" xr:uid="{00000000-0005-0000-0000-00007D030000}"/>
    <cellStyle name="Обычный 41 14" xfId="836" xr:uid="{00000000-0005-0000-0000-00007E030000}"/>
    <cellStyle name="Обычный 41 15" xfId="837" xr:uid="{00000000-0005-0000-0000-00007F030000}"/>
    <cellStyle name="Обычный 41 16" xfId="838" xr:uid="{00000000-0005-0000-0000-000080030000}"/>
    <cellStyle name="Обычный 41 17" xfId="839" xr:uid="{00000000-0005-0000-0000-000081030000}"/>
    <cellStyle name="Обычный 41 18" xfId="840" xr:uid="{00000000-0005-0000-0000-000082030000}"/>
    <cellStyle name="Обычный 41 19" xfId="841" xr:uid="{00000000-0005-0000-0000-000083030000}"/>
    <cellStyle name="Обычный 41 2" xfId="842" xr:uid="{00000000-0005-0000-0000-000084030000}"/>
    <cellStyle name="Обычный 41 2 2" xfId="843" xr:uid="{00000000-0005-0000-0000-000085030000}"/>
    <cellStyle name="Обычный 41 20" xfId="844" xr:uid="{00000000-0005-0000-0000-000086030000}"/>
    <cellStyle name="Обычный 41 21" xfId="845" xr:uid="{00000000-0005-0000-0000-000087030000}"/>
    <cellStyle name="Обычный 41 22" xfId="846" xr:uid="{00000000-0005-0000-0000-000088030000}"/>
    <cellStyle name="Обычный 41 23" xfId="847" xr:uid="{00000000-0005-0000-0000-000089030000}"/>
    <cellStyle name="Обычный 41 24" xfId="848" xr:uid="{00000000-0005-0000-0000-00008A030000}"/>
    <cellStyle name="Обычный 41 25" xfId="849" xr:uid="{00000000-0005-0000-0000-00008B030000}"/>
    <cellStyle name="Обычный 41 26" xfId="850" xr:uid="{00000000-0005-0000-0000-00008C030000}"/>
    <cellStyle name="Обычный 41 27" xfId="851" xr:uid="{00000000-0005-0000-0000-00008D030000}"/>
    <cellStyle name="Обычный 41 28" xfId="852" xr:uid="{00000000-0005-0000-0000-00008E030000}"/>
    <cellStyle name="Обычный 41 29" xfId="853" xr:uid="{00000000-0005-0000-0000-00008F030000}"/>
    <cellStyle name="Обычный 41 3" xfId="854" xr:uid="{00000000-0005-0000-0000-000090030000}"/>
    <cellStyle name="Обычный 41 30" xfId="855" xr:uid="{00000000-0005-0000-0000-000091030000}"/>
    <cellStyle name="Обычный 41 31" xfId="856" xr:uid="{00000000-0005-0000-0000-000092030000}"/>
    <cellStyle name="Обычный 41 32" xfId="857" xr:uid="{00000000-0005-0000-0000-000093030000}"/>
    <cellStyle name="Обычный 41 4" xfId="858" xr:uid="{00000000-0005-0000-0000-000094030000}"/>
    <cellStyle name="Обычный 41 5" xfId="859" xr:uid="{00000000-0005-0000-0000-000095030000}"/>
    <cellStyle name="Обычный 41 6" xfId="860" xr:uid="{00000000-0005-0000-0000-000096030000}"/>
    <cellStyle name="Обычный 41 7" xfId="861" xr:uid="{00000000-0005-0000-0000-000097030000}"/>
    <cellStyle name="Обычный 41 8" xfId="862" xr:uid="{00000000-0005-0000-0000-000098030000}"/>
    <cellStyle name="Обычный 41 9" xfId="863" xr:uid="{00000000-0005-0000-0000-000099030000}"/>
    <cellStyle name="Обычный 42" xfId="864" xr:uid="{00000000-0005-0000-0000-00009A030000}"/>
    <cellStyle name="Обычный 43" xfId="865" xr:uid="{00000000-0005-0000-0000-00009B030000}"/>
    <cellStyle name="Обычный 44" xfId="866" xr:uid="{00000000-0005-0000-0000-00009C030000}"/>
    <cellStyle name="Обычный 45" xfId="867" xr:uid="{00000000-0005-0000-0000-00009D030000}"/>
    <cellStyle name="Обычный 46" xfId="868" xr:uid="{00000000-0005-0000-0000-00009E030000}"/>
    <cellStyle name="Обычный 47" xfId="869" xr:uid="{00000000-0005-0000-0000-00009F030000}"/>
    <cellStyle name="Обычный 47 2" xfId="870" xr:uid="{00000000-0005-0000-0000-0000A0030000}"/>
    <cellStyle name="Обычный 47 3" xfId="871" xr:uid="{00000000-0005-0000-0000-0000A1030000}"/>
    <cellStyle name="Обычный 47 4" xfId="872" xr:uid="{00000000-0005-0000-0000-0000A2030000}"/>
    <cellStyle name="Обычный 47 5" xfId="873" xr:uid="{00000000-0005-0000-0000-0000A3030000}"/>
    <cellStyle name="Обычный 47 6" xfId="874" xr:uid="{00000000-0005-0000-0000-0000A4030000}"/>
    <cellStyle name="Обычный 47 7" xfId="875" xr:uid="{00000000-0005-0000-0000-0000A5030000}"/>
    <cellStyle name="Обычный 48" xfId="876" xr:uid="{00000000-0005-0000-0000-0000A6030000}"/>
    <cellStyle name="Обычный 48 2" xfId="877" xr:uid="{00000000-0005-0000-0000-0000A7030000}"/>
    <cellStyle name="Обычный 48 3" xfId="878" xr:uid="{00000000-0005-0000-0000-0000A8030000}"/>
    <cellStyle name="Обычный 49" xfId="879" xr:uid="{00000000-0005-0000-0000-0000A9030000}"/>
    <cellStyle name="Обычный 5" xfId="880" xr:uid="{00000000-0005-0000-0000-0000AA030000}"/>
    <cellStyle name="Обычный 5 2" xfId="881" xr:uid="{00000000-0005-0000-0000-0000AB030000}"/>
    <cellStyle name="Обычный 5 2 2" xfId="882" xr:uid="{00000000-0005-0000-0000-0000AC030000}"/>
    <cellStyle name="Обычный 5 2 2 2" xfId="883" xr:uid="{00000000-0005-0000-0000-0000AD030000}"/>
    <cellStyle name="Обычный 5 2 3" xfId="884" xr:uid="{00000000-0005-0000-0000-0000AE030000}"/>
    <cellStyle name="Обычный 5 3" xfId="885" xr:uid="{00000000-0005-0000-0000-0000AF030000}"/>
    <cellStyle name="Обычный 5 3 2" xfId="886" xr:uid="{00000000-0005-0000-0000-0000B0030000}"/>
    <cellStyle name="Обычный 5 3 2 2" xfId="887" xr:uid="{00000000-0005-0000-0000-0000B1030000}"/>
    <cellStyle name="Обычный 5 3 3" xfId="888" xr:uid="{00000000-0005-0000-0000-0000B2030000}"/>
    <cellStyle name="Обычный 5 3 4" xfId="889" xr:uid="{00000000-0005-0000-0000-0000B3030000}"/>
    <cellStyle name="Обычный 5 4" xfId="890" xr:uid="{00000000-0005-0000-0000-0000B4030000}"/>
    <cellStyle name="Обычный 5 4 2" xfId="891" xr:uid="{00000000-0005-0000-0000-0000B5030000}"/>
    <cellStyle name="Обычный 5 5" xfId="892" xr:uid="{00000000-0005-0000-0000-0000B6030000}"/>
    <cellStyle name="Обычный 5 5 2" xfId="893" xr:uid="{00000000-0005-0000-0000-0000B7030000}"/>
    <cellStyle name="Обычный 5 6" xfId="894" xr:uid="{00000000-0005-0000-0000-0000B8030000}"/>
    <cellStyle name="Обычный 5 6 2" xfId="895" xr:uid="{00000000-0005-0000-0000-0000B9030000}"/>
    <cellStyle name="Обычный 5 7" xfId="896" xr:uid="{00000000-0005-0000-0000-0000BA030000}"/>
    <cellStyle name="Обычный 5 7 2" xfId="897" xr:uid="{00000000-0005-0000-0000-0000BB030000}"/>
    <cellStyle name="Обычный 5 8" xfId="898" xr:uid="{00000000-0005-0000-0000-0000BC030000}"/>
    <cellStyle name="Обычный 5 8 2" xfId="899" xr:uid="{00000000-0005-0000-0000-0000BD030000}"/>
    <cellStyle name="Обычный 50" xfId="900" xr:uid="{00000000-0005-0000-0000-0000BE030000}"/>
    <cellStyle name="Обычный 51" xfId="901" xr:uid="{00000000-0005-0000-0000-0000BF030000}"/>
    <cellStyle name="Обычный 52" xfId="902" xr:uid="{00000000-0005-0000-0000-0000C0030000}"/>
    <cellStyle name="Обычный 53" xfId="903" xr:uid="{00000000-0005-0000-0000-0000C1030000}"/>
    <cellStyle name="Обычный 54" xfId="904" xr:uid="{00000000-0005-0000-0000-0000C2030000}"/>
    <cellStyle name="Обычный 55" xfId="905" xr:uid="{00000000-0005-0000-0000-0000C3030000}"/>
    <cellStyle name="Обычный 56" xfId="906" xr:uid="{00000000-0005-0000-0000-0000C4030000}"/>
    <cellStyle name="Обычный 57" xfId="907" xr:uid="{00000000-0005-0000-0000-0000C5030000}"/>
    <cellStyle name="Обычный 58" xfId="908" xr:uid="{00000000-0005-0000-0000-0000C6030000}"/>
    <cellStyle name="Обычный 59" xfId="909" xr:uid="{00000000-0005-0000-0000-0000C7030000}"/>
    <cellStyle name="Обычный 6" xfId="910" xr:uid="{00000000-0005-0000-0000-0000C8030000}"/>
    <cellStyle name="Обычный 6 2" xfId="911" xr:uid="{00000000-0005-0000-0000-0000C9030000}"/>
    <cellStyle name="Обычный 6 2 2" xfId="912" xr:uid="{00000000-0005-0000-0000-0000CA030000}"/>
    <cellStyle name="Обычный 6 2 3" xfId="913" xr:uid="{00000000-0005-0000-0000-0000CB030000}"/>
    <cellStyle name="Обычный 6 3" xfId="914" xr:uid="{00000000-0005-0000-0000-0000CC030000}"/>
    <cellStyle name="Обычный 6 3 2" xfId="915" xr:uid="{00000000-0005-0000-0000-0000CD030000}"/>
    <cellStyle name="Обычный 6 4" xfId="916" xr:uid="{00000000-0005-0000-0000-0000CE030000}"/>
    <cellStyle name="Обычный 6 5" xfId="917" xr:uid="{00000000-0005-0000-0000-0000CF030000}"/>
    <cellStyle name="Обычный 6 6" xfId="918" xr:uid="{00000000-0005-0000-0000-0000D0030000}"/>
    <cellStyle name="Обычный 60" xfId="919" xr:uid="{00000000-0005-0000-0000-0000D1030000}"/>
    <cellStyle name="Обычный 61" xfId="920" xr:uid="{00000000-0005-0000-0000-0000D2030000}"/>
    <cellStyle name="Обычный 62" xfId="921" xr:uid="{00000000-0005-0000-0000-0000D3030000}"/>
    <cellStyle name="Обычный 63" xfId="922" xr:uid="{00000000-0005-0000-0000-0000D4030000}"/>
    <cellStyle name="Обычный 64" xfId="923" xr:uid="{00000000-0005-0000-0000-0000D5030000}"/>
    <cellStyle name="Обычный 65" xfId="924" xr:uid="{00000000-0005-0000-0000-0000D6030000}"/>
    <cellStyle name="Обычный 65 2" xfId="925" xr:uid="{00000000-0005-0000-0000-0000D7030000}"/>
    <cellStyle name="Обычный 66" xfId="926" xr:uid="{00000000-0005-0000-0000-0000D8030000}"/>
    <cellStyle name="Обычный 66 2" xfId="927" xr:uid="{00000000-0005-0000-0000-0000D9030000}"/>
    <cellStyle name="Обычный 66 3" xfId="928" xr:uid="{00000000-0005-0000-0000-0000DA030000}"/>
    <cellStyle name="Обычный 67" xfId="929" xr:uid="{00000000-0005-0000-0000-0000DB030000}"/>
    <cellStyle name="Обычный 68" xfId="930" xr:uid="{00000000-0005-0000-0000-0000DC030000}"/>
    <cellStyle name="Обычный 69" xfId="931" xr:uid="{00000000-0005-0000-0000-0000DD030000}"/>
    <cellStyle name="Обычный 7" xfId="932" xr:uid="{00000000-0005-0000-0000-0000DE030000}"/>
    <cellStyle name="Обычный 7 2" xfId="933" xr:uid="{00000000-0005-0000-0000-0000DF030000}"/>
    <cellStyle name="Обычный 7 2 2" xfId="934" xr:uid="{00000000-0005-0000-0000-0000E0030000}"/>
    <cellStyle name="Обычный 7 2 3" xfId="935" xr:uid="{00000000-0005-0000-0000-0000E1030000}"/>
    <cellStyle name="Обычный 7 3" xfId="936" xr:uid="{00000000-0005-0000-0000-0000E2030000}"/>
    <cellStyle name="Обычный 7 3 2" xfId="937" xr:uid="{00000000-0005-0000-0000-0000E3030000}"/>
    <cellStyle name="Обычный 7 4" xfId="938" xr:uid="{00000000-0005-0000-0000-0000E4030000}"/>
    <cellStyle name="Обычный 7 4 2" xfId="939" xr:uid="{00000000-0005-0000-0000-0000E5030000}"/>
    <cellStyle name="Обычный 7 5" xfId="940" xr:uid="{00000000-0005-0000-0000-0000E6030000}"/>
    <cellStyle name="Обычный 70" xfId="941" xr:uid="{00000000-0005-0000-0000-0000E7030000}"/>
    <cellStyle name="Обычный 71" xfId="942" xr:uid="{00000000-0005-0000-0000-0000E8030000}"/>
    <cellStyle name="Обычный 72" xfId="943" xr:uid="{00000000-0005-0000-0000-0000E9030000}"/>
    <cellStyle name="Обычный 73" xfId="944" xr:uid="{00000000-0005-0000-0000-0000EA030000}"/>
    <cellStyle name="Обычный 73 2" xfId="945" xr:uid="{00000000-0005-0000-0000-0000EB030000}"/>
    <cellStyle name="Обычный 73 3" xfId="946" xr:uid="{00000000-0005-0000-0000-0000EC030000}"/>
    <cellStyle name="Обычный 73 4" xfId="947" xr:uid="{00000000-0005-0000-0000-0000ED030000}"/>
    <cellStyle name="Обычный 74" xfId="948" xr:uid="{00000000-0005-0000-0000-0000EE030000}"/>
    <cellStyle name="Обычный 75" xfId="949" xr:uid="{00000000-0005-0000-0000-0000EF030000}"/>
    <cellStyle name="Обычный 75 2" xfId="950" xr:uid="{00000000-0005-0000-0000-0000F0030000}"/>
    <cellStyle name="Обычный 76" xfId="951" xr:uid="{00000000-0005-0000-0000-0000F1030000}"/>
    <cellStyle name="Обычный 77" xfId="952" xr:uid="{00000000-0005-0000-0000-0000F2030000}"/>
    <cellStyle name="Обычный 78" xfId="953" xr:uid="{00000000-0005-0000-0000-0000F3030000}"/>
    <cellStyle name="Обычный 78 2" xfId="954" xr:uid="{00000000-0005-0000-0000-0000F4030000}"/>
    <cellStyle name="Обычный 78 3" xfId="955" xr:uid="{00000000-0005-0000-0000-0000F5030000}"/>
    <cellStyle name="Обычный 79" xfId="956" xr:uid="{00000000-0005-0000-0000-0000F6030000}"/>
    <cellStyle name="Обычный 8" xfId="957" xr:uid="{00000000-0005-0000-0000-0000F7030000}"/>
    <cellStyle name="Обычный 8 2" xfId="958" xr:uid="{00000000-0005-0000-0000-0000F8030000}"/>
    <cellStyle name="Обычный 8 2 2" xfId="959" xr:uid="{00000000-0005-0000-0000-0000F9030000}"/>
    <cellStyle name="Обычный 8 2 3" xfId="960" xr:uid="{00000000-0005-0000-0000-0000FA030000}"/>
    <cellStyle name="Обычный 8 3" xfId="961" xr:uid="{00000000-0005-0000-0000-0000FB030000}"/>
    <cellStyle name="Обычный 8 3 2" xfId="962" xr:uid="{00000000-0005-0000-0000-0000FC030000}"/>
    <cellStyle name="Обычный 8 4" xfId="963" xr:uid="{00000000-0005-0000-0000-0000FD030000}"/>
    <cellStyle name="Обычный 8 5" xfId="964" xr:uid="{00000000-0005-0000-0000-0000FE030000}"/>
    <cellStyle name="Обычный 8 6" xfId="965" xr:uid="{00000000-0005-0000-0000-0000FF030000}"/>
    <cellStyle name="Обычный 80" xfId="966" xr:uid="{00000000-0005-0000-0000-000000040000}"/>
    <cellStyle name="Обычный 81" xfId="967" xr:uid="{00000000-0005-0000-0000-000001040000}"/>
    <cellStyle name="Обычный 82" xfId="968" xr:uid="{00000000-0005-0000-0000-000002040000}"/>
    <cellStyle name="Обычный 83" xfId="969" xr:uid="{00000000-0005-0000-0000-000003040000}"/>
    <cellStyle name="Обычный 84" xfId="970" xr:uid="{00000000-0005-0000-0000-000004040000}"/>
    <cellStyle name="Обычный 85" xfId="971" xr:uid="{00000000-0005-0000-0000-000005040000}"/>
    <cellStyle name="Обычный 86" xfId="972" xr:uid="{00000000-0005-0000-0000-000006040000}"/>
    <cellStyle name="Обычный 87" xfId="973" xr:uid="{00000000-0005-0000-0000-000007040000}"/>
    <cellStyle name="Обычный 87 2" xfId="974" xr:uid="{00000000-0005-0000-0000-000008040000}"/>
    <cellStyle name="Обычный 87 3" xfId="975" xr:uid="{00000000-0005-0000-0000-000009040000}"/>
    <cellStyle name="Обычный 88" xfId="976" xr:uid="{00000000-0005-0000-0000-00000A040000}"/>
    <cellStyle name="Обычный 88 2" xfId="977" xr:uid="{00000000-0005-0000-0000-00000B040000}"/>
    <cellStyle name="Обычный 88 3" xfId="978" xr:uid="{00000000-0005-0000-0000-00000C040000}"/>
    <cellStyle name="Обычный 89" xfId="979" xr:uid="{00000000-0005-0000-0000-00000D040000}"/>
    <cellStyle name="Обычный 9" xfId="980" xr:uid="{00000000-0005-0000-0000-00000E040000}"/>
    <cellStyle name="Обычный 9 2" xfId="981" xr:uid="{00000000-0005-0000-0000-00000F040000}"/>
    <cellStyle name="Обычный 9 2 2" xfId="982" xr:uid="{00000000-0005-0000-0000-000010040000}"/>
    <cellStyle name="Обычный 9 2 3" xfId="983" xr:uid="{00000000-0005-0000-0000-000011040000}"/>
    <cellStyle name="Обычный 9 3" xfId="984" xr:uid="{00000000-0005-0000-0000-000012040000}"/>
    <cellStyle name="Обычный 9 3 2" xfId="985" xr:uid="{00000000-0005-0000-0000-000013040000}"/>
    <cellStyle name="Обычный 9 4" xfId="986" xr:uid="{00000000-0005-0000-0000-000014040000}"/>
    <cellStyle name="Обычный 90" xfId="987" xr:uid="{00000000-0005-0000-0000-000015040000}"/>
    <cellStyle name="Обычный 90 2" xfId="988" xr:uid="{00000000-0005-0000-0000-000016040000}"/>
    <cellStyle name="Обычный 91" xfId="989" xr:uid="{00000000-0005-0000-0000-000017040000}"/>
    <cellStyle name="Обычный 92" xfId="990" xr:uid="{00000000-0005-0000-0000-000018040000}"/>
    <cellStyle name="Обычный 92 2" xfId="991" xr:uid="{00000000-0005-0000-0000-000019040000}"/>
    <cellStyle name="Обычный 93" xfId="992" xr:uid="{00000000-0005-0000-0000-00001A040000}"/>
    <cellStyle name="Обычный 93 2" xfId="993" xr:uid="{00000000-0005-0000-0000-00001B040000}"/>
    <cellStyle name="Обычный 93 3" xfId="994" xr:uid="{00000000-0005-0000-0000-00001C040000}"/>
    <cellStyle name="Обычный 94" xfId="995" xr:uid="{00000000-0005-0000-0000-00001D040000}"/>
    <cellStyle name="Обычный 94 2" xfId="996" xr:uid="{00000000-0005-0000-0000-00001E040000}"/>
    <cellStyle name="Обычный 94 3" xfId="997" xr:uid="{00000000-0005-0000-0000-00001F040000}"/>
    <cellStyle name="Обычный 95" xfId="998" xr:uid="{00000000-0005-0000-0000-000020040000}"/>
    <cellStyle name="Обычный 95 2" xfId="999" xr:uid="{00000000-0005-0000-0000-000021040000}"/>
    <cellStyle name="Обычный 96" xfId="1000" xr:uid="{00000000-0005-0000-0000-000022040000}"/>
    <cellStyle name="Обычный 97" xfId="1001" xr:uid="{00000000-0005-0000-0000-000023040000}"/>
    <cellStyle name="Обычный 97 2" xfId="1002" xr:uid="{00000000-0005-0000-0000-000024040000}"/>
    <cellStyle name="Обычный 98" xfId="1003" xr:uid="{00000000-0005-0000-0000-000025040000}"/>
    <cellStyle name="Обычный 99" xfId="1004" xr:uid="{00000000-0005-0000-0000-000026040000}"/>
    <cellStyle name="Обычный 99 2" xfId="1005" xr:uid="{00000000-0005-0000-0000-000027040000}"/>
    <cellStyle name="Обычный 99 2 2" xfId="1006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409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13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CC66FF"/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FB90"/>
  <sheetViews>
    <sheetView zoomScale="85" zoomScaleNormal="85" zoomScaleSheetLayoutView="75" workbookViewId="0">
      <pane xSplit="2" ySplit="4" topLeftCell="C10" activePane="bottomRight" state="frozen"/>
      <selection pane="topRight" activeCell="C1" sqref="C1"/>
      <selection pane="bottomLeft" activeCell="A5" sqref="A5"/>
      <selection pane="bottomRight" activeCell="D25" sqref="D25"/>
    </sheetView>
  </sheetViews>
  <sheetFormatPr defaultRowHeight="15" customHeight="1"/>
  <cols>
    <col min="1" max="1" width="7" style="78" customWidth="1"/>
    <col min="2" max="2" width="77.85546875" style="82" customWidth="1"/>
    <col min="3" max="5" width="20" style="82" customWidth="1"/>
    <col min="6" max="8" width="12.5703125" style="473" customWidth="1"/>
    <col min="9" max="9" width="5.85546875" style="473" customWidth="1"/>
    <col min="10" max="13" width="6.140625" style="473" customWidth="1"/>
    <col min="14" max="20" width="6.140625" style="82" customWidth="1"/>
    <col min="21" max="16384" width="9.140625" style="82"/>
  </cols>
  <sheetData>
    <row r="1" spans="1:21 16382:16382" ht="20.25">
      <c r="A1" s="531" t="s">
        <v>425</v>
      </c>
      <c r="B1" s="531"/>
      <c r="C1" s="531"/>
      <c r="D1" s="531"/>
      <c r="E1" s="77" t="s">
        <v>399</v>
      </c>
      <c r="G1" s="528" t="s">
        <v>547</v>
      </c>
    </row>
    <row r="2" spans="1:21 16382:16382" ht="15" customHeight="1">
      <c r="B2" s="522" t="str">
        <f>IF(C3&gt;0," "&amp;TEXT(C3,"д ММММ, гггг"),"Число,Месяц,Год")</f>
        <v xml:space="preserve"> 31 Декабрь, 2021</v>
      </c>
      <c r="C2" s="59"/>
      <c r="D2" s="474"/>
      <c r="E2" s="59"/>
    </row>
    <row r="3" spans="1:21 16382:16382" ht="15" customHeight="1">
      <c r="B3" s="157" t="s">
        <v>548</v>
      </c>
      <c r="C3" s="274">
        <v>44561</v>
      </c>
      <c r="D3" s="144"/>
      <c r="E3" s="158" t="s">
        <v>250</v>
      </c>
    </row>
    <row r="4" spans="1:21 16382:16382" ht="43.5" customHeight="1">
      <c r="A4" s="206" t="s">
        <v>79</v>
      </c>
      <c r="B4" s="206" t="s">
        <v>0</v>
      </c>
      <c r="C4" s="206" t="s">
        <v>236</v>
      </c>
      <c r="D4" s="206" t="s">
        <v>237</v>
      </c>
      <c r="E4" s="206" t="s">
        <v>238</v>
      </c>
      <c r="F4" s="318"/>
      <c r="G4" s="318"/>
      <c r="H4" s="318"/>
      <c r="I4" s="318"/>
      <c r="J4" s="318"/>
      <c r="K4" s="318"/>
      <c r="L4" s="318"/>
      <c r="M4" s="318"/>
      <c r="N4" s="81"/>
      <c r="O4" s="81"/>
      <c r="P4" s="81"/>
      <c r="Q4" s="81"/>
      <c r="R4" s="81"/>
      <c r="S4" s="81"/>
      <c r="T4" s="81"/>
      <c r="U4" s="81"/>
    </row>
    <row r="5" spans="1:21 16382:16382" ht="15" customHeight="1">
      <c r="A5" s="79">
        <v>1</v>
      </c>
      <c r="B5" s="155" t="s">
        <v>289</v>
      </c>
      <c r="C5" s="17">
        <f>+D5+E5</f>
        <v>275813889</v>
      </c>
      <c r="D5" s="17">
        <f>+'Bank Assets Analysis'!T7</f>
        <v>94523100</v>
      </c>
      <c r="E5" s="17">
        <f>+'Bank Assets Analysis'!U7</f>
        <v>181290789</v>
      </c>
      <c r="F5" s="318"/>
      <c r="G5" s="318"/>
      <c r="I5" s="318"/>
      <c r="J5" s="319">
        <f t="shared" ref="J5:J45" si="0">+C5-D5-E5</f>
        <v>0</v>
      </c>
      <c r="K5" s="318"/>
      <c r="L5" s="318"/>
      <c r="M5" s="318"/>
      <c r="N5" s="81"/>
      <c r="O5" s="81"/>
      <c r="P5" s="81"/>
      <c r="Q5" s="81"/>
      <c r="R5" s="81"/>
      <c r="S5" s="81"/>
      <c r="T5" s="81"/>
      <c r="U5" s="81"/>
    </row>
    <row r="6" spans="1:21 16382:16382" ht="15" customHeight="1">
      <c r="A6" s="79">
        <v>2</v>
      </c>
      <c r="B6" s="155" t="s">
        <v>251</v>
      </c>
      <c r="C6" s="80">
        <f t="shared" ref="C6:C78" si="1">+D6+E6</f>
        <v>1238811513</v>
      </c>
      <c r="D6" s="17">
        <f>+'Bank Assets Analysis'!T9+'Bank Assets Analysis'!T10</f>
        <v>988225440</v>
      </c>
      <c r="E6" s="17">
        <f>+'Bank Assets Analysis'!U9+'Bank Assets Analysis'!U10</f>
        <v>250586073</v>
      </c>
      <c r="F6" s="318"/>
      <c r="G6" s="318"/>
      <c r="I6" s="318"/>
      <c r="J6" s="319">
        <f t="shared" si="0"/>
        <v>0</v>
      </c>
      <c r="K6" s="318"/>
      <c r="L6" s="318"/>
      <c r="M6" s="318"/>
      <c r="N6" s="81"/>
      <c r="O6" s="81"/>
      <c r="P6" s="81"/>
      <c r="Q6" s="81"/>
      <c r="R6" s="81"/>
      <c r="S6" s="81"/>
      <c r="T6" s="81"/>
      <c r="U6" s="81"/>
    </row>
    <row r="7" spans="1:21 16382:16382" ht="15" customHeight="1">
      <c r="A7" s="79">
        <v>3</v>
      </c>
      <c r="B7" s="155" t="s">
        <v>290</v>
      </c>
      <c r="C7" s="17">
        <f>+'Bank Assets Analysis'!S11</f>
        <v>901416758</v>
      </c>
      <c r="D7" s="17">
        <f>+'Bank Assets Analysis'!T11</f>
        <v>168833754</v>
      </c>
      <c r="E7" s="17">
        <f>+'Bank Assets Analysis'!U11</f>
        <v>732583004</v>
      </c>
      <c r="F7" s="318"/>
      <c r="G7" s="318"/>
      <c r="I7" s="318"/>
      <c r="J7" s="319">
        <f t="shared" si="0"/>
        <v>0</v>
      </c>
      <c r="K7" s="318"/>
      <c r="L7" s="318"/>
      <c r="M7" s="318"/>
      <c r="N7" s="81"/>
      <c r="O7" s="81"/>
      <c r="P7" s="81"/>
      <c r="Q7" s="81"/>
      <c r="R7" s="81"/>
      <c r="S7" s="81"/>
      <c r="T7" s="81"/>
      <c r="U7" s="81"/>
    </row>
    <row r="8" spans="1:21 16382:16382" ht="15" customHeight="1">
      <c r="A8" s="79" t="s">
        <v>220</v>
      </c>
      <c r="B8" s="187" t="s">
        <v>291</v>
      </c>
      <c r="C8" s="17">
        <f t="shared" ref="C8" si="2">+D8+E8</f>
        <v>901416758</v>
      </c>
      <c r="D8" s="13">
        <v>168833754</v>
      </c>
      <c r="E8" s="13">
        <v>732583004</v>
      </c>
      <c r="F8" s="318"/>
      <c r="G8" s="318"/>
      <c r="I8" s="318"/>
      <c r="J8" s="319">
        <f t="shared" si="0"/>
        <v>0</v>
      </c>
      <c r="K8" s="318"/>
      <c r="L8" s="318"/>
      <c r="M8" s="318"/>
      <c r="N8" s="81"/>
      <c r="O8" s="81"/>
      <c r="P8" s="81"/>
      <c r="Q8" s="81"/>
      <c r="R8" s="81"/>
      <c r="S8" s="81"/>
      <c r="T8" s="81"/>
      <c r="U8" s="81"/>
    </row>
    <row r="9" spans="1:21 16382:16382" ht="15" customHeight="1">
      <c r="A9" s="79" t="s">
        <v>221</v>
      </c>
      <c r="B9" s="187" t="s">
        <v>292</v>
      </c>
      <c r="C9" s="17">
        <f t="shared" si="1"/>
        <v>0</v>
      </c>
      <c r="D9" s="13">
        <v>0</v>
      </c>
      <c r="E9" s="13"/>
      <c r="F9" s="318"/>
      <c r="G9" s="318"/>
      <c r="I9" s="318"/>
      <c r="J9" s="319">
        <f t="shared" si="0"/>
        <v>0</v>
      </c>
      <c r="K9" s="318"/>
      <c r="L9" s="318"/>
      <c r="M9" s="318"/>
      <c r="N9" s="81"/>
      <c r="O9" s="81"/>
      <c r="P9" s="81"/>
      <c r="Q9" s="81"/>
      <c r="R9" s="81"/>
      <c r="S9" s="81"/>
      <c r="T9" s="81"/>
      <c r="U9" s="81"/>
      <c r="XFB9" s="13"/>
    </row>
    <row r="10" spans="1:21 16382:16382" ht="15" customHeight="1">
      <c r="A10" s="79">
        <v>4</v>
      </c>
      <c r="B10" s="155" t="s">
        <v>134</v>
      </c>
      <c r="C10" s="17">
        <f>+D10+E10</f>
        <v>409972435</v>
      </c>
      <c r="D10" s="17">
        <f>+'Investment Securities'!C29</f>
        <v>409972435</v>
      </c>
      <c r="E10" s="17">
        <f>+'Investment Securities'!D29</f>
        <v>0</v>
      </c>
      <c r="F10" s="318"/>
      <c r="I10" s="318"/>
      <c r="J10" s="319">
        <f t="shared" si="0"/>
        <v>0</v>
      </c>
      <c r="K10" s="318"/>
      <c r="L10" s="318"/>
      <c r="M10" s="318"/>
      <c r="N10" s="81"/>
      <c r="O10" s="81"/>
      <c r="P10" s="81"/>
      <c r="Q10" s="81"/>
      <c r="R10" s="81"/>
      <c r="S10" s="81"/>
      <c r="T10" s="81"/>
      <c r="U10" s="81"/>
    </row>
    <row r="11" spans="1:21 16382:16382" ht="15" customHeight="1">
      <c r="A11" s="79" t="s">
        <v>255</v>
      </c>
      <c r="B11" s="187" t="s">
        <v>421</v>
      </c>
      <c r="C11" s="17">
        <f t="shared" ref="C11:C13" si="3">+D11+E11</f>
        <v>418105000</v>
      </c>
      <c r="D11" s="17">
        <f>+'Investment Securities'!C26</f>
        <v>418105000</v>
      </c>
      <c r="E11" s="17">
        <f>+'Investment Securities'!D26</f>
        <v>0</v>
      </c>
      <c r="F11" s="318"/>
      <c r="G11" s="318"/>
      <c r="I11" s="318"/>
      <c r="J11" s="319">
        <f t="shared" si="0"/>
        <v>0</v>
      </c>
      <c r="K11" s="318"/>
      <c r="L11" s="318"/>
      <c r="M11" s="318"/>
      <c r="N11" s="81"/>
      <c r="O11" s="81"/>
      <c r="P11" s="81"/>
      <c r="Q11" s="81"/>
      <c r="R11" s="81"/>
      <c r="S11" s="81"/>
      <c r="T11" s="81"/>
      <c r="U11" s="81"/>
    </row>
    <row r="12" spans="1:21 16382:16382" ht="15" customHeight="1">
      <c r="A12" s="79" t="s">
        <v>256</v>
      </c>
      <c r="B12" s="187" t="s">
        <v>514</v>
      </c>
      <c r="C12" s="17">
        <f t="shared" si="3"/>
        <v>-8132565</v>
      </c>
      <c r="D12" s="17">
        <f>+'Investment Securities'!C27</f>
        <v>-8132565</v>
      </c>
      <c r="E12" s="17">
        <f>+'Investment Securities'!D27</f>
        <v>0</v>
      </c>
      <c r="F12" s="318"/>
      <c r="G12" s="318"/>
      <c r="I12" s="318"/>
      <c r="J12" s="319"/>
      <c r="K12" s="318"/>
      <c r="L12" s="318"/>
      <c r="M12" s="318"/>
      <c r="N12" s="81"/>
      <c r="O12" s="81"/>
      <c r="P12" s="81"/>
      <c r="Q12" s="81"/>
      <c r="R12" s="81"/>
      <c r="S12" s="81"/>
      <c r="T12" s="81"/>
      <c r="U12" s="81"/>
    </row>
    <row r="13" spans="1:21 16382:16382" ht="15" customHeight="1">
      <c r="A13" s="79" t="s">
        <v>515</v>
      </c>
      <c r="B13" s="187" t="s">
        <v>292</v>
      </c>
      <c r="C13" s="17">
        <f t="shared" si="3"/>
        <v>0</v>
      </c>
      <c r="D13" s="17">
        <f>+'Investment Securities'!C28</f>
        <v>0</v>
      </c>
      <c r="E13" s="17">
        <f>+'Investment Securities'!D28</f>
        <v>0</v>
      </c>
      <c r="F13" s="318"/>
      <c r="G13" s="318"/>
      <c r="I13" s="318"/>
      <c r="J13" s="319">
        <f t="shared" si="0"/>
        <v>0</v>
      </c>
      <c r="K13" s="318"/>
      <c r="L13" s="318"/>
      <c r="M13" s="318"/>
      <c r="N13" s="81"/>
      <c r="O13" s="81"/>
      <c r="P13" s="81"/>
      <c r="Q13" s="81"/>
      <c r="R13" s="81"/>
      <c r="S13" s="81"/>
      <c r="T13" s="81"/>
      <c r="U13" s="81"/>
    </row>
    <row r="14" spans="1:21 16382:16382" ht="15" customHeight="1">
      <c r="A14" s="79">
        <v>5</v>
      </c>
      <c r="B14" s="155" t="s">
        <v>362</v>
      </c>
      <c r="C14" s="17">
        <f>+C15-C16</f>
        <v>251</v>
      </c>
      <c r="D14" s="17">
        <f>+'Investment Securities'!C40</f>
        <v>251</v>
      </c>
      <c r="E14" s="17">
        <f>+'Investment Securities'!D40</f>
        <v>0</v>
      </c>
      <c r="F14" s="318"/>
      <c r="G14" s="318"/>
      <c r="I14" s="318"/>
      <c r="J14" s="319">
        <f t="shared" si="0"/>
        <v>0</v>
      </c>
      <c r="K14" s="318"/>
      <c r="L14" s="318"/>
      <c r="M14" s="318"/>
      <c r="N14" s="81"/>
      <c r="O14" s="81"/>
      <c r="P14" s="81"/>
      <c r="Q14" s="81"/>
      <c r="R14" s="81"/>
      <c r="S14" s="81"/>
      <c r="T14" s="81"/>
      <c r="U14" s="81"/>
    </row>
    <row r="15" spans="1:21 16382:16382" ht="15" customHeight="1">
      <c r="A15" s="79" t="s">
        <v>257</v>
      </c>
      <c r="B15" s="187" t="s">
        <v>420</v>
      </c>
      <c r="C15" s="17">
        <f t="shared" si="1"/>
        <v>251</v>
      </c>
      <c r="D15" s="17">
        <f>+'Investment Securities'!C38</f>
        <v>251</v>
      </c>
      <c r="E15" s="17">
        <f>+'Investment Securities'!D38</f>
        <v>0</v>
      </c>
      <c r="F15" s="318"/>
      <c r="G15" s="318"/>
      <c r="I15" s="318"/>
      <c r="J15" s="319">
        <f t="shared" si="0"/>
        <v>0</v>
      </c>
      <c r="K15" s="318"/>
      <c r="L15" s="318"/>
      <c r="M15" s="318"/>
      <c r="N15" s="81"/>
      <c r="O15" s="81"/>
      <c r="P15" s="81"/>
      <c r="Q15" s="81"/>
      <c r="R15" s="81"/>
      <c r="S15" s="81"/>
      <c r="T15" s="81"/>
      <c r="U15" s="81"/>
    </row>
    <row r="16" spans="1:21 16382:16382" ht="15" customHeight="1">
      <c r="A16" s="79" t="s">
        <v>258</v>
      </c>
      <c r="B16" s="187" t="s">
        <v>292</v>
      </c>
      <c r="C16" s="17">
        <f t="shared" si="1"/>
        <v>0</v>
      </c>
      <c r="D16" s="17">
        <f>+'Investment Securities'!C39</f>
        <v>0</v>
      </c>
      <c r="E16" s="17">
        <f>+'Investment Securities'!D39</f>
        <v>0</v>
      </c>
      <c r="F16" s="318"/>
      <c r="G16" s="318"/>
      <c r="I16" s="318"/>
      <c r="J16" s="319">
        <f t="shared" si="0"/>
        <v>0</v>
      </c>
      <c r="K16" s="318"/>
      <c r="L16" s="318"/>
      <c r="M16" s="318"/>
      <c r="N16" s="81"/>
      <c r="O16" s="81"/>
      <c r="P16" s="81"/>
      <c r="Q16" s="81"/>
      <c r="R16" s="81"/>
      <c r="S16" s="81"/>
      <c r="T16" s="81"/>
      <c r="U16" s="81"/>
    </row>
    <row r="17" spans="1:21" ht="15" customHeight="1">
      <c r="A17" s="79">
        <v>6</v>
      </c>
      <c r="B17" s="155" t="s">
        <v>148</v>
      </c>
      <c r="C17" s="17">
        <f>+'Investment Securities'!B15</f>
        <v>98339066</v>
      </c>
      <c r="D17" s="17">
        <f>+'Investment Securities'!C15</f>
        <v>98339066</v>
      </c>
      <c r="E17" s="17">
        <f>+'Investment Securities'!D15</f>
        <v>0</v>
      </c>
      <c r="F17" s="318"/>
      <c r="G17" s="318"/>
      <c r="I17" s="318"/>
      <c r="J17" s="319">
        <f t="shared" si="0"/>
        <v>0</v>
      </c>
      <c r="K17" s="318"/>
      <c r="L17" s="318"/>
      <c r="M17" s="318"/>
      <c r="N17" s="81"/>
      <c r="O17" s="81"/>
      <c r="P17" s="81"/>
      <c r="Q17" s="81"/>
      <c r="R17" s="81"/>
      <c r="S17" s="81"/>
      <c r="T17" s="81"/>
      <c r="U17" s="81"/>
    </row>
    <row r="18" spans="1:21" ht="15" customHeight="1">
      <c r="A18" s="79" t="s">
        <v>259</v>
      </c>
      <c r="B18" s="187" t="s">
        <v>363</v>
      </c>
      <c r="C18" s="17">
        <f t="shared" si="1"/>
        <v>98339066</v>
      </c>
      <c r="D18" s="17">
        <f>+'Investment Securities'!C13</f>
        <v>98339066</v>
      </c>
      <c r="E18" s="17">
        <f>+'Investment Securities'!D13</f>
        <v>0</v>
      </c>
      <c r="F18" s="318"/>
      <c r="G18" s="318"/>
      <c r="I18" s="318"/>
      <c r="J18" s="319">
        <f t="shared" si="0"/>
        <v>0</v>
      </c>
      <c r="K18" s="318"/>
      <c r="L18" s="318"/>
      <c r="M18" s="318"/>
      <c r="N18" s="81"/>
      <c r="O18" s="81"/>
      <c r="P18" s="81"/>
      <c r="Q18" s="81"/>
      <c r="R18" s="81"/>
      <c r="S18" s="81"/>
      <c r="T18" s="81"/>
      <c r="U18" s="81"/>
    </row>
    <row r="19" spans="1:21" ht="15" customHeight="1">
      <c r="A19" s="83" t="s">
        <v>260</v>
      </c>
      <c r="B19" s="187" t="s">
        <v>292</v>
      </c>
      <c r="C19" s="17">
        <f t="shared" si="1"/>
        <v>0</v>
      </c>
      <c r="D19" s="17">
        <f>+'Investment Securities'!C14</f>
        <v>0</v>
      </c>
      <c r="E19" s="17">
        <f>+'Investment Securities'!D14</f>
        <v>0</v>
      </c>
      <c r="F19" s="318"/>
      <c r="G19" s="318"/>
      <c r="I19" s="318"/>
      <c r="J19" s="319">
        <f t="shared" si="0"/>
        <v>0</v>
      </c>
      <c r="K19" s="318"/>
      <c r="L19" s="318"/>
      <c r="M19" s="318"/>
      <c r="N19" s="81"/>
      <c r="O19" s="81"/>
      <c r="P19" s="81"/>
      <c r="Q19" s="81"/>
      <c r="R19" s="81"/>
      <c r="S19" s="81"/>
      <c r="T19" s="81"/>
      <c r="U19" s="81"/>
    </row>
    <row r="20" spans="1:21" ht="15" customHeight="1">
      <c r="A20" s="79">
        <v>7</v>
      </c>
      <c r="B20" s="155" t="s">
        <v>364</v>
      </c>
      <c r="C20" s="17">
        <f>+'Bank Assets Analysis'!S35</f>
        <v>0</v>
      </c>
      <c r="D20" s="17">
        <f>+'Bank Assets Analysis'!T35</f>
        <v>0</v>
      </c>
      <c r="E20" s="17">
        <f>+'Bank Assets Analysis'!U35</f>
        <v>0</v>
      </c>
      <c r="F20" s="318"/>
      <c r="G20" s="318"/>
      <c r="I20" s="318"/>
      <c r="J20" s="319">
        <f t="shared" si="0"/>
        <v>0</v>
      </c>
      <c r="K20" s="318"/>
      <c r="L20" s="318"/>
      <c r="M20" s="318"/>
      <c r="N20" s="81"/>
      <c r="O20" s="81"/>
      <c r="P20" s="81"/>
      <c r="Q20" s="81"/>
      <c r="R20" s="81"/>
      <c r="S20" s="81"/>
      <c r="T20" s="81"/>
      <c r="U20" s="81"/>
    </row>
    <row r="21" spans="1:21" ht="15" customHeight="1">
      <c r="A21" s="79" t="s">
        <v>261</v>
      </c>
      <c r="B21" s="187" t="s">
        <v>365</v>
      </c>
      <c r="C21" s="17">
        <f t="shared" si="1"/>
        <v>0</v>
      </c>
      <c r="D21" s="13">
        <v>0</v>
      </c>
      <c r="E21" s="13">
        <v>0</v>
      </c>
      <c r="F21" s="318"/>
      <c r="G21" s="318"/>
      <c r="I21" s="318"/>
      <c r="J21" s="319">
        <f t="shared" si="0"/>
        <v>0</v>
      </c>
      <c r="K21" s="318"/>
      <c r="L21" s="318"/>
      <c r="M21" s="318"/>
      <c r="N21" s="81"/>
      <c r="O21" s="81"/>
      <c r="P21" s="81"/>
      <c r="Q21" s="81"/>
      <c r="R21" s="81"/>
      <c r="S21" s="81"/>
      <c r="T21" s="81"/>
      <c r="U21" s="81"/>
    </row>
    <row r="22" spans="1:21" ht="15" customHeight="1">
      <c r="A22" s="79" t="s">
        <v>262</v>
      </c>
      <c r="B22" s="187" t="s">
        <v>366</v>
      </c>
      <c r="C22" s="17">
        <f t="shared" si="1"/>
        <v>0</v>
      </c>
      <c r="D22" s="13">
        <v>0</v>
      </c>
      <c r="E22" s="13">
        <v>0</v>
      </c>
      <c r="F22" s="318"/>
      <c r="G22" s="318"/>
      <c r="I22" s="318"/>
      <c r="J22" s="319">
        <f t="shared" si="0"/>
        <v>0</v>
      </c>
      <c r="K22" s="318"/>
      <c r="L22" s="318"/>
      <c r="M22" s="318"/>
      <c r="N22" s="81"/>
      <c r="O22" s="81"/>
      <c r="P22" s="81"/>
      <c r="Q22" s="81"/>
      <c r="R22" s="81"/>
      <c r="S22" s="81"/>
      <c r="T22" s="81"/>
      <c r="U22" s="81"/>
    </row>
    <row r="23" spans="1:21" ht="15" customHeight="1">
      <c r="A23" s="79">
        <v>8</v>
      </c>
      <c r="B23" s="155" t="s">
        <v>367</v>
      </c>
      <c r="C23" s="17">
        <f>+'Bank Assets Analysis'!S30+'Bank Assets Analysis'!S31+'Bank Assets Analysis'!S33</f>
        <v>7653319526</v>
      </c>
      <c r="D23" s="17">
        <f>+'Bank Assets Analysis'!T30+'Bank Assets Analysis'!T31+'Bank Assets Analysis'!T33</f>
        <v>4721593409</v>
      </c>
      <c r="E23" s="17">
        <f>+'Bank Assets Analysis'!U30+'Bank Assets Analysis'!U31+'Bank Assets Analysis'!U33</f>
        <v>2931726117</v>
      </c>
      <c r="G23" s="318"/>
      <c r="I23" s="318"/>
      <c r="J23" s="319">
        <f t="shared" si="0"/>
        <v>0</v>
      </c>
      <c r="K23" s="318"/>
      <c r="L23" s="318"/>
      <c r="M23" s="318"/>
      <c r="N23" s="81"/>
      <c r="O23" s="81"/>
      <c r="P23" s="81"/>
      <c r="Q23" s="81"/>
      <c r="R23" s="81"/>
      <c r="S23" s="81"/>
      <c r="T23" s="81"/>
      <c r="U23" s="81"/>
    </row>
    <row r="24" spans="1:21" ht="12.75">
      <c r="A24" s="79" t="s">
        <v>263</v>
      </c>
      <c r="B24" s="187" t="s">
        <v>368</v>
      </c>
      <c r="C24" s="17">
        <f t="shared" ref="C24:C25" si="4">+D24+E24</f>
        <v>7754313870</v>
      </c>
      <c r="D24" s="13">
        <v>4807418969</v>
      </c>
      <c r="E24" s="13">
        <v>2946894901</v>
      </c>
      <c r="F24" s="318"/>
      <c r="G24" s="318"/>
      <c r="I24" s="318"/>
      <c r="J24" s="319">
        <f t="shared" si="0"/>
        <v>0</v>
      </c>
      <c r="K24" s="318"/>
      <c r="L24" s="318"/>
      <c r="M24" s="318"/>
      <c r="N24" s="81"/>
      <c r="O24" s="81"/>
      <c r="P24" s="81"/>
      <c r="Q24" s="81"/>
      <c r="R24" s="81"/>
      <c r="S24" s="81"/>
      <c r="T24" s="81"/>
      <c r="U24" s="81"/>
    </row>
    <row r="25" spans="1:21" ht="15" customHeight="1">
      <c r="A25" s="79" t="s">
        <v>264</v>
      </c>
      <c r="B25" s="187" t="s">
        <v>292</v>
      </c>
      <c r="C25" s="17">
        <f t="shared" si="4"/>
        <v>100994344</v>
      </c>
      <c r="D25" s="13">
        <v>85825560</v>
      </c>
      <c r="E25" s="13">
        <v>15168784</v>
      </c>
      <c r="F25" s="319"/>
      <c r="G25" s="318"/>
      <c r="I25" s="318"/>
      <c r="J25" s="319">
        <f t="shared" si="0"/>
        <v>0</v>
      </c>
      <c r="K25" s="318"/>
      <c r="L25" s="318"/>
      <c r="M25" s="318"/>
      <c r="N25" s="81"/>
      <c r="O25" s="81"/>
      <c r="P25" s="81"/>
      <c r="Q25" s="81"/>
      <c r="R25" s="81"/>
      <c r="S25" s="81"/>
      <c r="T25" s="81"/>
      <c r="U25" s="81"/>
    </row>
    <row r="26" spans="1:21" ht="15" customHeight="1">
      <c r="A26" s="79">
        <v>9</v>
      </c>
      <c r="B26" s="155" t="s">
        <v>136</v>
      </c>
      <c r="C26" s="17">
        <f>+'Bank Assets Analysis'!S26</f>
        <v>0</v>
      </c>
      <c r="D26" s="17">
        <f>+'Bank Assets Analysis'!T26</f>
        <v>0</v>
      </c>
      <c r="E26" s="17">
        <f>+'Bank Assets Analysis'!U26</f>
        <v>0</v>
      </c>
      <c r="F26" s="318"/>
      <c r="G26" s="318"/>
      <c r="I26" s="318"/>
      <c r="J26" s="319">
        <f t="shared" si="0"/>
        <v>0</v>
      </c>
      <c r="K26" s="318"/>
      <c r="L26" s="318"/>
      <c r="M26" s="318"/>
      <c r="N26" s="81"/>
      <c r="O26" s="81"/>
      <c r="P26" s="81"/>
      <c r="Q26" s="81"/>
      <c r="R26" s="81"/>
      <c r="S26" s="81"/>
      <c r="T26" s="81"/>
      <c r="U26" s="81"/>
    </row>
    <row r="27" spans="1:21" ht="15" customHeight="1">
      <c r="A27" s="79" t="s">
        <v>265</v>
      </c>
      <c r="B27" s="187" t="s">
        <v>369</v>
      </c>
      <c r="C27" s="17">
        <f t="shared" si="1"/>
        <v>0</v>
      </c>
      <c r="D27" s="13">
        <v>0</v>
      </c>
      <c r="E27" s="13">
        <v>0</v>
      </c>
      <c r="F27" s="318"/>
      <c r="G27" s="318"/>
      <c r="I27" s="318"/>
      <c r="J27" s="319">
        <f t="shared" si="0"/>
        <v>0</v>
      </c>
      <c r="K27" s="318"/>
      <c r="L27" s="318"/>
      <c r="M27" s="318"/>
      <c r="N27" s="81"/>
      <c r="O27" s="81"/>
      <c r="P27" s="81"/>
      <c r="Q27" s="81"/>
      <c r="R27" s="81"/>
      <c r="S27" s="81"/>
      <c r="T27" s="81"/>
      <c r="U27" s="81"/>
    </row>
    <row r="28" spans="1:21" ht="15" customHeight="1">
      <c r="A28" s="79" t="s">
        <v>266</v>
      </c>
      <c r="B28" s="187" t="s">
        <v>292</v>
      </c>
      <c r="C28" s="17">
        <f t="shared" si="1"/>
        <v>0</v>
      </c>
      <c r="D28" s="13">
        <v>0</v>
      </c>
      <c r="E28" s="13">
        <v>0</v>
      </c>
      <c r="F28" s="318"/>
      <c r="G28" s="318"/>
      <c r="I28" s="318"/>
      <c r="J28" s="319">
        <f t="shared" si="0"/>
        <v>0</v>
      </c>
      <c r="K28" s="318"/>
      <c r="L28" s="318"/>
      <c r="M28" s="318"/>
      <c r="N28" s="81"/>
      <c r="O28" s="81"/>
      <c r="P28" s="81"/>
      <c r="Q28" s="81"/>
      <c r="R28" s="81"/>
      <c r="S28" s="81"/>
      <c r="T28" s="81"/>
      <c r="U28" s="81"/>
    </row>
    <row r="29" spans="1:21" ht="15" customHeight="1">
      <c r="A29" s="79">
        <v>10</v>
      </c>
      <c r="B29" s="187" t="s">
        <v>370</v>
      </c>
      <c r="C29" s="17">
        <f t="shared" si="1"/>
        <v>532887227</v>
      </c>
      <c r="D29" s="17">
        <f>+'Bank Assets Analysis'!T27+'Bank Assets Analysis'!T28</f>
        <v>0</v>
      </c>
      <c r="E29" s="17">
        <f>+'Bank Assets Analysis'!U27+'Bank Assets Analysis'!U28</f>
        <v>532887227</v>
      </c>
      <c r="F29" s="318"/>
      <c r="G29" s="318"/>
      <c r="I29" s="318"/>
      <c r="J29" s="319">
        <f t="shared" si="0"/>
        <v>0</v>
      </c>
      <c r="K29" s="318"/>
      <c r="L29" s="318"/>
      <c r="M29" s="318"/>
      <c r="N29" s="81"/>
      <c r="O29" s="81"/>
      <c r="P29" s="81"/>
      <c r="Q29" s="81"/>
      <c r="R29" s="81"/>
      <c r="S29" s="81"/>
      <c r="T29" s="81"/>
      <c r="U29" s="81"/>
    </row>
    <row r="30" spans="1:21" ht="15" customHeight="1">
      <c r="A30" s="79" t="s">
        <v>267</v>
      </c>
      <c r="B30" s="187" t="s">
        <v>414</v>
      </c>
      <c r="C30" s="17">
        <f t="shared" si="1"/>
        <v>533298096</v>
      </c>
      <c r="D30" s="13">
        <v>0</v>
      </c>
      <c r="E30" s="13">
        <v>533298096</v>
      </c>
      <c r="F30" s="318"/>
      <c r="G30" s="318"/>
      <c r="I30" s="318"/>
      <c r="J30" s="319">
        <f t="shared" si="0"/>
        <v>0</v>
      </c>
      <c r="K30" s="318"/>
      <c r="L30" s="318"/>
      <c r="M30" s="318"/>
      <c r="N30" s="81"/>
      <c r="O30" s="81"/>
      <c r="P30" s="81"/>
      <c r="Q30" s="81"/>
      <c r="R30" s="81"/>
      <c r="S30" s="81"/>
      <c r="T30" s="81"/>
      <c r="U30" s="81"/>
    </row>
    <row r="31" spans="1:21" ht="15" customHeight="1">
      <c r="A31" s="79" t="s">
        <v>268</v>
      </c>
      <c r="B31" s="187" t="s">
        <v>292</v>
      </c>
      <c r="C31" s="17">
        <f t="shared" si="1"/>
        <v>410869</v>
      </c>
      <c r="D31" s="13">
        <v>0</v>
      </c>
      <c r="E31" s="13">
        <v>410869</v>
      </c>
      <c r="F31" s="318"/>
      <c r="G31" s="318"/>
      <c r="I31" s="318"/>
      <c r="J31" s="319">
        <f t="shared" si="0"/>
        <v>0</v>
      </c>
      <c r="K31" s="318"/>
      <c r="L31" s="318"/>
      <c r="M31" s="318"/>
      <c r="N31" s="81"/>
      <c r="O31" s="81"/>
      <c r="P31" s="81"/>
      <c r="Q31" s="81"/>
      <c r="R31" s="81"/>
      <c r="S31" s="81"/>
      <c r="T31" s="81"/>
      <c r="U31" s="81"/>
    </row>
    <row r="32" spans="1:21" ht="15" customHeight="1">
      <c r="A32" s="79">
        <v>11</v>
      </c>
      <c r="B32" s="187" t="s">
        <v>371</v>
      </c>
      <c r="C32" s="17">
        <f>+'Bank Assets Analysis'!S38</f>
        <v>812267548</v>
      </c>
      <c r="D32" s="17">
        <f>+'Bank Assets Analysis'!T38</f>
        <v>812267548</v>
      </c>
      <c r="E32" s="17">
        <f>+'Bank Assets Analysis'!U38</f>
        <v>0</v>
      </c>
      <c r="F32" s="318"/>
      <c r="G32" s="318"/>
      <c r="I32" s="318"/>
      <c r="J32" s="319">
        <f t="shared" si="0"/>
        <v>0</v>
      </c>
      <c r="K32" s="318"/>
      <c r="L32" s="318"/>
      <c r="M32" s="318"/>
      <c r="N32" s="81"/>
      <c r="O32" s="81"/>
      <c r="P32" s="81"/>
      <c r="Q32" s="81"/>
      <c r="R32" s="81"/>
      <c r="S32" s="81"/>
      <c r="T32" s="81"/>
      <c r="U32" s="81"/>
    </row>
    <row r="33" spans="1:21" ht="15" customHeight="1">
      <c r="A33" s="79">
        <v>12</v>
      </c>
      <c r="B33" s="187" t="s">
        <v>415</v>
      </c>
      <c r="C33" s="17">
        <f>+C34+C35-C36</f>
        <v>198065177</v>
      </c>
      <c r="D33" s="17">
        <f>+D34+D35-D36</f>
        <v>140932606</v>
      </c>
      <c r="E33" s="17">
        <f>+E34+E35-E36</f>
        <v>57132571</v>
      </c>
      <c r="F33" s="318"/>
      <c r="G33" s="318"/>
      <c r="I33" s="318"/>
      <c r="J33" s="319">
        <f t="shared" si="0"/>
        <v>0</v>
      </c>
      <c r="K33" s="318"/>
      <c r="L33" s="318"/>
      <c r="M33" s="318"/>
      <c r="N33" s="81"/>
      <c r="O33" s="81"/>
      <c r="P33" s="81"/>
      <c r="Q33" s="81"/>
      <c r="R33" s="81"/>
      <c r="S33" s="81"/>
      <c r="T33" s="81"/>
      <c r="U33" s="81"/>
    </row>
    <row r="34" spans="1:21" ht="15" customHeight="1">
      <c r="A34" s="79" t="s">
        <v>269</v>
      </c>
      <c r="B34" s="187" t="s">
        <v>416</v>
      </c>
      <c r="C34" s="17">
        <f>+'Bank Assets Analysis'!S43</f>
        <v>163425953</v>
      </c>
      <c r="D34" s="17">
        <f>+'Bank Assets Analysis'!T43</f>
        <v>113096761</v>
      </c>
      <c r="E34" s="17">
        <f>+'Bank Assets Analysis'!U43</f>
        <v>50329192</v>
      </c>
      <c r="F34" s="318"/>
      <c r="G34" s="318"/>
      <c r="I34" s="318"/>
      <c r="J34" s="319">
        <f t="shared" si="0"/>
        <v>0</v>
      </c>
      <c r="K34" s="318"/>
      <c r="L34" s="318"/>
      <c r="M34" s="318"/>
      <c r="N34" s="81"/>
      <c r="O34" s="81"/>
      <c r="P34" s="81"/>
      <c r="Q34" s="81"/>
      <c r="R34" s="81"/>
      <c r="S34" s="81"/>
      <c r="T34" s="81"/>
      <c r="U34" s="81"/>
    </row>
    <row r="35" spans="1:21" ht="18" customHeight="1">
      <c r="A35" s="79" t="s">
        <v>270</v>
      </c>
      <c r="B35" s="187" t="s">
        <v>417</v>
      </c>
      <c r="C35" s="17">
        <f t="shared" ref="C35:C36" si="5">+D35+E35</f>
        <v>34639224</v>
      </c>
      <c r="D35" s="13">
        <v>27835845</v>
      </c>
      <c r="E35" s="13">
        <v>6803379</v>
      </c>
      <c r="F35" s="318"/>
      <c r="G35" s="318"/>
      <c r="I35" s="318"/>
      <c r="J35" s="319">
        <f t="shared" si="0"/>
        <v>0</v>
      </c>
      <c r="K35" s="318"/>
      <c r="L35" s="318"/>
      <c r="M35" s="318"/>
      <c r="N35" s="81"/>
      <c r="O35" s="81"/>
      <c r="P35" s="81"/>
      <c r="Q35" s="81"/>
      <c r="R35" s="81"/>
      <c r="S35" s="81"/>
      <c r="T35" s="81"/>
      <c r="U35" s="81"/>
    </row>
    <row r="36" spans="1:21" ht="18" customHeight="1">
      <c r="A36" s="79" t="s">
        <v>271</v>
      </c>
      <c r="B36" s="187" t="s">
        <v>292</v>
      </c>
      <c r="C36" s="17">
        <f t="shared" si="5"/>
        <v>0</v>
      </c>
      <c r="D36" s="13"/>
      <c r="E36" s="13">
        <v>0</v>
      </c>
      <c r="F36" s="318"/>
      <c r="G36" s="318"/>
      <c r="I36" s="318"/>
      <c r="J36" s="319">
        <f t="shared" si="0"/>
        <v>0</v>
      </c>
      <c r="K36" s="318"/>
      <c r="L36" s="318"/>
      <c r="M36" s="318"/>
      <c r="N36" s="81"/>
      <c r="O36" s="81"/>
      <c r="P36" s="81"/>
      <c r="Q36" s="81"/>
      <c r="R36" s="81"/>
      <c r="S36" s="81"/>
      <c r="T36" s="81"/>
      <c r="U36" s="81"/>
    </row>
    <row r="37" spans="1:21" ht="18" customHeight="1">
      <c r="A37" s="79">
        <v>13</v>
      </c>
      <c r="B37" s="155" t="s">
        <v>372</v>
      </c>
      <c r="C37" s="17">
        <f>+'Bank Assets Analysis'!S39</f>
        <v>51751710</v>
      </c>
      <c r="D37" s="17">
        <f>+'Bank Assets Analysis'!T39</f>
        <v>51751710</v>
      </c>
      <c r="E37" s="17">
        <f>+'Bank Assets Analysis'!U39</f>
        <v>0</v>
      </c>
      <c r="F37" s="318"/>
      <c r="G37" s="318"/>
      <c r="I37" s="318"/>
      <c r="J37" s="319">
        <f t="shared" si="0"/>
        <v>0</v>
      </c>
      <c r="K37" s="318"/>
      <c r="L37" s="318"/>
      <c r="M37" s="318"/>
      <c r="N37" s="81"/>
      <c r="O37" s="81"/>
      <c r="P37" s="81"/>
      <c r="Q37" s="81"/>
      <c r="R37" s="81"/>
      <c r="S37" s="81"/>
      <c r="T37" s="81"/>
      <c r="U37" s="81"/>
    </row>
    <row r="38" spans="1:21" ht="18" customHeight="1">
      <c r="A38" s="79" t="s">
        <v>272</v>
      </c>
      <c r="B38" s="187" t="s">
        <v>418</v>
      </c>
      <c r="C38" s="17">
        <f t="shared" ref="C38:C40" si="6">+D38+E38</f>
        <v>49273851</v>
      </c>
      <c r="D38" s="13">
        <v>49273851</v>
      </c>
      <c r="E38" s="13">
        <v>0</v>
      </c>
      <c r="F38" s="318"/>
      <c r="G38" s="318"/>
      <c r="I38" s="318"/>
      <c r="J38" s="319">
        <f t="shared" si="0"/>
        <v>0</v>
      </c>
      <c r="K38" s="318"/>
      <c r="L38" s="318"/>
      <c r="M38" s="318"/>
      <c r="N38" s="81"/>
      <c r="O38" s="81"/>
      <c r="P38" s="81"/>
      <c r="Q38" s="81"/>
      <c r="R38" s="81"/>
      <c r="S38" s="81"/>
      <c r="T38" s="81"/>
      <c r="U38" s="81"/>
    </row>
    <row r="39" spans="1:21" ht="18" customHeight="1">
      <c r="A39" s="79" t="s">
        <v>273</v>
      </c>
      <c r="B39" s="187" t="s">
        <v>419</v>
      </c>
      <c r="C39" s="17">
        <f t="shared" si="6"/>
        <v>2477859</v>
      </c>
      <c r="D39" s="13">
        <v>2477859</v>
      </c>
      <c r="E39" s="13">
        <v>0</v>
      </c>
      <c r="F39" s="318"/>
      <c r="G39" s="318"/>
      <c r="I39" s="318"/>
      <c r="J39" s="319">
        <f t="shared" si="0"/>
        <v>0</v>
      </c>
      <c r="K39" s="318"/>
      <c r="L39" s="318"/>
      <c r="M39" s="318"/>
      <c r="N39" s="81"/>
      <c r="O39" s="81"/>
      <c r="P39" s="81"/>
      <c r="Q39" s="81"/>
      <c r="R39" s="81"/>
      <c r="S39" s="81"/>
      <c r="T39" s="81"/>
      <c r="U39" s="81"/>
    </row>
    <row r="40" spans="1:21" ht="18" customHeight="1">
      <c r="A40" s="79" t="s">
        <v>274</v>
      </c>
      <c r="B40" s="475" t="s">
        <v>373</v>
      </c>
      <c r="C40" s="17">
        <f t="shared" si="6"/>
        <v>0</v>
      </c>
      <c r="D40" s="13">
        <v>0</v>
      </c>
      <c r="E40" s="13">
        <v>0</v>
      </c>
      <c r="F40" s="318"/>
      <c r="G40" s="318"/>
      <c r="I40" s="318"/>
      <c r="J40" s="319">
        <f t="shared" si="0"/>
        <v>0</v>
      </c>
      <c r="K40" s="318"/>
      <c r="L40" s="318"/>
      <c r="M40" s="318"/>
      <c r="N40" s="81"/>
      <c r="O40" s="81"/>
      <c r="P40" s="81"/>
      <c r="Q40" s="81"/>
      <c r="R40" s="81"/>
      <c r="S40" s="81"/>
      <c r="T40" s="81"/>
      <c r="U40" s="81"/>
    </row>
    <row r="41" spans="1:21" ht="18" customHeight="1">
      <c r="A41" s="79">
        <v>14</v>
      </c>
      <c r="B41" s="155" t="s">
        <v>81</v>
      </c>
      <c r="C41" s="17">
        <f>+C42-C43+C44</f>
        <v>465811523</v>
      </c>
      <c r="D41" s="17">
        <f>+D42-D43+D44</f>
        <v>337846608</v>
      </c>
      <c r="E41" s="17">
        <f>+E42-E43+E44</f>
        <v>127964915</v>
      </c>
      <c r="F41" s="318"/>
      <c r="G41" s="318"/>
      <c r="I41" s="318"/>
      <c r="J41" s="319">
        <f t="shared" si="0"/>
        <v>0</v>
      </c>
      <c r="K41" s="318"/>
      <c r="L41" s="318"/>
      <c r="M41" s="318"/>
      <c r="N41" s="81"/>
      <c r="O41" s="81"/>
      <c r="P41" s="81"/>
      <c r="Q41" s="81"/>
      <c r="R41" s="81"/>
      <c r="S41" s="81"/>
      <c r="T41" s="81"/>
      <c r="U41" s="81"/>
    </row>
    <row r="42" spans="1:21" ht="18" customHeight="1">
      <c r="A42" s="79" t="s">
        <v>275</v>
      </c>
      <c r="B42" s="187" t="s">
        <v>374</v>
      </c>
      <c r="C42" s="84">
        <f t="shared" si="1"/>
        <v>466430498</v>
      </c>
      <c r="D42" s="13">
        <f>338465585-2</f>
        <v>338465583</v>
      </c>
      <c r="E42" s="13">
        <f>127964916-1</f>
        <v>127964915</v>
      </c>
      <c r="F42" s="318"/>
      <c r="G42" s="318"/>
      <c r="H42" s="318"/>
      <c r="I42" s="318"/>
      <c r="J42" s="319">
        <f t="shared" si="0"/>
        <v>0</v>
      </c>
      <c r="K42" s="318"/>
      <c r="L42" s="318"/>
      <c r="M42" s="318"/>
      <c r="N42" s="81"/>
      <c r="O42" s="81"/>
      <c r="P42" s="81"/>
      <c r="Q42" s="81"/>
      <c r="R42" s="81"/>
      <c r="S42" s="81"/>
      <c r="T42" s="81"/>
      <c r="U42" s="81"/>
    </row>
    <row r="43" spans="1:21" ht="15" customHeight="1">
      <c r="A43" s="79" t="s">
        <v>276</v>
      </c>
      <c r="B43" s="187" t="s">
        <v>292</v>
      </c>
      <c r="C43" s="84">
        <f t="shared" si="1"/>
        <v>618975</v>
      </c>
      <c r="D43" s="13">
        <v>618975</v>
      </c>
      <c r="E43" s="13">
        <v>0</v>
      </c>
      <c r="F43" s="318"/>
      <c r="G43" s="318"/>
      <c r="H43" s="319"/>
      <c r="I43" s="318"/>
      <c r="J43" s="319">
        <f t="shared" si="0"/>
        <v>0</v>
      </c>
      <c r="K43" s="318"/>
      <c r="L43" s="318"/>
      <c r="M43" s="318"/>
      <c r="N43" s="81"/>
      <c r="O43" s="81"/>
      <c r="P43" s="81"/>
      <c r="Q43" s="81"/>
      <c r="R43" s="81"/>
      <c r="S43" s="81"/>
      <c r="T43" s="81"/>
      <c r="U43" s="81"/>
    </row>
    <row r="44" spans="1:21" ht="15" customHeight="1">
      <c r="A44" s="79" t="s">
        <v>448</v>
      </c>
      <c r="B44" s="187" t="s">
        <v>445</v>
      </c>
      <c r="C44" s="451"/>
      <c r="D44" s="17"/>
      <c r="E44" s="451"/>
      <c r="F44" s="318"/>
      <c r="G44" s="318"/>
      <c r="H44" s="319"/>
      <c r="I44" s="318"/>
      <c r="J44" s="319">
        <f>+C44-D44-E44</f>
        <v>0</v>
      </c>
      <c r="K44" s="318"/>
      <c r="L44" s="318"/>
      <c r="M44" s="318"/>
      <c r="N44" s="81"/>
      <c r="O44" s="81"/>
      <c r="P44" s="81"/>
      <c r="Q44" s="81"/>
      <c r="R44" s="81"/>
      <c r="S44" s="81"/>
      <c r="T44" s="81"/>
      <c r="U44" s="81"/>
    </row>
    <row r="45" spans="1:21" ht="15" customHeight="1">
      <c r="A45" s="85" t="s">
        <v>153</v>
      </c>
      <c r="B45" s="151" t="s">
        <v>403</v>
      </c>
      <c r="C45" s="86">
        <f t="shared" si="1"/>
        <v>12638456623</v>
      </c>
      <c r="D45" s="86">
        <f>+D5+D6+D7+D10+D14+D17+D20+D23+D26+D29+D32+D33+D37+D41</f>
        <v>7824285927</v>
      </c>
      <c r="E45" s="86">
        <f>+E5+E6+E7+E10+E14+E17+E20+E23+E26+E29+E32+E33+E37+E41</f>
        <v>4814170696</v>
      </c>
      <c r="F45" s="319">
        <f>+'Bank Assets Analysis'!S46</f>
        <v>12638456623</v>
      </c>
      <c r="G45" s="319">
        <f>+'Bank Assets Analysis'!T46</f>
        <v>7824285927</v>
      </c>
      <c r="H45" s="319">
        <f>+'Bank Assets Analysis'!U46</f>
        <v>4814170696</v>
      </c>
      <c r="I45" s="318"/>
      <c r="J45" s="319">
        <f t="shared" si="0"/>
        <v>0</v>
      </c>
      <c r="K45" s="318"/>
      <c r="L45" s="318"/>
      <c r="M45" s="318"/>
      <c r="N45" s="81"/>
      <c r="O45" s="81"/>
      <c r="P45" s="81"/>
      <c r="Q45" s="81"/>
      <c r="R45" s="81"/>
      <c r="S45" s="81"/>
      <c r="T45" s="81"/>
      <c r="U45" s="81"/>
    </row>
    <row r="46" spans="1:21" ht="6.75" customHeight="1">
      <c r="A46" s="79"/>
      <c r="B46" s="476"/>
      <c r="C46" s="17"/>
      <c r="D46" s="17"/>
      <c r="E46" s="17"/>
      <c r="F46" s="318"/>
      <c r="G46" s="318"/>
      <c r="H46" s="318"/>
      <c r="I46" s="318"/>
      <c r="J46" s="318"/>
      <c r="K46" s="318"/>
      <c r="L46" s="318"/>
      <c r="M46" s="318"/>
      <c r="N46" s="81"/>
      <c r="O46" s="81"/>
      <c r="P46" s="81"/>
      <c r="Q46" s="81"/>
      <c r="R46" s="81"/>
      <c r="S46" s="81"/>
      <c r="T46" s="81"/>
      <c r="U46" s="81"/>
    </row>
    <row r="47" spans="1:21" ht="15" customHeight="1">
      <c r="A47" s="79"/>
      <c r="B47" s="477" t="s">
        <v>1</v>
      </c>
      <c r="C47" s="17"/>
      <c r="D47" s="17"/>
      <c r="E47" s="17"/>
      <c r="F47" s="318"/>
      <c r="G47" s="318"/>
      <c r="H47" s="318"/>
      <c r="I47" s="318"/>
      <c r="J47" s="318"/>
      <c r="K47" s="318"/>
      <c r="L47" s="318"/>
      <c r="M47" s="318"/>
      <c r="N47" s="81"/>
      <c r="O47" s="81"/>
      <c r="P47" s="81"/>
      <c r="Q47" s="81"/>
      <c r="R47" s="81"/>
      <c r="S47" s="81"/>
      <c r="T47" s="81"/>
      <c r="U47" s="81"/>
    </row>
    <row r="48" spans="1:21" ht="6.75" customHeight="1">
      <c r="A48" s="79"/>
      <c r="B48" s="477"/>
      <c r="C48" s="17"/>
      <c r="D48" s="17"/>
      <c r="E48" s="17"/>
      <c r="F48" s="318"/>
      <c r="G48" s="318"/>
      <c r="H48" s="318"/>
      <c r="I48" s="318"/>
      <c r="J48" s="318"/>
      <c r="K48" s="318"/>
      <c r="L48" s="318"/>
      <c r="M48" s="318"/>
      <c r="N48" s="81"/>
      <c r="O48" s="81"/>
      <c r="P48" s="81"/>
      <c r="Q48" s="81"/>
      <c r="R48" s="81"/>
      <c r="S48" s="81"/>
      <c r="T48" s="81"/>
      <c r="U48" s="81"/>
    </row>
    <row r="49" spans="1:21" ht="15" customHeight="1">
      <c r="A49" s="79"/>
      <c r="B49" s="478" t="s">
        <v>2</v>
      </c>
      <c r="C49" s="17"/>
      <c r="D49" s="17"/>
      <c r="E49" s="17"/>
      <c r="F49" s="318"/>
      <c r="G49" s="318"/>
      <c r="H49" s="318"/>
      <c r="I49" s="318"/>
      <c r="J49" s="318"/>
      <c r="K49" s="318"/>
      <c r="L49" s="318"/>
      <c r="M49" s="318"/>
      <c r="N49" s="81"/>
      <c r="O49" s="81"/>
      <c r="P49" s="81"/>
      <c r="Q49" s="81"/>
      <c r="R49" s="81"/>
      <c r="S49" s="81"/>
      <c r="T49" s="81"/>
      <c r="U49" s="81"/>
    </row>
    <row r="50" spans="1:21" ht="16.5" customHeight="1">
      <c r="A50" s="79" t="s">
        <v>277</v>
      </c>
      <c r="B50" s="155" t="s">
        <v>170</v>
      </c>
      <c r="C50" s="18">
        <f>+'Deposits by Client'!C11</f>
        <v>2036926378</v>
      </c>
      <c r="D50" s="92">
        <f>+'Bank Liabilities Analysis'!T16+'Bank Liabilities Analysis'!T8</f>
        <v>1682838498</v>
      </c>
      <c r="E50" s="18">
        <f>+'Bank Liabilities Analysis'!U16+'Bank Liabilities Analysis'!U8</f>
        <v>354087880</v>
      </c>
      <c r="F50" s="318"/>
      <c r="G50" s="318"/>
      <c r="H50" s="318"/>
      <c r="I50" s="318"/>
      <c r="J50" s="319">
        <f t="shared" ref="J50:J78" si="7">+C50-D50-E50</f>
        <v>0</v>
      </c>
      <c r="K50" s="318"/>
      <c r="L50" s="318"/>
      <c r="M50" s="318"/>
      <c r="N50" s="81"/>
      <c r="O50" s="81"/>
      <c r="P50" s="81"/>
      <c r="Q50" s="81"/>
      <c r="R50" s="81"/>
      <c r="S50" s="81"/>
      <c r="T50" s="81"/>
      <c r="U50" s="81"/>
    </row>
    <row r="51" spans="1:21" ht="16.5" customHeight="1">
      <c r="A51" s="79" t="s">
        <v>156</v>
      </c>
      <c r="B51" s="155" t="s">
        <v>375</v>
      </c>
      <c r="C51" s="18">
        <f>+'Deposits by Client'!C20</f>
        <v>4759182805</v>
      </c>
      <c r="D51" s="92">
        <f>+'Bank Liabilities Analysis'!T13</f>
        <v>3068956642</v>
      </c>
      <c r="E51" s="18">
        <f>+'Bank Liabilities Analysis'!U13</f>
        <v>1690226163</v>
      </c>
      <c r="F51" s="318"/>
      <c r="G51" s="318"/>
      <c r="H51" s="318"/>
      <c r="I51" s="318"/>
      <c r="J51" s="319">
        <f t="shared" si="7"/>
        <v>0</v>
      </c>
      <c r="K51" s="318"/>
      <c r="L51" s="318"/>
      <c r="M51" s="318"/>
      <c r="N51" s="81"/>
      <c r="O51" s="81"/>
      <c r="P51" s="81"/>
      <c r="Q51" s="81"/>
      <c r="R51" s="81"/>
      <c r="S51" s="81"/>
      <c r="T51" s="81"/>
      <c r="U51" s="81"/>
    </row>
    <row r="52" spans="1:21" ht="16.5" customHeight="1">
      <c r="A52" s="79" t="s">
        <v>158</v>
      </c>
      <c r="B52" s="155" t="s">
        <v>176</v>
      </c>
      <c r="C52" s="18">
        <f>+'Bank Liabilities Analysis'!S23</f>
        <v>0</v>
      </c>
      <c r="D52" s="17">
        <f>+'Bank Liabilities Analysis'!T23</f>
        <v>0</v>
      </c>
      <c r="E52" s="17">
        <f>+'Bank Liabilities Analysis'!U23</f>
        <v>0</v>
      </c>
      <c r="F52" s="318"/>
      <c r="G52" s="318"/>
      <c r="H52" s="318"/>
      <c r="I52" s="318"/>
      <c r="J52" s="319">
        <f t="shared" si="7"/>
        <v>0</v>
      </c>
      <c r="K52" s="318"/>
      <c r="L52" s="318"/>
      <c r="M52" s="318"/>
      <c r="N52" s="81"/>
      <c r="O52" s="81"/>
      <c r="P52" s="81"/>
      <c r="Q52" s="81"/>
      <c r="R52" s="81"/>
      <c r="S52" s="81"/>
      <c r="T52" s="81"/>
      <c r="U52" s="81"/>
    </row>
    <row r="53" spans="1:21" ht="16.5" customHeight="1">
      <c r="A53" s="79" t="s">
        <v>160</v>
      </c>
      <c r="B53" s="155" t="s">
        <v>177</v>
      </c>
      <c r="C53" s="18">
        <f>+'Bank Liabilities Analysis'!S24</f>
        <v>1231537343</v>
      </c>
      <c r="D53" s="17">
        <f>+'Bank Liabilities Analysis'!T24</f>
        <v>413133609</v>
      </c>
      <c r="E53" s="17">
        <f>+'Bank Liabilities Analysis'!U24</f>
        <v>818403734</v>
      </c>
      <c r="F53" s="318"/>
      <c r="G53" s="318"/>
      <c r="H53" s="318"/>
      <c r="I53" s="318"/>
      <c r="J53" s="319">
        <f t="shared" si="7"/>
        <v>0</v>
      </c>
      <c r="K53" s="318"/>
      <c r="L53" s="318"/>
      <c r="M53" s="318"/>
      <c r="N53" s="81"/>
      <c r="O53" s="81"/>
      <c r="P53" s="81"/>
      <c r="Q53" s="81"/>
      <c r="R53" s="81"/>
      <c r="S53" s="81"/>
      <c r="T53" s="81"/>
      <c r="U53" s="81"/>
    </row>
    <row r="54" spans="1:21" ht="16.5" customHeight="1">
      <c r="A54" s="79" t="s">
        <v>162</v>
      </c>
      <c r="B54" s="479" t="s">
        <v>376</v>
      </c>
      <c r="C54" s="18">
        <f>+'Bank Liabilities Analysis'!S34</f>
        <v>419204674</v>
      </c>
      <c r="D54" s="17">
        <f>+'Bank Liabilities Analysis'!T34</f>
        <v>419204674</v>
      </c>
      <c r="E54" s="17">
        <f>+'Bank Liabilities Analysis'!U34</f>
        <v>0</v>
      </c>
      <c r="F54" s="318"/>
      <c r="G54" s="318"/>
      <c r="H54" s="318"/>
      <c r="I54" s="318"/>
      <c r="J54" s="319">
        <f t="shared" si="7"/>
        <v>0</v>
      </c>
      <c r="K54" s="318"/>
      <c r="L54" s="318"/>
      <c r="M54" s="318"/>
      <c r="N54" s="81"/>
      <c r="O54" s="81"/>
      <c r="P54" s="81"/>
      <c r="Q54" s="81"/>
      <c r="R54" s="81"/>
      <c r="S54" s="81"/>
      <c r="T54" s="81"/>
      <c r="U54" s="81"/>
    </row>
    <row r="55" spans="1:21" ht="16.5" customHeight="1">
      <c r="A55" s="79" t="s">
        <v>164</v>
      </c>
      <c r="B55" s="155" t="s">
        <v>180</v>
      </c>
      <c r="C55" s="18">
        <f t="shared" si="1"/>
        <v>2271008779</v>
      </c>
      <c r="D55" s="13">
        <v>347524121</v>
      </c>
      <c r="E55" s="13">
        <v>1923484658</v>
      </c>
      <c r="F55" s="318"/>
      <c r="G55" s="318"/>
      <c r="H55" s="318"/>
      <c r="I55" s="318"/>
      <c r="J55" s="319">
        <f t="shared" si="7"/>
        <v>0</v>
      </c>
      <c r="K55" s="318"/>
      <c r="L55" s="318"/>
      <c r="M55" s="318"/>
      <c r="N55" s="81"/>
      <c r="O55" s="81"/>
      <c r="P55" s="81"/>
      <c r="Q55" s="81"/>
      <c r="R55" s="81"/>
      <c r="S55" s="81"/>
      <c r="T55" s="81"/>
      <c r="U55" s="81"/>
    </row>
    <row r="56" spans="1:21" ht="16.5" customHeight="1">
      <c r="A56" s="79" t="s">
        <v>41</v>
      </c>
      <c r="B56" s="155" t="s">
        <v>404</v>
      </c>
      <c r="C56" s="18">
        <f t="shared" si="1"/>
        <v>0</v>
      </c>
      <c r="D56" s="13"/>
      <c r="E56" s="13"/>
      <c r="F56" s="318"/>
      <c r="G56" s="318"/>
      <c r="H56" s="318"/>
      <c r="I56" s="318"/>
      <c r="J56" s="319">
        <f t="shared" si="7"/>
        <v>0</v>
      </c>
      <c r="K56" s="318"/>
      <c r="L56" s="318"/>
      <c r="M56" s="318"/>
      <c r="N56" s="81"/>
      <c r="O56" s="81"/>
      <c r="P56" s="81"/>
      <c r="Q56" s="81"/>
      <c r="R56" s="81"/>
      <c r="S56" s="81"/>
      <c r="T56" s="81"/>
      <c r="U56" s="81"/>
    </row>
    <row r="57" spans="1:21" ht="16.5" customHeight="1">
      <c r="A57" s="79" t="s">
        <v>42</v>
      </c>
      <c r="B57" s="152" t="s">
        <v>377</v>
      </c>
      <c r="C57" s="18">
        <f t="shared" si="1"/>
        <v>0</v>
      </c>
      <c r="D57" s="13"/>
      <c r="E57" s="13"/>
      <c r="F57" s="318"/>
      <c r="G57" s="318"/>
      <c r="H57" s="318"/>
      <c r="I57" s="318"/>
      <c r="J57" s="319">
        <f t="shared" si="7"/>
        <v>0</v>
      </c>
      <c r="K57" s="318"/>
      <c r="L57" s="318"/>
      <c r="M57" s="318"/>
      <c r="N57" s="81"/>
      <c r="O57" s="81"/>
      <c r="P57" s="81"/>
      <c r="Q57" s="81"/>
      <c r="R57" s="81"/>
      <c r="S57" s="81"/>
      <c r="T57" s="81"/>
      <c r="U57" s="81"/>
    </row>
    <row r="58" spans="1:21" ht="16.5" customHeight="1">
      <c r="A58" s="79" t="s">
        <v>278</v>
      </c>
      <c r="B58" s="155" t="s">
        <v>378</v>
      </c>
      <c r="C58" s="18">
        <f>+'Bank Liabilities Analysis'!S37</f>
        <v>29804270</v>
      </c>
      <c r="D58" s="18">
        <f>+'Bank Liabilities Analysis'!T37</f>
        <v>17836864</v>
      </c>
      <c r="E58" s="18">
        <f>+'Bank Liabilities Analysis'!U37</f>
        <v>11967406</v>
      </c>
      <c r="F58" s="318"/>
      <c r="G58" s="318"/>
      <c r="H58" s="318"/>
      <c r="I58" s="318"/>
      <c r="J58" s="319">
        <f t="shared" si="7"/>
        <v>0</v>
      </c>
      <c r="K58" s="318"/>
      <c r="L58" s="318"/>
      <c r="M58" s="318"/>
      <c r="N58" s="81"/>
      <c r="O58" s="81"/>
      <c r="P58" s="81"/>
      <c r="Q58" s="81"/>
      <c r="R58" s="81"/>
      <c r="S58" s="81"/>
      <c r="T58" s="81"/>
      <c r="U58" s="81"/>
    </row>
    <row r="59" spans="1:21" ht="16.5" customHeight="1">
      <c r="A59" s="79" t="s">
        <v>279</v>
      </c>
      <c r="B59" s="155" t="s">
        <v>379</v>
      </c>
      <c r="C59" s="18">
        <f t="shared" si="1"/>
        <v>973255</v>
      </c>
      <c r="D59" s="13">
        <v>973255</v>
      </c>
      <c r="E59" s="13"/>
      <c r="F59" s="318"/>
      <c r="G59" s="318"/>
      <c r="H59" s="318"/>
      <c r="I59" s="318"/>
      <c r="J59" s="319">
        <f t="shared" si="7"/>
        <v>0</v>
      </c>
      <c r="K59" s="318"/>
      <c r="L59" s="318"/>
      <c r="M59" s="318"/>
      <c r="N59" s="81"/>
      <c r="O59" s="81"/>
      <c r="P59" s="81"/>
      <c r="Q59" s="81"/>
      <c r="R59" s="81"/>
      <c r="S59" s="81"/>
      <c r="T59" s="81"/>
      <c r="U59" s="81"/>
    </row>
    <row r="60" spans="1:21" ht="16.5" customHeight="1">
      <c r="A60" s="79" t="s">
        <v>280</v>
      </c>
      <c r="B60" s="155" t="s">
        <v>380</v>
      </c>
      <c r="C60" s="18">
        <f>+'Bank Liabilities Analysis'!S36</f>
        <v>7801403</v>
      </c>
      <c r="D60" s="17">
        <f>+'Bank Liabilities Analysis'!T36</f>
        <v>112032</v>
      </c>
      <c r="E60" s="17">
        <f>+'Bank Liabilities Analysis'!U36</f>
        <v>7689371</v>
      </c>
      <c r="F60" s="318"/>
      <c r="G60" s="318"/>
      <c r="H60" s="318"/>
      <c r="I60" s="318"/>
      <c r="J60" s="319">
        <f t="shared" si="7"/>
        <v>0</v>
      </c>
      <c r="K60" s="318"/>
      <c r="L60" s="318"/>
      <c r="M60" s="318"/>
      <c r="N60" s="81"/>
      <c r="O60" s="81"/>
      <c r="P60" s="81"/>
      <c r="Q60" s="81"/>
      <c r="R60" s="81"/>
      <c r="S60" s="81"/>
      <c r="T60" s="81"/>
      <c r="U60" s="81"/>
    </row>
    <row r="61" spans="1:21" ht="16.5" customHeight="1">
      <c r="A61" s="79" t="s">
        <v>281</v>
      </c>
      <c r="B61" s="155" t="s">
        <v>187</v>
      </c>
      <c r="C61" s="18">
        <f t="shared" si="1"/>
        <v>208511773</v>
      </c>
      <c r="D61" s="530">
        <v>85016456</v>
      </c>
      <c r="E61" s="530">
        <v>123495317</v>
      </c>
      <c r="F61" s="318"/>
      <c r="G61" s="318"/>
      <c r="H61" s="318"/>
      <c r="I61" s="318"/>
      <c r="J61" s="319">
        <f t="shared" si="7"/>
        <v>0</v>
      </c>
      <c r="K61" s="318"/>
      <c r="L61" s="318"/>
      <c r="M61" s="318"/>
      <c r="N61" s="81"/>
      <c r="O61" s="81"/>
      <c r="P61" s="81"/>
      <c r="Q61" s="81"/>
      <c r="R61" s="81"/>
      <c r="S61" s="81"/>
      <c r="T61" s="81"/>
      <c r="U61" s="81"/>
    </row>
    <row r="62" spans="1:21" ht="16.5" customHeight="1">
      <c r="A62" s="88" t="s">
        <v>282</v>
      </c>
      <c r="B62" s="480" t="s">
        <v>391</v>
      </c>
      <c r="C62" s="87">
        <f t="shared" si="1"/>
        <v>10964950680</v>
      </c>
      <c r="D62" s="87">
        <f>SUM(D50:D61)</f>
        <v>6035596151</v>
      </c>
      <c r="E62" s="87">
        <f>SUM(E50:E61)</f>
        <v>4929354529</v>
      </c>
      <c r="F62" s="481">
        <f>+'Bank Liabilities Analysis'!S39</f>
        <v>10964950680</v>
      </c>
      <c r="G62" s="481">
        <f>+'Bank Liabilities Analysis'!T39</f>
        <v>6035596151</v>
      </c>
      <c r="H62" s="481">
        <f>+'Bank Liabilities Analysis'!U39</f>
        <v>4929354529</v>
      </c>
      <c r="I62" s="318"/>
      <c r="J62" s="319">
        <f t="shared" si="7"/>
        <v>0</v>
      </c>
      <c r="K62" s="318"/>
      <c r="L62" s="318"/>
      <c r="M62" s="318"/>
      <c r="N62" s="81"/>
      <c r="O62" s="81"/>
      <c r="P62" s="81"/>
      <c r="Q62" s="81"/>
      <c r="R62" s="81"/>
      <c r="S62" s="81"/>
      <c r="T62" s="81"/>
      <c r="U62" s="81"/>
    </row>
    <row r="63" spans="1:21" ht="6.75" customHeight="1">
      <c r="A63" s="79"/>
      <c r="B63" s="476"/>
      <c r="C63" s="18"/>
      <c r="D63" s="18"/>
      <c r="E63" s="18"/>
      <c r="F63" s="318"/>
      <c r="G63" s="318"/>
      <c r="H63" s="318"/>
      <c r="I63" s="318"/>
      <c r="J63" s="319">
        <f t="shared" si="7"/>
        <v>0</v>
      </c>
      <c r="K63" s="318"/>
      <c r="L63" s="318"/>
      <c r="M63" s="318"/>
      <c r="N63" s="81"/>
      <c r="O63" s="81"/>
      <c r="P63" s="81"/>
      <c r="Q63" s="81"/>
      <c r="R63" s="81"/>
      <c r="S63" s="81"/>
      <c r="T63" s="81"/>
      <c r="U63" s="81"/>
    </row>
    <row r="64" spans="1:21" ht="15" customHeight="1">
      <c r="A64" s="83"/>
      <c r="B64" s="478" t="s">
        <v>3</v>
      </c>
      <c r="C64" s="17"/>
      <c r="D64" s="17"/>
      <c r="E64" s="17"/>
      <c r="F64" s="318"/>
      <c r="G64" s="318"/>
      <c r="H64" s="318"/>
      <c r="I64" s="318"/>
      <c r="J64" s="319">
        <f t="shared" si="7"/>
        <v>0</v>
      </c>
      <c r="K64" s="318"/>
      <c r="L64" s="318"/>
      <c r="M64" s="318"/>
      <c r="N64" s="81"/>
      <c r="O64" s="81"/>
      <c r="P64" s="81"/>
      <c r="Q64" s="81"/>
      <c r="R64" s="81"/>
      <c r="S64" s="81"/>
      <c r="T64" s="81"/>
      <c r="U64" s="81"/>
    </row>
    <row r="65" spans="1:30" ht="6.75" customHeight="1">
      <c r="A65" s="79"/>
      <c r="B65" s="476"/>
      <c r="C65" s="18"/>
      <c r="D65" s="18"/>
      <c r="E65" s="18"/>
      <c r="F65" s="318"/>
      <c r="G65" s="318"/>
      <c r="H65" s="318"/>
      <c r="I65" s="318"/>
      <c r="J65" s="319">
        <f t="shared" ref="J65" si="8">+C65-D65-E65</f>
        <v>0</v>
      </c>
      <c r="K65" s="318"/>
      <c r="L65" s="318"/>
      <c r="M65" s="318"/>
      <c r="N65" s="81"/>
      <c r="O65" s="81"/>
      <c r="P65" s="81"/>
      <c r="Q65" s="81"/>
      <c r="R65" s="81"/>
      <c r="S65" s="81"/>
      <c r="T65" s="81"/>
      <c r="U65" s="81"/>
    </row>
    <row r="66" spans="1:30" ht="15" customHeight="1">
      <c r="A66" s="88" t="s">
        <v>283</v>
      </c>
      <c r="B66" s="155" t="s">
        <v>381</v>
      </c>
      <c r="C66" s="17"/>
      <c r="D66" s="17"/>
      <c r="E66" s="17"/>
      <c r="F66" s="318"/>
      <c r="G66" s="318"/>
      <c r="H66" s="318"/>
      <c r="I66" s="318"/>
      <c r="J66" s="319">
        <f t="shared" si="7"/>
        <v>0</v>
      </c>
      <c r="K66" s="318"/>
      <c r="L66" s="318"/>
      <c r="M66" s="318"/>
      <c r="N66" s="81"/>
      <c r="O66" s="81"/>
      <c r="P66" s="81"/>
      <c r="Q66" s="81"/>
      <c r="R66" s="81"/>
      <c r="S66" s="81"/>
      <c r="T66" s="81"/>
      <c r="U66" s="81"/>
    </row>
    <row r="67" spans="1:30" ht="15" customHeight="1">
      <c r="A67" s="83" t="s">
        <v>405</v>
      </c>
      <c r="B67" s="187" t="s">
        <v>382</v>
      </c>
      <c r="C67" s="17">
        <f t="shared" ref="C67:C69" si="9">+D67+E67</f>
        <v>951406520</v>
      </c>
      <c r="D67" s="91">
        <v>951406520</v>
      </c>
      <c r="E67" s="91"/>
      <c r="F67" s="318"/>
      <c r="G67" s="318"/>
      <c r="H67" s="318"/>
      <c r="I67" s="318"/>
      <c r="J67" s="319">
        <f t="shared" si="7"/>
        <v>0</v>
      </c>
      <c r="K67" s="318"/>
      <c r="L67" s="318"/>
      <c r="M67" s="318"/>
      <c r="N67" s="81"/>
      <c r="O67" s="81"/>
      <c r="P67" s="81"/>
      <c r="Q67" s="81"/>
      <c r="R67" s="81"/>
      <c r="S67" s="81"/>
      <c r="T67" s="81"/>
      <c r="U67" s="81"/>
    </row>
    <row r="68" spans="1:30" ht="15" customHeight="1">
      <c r="A68" s="79" t="s">
        <v>406</v>
      </c>
      <c r="B68" s="187" t="s">
        <v>383</v>
      </c>
      <c r="C68" s="17">
        <f t="shared" si="9"/>
        <v>2178000</v>
      </c>
      <c r="D68" s="13">
        <v>2178000</v>
      </c>
      <c r="E68" s="13"/>
      <c r="F68" s="318"/>
      <c r="G68" s="318"/>
      <c r="H68" s="318"/>
      <c r="I68" s="318"/>
      <c r="J68" s="319">
        <f t="shared" si="7"/>
        <v>0</v>
      </c>
      <c r="K68" s="318"/>
      <c r="L68" s="318"/>
      <c r="M68" s="318"/>
      <c r="N68" s="81"/>
      <c r="O68" s="81"/>
      <c r="P68" s="81"/>
      <c r="Q68" s="81"/>
      <c r="R68" s="81"/>
      <c r="S68" s="81"/>
      <c r="T68" s="81"/>
      <c r="U68" s="81"/>
    </row>
    <row r="69" spans="1:30" ht="15" customHeight="1">
      <c r="A69" s="79" t="s">
        <v>284</v>
      </c>
      <c r="B69" s="482" t="s">
        <v>65</v>
      </c>
      <c r="C69" s="17">
        <f t="shared" si="9"/>
        <v>3906139</v>
      </c>
      <c r="D69" s="13">
        <v>3906139</v>
      </c>
      <c r="E69" s="13"/>
      <c r="F69" s="318"/>
      <c r="G69" s="318"/>
      <c r="H69" s="318"/>
      <c r="I69" s="318"/>
      <c r="J69" s="319">
        <f t="shared" si="7"/>
        <v>0</v>
      </c>
      <c r="K69" s="318"/>
      <c r="L69" s="318"/>
      <c r="M69" s="318"/>
      <c r="N69" s="81"/>
      <c r="O69" s="81"/>
      <c r="P69" s="81"/>
      <c r="Q69" s="81"/>
      <c r="R69" s="81"/>
      <c r="S69" s="81"/>
      <c r="T69" s="81"/>
      <c r="U69" s="81"/>
    </row>
    <row r="70" spans="1:30" ht="15" customHeight="1">
      <c r="A70" s="79" t="s">
        <v>285</v>
      </c>
      <c r="B70" s="482" t="s">
        <v>384</v>
      </c>
      <c r="C70" s="17"/>
      <c r="D70" s="17"/>
      <c r="E70" s="17"/>
      <c r="F70" s="318"/>
      <c r="G70" s="318"/>
      <c r="H70" s="318"/>
      <c r="I70" s="318"/>
      <c r="J70" s="319">
        <f t="shared" si="7"/>
        <v>0</v>
      </c>
      <c r="K70" s="318"/>
      <c r="L70" s="318"/>
      <c r="M70" s="318"/>
      <c r="N70" s="81"/>
      <c r="O70" s="81"/>
      <c r="P70" s="81"/>
      <c r="Q70" s="81"/>
      <c r="R70" s="81"/>
      <c r="S70" s="81"/>
      <c r="T70" s="81"/>
      <c r="U70" s="81"/>
    </row>
    <row r="71" spans="1:30" ht="15" customHeight="1">
      <c r="A71" s="79" t="s">
        <v>286</v>
      </c>
      <c r="B71" s="150" t="s">
        <v>385</v>
      </c>
      <c r="C71" s="18">
        <f t="shared" si="1"/>
        <v>475647734</v>
      </c>
      <c r="D71" s="13">
        <v>475647734</v>
      </c>
      <c r="E71" s="13"/>
      <c r="F71" s="318"/>
      <c r="G71" s="318"/>
      <c r="H71" s="318"/>
      <c r="I71" s="318"/>
      <c r="J71" s="319">
        <f t="shared" si="7"/>
        <v>0</v>
      </c>
      <c r="K71" s="318"/>
      <c r="L71" s="318"/>
      <c r="M71" s="318"/>
      <c r="N71" s="81"/>
      <c r="O71" s="81"/>
      <c r="P71" s="81"/>
      <c r="Q71" s="81"/>
      <c r="R71" s="81"/>
      <c r="S71" s="81"/>
      <c r="T71" s="81"/>
      <c r="U71" s="81"/>
    </row>
    <row r="72" spans="1:30" ht="15" customHeight="1">
      <c r="A72" s="79" t="s">
        <v>407</v>
      </c>
      <c r="B72" s="150" t="s">
        <v>386</v>
      </c>
      <c r="C72" s="17">
        <f t="shared" si="1"/>
        <v>101782253</v>
      </c>
      <c r="D72" s="92">
        <v>101782253</v>
      </c>
      <c r="E72" s="92"/>
      <c r="F72" s="319"/>
      <c r="G72" s="318"/>
      <c r="H72" s="319"/>
      <c r="I72" s="318"/>
      <c r="J72" s="319">
        <f t="shared" si="7"/>
        <v>0</v>
      </c>
      <c r="K72" s="318"/>
      <c r="L72" s="318"/>
      <c r="M72" s="318"/>
      <c r="N72" s="81"/>
      <c r="O72" s="81"/>
      <c r="P72" s="81"/>
      <c r="Q72" s="81"/>
      <c r="R72" s="81"/>
      <c r="S72" s="81"/>
      <c r="T72" s="81"/>
      <c r="U72" s="81"/>
    </row>
    <row r="73" spans="1:30" ht="15" customHeight="1">
      <c r="A73" s="79" t="s">
        <v>408</v>
      </c>
      <c r="B73" s="150" t="s">
        <v>387</v>
      </c>
      <c r="C73" s="17">
        <f t="shared" si="1"/>
        <v>0</v>
      </c>
      <c r="D73" s="13">
        <v>0</v>
      </c>
      <c r="E73" s="13"/>
      <c r="F73" s="318"/>
      <c r="G73" s="318"/>
      <c r="H73" s="318"/>
      <c r="I73" s="318"/>
      <c r="J73" s="319">
        <f t="shared" si="7"/>
        <v>0</v>
      </c>
      <c r="K73" s="318"/>
      <c r="L73" s="318"/>
      <c r="M73" s="318"/>
      <c r="N73" s="81"/>
      <c r="O73" s="81"/>
      <c r="P73" s="81"/>
      <c r="Q73" s="81"/>
      <c r="R73" s="81"/>
      <c r="S73" s="81"/>
      <c r="T73" s="81"/>
      <c r="U73" s="81"/>
    </row>
    <row r="74" spans="1:30" ht="15" customHeight="1">
      <c r="A74" s="79" t="s">
        <v>409</v>
      </c>
      <c r="B74" s="150" t="s">
        <v>388</v>
      </c>
      <c r="C74" s="18">
        <f t="shared" si="1"/>
        <v>26277853</v>
      </c>
      <c r="D74" s="13">
        <v>26277853</v>
      </c>
      <c r="E74" s="13"/>
      <c r="F74" s="318"/>
      <c r="G74" s="318"/>
      <c r="H74" s="318"/>
      <c r="I74" s="318"/>
      <c r="J74" s="319">
        <f t="shared" si="7"/>
        <v>0</v>
      </c>
      <c r="K74" s="318"/>
      <c r="L74" s="318"/>
      <c r="M74" s="318"/>
      <c r="N74" s="81"/>
      <c r="O74" s="81"/>
      <c r="P74" s="81"/>
      <c r="Q74" s="81"/>
      <c r="R74" s="81"/>
      <c r="S74" s="81"/>
      <c r="T74" s="81"/>
      <c r="U74" s="81"/>
    </row>
    <row r="75" spans="1:30" ht="15" customHeight="1">
      <c r="A75" s="79" t="s">
        <v>287</v>
      </c>
      <c r="B75" s="482" t="s">
        <v>66</v>
      </c>
      <c r="C75" s="18">
        <f t="shared" si="1"/>
        <v>112307444</v>
      </c>
      <c r="D75" s="13">
        <v>112307444</v>
      </c>
      <c r="E75" s="13"/>
      <c r="F75" s="318"/>
      <c r="G75" s="318"/>
      <c r="H75" s="318"/>
      <c r="I75" s="318"/>
      <c r="J75" s="319">
        <f t="shared" si="7"/>
        <v>0</v>
      </c>
      <c r="K75" s="318"/>
      <c r="L75" s="318"/>
      <c r="M75" s="318"/>
      <c r="N75" s="81"/>
      <c r="O75" s="81"/>
      <c r="P75" s="81"/>
      <c r="Q75" s="81"/>
      <c r="R75" s="81"/>
      <c r="S75" s="81"/>
      <c r="T75" s="81"/>
      <c r="U75" s="81"/>
    </row>
    <row r="76" spans="1:30" ht="15" customHeight="1">
      <c r="A76" s="79" t="s">
        <v>410</v>
      </c>
      <c r="B76" s="150" t="s">
        <v>423</v>
      </c>
      <c r="C76" s="18">
        <f t="shared" si="1"/>
        <v>107582490</v>
      </c>
      <c r="D76" s="13">
        <v>107582490</v>
      </c>
      <c r="E76" s="13"/>
      <c r="F76" s="318"/>
      <c r="G76" s="318"/>
      <c r="H76" s="318"/>
      <c r="I76" s="318"/>
      <c r="J76" s="319">
        <f t="shared" si="7"/>
        <v>0</v>
      </c>
      <c r="K76" s="318"/>
      <c r="L76" s="318"/>
      <c r="M76" s="318"/>
      <c r="N76" s="81"/>
      <c r="O76" s="81"/>
      <c r="P76" s="81"/>
      <c r="Q76" s="81"/>
      <c r="R76" s="81"/>
      <c r="S76" s="81"/>
      <c r="T76" s="81"/>
      <c r="U76" s="81"/>
    </row>
    <row r="77" spans="1:30" ht="15" customHeight="1">
      <c r="A77" s="89" t="s">
        <v>288</v>
      </c>
      <c r="B77" s="480" t="s">
        <v>389</v>
      </c>
      <c r="C77" s="18">
        <f>SUM(C67:C75)</f>
        <v>1673505943</v>
      </c>
      <c r="D77" s="90">
        <f>SUM(D67:D75)</f>
        <v>1673505943</v>
      </c>
      <c r="E77" s="90">
        <f>SUM(E67:E75)</f>
        <v>0</v>
      </c>
      <c r="F77" s="319"/>
      <c r="G77" s="318"/>
      <c r="H77" s="318"/>
      <c r="I77" s="318"/>
      <c r="J77" s="319">
        <f t="shared" si="7"/>
        <v>0</v>
      </c>
      <c r="K77" s="318"/>
      <c r="L77" s="318"/>
      <c r="M77" s="318"/>
      <c r="N77" s="81"/>
      <c r="O77" s="81"/>
      <c r="P77" s="81"/>
      <c r="Q77" s="81"/>
      <c r="R77" s="81"/>
      <c r="S77" s="81"/>
      <c r="T77" s="81"/>
      <c r="U77" s="81"/>
    </row>
    <row r="78" spans="1:30" ht="15" customHeight="1">
      <c r="A78" s="89" t="s">
        <v>411</v>
      </c>
      <c r="B78" s="483" t="s">
        <v>390</v>
      </c>
      <c r="C78" s="86">
        <f t="shared" si="1"/>
        <v>12638456623</v>
      </c>
      <c r="D78" s="86">
        <f>+D62+D77</f>
        <v>7709102094</v>
      </c>
      <c r="E78" s="86">
        <f>+E62+E77</f>
        <v>4929354529</v>
      </c>
      <c r="F78" s="318"/>
      <c r="G78" s="318"/>
      <c r="H78" s="318"/>
      <c r="I78" s="318"/>
      <c r="J78" s="319">
        <f t="shared" si="7"/>
        <v>0</v>
      </c>
      <c r="K78" s="318"/>
      <c r="L78" s="318"/>
      <c r="M78" s="318"/>
      <c r="N78" s="81"/>
      <c r="O78" s="81"/>
      <c r="P78" s="81"/>
      <c r="Q78" s="81"/>
      <c r="R78" s="81"/>
      <c r="S78" s="81"/>
      <c r="T78" s="81"/>
      <c r="U78" s="81"/>
    </row>
    <row r="79" spans="1:30" ht="15" customHeight="1">
      <c r="A79" s="81"/>
      <c r="B79" s="81"/>
      <c r="C79" s="81"/>
      <c r="D79" s="81"/>
      <c r="E79" s="81"/>
      <c r="F79" s="318"/>
      <c r="G79" s="318"/>
      <c r="H79" s="318"/>
      <c r="I79" s="318"/>
      <c r="J79" s="318"/>
      <c r="K79" s="318"/>
      <c r="L79" s="318"/>
      <c r="M79" s="318"/>
      <c r="N79" s="81"/>
      <c r="O79" s="81"/>
      <c r="P79" s="81"/>
      <c r="Q79" s="81"/>
      <c r="R79" s="81"/>
      <c r="S79" s="81"/>
      <c r="T79" s="81"/>
      <c r="U79" s="81"/>
    </row>
    <row r="80" spans="1:30" ht="15" customHeight="1">
      <c r="A80" s="81"/>
      <c r="B80" s="484" t="s">
        <v>4</v>
      </c>
      <c r="C80" s="81"/>
      <c r="D80" s="81"/>
      <c r="E80" s="81"/>
      <c r="F80" s="318"/>
      <c r="G80" s="318"/>
      <c r="H80" s="318"/>
      <c r="I80" s="318"/>
      <c r="J80" s="318"/>
      <c r="K80" s="318"/>
      <c r="L80" s="318"/>
      <c r="M80" s="318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</row>
    <row r="81" spans="1:30" ht="11.25" customHeight="1">
      <c r="A81" s="81"/>
      <c r="B81" s="484"/>
      <c r="C81" s="81"/>
      <c r="D81" s="81"/>
      <c r="E81" s="81"/>
      <c r="F81" s="318"/>
      <c r="G81" s="318"/>
      <c r="H81" s="318"/>
      <c r="I81" s="318"/>
      <c r="J81" s="318"/>
      <c r="K81" s="318"/>
      <c r="L81" s="318"/>
      <c r="M81" s="318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</row>
    <row r="82" spans="1:30" ht="15" customHeight="1">
      <c r="A82" s="81"/>
      <c r="B82" s="484" t="s">
        <v>5</v>
      </c>
      <c r="C82" s="81"/>
      <c r="D82" s="81"/>
      <c r="E82" s="81"/>
      <c r="F82" s="318"/>
      <c r="G82" s="318"/>
      <c r="H82" s="318"/>
      <c r="I82" s="318"/>
      <c r="J82" s="318"/>
      <c r="K82" s="318"/>
      <c r="L82" s="318"/>
      <c r="M82" s="318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</row>
    <row r="83" spans="1:30" ht="15" customHeight="1">
      <c r="A83" s="81"/>
      <c r="B83" s="81"/>
      <c r="C83" s="81"/>
      <c r="D83" s="81"/>
      <c r="E83" s="81"/>
      <c r="F83" s="318"/>
      <c r="G83" s="318"/>
      <c r="H83" s="318"/>
      <c r="I83" s="318"/>
      <c r="J83" s="318"/>
      <c r="K83" s="318"/>
      <c r="L83" s="318"/>
      <c r="M83" s="318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</row>
    <row r="84" spans="1:30" s="486" customFormat="1" ht="15" customHeight="1">
      <c r="A84" s="448"/>
      <c r="B84" s="448"/>
      <c r="C84" s="448">
        <f>+C45-C78</f>
        <v>0</v>
      </c>
      <c r="D84" s="448"/>
      <c r="E84" s="448"/>
      <c r="F84" s="485"/>
      <c r="G84" s="485"/>
      <c r="H84" s="485"/>
      <c r="I84" s="485"/>
      <c r="J84" s="485"/>
      <c r="K84" s="485"/>
      <c r="L84" s="485"/>
      <c r="M84" s="485"/>
      <c r="N84" s="448"/>
      <c r="O84" s="448"/>
      <c r="P84" s="448"/>
      <c r="Q84" s="448"/>
      <c r="R84" s="448"/>
      <c r="S84" s="448"/>
      <c r="T84" s="448"/>
      <c r="U84" s="448"/>
      <c r="V84" s="448"/>
      <c r="W84" s="448"/>
      <c r="X84" s="448"/>
      <c r="Y84" s="448"/>
      <c r="Z84" s="448"/>
      <c r="AA84" s="448"/>
      <c r="AB84" s="448"/>
      <c r="AC84" s="448"/>
      <c r="AD84" s="448"/>
    </row>
    <row r="85" spans="1:30" s="486" customFormat="1" ht="15" customHeight="1">
      <c r="A85" s="448"/>
      <c r="B85" s="448"/>
      <c r="C85" s="448"/>
      <c r="D85" s="448"/>
      <c r="E85" s="448"/>
      <c r="F85" s="485"/>
      <c r="G85" s="485"/>
      <c r="H85" s="485"/>
      <c r="I85" s="485"/>
      <c r="J85" s="485"/>
      <c r="K85" s="485"/>
      <c r="L85" s="485"/>
      <c r="M85" s="485"/>
      <c r="N85" s="448"/>
      <c r="O85" s="448"/>
      <c r="P85" s="448"/>
      <c r="Q85" s="448"/>
      <c r="R85" s="448"/>
      <c r="S85" s="448"/>
      <c r="T85" s="448"/>
      <c r="U85" s="448"/>
      <c r="V85" s="448"/>
      <c r="W85" s="448"/>
      <c r="X85" s="448"/>
      <c r="Y85" s="448"/>
      <c r="Z85" s="448"/>
      <c r="AA85" s="448"/>
      <c r="AB85" s="448"/>
      <c r="AC85" s="448"/>
      <c r="AD85" s="448"/>
    </row>
    <row r="86" spans="1:30" s="486" customFormat="1" ht="15" customHeight="1">
      <c r="A86" s="448"/>
      <c r="B86" s="448"/>
      <c r="C86" s="448"/>
      <c r="D86" s="448"/>
      <c r="E86" s="448"/>
      <c r="F86" s="485"/>
      <c r="G86" s="485"/>
      <c r="H86" s="485"/>
      <c r="I86" s="485"/>
      <c r="J86" s="485"/>
      <c r="K86" s="485"/>
      <c r="L86" s="485"/>
      <c r="M86" s="485"/>
      <c r="N86" s="448"/>
      <c r="O86" s="448"/>
      <c r="P86" s="448"/>
      <c r="Q86" s="448"/>
      <c r="R86" s="448"/>
      <c r="S86" s="448"/>
      <c r="T86" s="448"/>
      <c r="U86" s="448"/>
      <c r="V86" s="448"/>
      <c r="W86" s="448"/>
      <c r="X86" s="448"/>
      <c r="Y86" s="448"/>
      <c r="Z86" s="448"/>
      <c r="AA86" s="448"/>
      <c r="AB86" s="448"/>
      <c r="AC86" s="448"/>
      <c r="AD86" s="448"/>
    </row>
    <row r="87" spans="1:30" ht="15" customHeight="1">
      <c r="A87" s="81"/>
      <c r="B87" s="81"/>
      <c r="C87" s="81"/>
      <c r="D87" s="81"/>
      <c r="E87" s="81"/>
      <c r="F87" s="318"/>
      <c r="G87" s="318"/>
      <c r="H87" s="318"/>
      <c r="I87" s="318"/>
      <c r="J87" s="318"/>
      <c r="K87" s="318"/>
      <c r="L87" s="318"/>
      <c r="M87" s="318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</row>
    <row r="88" spans="1:30" ht="15" customHeight="1">
      <c r="A88" s="81"/>
      <c r="B88" s="81"/>
      <c r="C88" s="81"/>
      <c r="D88" s="81"/>
      <c r="E88" s="81"/>
      <c r="F88" s="318"/>
      <c r="G88" s="318"/>
      <c r="H88" s="318"/>
      <c r="I88" s="318"/>
      <c r="J88" s="318"/>
      <c r="K88" s="318"/>
      <c r="L88" s="318"/>
      <c r="M88" s="318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</row>
    <row r="89" spans="1:30" ht="15" customHeight="1">
      <c r="A89" s="81"/>
      <c r="G89" s="318"/>
      <c r="H89" s="318"/>
      <c r="I89" s="318"/>
      <c r="J89" s="318"/>
      <c r="K89" s="318"/>
      <c r="L89" s="318"/>
      <c r="M89" s="318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</row>
    <row r="90" spans="1:30" ht="15" customHeight="1">
      <c r="A90" s="81"/>
    </row>
  </sheetData>
  <sheetProtection algorithmName="SHA-512" hashValue="lUNlo0smEGEENOPKvHpfBrv8MY8n23E+ZejU6rnyTENn1xRYZYMhgl1dg7/IGdJzSMGBBVsghjbU84NiV+hXSw==" saltValue="Jvq1ZESeVojifz/tI5dGLQ==" spinCount="100000" sheet="1" objects="1" scenarios="1"/>
  <mergeCells count="1">
    <mergeCell ref="A1:D1"/>
  </mergeCells>
  <phoneticPr fontId="15" type="noConversion"/>
  <conditionalFormatting sqref="C62">
    <cfRule type="cellIs" dxfId="408" priority="67" operator="notEqual">
      <formula>$F$62</formula>
    </cfRule>
    <cfRule type="cellIs" dxfId="407" priority="102" operator="notEqual">
      <formula>$D$62+$E$62</formula>
    </cfRule>
  </conditionalFormatting>
  <conditionalFormatting sqref="C78">
    <cfRule type="cellIs" dxfId="406" priority="66" operator="notEqual">
      <formula>$C$45</formula>
    </cfRule>
    <cfRule type="cellIs" dxfId="405" priority="99" operator="notEqual">
      <formula>$C$45</formula>
    </cfRule>
  </conditionalFormatting>
  <conditionalFormatting sqref="C51">
    <cfRule type="cellIs" dxfId="404" priority="91" operator="notEqual">
      <formula>$D$51+$E$51</formula>
    </cfRule>
  </conditionalFormatting>
  <conditionalFormatting sqref="D62">
    <cfRule type="cellIs" dxfId="403" priority="68" operator="notEqual">
      <formula>$G$62</formula>
    </cfRule>
  </conditionalFormatting>
  <conditionalFormatting sqref="E62">
    <cfRule type="cellIs" dxfId="402" priority="186" operator="notEqual">
      <formula>$H$62</formula>
    </cfRule>
  </conditionalFormatting>
  <conditionalFormatting sqref="C20:D20">
    <cfRule type="cellIs" dxfId="401" priority="58" operator="notEqual">
      <formula>$D$21-$D$22</formula>
    </cfRule>
  </conditionalFormatting>
  <conditionalFormatting sqref="E20">
    <cfRule type="cellIs" dxfId="400" priority="57" operator="notEqual">
      <formula>$E$21-$E$22</formula>
    </cfRule>
  </conditionalFormatting>
  <conditionalFormatting sqref="C61 C59 C50:C55 C57">
    <cfRule type="cellIs" dxfId="399" priority="52" operator="notEqual">
      <formula>D50+E50</formula>
    </cfRule>
  </conditionalFormatting>
  <conditionalFormatting sqref="C45">
    <cfRule type="cellIs" dxfId="398" priority="43" operator="notEqual">
      <formula>$F$45</formula>
    </cfRule>
  </conditionalFormatting>
  <conditionalFormatting sqref="E45">
    <cfRule type="cellIs" dxfId="397" priority="41" operator="notEqual">
      <formula>$H$45</formula>
    </cfRule>
  </conditionalFormatting>
  <conditionalFormatting sqref="C7">
    <cfRule type="cellIs" dxfId="396" priority="40" operator="notEqual">
      <formula>+$D$7+$E$7</formula>
    </cfRule>
  </conditionalFormatting>
  <conditionalFormatting sqref="C77">
    <cfRule type="cellIs" dxfId="395" priority="35" stopIfTrue="1" operator="notEqual">
      <formula>$D$77+$E$77</formula>
    </cfRule>
  </conditionalFormatting>
  <conditionalFormatting sqref="C37">
    <cfRule type="cellIs" dxfId="394" priority="34" operator="notEqual">
      <formula>$C$38+$C$39-$C$40</formula>
    </cfRule>
  </conditionalFormatting>
  <conditionalFormatting sqref="D37">
    <cfRule type="cellIs" dxfId="393" priority="33" operator="notEqual">
      <formula>$D$38+$D$39-$D$40</formula>
    </cfRule>
  </conditionalFormatting>
  <conditionalFormatting sqref="E37">
    <cfRule type="cellIs" dxfId="392" priority="31" operator="notEqual">
      <formula>$E$38+$E$39-$E$40</formula>
    </cfRule>
  </conditionalFormatting>
  <conditionalFormatting sqref="E41">
    <cfRule type="cellIs" dxfId="391" priority="30" operator="notEqual">
      <formula>$E$42-$E$43+$E$44</formula>
    </cfRule>
  </conditionalFormatting>
  <conditionalFormatting sqref="C23">
    <cfRule type="cellIs" dxfId="390" priority="27" operator="notEqual">
      <formula>C24-C25</formula>
    </cfRule>
  </conditionalFormatting>
  <conditionalFormatting sqref="D23:E23">
    <cfRule type="cellIs" dxfId="389" priority="26" operator="notEqual">
      <formula>D24-D25</formula>
    </cfRule>
  </conditionalFormatting>
  <conditionalFormatting sqref="C26">
    <cfRule type="cellIs" dxfId="388" priority="25" operator="notEqual">
      <formula>C27-C28</formula>
    </cfRule>
  </conditionalFormatting>
  <conditionalFormatting sqref="D26:E26">
    <cfRule type="cellIs" dxfId="387" priority="24" operator="notEqual">
      <formula>D27-D28</formula>
    </cfRule>
  </conditionalFormatting>
  <conditionalFormatting sqref="C29">
    <cfRule type="cellIs" dxfId="386" priority="23" operator="notEqual">
      <formula>C30-C31</formula>
    </cfRule>
  </conditionalFormatting>
  <conditionalFormatting sqref="D29:E29">
    <cfRule type="cellIs" dxfId="385" priority="22" operator="notEqual">
      <formula>D30-D31</formula>
    </cfRule>
  </conditionalFormatting>
  <conditionalFormatting sqref="C41">
    <cfRule type="cellIs" dxfId="384" priority="21" operator="notEqual">
      <formula>C42-C43+C44</formula>
    </cfRule>
  </conditionalFormatting>
  <conditionalFormatting sqref="C17">
    <cfRule type="cellIs" dxfId="383" priority="19" operator="notEqual">
      <formula>C18-C19</formula>
    </cfRule>
  </conditionalFormatting>
  <conditionalFormatting sqref="C14">
    <cfRule type="cellIs" dxfId="382" priority="17" operator="notEqual">
      <formula>C15-C16</formula>
    </cfRule>
  </conditionalFormatting>
  <conditionalFormatting sqref="D14:E14">
    <cfRule type="cellIs" dxfId="381" priority="16" operator="notEqual">
      <formula>D15-D16</formula>
    </cfRule>
  </conditionalFormatting>
  <conditionalFormatting sqref="C7">
    <cfRule type="cellIs" dxfId="380" priority="13" operator="notEqual">
      <formula>C8-C9</formula>
    </cfRule>
  </conditionalFormatting>
  <conditionalFormatting sqref="E7">
    <cfRule type="cellIs" dxfId="379" priority="12" operator="notEqual">
      <formula>E8-E9</formula>
    </cfRule>
  </conditionalFormatting>
  <conditionalFormatting sqref="C56">
    <cfRule type="cellIs" dxfId="378" priority="9" operator="notEqual">
      <formula>D56+E56</formula>
    </cfRule>
  </conditionalFormatting>
  <conditionalFormatting sqref="D45">
    <cfRule type="cellIs" dxfId="377" priority="1" operator="notEqual">
      <formula>$G$45</formula>
    </cfRule>
  </conditionalFormatting>
  <dataValidations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E58 D71:D76 D55:D61 E72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2:E62" xr:uid="{00000000-0002-0000-0000-000002000000}"/>
    <dataValidation allowBlank="1" showInputMessage="1" showErrorMessage="1" prompt="Значение должно равняться Итого активов (Ячейка С36)" sqref="D78:E78" xr:uid="{00000000-0002-0000-0000-000003000000}"/>
    <dataValidation allowBlank="1" showInputMessage="1" showErrorMessage="1" prompt="Если значение ячейки не равно &quot;В24 - В25&quot;, ячейка окрасится" sqref="D44 D38:D40 D27" xr:uid="{00000000-0002-0000-0000-000004000000}"/>
    <dataValidation type="date" operator="greaterThan" allowBlank="1" showInputMessage="1" showErrorMessage="1" prompt="Введите дату в формате ЧЧ.ММ.ГГГГ" sqref="C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59" orientation="portrait" r:id="rId1"/>
  <headerFooter alignWithMargins="0"/>
  <ignoredErrors>
    <ignoredError sqref="C60 C14:C43 C58 C77 C7:C9 C45:C4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94" customWidth="1"/>
    <col min="2" max="2" width="105.140625" style="94" customWidth="1"/>
    <col min="3" max="3" width="19.7109375" style="127" customWidth="1"/>
    <col min="4" max="4" width="10.28515625" style="233" bestFit="1" customWidth="1"/>
    <col min="5" max="5" width="19.42578125" style="234" bestFit="1" customWidth="1"/>
    <col min="6" max="6" width="9.28515625" style="233" bestFit="1" customWidth="1"/>
    <col min="7" max="7" width="9.140625" style="233"/>
    <col min="8" max="8" width="17.42578125" style="233" bestFit="1" customWidth="1"/>
    <col min="9" max="16384" width="9.140625" style="94"/>
  </cols>
  <sheetData>
    <row r="1" spans="1:8" ht="23.25" customHeight="1">
      <c r="A1" s="532" t="s">
        <v>422</v>
      </c>
      <c r="B1" s="533"/>
      <c r="C1" s="93" t="s">
        <v>400</v>
      </c>
    </row>
    <row r="2" spans="1:8">
      <c r="A2" s="129"/>
      <c r="B2" s="129"/>
      <c r="C2" s="129"/>
    </row>
    <row r="3" spans="1:8" ht="15.75">
      <c r="A3" s="95"/>
      <c r="B3" s="160" t="str">
        <f>Balance!B3</f>
        <v xml:space="preserve">АК "АЛОКАБАНК" </v>
      </c>
      <c r="C3" s="159">
        <f>+Balance!C3</f>
        <v>44561</v>
      </c>
    </row>
    <row r="4" spans="1:8" s="96" customFormat="1" ht="43.5" customHeight="1">
      <c r="A4" s="206" t="s">
        <v>79</v>
      </c>
      <c r="B4" s="206" t="s">
        <v>54</v>
      </c>
      <c r="C4" s="206" t="s">
        <v>8</v>
      </c>
      <c r="D4" s="235"/>
      <c r="E4" s="236"/>
      <c r="F4" s="235"/>
      <c r="G4" s="235"/>
      <c r="H4" s="235"/>
    </row>
    <row r="5" spans="1:8" ht="12.75" customHeight="1">
      <c r="A5" s="189" t="s">
        <v>55</v>
      </c>
      <c r="B5" s="98" t="s">
        <v>195</v>
      </c>
      <c r="C5" s="99"/>
    </row>
    <row r="6" spans="1:8" ht="12.75" customHeight="1">
      <c r="A6" s="97">
        <v>1</v>
      </c>
      <c r="B6" s="98" t="s">
        <v>196</v>
      </c>
      <c r="C6" s="100"/>
    </row>
    <row r="7" spans="1:8" s="107" customFormat="1" ht="18" customHeight="1">
      <c r="A7" s="104" t="s">
        <v>199</v>
      </c>
      <c r="B7" s="105" t="s">
        <v>197</v>
      </c>
      <c r="C7" s="135" t="s">
        <v>190</v>
      </c>
      <c r="D7" s="237"/>
      <c r="E7" s="149"/>
      <c r="F7" s="237"/>
      <c r="G7" s="237"/>
      <c r="H7" s="237"/>
    </row>
    <row r="8" spans="1:8" s="96" customFormat="1" ht="18" customHeight="1">
      <c r="A8" s="114" t="s">
        <v>56</v>
      </c>
      <c r="B8" s="202" t="s">
        <v>57</v>
      </c>
      <c r="C8" s="130"/>
      <c r="D8" s="235"/>
      <c r="E8" s="236"/>
      <c r="F8" s="235"/>
      <c r="G8" s="235"/>
      <c r="H8" s="235"/>
    </row>
    <row r="9" spans="1:8" s="96" customFormat="1" ht="18" customHeight="1">
      <c r="A9" s="114" t="s">
        <v>58</v>
      </c>
      <c r="B9" s="202" t="s">
        <v>59</v>
      </c>
      <c r="C9" s="131"/>
      <c r="D9" s="235"/>
      <c r="E9" s="236"/>
      <c r="F9" s="235"/>
      <c r="G9" s="235"/>
      <c r="H9" s="235"/>
    </row>
    <row r="10" spans="1:8" s="107" customFormat="1" ht="18" customHeight="1">
      <c r="A10" s="104" t="s">
        <v>200</v>
      </c>
      <c r="B10" s="105" t="s">
        <v>198</v>
      </c>
      <c r="C10" s="146">
        <v>0</v>
      </c>
      <c r="D10" s="237"/>
      <c r="E10" s="149"/>
      <c r="F10" s="237"/>
      <c r="G10" s="237"/>
      <c r="H10" s="237"/>
    </row>
    <row r="11" spans="1:8" s="96" customFormat="1" ht="18" customHeight="1">
      <c r="A11" s="114" t="s">
        <v>201</v>
      </c>
      <c r="B11" s="202" t="s">
        <v>202</v>
      </c>
      <c r="C11" s="135" t="s">
        <v>190</v>
      </c>
      <c r="D11" s="235"/>
      <c r="E11" s="236"/>
      <c r="F11" s="235"/>
      <c r="G11" s="235"/>
      <c r="H11" s="235"/>
    </row>
    <row r="12" spans="1:8" s="96" customFormat="1" ht="18" customHeight="1">
      <c r="A12" s="114" t="s">
        <v>62</v>
      </c>
      <c r="B12" s="202" t="s">
        <v>67</v>
      </c>
      <c r="C12" s="148"/>
      <c r="D12" s="235"/>
      <c r="E12" s="236"/>
      <c r="F12" s="235"/>
      <c r="G12" s="235"/>
      <c r="H12" s="235"/>
    </row>
    <row r="13" spans="1:8" s="96" customFormat="1" ht="18" customHeight="1">
      <c r="A13" s="109" t="s">
        <v>58</v>
      </c>
      <c r="B13" s="203" t="s">
        <v>68</v>
      </c>
      <c r="C13" s="148"/>
      <c r="D13" s="235"/>
      <c r="E13" s="236"/>
      <c r="F13" s="235"/>
      <c r="G13" s="235"/>
      <c r="H13" s="235"/>
    </row>
    <row r="14" spans="1:8" s="107" customFormat="1" ht="18" customHeight="1">
      <c r="A14" s="119" t="s">
        <v>60</v>
      </c>
      <c r="B14" s="200" t="s">
        <v>203</v>
      </c>
      <c r="C14" s="145"/>
      <c r="D14" s="237"/>
      <c r="E14" s="149"/>
      <c r="F14" s="237"/>
      <c r="G14" s="237"/>
      <c r="H14" s="237"/>
    </row>
    <row r="15" spans="1:8" s="107" customFormat="1" ht="18" customHeight="1">
      <c r="A15" s="119" t="s">
        <v>69</v>
      </c>
      <c r="B15" s="200" t="s">
        <v>204</v>
      </c>
      <c r="C15" s="145"/>
      <c r="D15" s="237"/>
      <c r="E15" s="149"/>
      <c r="F15" s="237"/>
      <c r="G15" s="237"/>
      <c r="H15" s="237"/>
    </row>
    <row r="16" spans="1:8" s="96" customFormat="1" ht="18" customHeight="1">
      <c r="A16" s="109" t="s">
        <v>205</v>
      </c>
      <c r="B16" s="203" t="s">
        <v>70</v>
      </c>
      <c r="C16" s="146"/>
      <c r="D16" s="235"/>
      <c r="E16" s="236"/>
      <c r="F16" s="235"/>
      <c r="G16" s="235"/>
      <c r="H16" s="235"/>
    </row>
    <row r="17" spans="1:8" s="96" customFormat="1" ht="18" customHeight="1">
      <c r="A17" s="109" t="s">
        <v>206</v>
      </c>
      <c r="B17" s="203" t="s">
        <v>9</v>
      </c>
      <c r="C17" s="146"/>
      <c r="D17" s="235"/>
      <c r="E17" s="236"/>
      <c r="F17" s="235"/>
      <c r="G17" s="235"/>
      <c r="H17" s="235"/>
    </row>
    <row r="18" spans="1:8" s="96" customFormat="1" ht="18" customHeight="1">
      <c r="A18" s="109"/>
      <c r="B18" s="203" t="s">
        <v>207</v>
      </c>
      <c r="C18" s="135" t="s">
        <v>190</v>
      </c>
      <c r="D18" s="235"/>
      <c r="E18" s="236"/>
      <c r="F18" s="235"/>
      <c r="G18" s="235"/>
      <c r="H18" s="235"/>
    </row>
    <row r="19" spans="1:8" s="96" customFormat="1" ht="18" customHeight="1">
      <c r="A19" s="109" t="s">
        <v>235</v>
      </c>
      <c r="B19" s="203" t="s">
        <v>208</v>
      </c>
      <c r="C19" s="135" t="s">
        <v>190</v>
      </c>
      <c r="D19" s="235"/>
      <c r="E19" s="236"/>
      <c r="F19" s="235"/>
      <c r="G19" s="235"/>
      <c r="H19" s="235"/>
    </row>
    <row r="20" spans="1:8" s="107" customFormat="1" ht="18" customHeight="1">
      <c r="A20" s="188" t="s">
        <v>62</v>
      </c>
      <c r="B20" s="345" t="s">
        <v>72</v>
      </c>
      <c r="C20" s="145"/>
      <c r="D20" s="237"/>
      <c r="E20" s="149"/>
      <c r="F20" s="237"/>
      <c r="G20" s="237"/>
      <c r="H20" s="237"/>
    </row>
    <row r="21" spans="1:8" s="106" customFormat="1" ht="25.5">
      <c r="A21" s="188" t="s">
        <v>58</v>
      </c>
      <c r="B21" s="200" t="s">
        <v>18</v>
      </c>
      <c r="C21" s="145"/>
      <c r="D21" s="237"/>
      <c r="E21" s="149"/>
      <c r="F21" s="237"/>
      <c r="G21" s="237"/>
      <c r="H21" s="237"/>
    </row>
    <row r="22" spans="1:8" s="107" customFormat="1" ht="18" customHeight="1">
      <c r="A22" s="188" t="s">
        <v>60</v>
      </c>
      <c r="B22" s="200" t="s">
        <v>10</v>
      </c>
      <c r="C22" s="145"/>
      <c r="D22" s="237"/>
      <c r="E22" s="149"/>
      <c r="F22" s="237"/>
      <c r="G22" s="237"/>
      <c r="H22" s="237"/>
    </row>
    <row r="23" spans="1:8" s="107" customFormat="1" ht="15" customHeight="1">
      <c r="A23" s="104" t="s">
        <v>209</v>
      </c>
      <c r="B23" s="105" t="s">
        <v>210</v>
      </c>
      <c r="C23" s="135" t="s">
        <v>190</v>
      </c>
      <c r="D23" s="237"/>
      <c r="E23" s="149"/>
      <c r="F23" s="237"/>
      <c r="G23" s="237"/>
      <c r="H23" s="237"/>
    </row>
    <row r="24" spans="1:8" ht="16.5" customHeight="1">
      <c r="A24" s="101">
        <v>2</v>
      </c>
      <c r="B24" s="108" t="s">
        <v>211</v>
      </c>
      <c r="C24" s="102"/>
    </row>
    <row r="25" spans="1:8" s="107" customFormat="1" ht="18" customHeight="1">
      <c r="A25" s="119" t="s">
        <v>212</v>
      </c>
      <c r="B25" s="200" t="s">
        <v>61</v>
      </c>
      <c r="C25" s="198">
        <f>+C26+C27</f>
        <v>0</v>
      </c>
      <c r="D25" s="237"/>
      <c r="E25" s="149"/>
      <c r="F25" s="237"/>
      <c r="G25" s="237"/>
      <c r="H25" s="237"/>
    </row>
    <row r="26" spans="1:8" s="107" customFormat="1" ht="18" customHeight="1">
      <c r="A26" s="119" t="s">
        <v>62</v>
      </c>
      <c r="B26" s="200" t="s">
        <v>63</v>
      </c>
      <c r="C26" s="145"/>
      <c r="D26" s="237"/>
      <c r="E26" s="149"/>
      <c r="F26" s="237"/>
      <c r="G26" s="237"/>
      <c r="H26" s="237"/>
    </row>
    <row r="27" spans="1:8" s="107" customFormat="1" ht="18" customHeight="1">
      <c r="A27" s="119" t="s">
        <v>58</v>
      </c>
      <c r="B27" s="200" t="s">
        <v>64</v>
      </c>
      <c r="C27" s="145"/>
      <c r="D27" s="237"/>
      <c r="E27" s="149"/>
      <c r="F27" s="237"/>
      <c r="G27" s="237"/>
      <c r="H27" s="237"/>
    </row>
    <row r="28" spans="1:8" s="107" customFormat="1" ht="18" customHeight="1">
      <c r="A28" s="119" t="s">
        <v>213</v>
      </c>
      <c r="B28" s="200" t="s">
        <v>214</v>
      </c>
      <c r="C28" s="145">
        <v>0</v>
      </c>
      <c r="D28" s="237"/>
      <c r="E28" s="149"/>
      <c r="F28" s="237"/>
      <c r="G28" s="237"/>
      <c r="H28" s="237"/>
    </row>
    <row r="29" spans="1:8">
      <c r="A29" s="109" t="s">
        <v>215</v>
      </c>
      <c r="B29" s="201" t="s">
        <v>216</v>
      </c>
      <c r="C29" s="132">
        <v>0</v>
      </c>
    </row>
    <row r="30" spans="1:8" s="107" customFormat="1" ht="29.25" customHeight="1">
      <c r="A30" s="119" t="s">
        <v>217</v>
      </c>
      <c r="B30" s="200" t="s">
        <v>17</v>
      </c>
      <c r="C30" s="145">
        <v>0</v>
      </c>
      <c r="D30" s="237"/>
      <c r="E30" s="149"/>
      <c r="F30" s="237"/>
      <c r="G30" s="237"/>
      <c r="H30" s="237"/>
    </row>
    <row r="31" spans="1:8" s="111" customFormat="1">
      <c r="A31" s="110" t="s">
        <v>71</v>
      </c>
      <c r="B31" s="153" t="s">
        <v>218</v>
      </c>
      <c r="C31" s="147">
        <f>+C25+C28+C29+C30</f>
        <v>0</v>
      </c>
      <c r="D31" s="238"/>
      <c r="E31" s="239"/>
      <c r="F31" s="240"/>
      <c r="G31" s="240"/>
      <c r="H31" s="240"/>
    </row>
    <row r="32" spans="1:8" s="111" customFormat="1" ht="16.5" customHeight="1">
      <c r="A32" s="110" t="s">
        <v>73</v>
      </c>
      <c r="B32" s="207" t="s">
        <v>219</v>
      </c>
      <c r="C32" s="135" t="s">
        <v>190</v>
      </c>
      <c r="D32" s="240"/>
      <c r="E32" s="239"/>
      <c r="F32" s="240"/>
      <c r="G32" s="240"/>
      <c r="H32" s="240"/>
    </row>
    <row r="33" spans="1:8" s="113" customFormat="1" ht="13.5" customHeight="1">
      <c r="A33" s="112"/>
      <c r="B33" s="112" t="s">
        <v>75</v>
      </c>
      <c r="C33" s="103"/>
      <c r="D33" s="241"/>
      <c r="E33" s="242"/>
      <c r="F33" s="241"/>
      <c r="G33" s="241"/>
      <c r="H33" s="243"/>
    </row>
    <row r="34" spans="1:8" s="107" customFormat="1" ht="18" customHeight="1">
      <c r="A34" s="119" t="s">
        <v>220</v>
      </c>
      <c r="B34" s="344" t="s">
        <v>452</v>
      </c>
      <c r="C34" s="145"/>
      <c r="D34" s="237"/>
      <c r="E34" s="149"/>
      <c r="F34" s="237"/>
      <c r="G34" s="237"/>
      <c r="H34" s="237"/>
    </row>
    <row r="35" spans="1:8" s="107" customFormat="1" ht="25.5">
      <c r="A35" s="119" t="s">
        <v>221</v>
      </c>
      <c r="B35" s="200" t="s">
        <v>19</v>
      </c>
      <c r="C35" s="280" t="e">
        <f>IF(Balance!C72&lt;(C43*1.25%),Balance!C72,(C43*1.25%))</f>
        <v>#REF!</v>
      </c>
      <c r="D35" s="237"/>
      <c r="E35" s="149"/>
      <c r="F35" s="237"/>
      <c r="G35" s="237"/>
      <c r="H35" s="237"/>
    </row>
    <row r="36" spans="1:8" s="107" customFormat="1" ht="18" customHeight="1">
      <c r="A36" s="119" t="s">
        <v>222</v>
      </c>
      <c r="B36" s="200" t="s">
        <v>11</v>
      </c>
      <c r="C36" s="145"/>
      <c r="D36" s="237"/>
      <c r="E36" s="149"/>
      <c r="F36" s="237"/>
      <c r="G36" s="237"/>
      <c r="H36" s="237"/>
    </row>
    <row r="37" spans="1:8" s="107" customFormat="1" ht="18" customHeight="1">
      <c r="A37" s="119" t="s">
        <v>223</v>
      </c>
      <c r="B37" s="200" t="s">
        <v>224</v>
      </c>
      <c r="C37" s="145"/>
      <c r="D37" s="237"/>
      <c r="E37" s="149"/>
      <c r="F37" s="237"/>
      <c r="G37" s="237"/>
      <c r="H37" s="237"/>
    </row>
    <row r="38" spans="1:8" s="107" customFormat="1" ht="18" customHeight="1">
      <c r="A38" s="119" t="s">
        <v>225</v>
      </c>
      <c r="B38" s="200" t="s">
        <v>12</v>
      </c>
      <c r="C38" s="145"/>
      <c r="D38" s="237"/>
      <c r="E38" s="149"/>
      <c r="F38" s="237"/>
      <c r="G38" s="237"/>
      <c r="H38" s="237"/>
    </row>
    <row r="39" spans="1:8" s="107" customFormat="1" ht="18" customHeight="1">
      <c r="A39" s="119" t="s">
        <v>226</v>
      </c>
      <c r="B39" s="200" t="s">
        <v>76</v>
      </c>
      <c r="C39" s="135" t="s">
        <v>190</v>
      </c>
      <c r="D39" s="237"/>
      <c r="E39" s="149"/>
      <c r="F39" s="237"/>
      <c r="G39" s="237"/>
      <c r="H39" s="237"/>
    </row>
    <row r="40" spans="1:8" ht="18.75" customHeight="1">
      <c r="A40" s="114"/>
      <c r="B40" s="115" t="s">
        <v>35</v>
      </c>
      <c r="C40" s="103" t="e">
        <f>SUM(C34:C38)</f>
        <v>#REF!</v>
      </c>
      <c r="D40" s="238"/>
    </row>
    <row r="41" spans="1:8" s="96" customFormat="1" ht="22.5" customHeight="1">
      <c r="A41" s="133" t="s">
        <v>74</v>
      </c>
      <c r="B41" s="116" t="s">
        <v>36</v>
      </c>
      <c r="C41" s="135" t="s">
        <v>190</v>
      </c>
      <c r="D41" s="244"/>
      <c r="E41" s="236"/>
      <c r="F41" s="235"/>
      <c r="G41" s="235"/>
      <c r="H41" s="235"/>
    </row>
    <row r="42" spans="1:8" s="96" customFormat="1" ht="15.75" customHeight="1">
      <c r="A42" s="112" t="s">
        <v>77</v>
      </c>
      <c r="B42" s="116" t="s">
        <v>227</v>
      </c>
      <c r="C42" s="135" t="s">
        <v>190</v>
      </c>
      <c r="D42" s="244"/>
      <c r="E42" s="236"/>
      <c r="F42" s="235"/>
      <c r="G42" s="235"/>
      <c r="H42" s="235"/>
    </row>
    <row r="43" spans="1:8" s="96" customFormat="1" ht="21.75" customHeight="1">
      <c r="A43" s="112" t="s">
        <v>15</v>
      </c>
      <c r="B43" s="105" t="s">
        <v>228</v>
      </c>
      <c r="C43" s="117" t="e">
        <f>+C44+C45+C46</f>
        <v>#REF!</v>
      </c>
      <c r="D43" s="235"/>
      <c r="E43" s="236"/>
      <c r="F43" s="235"/>
      <c r="G43" s="235"/>
      <c r="H43" s="235"/>
    </row>
    <row r="44" spans="1:8" s="107" customFormat="1" ht="18" customHeight="1">
      <c r="A44" s="119" t="s">
        <v>62</v>
      </c>
      <c r="B44" s="200" t="s">
        <v>20</v>
      </c>
      <c r="C44" s="198" t="e">
        <f>+#REF!</f>
        <v>#REF!</v>
      </c>
      <c r="D44" s="237"/>
      <c r="E44" s="149"/>
      <c r="F44" s="237"/>
      <c r="G44" s="237"/>
      <c r="H44" s="237"/>
    </row>
    <row r="45" spans="1:8" s="107" customFormat="1" ht="18" customHeight="1">
      <c r="A45" s="119" t="s">
        <v>58</v>
      </c>
      <c r="B45" s="200" t="s">
        <v>13</v>
      </c>
      <c r="C45" s="198" t="e">
        <f>+#REF!</f>
        <v>#REF!</v>
      </c>
      <c r="D45" s="237"/>
      <c r="E45" s="149"/>
      <c r="F45" s="237"/>
      <c r="G45" s="237"/>
      <c r="H45" s="237"/>
    </row>
    <row r="46" spans="1:8" s="107" customFormat="1" ht="18" customHeight="1">
      <c r="A46" s="119" t="s">
        <v>60</v>
      </c>
      <c r="B46" s="200" t="s">
        <v>14</v>
      </c>
      <c r="C46" s="198" t="e">
        <f>+#REF!</f>
        <v>#REF!</v>
      </c>
      <c r="D46" s="237"/>
      <c r="E46" s="149" t="e">
        <f>+#REF!</f>
        <v>#REF!</v>
      </c>
      <c r="F46" s="237"/>
      <c r="G46" s="237"/>
      <c r="H46" s="237"/>
    </row>
    <row r="47" spans="1:8" s="113" customFormat="1" ht="21.75" customHeight="1">
      <c r="A47" s="133" t="s">
        <v>16</v>
      </c>
      <c r="B47" s="134" t="s">
        <v>229</v>
      </c>
      <c r="C47" s="135" t="s">
        <v>190</v>
      </c>
      <c r="D47" s="241"/>
      <c r="E47" s="242"/>
      <c r="F47" s="241"/>
      <c r="G47" s="241"/>
      <c r="H47" s="241"/>
    </row>
    <row r="48" spans="1:8" s="113" customFormat="1" ht="21.75" customHeight="1">
      <c r="A48" s="133" t="s">
        <v>78</v>
      </c>
      <c r="B48" s="134" t="s">
        <v>230</v>
      </c>
      <c r="C48" s="135" t="s">
        <v>190</v>
      </c>
      <c r="D48" s="241"/>
      <c r="E48" s="242"/>
      <c r="F48" s="241"/>
      <c r="G48" s="241"/>
      <c r="H48" s="241"/>
    </row>
    <row r="49" spans="1:8" s="113" customFormat="1" ht="21.75" customHeight="1">
      <c r="A49" s="133" t="s">
        <v>37</v>
      </c>
      <c r="B49" s="134" t="s">
        <v>231</v>
      </c>
      <c r="C49" s="135" t="s">
        <v>190</v>
      </c>
      <c r="D49" s="241"/>
      <c r="E49" s="242"/>
      <c r="F49" s="241"/>
      <c r="G49" s="241"/>
      <c r="H49" s="241"/>
    </row>
    <row r="50" spans="1:8" s="118" customFormat="1" ht="21.75" customHeight="1">
      <c r="A50" s="112" t="s">
        <v>38</v>
      </c>
      <c r="B50" s="105" t="s">
        <v>29</v>
      </c>
      <c r="C50" s="135" t="s">
        <v>190</v>
      </c>
      <c r="D50" s="245"/>
      <c r="E50" s="246"/>
      <c r="F50" s="247"/>
      <c r="G50" s="245"/>
      <c r="H50" s="245"/>
    </row>
    <row r="51" spans="1:8" s="122" customFormat="1" ht="21.75" customHeight="1">
      <c r="A51" s="119" t="s">
        <v>62</v>
      </c>
      <c r="B51" s="120" t="s">
        <v>46</v>
      </c>
      <c r="C51" s="121">
        <f>+Balance!C45</f>
        <v>12638456623</v>
      </c>
      <c r="D51" s="248"/>
      <c r="E51" s="249"/>
      <c r="F51" s="250"/>
      <c r="G51" s="248"/>
      <c r="H51" s="248"/>
    </row>
    <row r="52" spans="1:8" s="122" customFormat="1" ht="21.75" customHeight="1">
      <c r="A52" s="119" t="s">
        <v>58</v>
      </c>
      <c r="B52" s="120" t="s">
        <v>232</v>
      </c>
      <c r="C52" s="270" t="e">
        <f>SUM(#REF!)</f>
        <v>#REF!</v>
      </c>
      <c r="D52" s="250" t="e">
        <f>+#REF!</f>
        <v>#REF!</v>
      </c>
      <c r="E52" s="249"/>
      <c r="F52" s="250"/>
      <c r="G52" s="248"/>
      <c r="H52" s="248"/>
    </row>
    <row r="53" spans="1:8" s="125" customFormat="1" ht="21.75" customHeight="1">
      <c r="A53" s="123" t="s">
        <v>60</v>
      </c>
      <c r="B53" s="124" t="s">
        <v>233</v>
      </c>
      <c r="C53" s="272" t="e">
        <f>SUM(#REF!)</f>
        <v>#REF!</v>
      </c>
      <c r="D53" s="269"/>
      <c r="E53" s="271"/>
      <c r="F53" s="251"/>
      <c r="G53" s="251"/>
      <c r="H53" s="251"/>
    </row>
    <row r="54" spans="1:8" s="125" customFormat="1" ht="21.75" customHeight="1">
      <c r="A54" s="123" t="s">
        <v>69</v>
      </c>
      <c r="B54" s="124" t="s">
        <v>234</v>
      </c>
      <c r="C54" s="156" t="str">
        <f>+C19</f>
        <v>Формула</v>
      </c>
      <c r="D54" s="251"/>
      <c r="E54" s="252"/>
      <c r="F54" s="251"/>
      <c r="G54" s="251"/>
      <c r="H54" s="251"/>
    </row>
    <row r="55" spans="1:8" s="113" customFormat="1" ht="21.75" customHeight="1">
      <c r="A55" s="133" t="s">
        <v>39</v>
      </c>
      <c r="B55" s="134" t="s">
        <v>47</v>
      </c>
      <c r="C55" s="135" t="s">
        <v>190</v>
      </c>
      <c r="D55" s="241"/>
      <c r="E55" s="242"/>
      <c r="F55" s="241"/>
      <c r="G55" s="241"/>
      <c r="H55" s="241"/>
    </row>
    <row r="56" spans="1:8">
      <c r="B56" s="126"/>
    </row>
    <row r="57" spans="1:8" s="1" customFormat="1">
      <c r="A57" s="28"/>
      <c r="B57" s="3" t="s">
        <v>4</v>
      </c>
      <c r="D57" s="76"/>
      <c r="E57" s="76"/>
      <c r="F57" s="76"/>
      <c r="G57" s="76"/>
      <c r="H57" s="76"/>
    </row>
    <row r="58" spans="1:8" s="1" customFormat="1">
      <c r="A58" s="28"/>
      <c r="B58" s="3"/>
      <c r="D58" s="76"/>
      <c r="E58" s="76"/>
      <c r="F58" s="76"/>
      <c r="G58" s="76"/>
      <c r="H58" s="76"/>
    </row>
    <row r="59" spans="1:8" s="1" customFormat="1">
      <c r="A59" s="28"/>
      <c r="B59" s="3" t="s">
        <v>5</v>
      </c>
      <c r="D59" s="76"/>
      <c r="E59" s="76"/>
      <c r="F59" s="76"/>
      <c r="G59" s="76"/>
      <c r="H59" s="76"/>
    </row>
    <row r="60" spans="1:8">
      <c r="B60" s="128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6">
    <pageSetUpPr fitToPage="1"/>
  </sheetPr>
  <dimension ref="A1:Q74"/>
  <sheetViews>
    <sheetView view="pageBreakPreview" zoomScaleNormal="100" zoomScaleSheetLayoutView="100" workbookViewId="0">
      <pane xSplit="2" ySplit="3" topLeftCell="C22" activePane="bottomRight" state="frozen"/>
      <selection activeCell="C71" sqref="C71"/>
      <selection pane="topRight" activeCell="C71" sqref="C71"/>
      <selection pane="bottomLeft" activeCell="C71" sqref="C71"/>
      <selection pane="bottomRight" activeCell="C28" sqref="C28"/>
    </sheetView>
  </sheetViews>
  <sheetFormatPr defaultRowHeight="12.75"/>
  <cols>
    <col min="1" max="1" width="7.42578125" style="1" customWidth="1"/>
    <col min="2" max="2" width="61.7109375" style="1" customWidth="1"/>
    <col min="3" max="3" width="17.42578125" style="51" customWidth="1"/>
    <col min="4" max="4" width="17.42578125" style="343" customWidth="1"/>
    <col min="5" max="5" width="17.42578125" style="51" customWidth="1"/>
    <col min="6" max="8" width="12" style="356" customWidth="1"/>
    <col min="9" max="9" width="14.28515625" style="359" customWidth="1"/>
    <col min="10" max="11" width="6.42578125" style="314" customWidth="1"/>
    <col min="12" max="12" width="9.140625" style="314"/>
    <col min="13" max="14" width="11.7109375" style="303" bestFit="1" customWidth="1"/>
    <col min="15" max="16" width="9.140625" style="276"/>
    <col min="17" max="16384" width="9.140625" style="7"/>
  </cols>
  <sheetData>
    <row r="1" spans="1:17" s="47" customFormat="1" ht="34.5" customHeight="1">
      <c r="A1" s="9"/>
      <c r="B1" s="10" t="s">
        <v>124</v>
      </c>
      <c r="C1" s="192"/>
      <c r="D1" s="334"/>
      <c r="E1" s="192" t="s">
        <v>513</v>
      </c>
      <c r="F1" s="354"/>
      <c r="G1" s="354"/>
      <c r="H1" s="354"/>
      <c r="I1" s="355"/>
      <c r="J1" s="310"/>
      <c r="K1" s="310"/>
      <c r="L1" s="311"/>
      <c r="M1" s="312"/>
      <c r="N1" s="312"/>
      <c r="O1" s="440"/>
      <c r="P1" s="440"/>
    </row>
    <row r="2" spans="1:17" ht="20.25" customHeight="1">
      <c r="B2" s="175" t="str">
        <f>Balance!B3</f>
        <v xml:space="preserve">АК "АЛОКАБАНК" </v>
      </c>
      <c r="C2" s="173" t="str">
        <f>+Balance!B2</f>
        <v xml:space="preserve"> 31 Декабрь, 2021</v>
      </c>
      <c r="D2" s="335"/>
      <c r="E2" s="173" t="s">
        <v>7</v>
      </c>
      <c r="I2" s="357"/>
      <c r="J2" s="313"/>
      <c r="K2" s="313"/>
    </row>
    <row r="3" spans="1:17" s="268" customFormat="1" ht="36.75" customHeight="1">
      <c r="A3" s="205" t="s">
        <v>79</v>
      </c>
      <c r="B3" s="205" t="s">
        <v>432</v>
      </c>
      <c r="C3" s="205" t="s">
        <v>317</v>
      </c>
      <c r="D3" s="336" t="s">
        <v>443</v>
      </c>
      <c r="E3" s="205" t="s">
        <v>444</v>
      </c>
      <c r="F3" s="356"/>
      <c r="G3" s="356"/>
      <c r="H3" s="356"/>
      <c r="I3" s="357"/>
      <c r="J3" s="313"/>
      <c r="K3" s="313"/>
      <c r="L3" s="314"/>
      <c r="O3" s="441"/>
      <c r="P3" s="441"/>
    </row>
    <row r="4" spans="1:17" ht="10.5" customHeight="1">
      <c r="A4" s="12"/>
      <c r="B4" s="12"/>
      <c r="C4" s="12"/>
      <c r="D4" s="337"/>
      <c r="E4" s="443"/>
      <c r="I4" s="357"/>
      <c r="J4" s="313"/>
      <c r="K4" s="313"/>
    </row>
    <row r="5" spans="1:17" s="268" customFormat="1" ht="17.25" customHeight="1">
      <c r="A5" s="382"/>
      <c r="B5" s="382" t="s">
        <v>473</v>
      </c>
      <c r="C5" s="534" t="s">
        <v>125</v>
      </c>
      <c r="D5" s="535"/>
      <c r="E5" s="536"/>
      <c r="F5" s="523"/>
      <c r="G5" s="523"/>
      <c r="H5" s="377"/>
      <c r="I5" s="442"/>
      <c r="J5" s="313"/>
      <c r="K5" s="313"/>
      <c r="L5" s="314"/>
      <c r="O5" s="441"/>
      <c r="P5" s="441"/>
    </row>
    <row r="6" spans="1:17" s="303" customFormat="1">
      <c r="A6" s="457" t="s">
        <v>199</v>
      </c>
      <c r="B6" s="383" t="s">
        <v>458</v>
      </c>
      <c r="C6" s="388">
        <f>+'Bank Assets Analysis'!S7-'Bank Assets Analysis'!S8</f>
        <v>275813889</v>
      </c>
      <c r="D6" s="388">
        <f>+'Bank Assets Analysis'!T7-'Bank Assets Analysis'!T8</f>
        <v>94523100</v>
      </c>
      <c r="E6" s="444">
        <f>+'Bank Assets Analysis'!U7-'Bank Assets Analysis'!U8</f>
        <v>181290789</v>
      </c>
      <c r="F6" s="523"/>
      <c r="G6" s="523"/>
      <c r="H6" s="377"/>
      <c r="I6" s="442"/>
      <c r="J6" s="313"/>
      <c r="K6" s="313"/>
      <c r="L6" s="314"/>
      <c r="O6" s="276"/>
      <c r="P6" s="276"/>
    </row>
    <row r="7" spans="1:17" s="303" customFormat="1" ht="25.5">
      <c r="A7" s="457" t="s">
        <v>200</v>
      </c>
      <c r="B7" s="383" t="s">
        <v>427</v>
      </c>
      <c r="C7" s="388">
        <f>+'Bank Assets Analysis'!S9</f>
        <v>1146165457</v>
      </c>
      <c r="D7" s="388">
        <f>+'Bank Assets Analysis'!T9</f>
        <v>895579384</v>
      </c>
      <c r="E7" s="444">
        <f>+'Bank Assets Analysis'!U9</f>
        <v>250586073</v>
      </c>
      <c r="F7" s="523"/>
      <c r="G7" s="523"/>
      <c r="H7" s="377"/>
      <c r="I7" s="442"/>
      <c r="J7" s="313"/>
      <c r="K7" s="313"/>
      <c r="L7" s="314"/>
      <c r="O7" s="276"/>
      <c r="P7" s="276"/>
    </row>
    <row r="8" spans="1:17" s="303" customFormat="1" ht="25.5">
      <c r="A8" s="457" t="s">
        <v>201</v>
      </c>
      <c r="B8" s="383" t="s">
        <v>459</v>
      </c>
      <c r="C8" s="388">
        <f>+'Bank Assets Analysis'!S20-'Bank Assets Analysis'!S21+'Bank Assets Analysis'!S36</f>
        <v>0</v>
      </c>
      <c r="D8" s="388">
        <f>+'Bank Assets Analysis'!T20-'Bank Assets Analysis'!T21+'Bank Assets Analysis'!T36</f>
        <v>0</v>
      </c>
      <c r="E8" s="388">
        <f>+'Bank Assets Analysis'!U20-'Bank Assets Analysis'!U21+'Bank Assets Analysis'!U36</f>
        <v>0</v>
      </c>
      <c r="F8" s="523"/>
      <c r="G8" s="523"/>
      <c r="H8" s="377"/>
      <c r="I8" s="442"/>
      <c r="J8" s="313"/>
      <c r="K8" s="313"/>
      <c r="L8" s="314"/>
      <c r="O8" s="276"/>
      <c r="P8" s="276"/>
    </row>
    <row r="9" spans="1:17" s="303" customFormat="1" ht="45.75" customHeight="1">
      <c r="A9" s="457" t="s">
        <v>205</v>
      </c>
      <c r="B9" s="383" t="s">
        <v>504</v>
      </c>
      <c r="C9" s="388">
        <f>+E9</f>
        <v>491758852</v>
      </c>
      <c r="D9" s="395"/>
      <c r="E9" s="445">
        <f>+'Bank Assets Analysis'!D12+'Bank Assets Analysis'!D13</f>
        <v>491758852</v>
      </c>
      <c r="F9" s="523"/>
      <c r="G9" s="523"/>
      <c r="H9" s="377"/>
      <c r="I9" s="442"/>
      <c r="J9" s="313"/>
      <c r="K9" s="313"/>
      <c r="L9" s="314"/>
      <c r="O9" s="276"/>
      <c r="P9" s="276"/>
    </row>
    <row r="10" spans="1:17" s="303" customFormat="1" ht="25.5">
      <c r="A10" s="457" t="s">
        <v>206</v>
      </c>
      <c r="B10" s="383" t="s">
        <v>469</v>
      </c>
      <c r="C10" s="388">
        <f>+E10</f>
        <v>0</v>
      </c>
      <c r="D10" s="395"/>
      <c r="E10" s="394">
        <f>+'Bank Assets Analysis'!F15</f>
        <v>0</v>
      </c>
      <c r="F10" s="523"/>
      <c r="G10" s="523"/>
      <c r="H10" s="377"/>
      <c r="I10" s="442"/>
      <c r="J10" s="313"/>
      <c r="K10" s="313"/>
      <c r="L10" s="314"/>
      <c r="O10" s="276"/>
      <c r="P10" s="276"/>
    </row>
    <row r="11" spans="1:17" s="303" customFormat="1" ht="51.75" customHeight="1">
      <c r="A11" s="457" t="s">
        <v>235</v>
      </c>
      <c r="B11" s="383" t="s">
        <v>460</v>
      </c>
      <c r="C11" s="388">
        <f>+'Bank Assets Analysis'!S23</f>
        <v>0</v>
      </c>
      <c r="D11" s="388">
        <f>+'Bank Assets Analysis'!T23</f>
        <v>0</v>
      </c>
      <c r="E11" s="444">
        <f>+'Bank Assets Analysis'!U23</f>
        <v>0</v>
      </c>
      <c r="F11" s="523"/>
      <c r="G11" s="523"/>
      <c r="H11" s="377"/>
      <c r="I11" s="442"/>
      <c r="J11" s="313"/>
      <c r="K11" s="313"/>
      <c r="L11" s="314"/>
      <c r="O11" s="276"/>
      <c r="P11" s="276"/>
    </row>
    <row r="12" spans="1:17" s="303" customFormat="1" ht="25.5">
      <c r="A12" s="457" t="s">
        <v>474</v>
      </c>
      <c r="B12" s="383" t="s">
        <v>45</v>
      </c>
      <c r="C12" s="388">
        <f>+'Bank Assets Analysis'!S22</f>
        <v>0</v>
      </c>
      <c r="D12" s="388">
        <f>+'Bank Assets Analysis'!T22</f>
        <v>0</v>
      </c>
      <c r="E12" s="444">
        <f>+'Bank Assets Analysis'!U22</f>
        <v>0</v>
      </c>
      <c r="F12" s="523"/>
      <c r="G12" s="523"/>
      <c r="H12" s="377"/>
      <c r="I12" s="442"/>
      <c r="J12" s="313"/>
      <c r="K12" s="313"/>
      <c r="L12" s="314"/>
      <c r="O12" s="276"/>
      <c r="P12" s="276"/>
    </row>
    <row r="13" spans="1:17" s="472" customFormat="1" ht="18.75" customHeight="1">
      <c r="A13" s="457" t="s">
        <v>475</v>
      </c>
      <c r="B13" s="464" t="s">
        <v>526</v>
      </c>
      <c r="C13" s="388">
        <f>+D13</f>
        <v>0</v>
      </c>
      <c r="D13" s="463"/>
      <c r="E13" s="444"/>
      <c r="F13" s="524"/>
      <c r="G13" s="527" t="s">
        <v>546</v>
      </c>
      <c r="H13" s="526"/>
      <c r="I13" s="526"/>
      <c r="J13" s="526"/>
      <c r="K13" s="526"/>
      <c r="L13" s="526"/>
      <c r="M13" s="526"/>
      <c r="N13" s="526"/>
      <c r="O13" s="526"/>
      <c r="P13" s="526"/>
      <c r="Q13" s="526"/>
    </row>
    <row r="14" spans="1:17" s="472" customFormat="1" ht="18.75" customHeight="1">
      <c r="A14" s="457" t="s">
        <v>527</v>
      </c>
      <c r="B14" s="464" t="s">
        <v>528</v>
      </c>
      <c r="C14" s="388">
        <f>+'Bank Assets Analysis'!S45</f>
        <v>0</v>
      </c>
      <c r="D14" s="388">
        <f>+'Bank Assets Analysis'!T45</f>
        <v>0</v>
      </c>
      <c r="E14" s="388">
        <f>+'Bank Assets Analysis'!U45</f>
        <v>0</v>
      </c>
      <c r="F14" s="524"/>
      <c r="G14" s="537"/>
      <c r="H14" s="537"/>
      <c r="I14" s="537"/>
      <c r="J14" s="537"/>
      <c r="K14" s="537"/>
      <c r="L14" s="537"/>
      <c r="M14" s="537"/>
      <c r="N14" s="537"/>
      <c r="O14" s="537"/>
      <c r="P14" s="537"/>
      <c r="Q14" s="537"/>
    </row>
    <row r="15" spans="1:17" s="472" customFormat="1" ht="19.5" customHeight="1">
      <c r="A15" s="457" t="s">
        <v>529</v>
      </c>
      <c r="B15" s="465" t="s">
        <v>457</v>
      </c>
      <c r="C15" s="346">
        <f>SUM(C6:C13)-'Bank Liabilities Analysis'!U25-C14</f>
        <v>1892965686</v>
      </c>
      <c r="D15" s="346">
        <f>SUM(D6:D13)-D14</f>
        <v>990102484</v>
      </c>
      <c r="E15" s="346">
        <f>SUM(E6:E13)-'Bank Liabilities Analysis'!U25-E14</f>
        <v>902863202</v>
      </c>
      <c r="F15" s="524"/>
      <c r="G15" s="524"/>
      <c r="H15" s="468"/>
      <c r="I15" s="469"/>
      <c r="J15" s="470"/>
      <c r="K15" s="470"/>
      <c r="L15" s="471"/>
    </row>
    <row r="16" spans="1:17" ht="13.5" customHeight="1">
      <c r="A16" s="446"/>
      <c r="B16" s="382" t="s">
        <v>476</v>
      </c>
      <c r="C16" s="389"/>
      <c r="D16" s="390"/>
      <c r="E16" s="447"/>
      <c r="F16" s="377"/>
      <c r="G16" s="377"/>
      <c r="H16" s="376"/>
      <c r="I16" s="376"/>
      <c r="J16" s="313"/>
      <c r="K16" s="313"/>
      <c r="M16" s="315"/>
      <c r="N16" s="316"/>
    </row>
    <row r="17" spans="1:16" s="303" customFormat="1" ht="24.75" customHeight="1">
      <c r="A17" s="26" t="s">
        <v>352</v>
      </c>
      <c r="B17" s="384" t="s">
        <v>461</v>
      </c>
      <c r="C17" s="391">
        <f>IFERROR((+C18/C19),0)</f>
        <v>0.14977823182579911</v>
      </c>
      <c r="D17" s="392">
        <f>IFERROR((+D18/D19),0)</f>
        <v>0.12654221653420922</v>
      </c>
      <c r="E17" s="391">
        <f>IFERROR((+E18/E19),0)</f>
        <v>0.18754283115681197</v>
      </c>
      <c r="F17" s="377">
        <f>+(('Bank Liabilities Analysis'!C35+'Bank Liabilities Analysis'!E35+'Bank Liabilities Analysis'!G35-'Bank Liabilities Analysis'!C21-'Bank Liabilities Analysis'!E21-'Bank Liabilities Analysis'!G21)-(IF(F4&lt;0,F4,0)))</f>
        <v>-80970337</v>
      </c>
      <c r="G17" s="377">
        <f>+(('Bank Liabilities Analysis (нац)'!C36+'Bank Liabilities Analysis (нац)'!D36+'Bank Liabilities Analysis (нац)'!E36--'Bank Liabilities Analysis (нац)'!C22-'Bank Liabilities Analysis (нац)'!D22-'Bank Liabilities Analysis (нац)'!E22)-(IF(G4&lt;0,G4,0)))</f>
        <v>69467399</v>
      </c>
      <c r="H17" s="376">
        <f>+(('Bank Liabilities Analysis'!D35+'Bank Liabilities Analysis'!F35+'Bank Liabilities Analysis'!H35-'Bank Liabilities Analysis'!D21-'Bank Liabilities Analysis'!F21-'Bank Liabilities Analysis'!H21)-(IF(H4&lt;0,H4,0)))</f>
        <v>-11502938</v>
      </c>
      <c r="I17" s="442"/>
      <c r="J17" s="313"/>
      <c r="K17" s="369"/>
      <c r="L17" s="314"/>
      <c r="O17" s="276"/>
      <c r="P17" s="276"/>
    </row>
    <row r="18" spans="1:16" s="303" customFormat="1" ht="15" customHeight="1">
      <c r="A18" s="40" t="s">
        <v>477</v>
      </c>
      <c r="B18" s="385" t="s">
        <v>48</v>
      </c>
      <c r="C18" s="299">
        <f>+C15</f>
        <v>1892965686</v>
      </c>
      <c r="D18" s="299">
        <f>+D15</f>
        <v>990102484</v>
      </c>
      <c r="E18" s="299">
        <f>+E15</f>
        <v>902863202</v>
      </c>
      <c r="F18" s="377"/>
      <c r="G18" s="377"/>
      <c r="H18" s="377"/>
      <c r="I18" s="378"/>
      <c r="J18" s="313"/>
      <c r="K18" s="313"/>
      <c r="L18" s="314"/>
      <c r="O18" s="276"/>
      <c r="P18" s="276"/>
    </row>
    <row r="19" spans="1:16" s="303" customFormat="1" ht="15" customHeight="1">
      <c r="A19" s="40" t="s">
        <v>478</v>
      </c>
      <c r="B19" s="385" t="s">
        <v>462</v>
      </c>
      <c r="C19" s="299">
        <f>+Balance!C45</f>
        <v>12638456623</v>
      </c>
      <c r="D19" s="299">
        <f>+Balance!D45</f>
        <v>7824285927</v>
      </c>
      <c r="E19" s="299">
        <f>+Balance!E45</f>
        <v>4814170696</v>
      </c>
      <c r="F19" s="377"/>
      <c r="G19" s="377"/>
      <c r="H19" s="376"/>
      <c r="I19" s="378"/>
      <c r="J19" s="313"/>
      <c r="K19" s="313"/>
      <c r="L19" s="314"/>
      <c r="O19" s="276"/>
      <c r="P19" s="276"/>
    </row>
    <row r="20" spans="1:16" s="303" customFormat="1" ht="24.75" customHeight="1">
      <c r="A20" s="26" t="s">
        <v>213</v>
      </c>
      <c r="B20" s="384" t="s">
        <v>463</v>
      </c>
      <c r="C20" s="391">
        <f>IFERROR((+C21/C22),0)</f>
        <v>0.27471558204902929</v>
      </c>
      <c r="D20" s="392">
        <f>IFERROR((+D21/D22),0)</f>
        <v>0.22038272110885063</v>
      </c>
      <c r="E20" s="391">
        <f>IFERROR((+E21/E22),0)</f>
        <v>0.3765086449733035</v>
      </c>
      <c r="F20" s="377">
        <f>+(('Bank Liabilities Analysis'!C38+'Bank Liabilities Analysis'!E38+'Bank Liabilities Analysis'!G38-'Bank Liabilities Analysis'!C24-'Bank Liabilities Analysis'!E24-'Bank Liabilities Analysis'!G24)-(IF('Liquidity Analysis'!G52&lt;0,'Liquidity Analysis'!G52,0)))</f>
        <v>-29414180</v>
      </c>
      <c r="G20" s="377">
        <f>+(('Bank Liabilities Analysis (нац)'!C39+'Bank Liabilities Analysis (нац)'!D39+'Bank Liabilities Analysis (нац)'!E39--'Bank Liabilities Analysis (нац)'!C25-'Bank Liabilities Analysis (нац)'!D25-'Bank Liabilities Analysis (нац)'!E25)-(IF('Liquidity Analysis'!H52&lt;0,'Liquidity Analysis'!H52,0)))</f>
        <v>81970295</v>
      </c>
      <c r="H20" s="376">
        <f>+(('Bank Liabilities Analysis'!D38+'Bank Liabilities Analysis'!F38+'Bank Liabilities Analysis'!H38-'Bank Liabilities Analysis'!D24-'Bank Liabilities Analysis'!F24-'Bank Liabilities Analysis'!H24)-(IF('Liquidity Analysis'!I52&lt;0,'Liquidity Analysis'!I52,0)))</f>
        <v>-94489497</v>
      </c>
      <c r="I20" s="442"/>
      <c r="J20" s="313"/>
      <c r="K20" s="369"/>
      <c r="L20" s="314"/>
      <c r="O20" s="276"/>
      <c r="P20" s="276"/>
    </row>
    <row r="21" spans="1:16" s="303" customFormat="1" ht="15" customHeight="1">
      <c r="A21" s="40" t="s">
        <v>479</v>
      </c>
      <c r="B21" s="385" t="s">
        <v>48</v>
      </c>
      <c r="C21" s="299">
        <f>+C15</f>
        <v>1892965686</v>
      </c>
      <c r="D21" s="299">
        <f>+D15</f>
        <v>990102484</v>
      </c>
      <c r="E21" s="299">
        <f>+E15</f>
        <v>902863202</v>
      </c>
      <c r="F21" s="377"/>
      <c r="G21" s="377"/>
      <c r="H21" s="377"/>
      <c r="I21" s="378"/>
      <c r="J21" s="313"/>
      <c r="K21" s="313"/>
      <c r="L21" s="314"/>
      <c r="O21" s="276"/>
      <c r="P21" s="276"/>
    </row>
    <row r="22" spans="1:16" s="303" customFormat="1" ht="15" customHeight="1">
      <c r="A22" s="40" t="s">
        <v>480</v>
      </c>
      <c r="B22" s="385" t="s">
        <v>464</v>
      </c>
      <c r="C22" s="299">
        <f>+'Bank Liabilities Analysis'!C39+'Bank Liabilities Analysis'!E39+'Bank Liabilities Analysis'!G39+'Bank Liabilities Analysis'!I39+'Bank Liabilities Analysis'!K39+'Bank Liabilities Analysis'!M39</f>
        <v>6890638208</v>
      </c>
      <c r="D22" s="299">
        <f>+C22-E22</f>
        <v>4492650236</v>
      </c>
      <c r="E22" s="299">
        <f>+'Bank Liabilities Analysis'!D39+'Bank Liabilities Analysis'!F39+'Bank Liabilities Analysis'!H39+'Bank Liabilities Analysis'!J39+'Bank Liabilities Analysis'!L39+'Bank Liabilities Analysis'!N39</f>
        <v>2397987972</v>
      </c>
      <c r="F22" s="377"/>
      <c r="G22" s="377"/>
      <c r="H22" s="376"/>
      <c r="I22" s="378"/>
      <c r="J22" s="313"/>
      <c r="K22" s="313"/>
      <c r="L22" s="314"/>
      <c r="O22" s="276"/>
      <c r="P22" s="276"/>
    </row>
    <row r="23" spans="1:16" s="303" customFormat="1" ht="28.5" customHeight="1">
      <c r="A23" s="26" t="s">
        <v>481</v>
      </c>
      <c r="B23" s="386" t="s">
        <v>530</v>
      </c>
      <c r="C23" s="391">
        <f>IFERROR((+C24/C25),0)</f>
        <v>1.1086379749329072</v>
      </c>
      <c r="D23" s="392">
        <f>IFERROR((+D24/D25),0)</f>
        <v>1.1563961389563551</v>
      </c>
      <c r="E23" s="391">
        <f>IFERROR((+E24/E25),0)</f>
        <v>1.0606035851512252</v>
      </c>
      <c r="F23" s="377"/>
      <c r="G23" s="377"/>
      <c r="H23" s="376"/>
      <c r="I23" s="378"/>
      <c r="J23" s="313"/>
      <c r="K23" s="313"/>
      <c r="L23" s="314"/>
      <c r="O23" s="276"/>
      <c r="P23" s="276"/>
    </row>
    <row r="24" spans="1:16" s="303" customFormat="1" ht="19.5" customHeight="1">
      <c r="A24" s="40" t="s">
        <v>483</v>
      </c>
      <c r="B24" s="385" t="s">
        <v>48</v>
      </c>
      <c r="C24" s="299">
        <f>+C15</f>
        <v>1892965686</v>
      </c>
      <c r="D24" s="299">
        <f>+D15</f>
        <v>990102484</v>
      </c>
      <c r="E24" s="299">
        <f>+E15</f>
        <v>902863202</v>
      </c>
      <c r="F24" s="525"/>
      <c r="G24" s="525"/>
      <c r="H24" s="320"/>
      <c r="I24" s="321"/>
      <c r="J24" s="313"/>
      <c r="K24" s="313"/>
      <c r="L24" s="314"/>
      <c r="O24" s="276"/>
      <c r="P24" s="276"/>
    </row>
    <row r="25" spans="1:16" s="303" customFormat="1" ht="18.75" customHeight="1">
      <c r="A25" s="40" t="s">
        <v>482</v>
      </c>
      <c r="B25" s="385" t="s">
        <v>49</v>
      </c>
      <c r="C25" s="299">
        <f>+'Bank Assets Analysis'!X64</f>
        <v>1707469641.8499999</v>
      </c>
      <c r="D25" s="299">
        <f>+'Bank Assets Analysis (нац)'!P57</f>
        <v>856196635.95000005</v>
      </c>
      <c r="E25" s="299">
        <f>+'Bank Assets Analysis'!Z64</f>
        <v>851273005.89999998</v>
      </c>
      <c r="F25" s="525"/>
      <c r="G25" s="525"/>
      <c r="H25" s="320"/>
      <c r="I25" s="321"/>
      <c r="J25" s="313"/>
      <c r="K25" s="313"/>
      <c r="L25" s="314"/>
      <c r="O25" s="276"/>
      <c r="P25" s="276"/>
    </row>
    <row r="26" spans="1:16" s="303" customFormat="1" ht="15" customHeight="1">
      <c r="A26" s="40"/>
      <c r="B26" s="385" t="s">
        <v>470</v>
      </c>
      <c r="C26" s="307">
        <f>+'Bank Assets Analysis'!X66</f>
        <v>1946270692.3499999</v>
      </c>
      <c r="D26" s="361">
        <f>+'Bank Assets Analysis (нац)'!P59</f>
        <v>982772327.95000005</v>
      </c>
      <c r="E26" s="307">
        <f>+'Bank Assets Analysis'!Z66</f>
        <v>963498364.39999998</v>
      </c>
      <c r="F26" s="525"/>
      <c r="G26" s="525"/>
      <c r="H26" s="320"/>
      <c r="I26" s="321"/>
      <c r="J26" s="313"/>
      <c r="K26" s="313"/>
      <c r="L26" s="314"/>
      <c r="O26" s="276"/>
      <c r="P26" s="276"/>
    </row>
    <row r="27" spans="1:16" s="303" customFormat="1" ht="15" customHeight="1">
      <c r="A27" s="27"/>
      <c r="B27" s="360" t="s">
        <v>471</v>
      </c>
      <c r="C27" s="307">
        <f>+'Bank Assets Analysis'!X69</f>
        <v>238801050.5</v>
      </c>
      <c r="D27" s="361">
        <f>+'Bank Assets Analysis (нац)'!P61</f>
        <v>126575692</v>
      </c>
      <c r="E27" s="307">
        <f>+'Bank Assets Analysis'!Z69</f>
        <v>112225358.5</v>
      </c>
      <c r="F27" s="525"/>
      <c r="G27" s="525"/>
      <c r="H27" s="320"/>
      <c r="I27" s="321"/>
      <c r="J27" s="313"/>
      <c r="K27" s="313"/>
      <c r="L27" s="314"/>
      <c r="O27" s="276"/>
      <c r="P27" s="276"/>
    </row>
    <row r="28" spans="1:16" ht="15" customHeight="1">
      <c r="A28" s="26" t="s">
        <v>484</v>
      </c>
      <c r="B28" s="41" t="s">
        <v>52</v>
      </c>
      <c r="C28" s="199">
        <f>IFERROR((C29/C34),0)</f>
        <v>1.0801928482327652</v>
      </c>
      <c r="D28" s="339">
        <f>IFERROR((D29/D34),0)</f>
        <v>1.0178284812548508</v>
      </c>
      <c r="E28" s="199">
        <f>IFERROR((E29/E34),0)</f>
        <v>1.1818679730111574</v>
      </c>
      <c r="I28" s="357"/>
      <c r="J28" s="313"/>
      <c r="K28" s="313"/>
    </row>
    <row r="29" spans="1:16" ht="15" customHeight="1">
      <c r="A29" s="26" t="s">
        <v>485</v>
      </c>
      <c r="B29" s="41" t="s">
        <v>51</v>
      </c>
      <c r="C29" s="194">
        <f>SUM(C30:C33)</f>
        <v>7815009877.4000006</v>
      </c>
      <c r="D29" s="340">
        <f>SUM(D30:D33)</f>
        <v>4564246928.8000002</v>
      </c>
      <c r="E29" s="194">
        <f>SUM(E30:E33)</f>
        <v>3250762948.5999999</v>
      </c>
      <c r="I29" s="357"/>
      <c r="J29" s="313"/>
      <c r="K29" s="313"/>
    </row>
    <row r="30" spans="1:16" ht="15" customHeight="1">
      <c r="A30" s="40" t="s">
        <v>531</v>
      </c>
      <c r="B30" s="136" t="s">
        <v>401</v>
      </c>
      <c r="C30" s="195">
        <f>Balance!C77</f>
        <v>1673505943</v>
      </c>
      <c r="D30" s="195">
        <f>Balance!D77</f>
        <v>1673505943</v>
      </c>
      <c r="E30" s="195">
        <f>Balance!E77</f>
        <v>0</v>
      </c>
      <c r="I30" s="357"/>
      <c r="J30" s="313"/>
      <c r="K30" s="313"/>
    </row>
    <row r="31" spans="1:16" ht="15" customHeight="1">
      <c r="A31" s="45" t="s">
        <v>532</v>
      </c>
      <c r="B31" s="138" t="s">
        <v>353</v>
      </c>
      <c r="C31" s="195">
        <f>'Bank Liabilities Analysis'!O39+'Bank Liabilities Analysis'!Q39</f>
        <v>4074312472</v>
      </c>
      <c r="D31" s="341">
        <f>+'Bank Liabilities Analysis (нац)'!I40+'Bank Liabilities Analysis (нац)'!J40</f>
        <v>1542945915</v>
      </c>
      <c r="E31" s="317">
        <f>'Bank Liabilities Analysis'!P39+'Bank Liabilities Analysis'!R39</f>
        <v>2531366557</v>
      </c>
      <c r="I31" s="357"/>
      <c r="J31" s="313"/>
      <c r="K31" s="313"/>
    </row>
    <row r="32" spans="1:16" ht="15" customHeight="1">
      <c r="A32" s="44" t="s">
        <v>533</v>
      </c>
      <c r="B32" s="42" t="s">
        <v>354</v>
      </c>
      <c r="C32" s="195">
        <f>+('Bank Liabilities Analysis'!C39)*0.3</f>
        <v>674512656.60000002</v>
      </c>
      <c r="D32" s="341">
        <f>+('Bank Liabilities Analysis (нац)'!C40)*0.3</f>
        <v>531322440</v>
      </c>
      <c r="E32" s="195">
        <f>+('Bank Liabilities Analysis'!D39)*0.3</f>
        <v>143190216.59999999</v>
      </c>
      <c r="I32" s="357"/>
      <c r="J32" s="313"/>
      <c r="K32" s="313"/>
    </row>
    <row r="33" spans="1:11" ht="15" customHeight="1">
      <c r="A33" s="44" t="s">
        <v>534</v>
      </c>
      <c r="B33" s="42" t="s">
        <v>355</v>
      </c>
      <c r="C33" s="195">
        <f>+('Bank Liabilities Analysis'!E39+'Bank Liabilities Analysis'!G39+'Bank Liabilities Analysis'!I39+'Bank Liabilities Analysis'!K39+'Bank Liabilities Analysis'!M39)*0.3</f>
        <v>1392678805.8</v>
      </c>
      <c r="D33" s="341">
        <f>+('Bank Liabilities Analysis (нац)'!D40+'Bank Liabilities Analysis (нац)'!E40+'Bank Liabilities Analysis (нац)'!F40+'Bank Liabilities Analysis (нац)'!G40+'Bank Liabilities Analysis (нац)'!H40)*0.3</f>
        <v>816472630.79999995</v>
      </c>
      <c r="E33" s="195">
        <f>+('Bank Liabilities Analysis'!F39+'Bank Liabilities Analysis'!H39+'Bank Liabilities Analysis'!J39+'Bank Liabilities Analysis'!L39+'Bank Liabilities Analysis'!N39)*0.3</f>
        <v>576206175</v>
      </c>
      <c r="I33" s="357"/>
      <c r="J33" s="313"/>
      <c r="K33" s="313"/>
    </row>
    <row r="34" spans="1:11" ht="15" customHeight="1">
      <c r="A34" s="26" t="s">
        <v>486</v>
      </c>
      <c r="B34" s="41" t="s">
        <v>50</v>
      </c>
      <c r="C34" s="196">
        <f>SUM(C35:C40)</f>
        <v>7234828382.8999996</v>
      </c>
      <c r="D34" s="342">
        <f>SUM(D35:D40)</f>
        <v>4484298693.6000004</v>
      </c>
      <c r="E34" s="196">
        <f>SUM(E35:E40)</f>
        <v>2750529689.3000002</v>
      </c>
      <c r="I34" s="357"/>
      <c r="J34" s="313"/>
      <c r="K34" s="313"/>
    </row>
    <row r="35" spans="1:11" ht="15" customHeight="1">
      <c r="A35" s="40" t="s">
        <v>487</v>
      </c>
      <c r="B35" s="43" t="s">
        <v>356</v>
      </c>
      <c r="C35" s="196">
        <f>+'Bank Assets Analysis'!O46-'Bank Assets Analysis'!O38+'Bank Assets Analysis'!Q46-'Bank Assets Analysis'!Q38</f>
        <v>4765291245</v>
      </c>
      <c r="D35" s="342">
        <f>+C35-E35</f>
        <v>2710323587</v>
      </c>
      <c r="E35" s="353">
        <f>+'Bank Assets Analysis'!P46-'Bank Assets Analysis'!P41-'Bank Assets Analysis'!P38+'Bank Assets Analysis'!R46-'Bank Assets Analysis'!R41-'Bank Assets Analysis'!R38</f>
        <v>2054967658</v>
      </c>
      <c r="F35" s="358"/>
      <c r="I35" s="357"/>
      <c r="J35" s="313"/>
      <c r="K35" s="313"/>
    </row>
    <row r="36" spans="1:11" ht="15" customHeight="1">
      <c r="A36" s="45" t="s">
        <v>488</v>
      </c>
      <c r="B36" s="39" t="s">
        <v>152</v>
      </c>
      <c r="C36" s="195">
        <f>+'Bank Assets Analysis'!S38</f>
        <v>812267548</v>
      </c>
      <c r="D36" s="341">
        <f>+'Bank Assets Analysis'!T38</f>
        <v>812267548</v>
      </c>
      <c r="E36" s="195">
        <f>+'Bank Assets Analysis'!U38</f>
        <v>0</v>
      </c>
      <c r="I36" s="357"/>
      <c r="J36" s="313"/>
      <c r="K36" s="313"/>
    </row>
    <row r="37" spans="1:11" ht="26.25" customHeight="1">
      <c r="A37" s="44" t="s">
        <v>489</v>
      </c>
      <c r="B37" s="39" t="s">
        <v>544</v>
      </c>
      <c r="C37" s="195">
        <f>+'Bank Assets Analysis'!C29+'Bank Assets Analysis'!C30+'Bank Assets Analysis'!C31+'Bank Assets Analysis'!C33</f>
        <v>61329066</v>
      </c>
      <c r="D37" s="341">
        <f>+'Bank Assets Analysis (нац)'!C29+'Bank Assets Analysis (нац)'!C30+'Bank Assets Analysis (нац)'!C31+'Bank Assets Analysis (нац)'!C33</f>
        <v>39175117</v>
      </c>
      <c r="E37" s="195">
        <f>+'Bank Assets Analysis'!D29+'Bank Assets Analysis'!D30+'Bank Assets Analysis'!D31+'Bank Assets Analysis'!D33</f>
        <v>22153949</v>
      </c>
      <c r="I37" s="357"/>
      <c r="J37" s="313"/>
      <c r="K37" s="313"/>
    </row>
    <row r="38" spans="1:11" ht="26.25" customHeight="1">
      <c r="A38" s="44" t="s">
        <v>490</v>
      </c>
      <c r="B38" s="39" t="s">
        <v>545</v>
      </c>
      <c r="C38" s="190">
        <f>+D38+E38</f>
        <v>0</v>
      </c>
      <c r="D38" s="338">
        <v>0</v>
      </c>
      <c r="E38" s="5">
        <v>0</v>
      </c>
      <c r="I38" s="357"/>
      <c r="J38" s="313"/>
      <c r="K38" s="313"/>
    </row>
    <row r="39" spans="1:11" ht="25.5">
      <c r="A39" s="40" t="s">
        <v>535</v>
      </c>
      <c r="B39" s="39" t="s">
        <v>357</v>
      </c>
      <c r="C39" s="195">
        <f>(+'Bank Assets Analysis'!S46-'Bank Assets Analysis'!O46-'Bank Assets Analysis'!Q46-'Liquidity Analysis'!C57)*0.3</f>
        <v>1370952126.8999999</v>
      </c>
      <c r="D39" s="195">
        <f>('Bank Assets Analysis (нац)'!K46-'Bank Assets Analysis (нац)'!I46-'Bank Assets Analysis (нац)'!J46-'Liquidity Analysis'!D57)*0.3</f>
        <v>840118251.60000002</v>
      </c>
      <c r="E39" s="195">
        <f>('Bank Assets Analysis'!U46-'Bank Assets Analysis'!P46-'Bank Assets Analysis'!R46-'Liquidity Analysis'!E57)*0.3</f>
        <v>530833875.29999995</v>
      </c>
      <c r="H39" s="358"/>
      <c r="I39" s="357"/>
      <c r="J39" s="313"/>
      <c r="K39" s="313"/>
    </row>
    <row r="40" spans="1:11" ht="15" customHeight="1">
      <c r="A40" s="46" t="s">
        <v>536</v>
      </c>
      <c r="B40" s="137" t="s">
        <v>402</v>
      </c>
      <c r="C40" s="195">
        <f>+ROUND(SUM(Commitments!C4-Commitments!C5+Commitments!C7-Commitments!C8+Commitments!C10-'Bank Liabilities Analysis'!S19)*15%,0)</f>
        <v>224988397</v>
      </c>
      <c r="D40" s="195">
        <f>+ROUND(SUM(Commitments!D4-Commitments!D5+Commitments!D7-Commitments!D8+Commitments!D10-'Bank Liabilities Analysis'!T19)*15%,0)</f>
        <v>82414190</v>
      </c>
      <c r="E40" s="195">
        <f>+ROUND(SUM(Commitments!E4-Commitments!E5+Commitments!E7-Commitments!E8+Commitments!E10-'Bank Liabilities Analysis'!U19)*15%,0)</f>
        <v>142574207</v>
      </c>
      <c r="F40" s="358"/>
      <c r="G40" s="358"/>
      <c r="H40" s="358"/>
      <c r="I40" s="357"/>
      <c r="J40" s="313"/>
      <c r="K40" s="313"/>
    </row>
    <row r="41" spans="1:11">
      <c r="H41" s="358"/>
      <c r="I41" s="357"/>
      <c r="J41" s="313"/>
      <c r="K41" s="313"/>
    </row>
    <row r="42" spans="1:11">
      <c r="B42" s="296"/>
      <c r="H42" s="358"/>
      <c r="I42" s="357"/>
      <c r="J42" s="313"/>
      <c r="K42" s="313"/>
    </row>
    <row r="43" spans="1:11">
      <c r="B43" s="3" t="s">
        <v>4</v>
      </c>
      <c r="I43" s="357"/>
      <c r="J43" s="313"/>
      <c r="K43" s="313"/>
    </row>
    <row r="44" spans="1:11">
      <c r="B44" s="3"/>
      <c r="I44" s="357"/>
      <c r="J44" s="313"/>
      <c r="K44" s="313"/>
    </row>
    <row r="45" spans="1:11">
      <c r="B45" s="3" t="s">
        <v>5</v>
      </c>
      <c r="I45" s="357"/>
      <c r="J45" s="313"/>
      <c r="K45" s="313"/>
    </row>
    <row r="46" spans="1:11">
      <c r="B46" s="3"/>
      <c r="I46" s="357"/>
      <c r="J46" s="313"/>
      <c r="K46" s="313"/>
    </row>
    <row r="47" spans="1:11">
      <c r="B47" s="3"/>
      <c r="I47" s="357"/>
      <c r="J47" s="313"/>
      <c r="K47" s="313"/>
    </row>
    <row r="48" spans="1:11">
      <c r="B48" s="2"/>
      <c r="I48" s="357"/>
      <c r="J48" s="313"/>
      <c r="K48" s="313"/>
    </row>
    <row r="49" spans="1:11" ht="18.75">
      <c r="A49" s="205" t="s">
        <v>79</v>
      </c>
      <c r="B49" s="205" t="s">
        <v>432</v>
      </c>
      <c r="C49" s="205" t="s">
        <v>317</v>
      </c>
      <c r="D49" s="336" t="s">
        <v>443</v>
      </c>
      <c r="E49" s="205" t="s">
        <v>444</v>
      </c>
      <c r="G49" s="365"/>
      <c r="H49" s="365"/>
      <c r="I49" s="363"/>
      <c r="J49" s="363"/>
      <c r="K49" s="313"/>
    </row>
    <row r="50" spans="1:11">
      <c r="A50" s="379" t="s">
        <v>239</v>
      </c>
      <c r="B50" s="366" t="s">
        <v>472</v>
      </c>
      <c r="C50" s="367">
        <f>+'Bank Assets Analysis'!S7+'Investment Securities'!B40</f>
        <v>275814140</v>
      </c>
      <c r="D50" s="368">
        <f>+'Bank Assets Analysis'!T7+'Investment Securities'!C40</f>
        <v>94523351</v>
      </c>
      <c r="E50" s="367">
        <f>+'Bank Assets Analysis'!U7+'Investment Securities'!D40</f>
        <v>181290789</v>
      </c>
      <c r="G50" s="370"/>
      <c r="H50" s="370"/>
      <c r="I50" s="370"/>
      <c r="J50" s="370"/>
      <c r="K50" s="313"/>
    </row>
    <row r="51" spans="1:11">
      <c r="A51" s="38" t="s">
        <v>240</v>
      </c>
      <c r="B51" s="366" t="s">
        <v>251</v>
      </c>
      <c r="C51" s="367">
        <f>+'Bank Assets Analysis'!S9+'Bank Assets Analysis'!S10</f>
        <v>1238811513</v>
      </c>
      <c r="D51" s="368">
        <f>+'Bank Assets Analysis'!T9+'Bank Assets Analysis'!T10</f>
        <v>988225440</v>
      </c>
      <c r="E51" s="367">
        <f>+'Bank Assets Analysis'!U9+'Bank Assets Analysis'!U10</f>
        <v>250586073</v>
      </c>
      <c r="G51" s="370"/>
      <c r="H51" s="370"/>
      <c r="I51" s="370"/>
      <c r="J51" s="370"/>
      <c r="K51" s="313"/>
    </row>
    <row r="52" spans="1:11">
      <c r="A52" s="38" t="s">
        <v>253</v>
      </c>
      <c r="B52" s="366" t="s">
        <v>132</v>
      </c>
      <c r="C52" s="367">
        <f>'Bank Assets Analysis'!C12+'Bank Assets Analysis'!C13+'Bank Assets Analysis'!C14+'Bank Assets Analysis'!C17+'Bank Assets Analysis'!C18+'Bank Assets Analysis'!E18+'Bank Assets Analysis'!G18</f>
        <v>558326754</v>
      </c>
      <c r="D52" s="368">
        <f>+C52-E52</f>
        <v>446829</v>
      </c>
      <c r="E52" s="367">
        <f>'Bank Assets Analysis'!D12+'Bank Assets Analysis'!D13+'Bank Assets Analysis'!D17+'Bank Assets Analysis'!D18+'Bank Assets Analysis'!F18+'Bank Assets Analysis'!H18</f>
        <v>557879925</v>
      </c>
      <c r="G52" s="370"/>
      <c r="H52" s="370"/>
      <c r="I52" s="370"/>
      <c r="J52" s="370"/>
      <c r="K52" s="313"/>
    </row>
    <row r="53" spans="1:11">
      <c r="A53" s="38" t="s">
        <v>294</v>
      </c>
      <c r="B53" s="366" t="s">
        <v>348</v>
      </c>
      <c r="C53" s="367">
        <f>IF(F53&gt;0,F53,0)</f>
        <v>0</v>
      </c>
      <c r="D53" s="368">
        <f>IF(G53&gt;0,G53,0)</f>
        <v>0</v>
      </c>
      <c r="E53" s="367">
        <f>IF(H53&gt;0,H53,0)</f>
        <v>0</v>
      </c>
      <c r="F53" s="371">
        <f>(('Bank Assets Analysis'!E12+'Bank Assets Analysis'!E14+'Bank Assets Analysis'!G12+'Bank Assets Analysis'!C16+'Bank Assets Analysis'!E16+'Bank Assets Analysis'!G16)-'Bank Liabilities Analysis'!C26-'Bank Liabilities Analysis'!E26-'Bank Liabilities Analysis'!G26)</f>
        <v>-181404769</v>
      </c>
      <c r="G53" s="371">
        <f>+('Bank Assets Analysis'!E12-'Bank Assets Analysis'!F12+'Bank Assets Analysis'!G12-'Bank Assets Analysis'!H12+'Bank Assets Analysis'!E14-'Bank Assets Analysis'!F14+'Bank Assets Analysis'!C16-'Bank Assets Analysis'!D16+'Bank Assets Analysis'!E16-'Bank Assets Analysis'!F16+'Bank Assets Analysis'!G16-'Bank Assets Analysis'!H16)-('Bank Liabilities Analysis'!C26-'Bank Liabilities Analysis'!D26+'Bank Liabilities Analysis'!E26-'Bank Liabilities Analysis'!F26+'Bank Liabilities Analysis'!G26-'Bank Liabilities Analysis'!H26)</f>
        <v>-15197380</v>
      </c>
      <c r="H53" s="371">
        <f>(('Bank Assets Analysis'!F12+'Bank Assets Analysis'!F14+'Bank Assets Analysis'!H12+'Bank Assets Analysis'!D16+'Bank Assets Analysis'!F16+'Bank Assets Analysis'!H16)-'Bank Liabilities Analysis'!D26-'Bank Liabilities Analysis'!F26-'Bank Liabilities Analysis'!H26)</f>
        <v>-166207389</v>
      </c>
      <c r="J53" s="370"/>
      <c r="K53" s="313"/>
    </row>
    <row r="54" spans="1:11" ht="38.25">
      <c r="A54" s="38" t="s">
        <v>241</v>
      </c>
      <c r="B54" s="366" t="s">
        <v>24</v>
      </c>
      <c r="C54" s="367">
        <f>+'Investment Securities'!B19+'Investment Securities'!B20+'Investment Securities'!B21</f>
        <v>418105000</v>
      </c>
      <c r="D54" s="367">
        <f>+'Investment Securities'!C19+'Investment Securities'!C20+'Investment Securities'!C21</f>
        <v>418105000</v>
      </c>
      <c r="E54" s="367">
        <f>+'Investment Securities'!D19+'Investment Securities'!D20+'Investment Securities'!D21</f>
        <v>0</v>
      </c>
      <c r="G54" s="370"/>
      <c r="H54" s="370"/>
      <c r="I54" s="370"/>
      <c r="J54" s="370"/>
      <c r="K54" s="313"/>
    </row>
    <row r="55" spans="1:11">
      <c r="A55" s="379" t="s">
        <v>248</v>
      </c>
      <c r="B55" s="366" t="s">
        <v>349</v>
      </c>
      <c r="C55" s="437"/>
      <c r="D55" s="438"/>
      <c r="E55" s="437"/>
      <c r="G55" s="370"/>
      <c r="H55" s="370"/>
      <c r="I55" s="370"/>
      <c r="J55" s="370"/>
      <c r="K55" s="313"/>
    </row>
    <row r="56" spans="1:11">
      <c r="A56" s="379" t="s">
        <v>254</v>
      </c>
      <c r="B56" s="366" t="s">
        <v>350</v>
      </c>
      <c r="C56" s="437"/>
      <c r="D56" s="438"/>
      <c r="E56" s="437"/>
      <c r="G56" s="370"/>
      <c r="H56" s="370"/>
      <c r="I56" s="370"/>
      <c r="J56" s="370"/>
      <c r="K56" s="313"/>
    </row>
    <row r="57" spans="1:11">
      <c r="A57" s="381" t="s">
        <v>249</v>
      </c>
      <c r="B57" s="380" t="s">
        <v>351</v>
      </c>
      <c r="C57" s="194">
        <f>SUM(C50:C56)</f>
        <v>2491057407</v>
      </c>
      <c r="D57" s="317">
        <f>SUM(D50:D56)</f>
        <v>1501300620</v>
      </c>
      <c r="E57" s="194">
        <f>SUM(E50:E56)</f>
        <v>989756787</v>
      </c>
      <c r="G57" s="370"/>
      <c r="H57" s="370"/>
      <c r="I57" s="370"/>
      <c r="J57" s="371"/>
      <c r="K57" s="313"/>
    </row>
    <row r="58" spans="1:11" ht="18.75">
      <c r="B58" s="364"/>
      <c r="C58" s="365"/>
      <c r="D58" s="363"/>
      <c r="E58" s="363"/>
      <c r="F58" s="365"/>
      <c r="G58" s="365"/>
      <c r="H58" s="365"/>
      <c r="I58" s="363"/>
      <c r="J58" s="363"/>
      <c r="K58" s="313"/>
    </row>
    <row r="59" spans="1:11">
      <c r="I59" s="357"/>
      <c r="J59" s="313"/>
      <c r="K59" s="313"/>
    </row>
    <row r="60" spans="1:11">
      <c r="I60" s="357"/>
      <c r="J60" s="313"/>
      <c r="K60" s="313"/>
    </row>
    <row r="61" spans="1:11">
      <c r="I61" s="357"/>
      <c r="J61" s="313"/>
      <c r="K61" s="313"/>
    </row>
    <row r="62" spans="1:11">
      <c r="I62" s="357"/>
      <c r="J62" s="313"/>
      <c r="K62" s="313"/>
    </row>
    <row r="63" spans="1:11">
      <c r="I63" s="357"/>
      <c r="J63" s="313"/>
      <c r="K63" s="313"/>
    </row>
    <row r="64" spans="1:11">
      <c r="I64" s="357"/>
      <c r="J64" s="313"/>
      <c r="K64" s="313"/>
    </row>
    <row r="65" spans="9:11">
      <c r="I65" s="357"/>
      <c r="J65" s="313"/>
      <c r="K65" s="313"/>
    </row>
    <row r="66" spans="9:11">
      <c r="I66" s="357"/>
      <c r="J66" s="313"/>
      <c r="K66" s="313"/>
    </row>
    <row r="67" spans="9:11">
      <c r="I67" s="357"/>
      <c r="J67" s="313"/>
      <c r="K67" s="313"/>
    </row>
    <row r="68" spans="9:11">
      <c r="I68" s="357"/>
      <c r="J68" s="313"/>
      <c r="K68" s="313"/>
    </row>
    <row r="69" spans="9:11">
      <c r="I69" s="357"/>
      <c r="J69" s="313"/>
      <c r="K69" s="313"/>
    </row>
    <row r="70" spans="9:11">
      <c r="I70" s="357"/>
      <c r="J70" s="313"/>
      <c r="K70" s="313"/>
    </row>
    <row r="71" spans="9:11">
      <c r="I71" s="357"/>
      <c r="J71" s="313"/>
      <c r="K71" s="313"/>
    </row>
    <row r="72" spans="9:11">
      <c r="I72" s="357"/>
      <c r="J72" s="313"/>
      <c r="K72" s="313"/>
    </row>
    <row r="73" spans="9:11">
      <c r="I73" s="357"/>
      <c r="J73" s="313"/>
      <c r="K73" s="313"/>
    </row>
    <row r="74" spans="9:11">
      <c r="I74" s="357"/>
      <c r="J74" s="313"/>
      <c r="K74" s="313"/>
    </row>
  </sheetData>
  <sheetProtection algorithmName="SHA-512" hashValue="h2BqBrsBZ5+CGVH8S2m1SwsrKR34cOQXIQK979KAkEoHQkL5EoL0KffWrCwEAYJSP0HDTx/620YLpuXyGqbGbg==" saltValue="mqaKmatKeVQIYPIMrjMXVQ==" spinCount="100000" sheet="1" objects="1" scenarios="1"/>
  <mergeCells count="2">
    <mergeCell ref="C5:E5"/>
    <mergeCell ref="G14:Q14"/>
  </mergeCells>
  <phoneticPr fontId="15" type="noConversion"/>
  <conditionalFormatting sqref="C18:E27">
    <cfRule type="cellIs" dxfId="376" priority="14" stopIfTrue="1" operator="notBetween">
      <formula>TOTASS/4</formula>
      <formula>TOTASS*4</formula>
    </cfRule>
  </conditionalFormatting>
  <conditionalFormatting sqref="C37">
    <cfRule type="cellIs" dxfId="375" priority="7" operator="notEqual">
      <formula>$D$37+$E$37</formula>
    </cfRule>
  </conditionalFormatting>
  <conditionalFormatting sqref="C38">
    <cfRule type="cellIs" dxfId="374" priority="6" operator="notEqual">
      <formula>$D$38+$E$38</formula>
    </cfRule>
  </conditionalFormatting>
  <dataValidations xWindow="793" yWindow="476" count="5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6:E16" xr:uid="{00000000-0002-0000-0200-000000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9:D10" xr:uid="{00000000-0002-0000-0200-000001000000}">
      <formula1>-1E+22</formula1>
      <formula2>1E+22</formula2>
    </dataValidation>
    <dataValidation allowBlank="1" showErrorMessage="1" prompt="Введите самостоятельно рассчитанный коэффициент" sqref="C3:E3 A49:E49" xr:uid="{00000000-0002-0000-0200-000002000000}"/>
    <dataValidation type="whole" operator="greaterThanOrEqual" allowBlank="1" showErrorMessage="1" error="Введите как целое число." sqref="C54:E56" xr:uid="{00000000-0002-0000-0200-000003000000}">
      <formula1>0</formula1>
    </dataValidation>
    <dataValidation allowBlank="1" showErrorMessage="1" sqref="C17:E40" xr:uid="{00000000-0002-0000-0200-000004000000}"/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58" orientation="portrait" r:id="rId1"/>
  <headerFooter alignWithMargins="0"/>
  <ignoredErrors>
    <ignoredError sqref="D3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17">
    <pageSetUpPr fitToPage="1"/>
  </sheetPr>
  <dimension ref="A1:AA72"/>
  <sheetViews>
    <sheetView tabSelected="1" topLeftCell="A3" zoomScale="70" zoomScaleNormal="70" zoomScaleSheetLayoutView="55" workbookViewId="0">
      <pane xSplit="2" ySplit="3" topLeftCell="C24" activePane="bottomRight" state="frozen"/>
      <selection activeCell="C71" sqref="C71"/>
      <selection pane="topRight" activeCell="C71" sqref="C71"/>
      <selection pane="bottomLeft" activeCell="C71" sqref="C71"/>
      <selection pane="bottomRight" activeCell="S32" sqref="S32"/>
    </sheetView>
  </sheetViews>
  <sheetFormatPr defaultRowHeight="12.75"/>
  <cols>
    <col min="1" max="1" width="6.5703125" style="404" customWidth="1"/>
    <col min="2" max="2" width="78.5703125" style="298" customWidth="1"/>
    <col min="3" max="18" width="15.85546875" style="301" customWidth="1"/>
    <col min="19" max="21" width="18.28515625" style="301" customWidth="1"/>
    <col min="22" max="22" width="9" style="305" customWidth="1"/>
    <col min="23" max="23" width="18.7109375" style="300" customWidth="1"/>
    <col min="24" max="24" width="18.7109375" style="298" customWidth="1"/>
    <col min="25" max="25" width="18.7109375" style="300" customWidth="1"/>
    <col min="26" max="26" width="18.7109375" style="298" customWidth="1"/>
    <col min="27" max="16384" width="9.140625" style="301"/>
  </cols>
  <sheetData>
    <row r="1" spans="1:26" s="231" customFormat="1" ht="38.25" customHeight="1">
      <c r="A1" s="396" t="s">
        <v>126</v>
      </c>
      <c r="B1" s="396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550" t="s">
        <v>398</v>
      </c>
      <c r="Y1" s="550"/>
      <c r="Z1" s="550"/>
    </row>
    <row r="2" spans="1:26" ht="15.75">
      <c r="A2" s="400"/>
      <c r="B2" s="397" t="str">
        <f>Balance!B3</f>
        <v xml:space="preserve">АК "АЛОКАБАНК" </v>
      </c>
      <c r="C2" s="139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T2" s="176" t="str">
        <f>+Balance!B2</f>
        <v xml:space="preserve"> 31 Декабрь, 2021</v>
      </c>
      <c r="V2" s="301"/>
      <c r="W2" s="297"/>
      <c r="Y2" s="297"/>
      <c r="Z2" s="173" t="s">
        <v>7</v>
      </c>
    </row>
    <row r="3" spans="1:26" s="75" customFormat="1" ht="29.25" customHeight="1">
      <c r="A3" s="541" t="s">
        <v>79</v>
      </c>
      <c r="B3" s="541" t="s">
        <v>54</v>
      </c>
      <c r="C3" s="538" t="s">
        <v>167</v>
      </c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39"/>
      <c r="S3" s="544" t="s">
        <v>127</v>
      </c>
      <c r="T3" s="546" t="s">
        <v>82</v>
      </c>
      <c r="U3" s="547"/>
      <c r="V3" s="546" t="s">
        <v>542</v>
      </c>
      <c r="W3" s="551"/>
      <c r="X3" s="551"/>
      <c r="Y3" s="551"/>
      <c r="Z3" s="547"/>
    </row>
    <row r="4" spans="1:26" s="75" customFormat="1" ht="29.25" customHeight="1">
      <c r="A4" s="542"/>
      <c r="B4" s="542"/>
      <c r="C4" s="538" t="s">
        <v>128</v>
      </c>
      <c r="D4" s="539"/>
      <c r="E4" s="538" t="s">
        <v>440</v>
      </c>
      <c r="F4" s="539"/>
      <c r="G4" s="538" t="s">
        <v>441</v>
      </c>
      <c r="H4" s="539"/>
      <c r="I4" s="538" t="s">
        <v>344</v>
      </c>
      <c r="J4" s="539"/>
      <c r="K4" s="538" t="s">
        <v>345</v>
      </c>
      <c r="L4" s="539"/>
      <c r="M4" s="538" t="s">
        <v>412</v>
      </c>
      <c r="N4" s="539"/>
      <c r="O4" s="538" t="s">
        <v>413</v>
      </c>
      <c r="P4" s="539"/>
      <c r="Q4" s="538" t="s">
        <v>84</v>
      </c>
      <c r="R4" s="539"/>
      <c r="S4" s="545"/>
      <c r="T4" s="548"/>
      <c r="U4" s="549"/>
      <c r="V4" s="548"/>
      <c r="W4" s="552"/>
      <c r="X4" s="552"/>
      <c r="Y4" s="552"/>
      <c r="Z4" s="549"/>
    </row>
    <row r="5" spans="1:26" s="75" customFormat="1" ht="102.75" customHeight="1">
      <c r="A5" s="542"/>
      <c r="B5" s="542"/>
      <c r="C5" s="226" t="s">
        <v>317</v>
      </c>
      <c r="D5" s="226" t="s">
        <v>318</v>
      </c>
      <c r="E5" s="226" t="s">
        <v>317</v>
      </c>
      <c r="F5" s="226" t="s">
        <v>318</v>
      </c>
      <c r="G5" s="226" t="s">
        <v>317</v>
      </c>
      <c r="H5" s="226" t="s">
        <v>318</v>
      </c>
      <c r="I5" s="226" t="s">
        <v>317</v>
      </c>
      <c r="J5" s="226" t="s">
        <v>318</v>
      </c>
      <c r="K5" s="226" t="s">
        <v>317</v>
      </c>
      <c r="L5" s="226" t="s">
        <v>318</v>
      </c>
      <c r="M5" s="226" t="s">
        <v>317</v>
      </c>
      <c r="N5" s="226" t="s">
        <v>318</v>
      </c>
      <c r="O5" s="226" t="s">
        <v>317</v>
      </c>
      <c r="P5" s="226" t="s">
        <v>318</v>
      </c>
      <c r="Q5" s="226" t="s">
        <v>317</v>
      </c>
      <c r="R5" s="226" t="s">
        <v>318</v>
      </c>
      <c r="S5" s="545"/>
      <c r="T5" s="226" t="s">
        <v>237</v>
      </c>
      <c r="U5" s="226" t="s">
        <v>395</v>
      </c>
      <c r="V5" s="460" t="s">
        <v>33</v>
      </c>
      <c r="W5" s="460" t="s">
        <v>40</v>
      </c>
      <c r="X5" s="460" t="s">
        <v>496</v>
      </c>
      <c r="Y5" s="460" t="s">
        <v>451</v>
      </c>
      <c r="Z5" s="460" t="s">
        <v>497</v>
      </c>
    </row>
    <row r="6" spans="1:26" s="408" customFormat="1" ht="45" customHeight="1">
      <c r="A6" s="401"/>
      <c r="B6" s="267" t="s">
        <v>0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407"/>
      <c r="W6" s="306"/>
      <c r="X6" s="299"/>
      <c r="Y6" s="306"/>
      <c r="Z6" s="299"/>
    </row>
    <row r="7" spans="1:26" s="266" customFormat="1" ht="38.25" customHeight="1">
      <c r="A7" s="259" t="s">
        <v>80</v>
      </c>
      <c r="B7" s="260" t="s">
        <v>492</v>
      </c>
      <c r="C7" s="31">
        <v>275813889</v>
      </c>
      <c r="D7" s="31">
        <v>181290789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261">
        <f>+C7+E7+G7+I7+K7+M7+O7+Q7</f>
        <v>275813889</v>
      </c>
      <c r="T7" s="261">
        <f>+S7-U7</f>
        <v>94523100</v>
      </c>
      <c r="U7" s="261">
        <f>+D7+F7+H7+J7+L7+N7+P7+R7</f>
        <v>181290789</v>
      </c>
      <c r="V7" s="262">
        <v>1</v>
      </c>
      <c r="W7" s="263">
        <f>+S7-S8</f>
        <v>275813889</v>
      </c>
      <c r="X7" s="264">
        <f>+W7*V7</f>
        <v>275813889</v>
      </c>
      <c r="Y7" s="263">
        <f>+U7-U8</f>
        <v>181290789</v>
      </c>
      <c r="Z7" s="264">
        <f>+Y7*V7</f>
        <v>181290789</v>
      </c>
    </row>
    <row r="8" spans="1:26" s="266" customFormat="1" ht="38.25" customHeight="1">
      <c r="A8" s="259" t="s">
        <v>169</v>
      </c>
      <c r="B8" s="260" t="s">
        <v>493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261">
        <f t="shared" ref="S8:U8" si="0">+C8+E8+G8+I8+K8+M8+O8+Q8</f>
        <v>0</v>
      </c>
      <c r="T8" s="261">
        <f t="shared" ref="T8:T46" si="1">+S8-U8</f>
        <v>0</v>
      </c>
      <c r="U8" s="261">
        <f t="shared" si="0"/>
        <v>0</v>
      </c>
      <c r="V8" s="262"/>
      <c r="W8" s="362"/>
      <c r="X8" s="261"/>
      <c r="Y8" s="362"/>
      <c r="Z8" s="261"/>
    </row>
    <row r="9" spans="1:26" s="266" customFormat="1" ht="38.25" customHeight="1">
      <c r="A9" s="259" t="s">
        <v>130</v>
      </c>
      <c r="B9" s="260" t="s">
        <v>427</v>
      </c>
      <c r="C9" s="31">
        <v>1146165457</v>
      </c>
      <c r="D9" s="31">
        <v>250586073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261">
        <f t="shared" ref="S9:S46" si="2">+C9+E9+G9+I9+K9+M9+O9+Q9</f>
        <v>1146165457</v>
      </c>
      <c r="T9" s="261">
        <f t="shared" si="1"/>
        <v>895579384</v>
      </c>
      <c r="U9" s="261">
        <f t="shared" ref="U9:U46" si="3">+D9+F9+H9+J9+L9+N9+P9+R9</f>
        <v>250586073</v>
      </c>
      <c r="V9" s="262">
        <v>1</v>
      </c>
      <c r="W9" s="263">
        <f>S9</f>
        <v>1146165457</v>
      </c>
      <c r="X9" s="264">
        <f t="shared" ref="X9:X36" si="4">+W9*V9</f>
        <v>1146165457</v>
      </c>
      <c r="Y9" s="263">
        <f>+U9</f>
        <v>250586073</v>
      </c>
      <c r="Z9" s="264">
        <f>+Y9*V9</f>
        <v>250586073</v>
      </c>
    </row>
    <row r="10" spans="1:26" s="266" customFormat="1" ht="38.25" customHeight="1">
      <c r="A10" s="259" t="s">
        <v>191</v>
      </c>
      <c r="B10" s="260" t="s">
        <v>426</v>
      </c>
      <c r="C10" s="31">
        <v>92646056</v>
      </c>
      <c r="D10" s="31">
        <v>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261">
        <f t="shared" si="2"/>
        <v>92646056</v>
      </c>
      <c r="T10" s="261">
        <f t="shared" si="1"/>
        <v>92646056</v>
      </c>
      <c r="U10" s="261">
        <f t="shared" si="3"/>
        <v>0</v>
      </c>
      <c r="V10" s="262">
        <v>0</v>
      </c>
      <c r="W10" s="263"/>
      <c r="X10" s="261"/>
      <c r="Y10" s="263"/>
      <c r="Z10" s="263"/>
    </row>
    <row r="11" spans="1:26" s="266" customFormat="1" ht="38.25" customHeight="1">
      <c r="A11" s="259" t="s">
        <v>131</v>
      </c>
      <c r="B11" s="260" t="s">
        <v>132</v>
      </c>
      <c r="C11" s="299">
        <f>SUM(C12:C18)-C15</f>
        <v>563440061</v>
      </c>
      <c r="D11" s="299">
        <f t="shared" ref="D11:R11" si="5">SUM(D12:D18)-D15</f>
        <v>562106612</v>
      </c>
      <c r="E11" s="299">
        <f t="shared" si="5"/>
        <v>0</v>
      </c>
      <c r="F11" s="299">
        <f t="shared" si="5"/>
        <v>0</v>
      </c>
      <c r="G11" s="299">
        <f t="shared" si="5"/>
        <v>7911492</v>
      </c>
      <c r="H11" s="299">
        <f t="shared" si="5"/>
        <v>7911492</v>
      </c>
      <c r="I11" s="299">
        <f t="shared" si="5"/>
        <v>0</v>
      </c>
      <c r="J11" s="299">
        <f t="shared" si="5"/>
        <v>0</v>
      </c>
      <c r="K11" s="299">
        <f t="shared" si="5"/>
        <v>0</v>
      </c>
      <c r="L11" s="299">
        <f t="shared" si="5"/>
        <v>0</v>
      </c>
      <c r="M11" s="299">
        <f t="shared" si="5"/>
        <v>0</v>
      </c>
      <c r="N11" s="299">
        <f t="shared" si="5"/>
        <v>0</v>
      </c>
      <c r="O11" s="299">
        <f t="shared" si="5"/>
        <v>0</v>
      </c>
      <c r="P11" s="299">
        <f t="shared" si="5"/>
        <v>0</v>
      </c>
      <c r="Q11" s="299">
        <f t="shared" si="5"/>
        <v>330065205</v>
      </c>
      <c r="R11" s="299">
        <f t="shared" si="5"/>
        <v>162564900</v>
      </c>
      <c r="S11" s="261">
        <f t="shared" si="2"/>
        <v>901416758</v>
      </c>
      <c r="T11" s="261">
        <f t="shared" si="1"/>
        <v>168833754</v>
      </c>
      <c r="U11" s="261">
        <f t="shared" si="3"/>
        <v>732583004</v>
      </c>
      <c r="V11" s="262"/>
      <c r="W11" s="263"/>
      <c r="X11" s="261"/>
      <c r="Y11" s="263"/>
      <c r="Z11" s="263"/>
    </row>
    <row r="12" spans="1:26" s="266" customFormat="1" ht="45" customHeight="1">
      <c r="A12" s="259" t="s">
        <v>192</v>
      </c>
      <c r="B12" s="260" t="s">
        <v>511</v>
      </c>
      <c r="C12" s="31">
        <v>157948011</v>
      </c>
      <c r="D12" s="31">
        <v>157948011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261">
        <f t="shared" si="2"/>
        <v>157948011</v>
      </c>
      <c r="T12" s="261">
        <f t="shared" si="1"/>
        <v>0</v>
      </c>
      <c r="U12" s="261">
        <f t="shared" si="3"/>
        <v>157948011</v>
      </c>
      <c r="V12" s="262">
        <v>1</v>
      </c>
      <c r="W12" s="263">
        <f>+C12</f>
        <v>157948011</v>
      </c>
      <c r="X12" s="264">
        <f t="shared" si="4"/>
        <v>157948011</v>
      </c>
      <c r="Y12" s="263">
        <f>+D12</f>
        <v>157948011</v>
      </c>
      <c r="Z12" s="264">
        <f>+Y12*V12</f>
        <v>157948011</v>
      </c>
    </row>
    <row r="13" spans="1:26" s="266" customFormat="1" ht="45" customHeight="1">
      <c r="A13" s="259" t="s">
        <v>193</v>
      </c>
      <c r="B13" s="260" t="s">
        <v>508</v>
      </c>
      <c r="C13" s="31">
        <v>333810841</v>
      </c>
      <c r="D13" s="31">
        <v>333810841</v>
      </c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61">
        <f>+C13</f>
        <v>333810841</v>
      </c>
      <c r="T13" s="261">
        <f t="shared" ref="T13:T15" si="6">+S13-U13</f>
        <v>0</v>
      </c>
      <c r="U13" s="261">
        <f>+D13</f>
        <v>333810841</v>
      </c>
      <c r="V13" s="262">
        <v>1</v>
      </c>
      <c r="W13" s="263">
        <f>+C13</f>
        <v>333810841</v>
      </c>
      <c r="X13" s="264">
        <f t="shared" si="4"/>
        <v>333810841</v>
      </c>
      <c r="Y13" s="263">
        <f>+D13</f>
        <v>333810841</v>
      </c>
      <c r="Z13" s="264">
        <f t="shared" ref="Z13:Z36" si="7">+Y13*V13</f>
        <v>333810841</v>
      </c>
    </row>
    <row r="14" spans="1:26" s="266" customFormat="1" ht="45" customHeight="1">
      <c r="A14" s="259" t="s">
        <v>22</v>
      </c>
      <c r="B14" s="260" t="s">
        <v>465</v>
      </c>
      <c r="C14" s="299"/>
      <c r="D14" s="299"/>
      <c r="E14" s="31"/>
      <c r="F14" s="31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61">
        <f>+E14</f>
        <v>0</v>
      </c>
      <c r="T14" s="261">
        <f t="shared" si="6"/>
        <v>0</v>
      </c>
      <c r="U14" s="261">
        <f>+F14</f>
        <v>0</v>
      </c>
      <c r="V14" s="262">
        <v>1</v>
      </c>
      <c r="W14" s="263">
        <f>+E14-E15</f>
        <v>0</v>
      </c>
      <c r="X14" s="261">
        <f t="shared" si="4"/>
        <v>0</v>
      </c>
      <c r="Y14" s="362">
        <f>+F14-F15</f>
        <v>0</v>
      </c>
      <c r="Z14" s="261">
        <f t="shared" si="7"/>
        <v>0</v>
      </c>
    </row>
    <row r="15" spans="1:26" s="266" customFormat="1" ht="45" customHeight="1">
      <c r="A15" s="259" t="s">
        <v>494</v>
      </c>
      <c r="B15" s="260" t="s">
        <v>510</v>
      </c>
      <c r="C15" s="299"/>
      <c r="D15" s="299"/>
      <c r="E15" s="31"/>
      <c r="F15" s="31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61">
        <f>+E15</f>
        <v>0</v>
      </c>
      <c r="T15" s="261">
        <f t="shared" si="6"/>
        <v>0</v>
      </c>
      <c r="U15" s="261">
        <f>+F15</f>
        <v>0</v>
      </c>
      <c r="V15" s="262">
        <v>1</v>
      </c>
      <c r="W15" s="263">
        <f>+E15</f>
        <v>0</v>
      </c>
      <c r="X15" s="264">
        <f t="shared" si="4"/>
        <v>0</v>
      </c>
      <c r="Y15" s="263">
        <f>+F15</f>
        <v>0</v>
      </c>
      <c r="Z15" s="264">
        <f t="shared" si="7"/>
        <v>0</v>
      </c>
    </row>
    <row r="16" spans="1:26" s="266" customFormat="1" ht="38.25" customHeight="1">
      <c r="A16" s="259" t="s">
        <v>347</v>
      </c>
      <c r="B16" s="260" t="s">
        <v>346</v>
      </c>
      <c r="C16" s="32">
        <v>5113307</v>
      </c>
      <c r="D16" s="32">
        <v>4226687</v>
      </c>
      <c r="E16" s="32">
        <v>0</v>
      </c>
      <c r="F16" s="32">
        <v>0</v>
      </c>
      <c r="G16" s="32">
        <v>7911492</v>
      </c>
      <c r="H16" s="32">
        <v>7911492</v>
      </c>
      <c r="I16" s="32">
        <v>0</v>
      </c>
      <c r="J16" s="32">
        <v>0</v>
      </c>
      <c r="K16" s="32">
        <v>0</v>
      </c>
      <c r="L16" s="32">
        <v>0</v>
      </c>
      <c r="M16" s="529">
        <v>0</v>
      </c>
      <c r="N16" s="32">
        <v>0</v>
      </c>
      <c r="O16" s="32">
        <v>0</v>
      </c>
      <c r="P16" s="32">
        <v>0</v>
      </c>
      <c r="Q16" s="32">
        <v>330065205</v>
      </c>
      <c r="R16" s="32">
        <v>162564900</v>
      </c>
      <c r="S16" s="261">
        <f t="shared" si="2"/>
        <v>343090004</v>
      </c>
      <c r="T16" s="261">
        <f t="shared" si="1"/>
        <v>168386925</v>
      </c>
      <c r="U16" s="261">
        <f t="shared" si="3"/>
        <v>174703079</v>
      </c>
      <c r="V16" s="262">
        <v>1</v>
      </c>
      <c r="W16" s="263">
        <f>+C16+E16+G16+E12+G12+E13+G13+E14-E15</f>
        <v>13024799</v>
      </c>
      <c r="X16" s="261">
        <f>+W16*V16</f>
        <v>13024799</v>
      </c>
      <c r="Y16" s="263">
        <f>+D16+F16+H16+F12+H12+F13+H13+F14-F15</f>
        <v>12138179</v>
      </c>
      <c r="Z16" s="263">
        <f t="shared" si="7"/>
        <v>12138179</v>
      </c>
    </row>
    <row r="17" spans="1:26" s="266" customFormat="1" ht="38.25" customHeight="1">
      <c r="A17" s="259" t="s">
        <v>466</v>
      </c>
      <c r="B17" s="260" t="s">
        <v>23</v>
      </c>
      <c r="C17" s="31">
        <v>841498</v>
      </c>
      <c r="D17" s="31">
        <v>615889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261">
        <f t="shared" si="2"/>
        <v>841498</v>
      </c>
      <c r="T17" s="261">
        <f t="shared" si="1"/>
        <v>225609</v>
      </c>
      <c r="U17" s="261">
        <f t="shared" si="3"/>
        <v>615889</v>
      </c>
      <c r="V17" s="262">
        <v>1</v>
      </c>
      <c r="W17" s="263">
        <f>+C17+E17+G17</f>
        <v>841498</v>
      </c>
      <c r="X17" s="261">
        <f t="shared" si="4"/>
        <v>841498</v>
      </c>
      <c r="Y17" s="263">
        <f>+D17+F17+H17</f>
        <v>615889</v>
      </c>
      <c r="Z17" s="263">
        <f t="shared" si="7"/>
        <v>615889</v>
      </c>
    </row>
    <row r="18" spans="1:26" s="266" customFormat="1" ht="38.25" customHeight="1">
      <c r="A18" s="259" t="s">
        <v>467</v>
      </c>
      <c r="B18" s="260" t="s">
        <v>32</v>
      </c>
      <c r="C18" s="31">
        <v>65726404</v>
      </c>
      <c r="D18" s="31">
        <v>65505184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261">
        <f t="shared" si="2"/>
        <v>65726404</v>
      </c>
      <c r="T18" s="261">
        <f t="shared" si="1"/>
        <v>221220</v>
      </c>
      <c r="U18" s="261">
        <f t="shared" si="3"/>
        <v>65505184</v>
      </c>
      <c r="V18" s="262">
        <v>1</v>
      </c>
      <c r="W18" s="263">
        <f>+C18+E18+G18</f>
        <v>65726404</v>
      </c>
      <c r="X18" s="261">
        <f>+W18*V18</f>
        <v>65726404</v>
      </c>
      <c r="Y18" s="263">
        <f>+D18+F18+H18</f>
        <v>65505184</v>
      </c>
      <c r="Z18" s="263">
        <f t="shared" si="7"/>
        <v>65505184</v>
      </c>
    </row>
    <row r="19" spans="1:26" s="266" customFormat="1" ht="38.25" customHeight="1">
      <c r="A19" s="259" t="s">
        <v>133</v>
      </c>
      <c r="B19" s="260" t="s">
        <v>134</v>
      </c>
      <c r="C19" s="299">
        <f>SUM(C20:C25)-C21</f>
        <v>251</v>
      </c>
      <c r="D19" s="299">
        <f>SUM(D20:D25)-D21</f>
        <v>0</v>
      </c>
      <c r="E19" s="299">
        <f t="shared" ref="E19:R19" si="8">SUM(E20:E25)-E21</f>
        <v>0</v>
      </c>
      <c r="F19" s="299">
        <f t="shared" si="8"/>
        <v>0</v>
      </c>
      <c r="G19" s="299">
        <f t="shared" si="8"/>
        <v>54408699</v>
      </c>
      <c r="H19" s="299">
        <f t="shared" si="8"/>
        <v>0</v>
      </c>
      <c r="I19" s="299">
        <f t="shared" si="8"/>
        <v>355563735</v>
      </c>
      <c r="J19" s="299">
        <f t="shared" si="8"/>
        <v>0</v>
      </c>
      <c r="K19" s="299">
        <f t="shared" si="8"/>
        <v>0</v>
      </c>
      <c r="L19" s="299">
        <f t="shared" si="8"/>
        <v>0</v>
      </c>
      <c r="M19" s="299">
        <f t="shared" si="8"/>
        <v>0</v>
      </c>
      <c r="N19" s="299">
        <f t="shared" si="8"/>
        <v>0</v>
      </c>
      <c r="O19" s="299">
        <f t="shared" si="8"/>
        <v>0</v>
      </c>
      <c r="P19" s="299">
        <f t="shared" si="8"/>
        <v>0</v>
      </c>
      <c r="Q19" s="299">
        <f t="shared" si="8"/>
        <v>0</v>
      </c>
      <c r="R19" s="299">
        <f t="shared" si="8"/>
        <v>0</v>
      </c>
      <c r="S19" s="261">
        <f t="shared" si="2"/>
        <v>409972685</v>
      </c>
      <c r="T19" s="261">
        <f t="shared" si="1"/>
        <v>409972685</v>
      </c>
      <c r="U19" s="261">
        <f t="shared" si="3"/>
        <v>0</v>
      </c>
      <c r="V19" s="262"/>
      <c r="W19" s="263"/>
      <c r="X19" s="261"/>
      <c r="Y19" s="263"/>
      <c r="Z19" s="263"/>
    </row>
    <row r="20" spans="1:26" s="266" customFormat="1" ht="38.25" customHeight="1">
      <c r="A20" s="259" t="s">
        <v>194</v>
      </c>
      <c r="B20" s="260" t="s">
        <v>24</v>
      </c>
      <c r="C20" s="31"/>
      <c r="D20" s="31"/>
      <c r="E20" s="31"/>
      <c r="F20" s="31"/>
      <c r="G20" s="31">
        <v>54408699</v>
      </c>
      <c r="H20" s="31">
        <v>0</v>
      </c>
      <c r="I20" s="31">
        <v>355563735</v>
      </c>
      <c r="J20" s="31"/>
      <c r="K20" s="31"/>
      <c r="L20" s="31"/>
      <c r="M20" s="31"/>
      <c r="N20" s="31"/>
      <c r="O20" s="31"/>
      <c r="P20" s="31"/>
      <c r="Q20" s="31"/>
      <c r="R20" s="31"/>
      <c r="S20" s="261">
        <f>+C20+E20+G20+I20+K20+M20+O20+Q20</f>
        <v>409972434</v>
      </c>
      <c r="T20" s="261">
        <f t="shared" si="1"/>
        <v>409972434</v>
      </c>
      <c r="U20" s="261">
        <f t="shared" si="3"/>
        <v>0</v>
      </c>
      <c r="V20" s="262">
        <v>1</v>
      </c>
      <c r="W20" s="263">
        <f>+S20-S21</f>
        <v>0</v>
      </c>
      <c r="X20" s="264">
        <f t="shared" si="4"/>
        <v>0</v>
      </c>
      <c r="Y20" s="263">
        <f>+U20-U21</f>
        <v>0</v>
      </c>
      <c r="Z20" s="264">
        <f t="shared" si="7"/>
        <v>0</v>
      </c>
    </row>
    <row r="21" spans="1:26" s="453" customFormat="1" ht="48" customHeight="1">
      <c r="A21" s="259" t="s">
        <v>519</v>
      </c>
      <c r="B21" s="260" t="s">
        <v>525</v>
      </c>
      <c r="C21" s="31"/>
      <c r="D21" s="31"/>
      <c r="E21" s="31"/>
      <c r="F21" s="31"/>
      <c r="G21" s="31">
        <v>54408699</v>
      </c>
      <c r="H21" s="31">
        <v>0</v>
      </c>
      <c r="I21" s="31">
        <v>355563735</v>
      </c>
      <c r="J21" s="31"/>
      <c r="K21" s="31"/>
      <c r="L21" s="31"/>
      <c r="M21" s="31"/>
      <c r="N21" s="31"/>
      <c r="O21" s="31"/>
      <c r="P21" s="31"/>
      <c r="Q21" s="31"/>
      <c r="R21" s="31"/>
      <c r="S21" s="261">
        <f>+C21+E21+G21+I21+K21+M21+O21+Q21</f>
        <v>409972434</v>
      </c>
      <c r="T21" s="261">
        <f>+S21-U21</f>
        <v>409972434</v>
      </c>
      <c r="U21" s="261">
        <f>+D21+F21+H21+J21+L21+N21+P21+R21</f>
        <v>0</v>
      </c>
      <c r="V21" s="262">
        <v>1</v>
      </c>
      <c r="W21" s="362">
        <f>+C21+E21+G21</f>
        <v>54408699</v>
      </c>
      <c r="X21" s="261">
        <f>+W21*V21</f>
        <v>54408699</v>
      </c>
      <c r="Y21" s="362">
        <f>+D21+F21+H21</f>
        <v>0</v>
      </c>
      <c r="Z21" s="261">
        <f>+Y21*V21</f>
        <v>0</v>
      </c>
    </row>
    <row r="22" spans="1:26" s="266" customFormat="1" ht="38.25" customHeight="1">
      <c r="A22" s="259" t="s">
        <v>30</v>
      </c>
      <c r="B22" s="260" t="s">
        <v>45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261">
        <f t="shared" si="2"/>
        <v>0</v>
      </c>
      <c r="T22" s="261">
        <f t="shared" si="1"/>
        <v>0</v>
      </c>
      <c r="U22" s="261">
        <f t="shared" si="3"/>
        <v>0</v>
      </c>
      <c r="V22" s="262">
        <v>1</v>
      </c>
      <c r="W22" s="263">
        <f>+S22</f>
        <v>0</v>
      </c>
      <c r="X22" s="264">
        <f t="shared" si="4"/>
        <v>0</v>
      </c>
      <c r="Y22" s="263">
        <f>+U22</f>
        <v>0</v>
      </c>
      <c r="Z22" s="264">
        <f t="shared" si="7"/>
        <v>0</v>
      </c>
    </row>
    <row r="23" spans="1:26" s="266" customFormat="1" ht="61.5" customHeight="1">
      <c r="A23" s="259" t="s">
        <v>31</v>
      </c>
      <c r="B23" s="260" t="s">
        <v>460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261">
        <f t="shared" ref="S23" si="9">+C23+E23+G23+I23+K23+M23+O23+Q23</f>
        <v>0</v>
      </c>
      <c r="T23" s="261">
        <f t="shared" ref="T23" si="10">+S23-U23</f>
        <v>0</v>
      </c>
      <c r="U23" s="261">
        <f t="shared" ref="U23" si="11">+D23+F23+H23+J23+L23+N23+P23+R23</f>
        <v>0</v>
      </c>
      <c r="V23" s="262">
        <v>1</v>
      </c>
      <c r="W23" s="263">
        <f>+S23</f>
        <v>0</v>
      </c>
      <c r="X23" s="264">
        <f t="shared" si="4"/>
        <v>0</v>
      </c>
      <c r="Y23" s="263">
        <f>+U23</f>
        <v>0</v>
      </c>
      <c r="Z23" s="264">
        <f t="shared" si="7"/>
        <v>0</v>
      </c>
    </row>
    <row r="24" spans="1:26" s="266" customFormat="1" ht="45" customHeight="1">
      <c r="A24" s="259" t="s">
        <v>43</v>
      </c>
      <c r="B24" s="260" t="s">
        <v>512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261">
        <f t="shared" si="2"/>
        <v>0</v>
      </c>
      <c r="T24" s="261">
        <f t="shared" si="1"/>
        <v>0</v>
      </c>
      <c r="U24" s="261">
        <f t="shared" si="3"/>
        <v>0</v>
      </c>
      <c r="V24" s="262">
        <v>1</v>
      </c>
      <c r="W24" s="263">
        <f>+S24</f>
        <v>0</v>
      </c>
      <c r="X24" s="264">
        <f t="shared" si="4"/>
        <v>0</v>
      </c>
      <c r="Y24" s="263">
        <f>+U24</f>
        <v>0</v>
      </c>
      <c r="Z24" s="264">
        <f t="shared" si="7"/>
        <v>0</v>
      </c>
    </row>
    <row r="25" spans="1:26" s="266" customFormat="1" ht="38.25" customHeight="1">
      <c r="A25" s="259" t="s">
        <v>468</v>
      </c>
      <c r="B25" s="260" t="s">
        <v>21</v>
      </c>
      <c r="C25" s="31">
        <v>251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261">
        <f t="shared" si="2"/>
        <v>251</v>
      </c>
      <c r="T25" s="261">
        <f t="shared" si="1"/>
        <v>251</v>
      </c>
      <c r="U25" s="261">
        <f t="shared" si="3"/>
        <v>0</v>
      </c>
      <c r="V25" s="262">
        <v>0</v>
      </c>
      <c r="W25" s="263"/>
      <c r="X25" s="261"/>
      <c r="Y25" s="263"/>
      <c r="Z25" s="261"/>
    </row>
    <row r="26" spans="1:26" s="266" customFormat="1" ht="38.25" customHeight="1">
      <c r="A26" s="259" t="s">
        <v>135</v>
      </c>
      <c r="B26" s="260" t="s">
        <v>136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261">
        <f t="shared" si="2"/>
        <v>0</v>
      </c>
      <c r="T26" s="261">
        <f t="shared" si="1"/>
        <v>0</v>
      </c>
      <c r="U26" s="261">
        <f t="shared" si="3"/>
        <v>0</v>
      </c>
      <c r="V26" s="262">
        <v>0.3</v>
      </c>
      <c r="W26" s="263">
        <f>+E26+G26</f>
        <v>0</v>
      </c>
      <c r="X26" s="261">
        <f t="shared" si="4"/>
        <v>0</v>
      </c>
      <c r="Y26" s="263">
        <f>+F26+H26</f>
        <v>0</v>
      </c>
      <c r="Z26" s="263">
        <f t="shared" si="7"/>
        <v>0</v>
      </c>
    </row>
    <row r="27" spans="1:26" s="266" customFormat="1" ht="45" customHeight="1">
      <c r="A27" s="259" t="s">
        <v>137</v>
      </c>
      <c r="B27" s="260" t="s">
        <v>138</v>
      </c>
      <c r="C27" s="31">
        <v>433662549</v>
      </c>
      <c r="D27" s="31">
        <v>433662549</v>
      </c>
      <c r="E27" s="31">
        <v>507382</v>
      </c>
      <c r="F27" s="31">
        <v>507382</v>
      </c>
      <c r="G27" s="31">
        <v>7006768</v>
      </c>
      <c r="H27" s="31">
        <v>7006768</v>
      </c>
      <c r="I27" s="31">
        <v>0</v>
      </c>
      <c r="J27" s="31">
        <v>0</v>
      </c>
      <c r="K27" s="31">
        <v>0</v>
      </c>
      <c r="L27" s="31">
        <v>0</v>
      </c>
      <c r="M27" s="31">
        <v>91710528</v>
      </c>
      <c r="N27" s="31">
        <v>91710528</v>
      </c>
      <c r="O27" s="31"/>
      <c r="P27" s="31"/>
      <c r="Q27" s="31"/>
      <c r="R27" s="31"/>
      <c r="S27" s="261">
        <f t="shared" si="2"/>
        <v>532887227</v>
      </c>
      <c r="T27" s="261">
        <f t="shared" si="1"/>
        <v>0</v>
      </c>
      <c r="U27" s="261">
        <f t="shared" si="3"/>
        <v>532887227</v>
      </c>
      <c r="V27" s="262">
        <v>0.5</v>
      </c>
      <c r="W27" s="263">
        <f>+E27+G27</f>
        <v>7514150</v>
      </c>
      <c r="X27" s="261">
        <f t="shared" si="4"/>
        <v>3757075</v>
      </c>
      <c r="Y27" s="263">
        <f>+F27+H27</f>
        <v>7514150</v>
      </c>
      <c r="Z27" s="263">
        <f t="shared" si="7"/>
        <v>3757075</v>
      </c>
    </row>
    <row r="28" spans="1:26" s="266" customFormat="1" ht="38.25" customHeight="1">
      <c r="A28" s="259" t="s">
        <v>139</v>
      </c>
      <c r="B28" s="260" t="s">
        <v>140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261">
        <f t="shared" si="2"/>
        <v>0</v>
      </c>
      <c r="T28" s="261">
        <f t="shared" si="1"/>
        <v>0</v>
      </c>
      <c r="U28" s="261">
        <f t="shared" si="3"/>
        <v>0</v>
      </c>
      <c r="V28" s="262">
        <v>0.3</v>
      </c>
      <c r="W28" s="263">
        <f>+E28+G28</f>
        <v>0</v>
      </c>
      <c r="X28" s="261">
        <f t="shared" si="4"/>
        <v>0</v>
      </c>
      <c r="Y28" s="263">
        <f>+F28+H28</f>
        <v>0</v>
      </c>
      <c r="Z28" s="263">
        <f t="shared" si="7"/>
        <v>0</v>
      </c>
    </row>
    <row r="29" spans="1:26" s="266" customFormat="1" ht="38.25" customHeight="1">
      <c r="A29" s="259" t="s">
        <v>141</v>
      </c>
      <c r="B29" s="260" t="s">
        <v>142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261">
        <f t="shared" si="2"/>
        <v>0</v>
      </c>
      <c r="T29" s="261">
        <f t="shared" si="1"/>
        <v>0</v>
      </c>
      <c r="U29" s="261">
        <f t="shared" si="3"/>
        <v>0</v>
      </c>
      <c r="V29" s="262">
        <v>1</v>
      </c>
      <c r="W29" s="263">
        <f>+C29+E29+G29</f>
        <v>0</v>
      </c>
      <c r="X29" s="261">
        <f t="shared" si="4"/>
        <v>0</v>
      </c>
      <c r="Y29" s="263">
        <f>+D29+F29+H29</f>
        <v>0</v>
      </c>
      <c r="Z29" s="263">
        <f t="shared" si="7"/>
        <v>0</v>
      </c>
    </row>
    <row r="30" spans="1:26" s="266" customFormat="1" ht="38.25" customHeight="1">
      <c r="A30" s="259" t="s">
        <v>143</v>
      </c>
      <c r="B30" s="260" t="s">
        <v>144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261">
        <f t="shared" si="2"/>
        <v>0</v>
      </c>
      <c r="T30" s="261">
        <f t="shared" si="1"/>
        <v>0</v>
      </c>
      <c r="U30" s="261">
        <f t="shared" si="3"/>
        <v>0</v>
      </c>
      <c r="V30" s="262">
        <v>0.5</v>
      </c>
      <c r="W30" s="263">
        <f>+E30+G30</f>
        <v>0</v>
      </c>
      <c r="X30" s="261">
        <f t="shared" si="4"/>
        <v>0</v>
      </c>
      <c r="Y30" s="263">
        <f>+F30+H30</f>
        <v>0</v>
      </c>
      <c r="Z30" s="263">
        <f t="shared" si="7"/>
        <v>0</v>
      </c>
    </row>
    <row r="31" spans="1:26" s="266" customFormat="1" ht="39" customHeight="1">
      <c r="A31" s="259">
        <v>10</v>
      </c>
      <c r="B31" s="260" t="s">
        <v>145</v>
      </c>
      <c r="C31" s="31">
        <v>61330105</v>
      </c>
      <c r="D31" s="31">
        <v>22153949</v>
      </c>
      <c r="E31" s="31">
        <v>21055147</v>
      </c>
      <c r="F31" s="31">
        <v>945735</v>
      </c>
      <c r="G31" s="31">
        <v>181030004</v>
      </c>
      <c r="H31" s="31">
        <v>59472328</v>
      </c>
      <c r="I31" s="31">
        <v>502330940</v>
      </c>
      <c r="J31" s="31">
        <v>192589154</v>
      </c>
      <c r="K31" s="31">
        <v>946936826</v>
      </c>
      <c r="L31" s="31">
        <v>320704588</v>
      </c>
      <c r="M31" s="31">
        <v>1630672226</v>
      </c>
      <c r="N31" s="31">
        <v>461291200</v>
      </c>
      <c r="O31" s="31">
        <v>1570064350</v>
      </c>
      <c r="P31" s="31">
        <v>607119146</v>
      </c>
      <c r="Q31" s="31">
        <v>2739900967</v>
      </c>
      <c r="R31" s="31">
        <v>1267450017</v>
      </c>
      <c r="S31" s="261">
        <f t="shared" si="2"/>
        <v>7653320565</v>
      </c>
      <c r="T31" s="261">
        <f t="shared" si="1"/>
        <v>4721594448</v>
      </c>
      <c r="U31" s="261">
        <f t="shared" si="3"/>
        <v>2931726117</v>
      </c>
      <c r="V31" s="262">
        <v>0.5</v>
      </c>
      <c r="W31" s="263">
        <f>+E31+G31</f>
        <v>202085151</v>
      </c>
      <c r="X31" s="261">
        <f t="shared" si="4"/>
        <v>101042575.5</v>
      </c>
      <c r="Y31" s="263">
        <f>+F31+H31</f>
        <v>60418063</v>
      </c>
      <c r="Z31" s="263">
        <f t="shared" si="7"/>
        <v>30209031.5</v>
      </c>
    </row>
    <row r="32" spans="1:26" s="266" customFormat="1" ht="39" customHeight="1">
      <c r="A32" s="259" t="s">
        <v>520</v>
      </c>
      <c r="B32" s="260" t="s">
        <v>524</v>
      </c>
      <c r="C32" s="31">
        <v>7935128</v>
      </c>
      <c r="D32" s="31">
        <v>0</v>
      </c>
      <c r="E32" s="31">
        <v>14955082</v>
      </c>
      <c r="F32" s="31">
        <v>0</v>
      </c>
      <c r="G32" s="31">
        <v>23601942</v>
      </c>
      <c r="H32" s="31">
        <v>0</v>
      </c>
      <c r="I32" s="31">
        <v>78983936</v>
      </c>
      <c r="J32" s="31">
        <v>0</v>
      </c>
      <c r="K32" s="31">
        <v>120931809</v>
      </c>
      <c r="L32" s="31">
        <v>0</v>
      </c>
      <c r="M32" s="31">
        <v>247250051</v>
      </c>
      <c r="N32" s="31">
        <v>0</v>
      </c>
      <c r="O32" s="31">
        <v>293022871</v>
      </c>
      <c r="P32" s="31">
        <v>0</v>
      </c>
      <c r="Q32" s="31">
        <v>496168250</v>
      </c>
      <c r="R32" s="31">
        <v>0</v>
      </c>
      <c r="S32" s="261">
        <f t="shared" si="2"/>
        <v>1282849069</v>
      </c>
      <c r="T32" s="261">
        <f t="shared" si="1"/>
        <v>1282849069</v>
      </c>
      <c r="U32" s="261">
        <f t="shared" si="3"/>
        <v>0</v>
      </c>
      <c r="V32" s="262">
        <v>0</v>
      </c>
      <c r="W32" s="263">
        <f>+E32+G32</f>
        <v>38557024</v>
      </c>
      <c r="X32" s="261">
        <f t="shared" si="4"/>
        <v>0</v>
      </c>
      <c r="Y32" s="263">
        <f>+F32+H32</f>
        <v>0</v>
      </c>
      <c r="Z32" s="263">
        <f t="shared" si="7"/>
        <v>0</v>
      </c>
    </row>
    <row r="33" spans="1:27" s="266" customFormat="1" ht="38.25" customHeight="1">
      <c r="A33" s="259">
        <v>11</v>
      </c>
      <c r="B33" s="260" t="s">
        <v>146</v>
      </c>
      <c r="C33" s="31">
        <v>-1039</v>
      </c>
      <c r="D33" s="31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61">
        <f t="shared" si="2"/>
        <v>-1039</v>
      </c>
      <c r="T33" s="261">
        <f t="shared" si="1"/>
        <v>-1039</v>
      </c>
      <c r="U33" s="261">
        <f t="shared" si="3"/>
        <v>0</v>
      </c>
      <c r="V33" s="262">
        <v>0</v>
      </c>
      <c r="W33" s="263"/>
      <c r="X33" s="261"/>
      <c r="Y33" s="263"/>
      <c r="Z33" s="263"/>
    </row>
    <row r="34" spans="1:27" s="266" customFormat="1" ht="38.25" customHeight="1">
      <c r="A34" s="259" t="s">
        <v>147</v>
      </c>
      <c r="B34" s="260" t="s">
        <v>148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>
        <v>98339066</v>
      </c>
      <c r="R34" s="31"/>
      <c r="S34" s="261">
        <f t="shared" si="2"/>
        <v>98339066</v>
      </c>
      <c r="T34" s="261">
        <f t="shared" si="1"/>
        <v>98339066</v>
      </c>
      <c r="U34" s="261">
        <f t="shared" si="3"/>
        <v>0</v>
      </c>
      <c r="V34" s="262">
        <v>0</v>
      </c>
      <c r="W34" s="263"/>
      <c r="X34" s="261"/>
      <c r="Y34" s="263"/>
      <c r="Z34" s="263"/>
    </row>
    <row r="35" spans="1:27" s="266" customFormat="1" ht="38.25" customHeight="1">
      <c r="A35" s="259" t="s">
        <v>149</v>
      </c>
      <c r="B35" s="260" t="s">
        <v>150</v>
      </c>
      <c r="C35" s="31">
        <f t="shared" ref="C35:R35" si="12">+C36+C37</f>
        <v>0</v>
      </c>
      <c r="D35" s="31">
        <f t="shared" si="12"/>
        <v>0</v>
      </c>
      <c r="E35" s="31">
        <f t="shared" ref="E35:F35" si="13">+E36+E37</f>
        <v>0</v>
      </c>
      <c r="F35" s="31">
        <f t="shared" si="13"/>
        <v>0</v>
      </c>
      <c r="G35" s="31">
        <f t="shared" si="12"/>
        <v>0</v>
      </c>
      <c r="H35" s="31">
        <f t="shared" si="12"/>
        <v>0</v>
      </c>
      <c r="I35" s="31">
        <f t="shared" si="12"/>
        <v>0</v>
      </c>
      <c r="J35" s="31">
        <f t="shared" si="12"/>
        <v>0</v>
      </c>
      <c r="K35" s="31">
        <f t="shared" si="12"/>
        <v>0</v>
      </c>
      <c r="L35" s="31">
        <f t="shared" si="12"/>
        <v>0</v>
      </c>
      <c r="M35" s="31">
        <f t="shared" si="12"/>
        <v>0</v>
      </c>
      <c r="N35" s="31">
        <f t="shared" si="12"/>
        <v>0</v>
      </c>
      <c r="O35" s="31">
        <f t="shared" si="12"/>
        <v>0</v>
      </c>
      <c r="P35" s="31">
        <f t="shared" si="12"/>
        <v>0</v>
      </c>
      <c r="Q35" s="31">
        <f t="shared" si="12"/>
        <v>0</v>
      </c>
      <c r="R35" s="31">
        <f t="shared" si="12"/>
        <v>0</v>
      </c>
      <c r="S35" s="261">
        <f t="shared" si="2"/>
        <v>0</v>
      </c>
      <c r="T35" s="261">
        <f t="shared" si="1"/>
        <v>0</v>
      </c>
      <c r="U35" s="261">
        <f t="shared" si="3"/>
        <v>0</v>
      </c>
      <c r="V35" s="262"/>
      <c r="W35" s="263"/>
      <c r="X35" s="261"/>
      <c r="Y35" s="263"/>
      <c r="Z35" s="263"/>
    </row>
    <row r="36" spans="1:27" s="266" customFormat="1" ht="45" customHeight="1">
      <c r="A36" s="259" t="s">
        <v>25</v>
      </c>
      <c r="B36" s="260" t="s">
        <v>498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261">
        <f t="shared" si="2"/>
        <v>0</v>
      </c>
      <c r="T36" s="261">
        <f t="shared" si="1"/>
        <v>0</v>
      </c>
      <c r="U36" s="261">
        <f t="shared" si="3"/>
        <v>0</v>
      </c>
      <c r="V36" s="262">
        <v>1</v>
      </c>
      <c r="W36" s="263">
        <f>+S36</f>
        <v>0</v>
      </c>
      <c r="X36" s="264">
        <f t="shared" si="4"/>
        <v>0</v>
      </c>
      <c r="Y36" s="263">
        <f>+U36</f>
        <v>0</v>
      </c>
      <c r="Z36" s="264">
        <f t="shared" si="7"/>
        <v>0</v>
      </c>
    </row>
    <row r="37" spans="1:27" s="266" customFormat="1" ht="38.25" customHeight="1">
      <c r="A37" s="259" t="s">
        <v>509</v>
      </c>
      <c r="B37" s="260" t="s">
        <v>26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261">
        <f t="shared" si="2"/>
        <v>0</v>
      </c>
      <c r="T37" s="261">
        <f t="shared" si="1"/>
        <v>0</v>
      </c>
      <c r="U37" s="261">
        <f t="shared" si="3"/>
        <v>0</v>
      </c>
      <c r="V37" s="262">
        <v>0</v>
      </c>
      <c r="W37" s="263"/>
      <c r="X37" s="261"/>
      <c r="Y37" s="263"/>
      <c r="Z37" s="263"/>
    </row>
    <row r="38" spans="1:27" s="266" customFormat="1" ht="38.25" customHeight="1">
      <c r="A38" s="259" t="s">
        <v>151</v>
      </c>
      <c r="B38" s="260" t="s">
        <v>371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>
        <v>812267548</v>
      </c>
      <c r="R38" s="31">
        <v>0</v>
      </c>
      <c r="S38" s="261">
        <f t="shared" si="2"/>
        <v>812267548</v>
      </c>
      <c r="T38" s="261">
        <f t="shared" si="1"/>
        <v>812267548</v>
      </c>
      <c r="U38" s="261">
        <f t="shared" si="3"/>
        <v>0</v>
      </c>
      <c r="V38" s="262">
        <v>0</v>
      </c>
      <c r="W38" s="263"/>
      <c r="X38" s="261"/>
      <c r="Y38" s="263"/>
      <c r="Z38" s="263"/>
    </row>
    <row r="39" spans="1:27" s="266" customFormat="1" ht="38.25" customHeight="1">
      <c r="A39" s="259" t="s">
        <v>153</v>
      </c>
      <c r="B39" s="260" t="s">
        <v>372</v>
      </c>
      <c r="C39" s="31">
        <v>51751710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>
        <v>0</v>
      </c>
      <c r="S39" s="261">
        <f>+C39+E39+G39+I39+K39+M39+O39+Q39</f>
        <v>51751710</v>
      </c>
      <c r="T39" s="261">
        <f t="shared" si="1"/>
        <v>51751710</v>
      </c>
      <c r="U39" s="261">
        <f t="shared" si="3"/>
        <v>0</v>
      </c>
      <c r="V39" s="262">
        <v>0</v>
      </c>
      <c r="W39" s="263"/>
      <c r="X39" s="261"/>
      <c r="Y39" s="263"/>
      <c r="Z39" s="263"/>
    </row>
    <row r="40" spans="1:27" s="266" customFormat="1" ht="38.25" customHeight="1">
      <c r="A40" s="259" t="s">
        <v>154</v>
      </c>
      <c r="B40" s="260" t="s">
        <v>155</v>
      </c>
      <c r="C40" s="31">
        <v>5936467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261">
        <f>+C40+E40+G40+I40+K40+M40+O40+Q40</f>
        <v>5936467</v>
      </c>
      <c r="T40" s="261">
        <f t="shared" si="1"/>
        <v>5936467</v>
      </c>
      <c r="U40" s="261">
        <f t="shared" si="3"/>
        <v>0</v>
      </c>
      <c r="V40" s="262">
        <v>0</v>
      </c>
      <c r="W40" s="263"/>
      <c r="X40" s="261"/>
      <c r="Y40" s="263"/>
      <c r="Z40" s="263"/>
    </row>
    <row r="41" spans="1:27" s="266" customFormat="1" ht="38.25" customHeight="1">
      <c r="A41" s="259" t="s">
        <v>156</v>
      </c>
      <c r="B41" s="260" t="s">
        <v>157</v>
      </c>
      <c r="C41" s="31"/>
      <c r="D41" s="299"/>
      <c r="E41" s="31"/>
      <c r="F41" s="299"/>
      <c r="G41" s="31"/>
      <c r="H41" s="299"/>
      <c r="I41" s="31"/>
      <c r="J41" s="299"/>
      <c r="K41" s="31"/>
      <c r="L41" s="299"/>
      <c r="M41" s="31"/>
      <c r="N41" s="299"/>
      <c r="O41" s="31"/>
      <c r="P41" s="299"/>
      <c r="Q41" s="31"/>
      <c r="R41" s="299"/>
      <c r="S41" s="261">
        <f t="shared" si="2"/>
        <v>0</v>
      </c>
      <c r="T41" s="261">
        <f t="shared" si="1"/>
        <v>0</v>
      </c>
      <c r="U41" s="261">
        <f t="shared" si="3"/>
        <v>0</v>
      </c>
      <c r="V41" s="262">
        <v>0</v>
      </c>
      <c r="W41" s="263"/>
      <c r="X41" s="261"/>
      <c r="Y41" s="263"/>
      <c r="Z41" s="263"/>
    </row>
    <row r="42" spans="1:27" s="266" customFormat="1" ht="38.25" customHeight="1">
      <c r="A42" s="259" t="s">
        <v>158</v>
      </c>
      <c r="B42" s="260" t="s">
        <v>159</v>
      </c>
      <c r="C42" s="31">
        <v>3659</v>
      </c>
      <c r="D42" s="31">
        <v>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261">
        <f t="shared" si="2"/>
        <v>3659</v>
      </c>
      <c r="T42" s="261">
        <f t="shared" si="1"/>
        <v>3659</v>
      </c>
      <c r="U42" s="261">
        <f t="shared" si="3"/>
        <v>0</v>
      </c>
      <c r="V42" s="262">
        <v>0</v>
      </c>
      <c r="W42" s="263"/>
      <c r="X42" s="261"/>
      <c r="Y42" s="263"/>
      <c r="Z42" s="263"/>
    </row>
    <row r="43" spans="1:27" s="266" customFormat="1" ht="38.25" customHeight="1">
      <c r="A43" s="259" t="s">
        <v>160</v>
      </c>
      <c r="B43" s="260" t="s">
        <v>161</v>
      </c>
      <c r="C43" s="31">
        <v>163425953</v>
      </c>
      <c r="D43" s="31">
        <v>50329192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261">
        <f t="shared" si="2"/>
        <v>163425953</v>
      </c>
      <c r="T43" s="261">
        <f t="shared" si="1"/>
        <v>113096761</v>
      </c>
      <c r="U43" s="261">
        <f t="shared" si="3"/>
        <v>50329192</v>
      </c>
      <c r="V43" s="262">
        <v>0.5</v>
      </c>
      <c r="W43" s="263">
        <f>+E43+G43</f>
        <v>0</v>
      </c>
      <c r="X43" s="261">
        <f>+W43*V43</f>
        <v>0</v>
      </c>
      <c r="Y43" s="263">
        <f>+F43+H43</f>
        <v>0</v>
      </c>
      <c r="Z43" s="263">
        <f>+Y43*V43</f>
        <v>0</v>
      </c>
    </row>
    <row r="44" spans="1:27" s="266" customFormat="1" ht="38.25" customHeight="1">
      <c r="A44" s="259" t="s">
        <v>162</v>
      </c>
      <c r="B44" s="260" t="s">
        <v>163</v>
      </c>
      <c r="C44" s="31">
        <v>464043728</v>
      </c>
      <c r="D44" s="31">
        <v>116486001</v>
      </c>
      <c r="E44" s="31">
        <v>64621</v>
      </c>
      <c r="F44" s="31">
        <v>56475</v>
      </c>
      <c r="G44" s="31">
        <v>69139</v>
      </c>
      <c r="H44" s="31">
        <v>0</v>
      </c>
      <c r="I44" s="31">
        <v>383461</v>
      </c>
      <c r="J44" s="31">
        <v>2051</v>
      </c>
      <c r="K44" s="31">
        <v>1775006</v>
      </c>
      <c r="L44" s="31">
        <v>109375</v>
      </c>
      <c r="M44" s="31">
        <v>1253010</v>
      </c>
      <c r="N44" s="31">
        <v>280797</v>
      </c>
      <c r="O44" s="31">
        <v>2719920</v>
      </c>
      <c r="P44" s="31">
        <v>99142</v>
      </c>
      <c r="Q44" s="31">
        <v>24201737</v>
      </c>
      <c r="R44" s="31">
        <v>17734453</v>
      </c>
      <c r="S44" s="261">
        <f t="shared" si="2"/>
        <v>494510622</v>
      </c>
      <c r="T44" s="261">
        <f t="shared" si="1"/>
        <v>359742328</v>
      </c>
      <c r="U44" s="261">
        <f t="shared" si="3"/>
        <v>134768294</v>
      </c>
      <c r="V44" s="262">
        <v>0</v>
      </c>
      <c r="W44" s="263"/>
      <c r="X44" s="261"/>
      <c r="Y44" s="263"/>
      <c r="Z44" s="263"/>
    </row>
    <row r="45" spans="1:27" s="266" customFormat="1" ht="38.25" customHeight="1">
      <c r="A45" s="259" t="s">
        <v>164</v>
      </c>
      <c r="B45" s="260" t="s">
        <v>537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261">
        <f t="shared" ref="S45" si="14">+C45+E45+G45+I45+K45+M45+O45+Q45</f>
        <v>0</v>
      </c>
      <c r="T45" s="261">
        <f t="shared" ref="T45" si="15">+S45-U45</f>
        <v>0</v>
      </c>
      <c r="U45" s="261">
        <f t="shared" ref="U45" si="16">+D45+F45+H45+J45+L45+N45+P45+R45</f>
        <v>0</v>
      </c>
      <c r="V45" s="262">
        <v>1</v>
      </c>
      <c r="W45" s="263">
        <f>+S45</f>
        <v>0</v>
      </c>
      <c r="X45" s="261">
        <f>+W45*V45</f>
        <v>0</v>
      </c>
      <c r="Y45" s="263">
        <f>+U45</f>
        <v>0</v>
      </c>
      <c r="Z45" s="263">
        <f>+Y45*V45</f>
        <v>0</v>
      </c>
    </row>
    <row r="46" spans="1:27" s="265" customFormat="1" ht="45" customHeight="1">
      <c r="A46" s="398" t="s">
        <v>41</v>
      </c>
      <c r="B46" s="399" t="s">
        <v>165</v>
      </c>
      <c r="C46" s="275">
        <f>SUM(C7:C44)-C8-C11-C15-C19-C21-C32-C35</f>
        <v>3258218846</v>
      </c>
      <c r="D46" s="275">
        <f t="shared" ref="D46:R46" si="17">SUM(D7:D44)-D8-D11-D15-D19-D21-D32-D35</f>
        <v>1616615165</v>
      </c>
      <c r="E46" s="275">
        <f t="shared" si="17"/>
        <v>21627150</v>
      </c>
      <c r="F46" s="275">
        <f t="shared" si="17"/>
        <v>1509592</v>
      </c>
      <c r="G46" s="275">
        <f t="shared" si="17"/>
        <v>250426102</v>
      </c>
      <c r="H46" s="275">
        <f t="shared" si="17"/>
        <v>74390588</v>
      </c>
      <c r="I46" s="275">
        <f t="shared" si="17"/>
        <v>858278136</v>
      </c>
      <c r="J46" s="275">
        <f t="shared" si="17"/>
        <v>192591205</v>
      </c>
      <c r="K46" s="275">
        <f t="shared" si="17"/>
        <v>948711832</v>
      </c>
      <c r="L46" s="275">
        <f t="shared" si="17"/>
        <v>320813963</v>
      </c>
      <c r="M46" s="275">
        <f t="shared" si="17"/>
        <v>1723635764</v>
      </c>
      <c r="N46" s="275">
        <f t="shared" si="17"/>
        <v>553282525</v>
      </c>
      <c r="O46" s="275">
        <f t="shared" si="17"/>
        <v>1572784270</v>
      </c>
      <c r="P46" s="275">
        <f t="shared" si="17"/>
        <v>607218288</v>
      </c>
      <c r="Q46" s="275">
        <f t="shared" si="17"/>
        <v>4004774523</v>
      </c>
      <c r="R46" s="275">
        <f t="shared" si="17"/>
        <v>1447749370</v>
      </c>
      <c r="S46" s="275">
        <f t="shared" si="2"/>
        <v>12638456623</v>
      </c>
      <c r="T46" s="275">
        <f t="shared" si="1"/>
        <v>7824285927</v>
      </c>
      <c r="U46" s="275">
        <f t="shared" si="3"/>
        <v>4814170696</v>
      </c>
      <c r="V46" s="275"/>
      <c r="W46" s="275"/>
      <c r="X46" s="275">
        <f>SUM(X7:X44)-X11-X35</f>
        <v>2152539248.5</v>
      </c>
      <c r="Y46" s="275"/>
      <c r="Z46" s="275">
        <f>SUM(Z7:Z44)-Z11-Z35</f>
        <v>1035861072.5</v>
      </c>
    </row>
    <row r="47" spans="1:27" s="450" customFormat="1" ht="14.25">
      <c r="A47" s="373"/>
      <c r="B47" s="452" t="s">
        <v>521</v>
      </c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407"/>
      <c r="W47" s="308"/>
      <c r="X47" s="308"/>
      <c r="Y47" s="308"/>
      <c r="Z47" s="308"/>
      <c r="AA47" s="466"/>
    </row>
    <row r="48" spans="1:27" s="312" customFormat="1" ht="25.5" customHeight="1">
      <c r="A48" s="259">
        <v>1</v>
      </c>
      <c r="B48" s="260" t="s">
        <v>538</v>
      </c>
      <c r="C48" s="31">
        <v>3308330</v>
      </c>
      <c r="D48" s="31">
        <v>287</v>
      </c>
      <c r="E48" s="31">
        <v>248693</v>
      </c>
      <c r="F48" s="31">
        <v>0</v>
      </c>
      <c r="G48" s="31">
        <v>2804722</v>
      </c>
      <c r="H48" s="31">
        <v>0</v>
      </c>
      <c r="I48" s="31">
        <v>13074842</v>
      </c>
      <c r="J48" s="31">
        <v>0</v>
      </c>
      <c r="K48" s="31">
        <v>18025872</v>
      </c>
      <c r="L48" s="31">
        <v>1721075</v>
      </c>
      <c r="M48" s="31">
        <v>111014342</v>
      </c>
      <c r="N48" s="31">
        <v>70210836</v>
      </c>
      <c r="O48" s="31">
        <v>104011982</v>
      </c>
      <c r="P48" s="31">
        <v>9562703</v>
      </c>
      <c r="Q48" s="31">
        <v>472173186</v>
      </c>
      <c r="R48" s="31">
        <v>93689550</v>
      </c>
      <c r="S48" s="261">
        <f t="shared" ref="S48" si="18">+C48+E48+G48+I48+K48+M48+O48+Q48</f>
        <v>724661969</v>
      </c>
      <c r="T48" s="261">
        <f t="shared" ref="T48" si="19">+S48-U48</f>
        <v>549477518</v>
      </c>
      <c r="U48" s="261">
        <f t="shared" ref="U48" si="20">+D48+F48+H48+J48+L48+N48+P48+R48</f>
        <v>175184451</v>
      </c>
      <c r="V48" s="407"/>
      <c r="W48" s="308"/>
      <c r="X48" s="308"/>
      <c r="Y48" s="308"/>
      <c r="Z48" s="308"/>
      <c r="AA48" s="467"/>
    </row>
    <row r="49" spans="1:27" s="312" customFormat="1" ht="31.5" customHeight="1">
      <c r="A49" s="259"/>
      <c r="B49" s="260" t="s">
        <v>539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24693</v>
      </c>
      <c r="L49" s="31">
        <v>24095</v>
      </c>
      <c r="M49" s="31">
        <v>112944</v>
      </c>
      <c r="N49" s="31">
        <v>43351</v>
      </c>
      <c r="O49" s="31">
        <v>4285400</v>
      </c>
      <c r="P49" s="31">
        <v>3964854</v>
      </c>
      <c r="Q49" s="31">
        <v>7575225</v>
      </c>
      <c r="R49" s="31">
        <v>4884804</v>
      </c>
      <c r="S49" s="261">
        <f t="shared" ref="S49:S53" si="21">+C49+E49+G49+I49+K49+M49+O49+Q49</f>
        <v>11998262</v>
      </c>
      <c r="T49" s="261">
        <f t="shared" ref="T49:T53" si="22">+S49-U49</f>
        <v>3081158</v>
      </c>
      <c r="U49" s="261">
        <f t="shared" ref="U49:U53" si="23">+D49+F49+H49+J49+L49+N49+P49+R49</f>
        <v>8917104</v>
      </c>
      <c r="V49" s="407"/>
      <c r="W49" s="308"/>
      <c r="X49" s="308"/>
      <c r="Y49" s="308"/>
      <c r="Z49" s="308"/>
      <c r="AA49" s="467"/>
    </row>
    <row r="50" spans="1:27" s="312" customFormat="1" ht="25.5" customHeight="1">
      <c r="A50" s="259">
        <v>2</v>
      </c>
      <c r="B50" s="260" t="s">
        <v>522</v>
      </c>
      <c r="C50" s="31">
        <v>1999162</v>
      </c>
      <c r="D50" s="31">
        <v>0</v>
      </c>
      <c r="E50" s="31">
        <v>6914167</v>
      </c>
      <c r="F50" s="31">
        <v>6780756</v>
      </c>
      <c r="G50" s="31">
        <v>0</v>
      </c>
      <c r="H50" s="31">
        <v>0</v>
      </c>
      <c r="I50" s="31">
        <v>1643429</v>
      </c>
      <c r="J50" s="31">
        <v>744429</v>
      </c>
      <c r="K50" s="31">
        <v>25622129</v>
      </c>
      <c r="L50" s="31">
        <v>25622129</v>
      </c>
      <c r="M50" s="31">
        <v>0</v>
      </c>
      <c r="N50" s="31">
        <v>0</v>
      </c>
      <c r="O50" s="31">
        <v>7369609</v>
      </c>
      <c r="P50" s="31">
        <v>7369609</v>
      </c>
      <c r="Q50" s="31">
        <v>200141724</v>
      </c>
      <c r="R50" s="31">
        <v>200141724</v>
      </c>
      <c r="S50" s="261">
        <f t="shared" si="21"/>
        <v>243690220</v>
      </c>
      <c r="T50" s="261">
        <f t="shared" si="22"/>
        <v>3031573</v>
      </c>
      <c r="U50" s="261">
        <f t="shared" si="23"/>
        <v>240658647</v>
      </c>
      <c r="V50" s="407"/>
      <c r="W50" s="308"/>
      <c r="X50" s="308"/>
      <c r="Y50" s="308"/>
      <c r="Z50" s="308"/>
      <c r="AA50" s="467"/>
    </row>
    <row r="51" spans="1:27" s="312" customFormat="1" ht="28.5">
      <c r="A51" s="259"/>
      <c r="B51" s="260" t="s">
        <v>540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261">
        <f t="shared" si="21"/>
        <v>0</v>
      </c>
      <c r="T51" s="261">
        <f t="shared" si="22"/>
        <v>0</v>
      </c>
      <c r="U51" s="261">
        <f t="shared" si="23"/>
        <v>0</v>
      </c>
      <c r="V51" s="407"/>
      <c r="W51" s="308"/>
      <c r="X51" s="308"/>
      <c r="Y51" s="308"/>
      <c r="Z51" s="308"/>
      <c r="AA51" s="467"/>
    </row>
    <row r="52" spans="1:27" s="312" customFormat="1" ht="25.5" customHeight="1">
      <c r="A52" s="259">
        <v>3</v>
      </c>
      <c r="B52" s="260" t="s">
        <v>523</v>
      </c>
      <c r="C52" s="31">
        <v>437576426</v>
      </c>
      <c r="D52" s="31">
        <v>437576426</v>
      </c>
      <c r="E52" s="31">
        <v>1095054</v>
      </c>
      <c r="F52" s="31">
        <v>1095054</v>
      </c>
      <c r="G52" s="31">
        <v>7527095</v>
      </c>
      <c r="H52" s="31">
        <v>7527095</v>
      </c>
      <c r="I52" s="31">
        <v>10325810</v>
      </c>
      <c r="J52" s="31">
        <v>10325810</v>
      </c>
      <c r="K52" s="31">
        <v>0</v>
      </c>
      <c r="L52" s="31">
        <v>0</v>
      </c>
      <c r="M52" s="31">
        <v>117224972</v>
      </c>
      <c r="N52" s="31">
        <v>117224972</v>
      </c>
      <c r="O52" s="31"/>
      <c r="P52" s="31"/>
      <c r="Q52" s="31"/>
      <c r="R52" s="31"/>
      <c r="S52" s="261">
        <f t="shared" si="21"/>
        <v>573749357</v>
      </c>
      <c r="T52" s="261">
        <f t="shared" si="22"/>
        <v>0</v>
      </c>
      <c r="U52" s="261">
        <f t="shared" si="23"/>
        <v>573749357</v>
      </c>
      <c r="V52" s="407"/>
      <c r="W52" s="308"/>
      <c r="X52" s="308"/>
      <c r="Y52" s="308"/>
      <c r="Z52" s="308"/>
      <c r="AA52" s="467"/>
    </row>
    <row r="53" spans="1:27" s="312" customFormat="1" ht="24.75" customHeight="1">
      <c r="A53" s="259"/>
      <c r="B53" s="260" t="s">
        <v>541</v>
      </c>
      <c r="C53" s="31">
        <v>770375</v>
      </c>
      <c r="D53" s="31">
        <v>770375</v>
      </c>
      <c r="E53" s="31">
        <v>0</v>
      </c>
      <c r="F53" s="31">
        <v>0</v>
      </c>
      <c r="G53" s="31">
        <v>0</v>
      </c>
      <c r="H53" s="31">
        <v>0</v>
      </c>
      <c r="I53" s="31">
        <v>2713923</v>
      </c>
      <c r="J53" s="31">
        <v>2713923</v>
      </c>
      <c r="K53" s="31">
        <v>0</v>
      </c>
      <c r="L53" s="31">
        <v>0</v>
      </c>
      <c r="M53" s="31">
        <v>20119708</v>
      </c>
      <c r="N53" s="31">
        <v>20119708</v>
      </c>
      <c r="O53" s="31"/>
      <c r="P53" s="31"/>
      <c r="Q53" s="31"/>
      <c r="R53" s="31"/>
      <c r="S53" s="261">
        <f t="shared" si="21"/>
        <v>23604006</v>
      </c>
      <c r="T53" s="261">
        <f t="shared" si="22"/>
        <v>0</v>
      </c>
      <c r="U53" s="261">
        <f t="shared" si="23"/>
        <v>23604006</v>
      </c>
      <c r="V53" s="407"/>
      <c r="W53" s="308"/>
      <c r="X53" s="308"/>
      <c r="Y53" s="308"/>
      <c r="Z53" s="308"/>
      <c r="AA53" s="467"/>
    </row>
    <row r="54" spans="1:27" s="304" customFormat="1" ht="10.5" customHeight="1">
      <c r="A54" s="402"/>
      <c r="B54" s="403"/>
      <c r="C54" s="409"/>
      <c r="D54" s="409"/>
      <c r="E54" s="409"/>
      <c r="F54" s="409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09"/>
      <c r="U54" s="409"/>
      <c r="V54" s="410"/>
      <c r="W54" s="411"/>
      <c r="X54" s="412"/>
      <c r="Y54" s="411"/>
      <c r="Z54" s="412"/>
    </row>
    <row r="55" spans="1:27" s="304" customFormat="1">
      <c r="A55" s="404"/>
      <c r="B55" s="405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5"/>
      <c r="W55" s="300"/>
      <c r="X55" s="298"/>
      <c r="Y55" s="300"/>
      <c r="Z55" s="298"/>
    </row>
    <row r="56" spans="1:27" s="304" customFormat="1">
      <c r="A56" s="404"/>
      <c r="B56" s="406" t="s">
        <v>4</v>
      </c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5"/>
      <c r="W56" s="300"/>
      <c r="X56" s="298"/>
      <c r="Y56" s="300"/>
      <c r="Z56" s="298"/>
    </row>
    <row r="57" spans="1:27" s="304" customFormat="1">
      <c r="A57" s="404"/>
      <c r="B57" s="406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5"/>
      <c r="W57" s="300"/>
      <c r="X57" s="298"/>
      <c r="Y57" s="300"/>
      <c r="Z57" s="298"/>
    </row>
    <row r="58" spans="1:27" ht="20.25" customHeight="1">
      <c r="B58" s="406" t="s">
        <v>5</v>
      </c>
      <c r="V58" s="415"/>
      <c r="W58" s="413"/>
      <c r="X58" s="414"/>
      <c r="Y58" s="413"/>
      <c r="Z58" s="414"/>
    </row>
    <row r="59" spans="1:27" ht="12.75" customHeight="1">
      <c r="V59" s="415"/>
      <c r="W59" s="543" t="s">
        <v>502</v>
      </c>
      <c r="X59" s="543"/>
      <c r="Y59" s="543"/>
      <c r="Z59" s="543"/>
    </row>
    <row r="60" spans="1:27" ht="14.25">
      <c r="V60" s="415"/>
      <c r="W60" s="416">
        <f>+Balance!C45</f>
        <v>12638456623</v>
      </c>
      <c r="X60" s="416">
        <f>+Balance!D45</f>
        <v>7824285927</v>
      </c>
      <c r="Y60" s="413">
        <f>+Balance!E45</f>
        <v>4814170696</v>
      </c>
      <c r="Z60" s="414"/>
    </row>
    <row r="61" spans="1:27">
      <c r="V61" s="415"/>
      <c r="W61" s="417" t="s">
        <v>83</v>
      </c>
      <c r="X61" s="417"/>
      <c r="Y61" s="418" t="s">
        <v>501</v>
      </c>
      <c r="Z61" s="419"/>
    </row>
    <row r="62" spans="1:27">
      <c r="V62" s="415"/>
      <c r="W62" s="420" t="s">
        <v>500</v>
      </c>
      <c r="X62" s="421">
        <f>+X46-X63</f>
        <v>238801050.5</v>
      </c>
      <c r="Y62" s="420" t="s">
        <v>500</v>
      </c>
      <c r="Z62" s="421">
        <f>+Z46-Z63</f>
        <v>112225358.5</v>
      </c>
    </row>
    <row r="63" spans="1:27" ht="25.5">
      <c r="V63" s="415"/>
      <c r="W63" s="420" t="s">
        <v>28</v>
      </c>
      <c r="X63" s="421">
        <f>+X7+X9+X12+X13+X15+X20+X22+X23+X24+X36-X45</f>
        <v>1913738198</v>
      </c>
      <c r="Y63" s="420" t="s">
        <v>28</v>
      </c>
      <c r="Z63" s="421">
        <f>+Z7+Z9+Z12+Z13+Z15+Z20+Z22+Z23+Z24+Z36-Z45</f>
        <v>923635714</v>
      </c>
    </row>
    <row r="64" spans="1:27" ht="25.5">
      <c r="V64" s="415"/>
      <c r="W64" s="420" t="s">
        <v>433</v>
      </c>
      <c r="X64" s="421">
        <f>+X66-X69</f>
        <v>1707469641.8499999</v>
      </c>
      <c r="Y64" s="420" t="s">
        <v>433</v>
      </c>
      <c r="Z64" s="421">
        <f>+Z66-Z69</f>
        <v>851273005.89999998</v>
      </c>
    </row>
    <row r="65" spans="22:26" s="301" customFormat="1">
      <c r="V65" s="422"/>
      <c r="W65" s="423"/>
      <c r="X65" s="422"/>
      <c r="Y65" s="423"/>
      <c r="Z65" s="422"/>
    </row>
    <row r="66" spans="22:26" s="301" customFormat="1">
      <c r="V66" s="422"/>
      <c r="W66" s="425" t="s">
        <v>505</v>
      </c>
      <c r="X66" s="421">
        <f>+'Bank Liabilities Analysis'!W39+'Liquidity Analysis'!C40</f>
        <v>1946270692.3499999</v>
      </c>
      <c r="Y66" s="425" t="s">
        <v>434</v>
      </c>
      <c r="Z66" s="421">
        <f>+'Bank Liabilities Analysis'!X39+'Liquidity Analysis'!E40</f>
        <v>963498364.39999998</v>
      </c>
    </row>
    <row r="67" spans="22:26" s="301" customFormat="1" ht="25.5">
      <c r="V67" s="422"/>
      <c r="W67" s="425" t="s">
        <v>506</v>
      </c>
      <c r="X67" s="421">
        <f>+'Liquidity Analysis'!C40</f>
        <v>224988397</v>
      </c>
      <c r="Y67" s="425" t="s">
        <v>506</v>
      </c>
      <c r="Z67" s="421">
        <f>+'Liquidity Analysis'!E40</f>
        <v>142574207</v>
      </c>
    </row>
    <row r="68" spans="22:26" s="301" customFormat="1">
      <c r="V68" s="422"/>
      <c r="W68" s="425"/>
      <c r="X68" s="421"/>
      <c r="Y68" s="425"/>
      <c r="Z68" s="421"/>
    </row>
    <row r="69" spans="22:26" s="301" customFormat="1" ht="25.5">
      <c r="V69" s="422"/>
      <c r="W69" s="425" t="s">
        <v>435</v>
      </c>
      <c r="X69" s="421">
        <f>IF(X62&gt;(X66*0.75),X66*0.75,X62)</f>
        <v>238801050.5</v>
      </c>
      <c r="Y69" s="425" t="s">
        <v>435</v>
      </c>
      <c r="Z69" s="421">
        <f>IF(Z62&gt;(Z66*0.75),Z66*0.75,Z62)</f>
        <v>112225358.5</v>
      </c>
    </row>
    <row r="70" spans="22:26" s="301" customFormat="1">
      <c r="V70" s="415"/>
      <c r="W70" s="413"/>
      <c r="X70" s="414"/>
      <c r="Y70" s="413"/>
      <c r="Z70" s="414"/>
    </row>
    <row r="71" spans="22:26" s="301" customFormat="1">
      <c r="V71" s="415"/>
      <c r="W71" s="413"/>
      <c r="X71" s="414"/>
      <c r="Y71" s="413"/>
      <c r="Z71" s="414"/>
    </row>
    <row r="72" spans="22:26" s="301" customFormat="1">
      <c r="V72" s="415"/>
      <c r="W72" s="413"/>
      <c r="X72" s="414"/>
      <c r="Y72" s="413"/>
      <c r="Z72" s="414"/>
    </row>
  </sheetData>
  <sheetProtection algorithmName="SHA-512" hashValue="68am8HanxURazNhI23qp72UvBBYZCU4YBauj7nehyOC7kDCWlRF20QIi12e2dgixCgeBGSTKH9S9FqtK9FL7eQ==" saltValue="M+p6Mc093m+Cce8bYnZBEg==" spinCount="100000" sheet="1" objects="1" scenarios="1"/>
  <mergeCells count="16">
    <mergeCell ref="W59:Z59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5" type="noConversion"/>
  <conditionalFormatting sqref="F7:F8">
    <cfRule type="cellIs" dxfId="373" priority="147" operator="greaterThan">
      <formula>E7</formula>
    </cfRule>
  </conditionalFormatting>
  <conditionalFormatting sqref="D42 F42 D19 F7:F15 F19 F26:F30 D26 D35:D37 F35:F37 F40 D40 D28:D30">
    <cfRule type="cellIs" dxfId="372" priority="146" operator="greaterThan">
      <formula>C7</formula>
    </cfRule>
  </conditionalFormatting>
  <conditionalFormatting sqref="H7:H8">
    <cfRule type="cellIs" dxfId="371" priority="145" operator="greaterThan">
      <formula>G7</formula>
    </cfRule>
  </conditionalFormatting>
  <conditionalFormatting sqref="H42 H7:H15 H19 H26 H35:H37 H40 H28:H30">
    <cfRule type="cellIs" dxfId="370" priority="144" operator="greaterThan">
      <formula>G7</formula>
    </cfRule>
  </conditionalFormatting>
  <conditionalFormatting sqref="J7:J8">
    <cfRule type="cellIs" dxfId="369" priority="143" operator="greaterThan">
      <formula>I7</formula>
    </cfRule>
  </conditionalFormatting>
  <conditionalFormatting sqref="J42 J7:J15 J19 J26:J30 J35:J37 J40">
    <cfRule type="cellIs" dxfId="368" priority="142" operator="greaterThan">
      <formula>I7</formula>
    </cfRule>
  </conditionalFormatting>
  <conditionalFormatting sqref="L7:L8">
    <cfRule type="cellIs" dxfId="367" priority="141" operator="greaterThan">
      <formula>K7</formula>
    </cfRule>
  </conditionalFormatting>
  <conditionalFormatting sqref="L42 L7:L15 L19 L26:L30 L35:L37 L40">
    <cfRule type="cellIs" dxfId="366" priority="140" operator="greaterThan">
      <formula>K7</formula>
    </cfRule>
  </conditionalFormatting>
  <conditionalFormatting sqref="N7:N8">
    <cfRule type="cellIs" dxfId="365" priority="139" operator="greaterThan">
      <formula>M7</formula>
    </cfRule>
  </conditionalFormatting>
  <conditionalFormatting sqref="N7:N15 N42 N26 N19 N35:N37 N40 N28:N30">
    <cfRule type="cellIs" dxfId="364" priority="138" operator="greaterThan">
      <formula>M7</formula>
    </cfRule>
  </conditionalFormatting>
  <conditionalFormatting sqref="P7:P8">
    <cfRule type="cellIs" dxfId="363" priority="137" operator="greaterThan">
      <formula>O7</formula>
    </cfRule>
  </conditionalFormatting>
  <conditionalFormatting sqref="P42 P7:P15 P19 P26:P30 P35:P37 P40">
    <cfRule type="cellIs" dxfId="362" priority="136" operator="greaterThan">
      <formula>O7</formula>
    </cfRule>
  </conditionalFormatting>
  <conditionalFormatting sqref="R7:R8">
    <cfRule type="cellIs" dxfId="361" priority="135" operator="greaterThan">
      <formula>Q7</formula>
    </cfRule>
  </conditionalFormatting>
  <conditionalFormatting sqref="R42 R7:R15 R19 R26:R30 R35:R37 R40">
    <cfRule type="cellIs" dxfId="360" priority="134" operator="greaterThan">
      <formula>Q7</formula>
    </cfRule>
  </conditionalFormatting>
  <conditionalFormatting sqref="H12:H15 J12:J15 L12:L15 N12:N15 P12:P15 R12:R15 F12:F15">
    <cfRule type="cellIs" dxfId="359" priority="133" operator="greaterThan">
      <formula>E12</formula>
    </cfRule>
  </conditionalFormatting>
  <conditionalFormatting sqref="F7:F8">
    <cfRule type="cellIs" dxfId="358" priority="132" operator="greaterThan">
      <formula>E7</formula>
    </cfRule>
  </conditionalFormatting>
  <conditionalFormatting sqref="F42 F7:F15 F19 F26:F30 F35:F37 F40">
    <cfRule type="cellIs" dxfId="357" priority="131" operator="greaterThan">
      <formula>E7</formula>
    </cfRule>
  </conditionalFormatting>
  <conditionalFormatting sqref="D42 J42 L42 F42 P42 R42 N42 N7:N15 H42 N26 D19 R7:R15 P7:P15 F7:F15 L7:L15 J7:J15 H7:H15 H19 J19 L19 F19 P19 R19 N19 R26:R30 P26:P30 F26:F30 L26:L30 J26:J30 H26 D26 D35:D37 H35:H37 J35:J37 L35:L37 F35:F37 P35:P37 R35:R37 N35:N37 N40 R40 P40 F40 L40 J40 H40 D40 D28:D30 H28:H30 N28:N30">
    <cfRule type="cellIs" dxfId="356" priority="130" operator="greaterThan">
      <formula>C7</formula>
    </cfRule>
  </conditionalFormatting>
  <conditionalFormatting sqref="C7:C8 C10">
    <cfRule type="cellIs" dxfId="355" priority="112" operator="greaterThan">
      <formula>$C$7</formula>
    </cfRule>
  </conditionalFormatting>
  <conditionalFormatting sqref="D7:D8">
    <cfRule type="cellIs" dxfId="354" priority="111" operator="greaterThan">
      <formula>C7</formula>
    </cfRule>
  </conditionalFormatting>
  <conditionalFormatting sqref="D7:D8 D10">
    <cfRule type="cellIs" dxfId="353" priority="110" operator="greaterThan">
      <formula>C7</formula>
    </cfRule>
  </conditionalFormatting>
  <conditionalFormatting sqref="D7:D8 D10">
    <cfRule type="cellIs" dxfId="352" priority="109" operator="greaterThan">
      <formula>C7</formula>
    </cfRule>
  </conditionalFormatting>
  <conditionalFormatting sqref="D10">
    <cfRule type="cellIs" dxfId="351" priority="108" operator="greaterThan">
      <formula>C10</formula>
    </cfRule>
  </conditionalFormatting>
  <conditionalFormatting sqref="D9">
    <cfRule type="cellIs" dxfId="350" priority="106" operator="greaterThan">
      <formula>C9</formula>
    </cfRule>
  </conditionalFormatting>
  <conditionalFormatting sqref="D9">
    <cfRule type="cellIs" dxfId="349" priority="105" operator="greaterThan">
      <formula>C9</formula>
    </cfRule>
  </conditionalFormatting>
  <conditionalFormatting sqref="D9">
    <cfRule type="cellIs" dxfId="348" priority="104" operator="greaterThan">
      <formula>C9</formula>
    </cfRule>
  </conditionalFormatting>
  <conditionalFormatting sqref="F17:F18 H17:H18 J17:J18 L17:L18 P17:P18 R17:R18 N17:N18">
    <cfRule type="cellIs" dxfId="347" priority="95" operator="greaterThan">
      <formula>E17</formula>
    </cfRule>
  </conditionalFormatting>
  <conditionalFormatting sqref="D17">
    <cfRule type="cellIs" dxfId="346" priority="92" operator="greaterThan">
      <formula>C17</formula>
    </cfRule>
  </conditionalFormatting>
  <conditionalFormatting sqref="D17">
    <cfRule type="cellIs" dxfId="345" priority="91" operator="greaterThan">
      <formula>C17</formula>
    </cfRule>
  </conditionalFormatting>
  <conditionalFormatting sqref="H17 J17 L17 N17 P17 R17">
    <cfRule type="cellIs" dxfId="344" priority="85" operator="greaterThan">
      <formula>G17</formula>
    </cfRule>
  </conditionalFormatting>
  <conditionalFormatting sqref="F17">
    <cfRule type="cellIs" dxfId="343" priority="84" operator="greaterThan">
      <formula>E17</formula>
    </cfRule>
  </conditionalFormatting>
  <conditionalFormatting sqref="F17">
    <cfRule type="cellIs" dxfId="342" priority="83" operator="greaterThan">
      <formula>E17</formula>
    </cfRule>
  </conditionalFormatting>
  <conditionalFormatting sqref="F17">
    <cfRule type="cellIs" dxfId="341" priority="82" operator="greaterThan">
      <formula>E17</formula>
    </cfRule>
  </conditionalFormatting>
  <conditionalFormatting sqref="F17">
    <cfRule type="cellIs" dxfId="340" priority="81" operator="greaterThan">
      <formula>E17</formula>
    </cfRule>
  </conditionalFormatting>
  <conditionalFormatting sqref="H18 J18 L18 N18 P18 R18">
    <cfRule type="cellIs" dxfId="339" priority="80" operator="greaterThan">
      <formula>G18</formula>
    </cfRule>
  </conditionalFormatting>
  <conditionalFormatting sqref="F18">
    <cfRule type="cellIs" dxfId="338" priority="79" operator="greaterThan">
      <formula>E18</formula>
    </cfRule>
  </conditionalFormatting>
  <conditionalFormatting sqref="F18">
    <cfRule type="cellIs" dxfId="337" priority="78" operator="greaterThan">
      <formula>E18</formula>
    </cfRule>
  </conditionalFormatting>
  <conditionalFormatting sqref="F18">
    <cfRule type="cellIs" dxfId="336" priority="77" operator="greaterThan">
      <formula>E18</formula>
    </cfRule>
  </conditionalFormatting>
  <conditionalFormatting sqref="F18">
    <cfRule type="cellIs" dxfId="335" priority="76" operator="greaterThan">
      <formula>E18</formula>
    </cfRule>
  </conditionalFormatting>
  <conditionalFormatting sqref="N22:N25 R22:R25 P22:P25 L22:L25 J22:J25 H22:H25 D22:D25 F22:F25">
    <cfRule type="cellIs" dxfId="334" priority="75" operator="greaterThan">
      <formula>C22</formula>
    </cfRule>
  </conditionalFormatting>
  <conditionalFormatting sqref="H25 J25 L25 N25 P25 R25">
    <cfRule type="cellIs" dxfId="333" priority="74" operator="greaterThan">
      <formula>G25</formula>
    </cfRule>
  </conditionalFormatting>
  <conditionalFormatting sqref="F25">
    <cfRule type="cellIs" dxfId="332" priority="73" operator="greaterThan">
      <formula>E25</formula>
    </cfRule>
  </conditionalFormatting>
  <conditionalFormatting sqref="F25">
    <cfRule type="cellIs" dxfId="331" priority="72" operator="greaterThan">
      <formula>E25</formula>
    </cfRule>
  </conditionalFormatting>
  <conditionalFormatting sqref="F25">
    <cfRule type="cellIs" dxfId="330" priority="71" operator="greaterThan">
      <formula>E25</formula>
    </cfRule>
  </conditionalFormatting>
  <conditionalFormatting sqref="F25">
    <cfRule type="cellIs" dxfId="329" priority="70" operator="greaterThan">
      <formula>E25</formula>
    </cfRule>
  </conditionalFormatting>
  <conditionalFormatting sqref="F20:F21 D20:D21 H21 J21 L20:L21 P20:P21 R20:R21 N20:N21">
    <cfRule type="cellIs" dxfId="328" priority="69" operator="greaterThan">
      <formula>C20</formula>
    </cfRule>
  </conditionalFormatting>
  <conditionalFormatting sqref="H21 J21 L20:L21 N20:N21 P20:P21 R20:R21">
    <cfRule type="cellIs" dxfId="327" priority="68" operator="greaterThan">
      <formula>G20</formula>
    </cfRule>
  </conditionalFormatting>
  <conditionalFormatting sqref="F20:F21">
    <cfRule type="cellIs" dxfId="326" priority="67" operator="greaterThan">
      <formula>E20</formula>
    </cfRule>
  </conditionalFormatting>
  <conditionalFormatting sqref="F20:F21">
    <cfRule type="cellIs" dxfId="325" priority="66" operator="greaterThan">
      <formula>E20</formula>
    </cfRule>
  </conditionalFormatting>
  <conditionalFormatting sqref="F20:F21">
    <cfRule type="cellIs" dxfId="324" priority="65" operator="greaterThan">
      <formula>E20</formula>
    </cfRule>
  </conditionalFormatting>
  <conditionalFormatting sqref="F20:F21">
    <cfRule type="cellIs" dxfId="323" priority="64" operator="greaterThan">
      <formula>E20</formula>
    </cfRule>
  </conditionalFormatting>
  <conditionalFormatting sqref="N31:N34 R31:R34 P31:P34 L31:L34 J31:J34 H31:H34 D31:D32 F31:F34 D34">
    <cfRule type="cellIs" dxfId="322" priority="63" operator="greaterThan">
      <formula>C31</formula>
    </cfRule>
  </conditionalFormatting>
  <conditionalFormatting sqref="H33 J33 L33 N33 P33 R33">
    <cfRule type="cellIs" dxfId="321" priority="62" operator="greaterThan">
      <formula>G33</formula>
    </cfRule>
  </conditionalFormatting>
  <conditionalFormatting sqref="F33">
    <cfRule type="cellIs" dxfId="320" priority="61" operator="greaterThan">
      <formula>E33</formula>
    </cfRule>
  </conditionalFormatting>
  <conditionalFormatting sqref="F33">
    <cfRule type="cellIs" dxfId="319" priority="60" operator="greaterThan">
      <formula>E33</formula>
    </cfRule>
  </conditionalFormatting>
  <conditionalFormatting sqref="F33">
    <cfRule type="cellIs" dxfId="318" priority="59" operator="greaterThan">
      <formula>E33</formula>
    </cfRule>
  </conditionalFormatting>
  <conditionalFormatting sqref="F33">
    <cfRule type="cellIs" dxfId="317" priority="58" operator="greaterThan">
      <formula>E33</formula>
    </cfRule>
  </conditionalFormatting>
  <conditionalFormatting sqref="H34 J34 L34 N34 P34 R34">
    <cfRule type="cellIs" dxfId="316" priority="57" operator="greaterThan">
      <formula>G34</formula>
    </cfRule>
  </conditionalFormatting>
  <conditionalFormatting sqref="F34">
    <cfRule type="cellIs" dxfId="315" priority="56" operator="greaterThan">
      <formula>E34</formula>
    </cfRule>
  </conditionalFormatting>
  <conditionalFormatting sqref="F34">
    <cfRule type="cellIs" dxfId="314" priority="55" operator="greaterThan">
      <formula>E34</formula>
    </cfRule>
  </conditionalFormatting>
  <conditionalFormatting sqref="F34">
    <cfRule type="cellIs" dxfId="313" priority="54" operator="greaterThan">
      <formula>E34</formula>
    </cfRule>
  </conditionalFormatting>
  <conditionalFormatting sqref="F34">
    <cfRule type="cellIs" dxfId="312" priority="53" operator="greaterThan">
      <formula>E34</formula>
    </cfRule>
  </conditionalFormatting>
  <conditionalFormatting sqref="H31:H32 J31:J32 L31:L32 N31:N32 P31:P32 R31:R32">
    <cfRule type="cellIs" dxfId="311" priority="52" operator="greaterThan">
      <formula>G31</formula>
    </cfRule>
  </conditionalFormatting>
  <conditionalFormatting sqref="F31:F32">
    <cfRule type="cellIs" dxfId="310" priority="51" operator="greaterThan">
      <formula>E31</formula>
    </cfRule>
  </conditionalFormatting>
  <conditionalFormatting sqref="F31:F32">
    <cfRule type="cellIs" dxfId="309" priority="50" operator="greaterThan">
      <formula>E31</formula>
    </cfRule>
  </conditionalFormatting>
  <conditionalFormatting sqref="F31:F32">
    <cfRule type="cellIs" dxfId="308" priority="49" operator="greaterThan">
      <formula>E31</formula>
    </cfRule>
  </conditionalFormatting>
  <conditionalFormatting sqref="F31:F32">
    <cfRule type="cellIs" dxfId="307" priority="48" operator="greaterThan">
      <formula>E31</formula>
    </cfRule>
  </conditionalFormatting>
  <conditionalFormatting sqref="N38:N39 R38:R39 P38:P39 L38:L39 J38:J39 H38:H39 D38:D39 F38:F39">
    <cfRule type="cellIs" dxfId="306" priority="47" operator="greaterThan">
      <formula>C38</formula>
    </cfRule>
  </conditionalFormatting>
  <conditionalFormatting sqref="H38 J38 L38 N38 P38 R38">
    <cfRule type="cellIs" dxfId="305" priority="46" operator="greaterThan">
      <formula>G38</formula>
    </cfRule>
  </conditionalFormatting>
  <conditionalFormatting sqref="F38">
    <cfRule type="cellIs" dxfId="304" priority="45" operator="greaterThan">
      <formula>E38</formula>
    </cfRule>
  </conditionalFormatting>
  <conditionalFormatting sqref="F38">
    <cfRule type="cellIs" dxfId="303" priority="44" operator="greaterThan">
      <formula>E38</formula>
    </cfRule>
  </conditionalFormatting>
  <conditionalFormatting sqref="F38">
    <cfRule type="cellIs" dxfId="302" priority="43" operator="greaterThan">
      <formula>E38</formula>
    </cfRule>
  </conditionalFormatting>
  <conditionalFormatting sqref="F38">
    <cfRule type="cellIs" dxfId="301" priority="42" operator="greaterThan">
      <formula>E38</formula>
    </cfRule>
  </conditionalFormatting>
  <conditionalFormatting sqref="H39 J39 L39 N39 P39 R39">
    <cfRule type="cellIs" dxfId="300" priority="41" operator="greaterThan">
      <formula>G39</formula>
    </cfRule>
  </conditionalFormatting>
  <conditionalFormatting sqref="F39">
    <cfRule type="cellIs" dxfId="299" priority="40" operator="greaterThan">
      <formula>E39</formula>
    </cfRule>
  </conditionalFormatting>
  <conditionalFormatting sqref="F39">
    <cfRule type="cellIs" dxfId="298" priority="39" operator="greaterThan">
      <formula>E39</formula>
    </cfRule>
  </conditionalFormatting>
  <conditionalFormatting sqref="F39">
    <cfRule type="cellIs" dxfId="297" priority="38" operator="greaterThan">
      <formula>E39</formula>
    </cfRule>
  </conditionalFormatting>
  <conditionalFormatting sqref="F39">
    <cfRule type="cellIs" dxfId="296" priority="37" operator="greaterThan">
      <formula>E39</formula>
    </cfRule>
  </conditionalFormatting>
  <conditionalFormatting sqref="N43:N44 R43:R44 P43:P44 L43:L44 J43:J44 H43:H44 F43:F44">
    <cfRule type="cellIs" dxfId="295" priority="36" operator="greaterThan">
      <formula>E43</formula>
    </cfRule>
  </conditionalFormatting>
  <conditionalFormatting sqref="D43:D44">
    <cfRule type="cellIs" dxfId="294" priority="35" operator="greaterThan">
      <formula>C43</formula>
    </cfRule>
  </conditionalFormatting>
  <conditionalFormatting sqref="D43:D44">
    <cfRule type="cellIs" dxfId="293" priority="34" operator="greaterThan">
      <formula>C43</formula>
    </cfRule>
  </conditionalFormatting>
  <conditionalFormatting sqref="H43 J43 L43 N43 P43 R43">
    <cfRule type="cellIs" dxfId="292" priority="33" operator="greaterThan">
      <formula>G43</formula>
    </cfRule>
  </conditionalFormatting>
  <conditionalFormatting sqref="F43">
    <cfRule type="cellIs" dxfId="291" priority="32" operator="greaterThan">
      <formula>E43</formula>
    </cfRule>
  </conditionalFormatting>
  <conditionalFormatting sqref="F43">
    <cfRule type="cellIs" dxfId="290" priority="31" operator="greaterThan">
      <formula>E43</formula>
    </cfRule>
  </conditionalFormatting>
  <conditionalFormatting sqref="F43">
    <cfRule type="cellIs" dxfId="289" priority="30" operator="greaterThan">
      <formula>E43</formula>
    </cfRule>
  </conditionalFormatting>
  <conditionalFormatting sqref="F43">
    <cfRule type="cellIs" dxfId="288" priority="29" operator="greaterThan">
      <formula>E43</formula>
    </cfRule>
  </conditionalFormatting>
  <conditionalFormatting sqref="H44 J44 L44 N44 P44 R44">
    <cfRule type="cellIs" dxfId="287" priority="28" operator="greaterThan">
      <formula>G44</formula>
    </cfRule>
  </conditionalFormatting>
  <conditionalFormatting sqref="F44">
    <cfRule type="cellIs" dxfId="286" priority="27" operator="greaterThan">
      <formula>E44</formula>
    </cfRule>
  </conditionalFormatting>
  <conditionalFormatting sqref="F44">
    <cfRule type="cellIs" dxfId="285" priority="26" operator="greaterThan">
      <formula>E44</formula>
    </cfRule>
  </conditionalFormatting>
  <conditionalFormatting sqref="F44">
    <cfRule type="cellIs" dxfId="284" priority="25" operator="greaterThan">
      <formula>E44</formula>
    </cfRule>
  </conditionalFormatting>
  <conditionalFormatting sqref="F44">
    <cfRule type="cellIs" dxfId="283" priority="24" operator="greaterThan">
      <formula>E44</formula>
    </cfRule>
  </conditionalFormatting>
  <conditionalFormatting sqref="H20 J20">
    <cfRule type="cellIs" dxfId="282" priority="19" operator="greaterThan">
      <formula>G20</formula>
    </cfRule>
  </conditionalFormatting>
  <conditionalFormatting sqref="H20 J20">
    <cfRule type="cellIs" dxfId="281" priority="18" operator="greaterThan">
      <formula>G20</formula>
    </cfRule>
  </conditionalFormatting>
  <conditionalFormatting sqref="T46">
    <cfRule type="cellIs" dxfId="280" priority="320" operator="notEqual">
      <formula>#REF!</formula>
    </cfRule>
  </conditionalFormatting>
  <conditionalFormatting sqref="U46">
    <cfRule type="cellIs" dxfId="279" priority="321" operator="notEqual">
      <formula>#REF!</formula>
    </cfRule>
  </conditionalFormatting>
  <conditionalFormatting sqref="S46">
    <cfRule type="cellIs" dxfId="278" priority="322" operator="notEqual">
      <formula>#REF!</formula>
    </cfRule>
  </conditionalFormatting>
  <conditionalFormatting sqref="N45 R45 P45 L45 J45 H45 F45">
    <cfRule type="cellIs" dxfId="277" priority="15" operator="greaterThan">
      <formula>E45</formula>
    </cfRule>
  </conditionalFormatting>
  <conditionalFormatting sqref="D45">
    <cfRule type="cellIs" dxfId="276" priority="14" operator="greaterThan">
      <formula>C45</formula>
    </cfRule>
  </conditionalFormatting>
  <conditionalFormatting sqref="D45">
    <cfRule type="cellIs" dxfId="275" priority="13" operator="greaterThan">
      <formula>C45</formula>
    </cfRule>
  </conditionalFormatting>
  <conditionalFormatting sqref="H45 J45 L45 N45 P45 R45">
    <cfRule type="cellIs" dxfId="274" priority="12" operator="greaterThan">
      <formula>G45</formula>
    </cfRule>
  </conditionalFormatting>
  <conditionalFormatting sqref="F45">
    <cfRule type="cellIs" dxfId="273" priority="11" operator="greaterThan">
      <formula>E45</formula>
    </cfRule>
  </conditionalFormatting>
  <conditionalFormatting sqref="F45">
    <cfRule type="cellIs" dxfId="272" priority="10" operator="greaterThan">
      <formula>E45</formula>
    </cfRule>
  </conditionalFormatting>
  <conditionalFormatting sqref="F45">
    <cfRule type="cellIs" dxfId="271" priority="9" operator="greaterThan">
      <formula>E45</formula>
    </cfRule>
  </conditionalFormatting>
  <conditionalFormatting sqref="F45">
    <cfRule type="cellIs" dxfId="270" priority="8" operator="greaterThan">
      <formula>E45</formula>
    </cfRule>
  </conditionalFormatting>
  <conditionalFormatting sqref="N16">
    <cfRule type="cellIs" dxfId="269" priority="7" operator="greaterThan">
      <formula>M16</formula>
    </cfRule>
  </conditionalFormatting>
  <conditionalFormatting sqref="F16 D16">
    <cfRule type="cellIs" dxfId="268" priority="6" operator="greaterThan">
      <formula>C16</formula>
    </cfRule>
  </conditionalFormatting>
  <conditionalFormatting sqref="H16">
    <cfRule type="cellIs" dxfId="267" priority="5" operator="greaterThan">
      <formula>G16</formula>
    </cfRule>
  </conditionalFormatting>
  <conditionalFormatting sqref="J16">
    <cfRule type="cellIs" dxfId="266" priority="4" operator="greaterThan">
      <formula>I16</formula>
    </cfRule>
  </conditionalFormatting>
  <conditionalFormatting sqref="R16">
    <cfRule type="cellIs" dxfId="265" priority="3" operator="greaterThan">
      <formula>Q16</formula>
    </cfRule>
  </conditionalFormatting>
  <conditionalFormatting sqref="F16">
    <cfRule type="cellIs" dxfId="264" priority="2" operator="greaterThan">
      <formula>E16</formula>
    </cfRule>
  </conditionalFormatting>
  <conditionalFormatting sqref="H16 J16 F16 R16 D16">
    <cfRule type="cellIs" dxfId="263" priority="1" operator="greaterThan">
      <formula>C16</formula>
    </cfRule>
  </conditionalFormatting>
  <dataValidations count="2">
    <dataValidation type="whole" operator="notEqual" allowBlank="1" showErrorMessage="1" error="Введите как целое число." sqref="Q38:R39 E38:P40 C6:R19 C47:R53 C20:D41 E20:R37 C42:R45 E41:R41" xr:uid="{00000000-0002-0000-0300-000000000000}">
      <formula1>-1E+28</formula1>
    </dataValidation>
    <dataValidation allowBlank="1" showErrorMessage="1" prompt="Введите самостоятельно рассчитанный коэффициент" sqref="T5:U5 C5:R5" xr:uid="{00000000-0002-0000-0300-000001000000}"/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25" orientation="landscape" r:id="rId1"/>
  <headerFooter alignWithMargins="0"/>
  <ignoredErrors>
    <ignoredError sqref="T8:U8" formula="1"/>
    <ignoredError sqref="C35:R3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8">
    <pageSetUpPr fitToPage="1"/>
  </sheetPr>
  <dimension ref="A2:S62"/>
  <sheetViews>
    <sheetView view="pageBreakPreview" zoomScale="70" zoomScaleNormal="55" zoomScaleSheetLayoutView="70" workbookViewId="0">
      <pane xSplit="2" ySplit="6" topLeftCell="C49" activePane="bottomRight" state="frozen"/>
      <selection activeCell="C71" sqref="C71"/>
      <selection pane="topRight" activeCell="C71" sqref="C71"/>
      <selection pane="bottomLeft" activeCell="C71" sqref="C71"/>
      <selection pane="bottomRight" activeCell="E23" sqref="E23"/>
    </sheetView>
  </sheetViews>
  <sheetFormatPr defaultRowHeight="12.75"/>
  <cols>
    <col min="1" max="1" width="8.140625" style="432" customWidth="1"/>
    <col min="2" max="2" width="80.42578125" style="301" customWidth="1"/>
    <col min="3" max="11" width="22.140625" style="301" customWidth="1"/>
    <col min="12" max="12" width="15.5703125" style="305" customWidth="1"/>
    <col min="13" max="13" width="19.42578125" style="300" customWidth="1"/>
    <col min="14" max="14" width="23.28515625" style="298" customWidth="1"/>
    <col min="15" max="15" width="23.7109375" style="301" customWidth="1"/>
    <col min="16" max="16" width="17.5703125" style="301" customWidth="1"/>
    <col min="17" max="17" width="15.140625" style="301" customWidth="1"/>
    <col min="18" max="18" width="23.85546875" style="301" customWidth="1"/>
    <col min="19" max="19" width="15.140625" style="301" customWidth="1"/>
    <col min="20" max="16384" width="9.140625" style="301"/>
  </cols>
  <sheetData>
    <row r="2" spans="1:19" s="231" customFormat="1" ht="26.25" customHeight="1">
      <c r="A2" s="228" t="s">
        <v>449</v>
      </c>
      <c r="B2" s="229"/>
      <c r="C2" s="229"/>
      <c r="D2" s="230"/>
      <c r="E2" s="230"/>
      <c r="F2" s="230"/>
      <c r="G2" s="230"/>
      <c r="H2" s="230"/>
      <c r="I2" s="230"/>
      <c r="K2" s="426"/>
      <c r="L2" s="550" t="s">
        <v>446</v>
      </c>
      <c r="M2" s="550"/>
      <c r="N2" s="550"/>
    </row>
    <row r="3" spans="1:19" ht="15.75">
      <c r="A3" s="427"/>
      <c r="B3" s="459" t="str">
        <f>Balance!B3</f>
        <v xml:space="preserve">АК "АЛОКАБАНК" </v>
      </c>
      <c r="C3" s="139"/>
      <c r="D3" s="297"/>
      <c r="E3" s="297"/>
      <c r="F3" s="297"/>
      <c r="G3" s="297"/>
      <c r="H3" s="297"/>
      <c r="I3" s="297"/>
      <c r="J3" s="176" t="str">
        <f>+Balance!B2</f>
        <v xml:space="preserve"> 31 Декабрь, 2021</v>
      </c>
      <c r="L3" s="301"/>
      <c r="M3" s="297"/>
      <c r="N3" s="298" t="str">
        <f>+Balance!E3</f>
        <v>тыс. сум</v>
      </c>
    </row>
    <row r="4" spans="1:19" s="75" customFormat="1" ht="37.5" customHeight="1">
      <c r="A4" s="544" t="s">
        <v>79</v>
      </c>
      <c r="B4" s="544" t="s">
        <v>54</v>
      </c>
      <c r="C4" s="538" t="s">
        <v>167</v>
      </c>
      <c r="D4" s="540"/>
      <c r="E4" s="540"/>
      <c r="F4" s="540"/>
      <c r="G4" s="540"/>
      <c r="H4" s="540"/>
      <c r="I4" s="540"/>
      <c r="J4" s="540"/>
      <c r="K4" s="544" t="s">
        <v>127</v>
      </c>
      <c r="L4" s="538" t="s">
        <v>543</v>
      </c>
      <c r="M4" s="540"/>
      <c r="N4" s="539"/>
    </row>
    <row r="5" spans="1:19" s="75" customFormat="1" ht="42.75" customHeight="1">
      <c r="A5" s="545"/>
      <c r="B5" s="545"/>
      <c r="C5" s="461" t="s">
        <v>128</v>
      </c>
      <c r="D5" s="461" t="s">
        <v>440</v>
      </c>
      <c r="E5" s="461" t="s">
        <v>441</v>
      </c>
      <c r="F5" s="461" t="s">
        <v>344</v>
      </c>
      <c r="G5" s="461" t="s">
        <v>345</v>
      </c>
      <c r="H5" s="461" t="s">
        <v>412</v>
      </c>
      <c r="I5" s="461" t="s">
        <v>413</v>
      </c>
      <c r="J5" s="461" t="s">
        <v>84</v>
      </c>
      <c r="K5" s="545"/>
      <c r="L5" s="460" t="s">
        <v>33</v>
      </c>
      <c r="M5" s="460" t="s">
        <v>40</v>
      </c>
      <c r="N5" s="460" t="s">
        <v>496</v>
      </c>
    </row>
    <row r="6" spans="1:19" s="408" customFormat="1" ht="21" customHeight="1">
      <c r="A6" s="428"/>
      <c r="B6" s="295" t="s">
        <v>0</v>
      </c>
      <c r="C6" s="299"/>
      <c r="D6" s="299"/>
      <c r="E6" s="299"/>
      <c r="F6" s="299"/>
      <c r="G6" s="299"/>
      <c r="H6" s="299"/>
      <c r="I6" s="299"/>
      <c r="J6" s="299"/>
      <c r="K6" s="299"/>
      <c r="L6" s="407"/>
      <c r="M6" s="306"/>
      <c r="N6" s="299"/>
      <c r="O6" s="302"/>
      <c r="P6" s="302"/>
      <c r="Q6" s="302"/>
      <c r="R6" s="302"/>
      <c r="S6" s="302"/>
    </row>
    <row r="7" spans="1:19" s="290" customFormat="1" ht="33.75" customHeight="1">
      <c r="A7" s="282" t="s">
        <v>80</v>
      </c>
      <c r="B7" s="283" t="s">
        <v>129</v>
      </c>
      <c r="C7" s="284">
        <f>+'Bank Assets Analysis'!C7-'Bank Assets Analysis'!D7</f>
        <v>94523100</v>
      </c>
      <c r="D7" s="284">
        <f>+'Bank Assets Analysis'!E7-'Bank Assets Analysis'!F7</f>
        <v>0</v>
      </c>
      <c r="E7" s="284">
        <f>+'Bank Assets Analysis'!G7-'Bank Assets Analysis'!H7</f>
        <v>0</v>
      </c>
      <c r="F7" s="284">
        <f>+'Bank Assets Analysis'!I7-'Bank Assets Analysis'!J7</f>
        <v>0</v>
      </c>
      <c r="G7" s="284">
        <f>+'Bank Assets Analysis'!K7-'Bank Assets Analysis'!L7</f>
        <v>0</v>
      </c>
      <c r="H7" s="284">
        <f>+'Bank Assets Analysis'!M7-'Bank Assets Analysis'!N7</f>
        <v>0</v>
      </c>
      <c r="I7" s="284">
        <f>+'Bank Assets Analysis'!O7-'Bank Assets Analysis'!P7</f>
        <v>0</v>
      </c>
      <c r="J7" s="284">
        <f>+'Bank Assets Analysis'!Q7-'Bank Assets Analysis'!R7</f>
        <v>0</v>
      </c>
      <c r="K7" s="284">
        <f t="shared" ref="K7:K44" si="0">+C7+D7+E7+F7+G7+H7+I7+J7</f>
        <v>94523100</v>
      </c>
      <c r="L7" s="285">
        <v>1</v>
      </c>
      <c r="M7" s="286">
        <f>+K7-K8</f>
        <v>94523100</v>
      </c>
      <c r="N7" s="287">
        <f>+M7*L7</f>
        <v>94523100</v>
      </c>
      <c r="O7" s="289"/>
      <c r="P7" s="289"/>
      <c r="Q7" s="289"/>
      <c r="R7" s="289"/>
      <c r="S7" s="289"/>
    </row>
    <row r="8" spans="1:19" s="290" customFormat="1" ht="33.75" customHeight="1">
      <c r="A8" s="282" t="s">
        <v>169</v>
      </c>
      <c r="B8" s="283" t="s">
        <v>493</v>
      </c>
      <c r="C8" s="284">
        <f>+'Bank Assets Analysis'!C8-'Bank Assets Analysis'!D8</f>
        <v>0</v>
      </c>
      <c r="D8" s="284">
        <f>+'Bank Assets Analysis'!E8-'Bank Assets Analysis'!F8</f>
        <v>0</v>
      </c>
      <c r="E8" s="284">
        <f>+'Bank Assets Analysis'!G8-'Bank Assets Analysis'!H8</f>
        <v>0</v>
      </c>
      <c r="F8" s="284">
        <f>+'Bank Assets Analysis'!I8-'Bank Assets Analysis'!J8</f>
        <v>0</v>
      </c>
      <c r="G8" s="284">
        <f>+'Bank Assets Analysis'!K8-'Bank Assets Analysis'!L8</f>
        <v>0</v>
      </c>
      <c r="H8" s="284">
        <f>+'Bank Assets Analysis'!M8-'Bank Assets Analysis'!N8</f>
        <v>0</v>
      </c>
      <c r="I8" s="284">
        <f>+'Bank Assets Analysis'!O8-'Bank Assets Analysis'!P8</f>
        <v>0</v>
      </c>
      <c r="J8" s="284">
        <f>+'Bank Assets Analysis'!Q8-'Bank Assets Analysis'!R8</f>
        <v>0</v>
      </c>
      <c r="K8" s="284">
        <f t="shared" ref="K8" si="1">+C8+D8+E8+F8+G8+H8+I8+J8</f>
        <v>0</v>
      </c>
      <c r="L8" s="285">
        <v>0</v>
      </c>
      <c r="M8" s="375"/>
      <c r="N8" s="284"/>
      <c r="O8" s="429"/>
      <c r="P8" s="289"/>
      <c r="Q8" s="289"/>
      <c r="R8" s="289"/>
      <c r="S8" s="289"/>
    </row>
    <row r="9" spans="1:19" s="290" customFormat="1" ht="33.75" customHeight="1">
      <c r="A9" s="282" t="s">
        <v>130</v>
      </c>
      <c r="B9" s="283" t="s">
        <v>427</v>
      </c>
      <c r="C9" s="284">
        <f>+'Bank Assets Analysis'!C9-'Bank Assets Analysis'!D9</f>
        <v>895579384</v>
      </c>
      <c r="D9" s="284">
        <f>+'Bank Assets Analysis'!E9-'Bank Assets Analysis'!F9</f>
        <v>0</v>
      </c>
      <c r="E9" s="284">
        <f>+'Bank Assets Analysis'!G9-'Bank Assets Analysis'!H9</f>
        <v>0</v>
      </c>
      <c r="F9" s="284">
        <f>+'Bank Assets Analysis'!I9-'Bank Assets Analysis'!J9</f>
        <v>0</v>
      </c>
      <c r="G9" s="284">
        <f>+'Bank Assets Analysis'!K9-'Bank Assets Analysis'!L9</f>
        <v>0</v>
      </c>
      <c r="H9" s="284">
        <f>+'Bank Assets Analysis'!M9-'Bank Assets Analysis'!N9</f>
        <v>0</v>
      </c>
      <c r="I9" s="284">
        <f>+'Bank Assets Analysis'!O9-'Bank Assets Analysis'!P9</f>
        <v>0</v>
      </c>
      <c r="J9" s="284">
        <f>+'Bank Assets Analysis'!Q9-'Bank Assets Analysis'!R9</f>
        <v>0</v>
      </c>
      <c r="K9" s="284">
        <f t="shared" si="0"/>
        <v>895579384</v>
      </c>
      <c r="L9" s="285">
        <v>1</v>
      </c>
      <c r="M9" s="286">
        <f>+K9</f>
        <v>895579384</v>
      </c>
      <c r="N9" s="287">
        <f t="shared" ref="N9:N17" si="2">+M9*L9</f>
        <v>895579384</v>
      </c>
      <c r="O9" s="289"/>
      <c r="P9" s="289"/>
      <c r="Q9" s="289"/>
      <c r="R9" s="289"/>
      <c r="S9" s="289"/>
    </row>
    <row r="10" spans="1:19" s="290" customFormat="1" ht="33.75" customHeight="1">
      <c r="A10" s="282" t="s">
        <v>191</v>
      </c>
      <c r="B10" s="283" t="s">
        <v>426</v>
      </c>
      <c r="C10" s="284">
        <f>+'Bank Assets Analysis'!C10-'Bank Assets Analysis'!D10</f>
        <v>92646056</v>
      </c>
      <c r="D10" s="284">
        <f>+'Bank Assets Analysis'!E10-'Bank Assets Analysis'!F10</f>
        <v>0</v>
      </c>
      <c r="E10" s="284">
        <f>+'Bank Assets Analysis'!G10-'Bank Assets Analysis'!H10</f>
        <v>0</v>
      </c>
      <c r="F10" s="284">
        <f>+'Bank Assets Analysis'!I10-'Bank Assets Analysis'!J10</f>
        <v>0</v>
      </c>
      <c r="G10" s="284">
        <f>+'Bank Assets Analysis'!K10-'Bank Assets Analysis'!L10</f>
        <v>0</v>
      </c>
      <c r="H10" s="284">
        <f>+'Bank Assets Analysis'!M10-'Bank Assets Analysis'!N10</f>
        <v>0</v>
      </c>
      <c r="I10" s="284">
        <f>+'Bank Assets Analysis'!O10-'Bank Assets Analysis'!P10</f>
        <v>0</v>
      </c>
      <c r="J10" s="284">
        <f>+'Bank Assets Analysis'!Q10-'Bank Assets Analysis'!R10</f>
        <v>0</v>
      </c>
      <c r="K10" s="284">
        <f t="shared" si="0"/>
        <v>92646056</v>
      </c>
      <c r="L10" s="285">
        <v>0</v>
      </c>
      <c r="M10" s="286"/>
      <c r="N10" s="284">
        <f t="shared" si="2"/>
        <v>0</v>
      </c>
      <c r="O10" s="289"/>
      <c r="P10" s="289"/>
      <c r="Q10" s="289"/>
      <c r="R10" s="289"/>
      <c r="S10" s="289"/>
    </row>
    <row r="11" spans="1:19" s="290" customFormat="1" ht="33.75" customHeight="1">
      <c r="A11" s="282" t="s">
        <v>131</v>
      </c>
      <c r="B11" s="283" t="s">
        <v>132</v>
      </c>
      <c r="C11" s="284">
        <f>SUM(C12:C18)-C15</f>
        <v>1333449</v>
      </c>
      <c r="D11" s="284">
        <f t="shared" ref="D11:J11" si="3">SUM(D12:D18)-D15</f>
        <v>0</v>
      </c>
      <c r="E11" s="284">
        <f t="shared" si="3"/>
        <v>0</v>
      </c>
      <c r="F11" s="284">
        <f t="shared" si="3"/>
        <v>0</v>
      </c>
      <c r="G11" s="284">
        <f t="shared" si="3"/>
        <v>0</v>
      </c>
      <c r="H11" s="284">
        <f t="shared" si="3"/>
        <v>0</v>
      </c>
      <c r="I11" s="284">
        <f t="shared" si="3"/>
        <v>0</v>
      </c>
      <c r="J11" s="284">
        <f t="shared" si="3"/>
        <v>167500305</v>
      </c>
      <c r="K11" s="284">
        <f t="shared" si="0"/>
        <v>168833754</v>
      </c>
      <c r="L11" s="285"/>
      <c r="M11" s="286"/>
      <c r="N11" s="284">
        <f t="shared" si="2"/>
        <v>0</v>
      </c>
      <c r="O11" s="289"/>
      <c r="P11" s="289"/>
      <c r="Q11" s="289"/>
      <c r="R11" s="289"/>
      <c r="S11" s="289"/>
    </row>
    <row r="12" spans="1:19" s="290" customFormat="1" ht="33.75" customHeight="1">
      <c r="A12" s="282" t="s">
        <v>192</v>
      </c>
      <c r="B12" s="283" t="s">
        <v>53</v>
      </c>
      <c r="C12" s="284">
        <f>+'Bank Assets Analysis'!C12-'Bank Assets Analysis'!D12</f>
        <v>0</v>
      </c>
      <c r="D12" s="284">
        <f>+'Bank Assets Analysis'!E12-'Bank Assets Analysis'!F12</f>
        <v>0</v>
      </c>
      <c r="E12" s="284">
        <f>+'Bank Assets Analysis'!G12-'Bank Assets Analysis'!H12</f>
        <v>0</v>
      </c>
      <c r="F12" s="284">
        <f>+'Bank Assets Analysis'!I12-'Bank Assets Analysis'!J12</f>
        <v>0</v>
      </c>
      <c r="G12" s="284">
        <f>+'Bank Assets Analysis'!K12-'Bank Assets Analysis'!L12</f>
        <v>0</v>
      </c>
      <c r="H12" s="284">
        <f>+'Bank Assets Analysis'!M12-'Bank Assets Analysis'!N12</f>
        <v>0</v>
      </c>
      <c r="I12" s="284">
        <f>+'Bank Assets Analysis'!O12-'Bank Assets Analysis'!P12</f>
        <v>0</v>
      </c>
      <c r="J12" s="284">
        <f>+'Bank Assets Analysis'!Q12-'Bank Assets Analysis'!R12</f>
        <v>0</v>
      </c>
      <c r="K12" s="284">
        <f t="shared" si="0"/>
        <v>0</v>
      </c>
      <c r="L12" s="285">
        <v>1</v>
      </c>
      <c r="M12" s="286">
        <f>+C12</f>
        <v>0</v>
      </c>
      <c r="N12" s="287">
        <f t="shared" si="2"/>
        <v>0</v>
      </c>
      <c r="O12" s="289"/>
      <c r="P12" s="289"/>
      <c r="Q12" s="289"/>
      <c r="R12" s="289"/>
      <c r="S12" s="289"/>
    </row>
    <row r="13" spans="1:19" s="290" customFormat="1" ht="33.75" customHeight="1">
      <c r="A13" s="282" t="s">
        <v>193</v>
      </c>
      <c r="B13" s="283" t="s">
        <v>491</v>
      </c>
      <c r="C13" s="284">
        <f>+'Bank Assets Analysis'!C13-'Bank Assets Analysis'!D13</f>
        <v>0</v>
      </c>
      <c r="D13" s="284">
        <f>+'Bank Assets Analysis'!E13-'Bank Assets Analysis'!F13</f>
        <v>0</v>
      </c>
      <c r="E13" s="284">
        <f>+'Bank Assets Analysis'!G13-'Bank Assets Analysis'!H13</f>
        <v>0</v>
      </c>
      <c r="F13" s="284">
        <f>+'Bank Assets Analysis'!I13-'Bank Assets Analysis'!J13</f>
        <v>0</v>
      </c>
      <c r="G13" s="284">
        <f>+'Bank Assets Analysis'!K13-'Bank Assets Analysis'!L13</f>
        <v>0</v>
      </c>
      <c r="H13" s="284">
        <f>+'Bank Assets Analysis'!M13-'Bank Assets Analysis'!N13</f>
        <v>0</v>
      </c>
      <c r="I13" s="284">
        <f>+'Bank Assets Analysis'!O13-'Bank Assets Analysis'!P13</f>
        <v>0</v>
      </c>
      <c r="J13" s="284">
        <f>+'Bank Assets Analysis'!Q13-'Bank Assets Analysis'!R13</f>
        <v>0</v>
      </c>
      <c r="K13" s="284">
        <f t="shared" ref="K13:K15" si="4">+C13+D13+E13+F13+G13+H13+I13+J13</f>
        <v>0</v>
      </c>
      <c r="L13" s="285">
        <v>1</v>
      </c>
      <c r="M13" s="286">
        <f>+C13</f>
        <v>0</v>
      </c>
      <c r="N13" s="287">
        <f t="shared" si="2"/>
        <v>0</v>
      </c>
      <c r="O13" s="289"/>
      <c r="P13" s="289"/>
      <c r="Q13" s="289"/>
      <c r="R13" s="289"/>
      <c r="S13" s="289"/>
    </row>
    <row r="14" spans="1:19" s="290" customFormat="1" ht="33.75" customHeight="1">
      <c r="A14" s="282" t="s">
        <v>22</v>
      </c>
      <c r="B14" s="283" t="s">
        <v>465</v>
      </c>
      <c r="C14" s="284">
        <f>+'Bank Assets Analysis'!C14-'Bank Assets Analysis'!D14</f>
        <v>0</v>
      </c>
      <c r="D14" s="284">
        <f>+'Bank Assets Analysis'!E14-'Bank Assets Analysis'!F14</f>
        <v>0</v>
      </c>
      <c r="E14" s="284">
        <f>+'Bank Assets Analysis'!G14-'Bank Assets Analysis'!H14</f>
        <v>0</v>
      </c>
      <c r="F14" s="284">
        <f>+'Bank Assets Analysis'!I14-'Bank Assets Analysis'!J14</f>
        <v>0</v>
      </c>
      <c r="G14" s="284">
        <f>+'Bank Assets Analysis'!K14-'Bank Assets Analysis'!L14</f>
        <v>0</v>
      </c>
      <c r="H14" s="284">
        <f>+'Bank Assets Analysis'!M14-'Bank Assets Analysis'!N14</f>
        <v>0</v>
      </c>
      <c r="I14" s="284">
        <f>+'Bank Assets Analysis'!O14-'Bank Assets Analysis'!P14</f>
        <v>0</v>
      </c>
      <c r="J14" s="284">
        <f>+'Bank Assets Analysis'!Q14-'Bank Assets Analysis'!R14</f>
        <v>0</v>
      </c>
      <c r="K14" s="284">
        <f t="shared" si="4"/>
        <v>0</v>
      </c>
      <c r="L14" s="285">
        <v>1</v>
      </c>
      <c r="M14" s="375">
        <f>+D14-D15</f>
        <v>0</v>
      </c>
      <c r="N14" s="284">
        <f t="shared" si="2"/>
        <v>0</v>
      </c>
      <c r="O14" s="289"/>
      <c r="P14" s="289"/>
      <c r="Q14" s="289"/>
      <c r="R14" s="289"/>
      <c r="S14" s="289"/>
    </row>
    <row r="15" spans="1:19" s="290" customFormat="1" ht="33.75" customHeight="1">
      <c r="A15" s="282" t="s">
        <v>494</v>
      </c>
      <c r="B15" s="283" t="s">
        <v>495</v>
      </c>
      <c r="C15" s="284">
        <f>+'Bank Assets Analysis'!C15-'Bank Assets Analysis'!D15</f>
        <v>0</v>
      </c>
      <c r="D15" s="284">
        <f>+'Bank Assets Analysis'!E15-'Bank Assets Analysis'!F15</f>
        <v>0</v>
      </c>
      <c r="E15" s="284">
        <f>+'Bank Assets Analysis'!G15-'Bank Assets Analysis'!H15</f>
        <v>0</v>
      </c>
      <c r="F15" s="284">
        <f>+'Bank Assets Analysis'!I15-'Bank Assets Analysis'!J15</f>
        <v>0</v>
      </c>
      <c r="G15" s="284">
        <f>+'Bank Assets Analysis'!K15-'Bank Assets Analysis'!L15</f>
        <v>0</v>
      </c>
      <c r="H15" s="284">
        <f>+'Bank Assets Analysis'!M15-'Bank Assets Analysis'!N15</f>
        <v>0</v>
      </c>
      <c r="I15" s="284">
        <f>+'Bank Assets Analysis'!O15-'Bank Assets Analysis'!P15</f>
        <v>0</v>
      </c>
      <c r="J15" s="284">
        <f>+'Bank Assets Analysis'!Q15-'Bank Assets Analysis'!R15</f>
        <v>0</v>
      </c>
      <c r="K15" s="284">
        <f t="shared" si="4"/>
        <v>0</v>
      </c>
      <c r="L15" s="285">
        <v>1</v>
      </c>
      <c r="M15" s="286">
        <f>+C15</f>
        <v>0</v>
      </c>
      <c r="N15" s="287">
        <f t="shared" si="2"/>
        <v>0</v>
      </c>
      <c r="O15" s="289"/>
      <c r="P15" s="289"/>
      <c r="Q15" s="289"/>
      <c r="R15" s="289"/>
      <c r="S15" s="289"/>
    </row>
    <row r="16" spans="1:19" s="290" customFormat="1" ht="33.75" customHeight="1">
      <c r="A16" s="282" t="s">
        <v>347</v>
      </c>
      <c r="B16" s="283" t="s">
        <v>346</v>
      </c>
      <c r="C16" s="284">
        <f>+'Bank Assets Analysis'!C16-'Bank Assets Analysis'!D16</f>
        <v>886620</v>
      </c>
      <c r="D16" s="284">
        <f>+'Bank Assets Analysis'!E16-'Bank Assets Analysis'!F16</f>
        <v>0</v>
      </c>
      <c r="E16" s="284">
        <f>+'Bank Assets Analysis'!G16-'Bank Assets Analysis'!H16</f>
        <v>0</v>
      </c>
      <c r="F16" s="284">
        <f>+'Bank Assets Analysis'!I16-'Bank Assets Analysis'!J16</f>
        <v>0</v>
      </c>
      <c r="G16" s="284">
        <f>+'Bank Assets Analysis'!K16-'Bank Assets Analysis'!L16</f>
        <v>0</v>
      </c>
      <c r="H16" s="284">
        <f>+'Bank Assets Analysis'!M16-'Bank Assets Analysis'!N16</f>
        <v>0</v>
      </c>
      <c r="I16" s="284">
        <f>+'Bank Assets Analysis'!O16-'Bank Assets Analysis'!P16</f>
        <v>0</v>
      </c>
      <c r="J16" s="284">
        <f>+'Bank Assets Analysis'!Q16-'Bank Assets Analysis'!R16</f>
        <v>167500305</v>
      </c>
      <c r="K16" s="284">
        <f t="shared" si="0"/>
        <v>168386925</v>
      </c>
      <c r="L16" s="285">
        <v>1</v>
      </c>
      <c r="M16" s="286">
        <f>+C16+D16+E16+D12+D13+D14-D15</f>
        <v>886620</v>
      </c>
      <c r="N16" s="284">
        <f t="shared" si="2"/>
        <v>886620</v>
      </c>
      <c r="O16" s="289"/>
      <c r="P16" s="289"/>
      <c r="Q16" s="289"/>
      <c r="R16" s="289"/>
      <c r="S16" s="289"/>
    </row>
    <row r="17" spans="1:19" s="290" customFormat="1" ht="33.75" customHeight="1">
      <c r="A17" s="282" t="s">
        <v>466</v>
      </c>
      <c r="B17" s="283" t="s">
        <v>23</v>
      </c>
      <c r="C17" s="284">
        <f>+'Bank Assets Analysis'!C17-'Bank Assets Analysis'!D17</f>
        <v>225609</v>
      </c>
      <c r="D17" s="284">
        <f>+'Bank Assets Analysis'!E17-'Bank Assets Analysis'!F17</f>
        <v>0</v>
      </c>
      <c r="E17" s="284">
        <f>+'Bank Assets Analysis'!G17-'Bank Assets Analysis'!H17</f>
        <v>0</v>
      </c>
      <c r="F17" s="284">
        <f>+'Bank Assets Analysis'!I17-'Bank Assets Analysis'!J17</f>
        <v>0</v>
      </c>
      <c r="G17" s="284">
        <f>+'Bank Assets Analysis'!K17-'Bank Assets Analysis'!L17</f>
        <v>0</v>
      </c>
      <c r="H17" s="284">
        <f>+'Bank Assets Analysis'!M17-'Bank Assets Analysis'!N17</f>
        <v>0</v>
      </c>
      <c r="I17" s="284">
        <f>+'Bank Assets Analysis'!O17-'Bank Assets Analysis'!P17</f>
        <v>0</v>
      </c>
      <c r="J17" s="284">
        <f>+'Bank Assets Analysis'!Q17-'Bank Assets Analysis'!R17</f>
        <v>0</v>
      </c>
      <c r="K17" s="284">
        <f t="shared" si="0"/>
        <v>225609</v>
      </c>
      <c r="L17" s="262">
        <v>1</v>
      </c>
      <c r="M17" s="286">
        <f>+C17+D17+E17</f>
        <v>225609</v>
      </c>
      <c r="N17" s="284">
        <f t="shared" si="2"/>
        <v>225609</v>
      </c>
      <c r="O17" s="289"/>
      <c r="P17" s="289"/>
      <c r="Q17" s="289"/>
      <c r="R17" s="289"/>
      <c r="S17" s="289"/>
    </row>
    <row r="18" spans="1:19" s="290" customFormat="1" ht="33.75" customHeight="1">
      <c r="A18" s="282" t="s">
        <v>467</v>
      </c>
      <c r="B18" s="283" t="s">
        <v>32</v>
      </c>
      <c r="C18" s="284">
        <f>+'Bank Assets Analysis'!C18-'Bank Assets Analysis'!D18</f>
        <v>221220</v>
      </c>
      <c r="D18" s="284">
        <f>+'Bank Assets Analysis'!E18-'Bank Assets Analysis'!F18</f>
        <v>0</v>
      </c>
      <c r="E18" s="284">
        <f>+'Bank Assets Analysis'!G18-'Bank Assets Analysis'!H18</f>
        <v>0</v>
      </c>
      <c r="F18" s="284">
        <f>+'Bank Assets Analysis'!I18-'Bank Assets Analysis'!J18</f>
        <v>0</v>
      </c>
      <c r="G18" s="284">
        <f>+'Bank Assets Analysis'!K18-'Bank Assets Analysis'!L18</f>
        <v>0</v>
      </c>
      <c r="H18" s="284">
        <f>+'Bank Assets Analysis'!M18-'Bank Assets Analysis'!N18</f>
        <v>0</v>
      </c>
      <c r="I18" s="284">
        <f>+'Bank Assets Analysis'!O18-'Bank Assets Analysis'!P18</f>
        <v>0</v>
      </c>
      <c r="J18" s="284">
        <f>+'Bank Assets Analysis'!Q18-'Bank Assets Analysis'!R18</f>
        <v>0</v>
      </c>
      <c r="K18" s="284">
        <f t="shared" si="0"/>
        <v>221220</v>
      </c>
      <c r="L18" s="262">
        <v>1</v>
      </c>
      <c r="M18" s="286">
        <f>+C18+D18+E18</f>
        <v>221220</v>
      </c>
      <c r="N18" s="284">
        <f>+M18*L18</f>
        <v>221220</v>
      </c>
      <c r="O18" s="289"/>
      <c r="P18" s="289"/>
      <c r="Q18" s="289"/>
      <c r="R18" s="289"/>
      <c r="S18" s="289"/>
    </row>
    <row r="19" spans="1:19" s="290" customFormat="1" ht="33.75" customHeight="1">
      <c r="A19" s="282" t="s">
        <v>133</v>
      </c>
      <c r="B19" s="283" t="s">
        <v>134</v>
      </c>
      <c r="C19" s="284">
        <f>SUM(C20:C25)-C21</f>
        <v>251</v>
      </c>
      <c r="D19" s="284">
        <f t="shared" ref="D19:J19" si="5">SUM(D20:D25)-D21</f>
        <v>0</v>
      </c>
      <c r="E19" s="284">
        <f t="shared" si="5"/>
        <v>54408699</v>
      </c>
      <c r="F19" s="284">
        <f t="shared" si="5"/>
        <v>355563735</v>
      </c>
      <c r="G19" s="284">
        <f t="shared" si="5"/>
        <v>0</v>
      </c>
      <c r="H19" s="284">
        <f t="shared" si="5"/>
        <v>0</v>
      </c>
      <c r="I19" s="284">
        <f t="shared" si="5"/>
        <v>0</v>
      </c>
      <c r="J19" s="284">
        <f t="shared" si="5"/>
        <v>0</v>
      </c>
      <c r="K19" s="284">
        <f t="shared" si="0"/>
        <v>409972685</v>
      </c>
      <c r="L19" s="285"/>
      <c r="M19" s="286"/>
      <c r="N19" s="284">
        <f t="shared" ref="N19:N44" si="6">+M19*L19</f>
        <v>0</v>
      </c>
      <c r="O19" s="289"/>
      <c r="P19" s="289"/>
      <c r="Q19" s="289"/>
      <c r="R19" s="289"/>
      <c r="S19" s="289"/>
    </row>
    <row r="20" spans="1:19" s="290" customFormat="1" ht="33.75" customHeight="1">
      <c r="A20" s="282" t="s">
        <v>194</v>
      </c>
      <c r="B20" s="283" t="s">
        <v>24</v>
      </c>
      <c r="C20" s="284">
        <f>+'Bank Assets Analysis'!C20-'Bank Assets Analysis'!D20</f>
        <v>0</v>
      </c>
      <c r="D20" s="284">
        <f>+'Bank Assets Analysis'!E20-'Bank Assets Analysis'!F20</f>
        <v>0</v>
      </c>
      <c r="E20" s="284">
        <f>+'Bank Assets Analysis'!G20-'Bank Assets Analysis'!H20</f>
        <v>54408699</v>
      </c>
      <c r="F20" s="284">
        <f>+'Bank Assets Analysis'!I20-'Bank Assets Analysis'!J20</f>
        <v>355563735</v>
      </c>
      <c r="G20" s="284">
        <f>+'Bank Assets Analysis'!K20-'Bank Assets Analysis'!L20</f>
        <v>0</v>
      </c>
      <c r="H20" s="284">
        <f>+'Bank Assets Analysis'!M20-'Bank Assets Analysis'!N20</f>
        <v>0</v>
      </c>
      <c r="I20" s="284">
        <f>+'Bank Assets Analysis'!O20-'Bank Assets Analysis'!P20</f>
        <v>0</v>
      </c>
      <c r="J20" s="284">
        <f>+'Bank Assets Analysis'!Q20-'Bank Assets Analysis'!R20</f>
        <v>0</v>
      </c>
      <c r="K20" s="284">
        <f t="shared" si="0"/>
        <v>409972434</v>
      </c>
      <c r="L20" s="285">
        <v>1</v>
      </c>
      <c r="M20" s="286">
        <f>+K20-K21</f>
        <v>0</v>
      </c>
      <c r="N20" s="287">
        <f t="shared" si="6"/>
        <v>0</v>
      </c>
      <c r="O20" s="289"/>
      <c r="P20" s="289"/>
      <c r="Q20" s="289"/>
      <c r="R20" s="289"/>
      <c r="S20" s="289"/>
    </row>
    <row r="21" spans="1:19" s="290" customFormat="1" ht="48" customHeight="1">
      <c r="A21" s="282" t="s">
        <v>519</v>
      </c>
      <c r="B21" s="283" t="s">
        <v>525</v>
      </c>
      <c r="C21" s="284">
        <f>+'Bank Assets Analysis'!C21-'Bank Assets Analysis'!D21</f>
        <v>0</v>
      </c>
      <c r="D21" s="284">
        <f>+'Bank Assets Analysis'!E21-'Bank Assets Analysis'!F21</f>
        <v>0</v>
      </c>
      <c r="E21" s="284">
        <f>+'Bank Assets Analysis'!G21-'Bank Assets Analysis'!H21</f>
        <v>54408699</v>
      </c>
      <c r="F21" s="284">
        <f>+'Bank Assets Analysis'!I21-'Bank Assets Analysis'!J21</f>
        <v>355563735</v>
      </c>
      <c r="G21" s="284">
        <f>+'Bank Assets Analysis'!K21-'Bank Assets Analysis'!L21</f>
        <v>0</v>
      </c>
      <c r="H21" s="284">
        <f>+'Bank Assets Analysis'!M21-'Bank Assets Analysis'!N21</f>
        <v>0</v>
      </c>
      <c r="I21" s="284">
        <f>+'Bank Assets Analysis'!O21-'Bank Assets Analysis'!P21</f>
        <v>0</v>
      </c>
      <c r="J21" s="284">
        <f>+'Bank Assets Analysis'!Q21-'Bank Assets Analysis'!R21</f>
        <v>0</v>
      </c>
      <c r="K21" s="284">
        <f t="shared" si="0"/>
        <v>409972434</v>
      </c>
      <c r="L21" s="285">
        <v>1</v>
      </c>
      <c r="M21" s="375">
        <f>SUM(C21:E21)</f>
        <v>54408699</v>
      </c>
      <c r="N21" s="284">
        <f>+M21*L21</f>
        <v>54408699</v>
      </c>
      <c r="O21" s="289"/>
      <c r="P21" s="289"/>
      <c r="Q21" s="289"/>
      <c r="R21" s="289"/>
      <c r="S21" s="289"/>
    </row>
    <row r="22" spans="1:19" s="290" customFormat="1" ht="33.75" customHeight="1">
      <c r="A22" s="282" t="s">
        <v>30</v>
      </c>
      <c r="B22" s="283" t="s">
        <v>45</v>
      </c>
      <c r="C22" s="284">
        <f>+'Bank Assets Analysis'!C22-'Bank Assets Analysis'!D22</f>
        <v>0</v>
      </c>
      <c r="D22" s="284">
        <f>+'Bank Assets Analysis'!E22-'Bank Assets Analysis'!F22</f>
        <v>0</v>
      </c>
      <c r="E22" s="284">
        <f>+'Bank Assets Analysis'!G22-'Bank Assets Analysis'!H22</f>
        <v>0</v>
      </c>
      <c r="F22" s="284">
        <f>+'Bank Assets Analysis'!I22-'Bank Assets Analysis'!J22</f>
        <v>0</v>
      </c>
      <c r="G22" s="284">
        <f>+'Bank Assets Analysis'!K22-'Bank Assets Analysis'!L22</f>
        <v>0</v>
      </c>
      <c r="H22" s="284">
        <f>+'Bank Assets Analysis'!M22-'Bank Assets Analysis'!N22</f>
        <v>0</v>
      </c>
      <c r="I22" s="284">
        <f>+'Bank Assets Analysis'!O22-'Bank Assets Analysis'!P22</f>
        <v>0</v>
      </c>
      <c r="J22" s="284">
        <f>+'Bank Assets Analysis'!Q22-'Bank Assets Analysis'!R22</f>
        <v>0</v>
      </c>
      <c r="K22" s="284">
        <f t="shared" si="0"/>
        <v>0</v>
      </c>
      <c r="L22" s="285">
        <v>1</v>
      </c>
      <c r="M22" s="286">
        <f>+K22</f>
        <v>0</v>
      </c>
      <c r="N22" s="287">
        <f t="shared" si="6"/>
        <v>0</v>
      </c>
      <c r="O22" s="289"/>
      <c r="P22" s="289"/>
      <c r="Q22" s="289"/>
      <c r="R22" s="289"/>
      <c r="S22" s="289"/>
    </row>
    <row r="23" spans="1:19" s="290" customFormat="1" ht="70.5" customHeight="1">
      <c r="A23" s="282" t="s">
        <v>31</v>
      </c>
      <c r="B23" s="283" t="s">
        <v>460</v>
      </c>
      <c r="C23" s="284">
        <f>+'Bank Assets Analysis'!C23-'Bank Assets Analysis'!D23</f>
        <v>0</v>
      </c>
      <c r="D23" s="284">
        <f>+'Bank Assets Analysis'!E23-'Bank Assets Analysis'!F23</f>
        <v>0</v>
      </c>
      <c r="E23" s="284">
        <f>+'Bank Assets Analysis'!G23-'Bank Assets Analysis'!H23</f>
        <v>0</v>
      </c>
      <c r="F23" s="284">
        <f>+'Bank Assets Analysis'!I23-'Bank Assets Analysis'!J23</f>
        <v>0</v>
      </c>
      <c r="G23" s="284">
        <f>+'Bank Assets Analysis'!K23-'Bank Assets Analysis'!L23</f>
        <v>0</v>
      </c>
      <c r="H23" s="284">
        <f>+'Bank Assets Analysis'!M23-'Bank Assets Analysis'!N23</f>
        <v>0</v>
      </c>
      <c r="I23" s="284">
        <f>+'Bank Assets Analysis'!O23-'Bank Assets Analysis'!P23</f>
        <v>0</v>
      </c>
      <c r="J23" s="284">
        <f>+'Bank Assets Analysis'!Q23-'Bank Assets Analysis'!R23</f>
        <v>0</v>
      </c>
      <c r="K23" s="284">
        <f t="shared" ref="K23" si="7">+C23+D23+E23+F23+G23+H23+I23+J23</f>
        <v>0</v>
      </c>
      <c r="L23" s="285">
        <v>1</v>
      </c>
      <c r="M23" s="286">
        <f>+K23</f>
        <v>0</v>
      </c>
      <c r="N23" s="287">
        <f t="shared" si="6"/>
        <v>0</v>
      </c>
      <c r="O23" s="289"/>
      <c r="P23" s="289"/>
      <c r="Q23" s="289"/>
      <c r="R23" s="289"/>
      <c r="S23" s="289"/>
    </row>
    <row r="24" spans="1:19" s="290" customFormat="1" ht="33.75" customHeight="1">
      <c r="A24" s="282" t="s">
        <v>43</v>
      </c>
      <c r="B24" s="283" t="s">
        <v>44</v>
      </c>
      <c r="C24" s="284">
        <f>+'Bank Assets Analysis'!C24-'Bank Assets Analysis'!D24</f>
        <v>0</v>
      </c>
      <c r="D24" s="284">
        <f>+'Bank Assets Analysis'!E24-'Bank Assets Analysis'!F24</f>
        <v>0</v>
      </c>
      <c r="E24" s="284">
        <f>+'Bank Assets Analysis'!G24-'Bank Assets Analysis'!H24</f>
        <v>0</v>
      </c>
      <c r="F24" s="284">
        <f>+'Bank Assets Analysis'!I24-'Bank Assets Analysis'!J24</f>
        <v>0</v>
      </c>
      <c r="G24" s="284">
        <f>+'Bank Assets Analysis'!K24-'Bank Assets Analysis'!L24</f>
        <v>0</v>
      </c>
      <c r="H24" s="284">
        <f>+'Bank Assets Analysis'!M24-'Bank Assets Analysis'!N24</f>
        <v>0</v>
      </c>
      <c r="I24" s="284">
        <f>+'Bank Assets Analysis'!O24-'Bank Assets Analysis'!P24</f>
        <v>0</v>
      </c>
      <c r="J24" s="284">
        <f>+'Bank Assets Analysis'!Q24-'Bank Assets Analysis'!R24</f>
        <v>0</v>
      </c>
      <c r="K24" s="284">
        <f t="shared" si="0"/>
        <v>0</v>
      </c>
      <c r="L24" s="285">
        <v>1</v>
      </c>
      <c r="M24" s="286">
        <f>+D24+E24</f>
        <v>0</v>
      </c>
      <c r="N24" s="287">
        <f t="shared" si="6"/>
        <v>0</v>
      </c>
      <c r="O24" s="289"/>
      <c r="P24" s="289"/>
      <c r="Q24" s="289"/>
      <c r="R24" s="289"/>
      <c r="S24" s="289"/>
    </row>
    <row r="25" spans="1:19" s="290" customFormat="1" ht="33.75" customHeight="1">
      <c r="A25" s="282" t="s">
        <v>468</v>
      </c>
      <c r="B25" s="283" t="s">
        <v>21</v>
      </c>
      <c r="C25" s="284">
        <f>+'Bank Assets Analysis'!C25-'Bank Assets Analysis'!D25</f>
        <v>251</v>
      </c>
      <c r="D25" s="284">
        <f>+'Bank Assets Analysis'!E25-'Bank Assets Analysis'!F25</f>
        <v>0</v>
      </c>
      <c r="E25" s="284">
        <f>+'Bank Assets Analysis'!G25-'Bank Assets Analysis'!H25</f>
        <v>0</v>
      </c>
      <c r="F25" s="284">
        <f>+'Bank Assets Analysis'!I25-'Bank Assets Analysis'!J25</f>
        <v>0</v>
      </c>
      <c r="G25" s="284">
        <f>+'Bank Assets Analysis'!K25-'Bank Assets Analysis'!L25</f>
        <v>0</v>
      </c>
      <c r="H25" s="284">
        <f>+'Bank Assets Analysis'!M25-'Bank Assets Analysis'!N25</f>
        <v>0</v>
      </c>
      <c r="I25" s="284">
        <f>+'Bank Assets Analysis'!O25-'Bank Assets Analysis'!P25</f>
        <v>0</v>
      </c>
      <c r="J25" s="284">
        <f>+'Bank Assets Analysis'!Q25-'Bank Assets Analysis'!R25</f>
        <v>0</v>
      </c>
      <c r="K25" s="284">
        <f t="shared" si="0"/>
        <v>251</v>
      </c>
      <c r="L25" s="285">
        <v>0</v>
      </c>
      <c r="M25" s="286"/>
      <c r="N25" s="284"/>
      <c r="O25" s="289"/>
      <c r="P25" s="289"/>
      <c r="Q25" s="289"/>
      <c r="R25" s="289"/>
      <c r="S25" s="289"/>
    </row>
    <row r="26" spans="1:19" s="290" customFormat="1" ht="33.75" customHeight="1">
      <c r="A26" s="282" t="s">
        <v>135</v>
      </c>
      <c r="B26" s="283" t="s">
        <v>136</v>
      </c>
      <c r="C26" s="284">
        <f>+'Bank Assets Analysis'!C26-'Bank Assets Analysis'!D26</f>
        <v>0</v>
      </c>
      <c r="D26" s="284">
        <f>+'Bank Assets Analysis'!E26-'Bank Assets Analysis'!F26</f>
        <v>0</v>
      </c>
      <c r="E26" s="284">
        <f>+'Bank Assets Analysis'!G26-'Bank Assets Analysis'!H26</f>
        <v>0</v>
      </c>
      <c r="F26" s="284">
        <f>+'Bank Assets Analysis'!I26-'Bank Assets Analysis'!J26</f>
        <v>0</v>
      </c>
      <c r="G26" s="284">
        <f>+'Bank Assets Analysis'!K26-'Bank Assets Analysis'!L26</f>
        <v>0</v>
      </c>
      <c r="H26" s="284">
        <f>+'Bank Assets Analysis'!M26-'Bank Assets Analysis'!N26</f>
        <v>0</v>
      </c>
      <c r="I26" s="284">
        <f>+'Bank Assets Analysis'!O26-'Bank Assets Analysis'!P26</f>
        <v>0</v>
      </c>
      <c r="J26" s="284">
        <f>+'Bank Assets Analysis'!Q26-'Bank Assets Analysis'!R26</f>
        <v>0</v>
      </c>
      <c r="K26" s="284">
        <f t="shared" si="0"/>
        <v>0</v>
      </c>
      <c r="L26" s="285">
        <v>0.3</v>
      </c>
      <c r="M26" s="286">
        <f>+D26+E26</f>
        <v>0</v>
      </c>
      <c r="N26" s="284">
        <f t="shared" si="6"/>
        <v>0</v>
      </c>
      <c r="O26" s="289"/>
      <c r="P26" s="289"/>
      <c r="Q26" s="289"/>
      <c r="R26" s="289"/>
      <c r="S26" s="289"/>
    </row>
    <row r="27" spans="1:19" s="290" customFormat="1" ht="33.75" customHeight="1">
      <c r="A27" s="282" t="s">
        <v>137</v>
      </c>
      <c r="B27" s="283" t="s">
        <v>138</v>
      </c>
      <c r="C27" s="284">
        <f>+'Bank Assets Analysis'!C27-'Bank Assets Analysis'!D27</f>
        <v>0</v>
      </c>
      <c r="D27" s="284">
        <f>+'Bank Assets Analysis'!E27-'Bank Assets Analysis'!F27</f>
        <v>0</v>
      </c>
      <c r="E27" s="284">
        <f>+'Bank Assets Analysis'!G27-'Bank Assets Analysis'!H27</f>
        <v>0</v>
      </c>
      <c r="F27" s="284">
        <f>+'Bank Assets Analysis'!I27-'Bank Assets Analysis'!J27</f>
        <v>0</v>
      </c>
      <c r="G27" s="284">
        <f>+'Bank Assets Analysis'!K27-'Bank Assets Analysis'!L27</f>
        <v>0</v>
      </c>
      <c r="H27" s="284">
        <f>+'Bank Assets Analysis'!M27-'Bank Assets Analysis'!N27</f>
        <v>0</v>
      </c>
      <c r="I27" s="284">
        <f>+'Bank Assets Analysis'!O27-'Bank Assets Analysis'!P27</f>
        <v>0</v>
      </c>
      <c r="J27" s="284">
        <f>+'Bank Assets Analysis'!Q27-'Bank Assets Analysis'!R27</f>
        <v>0</v>
      </c>
      <c r="K27" s="284">
        <f t="shared" si="0"/>
        <v>0</v>
      </c>
      <c r="L27" s="285">
        <v>0.3</v>
      </c>
      <c r="M27" s="286">
        <f>+D27+E27</f>
        <v>0</v>
      </c>
      <c r="N27" s="284">
        <f t="shared" si="6"/>
        <v>0</v>
      </c>
      <c r="O27" s="289"/>
      <c r="P27" s="289"/>
      <c r="Q27" s="289"/>
      <c r="R27" s="289"/>
      <c r="S27" s="289"/>
    </row>
    <row r="28" spans="1:19" s="290" customFormat="1" ht="33.75" customHeight="1">
      <c r="A28" s="282" t="s">
        <v>139</v>
      </c>
      <c r="B28" s="283" t="s">
        <v>140</v>
      </c>
      <c r="C28" s="284">
        <f>+'Bank Assets Analysis'!C28-'Bank Assets Analysis'!D28</f>
        <v>0</v>
      </c>
      <c r="D28" s="284">
        <f>+'Bank Assets Analysis'!E28-'Bank Assets Analysis'!F28</f>
        <v>0</v>
      </c>
      <c r="E28" s="284">
        <f>+'Bank Assets Analysis'!G28-'Bank Assets Analysis'!H28</f>
        <v>0</v>
      </c>
      <c r="F28" s="284">
        <f>+'Bank Assets Analysis'!I28-'Bank Assets Analysis'!J28</f>
        <v>0</v>
      </c>
      <c r="G28" s="284">
        <f>+'Bank Assets Analysis'!K28-'Bank Assets Analysis'!L28</f>
        <v>0</v>
      </c>
      <c r="H28" s="284">
        <f>+'Bank Assets Analysis'!M28-'Bank Assets Analysis'!N28</f>
        <v>0</v>
      </c>
      <c r="I28" s="284">
        <f>+'Bank Assets Analysis'!O28-'Bank Assets Analysis'!P28</f>
        <v>0</v>
      </c>
      <c r="J28" s="284">
        <f>+'Bank Assets Analysis'!Q28-'Bank Assets Analysis'!R28</f>
        <v>0</v>
      </c>
      <c r="K28" s="284">
        <f t="shared" si="0"/>
        <v>0</v>
      </c>
      <c r="L28" s="285">
        <v>0.3</v>
      </c>
      <c r="M28" s="286">
        <f>+D28+E28</f>
        <v>0</v>
      </c>
      <c r="N28" s="284">
        <f t="shared" si="6"/>
        <v>0</v>
      </c>
      <c r="O28" s="289"/>
      <c r="P28" s="289"/>
      <c r="Q28" s="289"/>
      <c r="R28" s="289"/>
      <c r="S28" s="289"/>
    </row>
    <row r="29" spans="1:19" s="290" customFormat="1" ht="33.75" customHeight="1">
      <c r="A29" s="282" t="s">
        <v>141</v>
      </c>
      <c r="B29" s="283" t="s">
        <v>142</v>
      </c>
      <c r="C29" s="284">
        <f>+'Bank Assets Analysis'!C29-'Bank Assets Analysis'!D29</f>
        <v>0</v>
      </c>
      <c r="D29" s="284">
        <f>+'Bank Assets Analysis'!E29-'Bank Assets Analysis'!F29</f>
        <v>0</v>
      </c>
      <c r="E29" s="284">
        <f>+'Bank Assets Analysis'!G29-'Bank Assets Analysis'!H29</f>
        <v>0</v>
      </c>
      <c r="F29" s="284">
        <f>+'Bank Assets Analysis'!I29-'Bank Assets Analysis'!J29</f>
        <v>0</v>
      </c>
      <c r="G29" s="284">
        <f>+'Bank Assets Analysis'!K29-'Bank Assets Analysis'!L29</f>
        <v>0</v>
      </c>
      <c r="H29" s="284">
        <f>+'Bank Assets Analysis'!M29-'Bank Assets Analysis'!N29</f>
        <v>0</v>
      </c>
      <c r="I29" s="284">
        <f>+'Bank Assets Analysis'!O29-'Bank Assets Analysis'!P29</f>
        <v>0</v>
      </c>
      <c r="J29" s="284">
        <f>+'Bank Assets Analysis'!Q29-'Bank Assets Analysis'!R29</f>
        <v>0</v>
      </c>
      <c r="K29" s="284">
        <f t="shared" si="0"/>
        <v>0</v>
      </c>
      <c r="L29" s="285">
        <v>1</v>
      </c>
      <c r="M29" s="286">
        <f>C29+D29+E29</f>
        <v>0</v>
      </c>
      <c r="N29" s="284">
        <f t="shared" si="6"/>
        <v>0</v>
      </c>
      <c r="O29" s="289"/>
      <c r="P29" s="289"/>
      <c r="Q29" s="289"/>
      <c r="R29" s="289"/>
      <c r="S29" s="289"/>
    </row>
    <row r="30" spans="1:19" s="290" customFormat="1" ht="33.75" customHeight="1">
      <c r="A30" s="282" t="s">
        <v>143</v>
      </c>
      <c r="B30" s="283" t="s">
        <v>144</v>
      </c>
      <c r="C30" s="284">
        <f>+'Bank Assets Analysis'!C30-'Bank Assets Analysis'!D30</f>
        <v>0</v>
      </c>
      <c r="D30" s="284">
        <f>+'Bank Assets Analysis'!E30-'Bank Assets Analysis'!F30</f>
        <v>0</v>
      </c>
      <c r="E30" s="284">
        <f>+'Bank Assets Analysis'!G30-'Bank Assets Analysis'!H30</f>
        <v>0</v>
      </c>
      <c r="F30" s="284">
        <f>+'Bank Assets Analysis'!I30-'Bank Assets Analysis'!J30</f>
        <v>0</v>
      </c>
      <c r="G30" s="284">
        <f>+'Bank Assets Analysis'!K30-'Bank Assets Analysis'!L30</f>
        <v>0</v>
      </c>
      <c r="H30" s="284">
        <f>+'Bank Assets Analysis'!M30-'Bank Assets Analysis'!N30</f>
        <v>0</v>
      </c>
      <c r="I30" s="284">
        <f>+'Bank Assets Analysis'!O30-'Bank Assets Analysis'!P30</f>
        <v>0</v>
      </c>
      <c r="J30" s="284">
        <f>+'Bank Assets Analysis'!Q30-'Bank Assets Analysis'!R30</f>
        <v>0</v>
      </c>
      <c r="K30" s="284">
        <f t="shared" si="0"/>
        <v>0</v>
      </c>
      <c r="L30" s="285">
        <v>0.5</v>
      </c>
      <c r="M30" s="286">
        <f>+D30+E30</f>
        <v>0</v>
      </c>
      <c r="N30" s="284">
        <f t="shared" si="6"/>
        <v>0</v>
      </c>
      <c r="O30" s="289"/>
      <c r="P30" s="289"/>
      <c r="Q30" s="289"/>
      <c r="R30" s="289"/>
      <c r="S30" s="289"/>
    </row>
    <row r="31" spans="1:19" s="290" customFormat="1" ht="33.75" customHeight="1">
      <c r="A31" s="282">
        <v>10</v>
      </c>
      <c r="B31" s="283" t="s">
        <v>145</v>
      </c>
      <c r="C31" s="284">
        <f>+'Bank Assets Analysis'!C31-'Bank Assets Analysis'!D31</f>
        <v>39176156</v>
      </c>
      <c r="D31" s="284">
        <f>+'Bank Assets Analysis'!E31-'Bank Assets Analysis'!F31</f>
        <v>20109412</v>
      </c>
      <c r="E31" s="284">
        <f>+'Bank Assets Analysis'!G31-'Bank Assets Analysis'!H31</f>
        <v>121557676</v>
      </c>
      <c r="F31" s="284">
        <f>+'Bank Assets Analysis'!I31-'Bank Assets Analysis'!J31</f>
        <v>309741786</v>
      </c>
      <c r="G31" s="284">
        <f>+'Bank Assets Analysis'!K31-'Bank Assets Analysis'!L31</f>
        <v>626232238</v>
      </c>
      <c r="H31" s="284">
        <f>+'Bank Assets Analysis'!M31-'Bank Assets Analysis'!N31</f>
        <v>1169381026</v>
      </c>
      <c r="I31" s="284">
        <f>+'Bank Assets Analysis'!O31-'Bank Assets Analysis'!P31</f>
        <v>962945204</v>
      </c>
      <c r="J31" s="284">
        <f>+'Bank Assets Analysis'!Q31-'Bank Assets Analysis'!R31</f>
        <v>1472450950</v>
      </c>
      <c r="K31" s="284">
        <f t="shared" si="0"/>
        <v>4721594448</v>
      </c>
      <c r="L31" s="285">
        <v>0.5</v>
      </c>
      <c r="M31" s="286">
        <f>+D31+E31</f>
        <v>141667088</v>
      </c>
      <c r="N31" s="284">
        <f t="shared" si="6"/>
        <v>70833544</v>
      </c>
      <c r="O31" s="289"/>
      <c r="P31" s="289"/>
      <c r="Q31" s="289"/>
      <c r="R31" s="289"/>
      <c r="S31" s="289"/>
    </row>
    <row r="32" spans="1:19" s="290" customFormat="1" ht="33.75" customHeight="1">
      <c r="A32" s="282" t="s">
        <v>520</v>
      </c>
      <c r="B32" s="283" t="s">
        <v>524</v>
      </c>
      <c r="C32" s="284">
        <f>+'Bank Assets Analysis'!C32-'Bank Assets Analysis'!D32</f>
        <v>7935128</v>
      </c>
      <c r="D32" s="284">
        <f>+'Bank Assets Analysis'!E32-'Bank Assets Analysis'!F32</f>
        <v>14955082</v>
      </c>
      <c r="E32" s="284">
        <f>+'Bank Assets Analysis'!G32-'Bank Assets Analysis'!H32</f>
        <v>23601942</v>
      </c>
      <c r="F32" s="284">
        <f>+'Bank Assets Analysis'!I32-'Bank Assets Analysis'!J32</f>
        <v>78983936</v>
      </c>
      <c r="G32" s="284">
        <f>+'Bank Assets Analysis'!K32-'Bank Assets Analysis'!L32</f>
        <v>120931809</v>
      </c>
      <c r="H32" s="284">
        <f>+'Bank Assets Analysis'!M32-'Bank Assets Analysis'!N32</f>
        <v>247250051</v>
      </c>
      <c r="I32" s="284">
        <f>+'Bank Assets Analysis'!O32-'Bank Assets Analysis'!P32</f>
        <v>293022871</v>
      </c>
      <c r="J32" s="284">
        <f>+'Bank Assets Analysis'!Q32-'Bank Assets Analysis'!R32</f>
        <v>496168250</v>
      </c>
      <c r="K32" s="284">
        <f t="shared" si="0"/>
        <v>1282849069</v>
      </c>
      <c r="L32" s="285">
        <v>0</v>
      </c>
      <c r="M32" s="286"/>
      <c r="N32" s="284"/>
      <c r="O32" s="289"/>
      <c r="P32" s="289"/>
      <c r="Q32" s="289"/>
      <c r="R32" s="289"/>
      <c r="S32" s="289"/>
    </row>
    <row r="33" spans="1:19" s="290" customFormat="1" ht="33.75" customHeight="1">
      <c r="A33" s="282">
        <v>11</v>
      </c>
      <c r="B33" s="283" t="s">
        <v>146</v>
      </c>
      <c r="C33" s="284">
        <f>+'Bank Assets Analysis'!C33-'Bank Assets Analysis'!D33</f>
        <v>-1039</v>
      </c>
      <c r="D33" s="284">
        <f>+'Bank Assets Analysis'!E33-'Bank Assets Analysis'!F33</f>
        <v>0</v>
      </c>
      <c r="E33" s="284">
        <f>+'Bank Assets Analysis'!G33-'Bank Assets Analysis'!H33</f>
        <v>0</v>
      </c>
      <c r="F33" s="284">
        <f>+'Bank Assets Analysis'!I33-'Bank Assets Analysis'!J33</f>
        <v>0</v>
      </c>
      <c r="G33" s="284">
        <f>+'Bank Assets Analysis'!K33-'Bank Assets Analysis'!L33</f>
        <v>0</v>
      </c>
      <c r="H33" s="284">
        <f>+'Bank Assets Analysis'!M33-'Bank Assets Analysis'!N33</f>
        <v>0</v>
      </c>
      <c r="I33" s="284">
        <f>+'Bank Assets Analysis'!O33-'Bank Assets Analysis'!P33</f>
        <v>0</v>
      </c>
      <c r="J33" s="284">
        <f>+'Bank Assets Analysis'!Q33-'Bank Assets Analysis'!R33</f>
        <v>0</v>
      </c>
      <c r="K33" s="284">
        <f t="shared" si="0"/>
        <v>-1039</v>
      </c>
      <c r="L33" s="285">
        <v>0</v>
      </c>
      <c r="M33" s="286"/>
      <c r="N33" s="284"/>
      <c r="O33" s="289"/>
      <c r="P33" s="289"/>
      <c r="Q33" s="289"/>
      <c r="R33" s="289"/>
      <c r="S33" s="289"/>
    </row>
    <row r="34" spans="1:19" s="290" customFormat="1" ht="33.75" customHeight="1">
      <c r="A34" s="282" t="s">
        <v>147</v>
      </c>
      <c r="B34" s="283" t="s">
        <v>148</v>
      </c>
      <c r="C34" s="284">
        <f>+'Bank Assets Analysis'!C34-'Bank Assets Analysis'!D34</f>
        <v>0</v>
      </c>
      <c r="D34" s="284">
        <f>+'Bank Assets Analysis'!E34-'Bank Assets Analysis'!F34</f>
        <v>0</v>
      </c>
      <c r="E34" s="284">
        <f>+'Bank Assets Analysis'!G34-'Bank Assets Analysis'!H34</f>
        <v>0</v>
      </c>
      <c r="F34" s="284">
        <f>+'Bank Assets Analysis'!I34-'Bank Assets Analysis'!J34</f>
        <v>0</v>
      </c>
      <c r="G34" s="284">
        <f>+'Bank Assets Analysis'!K34-'Bank Assets Analysis'!L34</f>
        <v>0</v>
      </c>
      <c r="H34" s="284">
        <f>+'Bank Assets Analysis'!M34-'Bank Assets Analysis'!N34</f>
        <v>0</v>
      </c>
      <c r="I34" s="284">
        <f>+'Bank Assets Analysis'!O34-'Bank Assets Analysis'!P34</f>
        <v>0</v>
      </c>
      <c r="J34" s="284">
        <f>+'Bank Assets Analysis'!Q34-'Bank Assets Analysis'!R34</f>
        <v>98339066</v>
      </c>
      <c r="K34" s="284">
        <f t="shared" si="0"/>
        <v>98339066</v>
      </c>
      <c r="L34" s="285">
        <v>0</v>
      </c>
      <c r="M34" s="286"/>
      <c r="N34" s="284"/>
      <c r="O34" s="289"/>
      <c r="P34" s="289"/>
      <c r="Q34" s="289"/>
      <c r="R34" s="289"/>
      <c r="S34" s="289"/>
    </row>
    <row r="35" spans="1:19" s="290" customFormat="1" ht="33.75" customHeight="1">
      <c r="A35" s="282" t="s">
        <v>149</v>
      </c>
      <c r="B35" s="283" t="s">
        <v>150</v>
      </c>
      <c r="C35" s="284">
        <f t="shared" ref="C35:J35" si="8">+C36+C37</f>
        <v>0</v>
      </c>
      <c r="D35" s="284">
        <f t="shared" si="8"/>
        <v>0</v>
      </c>
      <c r="E35" s="284">
        <f t="shared" si="8"/>
        <v>0</v>
      </c>
      <c r="F35" s="284">
        <f t="shared" si="8"/>
        <v>0</v>
      </c>
      <c r="G35" s="284">
        <f t="shared" si="8"/>
        <v>0</v>
      </c>
      <c r="H35" s="284">
        <f t="shared" si="8"/>
        <v>0</v>
      </c>
      <c r="I35" s="284">
        <f t="shared" si="8"/>
        <v>0</v>
      </c>
      <c r="J35" s="284">
        <f t="shared" si="8"/>
        <v>0</v>
      </c>
      <c r="K35" s="284">
        <f t="shared" si="0"/>
        <v>0</v>
      </c>
      <c r="L35" s="285"/>
      <c r="M35" s="286"/>
      <c r="N35" s="284"/>
      <c r="O35" s="289"/>
      <c r="P35" s="289"/>
      <c r="Q35" s="289"/>
      <c r="R35" s="289"/>
      <c r="S35" s="289"/>
    </row>
    <row r="36" spans="1:19" s="290" customFormat="1" ht="33.75" customHeight="1">
      <c r="A36" s="282" t="s">
        <v>25</v>
      </c>
      <c r="B36" s="283" t="s">
        <v>498</v>
      </c>
      <c r="C36" s="284">
        <f>+'Bank Assets Analysis'!C36-'Bank Assets Analysis'!D36</f>
        <v>0</v>
      </c>
      <c r="D36" s="284">
        <f>+'Bank Assets Analysis'!E36-'Bank Assets Analysis'!F36</f>
        <v>0</v>
      </c>
      <c r="E36" s="284">
        <f>+'Bank Assets Analysis'!G36-'Bank Assets Analysis'!H36</f>
        <v>0</v>
      </c>
      <c r="F36" s="284">
        <f>+'Bank Assets Analysis'!I36-'Bank Assets Analysis'!J36</f>
        <v>0</v>
      </c>
      <c r="G36" s="284">
        <f>+'Bank Assets Analysis'!K36-'Bank Assets Analysis'!L36</f>
        <v>0</v>
      </c>
      <c r="H36" s="284">
        <f>+'Bank Assets Analysis'!M36-'Bank Assets Analysis'!N36</f>
        <v>0</v>
      </c>
      <c r="I36" s="284">
        <f>+'Bank Assets Analysis'!O36-'Bank Assets Analysis'!P36</f>
        <v>0</v>
      </c>
      <c r="J36" s="284">
        <f>+'Bank Assets Analysis'!Q36-'Bank Assets Analysis'!R36</f>
        <v>0</v>
      </c>
      <c r="K36" s="284">
        <f t="shared" si="0"/>
        <v>0</v>
      </c>
      <c r="L36" s="285">
        <v>1</v>
      </c>
      <c r="M36" s="286">
        <f>+K36</f>
        <v>0</v>
      </c>
      <c r="N36" s="287">
        <f t="shared" si="6"/>
        <v>0</v>
      </c>
      <c r="O36" s="289"/>
      <c r="P36" s="289"/>
      <c r="Q36" s="289"/>
      <c r="R36" s="289"/>
      <c r="S36" s="289"/>
    </row>
    <row r="37" spans="1:19" s="290" customFormat="1" ht="33.75" customHeight="1">
      <c r="A37" s="282" t="s">
        <v>509</v>
      </c>
      <c r="B37" s="283" t="s">
        <v>26</v>
      </c>
      <c r="C37" s="284">
        <f>+'Bank Assets Analysis'!C37-'Bank Assets Analysis'!D37</f>
        <v>0</v>
      </c>
      <c r="D37" s="284">
        <f>+'Bank Assets Analysis'!E37-'Bank Assets Analysis'!F37</f>
        <v>0</v>
      </c>
      <c r="E37" s="284">
        <f>+'Bank Assets Analysis'!G37-'Bank Assets Analysis'!H37</f>
        <v>0</v>
      </c>
      <c r="F37" s="284">
        <f>+'Bank Assets Analysis'!I37-'Bank Assets Analysis'!J37</f>
        <v>0</v>
      </c>
      <c r="G37" s="284">
        <f>+'Bank Assets Analysis'!K37-'Bank Assets Analysis'!L37</f>
        <v>0</v>
      </c>
      <c r="H37" s="284">
        <f>+'Bank Assets Analysis'!M37-'Bank Assets Analysis'!N37</f>
        <v>0</v>
      </c>
      <c r="I37" s="284">
        <f>+'Bank Assets Analysis'!O37-'Bank Assets Analysis'!P37</f>
        <v>0</v>
      </c>
      <c r="J37" s="284">
        <f>+'Bank Assets Analysis'!Q37-'Bank Assets Analysis'!R37</f>
        <v>0</v>
      </c>
      <c r="K37" s="284">
        <f t="shared" si="0"/>
        <v>0</v>
      </c>
      <c r="L37" s="285">
        <v>0</v>
      </c>
      <c r="M37" s="286"/>
      <c r="N37" s="284">
        <f t="shared" si="6"/>
        <v>0</v>
      </c>
      <c r="O37" s="289"/>
      <c r="P37" s="289"/>
      <c r="Q37" s="289"/>
      <c r="R37" s="289"/>
      <c r="S37" s="289"/>
    </row>
    <row r="38" spans="1:19" s="290" customFormat="1" ht="33.75" customHeight="1">
      <c r="A38" s="282" t="s">
        <v>151</v>
      </c>
      <c r="B38" s="283" t="s">
        <v>371</v>
      </c>
      <c r="C38" s="284">
        <f>+'Bank Assets Analysis'!C38-'Bank Assets Analysis'!D38</f>
        <v>0</v>
      </c>
      <c r="D38" s="284">
        <f>+'Bank Assets Analysis'!E38-'Bank Assets Analysis'!F38</f>
        <v>0</v>
      </c>
      <c r="E38" s="284">
        <f>+'Bank Assets Analysis'!G38-'Bank Assets Analysis'!H38</f>
        <v>0</v>
      </c>
      <c r="F38" s="284">
        <f>+'Bank Assets Analysis'!I38-'Bank Assets Analysis'!J38</f>
        <v>0</v>
      </c>
      <c r="G38" s="284">
        <f>+'Bank Assets Analysis'!K38-'Bank Assets Analysis'!L38</f>
        <v>0</v>
      </c>
      <c r="H38" s="284">
        <f>+'Bank Assets Analysis'!M38-'Bank Assets Analysis'!N38</f>
        <v>0</v>
      </c>
      <c r="I38" s="284">
        <f>+'Bank Assets Analysis'!O38-'Bank Assets Analysis'!P38</f>
        <v>0</v>
      </c>
      <c r="J38" s="284">
        <f>+'Bank Assets Analysis'!Q38-'Bank Assets Analysis'!R38</f>
        <v>812267548</v>
      </c>
      <c r="K38" s="284">
        <f t="shared" si="0"/>
        <v>812267548</v>
      </c>
      <c r="L38" s="285">
        <v>0</v>
      </c>
      <c r="M38" s="286"/>
      <c r="N38" s="284">
        <f t="shared" si="6"/>
        <v>0</v>
      </c>
      <c r="O38" s="289"/>
      <c r="P38" s="289"/>
      <c r="Q38" s="289"/>
      <c r="R38" s="289"/>
      <c r="S38" s="289"/>
    </row>
    <row r="39" spans="1:19" s="290" customFormat="1" ht="33.75" customHeight="1">
      <c r="A39" s="282" t="s">
        <v>153</v>
      </c>
      <c r="B39" s="283" t="s">
        <v>372</v>
      </c>
      <c r="C39" s="284">
        <f>+'Bank Assets Analysis'!C39-'Bank Assets Analysis'!D39</f>
        <v>51751710</v>
      </c>
      <c r="D39" s="284">
        <f>+'Bank Assets Analysis'!E39-'Bank Assets Analysis'!F39</f>
        <v>0</v>
      </c>
      <c r="E39" s="284">
        <f>+'Bank Assets Analysis'!G39-'Bank Assets Analysis'!H39</f>
        <v>0</v>
      </c>
      <c r="F39" s="284">
        <f>+'Bank Assets Analysis'!I39-'Bank Assets Analysis'!J39</f>
        <v>0</v>
      </c>
      <c r="G39" s="284">
        <f>+'Bank Assets Analysis'!K39-'Bank Assets Analysis'!L39</f>
        <v>0</v>
      </c>
      <c r="H39" s="284">
        <f>+'Bank Assets Analysis'!M39-'Bank Assets Analysis'!N39</f>
        <v>0</v>
      </c>
      <c r="I39" s="284">
        <f>+'Bank Assets Analysis'!O39-'Bank Assets Analysis'!P39</f>
        <v>0</v>
      </c>
      <c r="J39" s="284">
        <f>+'Bank Assets Analysis'!Q39-'Bank Assets Analysis'!R39</f>
        <v>0</v>
      </c>
      <c r="K39" s="284">
        <f t="shared" si="0"/>
        <v>51751710</v>
      </c>
      <c r="L39" s="285">
        <v>0</v>
      </c>
      <c r="M39" s="286"/>
      <c r="N39" s="284">
        <f t="shared" si="6"/>
        <v>0</v>
      </c>
      <c r="O39" s="289"/>
      <c r="P39" s="289"/>
      <c r="Q39" s="289"/>
      <c r="R39" s="289"/>
      <c r="S39" s="289"/>
    </row>
    <row r="40" spans="1:19" s="290" customFormat="1" ht="33.75" customHeight="1">
      <c r="A40" s="282" t="s">
        <v>154</v>
      </c>
      <c r="B40" s="283" t="s">
        <v>155</v>
      </c>
      <c r="C40" s="284">
        <f>+'Bank Assets Analysis'!C40-'Bank Assets Analysis'!D40</f>
        <v>5936467</v>
      </c>
      <c r="D40" s="284">
        <f>+'Bank Assets Analysis'!E40-'Bank Assets Analysis'!F40</f>
        <v>0</v>
      </c>
      <c r="E40" s="284">
        <f>+'Bank Assets Analysis'!G40-'Bank Assets Analysis'!H40</f>
        <v>0</v>
      </c>
      <c r="F40" s="284">
        <f>+'Bank Assets Analysis'!I40-'Bank Assets Analysis'!J40</f>
        <v>0</v>
      </c>
      <c r="G40" s="284">
        <f>+'Bank Assets Analysis'!K40-'Bank Assets Analysis'!L40</f>
        <v>0</v>
      </c>
      <c r="H40" s="284">
        <f>+'Bank Assets Analysis'!M40-'Bank Assets Analysis'!N40</f>
        <v>0</v>
      </c>
      <c r="I40" s="284">
        <f>+'Bank Assets Analysis'!O40-'Bank Assets Analysis'!P40</f>
        <v>0</v>
      </c>
      <c r="J40" s="284">
        <f>+'Bank Assets Analysis'!Q40-'Bank Assets Analysis'!R40</f>
        <v>0</v>
      </c>
      <c r="K40" s="284">
        <f t="shared" si="0"/>
        <v>5936467</v>
      </c>
      <c r="L40" s="285">
        <v>0</v>
      </c>
      <c r="M40" s="286"/>
      <c r="N40" s="284">
        <f t="shared" si="6"/>
        <v>0</v>
      </c>
      <c r="O40" s="289"/>
      <c r="P40" s="289"/>
      <c r="Q40" s="289"/>
      <c r="R40" s="289"/>
      <c r="S40" s="289"/>
    </row>
    <row r="41" spans="1:19" s="290" customFormat="1" ht="33.75" customHeight="1">
      <c r="A41" s="282" t="s">
        <v>156</v>
      </c>
      <c r="B41" s="283" t="s">
        <v>157</v>
      </c>
      <c r="C41" s="284">
        <f>+'Bank Assets Analysis'!C41-'Bank Assets Analysis'!D41</f>
        <v>0</v>
      </c>
      <c r="D41" s="284"/>
      <c r="E41" s="284"/>
      <c r="F41" s="284"/>
      <c r="G41" s="284"/>
      <c r="H41" s="284"/>
      <c r="I41" s="284"/>
      <c r="J41" s="284"/>
      <c r="K41" s="284">
        <f t="shared" si="0"/>
        <v>0</v>
      </c>
      <c r="L41" s="285">
        <v>0</v>
      </c>
      <c r="M41" s="286"/>
      <c r="N41" s="284">
        <f t="shared" si="6"/>
        <v>0</v>
      </c>
      <c r="O41" s="289"/>
      <c r="P41" s="289"/>
      <c r="Q41" s="289"/>
      <c r="R41" s="289"/>
      <c r="S41" s="289"/>
    </row>
    <row r="42" spans="1:19" s="290" customFormat="1" ht="33.75" customHeight="1">
      <c r="A42" s="282" t="s">
        <v>158</v>
      </c>
      <c r="B42" s="283" t="s">
        <v>159</v>
      </c>
      <c r="C42" s="284">
        <f>+'Bank Assets Analysis'!C42-'Bank Assets Analysis'!D42</f>
        <v>3659</v>
      </c>
      <c r="D42" s="284">
        <f>+'Bank Assets Analysis'!E42-'Bank Assets Analysis'!F42</f>
        <v>0</v>
      </c>
      <c r="E42" s="284">
        <f>+'Bank Assets Analysis'!G42-'Bank Assets Analysis'!H42</f>
        <v>0</v>
      </c>
      <c r="F42" s="284">
        <f>+'Bank Assets Analysis'!I42-'Bank Assets Analysis'!J42</f>
        <v>0</v>
      </c>
      <c r="G42" s="284">
        <f>+'Bank Assets Analysis'!K42-'Bank Assets Analysis'!L42</f>
        <v>0</v>
      </c>
      <c r="H42" s="284">
        <f>+'Bank Assets Analysis'!M42-'Bank Assets Analysis'!N42</f>
        <v>0</v>
      </c>
      <c r="I42" s="284">
        <f>+'Bank Assets Analysis'!O42-'Bank Assets Analysis'!P42</f>
        <v>0</v>
      </c>
      <c r="J42" s="284">
        <f>+'Bank Assets Analysis'!Q42-'Bank Assets Analysis'!R42</f>
        <v>0</v>
      </c>
      <c r="K42" s="284">
        <f t="shared" si="0"/>
        <v>3659</v>
      </c>
      <c r="L42" s="285">
        <v>0</v>
      </c>
      <c r="M42" s="286"/>
      <c r="N42" s="284">
        <f t="shared" si="6"/>
        <v>0</v>
      </c>
      <c r="O42" s="289"/>
      <c r="P42" s="289"/>
      <c r="Q42" s="289"/>
      <c r="R42" s="289"/>
      <c r="S42" s="289"/>
    </row>
    <row r="43" spans="1:19" s="290" customFormat="1" ht="33.75" customHeight="1">
      <c r="A43" s="282" t="s">
        <v>160</v>
      </c>
      <c r="B43" s="283" t="s">
        <v>161</v>
      </c>
      <c r="C43" s="284">
        <f>+'Bank Assets Analysis'!C43-'Bank Assets Analysis'!D43</f>
        <v>113096761</v>
      </c>
      <c r="D43" s="284">
        <f>+'Bank Assets Analysis'!E43-'Bank Assets Analysis'!F43</f>
        <v>0</v>
      </c>
      <c r="E43" s="284">
        <f>+'Bank Assets Analysis'!G43-'Bank Assets Analysis'!H43</f>
        <v>0</v>
      </c>
      <c r="F43" s="284">
        <f>+'Bank Assets Analysis'!I43-'Bank Assets Analysis'!J43</f>
        <v>0</v>
      </c>
      <c r="G43" s="284">
        <f>+'Bank Assets Analysis'!K43-'Bank Assets Analysis'!L43</f>
        <v>0</v>
      </c>
      <c r="H43" s="284">
        <f>+'Bank Assets Analysis'!M43-'Bank Assets Analysis'!N43</f>
        <v>0</v>
      </c>
      <c r="I43" s="284">
        <f>+'Bank Assets Analysis'!O43-'Bank Assets Analysis'!P43</f>
        <v>0</v>
      </c>
      <c r="J43" s="284">
        <f>+'Bank Assets Analysis'!Q43-'Bank Assets Analysis'!R43</f>
        <v>0</v>
      </c>
      <c r="K43" s="284">
        <f t="shared" si="0"/>
        <v>113096761</v>
      </c>
      <c r="L43" s="285">
        <v>0.5</v>
      </c>
      <c r="M43" s="286">
        <f>+D43+E43</f>
        <v>0</v>
      </c>
      <c r="N43" s="284">
        <f t="shared" si="6"/>
        <v>0</v>
      </c>
      <c r="O43" s="289"/>
      <c r="P43" s="289"/>
      <c r="Q43" s="289"/>
      <c r="R43" s="289"/>
      <c r="S43" s="289"/>
    </row>
    <row r="44" spans="1:19" s="290" customFormat="1" ht="33.75" customHeight="1">
      <c r="A44" s="282" t="s">
        <v>162</v>
      </c>
      <c r="B44" s="283" t="s">
        <v>163</v>
      </c>
      <c r="C44" s="284">
        <f>+'Bank Assets Analysis'!C44-'Bank Assets Analysis'!D44</f>
        <v>347557727</v>
      </c>
      <c r="D44" s="284">
        <f>+'Bank Assets Analysis'!E44-'Bank Assets Analysis'!F44</f>
        <v>8146</v>
      </c>
      <c r="E44" s="284">
        <f>+'Bank Assets Analysis'!G44-'Bank Assets Analysis'!H44</f>
        <v>69139</v>
      </c>
      <c r="F44" s="284">
        <f>+'Bank Assets Analysis'!I44-'Bank Assets Analysis'!J44</f>
        <v>381410</v>
      </c>
      <c r="G44" s="284">
        <f>+'Bank Assets Analysis'!K44-'Bank Assets Analysis'!L44</f>
        <v>1665631</v>
      </c>
      <c r="H44" s="284">
        <f>+'Bank Assets Analysis'!M44-'Bank Assets Analysis'!N44</f>
        <v>972213</v>
      </c>
      <c r="I44" s="284">
        <f>+'Bank Assets Analysis'!O44-'Bank Assets Analysis'!P44</f>
        <v>2620778</v>
      </c>
      <c r="J44" s="284">
        <f>+'Bank Assets Analysis'!Q44-'Bank Assets Analysis'!R44</f>
        <v>6467284</v>
      </c>
      <c r="K44" s="284">
        <f t="shared" si="0"/>
        <v>359742328</v>
      </c>
      <c r="L44" s="285">
        <v>0</v>
      </c>
      <c r="M44" s="286"/>
      <c r="N44" s="284">
        <f t="shared" si="6"/>
        <v>0</v>
      </c>
      <c r="O44" s="289"/>
      <c r="P44" s="289"/>
      <c r="Q44" s="289"/>
      <c r="R44" s="289"/>
      <c r="S44" s="289"/>
    </row>
    <row r="45" spans="1:19" s="290" customFormat="1" ht="33.75" customHeight="1">
      <c r="A45" s="282" t="s">
        <v>164</v>
      </c>
      <c r="B45" s="283" t="s">
        <v>537</v>
      </c>
      <c r="C45" s="284">
        <f>+'Bank Assets Analysis'!C45-'Bank Assets Analysis'!D45</f>
        <v>0</v>
      </c>
      <c r="D45" s="284">
        <f>+'Bank Assets Analysis'!E45-'Bank Assets Analysis'!F45</f>
        <v>0</v>
      </c>
      <c r="E45" s="284">
        <f>+'Bank Assets Analysis'!G45-'Bank Assets Analysis'!H45</f>
        <v>0</v>
      </c>
      <c r="F45" s="284">
        <f>+'Bank Assets Analysis'!I45-'Bank Assets Analysis'!J45</f>
        <v>0</v>
      </c>
      <c r="G45" s="284">
        <f>+'Bank Assets Analysis'!K45-'Bank Assets Analysis'!L45</f>
        <v>0</v>
      </c>
      <c r="H45" s="284">
        <f>+'Bank Assets Analysis'!M45-'Bank Assets Analysis'!N45</f>
        <v>0</v>
      </c>
      <c r="I45" s="284">
        <f>+'Bank Assets Analysis'!O45-'Bank Assets Analysis'!P45</f>
        <v>0</v>
      </c>
      <c r="J45" s="284">
        <f>+'Bank Assets Analysis'!Q45-'Bank Assets Analysis'!R45</f>
        <v>0</v>
      </c>
      <c r="K45" s="284">
        <f t="shared" ref="K45" si="9">+C45+D45+E45+F45+G45+H45+I45+J45</f>
        <v>0</v>
      </c>
      <c r="L45" s="285">
        <v>1</v>
      </c>
      <c r="M45" s="286">
        <f>+K45</f>
        <v>0</v>
      </c>
      <c r="N45" s="284">
        <f t="shared" ref="N45" si="10">+M45*L45</f>
        <v>0</v>
      </c>
      <c r="O45" s="289"/>
      <c r="P45" s="289"/>
      <c r="Q45" s="289"/>
      <c r="R45" s="289"/>
      <c r="S45" s="289"/>
    </row>
    <row r="46" spans="1:19" s="289" customFormat="1" ht="33.75" customHeight="1">
      <c r="A46" s="291" t="s">
        <v>41</v>
      </c>
      <c r="B46" s="292" t="s">
        <v>165</v>
      </c>
      <c r="C46" s="293">
        <f>SUM(C7:C44)-C8-C11-C15-C19-C21-C32-C35</f>
        <v>1641603681</v>
      </c>
      <c r="D46" s="293">
        <f t="shared" ref="D46:J46" si="11">SUM(D7:D44)-D8-D11-D15-D19-D21-D32-D35</f>
        <v>20117558</v>
      </c>
      <c r="E46" s="293">
        <f t="shared" si="11"/>
        <v>176035514</v>
      </c>
      <c r="F46" s="293">
        <f t="shared" si="11"/>
        <v>665686931</v>
      </c>
      <c r="G46" s="293">
        <f t="shared" si="11"/>
        <v>627897869</v>
      </c>
      <c r="H46" s="293">
        <f t="shared" si="11"/>
        <v>1170353239</v>
      </c>
      <c r="I46" s="293">
        <f t="shared" si="11"/>
        <v>965565982</v>
      </c>
      <c r="J46" s="293">
        <f t="shared" si="11"/>
        <v>2557025153</v>
      </c>
      <c r="K46" s="293">
        <f>SUM(C46:J46)</f>
        <v>7824285927</v>
      </c>
      <c r="L46" s="293"/>
      <c r="M46" s="293">
        <f>SUM(M7:M44)-M11-M35</f>
        <v>1187511720</v>
      </c>
      <c r="N46" s="293">
        <f>SUM(N7:N44)-N11-N35</f>
        <v>1116678176</v>
      </c>
      <c r="O46" s="430">
        <f>+Balance!D45</f>
        <v>7824285927</v>
      </c>
      <c r="P46" s="430">
        <f>+K46-O46</f>
        <v>0</v>
      </c>
      <c r="Q46" s="430">
        <f>+Balance!E45</f>
        <v>4814170696</v>
      </c>
      <c r="R46" s="430">
        <f>+O46</f>
        <v>7824285927</v>
      </c>
      <c r="S46" s="430">
        <f>+K46-R46</f>
        <v>0</v>
      </c>
    </row>
    <row r="47" spans="1:19" s="450" customFormat="1" ht="21" customHeight="1">
      <c r="A47" s="373"/>
      <c r="B47" s="458" t="s">
        <v>521</v>
      </c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466"/>
    </row>
    <row r="48" spans="1:19" s="450" customFormat="1" ht="25.5" customHeight="1">
      <c r="A48" s="282">
        <v>1</v>
      </c>
      <c r="B48" s="283" t="s">
        <v>538</v>
      </c>
      <c r="C48" s="284">
        <f>+'Bank Assets Analysis'!C48-'Bank Assets Analysis'!D48</f>
        <v>3308043</v>
      </c>
      <c r="D48" s="284">
        <f>+'Bank Assets Analysis'!E48-'Bank Assets Analysis'!F48</f>
        <v>248693</v>
      </c>
      <c r="E48" s="284">
        <f>+'Bank Assets Analysis'!G48-'Bank Assets Analysis'!H48</f>
        <v>2804722</v>
      </c>
      <c r="F48" s="284">
        <f>+'Bank Assets Analysis'!I48-'Bank Assets Analysis'!J48</f>
        <v>13074842</v>
      </c>
      <c r="G48" s="284">
        <f>+'Bank Assets Analysis'!K48-'Bank Assets Analysis'!L48</f>
        <v>16304797</v>
      </c>
      <c r="H48" s="284">
        <f>+'Bank Assets Analysis'!M48-'Bank Assets Analysis'!N48</f>
        <v>40803506</v>
      </c>
      <c r="I48" s="284">
        <f>+'Bank Assets Analysis'!O48-'Bank Assets Analysis'!P48</f>
        <v>94449279</v>
      </c>
      <c r="J48" s="284">
        <f>+'Bank Assets Analysis'!Q48-'Bank Assets Analysis'!R48</f>
        <v>378483636</v>
      </c>
      <c r="K48" s="284">
        <f t="shared" ref="K48" si="12">+C48+D48+E48+F48+G48+H48+I48+J48</f>
        <v>549477518</v>
      </c>
      <c r="L48" s="299"/>
      <c r="M48" s="299"/>
      <c r="N48" s="299"/>
      <c r="O48" s="466"/>
    </row>
    <row r="49" spans="1:19" s="450" customFormat="1" ht="37.5" customHeight="1">
      <c r="A49" s="282"/>
      <c r="B49" s="283" t="s">
        <v>539</v>
      </c>
      <c r="C49" s="284">
        <f>+'Bank Assets Analysis'!C49-'Bank Assets Analysis'!D49</f>
        <v>0</v>
      </c>
      <c r="D49" s="284">
        <f>+'Bank Assets Analysis'!E49-'Bank Assets Analysis'!F49</f>
        <v>0</v>
      </c>
      <c r="E49" s="284">
        <f>+'Bank Assets Analysis'!G49-'Bank Assets Analysis'!H49</f>
        <v>0</v>
      </c>
      <c r="F49" s="284">
        <f>+'Bank Assets Analysis'!I49-'Bank Assets Analysis'!J49</f>
        <v>0</v>
      </c>
      <c r="G49" s="284">
        <f>+'Bank Assets Analysis'!K49-'Bank Assets Analysis'!L49</f>
        <v>598</v>
      </c>
      <c r="H49" s="284">
        <f>+'Bank Assets Analysis'!M49-'Bank Assets Analysis'!N49</f>
        <v>69593</v>
      </c>
      <c r="I49" s="284">
        <f>+'Bank Assets Analysis'!O49-'Bank Assets Analysis'!P49</f>
        <v>320546</v>
      </c>
      <c r="J49" s="284">
        <f>+'Bank Assets Analysis'!Q49-'Bank Assets Analysis'!R49</f>
        <v>2690421</v>
      </c>
      <c r="K49" s="284">
        <f t="shared" ref="K49" si="13">+C49+D49+E49+F49+G49+H49+I49+J49</f>
        <v>3081158</v>
      </c>
      <c r="L49" s="299"/>
      <c r="M49" s="299"/>
      <c r="N49" s="299"/>
      <c r="O49" s="466"/>
    </row>
    <row r="50" spans="1:19" s="450" customFormat="1" ht="25.5" customHeight="1">
      <c r="A50" s="282">
        <v>2</v>
      </c>
      <c r="B50" s="283" t="s">
        <v>522</v>
      </c>
      <c r="C50" s="284">
        <f>+'Bank Assets Analysis'!C50-'Bank Assets Analysis'!D50</f>
        <v>1999162</v>
      </c>
      <c r="D50" s="284">
        <f>+'Bank Assets Analysis'!E50-'Bank Assets Analysis'!F50</f>
        <v>133411</v>
      </c>
      <c r="E50" s="284">
        <f>+'Bank Assets Analysis'!G50-'Bank Assets Analysis'!H50</f>
        <v>0</v>
      </c>
      <c r="F50" s="284">
        <f>+'Bank Assets Analysis'!I50-'Bank Assets Analysis'!J50</f>
        <v>899000</v>
      </c>
      <c r="G50" s="284">
        <f>+'Bank Assets Analysis'!K50-'Bank Assets Analysis'!L50</f>
        <v>0</v>
      </c>
      <c r="H50" s="284">
        <f>+'Bank Assets Analysis'!M50-'Bank Assets Analysis'!N50</f>
        <v>0</v>
      </c>
      <c r="I50" s="284">
        <f>+'Bank Assets Analysis'!O50-'Bank Assets Analysis'!P50</f>
        <v>0</v>
      </c>
      <c r="J50" s="284">
        <f>+'Bank Assets Analysis'!Q50-'Bank Assets Analysis'!R50</f>
        <v>0</v>
      </c>
      <c r="K50" s="284">
        <f t="shared" ref="K50" si="14">+C50+D50+E50+F50+G50+H50+I50+J50</f>
        <v>3031573</v>
      </c>
      <c r="L50" s="299"/>
      <c r="M50" s="299"/>
      <c r="N50" s="299"/>
      <c r="O50" s="466"/>
    </row>
    <row r="51" spans="1:19" s="450" customFormat="1" ht="37.5" customHeight="1">
      <c r="A51" s="282"/>
      <c r="B51" s="283" t="s">
        <v>540</v>
      </c>
      <c r="C51" s="284">
        <f>+'Bank Assets Analysis'!C51-'Bank Assets Analysis'!D51</f>
        <v>0</v>
      </c>
      <c r="D51" s="284">
        <f>+'Bank Assets Analysis'!E51-'Bank Assets Analysis'!F51</f>
        <v>0</v>
      </c>
      <c r="E51" s="284">
        <f>+'Bank Assets Analysis'!G51-'Bank Assets Analysis'!H51</f>
        <v>0</v>
      </c>
      <c r="F51" s="284">
        <f>+'Bank Assets Analysis'!I51-'Bank Assets Analysis'!J51</f>
        <v>0</v>
      </c>
      <c r="G51" s="284">
        <f>+'Bank Assets Analysis'!K51-'Bank Assets Analysis'!L51</f>
        <v>0</v>
      </c>
      <c r="H51" s="284">
        <f>+'Bank Assets Analysis'!M51-'Bank Assets Analysis'!N51</f>
        <v>0</v>
      </c>
      <c r="I51" s="284">
        <f>+'Bank Assets Analysis'!O51-'Bank Assets Analysis'!P51</f>
        <v>0</v>
      </c>
      <c r="J51" s="284">
        <f>+'Bank Assets Analysis'!Q51-'Bank Assets Analysis'!R51</f>
        <v>0</v>
      </c>
      <c r="K51" s="284">
        <f t="shared" ref="K51:K53" si="15">+C51+D51+E51+F51+G51+H51+I51+J51</f>
        <v>0</v>
      </c>
      <c r="L51" s="299"/>
      <c r="M51" s="299"/>
      <c r="N51" s="299"/>
      <c r="O51" s="466"/>
    </row>
    <row r="52" spans="1:19" s="450" customFormat="1" ht="25.5" customHeight="1">
      <c r="A52" s="282">
        <v>3</v>
      </c>
      <c r="B52" s="283" t="s">
        <v>523</v>
      </c>
      <c r="C52" s="284">
        <f>+'Bank Assets Analysis'!C52-'Bank Assets Analysis'!D52</f>
        <v>0</v>
      </c>
      <c r="D52" s="284">
        <f>+'Bank Assets Analysis'!E52-'Bank Assets Analysis'!F52</f>
        <v>0</v>
      </c>
      <c r="E52" s="284">
        <f>+'Bank Assets Analysis'!G52-'Bank Assets Analysis'!H52</f>
        <v>0</v>
      </c>
      <c r="F52" s="284">
        <f>+'Bank Assets Analysis'!I52-'Bank Assets Analysis'!J52</f>
        <v>0</v>
      </c>
      <c r="G52" s="284">
        <f>+'Bank Assets Analysis'!K52-'Bank Assets Analysis'!L52</f>
        <v>0</v>
      </c>
      <c r="H52" s="284">
        <f>+'Bank Assets Analysis'!M52-'Bank Assets Analysis'!N52</f>
        <v>0</v>
      </c>
      <c r="I52" s="284">
        <f>+'Bank Assets Analysis'!O52-'Bank Assets Analysis'!P52</f>
        <v>0</v>
      </c>
      <c r="J52" s="284">
        <f>+'Bank Assets Analysis'!Q52-'Bank Assets Analysis'!R52</f>
        <v>0</v>
      </c>
      <c r="K52" s="284">
        <f t="shared" si="15"/>
        <v>0</v>
      </c>
      <c r="L52" s="299"/>
      <c r="M52" s="299"/>
      <c r="N52" s="299"/>
      <c r="O52" s="466"/>
    </row>
    <row r="53" spans="1:19" s="450" customFormat="1" ht="32.25" customHeight="1">
      <c r="A53" s="282"/>
      <c r="B53" s="283" t="s">
        <v>541</v>
      </c>
      <c r="C53" s="284">
        <f>+'Bank Assets Analysis'!C53-'Bank Assets Analysis'!D53</f>
        <v>0</v>
      </c>
      <c r="D53" s="284">
        <f>+'Bank Assets Analysis'!E53-'Bank Assets Analysis'!F53</f>
        <v>0</v>
      </c>
      <c r="E53" s="284">
        <f>+'Bank Assets Analysis'!G53-'Bank Assets Analysis'!H53</f>
        <v>0</v>
      </c>
      <c r="F53" s="284">
        <f>+'Bank Assets Analysis'!I53-'Bank Assets Analysis'!J53</f>
        <v>0</v>
      </c>
      <c r="G53" s="284">
        <f>+'Bank Assets Analysis'!K53-'Bank Assets Analysis'!L53</f>
        <v>0</v>
      </c>
      <c r="H53" s="284">
        <f>+'Bank Assets Analysis'!M53-'Bank Assets Analysis'!N53</f>
        <v>0</v>
      </c>
      <c r="I53" s="284">
        <f>+'Bank Assets Analysis'!O53-'Bank Assets Analysis'!P53</f>
        <v>0</v>
      </c>
      <c r="J53" s="284">
        <f>+'Bank Assets Analysis'!Q53-'Bank Assets Analysis'!R53</f>
        <v>0</v>
      </c>
      <c r="K53" s="284">
        <f t="shared" si="15"/>
        <v>0</v>
      </c>
      <c r="L53" s="299"/>
      <c r="M53" s="299"/>
      <c r="N53" s="299"/>
      <c r="O53" s="466"/>
    </row>
    <row r="54" spans="1:19" s="304" customFormat="1" ht="10.5" customHeight="1">
      <c r="A54" s="431"/>
      <c r="B54" s="409"/>
      <c r="C54" s="409"/>
      <c r="D54" s="409"/>
      <c r="E54" s="409"/>
      <c r="F54" s="409"/>
      <c r="G54" s="409"/>
      <c r="H54" s="409"/>
      <c r="I54" s="409"/>
      <c r="J54" s="409"/>
      <c r="K54" s="409"/>
      <c r="L54" s="410"/>
      <c r="M54" s="411"/>
      <c r="N54" s="412"/>
      <c r="O54" s="405"/>
      <c r="P54" s="405"/>
      <c r="Q54" s="303"/>
      <c r="R54" s="405"/>
      <c r="S54" s="405"/>
    </row>
    <row r="55" spans="1:19" s="304" customFormat="1">
      <c r="A55" s="432"/>
      <c r="C55" s="301"/>
      <c r="D55" s="301"/>
      <c r="E55" s="301"/>
      <c r="F55" s="301"/>
      <c r="G55" s="301"/>
      <c r="H55" s="301"/>
      <c r="I55" s="301"/>
      <c r="J55" s="301"/>
      <c r="K55" s="301"/>
      <c r="L55" s="305"/>
      <c r="M55" s="300"/>
      <c r="N55" s="298"/>
      <c r="O55" s="433" t="s">
        <v>432</v>
      </c>
      <c r="P55" s="393">
        <f>+N46-P56</f>
        <v>126575692</v>
      </c>
    </row>
    <row r="56" spans="1:19" s="304" customFormat="1">
      <c r="A56" s="432"/>
      <c r="B56" s="14" t="s">
        <v>4</v>
      </c>
      <c r="C56" s="301"/>
      <c r="D56" s="301"/>
      <c r="E56" s="301"/>
      <c r="F56" s="301"/>
      <c r="G56" s="301"/>
      <c r="H56" s="301"/>
      <c r="I56" s="301"/>
      <c r="J56" s="301"/>
      <c r="K56" s="301"/>
      <c r="L56" s="305"/>
      <c r="M56" s="300"/>
      <c r="N56" s="298"/>
      <c r="O56" s="433" t="s">
        <v>28</v>
      </c>
      <c r="P56" s="393">
        <f>+N7+N9+N12+N13+N15+N20+N22+N24+N36-N45</f>
        <v>990102484</v>
      </c>
      <c r="Q56" s="303"/>
    </row>
    <row r="57" spans="1:19" s="304" customFormat="1">
      <c r="A57" s="432"/>
      <c r="B57" s="14"/>
      <c r="C57" s="301"/>
      <c r="D57" s="301"/>
      <c r="E57" s="301"/>
      <c r="F57" s="301"/>
      <c r="G57" s="301"/>
      <c r="H57" s="301"/>
      <c r="I57" s="301"/>
      <c r="J57" s="301"/>
      <c r="K57" s="301"/>
      <c r="L57" s="305"/>
      <c r="M57" s="300"/>
      <c r="N57" s="298"/>
      <c r="O57" s="433" t="s">
        <v>433</v>
      </c>
      <c r="P57" s="393">
        <f>+P59-P61</f>
        <v>856196635.95000005</v>
      </c>
      <c r="Q57" s="298"/>
    </row>
    <row r="58" spans="1:19" ht="20.25" customHeight="1">
      <c r="B58" s="14" t="s">
        <v>5</v>
      </c>
      <c r="O58" s="298"/>
      <c r="P58" s="78"/>
      <c r="Q58" s="303"/>
    </row>
    <row r="59" spans="1:19">
      <c r="O59" s="434" t="s">
        <v>507</v>
      </c>
      <c r="P59" s="193">
        <f>'Bank Liabilities Analysis (нац)'!M40+P60</f>
        <v>982772327.95000005</v>
      </c>
    </row>
    <row r="60" spans="1:19" ht="23.25" customHeight="1">
      <c r="O60" s="424" t="s">
        <v>506</v>
      </c>
      <c r="P60" s="193">
        <f>+'Liquidity Analysis'!D40</f>
        <v>82414190</v>
      </c>
      <c r="Q60" s="435"/>
    </row>
    <row r="61" spans="1:19">
      <c r="O61" s="434" t="s">
        <v>435</v>
      </c>
      <c r="P61" s="193">
        <f>IF(P55&gt;(P59*0.75),P59*0.75,P55)</f>
        <v>126575692</v>
      </c>
    </row>
    <row r="62" spans="1:19">
      <c r="P62" s="436"/>
    </row>
  </sheetData>
  <sheetProtection algorithmName="SHA-512" hashValue="t7sHDVjHWU8EHTxC2nwYh/DuHRTAiA8P6oKP8aABI9EtCOTp1FiJ4ErKvCntXYXrvyeP8zcV0QW3I30EcL73Ig==" saltValue="2DchLUztis9F+czMwFMsEg==" spinCount="100000" sheet="1" objects="1" scenarios="1"/>
  <mergeCells count="6">
    <mergeCell ref="L2:N2"/>
    <mergeCell ref="L4:N4"/>
    <mergeCell ref="A4:A5"/>
    <mergeCell ref="B4:B5"/>
    <mergeCell ref="C4:J4"/>
    <mergeCell ref="K4:K5"/>
  </mergeCells>
  <conditionalFormatting sqref="K46">
    <cfRule type="cellIs" dxfId="262" priority="269" operator="notEqual">
      <formula>$O$46</formula>
    </cfRule>
  </conditionalFormatting>
  <conditionalFormatting sqref="M53">
    <cfRule type="cellIs" dxfId="261" priority="2" operator="greaterThan">
      <formula>L53</formula>
    </cfRule>
  </conditionalFormatting>
  <conditionalFormatting sqref="M48:M52">
    <cfRule type="cellIs" dxfId="260" priority="1" operator="greaterThan">
      <formula>L48</formula>
    </cfRule>
  </conditionalFormatting>
  <dataValidations count="1">
    <dataValidation type="whole" operator="notEqual" allowBlank="1" showErrorMessage="1" error="Введите как целое число." sqref="J38:J39 D38:I40 C47:J53 K47 D6:J37 L47:N53 D41:J45 C6:C45" xr:uid="{00000000-0002-0000-0400-000000000000}">
      <formula1>-1E+28</formula1>
    </dataValidation>
  </dataValidations>
  <printOptions horizontalCentered="1"/>
  <pageMargins left="0.19685039370078741" right="0.19685039370078741" top="0.59055118110236227" bottom="0.35433070866141736" header="0.23622047244094491" footer="0.51181102362204722"/>
  <pageSetup paperSize="9" scale="29" orientation="landscape" r:id="rId1"/>
  <headerFooter alignWithMargins="0"/>
  <ignoredErrors>
    <ignoredError sqref="C33:J40 C7:J7 C9:J10 C16:J18 C22:J22 C12:J12 C20:J20 C24:J31 C42:J44" unlockedFormula="1"/>
    <ignoredError sqref="L14 L15:M1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18">
    <pageSetUpPr fitToPage="1"/>
  </sheetPr>
  <dimension ref="A1:AA60"/>
  <sheetViews>
    <sheetView view="pageBreakPreview" topLeftCell="A3" zoomScale="85" zoomScaleNormal="70" zoomScaleSheetLayoutView="85" workbookViewId="0">
      <pane xSplit="2" ySplit="4" topLeftCell="C28" activePane="bottomRight" state="frozen"/>
      <selection activeCell="C71" sqref="C71"/>
      <selection pane="topRight" activeCell="C71" sqref="C71"/>
      <selection pane="bottomLeft" activeCell="C71" sqref="C71"/>
      <selection pane="bottomRight" activeCell="C39" sqref="C39"/>
    </sheetView>
  </sheetViews>
  <sheetFormatPr defaultRowHeight="12.75"/>
  <cols>
    <col min="1" max="1" width="6.28515625" style="15" customWidth="1"/>
    <col min="2" max="2" width="53.28515625" style="25" customWidth="1"/>
    <col min="3" max="18" width="14.7109375" style="1" customWidth="1"/>
    <col min="19" max="21" width="15.85546875" style="1" customWidth="1"/>
    <col min="22" max="22" width="17.5703125" style="16" customWidth="1"/>
    <col min="23" max="24" width="17.5703125" style="300" customWidth="1"/>
    <col min="25" max="26" width="17.5703125" style="326" customWidth="1"/>
    <col min="27" max="27" width="17.5703125" style="327" customWidth="1"/>
    <col min="28" max="16384" width="9.140625" style="1"/>
  </cols>
  <sheetData>
    <row r="1" spans="1:27" s="9" customFormat="1" ht="30" customHeight="1">
      <c r="A1" s="210" t="s">
        <v>166</v>
      </c>
      <c r="B1" s="33"/>
      <c r="C1" s="211"/>
      <c r="D1" s="211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3"/>
      <c r="P1" s="213"/>
      <c r="Q1" s="213"/>
      <c r="R1" s="213"/>
      <c r="S1" s="213"/>
      <c r="T1" s="213"/>
      <c r="U1" s="213"/>
      <c r="V1" s="213"/>
      <c r="W1" s="372" t="s">
        <v>397</v>
      </c>
      <c r="X1" s="372"/>
      <c r="Y1" s="324"/>
      <c r="Z1" s="324"/>
      <c r="AA1" s="324"/>
    </row>
    <row r="2" spans="1:27" ht="23.25" customHeight="1">
      <c r="B2" s="154" t="str">
        <f>Balance!B3</f>
        <v xml:space="preserve">АК "АЛОКАБАНК" 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561" t="str">
        <f>+Balance!B2</f>
        <v xml:space="preserve"> 31 Декабрь, 2021</v>
      </c>
      <c r="U2" s="561"/>
      <c r="V2" s="1"/>
      <c r="W2" s="305"/>
      <c r="X2" s="300" t="s">
        <v>7</v>
      </c>
      <c r="Y2" s="322"/>
      <c r="AA2" s="326"/>
    </row>
    <row r="3" spans="1:27" s="9" customFormat="1" ht="21.75" customHeight="1">
      <c r="A3" s="553" t="s">
        <v>79</v>
      </c>
      <c r="B3" s="553" t="s">
        <v>54</v>
      </c>
      <c r="C3" s="555" t="s">
        <v>167</v>
      </c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56"/>
      <c r="S3" s="553" t="s">
        <v>127</v>
      </c>
      <c r="T3" s="557" t="s">
        <v>82</v>
      </c>
      <c r="U3" s="558"/>
      <c r="V3" s="557" t="s">
        <v>543</v>
      </c>
      <c r="W3" s="562"/>
      <c r="X3" s="558"/>
      <c r="Y3" s="324"/>
      <c r="Z3" s="324"/>
      <c r="AA3" s="325"/>
    </row>
    <row r="4" spans="1:27" s="9" customFormat="1" ht="21" customHeight="1">
      <c r="A4" s="554"/>
      <c r="B4" s="554"/>
      <c r="C4" s="555" t="s">
        <v>128</v>
      </c>
      <c r="D4" s="556"/>
      <c r="E4" s="555" t="s">
        <v>440</v>
      </c>
      <c r="F4" s="556"/>
      <c r="G4" s="555" t="s">
        <v>441</v>
      </c>
      <c r="H4" s="556"/>
      <c r="I4" s="555" t="s">
        <v>344</v>
      </c>
      <c r="J4" s="556"/>
      <c r="K4" s="555" t="s">
        <v>345</v>
      </c>
      <c r="L4" s="556"/>
      <c r="M4" s="555" t="s">
        <v>412</v>
      </c>
      <c r="N4" s="556"/>
      <c r="O4" s="555" t="s">
        <v>413</v>
      </c>
      <c r="P4" s="556"/>
      <c r="Q4" s="555" t="s">
        <v>84</v>
      </c>
      <c r="R4" s="556"/>
      <c r="S4" s="554"/>
      <c r="T4" s="559"/>
      <c r="U4" s="560"/>
      <c r="V4" s="559"/>
      <c r="W4" s="563"/>
      <c r="X4" s="560"/>
      <c r="Y4" s="324"/>
      <c r="Z4" s="324"/>
      <c r="AA4" s="325"/>
    </row>
    <row r="5" spans="1:27" s="9" customFormat="1" ht="102" customHeight="1">
      <c r="A5" s="554"/>
      <c r="B5" s="554"/>
      <c r="C5" s="226" t="s">
        <v>317</v>
      </c>
      <c r="D5" s="226" t="s">
        <v>318</v>
      </c>
      <c r="E5" s="226" t="s">
        <v>317</v>
      </c>
      <c r="F5" s="226" t="s">
        <v>318</v>
      </c>
      <c r="G5" s="226" t="s">
        <v>317</v>
      </c>
      <c r="H5" s="226" t="s">
        <v>318</v>
      </c>
      <c r="I5" s="226" t="s">
        <v>317</v>
      </c>
      <c r="J5" s="226" t="s">
        <v>318</v>
      </c>
      <c r="K5" s="226" t="s">
        <v>317</v>
      </c>
      <c r="L5" s="226" t="s">
        <v>318</v>
      </c>
      <c r="M5" s="226" t="s">
        <v>317</v>
      </c>
      <c r="N5" s="226" t="s">
        <v>318</v>
      </c>
      <c r="O5" s="226" t="s">
        <v>317</v>
      </c>
      <c r="P5" s="226" t="s">
        <v>318</v>
      </c>
      <c r="Q5" s="226" t="s">
        <v>317</v>
      </c>
      <c r="R5" s="226" t="s">
        <v>318</v>
      </c>
      <c r="S5" s="554"/>
      <c r="T5" s="226" t="s">
        <v>237</v>
      </c>
      <c r="U5" s="226" t="s">
        <v>395</v>
      </c>
      <c r="V5" s="387" t="s">
        <v>33</v>
      </c>
      <c r="W5" s="387" t="s">
        <v>470</v>
      </c>
      <c r="X5" s="387" t="s">
        <v>499</v>
      </c>
      <c r="Y5" s="324"/>
      <c r="Z5" s="324"/>
      <c r="AA5" s="325"/>
    </row>
    <row r="6" spans="1:27" s="11" customFormat="1" ht="17.25" customHeight="1">
      <c r="A6" s="214"/>
      <c r="B6" s="215" t="s">
        <v>2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7"/>
      <c r="W6" s="218"/>
      <c r="X6" s="218"/>
      <c r="Y6" s="328"/>
      <c r="Z6" s="328"/>
      <c r="AA6" s="329"/>
    </row>
    <row r="7" spans="1:27" s="9" customFormat="1" ht="25.5" customHeight="1">
      <c r="A7" s="179" t="s">
        <v>80</v>
      </c>
      <c r="B7" s="68" t="s">
        <v>168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65"/>
      <c r="W7" s="306"/>
      <c r="X7" s="306"/>
      <c r="Y7" s="324"/>
      <c r="Z7" s="324"/>
      <c r="AA7" s="325"/>
    </row>
    <row r="8" spans="1:27" s="9" customFormat="1" ht="25.5" customHeight="1">
      <c r="A8" s="179" t="s">
        <v>169</v>
      </c>
      <c r="B8" s="69" t="s">
        <v>170</v>
      </c>
      <c r="C8" s="29">
        <f>SUM(C9:C12)</f>
        <v>1508467497</v>
      </c>
      <c r="D8" s="30">
        <f t="shared" ref="D8:R8" si="0">SUM(D9:D12)</f>
        <v>253933433</v>
      </c>
      <c r="E8" s="29">
        <f t="shared" ref="E8:F8" si="1">SUM(E9:E12)</f>
        <v>0</v>
      </c>
      <c r="F8" s="30">
        <f t="shared" si="1"/>
        <v>0</v>
      </c>
      <c r="G8" s="29">
        <f t="shared" si="0"/>
        <v>0</v>
      </c>
      <c r="H8" s="30">
        <f t="shared" si="0"/>
        <v>0</v>
      </c>
      <c r="I8" s="29">
        <f t="shared" ref="I8" si="2">SUM(I9:I12)</f>
        <v>0</v>
      </c>
      <c r="J8" s="30">
        <f t="shared" ref="J8" si="3">SUM(J9:J12)</f>
        <v>0</v>
      </c>
      <c r="K8" s="29">
        <f t="shared" si="0"/>
        <v>0</v>
      </c>
      <c r="L8" s="30">
        <f t="shared" si="0"/>
        <v>0</v>
      </c>
      <c r="M8" s="29">
        <f t="shared" si="0"/>
        <v>0</v>
      </c>
      <c r="N8" s="30">
        <f t="shared" si="0"/>
        <v>0</v>
      </c>
      <c r="O8" s="29">
        <f t="shared" ref="O8" si="4">SUM(O9:O12)</f>
        <v>0</v>
      </c>
      <c r="P8" s="30">
        <f t="shared" ref="P8" si="5">SUM(P9:P12)</f>
        <v>0</v>
      </c>
      <c r="Q8" s="29">
        <f t="shared" si="0"/>
        <v>0</v>
      </c>
      <c r="R8" s="30">
        <f t="shared" si="0"/>
        <v>0</v>
      </c>
      <c r="S8" s="29">
        <f>+C8+E8+G8+I8+K8+M8+O8+Q8</f>
        <v>1508467497</v>
      </c>
      <c r="T8" s="29">
        <f>+S8-U8</f>
        <v>1254534064</v>
      </c>
      <c r="U8" s="29">
        <f>+D8+F8+H8+J8+L8+N8+P8+R8</f>
        <v>253933433</v>
      </c>
      <c r="V8" s="65"/>
      <c r="W8" s="308"/>
      <c r="X8" s="308"/>
      <c r="Y8" s="324"/>
      <c r="Z8" s="324"/>
      <c r="AA8" s="325"/>
    </row>
    <row r="9" spans="1:27" s="47" customFormat="1" ht="25.5" customHeight="1">
      <c r="A9" s="180" t="s">
        <v>319</v>
      </c>
      <c r="B9" s="70" t="s">
        <v>320</v>
      </c>
      <c r="C9" s="31">
        <v>45379581</v>
      </c>
      <c r="D9" s="31">
        <v>12197299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29">
        <f t="shared" ref="S9:S55" si="6">+C9+E9+G9+I9+K9+M9+O9+Q9</f>
        <v>45379581</v>
      </c>
      <c r="T9" s="29">
        <f t="shared" ref="T9:T55" si="7">+S9-U9</f>
        <v>33182282</v>
      </c>
      <c r="U9" s="29">
        <f t="shared" ref="U9:U55" si="8">+D9+F9+H9+J9+L9+N9+P9+R9</f>
        <v>12197299</v>
      </c>
      <c r="V9" s="67"/>
      <c r="W9" s="308"/>
      <c r="X9" s="308"/>
      <c r="Y9" s="330"/>
      <c r="Z9" s="330"/>
      <c r="AA9" s="331"/>
    </row>
    <row r="10" spans="1:27" s="47" customFormat="1" ht="25.5" customHeight="1">
      <c r="A10" s="180" t="s">
        <v>321</v>
      </c>
      <c r="B10" s="219" t="s">
        <v>325</v>
      </c>
      <c r="C10" s="31">
        <v>12465713</v>
      </c>
      <c r="D10" s="31">
        <v>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29">
        <f t="shared" si="6"/>
        <v>12465713</v>
      </c>
      <c r="T10" s="29">
        <f t="shared" si="7"/>
        <v>12465713</v>
      </c>
      <c r="U10" s="29">
        <f t="shared" si="8"/>
        <v>0</v>
      </c>
      <c r="V10" s="67"/>
      <c r="W10" s="308"/>
      <c r="X10" s="308"/>
      <c r="Y10" s="330"/>
      <c r="Z10" s="330"/>
      <c r="AA10" s="331"/>
    </row>
    <row r="11" spans="1:27" s="47" customFormat="1" ht="25.5" customHeight="1">
      <c r="A11" s="180" t="s">
        <v>322</v>
      </c>
      <c r="B11" s="70" t="s">
        <v>323</v>
      </c>
      <c r="C11" s="31">
        <v>0</v>
      </c>
      <c r="D11" s="31">
        <v>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29">
        <f t="shared" si="6"/>
        <v>0</v>
      </c>
      <c r="T11" s="29">
        <f t="shared" si="7"/>
        <v>0</v>
      </c>
      <c r="U11" s="29">
        <f t="shared" si="8"/>
        <v>0</v>
      </c>
      <c r="V11" s="67"/>
      <c r="W11" s="308"/>
      <c r="X11" s="308"/>
      <c r="Y11" s="330"/>
      <c r="Z11" s="330"/>
      <c r="AA11" s="331"/>
    </row>
    <row r="12" spans="1:27" s="47" customFormat="1" ht="25.5" customHeight="1">
      <c r="A12" s="180" t="s">
        <v>324</v>
      </c>
      <c r="B12" s="70" t="s">
        <v>34</v>
      </c>
      <c r="C12" s="31">
        <v>1450622203</v>
      </c>
      <c r="D12" s="31">
        <v>241736134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29">
        <f t="shared" si="6"/>
        <v>1450622203</v>
      </c>
      <c r="T12" s="29">
        <f t="shared" si="7"/>
        <v>1208886069</v>
      </c>
      <c r="U12" s="29">
        <f t="shared" si="8"/>
        <v>241736134</v>
      </c>
      <c r="V12" s="67"/>
      <c r="W12" s="308"/>
      <c r="X12" s="308"/>
      <c r="Y12" s="330"/>
      <c r="Z12" s="330"/>
      <c r="AA12" s="331"/>
    </row>
    <row r="13" spans="1:27" s="47" customFormat="1" ht="25.5" customHeight="1">
      <c r="A13" s="180" t="s">
        <v>171</v>
      </c>
      <c r="B13" s="208" t="s">
        <v>431</v>
      </c>
      <c r="C13" s="31">
        <v>0</v>
      </c>
      <c r="D13" s="31">
        <v>0</v>
      </c>
      <c r="E13" s="31">
        <v>311228376</v>
      </c>
      <c r="F13" s="31">
        <v>173402</v>
      </c>
      <c r="G13" s="31">
        <v>124862058</v>
      </c>
      <c r="H13" s="31">
        <v>584364</v>
      </c>
      <c r="I13" s="31">
        <v>251357501</v>
      </c>
      <c r="J13" s="31">
        <v>55825498</v>
      </c>
      <c r="K13" s="31">
        <v>619784088</v>
      </c>
      <c r="L13" s="31">
        <v>10227901</v>
      </c>
      <c r="M13" s="31">
        <v>1000290463</v>
      </c>
      <c r="N13" s="31">
        <v>344577863</v>
      </c>
      <c r="O13" s="31">
        <v>1661540393</v>
      </c>
      <c r="P13" s="31">
        <v>811517236</v>
      </c>
      <c r="Q13" s="31">
        <v>790119926</v>
      </c>
      <c r="R13" s="31">
        <v>467319899</v>
      </c>
      <c r="S13" s="29">
        <f t="shared" si="6"/>
        <v>4759182805</v>
      </c>
      <c r="T13" s="29">
        <f t="shared" si="7"/>
        <v>3068956642</v>
      </c>
      <c r="U13" s="29">
        <f t="shared" si="8"/>
        <v>1690226163</v>
      </c>
      <c r="V13" s="67"/>
      <c r="W13" s="308"/>
      <c r="X13" s="308"/>
      <c r="Y13" s="330"/>
      <c r="Z13" s="330"/>
      <c r="AA13" s="331"/>
    </row>
    <row r="14" spans="1:27" s="47" customFormat="1" ht="25.5" customHeight="1">
      <c r="A14" s="180" t="s">
        <v>429</v>
      </c>
      <c r="B14" s="220" t="s">
        <v>320</v>
      </c>
      <c r="C14" s="31">
        <v>0</v>
      </c>
      <c r="D14" s="31">
        <v>0</v>
      </c>
      <c r="E14" s="31">
        <v>1693376</v>
      </c>
      <c r="F14" s="31">
        <v>173402</v>
      </c>
      <c r="G14" s="31">
        <v>6862058</v>
      </c>
      <c r="H14" s="31">
        <v>584364</v>
      </c>
      <c r="I14" s="31">
        <v>113067732</v>
      </c>
      <c r="J14" s="31">
        <v>10480729</v>
      </c>
      <c r="K14" s="31">
        <v>92334194</v>
      </c>
      <c r="L14" s="31">
        <v>474007</v>
      </c>
      <c r="M14" s="31">
        <v>86660671</v>
      </c>
      <c r="N14" s="31">
        <v>14063914</v>
      </c>
      <c r="O14" s="31">
        <v>138934072</v>
      </c>
      <c r="P14" s="31">
        <v>2354579</v>
      </c>
      <c r="Q14" s="31">
        <v>1032318</v>
      </c>
      <c r="R14" s="31"/>
      <c r="S14" s="29">
        <f t="shared" si="6"/>
        <v>440584421</v>
      </c>
      <c r="T14" s="29">
        <f t="shared" si="7"/>
        <v>412453426</v>
      </c>
      <c r="U14" s="29">
        <f t="shared" si="8"/>
        <v>28130995</v>
      </c>
      <c r="V14" s="67"/>
      <c r="W14" s="308"/>
      <c r="X14" s="308"/>
      <c r="Y14" s="330"/>
      <c r="Z14" s="330"/>
      <c r="AA14" s="331"/>
    </row>
    <row r="15" spans="1:27" s="47" customFormat="1" ht="25.5" customHeight="1">
      <c r="A15" s="180" t="s">
        <v>430</v>
      </c>
      <c r="B15" s="209" t="s">
        <v>428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29">
        <f t="shared" si="6"/>
        <v>0</v>
      </c>
      <c r="T15" s="29">
        <f t="shared" si="7"/>
        <v>0</v>
      </c>
      <c r="U15" s="29">
        <f t="shared" si="8"/>
        <v>0</v>
      </c>
      <c r="V15" s="67"/>
      <c r="W15" s="308"/>
      <c r="X15" s="308"/>
      <c r="Y15" s="330"/>
      <c r="Z15" s="330"/>
      <c r="AA15" s="331"/>
    </row>
    <row r="16" spans="1:27" s="47" customFormat="1" ht="25.5" customHeight="1">
      <c r="A16" s="180" t="s">
        <v>172</v>
      </c>
      <c r="B16" s="70" t="s">
        <v>182</v>
      </c>
      <c r="C16" s="29">
        <f>SUM(C17:C21)</f>
        <v>528458881</v>
      </c>
      <c r="D16" s="30">
        <f t="shared" ref="D16:R16" si="9">SUM(D17:D21)</f>
        <v>100154447</v>
      </c>
      <c r="E16" s="29">
        <f t="shared" ref="E16:F16" si="10">SUM(E17:E21)</f>
        <v>0</v>
      </c>
      <c r="F16" s="30">
        <f t="shared" si="10"/>
        <v>0</v>
      </c>
      <c r="G16" s="29">
        <f t="shared" si="9"/>
        <v>0</v>
      </c>
      <c r="H16" s="30">
        <f t="shared" si="9"/>
        <v>0</v>
      </c>
      <c r="I16" s="29">
        <f t="shared" si="9"/>
        <v>0</v>
      </c>
      <c r="J16" s="30">
        <f t="shared" si="9"/>
        <v>0</v>
      </c>
      <c r="K16" s="29">
        <f t="shared" si="9"/>
        <v>0</v>
      </c>
      <c r="L16" s="30">
        <f t="shared" si="9"/>
        <v>0</v>
      </c>
      <c r="M16" s="29">
        <f t="shared" si="9"/>
        <v>0</v>
      </c>
      <c r="N16" s="30">
        <f t="shared" si="9"/>
        <v>0</v>
      </c>
      <c r="O16" s="29">
        <f t="shared" si="9"/>
        <v>0</v>
      </c>
      <c r="P16" s="30">
        <f t="shared" si="9"/>
        <v>0</v>
      </c>
      <c r="Q16" s="29">
        <f t="shared" si="9"/>
        <v>0</v>
      </c>
      <c r="R16" s="30">
        <f t="shared" si="9"/>
        <v>0</v>
      </c>
      <c r="S16" s="29">
        <f t="shared" si="6"/>
        <v>528458881</v>
      </c>
      <c r="T16" s="29">
        <f t="shared" si="7"/>
        <v>428304434</v>
      </c>
      <c r="U16" s="29">
        <f t="shared" si="8"/>
        <v>100154447</v>
      </c>
      <c r="V16" s="67"/>
      <c r="W16" s="308"/>
      <c r="X16" s="308"/>
      <c r="Y16" s="330"/>
      <c r="Z16" s="330"/>
      <c r="AA16" s="331"/>
    </row>
    <row r="17" spans="1:27" s="47" customFormat="1" ht="28.5" customHeight="1">
      <c r="A17" s="180" t="s">
        <v>326</v>
      </c>
      <c r="B17" s="70" t="s">
        <v>329</v>
      </c>
      <c r="C17" s="31">
        <v>410832303</v>
      </c>
      <c r="D17" s="31">
        <v>58307168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29">
        <f t="shared" si="6"/>
        <v>410832303</v>
      </c>
      <c r="T17" s="29">
        <f t="shared" si="7"/>
        <v>352525135</v>
      </c>
      <c r="U17" s="29">
        <f t="shared" si="8"/>
        <v>58307168</v>
      </c>
      <c r="V17" s="67"/>
      <c r="W17" s="308"/>
      <c r="X17" s="308"/>
      <c r="Y17" s="330"/>
      <c r="Z17" s="330"/>
      <c r="AA17" s="331"/>
    </row>
    <row r="18" spans="1:27" s="47" customFormat="1" ht="28.5" customHeight="1">
      <c r="A18" s="180" t="s">
        <v>327</v>
      </c>
      <c r="B18" s="70" t="s">
        <v>330</v>
      </c>
      <c r="C18" s="31">
        <v>6141060</v>
      </c>
      <c r="D18" s="31">
        <v>163705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29">
        <f t="shared" si="6"/>
        <v>6141060</v>
      </c>
      <c r="T18" s="29">
        <f t="shared" si="7"/>
        <v>5977355</v>
      </c>
      <c r="U18" s="29">
        <f t="shared" si="8"/>
        <v>163705</v>
      </c>
      <c r="V18" s="67"/>
      <c r="W18" s="308"/>
      <c r="X18" s="308"/>
      <c r="Y18" s="330"/>
      <c r="Z18" s="330"/>
      <c r="AA18" s="331"/>
    </row>
    <row r="19" spans="1:27" s="47" customFormat="1" ht="25.5" customHeight="1">
      <c r="A19" s="180" t="s">
        <v>328</v>
      </c>
      <c r="B19" s="70" t="s">
        <v>331</v>
      </c>
      <c r="C19" s="31">
        <v>30180636</v>
      </c>
      <c r="D19" s="31">
        <v>30180636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29">
        <f t="shared" si="6"/>
        <v>30180636</v>
      </c>
      <c r="T19" s="29">
        <f t="shared" si="7"/>
        <v>0</v>
      </c>
      <c r="U19" s="29">
        <f t="shared" si="8"/>
        <v>30180636</v>
      </c>
      <c r="V19" s="67"/>
      <c r="W19" s="308"/>
      <c r="X19" s="308"/>
      <c r="Y19" s="330"/>
      <c r="Z19" s="330"/>
      <c r="AA19" s="331"/>
    </row>
    <row r="20" spans="1:27" s="47" customFormat="1" ht="25.5">
      <c r="A20" s="180" t="s">
        <v>332</v>
      </c>
      <c r="B20" s="70" t="s">
        <v>333</v>
      </c>
      <c r="C20" s="31">
        <v>334545</v>
      </c>
      <c r="D20" s="31">
        <v>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29">
        <f t="shared" si="6"/>
        <v>334545</v>
      </c>
      <c r="T20" s="29">
        <f t="shared" si="7"/>
        <v>334545</v>
      </c>
      <c r="U20" s="29">
        <f t="shared" si="8"/>
        <v>0</v>
      </c>
      <c r="V20" s="67"/>
      <c r="W20" s="308"/>
      <c r="X20" s="308"/>
      <c r="Y20" s="330"/>
      <c r="Z20" s="330"/>
      <c r="AA20" s="331"/>
    </row>
    <row r="21" spans="1:27" s="47" customFormat="1" ht="25.5" customHeight="1">
      <c r="A21" s="180" t="s">
        <v>334</v>
      </c>
      <c r="B21" s="70" t="s">
        <v>21</v>
      </c>
      <c r="C21" s="31">
        <v>80970337</v>
      </c>
      <c r="D21" s="31">
        <v>11502938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29">
        <f t="shared" si="6"/>
        <v>80970337</v>
      </c>
      <c r="T21" s="29">
        <f t="shared" si="7"/>
        <v>69467399</v>
      </c>
      <c r="U21" s="29">
        <f t="shared" si="8"/>
        <v>11502938</v>
      </c>
      <c r="V21" s="67"/>
      <c r="W21" s="308"/>
      <c r="X21" s="308"/>
      <c r="Y21" s="330"/>
      <c r="Z21" s="330"/>
      <c r="AA21" s="331"/>
    </row>
    <row r="22" spans="1:27" s="47" customFormat="1" ht="25.5" customHeight="1">
      <c r="A22" s="180" t="s">
        <v>174</v>
      </c>
      <c r="B22" s="71" t="s">
        <v>175</v>
      </c>
      <c r="C22" s="30">
        <f t="shared" ref="C22:R22" si="11">+C8+C13+C16</f>
        <v>2036926378</v>
      </c>
      <c r="D22" s="30">
        <f t="shared" si="11"/>
        <v>354087880</v>
      </c>
      <c r="E22" s="30">
        <f t="shared" ref="E22:F22" si="12">+E8+E13+E16</f>
        <v>311228376</v>
      </c>
      <c r="F22" s="30">
        <f t="shared" si="12"/>
        <v>173402</v>
      </c>
      <c r="G22" s="30">
        <f t="shared" si="11"/>
        <v>124862058</v>
      </c>
      <c r="H22" s="30">
        <f t="shared" si="11"/>
        <v>584364</v>
      </c>
      <c r="I22" s="30">
        <f t="shared" si="11"/>
        <v>251357501</v>
      </c>
      <c r="J22" s="30">
        <f t="shared" si="11"/>
        <v>55825498</v>
      </c>
      <c r="K22" s="30">
        <f t="shared" si="11"/>
        <v>619784088</v>
      </c>
      <c r="L22" s="30">
        <f t="shared" si="11"/>
        <v>10227901</v>
      </c>
      <c r="M22" s="30">
        <f t="shared" si="11"/>
        <v>1000290463</v>
      </c>
      <c r="N22" s="30">
        <f t="shared" si="11"/>
        <v>344577863</v>
      </c>
      <c r="O22" s="30">
        <f t="shared" si="11"/>
        <v>1661540393</v>
      </c>
      <c r="P22" s="30">
        <f t="shared" si="11"/>
        <v>811517236</v>
      </c>
      <c r="Q22" s="30">
        <f t="shared" si="11"/>
        <v>790119926</v>
      </c>
      <c r="R22" s="30">
        <f t="shared" si="11"/>
        <v>467319899</v>
      </c>
      <c r="S22" s="29">
        <f t="shared" si="6"/>
        <v>6796109183</v>
      </c>
      <c r="T22" s="29">
        <f t="shared" si="7"/>
        <v>4751795140</v>
      </c>
      <c r="U22" s="29">
        <f t="shared" si="8"/>
        <v>2044314043</v>
      </c>
      <c r="V22" s="67">
        <v>0.15</v>
      </c>
      <c r="W22" s="308">
        <f>+S22*V22</f>
        <v>1019416377.4499999</v>
      </c>
      <c r="X22" s="308">
        <f>U22*V22</f>
        <v>306647106.44999999</v>
      </c>
      <c r="Y22" s="330"/>
      <c r="Z22" s="330"/>
      <c r="AA22" s="331"/>
    </row>
    <row r="23" spans="1:27" s="47" customFormat="1" ht="25.5" customHeight="1">
      <c r="A23" s="180" t="s">
        <v>130</v>
      </c>
      <c r="B23" s="70" t="s">
        <v>176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9">
        <f t="shared" si="6"/>
        <v>0</v>
      </c>
      <c r="T23" s="29">
        <f t="shared" si="7"/>
        <v>0</v>
      </c>
      <c r="U23" s="29">
        <f t="shared" si="8"/>
        <v>0</v>
      </c>
      <c r="V23" s="67">
        <v>1</v>
      </c>
      <c r="W23" s="308">
        <f>(C23+E23+G23)*V23</f>
        <v>0</v>
      </c>
      <c r="X23" s="308">
        <f>(D23+F23+H23)*V23</f>
        <v>0</v>
      </c>
      <c r="Y23" s="330"/>
      <c r="Z23" s="330"/>
      <c r="AA23" s="331"/>
    </row>
    <row r="24" spans="1:27" s="47" customFormat="1" ht="25.5" customHeight="1">
      <c r="A24" s="180" t="s">
        <v>131</v>
      </c>
      <c r="B24" s="70" t="s">
        <v>177</v>
      </c>
      <c r="C24" s="30">
        <f>SUM(C25:C28)</f>
        <v>39046712</v>
      </c>
      <c r="D24" s="30">
        <f t="shared" ref="D24:R24" si="13">SUM(D25:D28)</f>
        <v>30599223</v>
      </c>
      <c r="E24" s="30">
        <f t="shared" si="13"/>
        <v>1500000</v>
      </c>
      <c r="F24" s="30">
        <f t="shared" si="13"/>
        <v>0</v>
      </c>
      <c r="G24" s="30">
        <f t="shared" si="13"/>
        <v>185645568</v>
      </c>
      <c r="H24" s="30">
        <f t="shared" si="13"/>
        <v>178345568</v>
      </c>
      <c r="I24" s="30">
        <f t="shared" si="13"/>
        <v>779181720</v>
      </c>
      <c r="J24" s="30">
        <f t="shared" si="13"/>
        <v>455181720</v>
      </c>
      <c r="K24" s="30">
        <f t="shared" si="13"/>
        <v>27094150</v>
      </c>
      <c r="L24" s="30">
        <f t="shared" si="13"/>
        <v>27094150</v>
      </c>
      <c r="M24" s="30">
        <f t="shared" si="13"/>
        <v>18806473</v>
      </c>
      <c r="N24" s="30">
        <f t="shared" si="13"/>
        <v>18806473</v>
      </c>
      <c r="O24" s="30">
        <f t="shared" si="13"/>
        <v>23720000</v>
      </c>
      <c r="P24" s="30">
        <f t="shared" si="13"/>
        <v>0</v>
      </c>
      <c r="Q24" s="30">
        <f t="shared" si="13"/>
        <v>156542720</v>
      </c>
      <c r="R24" s="30">
        <f t="shared" si="13"/>
        <v>108376600</v>
      </c>
      <c r="S24" s="29">
        <f t="shared" si="6"/>
        <v>1231537343</v>
      </c>
      <c r="T24" s="29">
        <f t="shared" si="7"/>
        <v>413133609</v>
      </c>
      <c r="U24" s="29">
        <f t="shared" si="8"/>
        <v>818403734</v>
      </c>
      <c r="V24" s="67"/>
      <c r="W24" s="308"/>
      <c r="X24" s="308"/>
      <c r="Y24" s="330"/>
      <c r="Z24" s="330"/>
      <c r="AA24" s="331"/>
    </row>
    <row r="25" spans="1:27" s="47" customFormat="1" ht="25.5" customHeight="1">
      <c r="A25" s="180" t="s">
        <v>192</v>
      </c>
      <c r="B25" s="208" t="s">
        <v>503</v>
      </c>
      <c r="C25" s="24">
        <v>21415578</v>
      </c>
      <c r="D25" s="24">
        <v>20772512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>
        <f>+C25</f>
        <v>21415578</v>
      </c>
      <c r="T25" s="30">
        <f t="shared" ref="T25" si="14">+S25-U25</f>
        <v>643066</v>
      </c>
      <c r="U25" s="30">
        <f>+D25</f>
        <v>20772512</v>
      </c>
      <c r="V25" s="407">
        <v>1</v>
      </c>
      <c r="W25" s="308">
        <f>+T25*V25</f>
        <v>643066</v>
      </c>
      <c r="X25" s="308"/>
      <c r="Y25" s="330"/>
      <c r="Z25" s="330"/>
      <c r="AA25" s="331"/>
    </row>
    <row r="26" spans="1:27" s="47" customFormat="1" ht="25.5" customHeight="1">
      <c r="A26" s="180" t="s">
        <v>193</v>
      </c>
      <c r="B26" s="70" t="s">
        <v>335</v>
      </c>
      <c r="C26" s="31">
        <v>7284000</v>
      </c>
      <c r="D26" s="31">
        <v>0</v>
      </c>
      <c r="E26" s="31">
        <v>1500000</v>
      </c>
      <c r="F26" s="31">
        <v>0</v>
      </c>
      <c r="G26" s="31">
        <v>185645568</v>
      </c>
      <c r="H26" s="31">
        <v>178345568</v>
      </c>
      <c r="I26" s="31">
        <v>779181720</v>
      </c>
      <c r="J26" s="31">
        <v>455181720</v>
      </c>
      <c r="K26" s="31">
        <v>27094150</v>
      </c>
      <c r="L26" s="31">
        <v>27094150</v>
      </c>
      <c r="M26" s="31">
        <v>18806473</v>
      </c>
      <c r="N26" s="31">
        <v>18806473</v>
      </c>
      <c r="O26" s="31">
        <v>23720000</v>
      </c>
      <c r="P26" s="31">
        <v>0</v>
      </c>
      <c r="Q26" s="31">
        <v>156542720</v>
      </c>
      <c r="R26" s="31">
        <v>108376600</v>
      </c>
      <c r="S26" s="29">
        <f t="shared" si="6"/>
        <v>1199774631</v>
      </c>
      <c r="T26" s="29">
        <f t="shared" si="7"/>
        <v>411970120</v>
      </c>
      <c r="U26" s="29">
        <f t="shared" si="8"/>
        <v>787804511</v>
      </c>
      <c r="V26" s="407">
        <v>1</v>
      </c>
      <c r="W26" s="308">
        <f>(C26+E26+G26)*V26</f>
        <v>194429568</v>
      </c>
      <c r="X26" s="308">
        <f>(D26+F26+H26)*V26</f>
        <v>178345568</v>
      </c>
      <c r="Y26" s="330"/>
      <c r="Z26" s="330"/>
      <c r="AA26" s="331"/>
    </row>
    <row r="27" spans="1:27" s="47" customFormat="1" ht="25.5" customHeight="1">
      <c r="A27" s="180" t="s">
        <v>22</v>
      </c>
      <c r="B27" s="70" t="s">
        <v>336</v>
      </c>
      <c r="C27" s="24">
        <v>9124646</v>
      </c>
      <c r="D27" s="24">
        <v>8604223</v>
      </c>
      <c r="E27" s="24"/>
      <c r="F27" s="24"/>
      <c r="G27" s="24"/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9">
        <f t="shared" si="6"/>
        <v>9124646</v>
      </c>
      <c r="T27" s="29">
        <f t="shared" si="7"/>
        <v>520423</v>
      </c>
      <c r="U27" s="29">
        <f t="shared" si="8"/>
        <v>8604223</v>
      </c>
      <c r="V27" s="407">
        <v>1</v>
      </c>
      <c r="W27" s="308">
        <f>(C27+E27+G27)*V27</f>
        <v>9124646</v>
      </c>
      <c r="X27" s="308">
        <f>(D27+F27+H27)*V27</f>
        <v>8604223</v>
      </c>
      <c r="Y27" s="330"/>
      <c r="Z27" s="330"/>
      <c r="AA27" s="331"/>
    </row>
    <row r="28" spans="1:27" s="47" customFormat="1" ht="25.5" customHeight="1">
      <c r="A28" s="373" t="s">
        <v>347</v>
      </c>
      <c r="B28" s="70" t="s">
        <v>32</v>
      </c>
      <c r="C28" s="24">
        <v>1222488</v>
      </c>
      <c r="D28" s="24">
        <v>1222488</v>
      </c>
      <c r="E28" s="24"/>
      <c r="F28" s="24"/>
      <c r="G28" s="24"/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9">
        <f t="shared" si="6"/>
        <v>1222488</v>
      </c>
      <c r="T28" s="29">
        <f t="shared" si="7"/>
        <v>0</v>
      </c>
      <c r="U28" s="29">
        <f t="shared" si="8"/>
        <v>1222488</v>
      </c>
      <c r="V28" s="407">
        <v>1</v>
      </c>
      <c r="W28" s="308">
        <f>(C28+E28+G28)*V28</f>
        <v>1222488</v>
      </c>
      <c r="X28" s="308">
        <f>(D28+F28+H28)*V28</f>
        <v>1222488</v>
      </c>
      <c r="Y28" s="330"/>
      <c r="Z28" s="330"/>
      <c r="AA28" s="331"/>
    </row>
    <row r="29" spans="1:27" s="47" customFormat="1" ht="25.5" customHeight="1">
      <c r="A29" s="180" t="s">
        <v>133</v>
      </c>
      <c r="B29" s="70" t="s">
        <v>178</v>
      </c>
      <c r="C29" s="24"/>
      <c r="D29" s="24"/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9">
        <f t="shared" si="6"/>
        <v>0</v>
      </c>
      <c r="T29" s="29">
        <f t="shared" si="7"/>
        <v>0</v>
      </c>
      <c r="U29" s="29">
        <f t="shared" si="8"/>
        <v>0</v>
      </c>
      <c r="V29" s="407">
        <v>1</v>
      </c>
      <c r="W29" s="308">
        <f>(C29+E29+G29)*V29</f>
        <v>0</v>
      </c>
      <c r="X29" s="308">
        <f>(D29+F29+H29)*V29</f>
        <v>0</v>
      </c>
      <c r="Y29" s="330"/>
      <c r="Z29" s="330"/>
      <c r="AA29" s="331"/>
    </row>
    <row r="30" spans="1:27" s="47" customFormat="1" ht="25.5">
      <c r="A30" s="180" t="s">
        <v>135</v>
      </c>
      <c r="B30" s="70" t="s">
        <v>179</v>
      </c>
      <c r="C30" s="24"/>
      <c r="D30" s="24"/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9">
        <f t="shared" si="6"/>
        <v>0</v>
      </c>
      <c r="T30" s="29">
        <f t="shared" si="7"/>
        <v>0</v>
      </c>
      <c r="U30" s="29">
        <f t="shared" si="8"/>
        <v>0</v>
      </c>
      <c r="V30" s="407">
        <v>1</v>
      </c>
      <c r="W30" s="308">
        <f>(C30+E30+G30)*V30</f>
        <v>0</v>
      </c>
      <c r="X30" s="308">
        <f>(D30+F30+H30)*V30</f>
        <v>0</v>
      </c>
      <c r="Y30" s="330"/>
      <c r="Z30" s="330"/>
      <c r="AA30" s="331"/>
    </row>
    <row r="31" spans="1:27" s="47" customFormat="1" ht="25.5" customHeight="1">
      <c r="A31" s="180" t="s">
        <v>137</v>
      </c>
      <c r="B31" s="70" t="s">
        <v>180</v>
      </c>
      <c r="C31" s="31"/>
      <c r="D31" s="31"/>
      <c r="E31" s="31">
        <v>200000</v>
      </c>
      <c r="F31" s="31">
        <v>0</v>
      </c>
      <c r="G31" s="31">
        <v>72062421</v>
      </c>
      <c r="H31" s="31">
        <v>71907360</v>
      </c>
      <c r="I31" s="31">
        <v>189293903</v>
      </c>
      <c r="J31" s="31">
        <v>188983782</v>
      </c>
      <c r="K31" s="31">
        <v>218563863</v>
      </c>
      <c r="L31" s="31">
        <v>217994986</v>
      </c>
      <c r="M31" s="31">
        <v>368489856</v>
      </c>
      <c r="N31" s="31">
        <v>315005258</v>
      </c>
      <c r="O31" s="31">
        <v>775043688</v>
      </c>
      <c r="P31" s="31">
        <v>751974387</v>
      </c>
      <c r="Q31" s="31">
        <v>647355048</v>
      </c>
      <c r="R31" s="31">
        <v>377618886</v>
      </c>
      <c r="S31" s="29">
        <f t="shared" si="6"/>
        <v>2271008779</v>
      </c>
      <c r="T31" s="29">
        <f t="shared" si="7"/>
        <v>347524120</v>
      </c>
      <c r="U31" s="29">
        <f t="shared" si="8"/>
        <v>1923484659</v>
      </c>
      <c r="V31" s="407">
        <v>0.1</v>
      </c>
      <c r="W31" s="308">
        <f>+X31+'Bank Liabilities Analysis (нац)'!M32</f>
        <v>209724671.90000001</v>
      </c>
      <c r="X31" s="308">
        <f>(U31)*V31</f>
        <v>192348465.90000001</v>
      </c>
      <c r="Y31" s="330"/>
      <c r="Z31" s="330"/>
      <c r="AA31" s="331"/>
    </row>
    <row r="32" spans="1:27" s="47" customFormat="1" ht="25.5" customHeight="1">
      <c r="A32" s="180" t="s">
        <v>139</v>
      </c>
      <c r="B32" s="70" t="s">
        <v>404</v>
      </c>
      <c r="C32" s="31"/>
      <c r="D32" s="31"/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0">
        <f t="shared" si="6"/>
        <v>0</v>
      </c>
      <c r="T32" s="30">
        <f t="shared" si="7"/>
        <v>0</v>
      </c>
      <c r="U32" s="30">
        <f t="shared" si="8"/>
        <v>0</v>
      </c>
      <c r="V32" s="407">
        <v>1</v>
      </c>
      <c r="W32" s="308">
        <f>(C32+E32+G32)*V32</f>
        <v>0</v>
      </c>
      <c r="X32" s="308">
        <f>(D32+F32+H32)*V32</f>
        <v>0</v>
      </c>
      <c r="Y32" s="330"/>
      <c r="Z32" s="330"/>
      <c r="AA32" s="331"/>
    </row>
    <row r="33" spans="1:27" s="47" customFormat="1" ht="25.5" customHeight="1">
      <c r="A33" s="180" t="s">
        <v>442</v>
      </c>
      <c r="B33" s="70" t="s">
        <v>377</v>
      </c>
      <c r="C33" s="31"/>
      <c r="D33" s="31"/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0">
        <f t="shared" si="6"/>
        <v>0</v>
      </c>
      <c r="T33" s="30">
        <f t="shared" si="7"/>
        <v>0</v>
      </c>
      <c r="U33" s="30">
        <f t="shared" si="8"/>
        <v>0</v>
      </c>
      <c r="V33" s="407">
        <v>1</v>
      </c>
      <c r="W33" s="308">
        <f>(C33+E33+G33)*V33</f>
        <v>0</v>
      </c>
      <c r="X33" s="308">
        <f>(D33+F33+H33)*V33</f>
        <v>0</v>
      </c>
      <c r="Y33" s="330"/>
      <c r="Z33" s="330"/>
      <c r="AA33" s="331"/>
    </row>
    <row r="34" spans="1:27" s="47" customFormat="1" ht="25.5">
      <c r="A34" s="180" t="s">
        <v>141</v>
      </c>
      <c r="B34" s="72" t="s">
        <v>181</v>
      </c>
      <c r="C34" s="31"/>
      <c r="D34" s="31"/>
      <c r="E34" s="31">
        <v>0</v>
      </c>
      <c r="F34" s="31">
        <v>0</v>
      </c>
      <c r="G34" s="31">
        <v>54648356</v>
      </c>
      <c r="H34" s="31">
        <v>0</v>
      </c>
      <c r="I34" s="31">
        <v>364556318</v>
      </c>
      <c r="J34" s="31"/>
      <c r="K34" s="31"/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29">
        <f t="shared" si="6"/>
        <v>419204674</v>
      </c>
      <c r="T34" s="29">
        <f t="shared" si="7"/>
        <v>419204674</v>
      </c>
      <c r="U34" s="29">
        <f t="shared" si="8"/>
        <v>0</v>
      </c>
      <c r="V34" s="407">
        <v>1</v>
      </c>
      <c r="W34" s="308">
        <f>(C34+E34+G34)*V34</f>
        <v>54648356</v>
      </c>
      <c r="X34" s="308">
        <f>(D34+F34+H34)*V34</f>
        <v>0</v>
      </c>
      <c r="Y34" s="330"/>
      <c r="Z34" s="330"/>
      <c r="AA34" s="331"/>
    </row>
    <row r="35" spans="1:27" s="47" customFormat="1" ht="29.25" customHeight="1">
      <c r="A35" s="180" t="s">
        <v>143</v>
      </c>
      <c r="B35" s="70" t="s">
        <v>183</v>
      </c>
      <c r="C35" s="31"/>
      <c r="D35" s="31"/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29">
        <f t="shared" si="6"/>
        <v>0</v>
      </c>
      <c r="T35" s="29">
        <f t="shared" si="7"/>
        <v>0</v>
      </c>
      <c r="U35" s="29">
        <f t="shared" si="8"/>
        <v>0</v>
      </c>
      <c r="V35" s="407">
        <v>1</v>
      </c>
      <c r="W35" s="308">
        <f>(S35)*V35</f>
        <v>0</v>
      </c>
      <c r="X35" s="308">
        <f>(U35)*V35</f>
        <v>0</v>
      </c>
      <c r="Y35" s="330"/>
      <c r="Z35" s="330"/>
      <c r="AA35" s="331"/>
    </row>
    <row r="36" spans="1:27" s="47" customFormat="1" ht="25.5" customHeight="1">
      <c r="A36" s="180" t="s">
        <v>184</v>
      </c>
      <c r="B36" s="70" t="s">
        <v>185</v>
      </c>
      <c r="C36" s="31">
        <v>7801251</v>
      </c>
      <c r="D36" s="31">
        <v>7689371</v>
      </c>
      <c r="E36" s="31">
        <v>152</v>
      </c>
      <c r="F36" s="31"/>
      <c r="G36" s="31"/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29">
        <f t="shared" si="6"/>
        <v>7801403</v>
      </c>
      <c r="T36" s="29">
        <f t="shared" si="7"/>
        <v>112032</v>
      </c>
      <c r="U36" s="29">
        <f t="shared" si="8"/>
        <v>7689371</v>
      </c>
      <c r="V36" s="407">
        <v>1</v>
      </c>
      <c r="W36" s="308">
        <f>(S36)*V36</f>
        <v>7801403</v>
      </c>
      <c r="X36" s="308">
        <f>(U36)*V36</f>
        <v>7689371</v>
      </c>
      <c r="Y36" s="330"/>
      <c r="Z36" s="330"/>
      <c r="AA36" s="331"/>
    </row>
    <row r="37" spans="1:27" s="47" customFormat="1" ht="25.5" customHeight="1">
      <c r="A37" s="180" t="s">
        <v>186</v>
      </c>
      <c r="B37" s="70" t="s">
        <v>161</v>
      </c>
      <c r="C37" s="31">
        <v>11203308</v>
      </c>
      <c r="D37" s="31">
        <v>1561</v>
      </c>
      <c r="E37" s="31">
        <v>205971</v>
      </c>
      <c r="F37" s="31">
        <v>190460</v>
      </c>
      <c r="G37" s="31">
        <v>727251</v>
      </c>
      <c r="H37" s="31">
        <v>721518</v>
      </c>
      <c r="I37" s="31">
        <v>3440381</v>
      </c>
      <c r="J37" s="31">
        <v>2670836</v>
      </c>
      <c r="K37" s="31">
        <v>2147806</v>
      </c>
      <c r="L37" s="31">
        <v>1465830</v>
      </c>
      <c r="M37" s="31">
        <v>3740672</v>
      </c>
      <c r="N37" s="31">
        <v>968698</v>
      </c>
      <c r="O37" s="31">
        <v>2527499</v>
      </c>
      <c r="P37" s="31">
        <v>1252650</v>
      </c>
      <c r="Q37" s="31">
        <v>5811382</v>
      </c>
      <c r="R37" s="31">
        <v>4695853</v>
      </c>
      <c r="S37" s="29">
        <f t="shared" si="6"/>
        <v>29804270</v>
      </c>
      <c r="T37" s="29">
        <f t="shared" si="7"/>
        <v>17836864</v>
      </c>
      <c r="U37" s="29">
        <f t="shared" si="8"/>
        <v>11967406</v>
      </c>
      <c r="V37" s="407"/>
      <c r="W37" s="308">
        <f>C37+E37+G37+((I37+K37+M37+O37+Q37)*15%)</f>
        <v>14786691</v>
      </c>
      <c r="X37" s="308">
        <f>D37+F37+H37+((J37+L37+N37+P37+R37)*15%)</f>
        <v>2571619.0499999998</v>
      </c>
      <c r="Y37" s="330"/>
      <c r="Z37" s="330"/>
      <c r="AA37" s="331"/>
    </row>
    <row r="38" spans="1:27" s="47" customFormat="1" ht="25.5" customHeight="1">
      <c r="A38" s="180" t="s">
        <v>147</v>
      </c>
      <c r="B38" s="70" t="s">
        <v>187</v>
      </c>
      <c r="C38" s="31">
        <v>153397873</v>
      </c>
      <c r="D38" s="31">
        <v>84922687</v>
      </c>
      <c r="E38" s="31">
        <v>43362670</v>
      </c>
      <c r="F38" s="31">
        <v>29532607</v>
      </c>
      <c r="G38" s="31">
        <v>17557</v>
      </c>
      <c r="H38" s="31">
        <v>0</v>
      </c>
      <c r="I38" s="31">
        <v>248657</v>
      </c>
      <c r="J38" s="31">
        <v>182720</v>
      </c>
      <c r="K38" s="31">
        <v>303144</v>
      </c>
      <c r="L38" s="31">
        <v>220366</v>
      </c>
      <c r="M38" s="31">
        <v>503311</v>
      </c>
      <c r="N38" s="31">
        <v>25890</v>
      </c>
      <c r="O38" s="31">
        <v>1087544</v>
      </c>
      <c r="P38" s="31">
        <v>0</v>
      </c>
      <c r="Q38" s="31">
        <v>10564272</v>
      </c>
      <c r="R38" s="31">
        <v>8611046</v>
      </c>
      <c r="S38" s="29">
        <f t="shared" si="6"/>
        <v>209485028</v>
      </c>
      <c r="T38" s="29">
        <f t="shared" si="7"/>
        <v>85989712</v>
      </c>
      <c r="U38" s="29">
        <f t="shared" si="8"/>
        <v>123495316</v>
      </c>
      <c r="V38" s="407">
        <v>1</v>
      </c>
      <c r="W38" s="308">
        <f>(S38)*V38</f>
        <v>209485028</v>
      </c>
      <c r="X38" s="308">
        <f>(U38)*V38</f>
        <v>123495316</v>
      </c>
      <c r="Y38" s="330"/>
      <c r="Z38" s="330"/>
      <c r="AA38" s="330"/>
    </row>
    <row r="39" spans="1:27" s="197" customFormat="1" ht="24.75" customHeight="1">
      <c r="A39" s="181" t="s">
        <v>149</v>
      </c>
      <c r="B39" s="74" t="s">
        <v>188</v>
      </c>
      <c r="C39" s="182">
        <f t="shared" ref="C39:R39" si="15">+C22+C29+C30+C31+C32+C33+C34+C35+C36+C37+C38+C23+C24</f>
        <v>2248375522</v>
      </c>
      <c r="D39" s="182">
        <f t="shared" si="15"/>
        <v>477300722</v>
      </c>
      <c r="E39" s="182">
        <f t="shared" si="15"/>
        <v>356497169</v>
      </c>
      <c r="F39" s="182">
        <f t="shared" si="15"/>
        <v>29896469</v>
      </c>
      <c r="G39" s="182">
        <f t="shared" si="15"/>
        <v>437963211</v>
      </c>
      <c r="H39" s="182">
        <f t="shared" si="15"/>
        <v>251558810</v>
      </c>
      <c r="I39" s="182">
        <f t="shared" si="15"/>
        <v>1588078480</v>
      </c>
      <c r="J39" s="182">
        <f t="shared" si="15"/>
        <v>702844556</v>
      </c>
      <c r="K39" s="182">
        <f t="shared" si="15"/>
        <v>867893051</v>
      </c>
      <c r="L39" s="182">
        <f t="shared" si="15"/>
        <v>257003233</v>
      </c>
      <c r="M39" s="182">
        <f t="shared" si="15"/>
        <v>1391830775</v>
      </c>
      <c r="N39" s="182">
        <f t="shared" si="15"/>
        <v>679384182</v>
      </c>
      <c r="O39" s="182">
        <f t="shared" si="15"/>
        <v>2463919124</v>
      </c>
      <c r="P39" s="182">
        <f t="shared" si="15"/>
        <v>1564744273</v>
      </c>
      <c r="Q39" s="182">
        <f t="shared" si="15"/>
        <v>1610393348</v>
      </c>
      <c r="R39" s="182">
        <f t="shared" si="15"/>
        <v>966622284</v>
      </c>
      <c r="S39" s="182">
        <f>+S22+S23+S24+S29+S30+S31+S32+S33+S34+S35+S36+S37+S38</f>
        <v>10964950680</v>
      </c>
      <c r="T39" s="182">
        <f>+T22+T23+T24+T29+T30+T31+T32+T33+T34+T35+T36+T37+T38</f>
        <v>6035596151</v>
      </c>
      <c r="U39" s="182">
        <f>+U22+U23+U24+U29+U30+U31+U32+U33+U34+U35+U36+U37+U38</f>
        <v>4929354529</v>
      </c>
      <c r="V39" s="273" t="s">
        <v>27</v>
      </c>
      <c r="W39" s="182">
        <f>SUM(W9:W38)</f>
        <v>1721282295.3499999</v>
      </c>
      <c r="X39" s="182">
        <f>SUM(X9:X38)</f>
        <v>820924157.39999998</v>
      </c>
      <c r="Y39" s="332">
        <f>+Balance!C62</f>
        <v>10964950680</v>
      </c>
      <c r="Z39" s="332">
        <f>+Balance!D62</f>
        <v>6035596151</v>
      </c>
      <c r="AA39" s="332">
        <f>+Balance!E62</f>
        <v>4929354529</v>
      </c>
    </row>
    <row r="40" spans="1:27" s="47" customFormat="1">
      <c r="A40" s="180"/>
      <c r="B40" s="73" t="s">
        <v>337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30">
        <f t="shared" si="6"/>
        <v>0</v>
      </c>
      <c r="T40" s="30">
        <f t="shared" si="7"/>
        <v>0</v>
      </c>
      <c r="U40" s="30">
        <f t="shared" si="8"/>
        <v>0</v>
      </c>
      <c r="V40" s="67"/>
      <c r="W40" s="308"/>
      <c r="X40" s="308"/>
      <c r="Y40" s="330"/>
      <c r="Z40" s="330"/>
      <c r="AA40" s="331"/>
    </row>
    <row r="41" spans="1:27" s="47" customFormat="1" ht="25.5">
      <c r="A41" s="180"/>
      <c r="B41" s="36" t="s">
        <v>338</v>
      </c>
      <c r="C41" s="30">
        <f>+C42+C43</f>
        <v>255916</v>
      </c>
      <c r="D41" s="30">
        <f t="shared" ref="D41" si="16">+D42+D43</f>
        <v>0</v>
      </c>
      <c r="E41" s="30">
        <f t="shared" ref="E41:G41" si="17">+E42+E43</f>
        <v>305200000</v>
      </c>
      <c r="F41" s="30">
        <f t="shared" ref="F41:H41" si="18">+F42+F43</f>
        <v>0</v>
      </c>
      <c r="G41" s="30">
        <f t="shared" si="17"/>
        <v>100000000</v>
      </c>
      <c r="H41" s="30">
        <f t="shared" si="18"/>
        <v>0</v>
      </c>
      <c r="I41" s="30">
        <f t="shared" ref="I41" si="19">+I42+I43</f>
        <v>0</v>
      </c>
      <c r="J41" s="30">
        <f t="shared" ref="J41" si="20">+J42+J43</f>
        <v>0</v>
      </c>
      <c r="K41" s="30">
        <f t="shared" ref="K41" si="21">+K42+K43</f>
        <v>485500000</v>
      </c>
      <c r="L41" s="30">
        <f t="shared" ref="L41" si="22">+L42+L43</f>
        <v>0</v>
      </c>
      <c r="M41" s="30">
        <f t="shared" ref="M41" si="23">+M42+M43</f>
        <v>360000000</v>
      </c>
      <c r="N41" s="30">
        <f t="shared" ref="N41" si="24">+N42+N43</f>
        <v>0</v>
      </c>
      <c r="O41" s="30">
        <f t="shared" ref="O41" si="25">+O42+O43</f>
        <v>0</v>
      </c>
      <c r="P41" s="30">
        <f t="shared" ref="P41" si="26">+P42+P43</f>
        <v>0</v>
      </c>
      <c r="Q41" s="30">
        <f t="shared" ref="Q41" si="27">+Q42+Q43</f>
        <v>505412380</v>
      </c>
      <c r="R41" s="30">
        <f t="shared" ref="R41" si="28">+R42+R43</f>
        <v>466019380</v>
      </c>
      <c r="S41" s="30">
        <f t="shared" si="6"/>
        <v>1756368296</v>
      </c>
      <c r="T41" s="30">
        <f t="shared" si="7"/>
        <v>1290348916</v>
      </c>
      <c r="U41" s="30">
        <f t="shared" si="8"/>
        <v>466019380</v>
      </c>
      <c r="V41" s="67"/>
      <c r="W41" s="308"/>
      <c r="X41" s="308"/>
      <c r="Y41" s="330"/>
      <c r="Z41" s="330"/>
      <c r="AA41" s="331"/>
    </row>
    <row r="42" spans="1:27" s="47" customFormat="1" ht="20.25" customHeight="1">
      <c r="A42" s="180"/>
      <c r="B42" s="37" t="s">
        <v>293</v>
      </c>
      <c r="C42" s="24">
        <v>0</v>
      </c>
      <c r="D42" s="24">
        <v>0</v>
      </c>
      <c r="E42" s="24">
        <v>200000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31">
        <v>0</v>
      </c>
      <c r="P42" s="31">
        <v>0</v>
      </c>
      <c r="Q42" s="31">
        <v>38593000</v>
      </c>
      <c r="R42" s="31">
        <v>0</v>
      </c>
      <c r="S42" s="30">
        <f t="shared" si="6"/>
        <v>38793000</v>
      </c>
      <c r="T42" s="30">
        <f t="shared" si="7"/>
        <v>38793000</v>
      </c>
      <c r="U42" s="30">
        <f t="shared" si="8"/>
        <v>0</v>
      </c>
      <c r="V42" s="67"/>
      <c r="W42" s="308"/>
      <c r="X42" s="308"/>
      <c r="Y42" s="330"/>
      <c r="Z42" s="330"/>
      <c r="AA42" s="331"/>
    </row>
    <row r="43" spans="1:27" s="47" customFormat="1" ht="20.25" customHeight="1">
      <c r="A43" s="180"/>
      <c r="B43" s="37" t="s">
        <v>339</v>
      </c>
      <c r="C43" s="24">
        <v>255916</v>
      </c>
      <c r="D43" s="24">
        <v>0</v>
      </c>
      <c r="E43" s="24">
        <v>305000000</v>
      </c>
      <c r="F43" s="24">
        <v>0</v>
      </c>
      <c r="G43" s="24">
        <v>100000000</v>
      </c>
      <c r="H43" s="24">
        <v>0</v>
      </c>
      <c r="I43" s="24">
        <v>0</v>
      </c>
      <c r="J43" s="24">
        <v>0</v>
      </c>
      <c r="K43" s="24">
        <v>485500000</v>
      </c>
      <c r="L43" s="24">
        <v>0</v>
      </c>
      <c r="M43" s="24">
        <v>360000000</v>
      </c>
      <c r="N43" s="24">
        <v>0</v>
      </c>
      <c r="O43" s="24">
        <v>0</v>
      </c>
      <c r="P43" s="24">
        <v>0</v>
      </c>
      <c r="Q43" s="24">
        <v>466819380</v>
      </c>
      <c r="R43" s="24">
        <v>466019380</v>
      </c>
      <c r="S43" s="30">
        <f t="shared" si="6"/>
        <v>1717575296</v>
      </c>
      <c r="T43" s="30">
        <f t="shared" si="7"/>
        <v>1251555916</v>
      </c>
      <c r="U43" s="30">
        <f t="shared" si="8"/>
        <v>466019380</v>
      </c>
      <c r="V43" s="67"/>
      <c r="W43" s="308"/>
      <c r="X43" s="308"/>
      <c r="Y43" s="330"/>
      <c r="Z43" s="330"/>
      <c r="AA43" s="331"/>
    </row>
    <row r="44" spans="1:27" s="47" customFormat="1" ht="20.25" customHeight="1">
      <c r="A44" s="180"/>
      <c r="B44" s="36" t="s">
        <v>340</v>
      </c>
      <c r="C44" s="30">
        <f>+C45+C46</f>
        <v>0</v>
      </c>
      <c r="D44" s="30">
        <f t="shared" ref="D44" si="29">+D45+D46</f>
        <v>0</v>
      </c>
      <c r="E44" s="30">
        <f t="shared" ref="E44:G44" si="30">+E45+E46</f>
        <v>0</v>
      </c>
      <c r="F44" s="30">
        <f t="shared" ref="F44:H44" si="31">+F45+F46</f>
        <v>0</v>
      </c>
      <c r="G44" s="30">
        <f t="shared" si="30"/>
        <v>0</v>
      </c>
      <c r="H44" s="30">
        <f t="shared" si="31"/>
        <v>0</v>
      </c>
      <c r="I44" s="30">
        <f t="shared" ref="I44" si="32">+I45+I46</f>
        <v>0</v>
      </c>
      <c r="J44" s="30">
        <f t="shared" ref="J44" si="33">+J45+J46</f>
        <v>0</v>
      </c>
      <c r="K44" s="30">
        <f t="shared" ref="K44" si="34">+K45+K46</f>
        <v>0</v>
      </c>
      <c r="L44" s="30">
        <f t="shared" ref="L44" si="35">+L45+L46</f>
        <v>0</v>
      </c>
      <c r="M44" s="30">
        <f t="shared" ref="M44" si="36">+M45+M46</f>
        <v>0</v>
      </c>
      <c r="N44" s="30">
        <f t="shared" ref="N44" si="37">+N45+N46</f>
        <v>0</v>
      </c>
      <c r="O44" s="30">
        <f t="shared" ref="O44" si="38">+O45+O46</f>
        <v>0</v>
      </c>
      <c r="P44" s="30">
        <f t="shared" ref="P44" si="39">+P45+P46</f>
        <v>0</v>
      </c>
      <c r="Q44" s="30">
        <f t="shared" ref="Q44" si="40">+Q45+Q46</f>
        <v>0</v>
      </c>
      <c r="R44" s="30">
        <f t="shared" ref="R44" si="41">+R45+R46</f>
        <v>0</v>
      </c>
      <c r="S44" s="30">
        <f t="shared" si="6"/>
        <v>0</v>
      </c>
      <c r="T44" s="30">
        <f t="shared" si="7"/>
        <v>0</v>
      </c>
      <c r="U44" s="30">
        <f t="shared" si="8"/>
        <v>0</v>
      </c>
      <c r="V44" s="67"/>
      <c r="W44" s="308"/>
      <c r="X44" s="308"/>
      <c r="Y44" s="330"/>
      <c r="Z44" s="330"/>
      <c r="AA44" s="331"/>
    </row>
    <row r="45" spans="1:27" s="47" customFormat="1" ht="20.25" customHeight="1">
      <c r="A45" s="180"/>
      <c r="B45" s="37" t="s">
        <v>293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30">
        <f t="shared" si="6"/>
        <v>0</v>
      </c>
      <c r="T45" s="30">
        <f t="shared" si="7"/>
        <v>0</v>
      </c>
      <c r="U45" s="30">
        <f t="shared" si="8"/>
        <v>0</v>
      </c>
      <c r="V45" s="67"/>
      <c r="W45" s="308"/>
      <c r="X45" s="308"/>
      <c r="Y45" s="330"/>
      <c r="Z45" s="330"/>
      <c r="AA45" s="331"/>
    </row>
    <row r="46" spans="1:27" s="47" customFormat="1" ht="20.25" customHeight="1">
      <c r="A46" s="183"/>
      <c r="B46" s="37" t="s">
        <v>339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30">
        <f t="shared" si="6"/>
        <v>0</v>
      </c>
      <c r="T46" s="30">
        <f t="shared" si="7"/>
        <v>0</v>
      </c>
      <c r="U46" s="30">
        <f t="shared" si="8"/>
        <v>0</v>
      </c>
      <c r="V46" s="67"/>
      <c r="W46" s="308"/>
      <c r="X46" s="308"/>
      <c r="Y46" s="330"/>
      <c r="Z46" s="330"/>
      <c r="AA46" s="331"/>
    </row>
    <row r="47" spans="1:27" s="47" customFormat="1" ht="25.5">
      <c r="A47" s="183"/>
      <c r="B47" s="36" t="s">
        <v>341</v>
      </c>
      <c r="C47" s="30">
        <f>+C48+C49</f>
        <v>0</v>
      </c>
      <c r="D47" s="30">
        <f t="shared" ref="D47" si="42">+D48+D49</f>
        <v>0</v>
      </c>
      <c r="E47" s="30">
        <f t="shared" ref="E47:G47" si="43">+E48+E49</f>
        <v>0</v>
      </c>
      <c r="F47" s="30">
        <f t="shared" ref="F47:H47" si="44">+F48+F49</f>
        <v>0</v>
      </c>
      <c r="G47" s="30">
        <f t="shared" si="43"/>
        <v>0</v>
      </c>
      <c r="H47" s="30">
        <f t="shared" si="44"/>
        <v>0</v>
      </c>
      <c r="I47" s="30">
        <f t="shared" ref="I47" si="45">+I48+I49</f>
        <v>0</v>
      </c>
      <c r="J47" s="30">
        <f t="shared" ref="J47" si="46">+J48+J49</f>
        <v>0</v>
      </c>
      <c r="K47" s="30">
        <f t="shared" ref="K47" si="47">+K48+K49</f>
        <v>0</v>
      </c>
      <c r="L47" s="30">
        <f t="shared" ref="L47" si="48">+L48+L49</f>
        <v>0</v>
      </c>
      <c r="M47" s="30">
        <f t="shared" ref="M47:R47" si="49">+M48+M49</f>
        <v>0</v>
      </c>
      <c r="N47" s="30">
        <f t="shared" si="49"/>
        <v>0</v>
      </c>
      <c r="O47" s="30">
        <f t="shared" si="49"/>
        <v>0</v>
      </c>
      <c r="P47" s="30">
        <f t="shared" si="49"/>
        <v>0</v>
      </c>
      <c r="Q47" s="30">
        <f t="shared" si="49"/>
        <v>0</v>
      </c>
      <c r="R47" s="30">
        <f t="shared" si="49"/>
        <v>0</v>
      </c>
      <c r="S47" s="30">
        <f t="shared" si="6"/>
        <v>0</v>
      </c>
      <c r="T47" s="30">
        <f t="shared" si="7"/>
        <v>0</v>
      </c>
      <c r="U47" s="30">
        <f t="shared" si="8"/>
        <v>0</v>
      </c>
      <c r="V47" s="67"/>
      <c r="W47" s="308"/>
      <c r="X47" s="308"/>
      <c r="Y47" s="330"/>
      <c r="Z47" s="330"/>
      <c r="AA47" s="331"/>
    </row>
    <row r="48" spans="1:27" s="47" customFormat="1" ht="20.25" customHeight="1">
      <c r="A48" s="183"/>
      <c r="B48" s="37" t="s">
        <v>293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30">
        <f>+C48+E48+G48+I48+K48+M48+O48+Q48</f>
        <v>0</v>
      </c>
      <c r="T48" s="30">
        <f t="shared" si="7"/>
        <v>0</v>
      </c>
      <c r="U48" s="30">
        <f>+D48+F48+H48+J48+L48+N48+P48+R48</f>
        <v>0</v>
      </c>
      <c r="V48" s="67"/>
      <c r="W48" s="308"/>
      <c r="X48" s="308"/>
      <c r="Y48" s="330"/>
      <c r="Z48" s="330"/>
      <c r="AA48" s="331"/>
    </row>
    <row r="49" spans="1:27" s="47" customFormat="1" ht="20.25" customHeight="1">
      <c r="A49" s="183"/>
      <c r="B49" s="37" t="s">
        <v>339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30">
        <f t="shared" si="6"/>
        <v>0</v>
      </c>
      <c r="T49" s="30">
        <f t="shared" si="7"/>
        <v>0</v>
      </c>
      <c r="U49" s="30">
        <f t="shared" si="8"/>
        <v>0</v>
      </c>
      <c r="V49" s="67"/>
      <c r="W49" s="308"/>
      <c r="X49" s="308"/>
      <c r="Y49" s="330"/>
      <c r="Z49" s="330"/>
      <c r="AA49" s="331"/>
    </row>
    <row r="50" spans="1:27" s="47" customFormat="1" ht="20.25" customHeight="1">
      <c r="A50" s="183"/>
      <c r="B50" s="36" t="s">
        <v>342</v>
      </c>
      <c r="C50" s="30">
        <f>+C51+C52</f>
        <v>0</v>
      </c>
      <c r="D50" s="30">
        <f t="shared" ref="D50" si="50">+D51+D52</f>
        <v>0</v>
      </c>
      <c r="E50" s="30">
        <f t="shared" ref="E50:G50" si="51">+E51+E52</f>
        <v>0</v>
      </c>
      <c r="F50" s="30">
        <f t="shared" ref="F50:H50" si="52">+F51+F52</f>
        <v>0</v>
      </c>
      <c r="G50" s="30">
        <f t="shared" si="51"/>
        <v>17009173</v>
      </c>
      <c r="H50" s="30">
        <f t="shared" si="52"/>
        <v>17009173</v>
      </c>
      <c r="I50" s="30">
        <f t="shared" ref="I50" si="53">+I51+I52</f>
        <v>112415619</v>
      </c>
      <c r="J50" s="30">
        <f t="shared" ref="J50" si="54">+J51+J52</f>
        <v>112415619</v>
      </c>
      <c r="K50" s="30">
        <f t="shared" ref="K50" si="55">+K51+K52</f>
        <v>79102563</v>
      </c>
      <c r="L50" s="30">
        <f t="shared" ref="L50" si="56">+L51+L52</f>
        <v>79102563</v>
      </c>
      <c r="M50" s="30">
        <f t="shared" ref="M50:R50" si="57">+M51+M52</f>
        <v>194529364</v>
      </c>
      <c r="N50" s="30">
        <f t="shared" si="57"/>
        <v>194529364</v>
      </c>
      <c r="O50" s="30">
        <f t="shared" si="57"/>
        <v>677990884</v>
      </c>
      <c r="P50" s="30">
        <f t="shared" si="57"/>
        <v>677990884</v>
      </c>
      <c r="Q50" s="30">
        <f t="shared" si="57"/>
        <v>159061674</v>
      </c>
      <c r="R50" s="30">
        <f t="shared" si="57"/>
        <v>159061674</v>
      </c>
      <c r="S50" s="30">
        <f t="shared" si="6"/>
        <v>1240109277</v>
      </c>
      <c r="T50" s="30">
        <f t="shared" si="7"/>
        <v>0</v>
      </c>
      <c r="U50" s="30">
        <f t="shared" si="8"/>
        <v>1240109277</v>
      </c>
      <c r="V50" s="67"/>
      <c r="W50" s="308"/>
      <c r="X50" s="308"/>
      <c r="Y50" s="330"/>
      <c r="Z50" s="330"/>
      <c r="AA50" s="331"/>
    </row>
    <row r="51" spans="1:27" s="47" customFormat="1" ht="20.25" customHeight="1">
      <c r="A51" s="183"/>
      <c r="B51" s="37" t="s">
        <v>293</v>
      </c>
      <c r="C51" s="24"/>
      <c r="D51" s="24"/>
      <c r="E51" s="24"/>
      <c r="F51" s="24"/>
      <c r="G51" s="24">
        <v>12066165</v>
      </c>
      <c r="H51" s="24">
        <v>12066165</v>
      </c>
      <c r="I51" s="31">
        <v>112415619</v>
      </c>
      <c r="J51" s="31">
        <v>112415619</v>
      </c>
      <c r="K51" s="31">
        <v>68264903</v>
      </c>
      <c r="L51" s="31">
        <v>68264903</v>
      </c>
      <c r="M51" s="31">
        <v>175722891</v>
      </c>
      <c r="N51" s="31">
        <v>175722891</v>
      </c>
      <c r="O51" s="31">
        <v>677990884</v>
      </c>
      <c r="P51" s="31">
        <v>677990884</v>
      </c>
      <c r="Q51" s="31">
        <v>159061674</v>
      </c>
      <c r="R51" s="31">
        <v>159061674</v>
      </c>
      <c r="S51" s="30">
        <f>+C51+E51+G51+I51+K51+M51+O51+Q51</f>
        <v>1205522136</v>
      </c>
      <c r="T51" s="30">
        <f t="shared" si="7"/>
        <v>0</v>
      </c>
      <c r="U51" s="30">
        <f>+D51+F51+H51+J51+L51+N51+P51+R51</f>
        <v>1205522136</v>
      </c>
      <c r="V51" s="67"/>
      <c r="W51" s="308"/>
      <c r="X51" s="308"/>
      <c r="Y51" s="330"/>
      <c r="Z51" s="330"/>
      <c r="AA51" s="331"/>
    </row>
    <row r="52" spans="1:27" s="47" customFormat="1" ht="20.25" customHeight="1">
      <c r="A52" s="183"/>
      <c r="B52" s="37" t="s">
        <v>339</v>
      </c>
      <c r="C52" s="24"/>
      <c r="D52" s="24"/>
      <c r="E52" s="24"/>
      <c r="F52" s="24"/>
      <c r="G52" s="24">
        <v>4943008</v>
      </c>
      <c r="H52" s="24">
        <v>4943008</v>
      </c>
      <c r="I52" s="24">
        <v>0</v>
      </c>
      <c r="J52" s="24">
        <v>0</v>
      </c>
      <c r="K52" s="24">
        <v>10837660</v>
      </c>
      <c r="L52" s="24">
        <v>10837660</v>
      </c>
      <c r="M52" s="24">
        <v>18806473</v>
      </c>
      <c r="N52" s="24">
        <v>18806473</v>
      </c>
      <c r="O52" s="24">
        <v>0</v>
      </c>
      <c r="P52" s="24">
        <v>0</v>
      </c>
      <c r="Q52" s="24">
        <v>0</v>
      </c>
      <c r="R52" s="24">
        <v>0</v>
      </c>
      <c r="S52" s="30">
        <f t="shared" si="6"/>
        <v>34587141</v>
      </c>
      <c r="T52" s="30">
        <f t="shared" si="7"/>
        <v>0</v>
      </c>
      <c r="U52" s="30">
        <f t="shared" si="8"/>
        <v>34587141</v>
      </c>
      <c r="V52" s="67"/>
      <c r="W52" s="308"/>
      <c r="X52" s="308"/>
      <c r="Y52" s="330"/>
      <c r="Z52" s="330"/>
      <c r="AA52" s="331"/>
    </row>
    <row r="53" spans="1:27" s="47" customFormat="1" ht="20.25" customHeight="1">
      <c r="A53" s="183"/>
      <c r="B53" s="36" t="s">
        <v>343</v>
      </c>
      <c r="C53" s="30">
        <f>+C54+C55</f>
        <v>0</v>
      </c>
      <c r="D53" s="30">
        <f t="shared" ref="D53" si="58">+D54+D55</f>
        <v>0</v>
      </c>
      <c r="E53" s="30">
        <f t="shared" ref="E53:G53" si="59">+E54+E55</f>
        <v>0</v>
      </c>
      <c r="F53" s="30">
        <f t="shared" ref="F53:H53" si="60">+F54+F55</f>
        <v>0</v>
      </c>
      <c r="G53" s="30">
        <f t="shared" si="59"/>
        <v>0</v>
      </c>
      <c r="H53" s="30">
        <f t="shared" si="60"/>
        <v>0</v>
      </c>
      <c r="I53" s="30">
        <f t="shared" ref="I53" si="61">+I54+I55</f>
        <v>0</v>
      </c>
      <c r="J53" s="30">
        <f t="shared" ref="J53" si="62">+J54+J55</f>
        <v>0</v>
      </c>
      <c r="K53" s="30">
        <f t="shared" ref="K53" si="63">+K54+K55</f>
        <v>59607130</v>
      </c>
      <c r="L53" s="30">
        <f t="shared" ref="L53" si="64">+L54+L55</f>
        <v>59607130</v>
      </c>
      <c r="M53" s="30">
        <f t="shared" ref="M53" si="65">+M54+M55</f>
        <v>51578100</v>
      </c>
      <c r="N53" s="30">
        <f t="shared" ref="N53" si="66">+N54+N55</f>
        <v>0</v>
      </c>
      <c r="O53" s="30">
        <f t="shared" ref="O53" si="67">+O54+O55</f>
        <v>81282450</v>
      </c>
      <c r="P53" s="30">
        <f t="shared" ref="P53" si="68">+P54+P55</f>
        <v>81282450</v>
      </c>
      <c r="Q53" s="30">
        <f t="shared" ref="Q53" si="69">+Q54+Q55</f>
        <v>0</v>
      </c>
      <c r="R53" s="30">
        <f t="shared" ref="R53" si="70">+R54+R55</f>
        <v>0</v>
      </c>
      <c r="S53" s="30">
        <f t="shared" si="6"/>
        <v>192467680</v>
      </c>
      <c r="T53" s="30">
        <f t="shared" si="7"/>
        <v>51578100</v>
      </c>
      <c r="U53" s="30">
        <f t="shared" si="8"/>
        <v>140889580</v>
      </c>
      <c r="V53" s="67"/>
      <c r="W53" s="308"/>
      <c r="X53" s="308"/>
      <c r="Y53" s="330"/>
      <c r="Z53" s="330"/>
      <c r="AA53" s="331"/>
    </row>
    <row r="54" spans="1:27" s="47" customFormat="1" ht="20.25" customHeight="1">
      <c r="A54" s="183"/>
      <c r="B54" s="37" t="s">
        <v>293</v>
      </c>
      <c r="C54" s="24"/>
      <c r="D54" s="24"/>
      <c r="E54" s="24"/>
      <c r="F54" s="24"/>
      <c r="G54" s="24"/>
      <c r="H54" s="24"/>
      <c r="I54" s="24"/>
      <c r="J54" s="24"/>
      <c r="K54" s="24">
        <v>59607130</v>
      </c>
      <c r="L54" s="24">
        <v>59607130</v>
      </c>
      <c r="M54" s="24">
        <v>51578100</v>
      </c>
      <c r="N54" s="24">
        <v>0</v>
      </c>
      <c r="O54" s="24">
        <v>81282450</v>
      </c>
      <c r="P54" s="24">
        <v>81282450</v>
      </c>
      <c r="Q54" s="24"/>
      <c r="R54" s="24"/>
      <c r="S54" s="30">
        <f t="shared" si="6"/>
        <v>192467680</v>
      </c>
      <c r="T54" s="30">
        <f t="shared" si="7"/>
        <v>51578100</v>
      </c>
      <c r="U54" s="30">
        <f t="shared" si="8"/>
        <v>140889580</v>
      </c>
      <c r="V54" s="67"/>
      <c r="W54" s="308"/>
      <c r="X54" s="308"/>
      <c r="Y54" s="330"/>
      <c r="Z54" s="330"/>
      <c r="AA54" s="331"/>
    </row>
    <row r="55" spans="1:27" s="47" customFormat="1" ht="20.25" customHeight="1">
      <c r="A55" s="183"/>
      <c r="B55" s="37" t="s">
        <v>339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30">
        <f t="shared" si="6"/>
        <v>0</v>
      </c>
      <c r="T55" s="30">
        <f t="shared" si="7"/>
        <v>0</v>
      </c>
      <c r="U55" s="30">
        <f t="shared" si="8"/>
        <v>0</v>
      </c>
      <c r="V55" s="67"/>
      <c r="W55" s="308"/>
      <c r="X55" s="308"/>
      <c r="Y55" s="330"/>
      <c r="Z55" s="330"/>
      <c r="AA55" s="331"/>
    </row>
    <row r="56" spans="1:27" s="7" customFormat="1">
      <c r="A56" s="21"/>
      <c r="B56" s="34"/>
      <c r="V56" s="22"/>
      <c r="W56" s="309"/>
      <c r="X56" s="309"/>
      <c r="Y56" s="323"/>
      <c r="Z56" s="323"/>
      <c r="AA56" s="333"/>
    </row>
    <row r="57" spans="1:27" s="7" customFormat="1">
      <c r="A57" s="21"/>
      <c r="B57" s="35" t="s">
        <v>4</v>
      </c>
      <c r="V57" s="22"/>
      <c r="W57" s="309"/>
      <c r="X57" s="309"/>
      <c r="Y57" s="323"/>
      <c r="Z57" s="323"/>
      <c r="AA57" s="333"/>
    </row>
    <row r="58" spans="1:27" s="7" customFormat="1">
      <c r="A58" s="21"/>
      <c r="B58" s="35"/>
      <c r="V58" s="22"/>
      <c r="W58" s="309"/>
      <c r="X58" s="309"/>
      <c r="Y58" s="323"/>
      <c r="Z58" s="323"/>
      <c r="AA58" s="333"/>
    </row>
    <row r="59" spans="1:27" s="7" customFormat="1">
      <c r="A59" s="21"/>
      <c r="B59" s="35" t="s">
        <v>5</v>
      </c>
      <c r="V59" s="22"/>
      <c r="W59" s="309"/>
      <c r="X59" s="309"/>
      <c r="Y59" s="323"/>
      <c r="Z59" s="323"/>
      <c r="AA59" s="333"/>
    </row>
    <row r="60" spans="1:27" s="7" customFormat="1">
      <c r="A60" s="21"/>
      <c r="B60" s="34"/>
      <c r="V60" s="22"/>
      <c r="W60" s="309"/>
      <c r="X60" s="309"/>
      <c r="Y60" s="323"/>
      <c r="Z60" s="323"/>
      <c r="AA60" s="327"/>
    </row>
  </sheetData>
  <sheetProtection algorithmName="SHA-512" hashValue="Mpm+/JxPrNk9nRnNrNCpmMoirxBgJ5s9VefTXy/gC1S/9ugsTM39hnLq1AVYFG4wrGQ+p5ySOmUzbIR2lpcwBw==" saltValue="h9ZT/OuBu+9o0B/HQ7oB3A==" spinCount="100000" sheet="1" objects="1" scenarios="1"/>
  <mergeCells count="15">
    <mergeCell ref="T3:U4"/>
    <mergeCell ref="E4:F4"/>
    <mergeCell ref="T2:U2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5" type="noConversion"/>
  <conditionalFormatting sqref="Z39">
    <cfRule type="cellIs" dxfId="259" priority="304" operator="notEqual">
      <formula>$T$39</formula>
    </cfRule>
  </conditionalFormatting>
  <conditionalFormatting sqref="D8 F8 F16 D16 R16 P16 N16 L16 J16 H16 H22:H25 J22:J25 L22:L25 N22:N25 P22:P25 R22:R25 D22:D24 F22:F25 F27:F30 D27:D30 R27:R30 P27:P30 N27:N30 L27:L30 J27:J30 H27:H30">
    <cfRule type="cellIs" dxfId="258" priority="303" operator="greaterThan">
      <formula>C8</formula>
    </cfRule>
  </conditionalFormatting>
  <conditionalFormatting sqref="D41:D55 F41:F55">
    <cfRule type="cellIs" dxfId="257" priority="301" operator="greaterThan">
      <formula>C41</formula>
    </cfRule>
  </conditionalFormatting>
  <conditionalFormatting sqref="H8">
    <cfRule type="cellIs" dxfId="256" priority="300" operator="greaterThan">
      <formula>G8</formula>
    </cfRule>
  </conditionalFormatting>
  <conditionalFormatting sqref="H41:H55">
    <cfRule type="cellIs" dxfId="255" priority="298" operator="greaterThan">
      <formula>G41</formula>
    </cfRule>
  </conditionalFormatting>
  <conditionalFormatting sqref="J8">
    <cfRule type="cellIs" dxfId="254" priority="297" operator="greaterThan">
      <formula>I8</formula>
    </cfRule>
  </conditionalFormatting>
  <conditionalFormatting sqref="J41:J50 J52:J55">
    <cfRule type="cellIs" dxfId="253" priority="295" operator="greaterThan">
      <formula>I41</formula>
    </cfRule>
  </conditionalFormatting>
  <conditionalFormatting sqref="L8">
    <cfRule type="cellIs" dxfId="252" priority="294" operator="greaterThan">
      <formula>K8</formula>
    </cfRule>
  </conditionalFormatting>
  <conditionalFormatting sqref="L41:L50 L52:L55">
    <cfRule type="cellIs" dxfId="251" priority="292" operator="greaterThan">
      <formula>K41</formula>
    </cfRule>
  </conditionalFormatting>
  <conditionalFormatting sqref="N8">
    <cfRule type="cellIs" dxfId="250" priority="291" operator="greaterThan">
      <formula>M8</formula>
    </cfRule>
  </conditionalFormatting>
  <conditionalFormatting sqref="N41:N50 N52:N55">
    <cfRule type="cellIs" dxfId="249" priority="289" operator="greaterThan">
      <formula>M41</formula>
    </cfRule>
  </conditionalFormatting>
  <conditionalFormatting sqref="P8">
    <cfRule type="cellIs" dxfId="248" priority="288" operator="greaterThan">
      <formula>O8</formula>
    </cfRule>
  </conditionalFormatting>
  <conditionalFormatting sqref="P41 P43:P50 P52:P55">
    <cfRule type="cellIs" dxfId="247" priority="286" operator="greaterThan">
      <formula>O41</formula>
    </cfRule>
  </conditionalFormatting>
  <conditionalFormatting sqref="R8">
    <cfRule type="cellIs" dxfId="246" priority="285" operator="greaterThan">
      <formula>Q8</formula>
    </cfRule>
  </conditionalFormatting>
  <conditionalFormatting sqref="R41 R44:R50 R52:R55">
    <cfRule type="cellIs" dxfId="245" priority="283" operator="greaterThan">
      <formula>Q41</formula>
    </cfRule>
  </conditionalFormatting>
  <conditionalFormatting sqref="F8">
    <cfRule type="cellIs" dxfId="244" priority="280" operator="greaterThan">
      <formula>E8</formula>
    </cfRule>
  </conditionalFormatting>
  <conditionalFormatting sqref="F41:F55">
    <cfRule type="cellIs" dxfId="243" priority="279" operator="greaterThan">
      <formula>E41</formula>
    </cfRule>
  </conditionalFormatting>
  <conditionalFormatting sqref="AA39">
    <cfRule type="cellIs" dxfId="242" priority="278" operator="notEqual">
      <formula>$U$39</formula>
    </cfRule>
  </conditionalFormatting>
  <conditionalFormatting sqref="Y39">
    <cfRule type="cellIs" dxfId="241" priority="277" operator="notEqual">
      <formula>$S$39</formula>
    </cfRule>
  </conditionalFormatting>
  <conditionalFormatting sqref="H9:H12 J9:J12 L9:L12 N9:N12 P9:P12 R9:R12 D9:D12 F9:F12">
    <cfRule type="cellIs" dxfId="240" priority="276" operator="greaterThan">
      <formula>C9</formula>
    </cfRule>
  </conditionalFormatting>
  <conditionalFormatting sqref="H9">
    <cfRule type="cellIs" dxfId="239" priority="275" operator="greaterThan">
      <formula>G9</formula>
    </cfRule>
  </conditionalFormatting>
  <conditionalFormatting sqref="J9">
    <cfRule type="cellIs" dxfId="238" priority="274" operator="greaterThan">
      <formula>I9</formula>
    </cfRule>
  </conditionalFormatting>
  <conditionalFormatting sqref="L9">
    <cfRule type="cellIs" dxfId="237" priority="273" operator="greaterThan">
      <formula>K9</formula>
    </cfRule>
  </conditionalFormatting>
  <conditionalFormatting sqref="N9">
    <cfRule type="cellIs" dxfId="236" priority="272" operator="greaterThan">
      <formula>M9</formula>
    </cfRule>
  </conditionalFormatting>
  <conditionalFormatting sqref="P9">
    <cfRule type="cellIs" dxfId="235" priority="271" operator="greaterThan">
      <formula>O9</formula>
    </cfRule>
  </conditionalFormatting>
  <conditionalFormatting sqref="R9">
    <cfRule type="cellIs" dxfId="234" priority="270" operator="greaterThan">
      <formula>Q9</formula>
    </cfRule>
  </conditionalFormatting>
  <conditionalFormatting sqref="H9 J9 L9 N9 P9 R9">
    <cfRule type="cellIs" dxfId="233" priority="269" operator="greaterThan">
      <formula>G9</formula>
    </cfRule>
  </conditionalFormatting>
  <conditionalFormatting sqref="H9 J9 L9 P9 R9 N9">
    <cfRule type="cellIs" dxfId="232" priority="268" operator="greaterThan">
      <formula>G9</formula>
    </cfRule>
  </conditionalFormatting>
  <conditionalFormatting sqref="F9">
    <cfRule type="cellIs" dxfId="231" priority="267" operator="greaterThan">
      <formula>E9</formula>
    </cfRule>
  </conditionalFormatting>
  <conditionalFormatting sqref="F9">
    <cfRule type="cellIs" dxfId="230" priority="266" operator="greaterThan">
      <formula>E9</formula>
    </cfRule>
  </conditionalFormatting>
  <conditionalFormatting sqref="F9">
    <cfRule type="cellIs" dxfId="229" priority="265" operator="greaterThan">
      <formula>E9</formula>
    </cfRule>
  </conditionalFormatting>
  <conditionalFormatting sqref="F9">
    <cfRule type="cellIs" dxfId="228" priority="264" operator="greaterThan">
      <formula>E9</formula>
    </cfRule>
  </conditionalFormatting>
  <conditionalFormatting sqref="H10">
    <cfRule type="cellIs" dxfId="227" priority="263" operator="greaterThan">
      <formula>G10</formula>
    </cfRule>
  </conditionalFormatting>
  <conditionalFormatting sqref="J10">
    <cfRule type="cellIs" dxfId="226" priority="262" operator="greaterThan">
      <formula>I10</formula>
    </cfRule>
  </conditionalFormatting>
  <conditionalFormatting sqref="L10">
    <cfRule type="cellIs" dxfId="225" priority="261" operator="greaterThan">
      <formula>K10</formula>
    </cfRule>
  </conditionalFormatting>
  <conditionalFormatting sqref="N10">
    <cfRule type="cellIs" dxfId="224" priority="260" operator="greaterThan">
      <formula>M10</formula>
    </cfRule>
  </conditionalFormatting>
  <conditionalFormatting sqref="P10">
    <cfRule type="cellIs" dxfId="223" priority="259" operator="greaterThan">
      <formula>O10</formula>
    </cfRule>
  </conditionalFormatting>
  <conditionalFormatting sqref="R10">
    <cfRule type="cellIs" dxfId="222" priority="258" operator="greaterThan">
      <formula>Q10</formula>
    </cfRule>
  </conditionalFormatting>
  <conditionalFormatting sqref="H10 J10 L10 N10 P10 R10">
    <cfRule type="cellIs" dxfId="221" priority="257" operator="greaterThan">
      <formula>G10</formula>
    </cfRule>
  </conditionalFormatting>
  <conditionalFormatting sqref="H10 J10 L10 P10 R10 N10">
    <cfRule type="cellIs" dxfId="220" priority="256" operator="greaterThan">
      <formula>G10</formula>
    </cfRule>
  </conditionalFormatting>
  <conditionalFormatting sqref="F10">
    <cfRule type="cellIs" dxfId="219" priority="255" operator="greaterThan">
      <formula>E10</formula>
    </cfRule>
  </conditionalFormatting>
  <conditionalFormatting sqref="F10">
    <cfRule type="cellIs" dxfId="218" priority="254" operator="greaterThan">
      <formula>E10</formula>
    </cfRule>
  </conditionalFormatting>
  <conditionalFormatting sqref="F10">
    <cfRule type="cellIs" dxfId="217" priority="253" operator="greaterThan">
      <formula>E10</formula>
    </cfRule>
  </conditionalFormatting>
  <conditionalFormatting sqref="F10">
    <cfRule type="cellIs" dxfId="216" priority="252" operator="greaterThan">
      <formula>E10</formula>
    </cfRule>
  </conditionalFormatting>
  <conditionalFormatting sqref="H12">
    <cfRule type="cellIs" dxfId="215" priority="251" operator="greaterThan">
      <formula>G12</formula>
    </cfRule>
  </conditionalFormatting>
  <conditionalFormatting sqref="J12">
    <cfRule type="cellIs" dxfId="214" priority="250" operator="greaterThan">
      <formula>I12</formula>
    </cfRule>
  </conditionalFormatting>
  <conditionalFormatting sqref="L12">
    <cfRule type="cellIs" dxfId="213" priority="249" operator="greaterThan">
      <formula>K12</formula>
    </cfRule>
  </conditionalFormatting>
  <conditionalFormatting sqref="N12">
    <cfRule type="cellIs" dxfId="212" priority="248" operator="greaterThan">
      <formula>M12</formula>
    </cfRule>
  </conditionalFormatting>
  <conditionalFormatting sqref="P12">
    <cfRule type="cellIs" dxfId="211" priority="247" operator="greaterThan">
      <formula>O12</formula>
    </cfRule>
  </conditionalFormatting>
  <conditionalFormatting sqref="R12">
    <cfRule type="cellIs" dxfId="210" priority="246" operator="greaterThan">
      <formula>Q12</formula>
    </cfRule>
  </conditionalFormatting>
  <conditionalFormatting sqref="H12 J12 L12 N12 P12 R12">
    <cfRule type="cellIs" dxfId="209" priority="245" operator="greaterThan">
      <formula>G12</formula>
    </cfRule>
  </conditionalFormatting>
  <conditionalFormatting sqref="H12 J12 L12 P12 R12 N12">
    <cfRule type="cellIs" dxfId="208" priority="244" operator="greaterThan">
      <formula>G12</formula>
    </cfRule>
  </conditionalFormatting>
  <conditionalFormatting sqref="F12">
    <cfRule type="cellIs" dxfId="207" priority="243" operator="greaterThan">
      <formula>E12</formula>
    </cfRule>
  </conditionalFormatting>
  <conditionalFormatting sqref="F12">
    <cfRule type="cellIs" dxfId="206" priority="242" operator="greaterThan">
      <formula>E12</formula>
    </cfRule>
  </conditionalFormatting>
  <conditionalFormatting sqref="F12">
    <cfRule type="cellIs" dxfId="205" priority="241" operator="greaterThan">
      <formula>E12</formula>
    </cfRule>
  </conditionalFormatting>
  <conditionalFormatting sqref="F12">
    <cfRule type="cellIs" dxfId="204" priority="240" operator="greaterThan">
      <formula>E12</formula>
    </cfRule>
  </conditionalFormatting>
  <conditionalFormatting sqref="F17:F21 D17:D18 R17:R21 P17:P21 N17:N18 L17:L21 J17:J21 H17:H21 N20:N21 D20">
    <cfRule type="cellIs" dxfId="203" priority="215" operator="greaterThan">
      <formula>C17</formula>
    </cfRule>
  </conditionalFormatting>
  <conditionalFormatting sqref="H17">
    <cfRule type="cellIs" dxfId="202" priority="214" operator="greaterThan">
      <formula>G17</formula>
    </cfRule>
  </conditionalFormatting>
  <conditionalFormatting sqref="J17">
    <cfRule type="cellIs" dxfId="201" priority="213" operator="greaterThan">
      <formula>I17</formula>
    </cfRule>
  </conditionalFormatting>
  <conditionalFormatting sqref="L17">
    <cfRule type="cellIs" dxfId="200" priority="212" operator="greaterThan">
      <formula>K17</formula>
    </cfRule>
  </conditionalFormatting>
  <conditionalFormatting sqref="N17">
    <cfRule type="cellIs" dxfId="199" priority="211" operator="greaterThan">
      <formula>M17</formula>
    </cfRule>
  </conditionalFormatting>
  <conditionalFormatting sqref="P17">
    <cfRule type="cellIs" dxfId="198" priority="210" operator="greaterThan">
      <formula>O17</formula>
    </cfRule>
  </conditionalFormatting>
  <conditionalFormatting sqref="R17">
    <cfRule type="cellIs" dxfId="197" priority="209" operator="greaterThan">
      <formula>Q17</formula>
    </cfRule>
  </conditionalFormatting>
  <conditionalFormatting sqref="H17 J17 L17 N17 P17 R17">
    <cfRule type="cellIs" dxfId="196" priority="208" operator="greaterThan">
      <formula>G17</formula>
    </cfRule>
  </conditionalFormatting>
  <conditionalFormatting sqref="H17 J17 L17 P17 R17 N17">
    <cfRule type="cellIs" dxfId="195" priority="207" operator="greaterThan">
      <formula>G17</formula>
    </cfRule>
  </conditionalFormatting>
  <conditionalFormatting sqref="F17">
    <cfRule type="cellIs" dxfId="194" priority="206" operator="greaterThan">
      <formula>E17</formula>
    </cfRule>
  </conditionalFormatting>
  <conditionalFormatting sqref="F17">
    <cfRule type="cellIs" dxfId="193" priority="205" operator="greaterThan">
      <formula>E17</formula>
    </cfRule>
  </conditionalFormatting>
  <conditionalFormatting sqref="F17">
    <cfRule type="cellIs" dxfId="192" priority="204" operator="greaterThan">
      <formula>E17</formula>
    </cfRule>
  </conditionalFormatting>
  <conditionalFormatting sqref="F17">
    <cfRule type="cellIs" dxfId="191" priority="203" operator="greaterThan">
      <formula>E17</formula>
    </cfRule>
  </conditionalFormatting>
  <conditionalFormatting sqref="H18">
    <cfRule type="cellIs" dxfId="190" priority="202" operator="greaterThan">
      <formula>G18</formula>
    </cfRule>
  </conditionalFormatting>
  <conditionalFormatting sqref="J18">
    <cfRule type="cellIs" dxfId="189" priority="201" operator="greaterThan">
      <formula>I18</formula>
    </cfRule>
  </conditionalFormatting>
  <conditionalFormatting sqref="L18">
    <cfRule type="cellIs" dxfId="188" priority="200" operator="greaterThan">
      <formula>K18</formula>
    </cfRule>
  </conditionalFormatting>
  <conditionalFormatting sqref="N18">
    <cfRule type="cellIs" dxfId="187" priority="199" operator="greaterThan">
      <formula>M18</formula>
    </cfRule>
  </conditionalFormatting>
  <conditionalFormatting sqref="P18">
    <cfRule type="cellIs" dxfId="186" priority="198" operator="greaterThan">
      <formula>O18</formula>
    </cfRule>
  </conditionalFormatting>
  <conditionalFormatting sqref="R18">
    <cfRule type="cellIs" dxfId="185" priority="197" operator="greaterThan">
      <formula>Q18</formula>
    </cfRule>
  </conditionalFormatting>
  <conditionalFormatting sqref="H18 J18 L18 N18 P18 R18">
    <cfRule type="cellIs" dxfId="184" priority="196" operator="greaterThan">
      <formula>G18</formula>
    </cfRule>
  </conditionalFormatting>
  <conditionalFormatting sqref="H18 J18 L18 P18 R18 N18">
    <cfRule type="cellIs" dxfId="183" priority="195" operator="greaterThan">
      <formula>G18</formula>
    </cfRule>
  </conditionalFormatting>
  <conditionalFormatting sqref="F18">
    <cfRule type="cellIs" dxfId="182" priority="194" operator="greaterThan">
      <formula>E18</formula>
    </cfRule>
  </conditionalFormatting>
  <conditionalFormatting sqref="F18">
    <cfRule type="cellIs" dxfId="181" priority="193" operator="greaterThan">
      <formula>E18</formula>
    </cfRule>
  </conditionalFormatting>
  <conditionalFormatting sqref="F18">
    <cfRule type="cellIs" dxfId="180" priority="192" operator="greaterThan">
      <formula>E18</formula>
    </cfRule>
  </conditionalFormatting>
  <conditionalFormatting sqref="F18">
    <cfRule type="cellIs" dxfId="179" priority="191" operator="greaterThan">
      <formula>E18</formula>
    </cfRule>
  </conditionalFormatting>
  <conditionalFormatting sqref="H19">
    <cfRule type="cellIs" dxfId="178" priority="190" operator="greaterThan">
      <formula>G19</formula>
    </cfRule>
  </conditionalFormatting>
  <conditionalFormatting sqref="J19">
    <cfRule type="cellIs" dxfId="177" priority="189" operator="greaterThan">
      <formula>I19</formula>
    </cfRule>
  </conditionalFormatting>
  <conditionalFormatting sqref="L19">
    <cfRule type="cellIs" dxfId="176" priority="188" operator="greaterThan">
      <formula>K19</formula>
    </cfRule>
  </conditionalFormatting>
  <conditionalFormatting sqref="P19">
    <cfRule type="cellIs" dxfId="175" priority="186" operator="greaterThan">
      <formula>O19</formula>
    </cfRule>
  </conditionalFormatting>
  <conditionalFormatting sqref="R19">
    <cfRule type="cellIs" dxfId="174" priority="185" operator="greaterThan">
      <formula>Q19</formula>
    </cfRule>
  </conditionalFormatting>
  <conditionalFormatting sqref="H19 J19 L19 P19 R19">
    <cfRule type="cellIs" dxfId="173" priority="184" operator="greaterThan">
      <formula>G19</formula>
    </cfRule>
  </conditionalFormatting>
  <conditionalFormatting sqref="H19 J19 L19 P19 R19">
    <cfRule type="cellIs" dxfId="172" priority="183" operator="greaterThan">
      <formula>G19</formula>
    </cfRule>
  </conditionalFormatting>
  <conditionalFormatting sqref="F19">
    <cfRule type="cellIs" dxfId="171" priority="182" operator="greaterThan">
      <formula>E19</formula>
    </cfRule>
  </conditionalFormatting>
  <conditionalFormatting sqref="F19">
    <cfRule type="cellIs" dxfId="170" priority="181" operator="greaterThan">
      <formula>E19</formula>
    </cfRule>
  </conditionalFormatting>
  <conditionalFormatting sqref="F19">
    <cfRule type="cellIs" dxfId="169" priority="180" operator="greaterThan">
      <formula>E19</formula>
    </cfRule>
  </conditionalFormatting>
  <conditionalFormatting sqref="F19">
    <cfRule type="cellIs" dxfId="168" priority="179" operator="greaterThan">
      <formula>E19</formula>
    </cfRule>
  </conditionalFormatting>
  <conditionalFormatting sqref="H20">
    <cfRule type="cellIs" dxfId="167" priority="178" operator="greaterThan">
      <formula>G20</formula>
    </cfRule>
  </conditionalFormatting>
  <conditionalFormatting sqref="J20">
    <cfRule type="cellIs" dxfId="166" priority="177" operator="greaterThan">
      <formula>I20</formula>
    </cfRule>
  </conditionalFormatting>
  <conditionalFormatting sqref="L20">
    <cfRule type="cellIs" dxfId="165" priority="176" operator="greaterThan">
      <formula>K20</formula>
    </cfRule>
  </conditionalFormatting>
  <conditionalFormatting sqref="N20">
    <cfRule type="cellIs" dxfId="164" priority="175" operator="greaterThan">
      <formula>M20</formula>
    </cfRule>
  </conditionalFormatting>
  <conditionalFormatting sqref="P20">
    <cfRule type="cellIs" dxfId="163" priority="174" operator="greaterThan">
      <formula>O20</formula>
    </cfRule>
  </conditionalFormatting>
  <conditionalFormatting sqref="R20">
    <cfRule type="cellIs" dxfId="162" priority="173" operator="greaterThan">
      <formula>Q20</formula>
    </cfRule>
  </conditionalFormatting>
  <conditionalFormatting sqref="H20 J20 L20 N20 P20 R20">
    <cfRule type="cellIs" dxfId="161" priority="172" operator="greaterThan">
      <formula>G20</formula>
    </cfRule>
  </conditionalFormatting>
  <conditionalFormatting sqref="H20 J20 L20 P20 R20 N20">
    <cfRule type="cellIs" dxfId="160" priority="171" operator="greaterThan">
      <formula>G20</formula>
    </cfRule>
  </conditionalFormatting>
  <conditionalFormatting sqref="F20">
    <cfRule type="cellIs" dxfId="159" priority="170" operator="greaterThan">
      <formula>E20</formula>
    </cfRule>
  </conditionalFormatting>
  <conditionalFormatting sqref="F20">
    <cfRule type="cellIs" dxfId="158" priority="169" operator="greaterThan">
      <formula>E20</formula>
    </cfRule>
  </conditionalFormatting>
  <conditionalFormatting sqref="F20">
    <cfRule type="cellIs" dxfId="157" priority="168" operator="greaterThan">
      <formula>E20</formula>
    </cfRule>
  </conditionalFormatting>
  <conditionalFormatting sqref="F20">
    <cfRule type="cellIs" dxfId="156" priority="167" operator="greaterThan">
      <formula>E20</formula>
    </cfRule>
  </conditionalFormatting>
  <conditionalFormatting sqref="H21">
    <cfRule type="cellIs" dxfId="155" priority="166" operator="greaterThan">
      <formula>G21</formula>
    </cfRule>
  </conditionalFormatting>
  <conditionalFormatting sqref="J21">
    <cfRule type="cellIs" dxfId="154" priority="165" operator="greaterThan">
      <formula>I21</formula>
    </cfRule>
  </conditionalFormatting>
  <conditionalFormatting sqref="L21">
    <cfRule type="cellIs" dxfId="153" priority="164" operator="greaterThan">
      <formula>K21</formula>
    </cfRule>
  </conditionalFormatting>
  <conditionalFormatting sqref="N21">
    <cfRule type="cellIs" dxfId="152" priority="163" operator="greaterThan">
      <formula>M21</formula>
    </cfRule>
  </conditionalFormatting>
  <conditionalFormatting sqref="P21">
    <cfRule type="cellIs" dxfId="151" priority="162" operator="greaterThan">
      <formula>O21</formula>
    </cfRule>
  </conditionalFormatting>
  <conditionalFormatting sqref="R21">
    <cfRule type="cellIs" dxfId="150" priority="161" operator="greaterThan">
      <formula>Q21</formula>
    </cfRule>
  </conditionalFormatting>
  <conditionalFormatting sqref="H21 J21 L21 N21 P21 R21">
    <cfRule type="cellIs" dxfId="149" priority="160" operator="greaterThan">
      <formula>G21</formula>
    </cfRule>
  </conditionalFormatting>
  <conditionalFormatting sqref="H21 J21 L21 P21 R21 N21">
    <cfRule type="cellIs" dxfId="148" priority="159" operator="greaterThan">
      <formula>G21</formula>
    </cfRule>
  </conditionalFormatting>
  <conditionalFormatting sqref="F21">
    <cfRule type="cellIs" dxfId="147" priority="158" operator="greaterThan">
      <formula>E21</formula>
    </cfRule>
  </conditionalFormatting>
  <conditionalFormatting sqref="F21">
    <cfRule type="cellIs" dxfId="146" priority="157" operator="greaterThan">
      <formula>E21</formula>
    </cfRule>
  </conditionalFormatting>
  <conditionalFormatting sqref="F21">
    <cfRule type="cellIs" dxfId="145" priority="156" operator="greaterThan">
      <formula>E21</formula>
    </cfRule>
  </conditionalFormatting>
  <conditionalFormatting sqref="F21">
    <cfRule type="cellIs" dxfId="144" priority="155" operator="greaterThan">
      <formula>E21</formula>
    </cfRule>
  </conditionalFormatting>
  <conditionalFormatting sqref="H26 J26 N26 P26 R26 D26 F26">
    <cfRule type="cellIs" dxfId="143" priority="154" operator="greaterThan">
      <formula>C26</formula>
    </cfRule>
  </conditionalFormatting>
  <conditionalFormatting sqref="H26 J26 N26 P26 R26 D26 F26">
    <cfRule type="cellIs" dxfId="142" priority="153" operator="greaterThan">
      <formula>C26</formula>
    </cfRule>
  </conditionalFormatting>
  <conditionalFormatting sqref="H26">
    <cfRule type="cellIs" dxfId="141" priority="152" operator="greaterThan">
      <formula>G26</formula>
    </cfRule>
  </conditionalFormatting>
  <conditionalFormatting sqref="J26">
    <cfRule type="cellIs" dxfId="140" priority="151" operator="greaterThan">
      <formula>I26</formula>
    </cfRule>
  </conditionalFormatting>
  <conditionalFormatting sqref="N26">
    <cfRule type="cellIs" dxfId="139" priority="149" operator="greaterThan">
      <formula>M26</formula>
    </cfRule>
  </conditionalFormatting>
  <conditionalFormatting sqref="P26">
    <cfRule type="cellIs" dxfId="138" priority="148" operator="greaterThan">
      <formula>O26</formula>
    </cfRule>
  </conditionalFormatting>
  <conditionalFormatting sqref="R26">
    <cfRule type="cellIs" dxfId="137" priority="147" operator="greaterThan">
      <formula>Q26</formula>
    </cfRule>
  </conditionalFormatting>
  <conditionalFormatting sqref="H26 J26 N26 P26 R26">
    <cfRule type="cellIs" dxfId="136" priority="146" operator="greaterThan">
      <formula>G26</formula>
    </cfRule>
  </conditionalFormatting>
  <conditionalFormatting sqref="H26 J26 P26 R26 N26">
    <cfRule type="cellIs" dxfId="135" priority="145" operator="greaterThan">
      <formula>G26</formula>
    </cfRule>
  </conditionalFormatting>
  <conditionalFormatting sqref="F26">
    <cfRule type="cellIs" dxfId="134" priority="144" operator="greaterThan">
      <formula>E26</formula>
    </cfRule>
  </conditionalFormatting>
  <conditionalFormatting sqref="F26">
    <cfRule type="cellIs" dxfId="133" priority="143" operator="greaterThan">
      <formula>E26</formula>
    </cfRule>
  </conditionalFormatting>
  <conditionalFormatting sqref="F26">
    <cfRule type="cellIs" dxfId="132" priority="142" operator="greaterThan">
      <formula>E26</formula>
    </cfRule>
  </conditionalFormatting>
  <conditionalFormatting sqref="F26">
    <cfRule type="cellIs" dxfId="131" priority="141" operator="greaterThan">
      <formula>E26</formula>
    </cfRule>
  </conditionalFormatting>
  <conditionalFormatting sqref="H32:H38 J32:J38 L32:L38 N32:N38 P32:P38 R32:R38 D32:D38 F32:F38">
    <cfRule type="cellIs" dxfId="130" priority="140" operator="greaterThan">
      <formula>C32</formula>
    </cfRule>
  </conditionalFormatting>
  <conditionalFormatting sqref="R31 D31 F31">
    <cfRule type="cellIs" dxfId="129" priority="139" operator="greaterThan">
      <formula>C31</formula>
    </cfRule>
  </conditionalFormatting>
  <conditionalFormatting sqref="R31 D31 F31">
    <cfRule type="cellIs" dxfId="128" priority="138" operator="greaterThan">
      <formula>C31</formula>
    </cfRule>
  </conditionalFormatting>
  <conditionalFormatting sqref="R31">
    <cfRule type="cellIs" dxfId="127" priority="132" operator="greaterThan">
      <formula>Q31</formula>
    </cfRule>
  </conditionalFormatting>
  <conditionalFormatting sqref="R31">
    <cfRule type="cellIs" dxfId="126" priority="131" operator="greaterThan">
      <formula>Q31</formula>
    </cfRule>
  </conditionalFormatting>
  <conditionalFormatting sqref="R31">
    <cfRule type="cellIs" dxfId="125" priority="130" operator="greaterThan">
      <formula>Q31</formula>
    </cfRule>
  </conditionalFormatting>
  <conditionalFormatting sqref="F31">
    <cfRule type="cellIs" dxfId="124" priority="129" operator="greaterThan">
      <formula>E31</formula>
    </cfRule>
  </conditionalFormatting>
  <conditionalFormatting sqref="F31">
    <cfRule type="cellIs" dxfId="123" priority="128" operator="greaterThan">
      <formula>E31</formula>
    </cfRule>
  </conditionalFormatting>
  <conditionalFormatting sqref="F31">
    <cfRule type="cellIs" dxfId="122" priority="127" operator="greaterThan">
      <formula>E31</formula>
    </cfRule>
  </conditionalFormatting>
  <conditionalFormatting sqref="F31">
    <cfRule type="cellIs" dxfId="121" priority="126" operator="greaterThan">
      <formula>E31</formula>
    </cfRule>
  </conditionalFormatting>
  <conditionalFormatting sqref="H33">
    <cfRule type="cellIs" dxfId="120" priority="125" operator="greaterThan">
      <formula>G33</formula>
    </cfRule>
  </conditionalFormatting>
  <conditionalFormatting sqref="J33">
    <cfRule type="cellIs" dxfId="119" priority="124" operator="greaterThan">
      <formula>I33</formula>
    </cfRule>
  </conditionalFormatting>
  <conditionalFormatting sqref="L33">
    <cfRule type="cellIs" dxfId="118" priority="123" operator="greaterThan">
      <formula>K33</formula>
    </cfRule>
  </conditionalFormatting>
  <conditionalFormatting sqref="N33">
    <cfRule type="cellIs" dxfId="117" priority="122" operator="greaterThan">
      <formula>M33</formula>
    </cfRule>
  </conditionalFormatting>
  <conditionalFormatting sqref="P33">
    <cfRule type="cellIs" dxfId="116" priority="121" operator="greaterThan">
      <formula>O33</formula>
    </cfRule>
  </conditionalFormatting>
  <conditionalFormatting sqref="R33">
    <cfRule type="cellIs" dxfId="115" priority="120" operator="greaterThan">
      <formula>Q33</formula>
    </cfRule>
  </conditionalFormatting>
  <conditionalFormatting sqref="H33 J33 L33 N33 P33 R33">
    <cfRule type="cellIs" dxfId="114" priority="119" operator="greaterThan">
      <formula>G33</formula>
    </cfRule>
  </conditionalFormatting>
  <conditionalFormatting sqref="H33 J33 L33 P33 R33 N33">
    <cfRule type="cellIs" dxfId="113" priority="118" operator="greaterThan">
      <formula>G33</formula>
    </cfRule>
  </conditionalFormatting>
  <conditionalFormatting sqref="F33">
    <cfRule type="cellIs" dxfId="112" priority="117" operator="greaterThan">
      <formula>E33</formula>
    </cfRule>
  </conditionalFormatting>
  <conditionalFormatting sqref="F33">
    <cfRule type="cellIs" dxfId="111" priority="116" operator="greaterThan">
      <formula>E33</formula>
    </cfRule>
  </conditionalFormatting>
  <conditionalFormatting sqref="F33">
    <cfRule type="cellIs" dxfId="110" priority="115" operator="greaterThan">
      <formula>E33</formula>
    </cfRule>
  </conditionalFormatting>
  <conditionalFormatting sqref="F33">
    <cfRule type="cellIs" dxfId="109" priority="114" operator="greaterThan">
      <formula>E33</formula>
    </cfRule>
  </conditionalFormatting>
  <conditionalFormatting sqref="H35">
    <cfRule type="cellIs" dxfId="108" priority="113" operator="greaterThan">
      <formula>G35</formula>
    </cfRule>
  </conditionalFormatting>
  <conditionalFormatting sqref="J35">
    <cfRule type="cellIs" dxfId="107" priority="112" operator="greaterThan">
      <formula>I35</formula>
    </cfRule>
  </conditionalFormatting>
  <conditionalFormatting sqref="L35">
    <cfRule type="cellIs" dxfId="106" priority="111" operator="greaterThan">
      <formula>K35</formula>
    </cfRule>
  </conditionalFormatting>
  <conditionalFormatting sqref="N35">
    <cfRule type="cellIs" dxfId="105" priority="110" operator="greaterThan">
      <formula>M35</formula>
    </cfRule>
  </conditionalFormatting>
  <conditionalFormatting sqref="P35">
    <cfRule type="cellIs" dxfId="104" priority="109" operator="greaterThan">
      <formula>O35</formula>
    </cfRule>
  </conditionalFormatting>
  <conditionalFormatting sqref="R35">
    <cfRule type="cellIs" dxfId="103" priority="108" operator="greaterThan">
      <formula>Q35</formula>
    </cfRule>
  </conditionalFormatting>
  <conditionalFormatting sqref="H35 J35 L35 N35 P35 R35">
    <cfRule type="cellIs" dxfId="102" priority="107" operator="greaterThan">
      <formula>G35</formula>
    </cfRule>
  </conditionalFormatting>
  <conditionalFormatting sqref="H35 J35 L35 P35 R35 N35">
    <cfRule type="cellIs" dxfId="101" priority="106" operator="greaterThan">
      <formula>G35</formula>
    </cfRule>
  </conditionalFormatting>
  <conditionalFormatting sqref="F35">
    <cfRule type="cellIs" dxfId="100" priority="105" operator="greaterThan">
      <formula>E35</formula>
    </cfRule>
  </conditionalFormatting>
  <conditionalFormatting sqref="F35">
    <cfRule type="cellIs" dxfId="99" priority="104" operator="greaterThan">
      <formula>E35</formula>
    </cfRule>
  </conditionalFormatting>
  <conditionalFormatting sqref="F35">
    <cfRule type="cellIs" dxfId="98" priority="103" operator="greaterThan">
      <formula>E35</formula>
    </cfRule>
  </conditionalFormatting>
  <conditionalFormatting sqref="F35">
    <cfRule type="cellIs" dxfId="97" priority="102" operator="greaterThan">
      <formula>E35</formula>
    </cfRule>
  </conditionalFormatting>
  <conditionalFormatting sqref="H36">
    <cfRule type="cellIs" dxfId="96" priority="101" operator="greaterThan">
      <formula>G36</formula>
    </cfRule>
  </conditionalFormatting>
  <conditionalFormatting sqref="J36">
    <cfRule type="cellIs" dxfId="95" priority="100" operator="greaterThan">
      <formula>I36</formula>
    </cfRule>
  </conditionalFormatting>
  <conditionalFormatting sqref="L36">
    <cfRule type="cellIs" dxfId="94" priority="99" operator="greaterThan">
      <formula>K36</formula>
    </cfRule>
  </conditionalFormatting>
  <conditionalFormatting sqref="N36">
    <cfRule type="cellIs" dxfId="93" priority="98" operator="greaterThan">
      <formula>M36</formula>
    </cfRule>
  </conditionalFormatting>
  <conditionalFormatting sqref="P36">
    <cfRule type="cellIs" dxfId="92" priority="97" operator="greaterThan">
      <formula>O36</formula>
    </cfRule>
  </conditionalFormatting>
  <conditionalFormatting sqref="R36">
    <cfRule type="cellIs" dxfId="91" priority="96" operator="greaterThan">
      <formula>Q36</formula>
    </cfRule>
  </conditionalFormatting>
  <conditionalFormatting sqref="H36 J36 L36 N36 P36 R36">
    <cfRule type="cellIs" dxfId="90" priority="95" operator="greaterThan">
      <formula>G36</formula>
    </cfRule>
  </conditionalFormatting>
  <conditionalFormatting sqref="H36 J36 L36 P36 R36 N36">
    <cfRule type="cellIs" dxfId="89" priority="94" operator="greaterThan">
      <formula>G36</formula>
    </cfRule>
  </conditionalFormatting>
  <conditionalFormatting sqref="F36">
    <cfRule type="cellIs" dxfId="88" priority="93" operator="greaterThan">
      <formula>E36</formula>
    </cfRule>
  </conditionalFormatting>
  <conditionalFormatting sqref="F36">
    <cfRule type="cellIs" dxfId="87" priority="92" operator="greaterThan">
      <formula>E36</formula>
    </cfRule>
  </conditionalFormatting>
  <conditionalFormatting sqref="F36">
    <cfRule type="cellIs" dxfId="86" priority="91" operator="greaterThan">
      <formula>E36</formula>
    </cfRule>
  </conditionalFormatting>
  <conditionalFormatting sqref="F36">
    <cfRule type="cellIs" dxfId="85" priority="90" operator="greaterThan">
      <formula>E36</formula>
    </cfRule>
  </conditionalFormatting>
  <conditionalFormatting sqref="H37">
    <cfRule type="cellIs" dxfId="84" priority="89" operator="greaterThan">
      <formula>G37</formula>
    </cfRule>
  </conditionalFormatting>
  <conditionalFormatting sqref="J37">
    <cfRule type="cellIs" dxfId="83" priority="88" operator="greaterThan">
      <formula>I37</formula>
    </cfRule>
  </conditionalFormatting>
  <conditionalFormatting sqref="L37">
    <cfRule type="cellIs" dxfId="82" priority="87" operator="greaterThan">
      <formula>K37</formula>
    </cfRule>
  </conditionalFormatting>
  <conditionalFormatting sqref="N37">
    <cfRule type="cellIs" dxfId="81" priority="86" operator="greaterThan">
      <formula>M37</formula>
    </cfRule>
  </conditionalFormatting>
  <conditionalFormatting sqref="P37">
    <cfRule type="cellIs" dxfId="80" priority="85" operator="greaterThan">
      <formula>O37</formula>
    </cfRule>
  </conditionalFormatting>
  <conditionalFormatting sqref="R37">
    <cfRule type="cellIs" dxfId="79" priority="84" operator="greaterThan">
      <formula>Q37</formula>
    </cfRule>
  </conditionalFormatting>
  <conditionalFormatting sqref="H37 J37 L37 N37 P37 R37">
    <cfRule type="cellIs" dxfId="78" priority="83" operator="greaterThan">
      <formula>G37</formula>
    </cfRule>
  </conditionalFormatting>
  <conditionalFormatting sqref="H37 J37 L37 P37 R37 N37">
    <cfRule type="cellIs" dxfId="77" priority="82" operator="greaterThan">
      <formula>G37</formula>
    </cfRule>
  </conditionalFormatting>
  <conditionalFormatting sqref="F37">
    <cfRule type="cellIs" dxfId="76" priority="81" operator="greaterThan">
      <formula>E37</formula>
    </cfRule>
  </conditionalFormatting>
  <conditionalFormatting sqref="F37">
    <cfRule type="cellIs" dxfId="75" priority="80" operator="greaterThan">
      <formula>E37</formula>
    </cfRule>
  </conditionalFormatting>
  <conditionalFormatting sqref="F37">
    <cfRule type="cellIs" dxfId="74" priority="79" operator="greaterThan">
      <formula>E37</formula>
    </cfRule>
  </conditionalFormatting>
  <conditionalFormatting sqref="F37">
    <cfRule type="cellIs" dxfId="73" priority="78" operator="greaterThan">
      <formula>E37</formula>
    </cfRule>
  </conditionalFormatting>
  <conditionalFormatting sqref="H38">
    <cfRule type="cellIs" dxfId="72" priority="77" operator="greaterThan">
      <formula>G38</formula>
    </cfRule>
  </conditionalFormatting>
  <conditionalFormatting sqref="J38">
    <cfRule type="cellIs" dxfId="71" priority="76" operator="greaterThan">
      <formula>I38</formula>
    </cfRule>
  </conditionalFormatting>
  <conditionalFormatting sqref="L38">
    <cfRule type="cellIs" dxfId="70" priority="75" operator="greaterThan">
      <formula>K38</formula>
    </cfRule>
  </conditionalFormatting>
  <conditionalFormatting sqref="N38">
    <cfRule type="cellIs" dxfId="69" priority="74" operator="greaterThan">
      <formula>M38</formula>
    </cfRule>
  </conditionalFormatting>
  <conditionalFormatting sqref="P38">
    <cfRule type="cellIs" dxfId="68" priority="73" operator="greaterThan">
      <formula>O38</formula>
    </cfRule>
  </conditionalFormatting>
  <conditionalFormatting sqref="R38">
    <cfRule type="cellIs" dxfId="67" priority="72" operator="greaterThan">
      <formula>Q38</formula>
    </cfRule>
  </conditionalFormatting>
  <conditionalFormatting sqref="H38 J38 L38 N38 P38 R38">
    <cfRule type="cellIs" dxfId="66" priority="71" operator="greaterThan">
      <formula>G38</formula>
    </cfRule>
  </conditionalFormatting>
  <conditionalFormatting sqref="H38 J38 L38 P38 R38 N38">
    <cfRule type="cellIs" dxfId="65" priority="70" operator="greaterThan">
      <formula>G38</formula>
    </cfRule>
  </conditionalFormatting>
  <conditionalFormatting sqref="F38">
    <cfRule type="cellIs" dxfId="64" priority="69" operator="greaterThan">
      <formula>E38</formula>
    </cfRule>
  </conditionalFormatting>
  <conditionalFormatting sqref="F38">
    <cfRule type="cellIs" dxfId="63" priority="68" operator="greaterThan">
      <formula>E38</formula>
    </cfRule>
  </conditionalFormatting>
  <conditionalFormatting sqref="F38">
    <cfRule type="cellIs" dxfId="62" priority="67" operator="greaterThan">
      <formula>E38</formula>
    </cfRule>
  </conditionalFormatting>
  <conditionalFormatting sqref="F38">
    <cfRule type="cellIs" dxfId="61" priority="66" operator="greaterThan">
      <formula>E38</formula>
    </cfRule>
  </conditionalFormatting>
  <conditionalFormatting sqref="P42">
    <cfRule type="cellIs" dxfId="60" priority="65" operator="greaterThan">
      <formula>O42</formula>
    </cfRule>
  </conditionalFormatting>
  <conditionalFormatting sqref="R42">
    <cfRule type="cellIs" dxfId="59" priority="64" operator="greaterThan">
      <formula>Q42</formula>
    </cfRule>
  </conditionalFormatting>
  <conditionalFormatting sqref="J51">
    <cfRule type="cellIs" dxfId="58" priority="63" operator="greaterThan">
      <formula>I51</formula>
    </cfRule>
  </conditionalFormatting>
  <conditionalFormatting sqref="L51">
    <cfRule type="cellIs" dxfId="57" priority="62" operator="greaterThan">
      <formula>K51</formula>
    </cfRule>
  </conditionalFormatting>
  <conditionalFormatting sqref="N51">
    <cfRule type="cellIs" dxfId="56" priority="61" operator="greaterThan">
      <formula>M51</formula>
    </cfRule>
  </conditionalFormatting>
  <conditionalFormatting sqref="P51">
    <cfRule type="cellIs" dxfId="55" priority="60" operator="greaterThan">
      <formula>O51</formula>
    </cfRule>
  </conditionalFormatting>
  <conditionalFormatting sqref="R51">
    <cfRule type="cellIs" dxfId="54" priority="59" operator="greaterThan">
      <formula>Q51</formula>
    </cfRule>
  </conditionalFormatting>
  <conditionalFormatting sqref="F14:F15 D14 R14:R15 P14:P15 N14 L14:L15 J14 H14">
    <cfRule type="cellIs" dxfId="53" priority="58" operator="greaterThan">
      <formula>C14</formula>
    </cfRule>
  </conditionalFormatting>
  <conditionalFormatting sqref="H14">
    <cfRule type="cellIs" dxfId="52" priority="57" operator="greaterThan">
      <formula>G14</formula>
    </cfRule>
  </conditionalFormatting>
  <conditionalFormatting sqref="J14">
    <cfRule type="cellIs" dxfId="51" priority="56" operator="greaterThan">
      <formula>I14</formula>
    </cfRule>
  </conditionalFormatting>
  <conditionalFormatting sqref="L14">
    <cfRule type="cellIs" dxfId="50" priority="55" operator="greaterThan">
      <formula>K14</formula>
    </cfRule>
  </conditionalFormatting>
  <conditionalFormatting sqref="N14">
    <cfRule type="cellIs" dxfId="49" priority="54" operator="greaterThan">
      <formula>M14</formula>
    </cfRule>
  </conditionalFormatting>
  <conditionalFormatting sqref="P14">
    <cfRule type="cellIs" dxfId="48" priority="53" operator="greaterThan">
      <formula>O14</formula>
    </cfRule>
  </conditionalFormatting>
  <conditionalFormatting sqref="R14">
    <cfRule type="cellIs" dxfId="47" priority="52" operator="greaterThan">
      <formula>Q14</formula>
    </cfRule>
  </conditionalFormatting>
  <conditionalFormatting sqref="H14 J14 L14 N14 P14 R14">
    <cfRule type="cellIs" dxfId="46" priority="51" operator="greaterThan">
      <formula>G14</formula>
    </cfRule>
  </conditionalFormatting>
  <conditionalFormatting sqref="H14 J14 L14 P14 R14 N14">
    <cfRule type="cellIs" dxfId="45" priority="50" operator="greaterThan">
      <formula>G14</formula>
    </cfRule>
  </conditionalFormatting>
  <conditionalFormatting sqref="F14">
    <cfRule type="cellIs" dxfId="44" priority="49" operator="greaterThan">
      <formula>E14</formula>
    </cfRule>
  </conditionalFormatting>
  <conditionalFormatting sqref="F14">
    <cfRule type="cellIs" dxfId="43" priority="48" operator="greaterThan">
      <formula>E14</formula>
    </cfRule>
  </conditionalFormatting>
  <conditionalFormatting sqref="F14">
    <cfRule type="cellIs" dxfId="42" priority="47" operator="greaterThan">
      <formula>E14</formula>
    </cfRule>
  </conditionalFormatting>
  <conditionalFormatting sqref="F14">
    <cfRule type="cellIs" dxfId="41" priority="46" operator="greaterThan">
      <formula>E14</formula>
    </cfRule>
  </conditionalFormatting>
  <conditionalFormatting sqref="L15">
    <cfRule type="cellIs" dxfId="40" priority="43" operator="greaterThan">
      <formula>K15</formula>
    </cfRule>
  </conditionalFormatting>
  <conditionalFormatting sqref="P15">
    <cfRule type="cellIs" dxfId="39" priority="41" operator="greaterThan">
      <formula>O15</formula>
    </cfRule>
  </conditionalFormatting>
  <conditionalFormatting sqref="R15">
    <cfRule type="cellIs" dxfId="38" priority="40" operator="greaterThan">
      <formula>Q15</formula>
    </cfRule>
  </conditionalFormatting>
  <conditionalFormatting sqref="L15 P15 R15">
    <cfRule type="cellIs" dxfId="37" priority="39" operator="greaterThan">
      <formula>K15</formula>
    </cfRule>
  </conditionalFormatting>
  <conditionalFormatting sqref="L15 P15 R15">
    <cfRule type="cellIs" dxfId="36" priority="38" operator="greaterThan">
      <formula>K15</formula>
    </cfRule>
  </conditionalFormatting>
  <conditionalFormatting sqref="F15">
    <cfRule type="cellIs" dxfId="35" priority="37" operator="greaterThan">
      <formula>E15</formula>
    </cfRule>
  </conditionalFormatting>
  <conditionalFormatting sqref="F15">
    <cfRule type="cellIs" dxfId="34" priority="36" operator="greaterThan">
      <formula>E15</formula>
    </cfRule>
  </conditionalFormatting>
  <conditionalFormatting sqref="F15">
    <cfRule type="cellIs" dxfId="33" priority="35" operator="greaterThan">
      <formula>E15</formula>
    </cfRule>
  </conditionalFormatting>
  <conditionalFormatting sqref="F15">
    <cfRule type="cellIs" dxfId="32" priority="34" operator="greaterThan">
      <formula>E15</formula>
    </cfRule>
  </conditionalFormatting>
  <conditionalFormatting sqref="J15">
    <cfRule type="cellIs" dxfId="31" priority="20" operator="greaterThan">
      <formula>I15</formula>
    </cfRule>
  </conditionalFormatting>
  <conditionalFormatting sqref="J15">
    <cfRule type="cellIs" dxfId="30" priority="19" operator="greaterThan">
      <formula>I15</formula>
    </cfRule>
  </conditionalFormatting>
  <conditionalFormatting sqref="J15">
    <cfRule type="cellIs" dxfId="29" priority="18" operator="greaterThan">
      <formula>I15</formula>
    </cfRule>
  </conditionalFormatting>
  <conditionalFormatting sqref="J15">
    <cfRule type="cellIs" dxfId="28" priority="17" operator="greaterThan">
      <formula>I15</formula>
    </cfRule>
  </conditionalFormatting>
  <conditionalFormatting sqref="H15">
    <cfRule type="cellIs" dxfId="27" priority="16" operator="greaterThan">
      <formula>G15</formula>
    </cfRule>
  </conditionalFormatting>
  <conditionalFormatting sqref="H15">
    <cfRule type="cellIs" dxfId="26" priority="15" operator="greaterThan">
      <formula>G15</formula>
    </cfRule>
  </conditionalFormatting>
  <conditionalFormatting sqref="H15">
    <cfRule type="cellIs" dxfId="25" priority="14" operator="greaterThan">
      <formula>G15</formula>
    </cfRule>
  </conditionalFormatting>
  <conditionalFormatting sqref="H15">
    <cfRule type="cellIs" dxfId="24" priority="13" operator="greaterThan">
      <formula>G15</formula>
    </cfRule>
  </conditionalFormatting>
  <conditionalFormatting sqref="D15">
    <cfRule type="cellIs" dxfId="23" priority="12" operator="greaterThan">
      <formula>C15</formula>
    </cfRule>
  </conditionalFormatting>
  <conditionalFormatting sqref="D15">
    <cfRule type="cellIs" dxfId="22" priority="11" operator="greaterThan">
      <formula>C15</formula>
    </cfRule>
  </conditionalFormatting>
  <conditionalFormatting sqref="D15">
    <cfRule type="cellIs" dxfId="21" priority="10" operator="greaterThan">
      <formula>C15</formula>
    </cfRule>
  </conditionalFormatting>
  <conditionalFormatting sqref="D15">
    <cfRule type="cellIs" dxfId="20" priority="9" operator="greaterThan">
      <formula>C15</formula>
    </cfRule>
  </conditionalFormatting>
  <conditionalFormatting sqref="N15">
    <cfRule type="cellIs" dxfId="19" priority="8" operator="greaterThan">
      <formula>M15</formula>
    </cfRule>
  </conditionalFormatting>
  <conditionalFormatting sqref="N15">
    <cfRule type="cellIs" dxfId="18" priority="7" operator="greaterThan">
      <formula>M15</formula>
    </cfRule>
  </conditionalFormatting>
  <conditionalFormatting sqref="N15">
    <cfRule type="cellIs" dxfId="17" priority="6" operator="greaterThan">
      <formula>M15</formula>
    </cfRule>
  </conditionalFormatting>
  <conditionalFormatting sqref="N15">
    <cfRule type="cellIs" dxfId="16" priority="5" operator="greaterThan">
      <formula>M15</formula>
    </cfRule>
  </conditionalFormatting>
  <conditionalFormatting sqref="N19">
    <cfRule type="cellIs" dxfId="15" priority="4" operator="greaterThan">
      <formula>M19</formula>
    </cfRule>
  </conditionalFormatting>
  <conditionalFormatting sqref="N19">
    <cfRule type="cellIs" dxfId="14" priority="3" operator="greaterThan">
      <formula>M19</formula>
    </cfRule>
  </conditionalFormatting>
  <conditionalFormatting sqref="N19">
    <cfRule type="cellIs" dxfId="13" priority="2" operator="greaterThan">
      <formula>M19</formula>
    </cfRule>
  </conditionalFormatting>
  <conditionalFormatting sqref="N19">
    <cfRule type="cellIs" dxfId="12" priority="1" operator="greaterThan">
      <formula>M19</formula>
    </cfRule>
  </conditionalFormatting>
  <dataValidations count="3">
    <dataValidation type="whole" operator="notEqual" allowBlank="1" showErrorMessage="1" error="Введите как целое число." sqref="C40:R55 C23:R38 C16:R21 C9:R13" xr:uid="{00000000-0002-0000-0500-000000000000}">
      <formula1>-1E+28</formula1>
    </dataValidation>
    <dataValidation allowBlank="1" showErrorMessage="1" prompt="Введите самостоятельно рассчитанный коэффициент" sqref="T5:U5 C5:R5" xr:uid="{00000000-0002-0000-0500-000001000000}"/>
    <dataValidation type="whole" operator="greaterThanOrEqual" allowBlank="1" showErrorMessage="1" error="Введите как целое положительное число." sqref="C14:R15 C8:R8" xr:uid="{00000000-0002-0000-0500-000002000000}">
      <formula1>0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7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9">
    <pageSetUpPr fitToPage="1"/>
  </sheetPr>
  <dimension ref="A2:P60"/>
  <sheetViews>
    <sheetView view="pageBreakPreview" zoomScale="70" zoomScaleNormal="70" zoomScaleSheetLayoutView="70" workbookViewId="0">
      <pane xSplit="2" ySplit="7" topLeftCell="C44" activePane="bottomRight" state="frozen"/>
      <selection activeCell="C71" sqref="C71"/>
      <selection pane="topRight" activeCell="C71" sqref="C71"/>
      <selection pane="bottomLeft" activeCell="C71" sqref="C71"/>
      <selection pane="bottomRight" activeCell="C71" sqref="C71"/>
    </sheetView>
  </sheetViews>
  <sheetFormatPr defaultRowHeight="12.75"/>
  <cols>
    <col min="1" max="1" width="6.42578125" style="15" customWidth="1"/>
    <col min="2" max="2" width="80.42578125" style="6" customWidth="1"/>
    <col min="3" max="10" width="22.140625" style="6" customWidth="1"/>
    <col min="11" max="11" width="20.28515625" style="6" customWidth="1"/>
    <col min="12" max="12" width="18.5703125" style="16" customWidth="1"/>
    <col min="13" max="13" width="18.5703125" style="19" customWidth="1"/>
    <col min="14" max="14" width="17.28515625" style="232" bestFit="1" customWidth="1"/>
    <col min="15" max="16" width="15.140625" style="232" customWidth="1"/>
    <col min="17" max="16384" width="9.140625" style="6"/>
  </cols>
  <sheetData>
    <row r="2" spans="1:16" s="231" customFormat="1" ht="26.25" customHeight="1">
      <c r="A2" s="228" t="s">
        <v>450</v>
      </c>
      <c r="B2" s="229"/>
      <c r="C2" s="229"/>
      <c r="D2" s="230"/>
      <c r="E2" s="230"/>
      <c r="F2" s="230"/>
      <c r="G2" s="230"/>
      <c r="H2" s="230"/>
      <c r="I2" s="230"/>
      <c r="L2" s="550" t="s">
        <v>447</v>
      </c>
      <c r="M2" s="550"/>
      <c r="N2" s="256"/>
      <c r="O2" s="256"/>
      <c r="P2" s="256"/>
    </row>
    <row r="3" spans="1:16" ht="15.75">
      <c r="A3" s="23"/>
      <c r="B3" s="281" t="str">
        <f>Balance!B3</f>
        <v xml:space="preserve">АК "АЛОКАБАНК" </v>
      </c>
      <c r="C3" s="139"/>
      <c r="D3" s="8"/>
      <c r="E3" s="8"/>
      <c r="F3" s="8"/>
      <c r="G3" s="8"/>
      <c r="H3" s="8"/>
      <c r="I3" s="8"/>
      <c r="J3" s="176" t="str">
        <f>+Balance!B2</f>
        <v xml:space="preserve"> 31 Декабрь, 2021</v>
      </c>
      <c r="L3" s="6"/>
      <c r="M3" s="20" t="str">
        <f>+Balance!E3</f>
        <v>тыс. сум</v>
      </c>
    </row>
    <row r="4" spans="1:16" s="75" customFormat="1" ht="23.25" customHeight="1">
      <c r="A4" s="544" t="s">
        <v>79</v>
      </c>
      <c r="B4" s="544" t="s">
        <v>54</v>
      </c>
      <c r="C4" s="538" t="s">
        <v>167</v>
      </c>
      <c r="D4" s="540"/>
      <c r="E4" s="540"/>
      <c r="F4" s="540"/>
      <c r="G4" s="540"/>
      <c r="H4" s="540"/>
      <c r="I4" s="540"/>
      <c r="J4" s="540"/>
      <c r="K4" s="544" t="s">
        <v>127</v>
      </c>
      <c r="L4" s="546" t="s">
        <v>543</v>
      </c>
      <c r="M4" s="547"/>
      <c r="N4" s="257"/>
      <c r="O4" s="257"/>
      <c r="P4" s="257"/>
    </row>
    <row r="5" spans="1:16" s="75" customFormat="1" ht="27.75" customHeight="1">
      <c r="A5" s="545"/>
      <c r="B5" s="545"/>
      <c r="C5" s="565" t="s">
        <v>128</v>
      </c>
      <c r="D5" s="565" t="s">
        <v>440</v>
      </c>
      <c r="E5" s="565" t="s">
        <v>441</v>
      </c>
      <c r="F5" s="565" t="s">
        <v>344</v>
      </c>
      <c r="G5" s="565" t="s">
        <v>345</v>
      </c>
      <c r="H5" s="565" t="s">
        <v>412</v>
      </c>
      <c r="I5" s="565" t="s">
        <v>413</v>
      </c>
      <c r="J5" s="565" t="s">
        <v>84</v>
      </c>
      <c r="K5" s="545"/>
      <c r="L5" s="548"/>
      <c r="M5" s="549"/>
      <c r="N5" s="257"/>
      <c r="O5" s="257"/>
      <c r="P5" s="257"/>
    </row>
    <row r="6" spans="1:16" s="75" customFormat="1" ht="34.5" customHeight="1">
      <c r="A6" s="545"/>
      <c r="B6" s="545"/>
      <c r="C6" s="565"/>
      <c r="D6" s="565"/>
      <c r="E6" s="565"/>
      <c r="F6" s="565"/>
      <c r="G6" s="565"/>
      <c r="H6" s="565"/>
      <c r="I6" s="565"/>
      <c r="J6" s="565"/>
      <c r="K6" s="545"/>
      <c r="L6" s="374" t="s">
        <v>33</v>
      </c>
      <c r="M6" s="374" t="s">
        <v>470</v>
      </c>
      <c r="N6" s="257"/>
      <c r="O6" s="257"/>
      <c r="P6" s="257"/>
    </row>
    <row r="7" spans="1:16" s="143" customFormat="1" ht="21" customHeight="1">
      <c r="A7" s="227"/>
      <c r="B7" s="295" t="s">
        <v>2</v>
      </c>
      <c r="C7" s="30"/>
      <c r="D7" s="30"/>
      <c r="E7" s="30"/>
      <c r="F7" s="30"/>
      <c r="G7" s="30"/>
      <c r="H7" s="30"/>
      <c r="I7" s="30"/>
      <c r="J7" s="30"/>
      <c r="K7" s="30"/>
      <c r="L7" s="67"/>
      <c r="M7" s="66"/>
      <c r="N7" s="258"/>
      <c r="O7" s="258"/>
      <c r="P7" s="258"/>
    </row>
    <row r="8" spans="1:16" s="290" customFormat="1" ht="20.25" customHeight="1">
      <c r="A8" s="282" t="s">
        <v>80</v>
      </c>
      <c r="B8" s="283" t="s">
        <v>168</v>
      </c>
      <c r="C8" s="30"/>
      <c r="D8" s="30"/>
      <c r="E8" s="30"/>
      <c r="F8" s="30"/>
      <c r="G8" s="30"/>
      <c r="H8" s="30"/>
      <c r="I8" s="30"/>
      <c r="J8" s="30"/>
      <c r="K8" s="30"/>
      <c r="L8" s="285"/>
      <c r="M8" s="286"/>
      <c r="N8" s="288"/>
      <c r="O8" s="288"/>
      <c r="P8" s="288"/>
    </row>
    <row r="9" spans="1:16" s="290" customFormat="1" ht="25.5" customHeight="1">
      <c r="A9" s="282" t="s">
        <v>169</v>
      </c>
      <c r="B9" s="283" t="s">
        <v>170</v>
      </c>
      <c r="C9" s="284">
        <f>SUM(C10:C13)</f>
        <v>1254534064</v>
      </c>
      <c r="D9" s="284">
        <f t="shared" ref="D9:J9" si="0">SUM(D10:D13)</f>
        <v>0</v>
      </c>
      <c r="E9" s="284">
        <f t="shared" si="0"/>
        <v>0</v>
      </c>
      <c r="F9" s="284">
        <f t="shared" si="0"/>
        <v>0</v>
      </c>
      <c r="G9" s="284">
        <f t="shared" si="0"/>
        <v>0</v>
      </c>
      <c r="H9" s="284">
        <f t="shared" si="0"/>
        <v>0</v>
      </c>
      <c r="I9" s="284">
        <f t="shared" si="0"/>
        <v>0</v>
      </c>
      <c r="J9" s="284">
        <f t="shared" si="0"/>
        <v>0</v>
      </c>
      <c r="K9" s="284">
        <f t="shared" ref="K9:K39" si="1">+C9+D9+E9+F9+G9+H9+I9+J9</f>
        <v>1254534064</v>
      </c>
      <c r="L9" s="285"/>
      <c r="M9" s="286"/>
      <c r="N9" s="288"/>
      <c r="O9" s="288"/>
      <c r="P9" s="288"/>
    </row>
    <row r="10" spans="1:16" s="290" customFormat="1" ht="25.5" customHeight="1">
      <c r="A10" s="282" t="s">
        <v>319</v>
      </c>
      <c r="B10" s="283" t="s">
        <v>320</v>
      </c>
      <c r="C10" s="284">
        <f>+'Bank Liabilities Analysis'!C9-'Bank Liabilities Analysis'!D9</f>
        <v>33182282</v>
      </c>
      <c r="D10" s="284">
        <f>+'Bank Liabilities Analysis'!E9-'Bank Liabilities Analysis'!F9</f>
        <v>0</v>
      </c>
      <c r="E10" s="284">
        <f>+'Bank Liabilities Analysis'!G9-'Bank Liabilities Analysis'!H9</f>
        <v>0</v>
      </c>
      <c r="F10" s="284">
        <f>+'Bank Liabilities Analysis'!I9-'Bank Liabilities Analysis'!J9</f>
        <v>0</v>
      </c>
      <c r="G10" s="284">
        <f>+'Bank Liabilities Analysis'!K9-'Bank Liabilities Analysis'!L9</f>
        <v>0</v>
      </c>
      <c r="H10" s="284">
        <f>+'Bank Liabilities Analysis'!M9-'Bank Liabilities Analysis'!N9</f>
        <v>0</v>
      </c>
      <c r="I10" s="284">
        <f>+'Bank Liabilities Analysis'!O9-'Bank Liabilities Analysis'!P9</f>
        <v>0</v>
      </c>
      <c r="J10" s="284">
        <f>+'Bank Liabilities Analysis'!Q9-'Bank Liabilities Analysis'!R9</f>
        <v>0</v>
      </c>
      <c r="K10" s="284">
        <f t="shared" si="1"/>
        <v>33182282</v>
      </c>
      <c r="L10" s="285"/>
      <c r="M10" s="286"/>
      <c r="N10" s="288"/>
      <c r="O10" s="288"/>
      <c r="P10" s="288"/>
    </row>
    <row r="11" spans="1:16" s="290" customFormat="1" ht="25.5" customHeight="1">
      <c r="A11" s="282" t="s">
        <v>321</v>
      </c>
      <c r="B11" s="283" t="s">
        <v>325</v>
      </c>
      <c r="C11" s="284">
        <f>+'Bank Liabilities Analysis'!C10-'Bank Liabilities Analysis'!D10</f>
        <v>12465713</v>
      </c>
      <c r="D11" s="284">
        <f>+'Bank Liabilities Analysis'!E10-'Bank Liabilities Analysis'!F10</f>
        <v>0</v>
      </c>
      <c r="E11" s="284">
        <f>+'Bank Liabilities Analysis'!G10-'Bank Liabilities Analysis'!H10</f>
        <v>0</v>
      </c>
      <c r="F11" s="284">
        <f>+'Bank Liabilities Analysis'!I10-'Bank Liabilities Analysis'!J10</f>
        <v>0</v>
      </c>
      <c r="G11" s="284">
        <f>+'Bank Liabilities Analysis'!K10-'Bank Liabilities Analysis'!L10</f>
        <v>0</v>
      </c>
      <c r="H11" s="284">
        <f>+'Bank Liabilities Analysis'!M10-'Bank Liabilities Analysis'!N10</f>
        <v>0</v>
      </c>
      <c r="I11" s="284">
        <f>+'Bank Liabilities Analysis'!O10-'Bank Liabilities Analysis'!P10</f>
        <v>0</v>
      </c>
      <c r="J11" s="284">
        <f>+'Bank Liabilities Analysis'!Q10-'Bank Liabilities Analysis'!R10</f>
        <v>0</v>
      </c>
      <c r="K11" s="284">
        <f t="shared" si="1"/>
        <v>12465713</v>
      </c>
      <c r="L11" s="285"/>
      <c r="M11" s="286"/>
      <c r="N11" s="288"/>
      <c r="O11" s="288"/>
      <c r="P11" s="288"/>
    </row>
    <row r="12" spans="1:16" s="290" customFormat="1" ht="33.75" customHeight="1">
      <c r="A12" s="282" t="s">
        <v>322</v>
      </c>
      <c r="B12" s="283" t="s">
        <v>323</v>
      </c>
      <c r="C12" s="284">
        <f>+'Bank Liabilities Analysis'!C11-'Bank Liabilities Analysis'!D11</f>
        <v>0</v>
      </c>
      <c r="D12" s="284">
        <f>+'Bank Liabilities Analysis'!E11-'Bank Liabilities Analysis'!F11</f>
        <v>0</v>
      </c>
      <c r="E12" s="284">
        <f>+'Bank Liabilities Analysis'!G11-'Bank Liabilities Analysis'!H11</f>
        <v>0</v>
      </c>
      <c r="F12" s="284">
        <f>+'Bank Liabilities Analysis'!I11-'Bank Liabilities Analysis'!J11</f>
        <v>0</v>
      </c>
      <c r="G12" s="284">
        <f>+'Bank Liabilities Analysis'!K11-'Bank Liabilities Analysis'!L11</f>
        <v>0</v>
      </c>
      <c r="H12" s="284">
        <f>+'Bank Liabilities Analysis'!M11-'Bank Liabilities Analysis'!N11</f>
        <v>0</v>
      </c>
      <c r="I12" s="284">
        <f>+'Bank Liabilities Analysis'!O11-'Bank Liabilities Analysis'!P11</f>
        <v>0</v>
      </c>
      <c r="J12" s="284">
        <f>+'Bank Liabilities Analysis'!Q11-'Bank Liabilities Analysis'!R11</f>
        <v>0</v>
      </c>
      <c r="K12" s="284">
        <f t="shared" si="1"/>
        <v>0</v>
      </c>
      <c r="L12" s="285"/>
      <c r="M12" s="286"/>
      <c r="N12" s="288"/>
      <c r="O12" s="288"/>
      <c r="P12" s="288"/>
    </row>
    <row r="13" spans="1:16" s="290" customFormat="1" ht="25.5" customHeight="1">
      <c r="A13" s="282" t="s">
        <v>324</v>
      </c>
      <c r="B13" s="283" t="s">
        <v>34</v>
      </c>
      <c r="C13" s="284">
        <f>+'Bank Liabilities Analysis'!C12-'Bank Liabilities Analysis'!D12</f>
        <v>1208886069</v>
      </c>
      <c r="D13" s="284">
        <f>+'Bank Liabilities Analysis'!E12-'Bank Liabilities Analysis'!F12</f>
        <v>0</v>
      </c>
      <c r="E13" s="284">
        <f>+'Bank Liabilities Analysis'!G12-'Bank Liabilities Analysis'!H12</f>
        <v>0</v>
      </c>
      <c r="F13" s="284">
        <f>+'Bank Liabilities Analysis'!I12-'Bank Liabilities Analysis'!J12</f>
        <v>0</v>
      </c>
      <c r="G13" s="284">
        <f>+'Bank Liabilities Analysis'!K12-'Bank Liabilities Analysis'!L12</f>
        <v>0</v>
      </c>
      <c r="H13" s="284">
        <f>+'Bank Liabilities Analysis'!M12-'Bank Liabilities Analysis'!N12</f>
        <v>0</v>
      </c>
      <c r="I13" s="284">
        <f>+'Bank Liabilities Analysis'!O12-'Bank Liabilities Analysis'!P12</f>
        <v>0</v>
      </c>
      <c r="J13" s="284">
        <f>+'Bank Liabilities Analysis'!Q12-'Bank Liabilities Analysis'!R12</f>
        <v>0</v>
      </c>
      <c r="K13" s="284">
        <f t="shared" si="1"/>
        <v>1208886069</v>
      </c>
      <c r="L13" s="285"/>
      <c r="M13" s="286"/>
      <c r="N13" s="288"/>
      <c r="O13" s="288"/>
      <c r="P13" s="288"/>
    </row>
    <row r="14" spans="1:16" s="290" customFormat="1" ht="25.5" customHeight="1">
      <c r="A14" s="282" t="s">
        <v>171</v>
      </c>
      <c r="B14" s="283" t="s">
        <v>431</v>
      </c>
      <c r="C14" s="284">
        <f>+'Bank Liabilities Analysis'!C13-'Bank Liabilities Analysis'!D13</f>
        <v>0</v>
      </c>
      <c r="D14" s="284">
        <f>+'Bank Liabilities Analysis'!E13-'Bank Liabilities Analysis'!F13</f>
        <v>311054974</v>
      </c>
      <c r="E14" s="284">
        <f>+'Bank Liabilities Analysis'!G13-'Bank Liabilities Analysis'!H13</f>
        <v>124277694</v>
      </c>
      <c r="F14" s="284">
        <f>+'Bank Liabilities Analysis'!I13-'Bank Liabilities Analysis'!J13</f>
        <v>195532003</v>
      </c>
      <c r="G14" s="284">
        <f>+'Bank Liabilities Analysis'!K13-'Bank Liabilities Analysis'!L13</f>
        <v>609556187</v>
      </c>
      <c r="H14" s="284">
        <f>+'Bank Liabilities Analysis'!M13-'Bank Liabilities Analysis'!N13</f>
        <v>655712600</v>
      </c>
      <c r="I14" s="284">
        <f>+'Bank Liabilities Analysis'!O13-'Bank Liabilities Analysis'!P13</f>
        <v>850023157</v>
      </c>
      <c r="J14" s="284">
        <f>+'Bank Liabilities Analysis'!Q13-'Bank Liabilities Analysis'!R13</f>
        <v>322800027</v>
      </c>
      <c r="K14" s="284">
        <f t="shared" si="1"/>
        <v>3068956642</v>
      </c>
      <c r="L14" s="285"/>
      <c r="M14" s="286"/>
      <c r="N14" s="288"/>
      <c r="O14" s="288"/>
      <c r="P14" s="288"/>
    </row>
    <row r="15" spans="1:16" s="290" customFormat="1" ht="25.5" customHeight="1">
      <c r="A15" s="282" t="s">
        <v>429</v>
      </c>
      <c r="B15" s="283" t="s">
        <v>320</v>
      </c>
      <c r="C15" s="284">
        <f>+'Bank Liabilities Analysis'!C14-'Bank Liabilities Analysis'!D14</f>
        <v>0</v>
      </c>
      <c r="D15" s="284">
        <f>+'Bank Liabilities Analysis'!E14-'Bank Liabilities Analysis'!F14</f>
        <v>1519974</v>
      </c>
      <c r="E15" s="284">
        <f>+'Bank Liabilities Analysis'!G14-'Bank Liabilities Analysis'!H14</f>
        <v>6277694</v>
      </c>
      <c r="F15" s="284">
        <f>+'Bank Liabilities Analysis'!I14-'Bank Liabilities Analysis'!J14</f>
        <v>102587003</v>
      </c>
      <c r="G15" s="284">
        <f>+'Bank Liabilities Analysis'!K14-'Bank Liabilities Analysis'!L14</f>
        <v>91860187</v>
      </c>
      <c r="H15" s="284">
        <f>+'Bank Liabilities Analysis'!M14-'Bank Liabilities Analysis'!N14</f>
        <v>72596757</v>
      </c>
      <c r="I15" s="284">
        <f>+'Bank Liabilities Analysis'!O14-'Bank Liabilities Analysis'!P14</f>
        <v>136579493</v>
      </c>
      <c r="J15" s="284">
        <f>+'Bank Liabilities Analysis'!Q14-'Bank Liabilities Analysis'!R14</f>
        <v>1032318</v>
      </c>
      <c r="K15" s="284">
        <f t="shared" si="1"/>
        <v>412453426</v>
      </c>
      <c r="L15" s="285"/>
      <c r="M15" s="286"/>
      <c r="N15" s="288"/>
      <c r="O15" s="288"/>
      <c r="P15" s="288"/>
    </row>
    <row r="16" spans="1:16" s="290" customFormat="1" ht="25.5" customHeight="1">
      <c r="A16" s="282" t="s">
        <v>430</v>
      </c>
      <c r="B16" s="283" t="s">
        <v>428</v>
      </c>
      <c r="C16" s="284">
        <f>+'Bank Liabilities Analysis'!C15-'Bank Liabilities Analysis'!D15</f>
        <v>0</v>
      </c>
      <c r="D16" s="284">
        <f>+'Bank Liabilities Analysis'!E15-'Bank Liabilities Analysis'!F15</f>
        <v>0</v>
      </c>
      <c r="E16" s="284">
        <f>+'Bank Liabilities Analysis'!G15-'Bank Liabilities Analysis'!H15</f>
        <v>0</v>
      </c>
      <c r="F16" s="284">
        <f>+'Bank Liabilities Analysis'!I15-'Bank Liabilities Analysis'!J15</f>
        <v>0</v>
      </c>
      <c r="G16" s="284">
        <f>+'Bank Liabilities Analysis'!K15-'Bank Liabilities Analysis'!L15</f>
        <v>0</v>
      </c>
      <c r="H16" s="284">
        <f>+'Bank Liabilities Analysis'!M15-'Bank Liabilities Analysis'!N15</f>
        <v>0</v>
      </c>
      <c r="I16" s="284">
        <f>+'Bank Liabilities Analysis'!O15-'Bank Liabilities Analysis'!P15</f>
        <v>0</v>
      </c>
      <c r="J16" s="284">
        <f>+'Bank Liabilities Analysis'!Q15-'Bank Liabilities Analysis'!R15</f>
        <v>0</v>
      </c>
      <c r="K16" s="284">
        <f t="shared" si="1"/>
        <v>0</v>
      </c>
      <c r="L16" s="285"/>
      <c r="M16" s="286"/>
      <c r="N16" s="288"/>
      <c r="O16" s="288"/>
      <c r="P16" s="288"/>
    </row>
    <row r="17" spans="1:16" s="290" customFormat="1" ht="25.5" customHeight="1">
      <c r="A17" s="282" t="s">
        <v>172</v>
      </c>
      <c r="B17" s="283" t="s">
        <v>182</v>
      </c>
      <c r="C17" s="284">
        <f>SUM(C18:C22)</f>
        <v>428304434</v>
      </c>
      <c r="D17" s="284">
        <f t="shared" ref="D17:J17" si="2">SUM(D18:D22)</f>
        <v>0</v>
      </c>
      <c r="E17" s="284">
        <f t="shared" si="2"/>
        <v>0</v>
      </c>
      <c r="F17" s="284">
        <f t="shared" si="2"/>
        <v>0</v>
      </c>
      <c r="G17" s="284">
        <f t="shared" si="2"/>
        <v>0</v>
      </c>
      <c r="H17" s="284">
        <f t="shared" si="2"/>
        <v>0</v>
      </c>
      <c r="I17" s="284">
        <f t="shared" si="2"/>
        <v>0</v>
      </c>
      <c r="J17" s="284">
        <f t="shared" si="2"/>
        <v>0</v>
      </c>
      <c r="K17" s="284">
        <f t="shared" si="1"/>
        <v>428304434</v>
      </c>
      <c r="L17" s="285"/>
      <c r="M17" s="286"/>
      <c r="N17" s="288"/>
      <c r="O17" s="288"/>
      <c r="P17" s="288"/>
    </row>
    <row r="18" spans="1:16" s="290" customFormat="1" ht="25.5" customHeight="1">
      <c r="A18" s="282" t="s">
        <v>326</v>
      </c>
      <c r="B18" s="283" t="s">
        <v>329</v>
      </c>
      <c r="C18" s="284">
        <f>+'Bank Liabilities Analysis'!C17-'Bank Liabilities Analysis'!D17</f>
        <v>352525135</v>
      </c>
      <c r="D18" s="284">
        <f>+'Bank Liabilities Analysis'!E17-'Bank Liabilities Analysis'!F17</f>
        <v>0</v>
      </c>
      <c r="E18" s="284">
        <f>+'Bank Liabilities Analysis'!G17-'Bank Liabilities Analysis'!H17</f>
        <v>0</v>
      </c>
      <c r="F18" s="284">
        <f>+'Bank Liabilities Analysis'!I17-'Bank Liabilities Analysis'!J17</f>
        <v>0</v>
      </c>
      <c r="G18" s="284">
        <f>+'Bank Liabilities Analysis'!K17-'Bank Liabilities Analysis'!L17</f>
        <v>0</v>
      </c>
      <c r="H18" s="284">
        <f>+'Bank Liabilities Analysis'!M17-'Bank Liabilities Analysis'!N17</f>
        <v>0</v>
      </c>
      <c r="I18" s="284">
        <f>+'Bank Liabilities Analysis'!O17-'Bank Liabilities Analysis'!P17</f>
        <v>0</v>
      </c>
      <c r="J18" s="284">
        <f>+'Bank Liabilities Analysis'!Q17-'Bank Liabilities Analysis'!R17</f>
        <v>0</v>
      </c>
      <c r="K18" s="284">
        <f t="shared" si="1"/>
        <v>352525135</v>
      </c>
      <c r="L18" s="285"/>
      <c r="M18" s="286"/>
      <c r="N18" s="288"/>
      <c r="O18" s="288"/>
      <c r="P18" s="288"/>
    </row>
    <row r="19" spans="1:16" s="290" customFormat="1" ht="25.5" customHeight="1">
      <c r="A19" s="282" t="s">
        <v>327</v>
      </c>
      <c r="B19" s="283" t="s">
        <v>330</v>
      </c>
      <c r="C19" s="284">
        <f>+'Bank Liabilities Analysis'!C18-'Bank Liabilities Analysis'!D18</f>
        <v>5977355</v>
      </c>
      <c r="D19" s="284">
        <f>+'Bank Liabilities Analysis'!E18-'Bank Liabilities Analysis'!F18</f>
        <v>0</v>
      </c>
      <c r="E19" s="284">
        <f>+'Bank Liabilities Analysis'!G18-'Bank Liabilities Analysis'!H18</f>
        <v>0</v>
      </c>
      <c r="F19" s="284">
        <f>+'Bank Liabilities Analysis'!I18-'Bank Liabilities Analysis'!J18</f>
        <v>0</v>
      </c>
      <c r="G19" s="284">
        <f>+'Bank Liabilities Analysis'!K18-'Bank Liabilities Analysis'!L18</f>
        <v>0</v>
      </c>
      <c r="H19" s="284">
        <f>+'Bank Liabilities Analysis'!M18-'Bank Liabilities Analysis'!N18</f>
        <v>0</v>
      </c>
      <c r="I19" s="284">
        <f>+'Bank Liabilities Analysis'!O18-'Bank Liabilities Analysis'!P18</f>
        <v>0</v>
      </c>
      <c r="J19" s="284">
        <f>+'Bank Liabilities Analysis'!Q18-'Bank Liabilities Analysis'!R18</f>
        <v>0</v>
      </c>
      <c r="K19" s="284">
        <f t="shared" si="1"/>
        <v>5977355</v>
      </c>
      <c r="L19" s="285"/>
      <c r="M19" s="286"/>
      <c r="N19" s="288"/>
      <c r="O19" s="288"/>
      <c r="P19" s="288"/>
    </row>
    <row r="20" spans="1:16" s="290" customFormat="1" ht="25.5" customHeight="1">
      <c r="A20" s="282" t="s">
        <v>328</v>
      </c>
      <c r="B20" s="283" t="s">
        <v>331</v>
      </c>
      <c r="C20" s="284">
        <f>+'Bank Liabilities Analysis'!C19-'Bank Liabilities Analysis'!D19</f>
        <v>0</v>
      </c>
      <c r="D20" s="284">
        <f>+'Bank Liabilities Analysis'!E19-'Bank Liabilities Analysis'!F19</f>
        <v>0</v>
      </c>
      <c r="E20" s="284">
        <f>+'Bank Liabilities Analysis'!G19-'Bank Liabilities Analysis'!H19</f>
        <v>0</v>
      </c>
      <c r="F20" s="284">
        <f>+'Bank Liabilities Analysis'!I19-'Bank Liabilities Analysis'!J19</f>
        <v>0</v>
      </c>
      <c r="G20" s="284">
        <f>+'Bank Liabilities Analysis'!K19-'Bank Liabilities Analysis'!L19</f>
        <v>0</v>
      </c>
      <c r="H20" s="284">
        <f>+'Bank Liabilities Analysis'!M19-'Bank Liabilities Analysis'!N19</f>
        <v>0</v>
      </c>
      <c r="I20" s="284">
        <f>+'Bank Liabilities Analysis'!O19-'Bank Liabilities Analysis'!P19</f>
        <v>0</v>
      </c>
      <c r="J20" s="284">
        <f>+'Bank Liabilities Analysis'!Q19-'Bank Liabilities Analysis'!R19</f>
        <v>0</v>
      </c>
      <c r="K20" s="284">
        <f t="shared" si="1"/>
        <v>0</v>
      </c>
      <c r="L20" s="285"/>
      <c r="M20" s="286"/>
      <c r="N20" s="288"/>
      <c r="O20" s="288"/>
      <c r="P20" s="288"/>
    </row>
    <row r="21" spans="1:16" s="290" customFormat="1" ht="33.75" customHeight="1">
      <c r="A21" s="282" t="s">
        <v>332</v>
      </c>
      <c r="B21" s="283" t="s">
        <v>333</v>
      </c>
      <c r="C21" s="284">
        <f>+'Bank Liabilities Analysis'!C20-'Bank Liabilities Analysis'!D20</f>
        <v>334545</v>
      </c>
      <c r="D21" s="284">
        <f>+'Bank Liabilities Analysis'!E20-'Bank Liabilities Analysis'!F20</f>
        <v>0</v>
      </c>
      <c r="E21" s="284">
        <f>+'Bank Liabilities Analysis'!G20-'Bank Liabilities Analysis'!H20</f>
        <v>0</v>
      </c>
      <c r="F21" s="284">
        <f>+'Bank Liabilities Analysis'!I20-'Bank Liabilities Analysis'!J20</f>
        <v>0</v>
      </c>
      <c r="G21" s="284">
        <f>+'Bank Liabilities Analysis'!K20-'Bank Liabilities Analysis'!L20</f>
        <v>0</v>
      </c>
      <c r="H21" s="284">
        <f>+'Bank Liabilities Analysis'!M20-'Bank Liabilities Analysis'!N20</f>
        <v>0</v>
      </c>
      <c r="I21" s="284">
        <f>+'Bank Liabilities Analysis'!O20-'Bank Liabilities Analysis'!P20</f>
        <v>0</v>
      </c>
      <c r="J21" s="284">
        <f>+'Bank Liabilities Analysis'!Q20-'Bank Liabilities Analysis'!R20</f>
        <v>0</v>
      </c>
      <c r="K21" s="284">
        <f t="shared" si="1"/>
        <v>334545</v>
      </c>
      <c r="L21" s="285"/>
      <c r="M21" s="286"/>
      <c r="N21" s="288"/>
      <c r="O21" s="288"/>
      <c r="P21" s="288"/>
    </row>
    <row r="22" spans="1:16" s="290" customFormat="1" ht="25.5" customHeight="1">
      <c r="A22" s="282" t="s">
        <v>334</v>
      </c>
      <c r="B22" s="283" t="s">
        <v>21</v>
      </c>
      <c r="C22" s="284">
        <f>+'Bank Liabilities Analysis'!C21-'Bank Liabilities Analysis'!D21</f>
        <v>69467399</v>
      </c>
      <c r="D22" s="284">
        <f>+'Bank Liabilities Analysis'!E21-'Bank Liabilities Analysis'!F21</f>
        <v>0</v>
      </c>
      <c r="E22" s="284">
        <f>+'Bank Liabilities Analysis'!G21-'Bank Liabilities Analysis'!H21</f>
        <v>0</v>
      </c>
      <c r="F22" s="284">
        <f>+'Bank Liabilities Analysis'!I21-'Bank Liabilities Analysis'!J21</f>
        <v>0</v>
      </c>
      <c r="G22" s="284">
        <f>+'Bank Liabilities Analysis'!K21-'Bank Liabilities Analysis'!L21</f>
        <v>0</v>
      </c>
      <c r="H22" s="284">
        <f>+'Bank Liabilities Analysis'!M21-'Bank Liabilities Analysis'!N21</f>
        <v>0</v>
      </c>
      <c r="I22" s="284">
        <f>+'Bank Liabilities Analysis'!O21-'Bank Liabilities Analysis'!P21</f>
        <v>0</v>
      </c>
      <c r="J22" s="284">
        <f>+'Bank Liabilities Analysis'!Q21-'Bank Liabilities Analysis'!R21</f>
        <v>0</v>
      </c>
      <c r="K22" s="284">
        <f t="shared" si="1"/>
        <v>69467399</v>
      </c>
      <c r="L22" s="285"/>
      <c r="M22" s="286"/>
      <c r="N22" s="288"/>
      <c r="O22" s="288"/>
      <c r="P22" s="288"/>
    </row>
    <row r="23" spans="1:16" s="290" customFormat="1" ht="25.5" customHeight="1">
      <c r="A23" s="282" t="s">
        <v>174</v>
      </c>
      <c r="B23" s="283" t="s">
        <v>175</v>
      </c>
      <c r="C23" s="284">
        <f t="shared" ref="C23:J23" si="3">+C9+C14+C17</f>
        <v>1682838498</v>
      </c>
      <c r="D23" s="284">
        <f t="shared" si="3"/>
        <v>311054974</v>
      </c>
      <c r="E23" s="284">
        <f t="shared" si="3"/>
        <v>124277694</v>
      </c>
      <c r="F23" s="284">
        <f t="shared" si="3"/>
        <v>195532003</v>
      </c>
      <c r="G23" s="284">
        <f t="shared" si="3"/>
        <v>609556187</v>
      </c>
      <c r="H23" s="284">
        <f t="shared" si="3"/>
        <v>655712600</v>
      </c>
      <c r="I23" s="284">
        <f t="shared" si="3"/>
        <v>850023157</v>
      </c>
      <c r="J23" s="284">
        <f t="shared" si="3"/>
        <v>322800027</v>
      </c>
      <c r="K23" s="284">
        <f t="shared" si="1"/>
        <v>4751795140</v>
      </c>
      <c r="L23" s="285">
        <v>0.15</v>
      </c>
      <c r="M23" s="286">
        <f>+K23*L23</f>
        <v>712769271</v>
      </c>
      <c r="N23" s="288"/>
      <c r="O23" s="288"/>
      <c r="P23" s="288"/>
    </row>
    <row r="24" spans="1:16" s="290" customFormat="1" ht="25.5" customHeight="1">
      <c r="A24" s="282" t="s">
        <v>130</v>
      </c>
      <c r="B24" s="283" t="s">
        <v>176</v>
      </c>
      <c r="C24" s="284">
        <f>+'Bank Liabilities Analysis'!C23-'Bank Liabilities Analysis'!D23</f>
        <v>0</v>
      </c>
      <c r="D24" s="284">
        <f>+'Bank Liabilities Analysis'!E23-'Bank Liabilities Analysis'!F23</f>
        <v>0</v>
      </c>
      <c r="E24" s="284">
        <f>+'Bank Liabilities Analysis'!G23-'Bank Liabilities Analysis'!H23</f>
        <v>0</v>
      </c>
      <c r="F24" s="284">
        <f>+'Bank Liabilities Analysis'!I23-'Bank Liabilities Analysis'!J23</f>
        <v>0</v>
      </c>
      <c r="G24" s="284">
        <f>+'Bank Liabilities Analysis'!K23-'Bank Liabilities Analysis'!L23</f>
        <v>0</v>
      </c>
      <c r="H24" s="284">
        <f>+'Bank Liabilities Analysis'!M23-'Bank Liabilities Analysis'!N23</f>
        <v>0</v>
      </c>
      <c r="I24" s="284">
        <f>+'Bank Liabilities Analysis'!O23-'Bank Liabilities Analysis'!P23</f>
        <v>0</v>
      </c>
      <c r="J24" s="284">
        <f>+'Bank Liabilities Analysis'!Q23-'Bank Liabilities Analysis'!R23</f>
        <v>0</v>
      </c>
      <c r="K24" s="284">
        <f t="shared" si="1"/>
        <v>0</v>
      </c>
      <c r="L24" s="285">
        <v>1</v>
      </c>
      <c r="M24" s="286">
        <f>(C24+D24+E24)*L24</f>
        <v>0</v>
      </c>
      <c r="N24" s="288"/>
      <c r="O24" s="288"/>
      <c r="P24" s="288"/>
    </row>
    <row r="25" spans="1:16" s="290" customFormat="1" ht="25.5" customHeight="1">
      <c r="A25" s="282" t="s">
        <v>131</v>
      </c>
      <c r="B25" s="283" t="s">
        <v>177</v>
      </c>
      <c r="C25" s="284">
        <f>SUM(C26:C29)</f>
        <v>8447489</v>
      </c>
      <c r="D25" s="284">
        <f t="shared" ref="D25:J25" si="4">SUM(D26:D29)</f>
        <v>1500000</v>
      </c>
      <c r="E25" s="284">
        <f t="shared" si="4"/>
        <v>7300000</v>
      </c>
      <c r="F25" s="284">
        <f t="shared" si="4"/>
        <v>324000000</v>
      </c>
      <c r="G25" s="284">
        <f t="shared" si="4"/>
        <v>0</v>
      </c>
      <c r="H25" s="284">
        <f t="shared" si="4"/>
        <v>0</v>
      </c>
      <c r="I25" s="284">
        <f t="shared" si="4"/>
        <v>23720000</v>
      </c>
      <c r="J25" s="284">
        <f t="shared" si="4"/>
        <v>48166120</v>
      </c>
      <c r="K25" s="284">
        <f t="shared" si="1"/>
        <v>413133609</v>
      </c>
      <c r="L25" s="285"/>
      <c r="M25" s="286"/>
      <c r="N25" s="288"/>
      <c r="O25" s="288"/>
      <c r="P25" s="288"/>
    </row>
    <row r="26" spans="1:16" s="290" customFormat="1" ht="25.5" customHeight="1">
      <c r="A26" s="282" t="s">
        <v>192</v>
      </c>
      <c r="B26" s="283" t="s">
        <v>503</v>
      </c>
      <c r="C26" s="284">
        <f>+'Bank Liabilities Analysis'!C25-'Bank Liabilities Analysis'!D25</f>
        <v>643066</v>
      </c>
      <c r="D26" s="284">
        <f>+'Bank Liabilities Analysis'!E25-'Bank Liabilities Analysis'!F25</f>
        <v>0</v>
      </c>
      <c r="E26" s="284">
        <f>+'Bank Liabilities Analysis'!G25-'Bank Liabilities Analysis'!H25</f>
        <v>0</v>
      </c>
      <c r="F26" s="284">
        <f>+'Bank Liabilities Analysis'!I25-'Bank Liabilities Analysis'!J25</f>
        <v>0</v>
      </c>
      <c r="G26" s="284">
        <f>+'Bank Liabilities Analysis'!K25-'Bank Liabilities Analysis'!L25</f>
        <v>0</v>
      </c>
      <c r="H26" s="284">
        <f>+'Bank Liabilities Analysis'!M25-'Bank Liabilities Analysis'!N25</f>
        <v>0</v>
      </c>
      <c r="I26" s="284">
        <f>+'Bank Liabilities Analysis'!O25-'Bank Liabilities Analysis'!P25</f>
        <v>0</v>
      </c>
      <c r="J26" s="284">
        <f>+'Bank Liabilities Analysis'!Q25-'Bank Liabilities Analysis'!R25</f>
        <v>0</v>
      </c>
      <c r="K26" s="284">
        <f t="shared" ref="K26" si="5">+C26+D26+E26+F26+G26+H26+I26+J26</f>
        <v>643066</v>
      </c>
      <c r="L26" s="285">
        <v>1</v>
      </c>
      <c r="M26" s="286">
        <f>+K26*L26</f>
        <v>643066</v>
      </c>
      <c r="N26" s="288"/>
      <c r="O26" s="288"/>
      <c r="P26" s="288"/>
    </row>
    <row r="27" spans="1:16" s="290" customFormat="1" ht="25.5" customHeight="1">
      <c r="A27" s="282" t="s">
        <v>193</v>
      </c>
      <c r="B27" s="283" t="s">
        <v>335</v>
      </c>
      <c r="C27" s="284">
        <f>+'Bank Liabilities Analysis'!C26-'Bank Liabilities Analysis'!D26</f>
        <v>7284000</v>
      </c>
      <c r="D27" s="284">
        <f>+'Bank Liabilities Analysis'!E26-'Bank Liabilities Analysis'!F26</f>
        <v>1500000</v>
      </c>
      <c r="E27" s="284">
        <f>+'Bank Liabilities Analysis'!G26-'Bank Liabilities Analysis'!H26</f>
        <v>7300000</v>
      </c>
      <c r="F27" s="284">
        <f>+'Bank Liabilities Analysis'!I26-'Bank Liabilities Analysis'!J26</f>
        <v>324000000</v>
      </c>
      <c r="G27" s="284">
        <f>+'Bank Liabilities Analysis'!K26-'Bank Liabilities Analysis'!L26</f>
        <v>0</v>
      </c>
      <c r="H27" s="284">
        <f>+'Bank Liabilities Analysis'!M26-'Bank Liabilities Analysis'!N26</f>
        <v>0</v>
      </c>
      <c r="I27" s="284">
        <f>+'Bank Liabilities Analysis'!O26-'Bank Liabilities Analysis'!P26</f>
        <v>23720000</v>
      </c>
      <c r="J27" s="284">
        <f>+'Bank Liabilities Analysis'!Q26-'Bank Liabilities Analysis'!R26</f>
        <v>48166120</v>
      </c>
      <c r="K27" s="284">
        <f t="shared" si="1"/>
        <v>411970120</v>
      </c>
      <c r="L27" s="285">
        <v>1</v>
      </c>
      <c r="M27" s="286">
        <f>(C27+D27+E27)*L27</f>
        <v>16084000</v>
      </c>
      <c r="N27" s="288"/>
      <c r="O27" s="288"/>
      <c r="P27" s="288"/>
    </row>
    <row r="28" spans="1:16" s="290" customFormat="1" ht="25.5" customHeight="1">
      <c r="A28" s="282" t="s">
        <v>22</v>
      </c>
      <c r="B28" s="283" t="s">
        <v>336</v>
      </c>
      <c r="C28" s="284">
        <f>+'Bank Liabilities Analysis'!C27-'Bank Liabilities Analysis'!D27</f>
        <v>520423</v>
      </c>
      <c r="D28" s="284">
        <f>+'Bank Liabilities Analysis'!E27-'Bank Liabilities Analysis'!F27</f>
        <v>0</v>
      </c>
      <c r="E28" s="284">
        <f>+'Bank Liabilities Analysis'!G27-'Bank Liabilities Analysis'!H27</f>
        <v>0</v>
      </c>
      <c r="F28" s="284">
        <f>+'Bank Liabilities Analysis'!I27-'Bank Liabilities Analysis'!J27</f>
        <v>0</v>
      </c>
      <c r="G28" s="284">
        <f>+'Bank Liabilities Analysis'!K27-'Bank Liabilities Analysis'!L27</f>
        <v>0</v>
      </c>
      <c r="H28" s="284">
        <f>+'Bank Liabilities Analysis'!M27-'Bank Liabilities Analysis'!N27</f>
        <v>0</v>
      </c>
      <c r="I28" s="284">
        <f>+'Bank Liabilities Analysis'!O27-'Bank Liabilities Analysis'!P27</f>
        <v>0</v>
      </c>
      <c r="J28" s="284">
        <f>+'Bank Liabilities Analysis'!Q27-'Bank Liabilities Analysis'!R27</f>
        <v>0</v>
      </c>
      <c r="K28" s="284">
        <f t="shared" si="1"/>
        <v>520423</v>
      </c>
      <c r="L28" s="285">
        <v>1</v>
      </c>
      <c r="M28" s="286">
        <f>(C28+D28+E28)*L28</f>
        <v>520423</v>
      </c>
      <c r="N28" s="288"/>
      <c r="O28" s="288"/>
      <c r="P28" s="288"/>
    </row>
    <row r="29" spans="1:16" s="290" customFormat="1" ht="25.5" customHeight="1">
      <c r="A29" s="282" t="s">
        <v>347</v>
      </c>
      <c r="B29" s="283" t="s">
        <v>32</v>
      </c>
      <c r="C29" s="284">
        <f>+'Bank Liabilities Analysis'!C28-'Bank Liabilities Analysis'!D28</f>
        <v>0</v>
      </c>
      <c r="D29" s="284">
        <f>+'Bank Liabilities Analysis'!E28-'Bank Liabilities Analysis'!F28</f>
        <v>0</v>
      </c>
      <c r="E29" s="284">
        <f>+'Bank Liabilities Analysis'!G28-'Bank Liabilities Analysis'!H28</f>
        <v>0</v>
      </c>
      <c r="F29" s="284">
        <f>+'Bank Liabilities Analysis'!I28-'Bank Liabilities Analysis'!J28</f>
        <v>0</v>
      </c>
      <c r="G29" s="284">
        <f>+'Bank Liabilities Analysis'!K28-'Bank Liabilities Analysis'!L28</f>
        <v>0</v>
      </c>
      <c r="H29" s="284">
        <f>+'Bank Liabilities Analysis'!M28-'Bank Liabilities Analysis'!N28</f>
        <v>0</v>
      </c>
      <c r="I29" s="284">
        <f>+'Bank Liabilities Analysis'!O28-'Bank Liabilities Analysis'!P28</f>
        <v>0</v>
      </c>
      <c r="J29" s="284">
        <f>+'Bank Liabilities Analysis'!Q28-'Bank Liabilities Analysis'!R28</f>
        <v>0</v>
      </c>
      <c r="K29" s="284">
        <f t="shared" si="1"/>
        <v>0</v>
      </c>
      <c r="L29" s="285">
        <v>1</v>
      </c>
      <c r="M29" s="286">
        <f>(C29+D29+E29)*L29</f>
        <v>0</v>
      </c>
      <c r="N29" s="288"/>
      <c r="O29" s="288"/>
      <c r="P29" s="288"/>
    </row>
    <row r="30" spans="1:16" s="290" customFormat="1" ht="25.5" customHeight="1">
      <c r="A30" s="282" t="s">
        <v>133</v>
      </c>
      <c r="B30" s="283" t="s">
        <v>178</v>
      </c>
      <c r="C30" s="284">
        <f>+'Bank Liabilities Analysis'!C29-'Bank Liabilities Analysis'!D29</f>
        <v>0</v>
      </c>
      <c r="D30" s="284">
        <f>+'Bank Liabilities Analysis'!E29-'Bank Liabilities Analysis'!F29</f>
        <v>0</v>
      </c>
      <c r="E30" s="284">
        <f>+'Bank Liabilities Analysis'!G29-'Bank Liabilities Analysis'!H29</f>
        <v>0</v>
      </c>
      <c r="F30" s="284">
        <f>+'Bank Liabilities Analysis'!I29-'Bank Liabilities Analysis'!J29</f>
        <v>0</v>
      </c>
      <c r="G30" s="284">
        <f>+'Bank Liabilities Analysis'!K29-'Bank Liabilities Analysis'!L29</f>
        <v>0</v>
      </c>
      <c r="H30" s="284">
        <f>+'Bank Liabilities Analysis'!M29-'Bank Liabilities Analysis'!N29</f>
        <v>0</v>
      </c>
      <c r="I30" s="284">
        <f>+'Bank Liabilities Analysis'!O29-'Bank Liabilities Analysis'!P29</f>
        <v>0</v>
      </c>
      <c r="J30" s="284">
        <f>+'Bank Liabilities Analysis'!Q29-'Bank Liabilities Analysis'!R29</f>
        <v>0</v>
      </c>
      <c r="K30" s="284">
        <f t="shared" si="1"/>
        <v>0</v>
      </c>
      <c r="L30" s="285">
        <v>1</v>
      </c>
      <c r="M30" s="286">
        <f>(C30+D30+E30)*L30</f>
        <v>0</v>
      </c>
      <c r="N30" s="288"/>
      <c r="O30" s="288"/>
      <c r="P30" s="288"/>
    </row>
    <row r="31" spans="1:16" s="290" customFormat="1" ht="33.75" customHeight="1">
      <c r="A31" s="282" t="s">
        <v>135</v>
      </c>
      <c r="B31" s="283" t="s">
        <v>179</v>
      </c>
      <c r="C31" s="284">
        <f>+'Bank Liabilities Analysis'!C30-'Bank Liabilities Analysis'!D30</f>
        <v>0</v>
      </c>
      <c r="D31" s="284">
        <f>+'Bank Liabilities Analysis'!E30-'Bank Liabilities Analysis'!F30</f>
        <v>0</v>
      </c>
      <c r="E31" s="284">
        <f>+'Bank Liabilities Analysis'!G30-'Bank Liabilities Analysis'!H30</f>
        <v>0</v>
      </c>
      <c r="F31" s="284">
        <f>+'Bank Liabilities Analysis'!I30-'Bank Liabilities Analysis'!J30</f>
        <v>0</v>
      </c>
      <c r="G31" s="284">
        <f>+'Bank Liabilities Analysis'!K30-'Bank Liabilities Analysis'!L30</f>
        <v>0</v>
      </c>
      <c r="H31" s="284">
        <f>+'Bank Liabilities Analysis'!M30-'Bank Liabilities Analysis'!N30</f>
        <v>0</v>
      </c>
      <c r="I31" s="284">
        <f>+'Bank Liabilities Analysis'!O30-'Bank Liabilities Analysis'!P30</f>
        <v>0</v>
      </c>
      <c r="J31" s="284">
        <f>+'Bank Liabilities Analysis'!Q30-'Bank Liabilities Analysis'!R30</f>
        <v>0</v>
      </c>
      <c r="K31" s="284">
        <f t="shared" si="1"/>
        <v>0</v>
      </c>
      <c r="L31" s="285">
        <v>1</v>
      </c>
      <c r="M31" s="286">
        <f>(C31+D31+E31)*L31</f>
        <v>0</v>
      </c>
      <c r="N31" s="288"/>
      <c r="O31" s="288"/>
      <c r="P31" s="288"/>
    </row>
    <row r="32" spans="1:16" s="290" customFormat="1" ht="25.5" customHeight="1">
      <c r="A32" s="282" t="s">
        <v>137</v>
      </c>
      <c r="B32" s="283" t="s">
        <v>180</v>
      </c>
      <c r="C32" s="284">
        <f>+'Bank Liabilities Analysis'!C31-'Bank Liabilities Analysis'!D31</f>
        <v>0</v>
      </c>
      <c r="D32" s="284">
        <f>+'Bank Liabilities Analysis'!E31-'Bank Liabilities Analysis'!F31</f>
        <v>200000</v>
      </c>
      <c r="E32" s="284">
        <f>+'Bank Liabilities Analysis'!G31-'Bank Liabilities Analysis'!H31</f>
        <v>155061</v>
      </c>
      <c r="F32" s="284">
        <f>+'Bank Liabilities Analysis'!I31-'Bank Liabilities Analysis'!J31</f>
        <v>310121</v>
      </c>
      <c r="G32" s="284">
        <f>+'Bank Liabilities Analysis'!K31-'Bank Liabilities Analysis'!L31</f>
        <v>568877</v>
      </c>
      <c r="H32" s="284">
        <f>+'Bank Liabilities Analysis'!M31-'Bank Liabilities Analysis'!N31</f>
        <v>53484598</v>
      </c>
      <c r="I32" s="284">
        <f>+'Bank Liabilities Analysis'!O31-'Bank Liabilities Analysis'!P31</f>
        <v>23069301</v>
      </c>
      <c r="J32" s="284">
        <f>+'Bank Liabilities Analysis'!Q31-'Bank Liabilities Analysis'!R31</f>
        <v>269736162</v>
      </c>
      <c r="K32" s="284">
        <f t="shared" si="1"/>
        <v>347524120</v>
      </c>
      <c r="L32" s="285">
        <v>0.05</v>
      </c>
      <c r="M32" s="286">
        <f>+K32*L32</f>
        <v>17376206</v>
      </c>
      <c r="N32" s="288"/>
      <c r="O32" s="288"/>
      <c r="P32" s="288"/>
    </row>
    <row r="33" spans="1:16" s="290" customFormat="1" ht="25.5" customHeight="1">
      <c r="A33" s="282" t="s">
        <v>139</v>
      </c>
      <c r="B33" s="283" t="s">
        <v>404</v>
      </c>
      <c r="C33" s="284">
        <f>+'Bank Liabilities Analysis'!C32-'Bank Liabilities Analysis'!D32</f>
        <v>0</v>
      </c>
      <c r="D33" s="284">
        <f>+'Bank Liabilities Analysis'!E32-'Bank Liabilities Analysis'!F32</f>
        <v>0</v>
      </c>
      <c r="E33" s="284">
        <f>+'Bank Liabilities Analysis'!G32-'Bank Liabilities Analysis'!H32</f>
        <v>0</v>
      </c>
      <c r="F33" s="284">
        <f>+'Bank Liabilities Analysis'!I32-'Bank Liabilities Analysis'!J32</f>
        <v>0</v>
      </c>
      <c r="G33" s="284">
        <f>+'Bank Liabilities Analysis'!K32-'Bank Liabilities Analysis'!L32</f>
        <v>0</v>
      </c>
      <c r="H33" s="284">
        <f>+'Bank Liabilities Analysis'!M32-'Bank Liabilities Analysis'!N32</f>
        <v>0</v>
      </c>
      <c r="I33" s="284">
        <f>+'Bank Liabilities Analysis'!O32-'Bank Liabilities Analysis'!P32</f>
        <v>0</v>
      </c>
      <c r="J33" s="284">
        <f>+'Bank Liabilities Analysis'!Q32-'Bank Liabilities Analysis'!R32</f>
        <v>0</v>
      </c>
      <c r="K33" s="284">
        <f t="shared" si="1"/>
        <v>0</v>
      </c>
      <c r="L33" s="285">
        <v>1</v>
      </c>
      <c r="M33" s="286">
        <f>(C33+D33+E33)*L33</f>
        <v>0</v>
      </c>
      <c r="N33" s="288"/>
      <c r="O33" s="288"/>
      <c r="P33" s="288"/>
    </row>
    <row r="34" spans="1:16" s="290" customFormat="1" ht="25.5" customHeight="1">
      <c r="A34" s="282" t="s">
        <v>442</v>
      </c>
      <c r="B34" s="283" t="s">
        <v>377</v>
      </c>
      <c r="C34" s="284">
        <f>+'Bank Liabilities Analysis'!C33-'Bank Liabilities Analysis'!D33</f>
        <v>0</v>
      </c>
      <c r="D34" s="284">
        <f>+'Bank Liabilities Analysis'!E33-'Bank Liabilities Analysis'!F33</f>
        <v>0</v>
      </c>
      <c r="E34" s="284">
        <f>+'Bank Liabilities Analysis'!G33-'Bank Liabilities Analysis'!H33</f>
        <v>0</v>
      </c>
      <c r="F34" s="284">
        <f>+'Bank Liabilities Analysis'!I33-'Bank Liabilities Analysis'!J33</f>
        <v>0</v>
      </c>
      <c r="G34" s="284">
        <f>+'Bank Liabilities Analysis'!K33-'Bank Liabilities Analysis'!L33</f>
        <v>0</v>
      </c>
      <c r="H34" s="284">
        <f>+'Bank Liabilities Analysis'!M33-'Bank Liabilities Analysis'!N33</f>
        <v>0</v>
      </c>
      <c r="I34" s="284">
        <f>+'Bank Liabilities Analysis'!O33-'Bank Liabilities Analysis'!P33</f>
        <v>0</v>
      </c>
      <c r="J34" s="284">
        <f>+'Bank Liabilities Analysis'!Q33-'Bank Liabilities Analysis'!R33</f>
        <v>0</v>
      </c>
      <c r="K34" s="284">
        <f t="shared" si="1"/>
        <v>0</v>
      </c>
      <c r="L34" s="285">
        <v>1</v>
      </c>
      <c r="M34" s="286">
        <f>(C34+D34+E34)*L34</f>
        <v>0</v>
      </c>
      <c r="N34" s="288"/>
      <c r="O34" s="288"/>
      <c r="P34" s="288"/>
    </row>
    <row r="35" spans="1:16" s="290" customFormat="1" ht="25.5" customHeight="1">
      <c r="A35" s="282" t="s">
        <v>141</v>
      </c>
      <c r="B35" s="283" t="s">
        <v>181</v>
      </c>
      <c r="C35" s="284">
        <f>+'Bank Liabilities Analysis'!C34-'Bank Liabilities Analysis'!D34</f>
        <v>0</v>
      </c>
      <c r="D35" s="284">
        <f>+'Bank Liabilities Analysis'!E34-'Bank Liabilities Analysis'!F34</f>
        <v>0</v>
      </c>
      <c r="E35" s="284">
        <f>+'Bank Liabilities Analysis'!G34-'Bank Liabilities Analysis'!H34</f>
        <v>54648356</v>
      </c>
      <c r="F35" s="284">
        <f>+'Bank Liabilities Analysis'!I34-'Bank Liabilities Analysis'!J34</f>
        <v>364556318</v>
      </c>
      <c r="G35" s="284">
        <f>+'Bank Liabilities Analysis'!K34-'Bank Liabilities Analysis'!L34</f>
        <v>0</v>
      </c>
      <c r="H35" s="284">
        <f>+'Bank Liabilities Analysis'!M34-'Bank Liabilities Analysis'!N34</f>
        <v>0</v>
      </c>
      <c r="I35" s="284">
        <f>+'Bank Liabilities Analysis'!O34-'Bank Liabilities Analysis'!P34</f>
        <v>0</v>
      </c>
      <c r="J35" s="284">
        <f>+'Bank Liabilities Analysis'!Q34-'Bank Liabilities Analysis'!R34</f>
        <v>0</v>
      </c>
      <c r="K35" s="284">
        <f t="shared" si="1"/>
        <v>419204674</v>
      </c>
      <c r="L35" s="285">
        <v>1</v>
      </c>
      <c r="M35" s="286">
        <f>(C35+D35+E35)*L35</f>
        <v>54648356</v>
      </c>
      <c r="N35" s="288"/>
      <c r="O35" s="288"/>
      <c r="P35" s="288"/>
    </row>
    <row r="36" spans="1:16" s="290" customFormat="1" ht="33.75" customHeight="1">
      <c r="A36" s="282" t="s">
        <v>143</v>
      </c>
      <c r="B36" s="283" t="s">
        <v>183</v>
      </c>
      <c r="C36" s="284">
        <f>+'Bank Liabilities Analysis'!C35-'Bank Liabilities Analysis'!D35</f>
        <v>0</v>
      </c>
      <c r="D36" s="284">
        <f>+'Bank Liabilities Analysis'!E35-'Bank Liabilities Analysis'!F35</f>
        <v>0</v>
      </c>
      <c r="E36" s="284">
        <f>+'Bank Liabilities Analysis'!G35-'Bank Liabilities Analysis'!H35</f>
        <v>0</v>
      </c>
      <c r="F36" s="284">
        <f>+'Bank Liabilities Analysis'!I35-'Bank Liabilities Analysis'!J35</f>
        <v>0</v>
      </c>
      <c r="G36" s="284">
        <f>+'Bank Liabilities Analysis'!K35-'Bank Liabilities Analysis'!L35</f>
        <v>0</v>
      </c>
      <c r="H36" s="284">
        <f>+'Bank Liabilities Analysis'!M35-'Bank Liabilities Analysis'!N35</f>
        <v>0</v>
      </c>
      <c r="I36" s="284">
        <f>+'Bank Liabilities Analysis'!O35-'Bank Liabilities Analysis'!P35</f>
        <v>0</v>
      </c>
      <c r="J36" s="284">
        <f>+'Bank Liabilities Analysis'!Q35-'Bank Liabilities Analysis'!R35</f>
        <v>0</v>
      </c>
      <c r="K36" s="284">
        <f t="shared" si="1"/>
        <v>0</v>
      </c>
      <c r="L36" s="285">
        <v>1</v>
      </c>
      <c r="M36" s="286">
        <f>+K36*L36</f>
        <v>0</v>
      </c>
      <c r="N36" s="288"/>
      <c r="O36" s="288"/>
      <c r="P36" s="288"/>
    </row>
    <row r="37" spans="1:16" s="290" customFormat="1" ht="25.5" customHeight="1">
      <c r="A37" s="282" t="s">
        <v>184</v>
      </c>
      <c r="B37" s="283" t="s">
        <v>185</v>
      </c>
      <c r="C37" s="284">
        <f>+'Bank Liabilities Analysis'!C36-'Bank Liabilities Analysis'!D36</f>
        <v>111880</v>
      </c>
      <c r="D37" s="284">
        <f>+'Bank Liabilities Analysis'!E36-'Bank Liabilities Analysis'!F36</f>
        <v>152</v>
      </c>
      <c r="E37" s="284">
        <f>+'Bank Liabilities Analysis'!G36-'Bank Liabilities Analysis'!H36</f>
        <v>0</v>
      </c>
      <c r="F37" s="284">
        <f>+'Bank Liabilities Analysis'!I36-'Bank Liabilities Analysis'!J36</f>
        <v>0</v>
      </c>
      <c r="G37" s="284">
        <f>+'Bank Liabilities Analysis'!K36-'Bank Liabilities Analysis'!L36</f>
        <v>0</v>
      </c>
      <c r="H37" s="284">
        <f>+'Bank Liabilities Analysis'!M36-'Bank Liabilities Analysis'!N36</f>
        <v>0</v>
      </c>
      <c r="I37" s="284">
        <f>+'Bank Liabilities Analysis'!O36-'Bank Liabilities Analysis'!P36</f>
        <v>0</v>
      </c>
      <c r="J37" s="284">
        <f>+'Bank Liabilities Analysis'!Q36-'Bank Liabilities Analysis'!R36</f>
        <v>0</v>
      </c>
      <c r="K37" s="284">
        <f t="shared" si="1"/>
        <v>112032</v>
      </c>
      <c r="L37" s="285">
        <v>1</v>
      </c>
      <c r="M37" s="286">
        <f>+K37*L37</f>
        <v>112032</v>
      </c>
      <c r="N37" s="288"/>
      <c r="O37" s="288"/>
      <c r="P37" s="288"/>
    </row>
    <row r="38" spans="1:16" s="290" customFormat="1" ht="25.5" customHeight="1">
      <c r="A38" s="282" t="s">
        <v>186</v>
      </c>
      <c r="B38" s="283" t="s">
        <v>161</v>
      </c>
      <c r="C38" s="284">
        <f>+'Bank Liabilities Analysis'!C37-'Bank Liabilities Analysis'!D37</f>
        <v>11201747</v>
      </c>
      <c r="D38" s="284">
        <f>+'Bank Liabilities Analysis'!E37-'Bank Liabilities Analysis'!F37</f>
        <v>15511</v>
      </c>
      <c r="E38" s="284">
        <f>+'Bank Liabilities Analysis'!G37-'Bank Liabilities Analysis'!H37</f>
        <v>5733</v>
      </c>
      <c r="F38" s="284">
        <f>+'Bank Liabilities Analysis'!I37-'Bank Liabilities Analysis'!J37</f>
        <v>769545</v>
      </c>
      <c r="G38" s="284">
        <f>+'Bank Liabilities Analysis'!K37-'Bank Liabilities Analysis'!L37</f>
        <v>681976</v>
      </c>
      <c r="H38" s="284">
        <f>+'Bank Liabilities Analysis'!M37-'Bank Liabilities Analysis'!N37</f>
        <v>2771974</v>
      </c>
      <c r="I38" s="284">
        <f>+'Bank Liabilities Analysis'!O37-'Bank Liabilities Analysis'!P37</f>
        <v>1274849</v>
      </c>
      <c r="J38" s="284">
        <f>+'Bank Liabilities Analysis'!Q37-'Bank Liabilities Analysis'!R37</f>
        <v>1115529</v>
      </c>
      <c r="K38" s="284">
        <f t="shared" si="1"/>
        <v>17836864</v>
      </c>
      <c r="L38" s="285"/>
      <c r="M38" s="439">
        <f>C38+D38+E38+((F38+G38+H38+I38+J38)*15%)</f>
        <v>12215071.949999999</v>
      </c>
      <c r="N38" s="288"/>
      <c r="O38" s="288"/>
      <c r="P38" s="288"/>
    </row>
    <row r="39" spans="1:16" s="290" customFormat="1" ht="25.5" customHeight="1">
      <c r="A39" s="282" t="s">
        <v>147</v>
      </c>
      <c r="B39" s="283" t="s">
        <v>187</v>
      </c>
      <c r="C39" s="284">
        <f>+'Bank Liabilities Analysis'!C38-'Bank Liabilities Analysis'!D38</f>
        <v>68475186</v>
      </c>
      <c r="D39" s="284">
        <f>+'Bank Liabilities Analysis'!E38-'Bank Liabilities Analysis'!F38</f>
        <v>13830063</v>
      </c>
      <c r="E39" s="284">
        <f>+'Bank Liabilities Analysis'!G38-'Bank Liabilities Analysis'!H38</f>
        <v>17557</v>
      </c>
      <c r="F39" s="284">
        <f>+'Bank Liabilities Analysis'!I38-'Bank Liabilities Analysis'!J38</f>
        <v>65937</v>
      </c>
      <c r="G39" s="284">
        <f>+'Bank Liabilities Analysis'!K38-'Bank Liabilities Analysis'!L38</f>
        <v>82778</v>
      </c>
      <c r="H39" s="284">
        <f>+'Bank Liabilities Analysis'!M38-'Bank Liabilities Analysis'!N38</f>
        <v>477421</v>
      </c>
      <c r="I39" s="284">
        <f>+'Bank Liabilities Analysis'!O38-'Bank Liabilities Analysis'!P38</f>
        <v>1087544</v>
      </c>
      <c r="J39" s="284">
        <f>+'Bank Liabilities Analysis'!Q38-'Bank Liabilities Analysis'!R38</f>
        <v>1953226</v>
      </c>
      <c r="K39" s="284">
        <f t="shared" si="1"/>
        <v>85989712</v>
      </c>
      <c r="L39" s="285">
        <v>1</v>
      </c>
      <c r="M39" s="286">
        <f>+K39*L39</f>
        <v>85989712</v>
      </c>
      <c r="N39" s="288"/>
      <c r="O39" s="288"/>
      <c r="P39" s="288"/>
    </row>
    <row r="40" spans="1:16" s="289" customFormat="1" ht="25.5" customHeight="1">
      <c r="A40" s="291" t="s">
        <v>149</v>
      </c>
      <c r="B40" s="292" t="s">
        <v>188</v>
      </c>
      <c r="C40" s="293">
        <f>+C23+C30+C31+C32+C33+C34+C35+C36+C37+C38+C39+C24+C25</f>
        <v>1771074800</v>
      </c>
      <c r="D40" s="293">
        <f t="shared" ref="D40:K40" si="6">+D23+D30+D31+D32+D33+D34+D35+D36+D37+D38+D39+D24+D25</f>
        <v>326600700</v>
      </c>
      <c r="E40" s="293">
        <f t="shared" si="6"/>
        <v>186404401</v>
      </c>
      <c r="F40" s="293">
        <f t="shared" si="6"/>
        <v>885233924</v>
      </c>
      <c r="G40" s="293">
        <f t="shared" si="6"/>
        <v>610889818</v>
      </c>
      <c r="H40" s="293">
        <f t="shared" si="6"/>
        <v>712446593</v>
      </c>
      <c r="I40" s="293">
        <f t="shared" si="6"/>
        <v>899174851</v>
      </c>
      <c r="J40" s="293">
        <f t="shared" si="6"/>
        <v>643771064</v>
      </c>
      <c r="K40" s="293">
        <f t="shared" si="6"/>
        <v>6035596151</v>
      </c>
      <c r="L40" s="293" t="s">
        <v>27</v>
      </c>
      <c r="M40" s="293">
        <f>SUM(M9:M39)</f>
        <v>900358137.95000005</v>
      </c>
      <c r="N40" s="456">
        <f>+Balance!D62</f>
        <v>6035596151</v>
      </c>
      <c r="O40" s="288"/>
      <c r="P40" s="288"/>
    </row>
    <row r="41" spans="1:16" s="47" customFormat="1" ht="15.75">
      <c r="A41" s="180"/>
      <c r="B41" s="73" t="s">
        <v>337</v>
      </c>
      <c r="C41" s="30"/>
      <c r="D41" s="30"/>
      <c r="E41" s="30"/>
      <c r="F41" s="30"/>
      <c r="G41" s="30"/>
      <c r="H41" s="30"/>
      <c r="I41" s="30"/>
      <c r="J41" s="30"/>
      <c r="K41" s="30">
        <f t="shared" ref="K41:K56" si="7">+C41+D41+E41+F41+G41+H41+I41+J41</f>
        <v>0</v>
      </c>
      <c r="L41" s="24"/>
      <c r="M41" s="24"/>
      <c r="N41" s="294">
        <f>+Balance!C63</f>
        <v>0</v>
      </c>
      <c r="O41" s="288"/>
      <c r="P41" s="288"/>
    </row>
    <row r="42" spans="1:16" s="47" customFormat="1" ht="15.75">
      <c r="A42" s="180"/>
      <c r="B42" s="36" t="s">
        <v>338</v>
      </c>
      <c r="C42" s="30">
        <f>+C43+C44</f>
        <v>255916</v>
      </c>
      <c r="D42" s="30">
        <f t="shared" ref="D42:J42" si="8">+D43+D44</f>
        <v>305200000</v>
      </c>
      <c r="E42" s="30">
        <f t="shared" si="8"/>
        <v>100000000</v>
      </c>
      <c r="F42" s="30">
        <f t="shared" si="8"/>
        <v>0</v>
      </c>
      <c r="G42" s="30">
        <f t="shared" si="8"/>
        <v>485500000</v>
      </c>
      <c r="H42" s="30">
        <f t="shared" si="8"/>
        <v>360000000</v>
      </c>
      <c r="I42" s="30">
        <f t="shared" si="8"/>
        <v>0</v>
      </c>
      <c r="J42" s="30">
        <f t="shared" si="8"/>
        <v>39393000</v>
      </c>
      <c r="K42" s="30">
        <f t="shared" si="7"/>
        <v>1290348916</v>
      </c>
      <c r="L42" s="30"/>
      <c r="M42" s="30"/>
      <c r="N42" s="294"/>
      <c r="O42" s="288"/>
      <c r="P42" s="288"/>
    </row>
    <row r="43" spans="1:16" s="47" customFormat="1" ht="15.75" customHeight="1">
      <c r="A43" s="180"/>
      <c r="B43" s="37" t="s">
        <v>293</v>
      </c>
      <c r="C43" s="30">
        <f>+'Bank Liabilities Analysis'!C42-'Bank Liabilities Analysis'!D42</f>
        <v>0</v>
      </c>
      <c r="D43" s="30">
        <f>+'Bank Liabilities Analysis'!E42-'Bank Liabilities Analysis'!F42</f>
        <v>200000</v>
      </c>
      <c r="E43" s="30">
        <f>+'Bank Liabilities Analysis'!G42-'Bank Liabilities Analysis'!H42</f>
        <v>0</v>
      </c>
      <c r="F43" s="30">
        <f>+'Bank Liabilities Analysis'!I42-'Bank Liabilities Analysis'!J42</f>
        <v>0</v>
      </c>
      <c r="G43" s="30">
        <f>+'Bank Liabilities Analysis'!K42-'Bank Liabilities Analysis'!L42</f>
        <v>0</v>
      </c>
      <c r="H43" s="30">
        <f>+'Bank Liabilities Analysis'!M42-'Bank Liabilities Analysis'!N42</f>
        <v>0</v>
      </c>
      <c r="I43" s="30">
        <f>+'Bank Liabilities Analysis'!O42-'Bank Liabilities Analysis'!P42</f>
        <v>0</v>
      </c>
      <c r="J43" s="30">
        <f>+'Bank Liabilities Analysis'!Q42-'Bank Liabilities Analysis'!R42</f>
        <v>38593000</v>
      </c>
      <c r="K43" s="30">
        <f t="shared" si="7"/>
        <v>38793000</v>
      </c>
      <c r="L43" s="24"/>
      <c r="M43" s="24"/>
      <c r="N43" s="294"/>
      <c r="O43" s="288"/>
      <c r="P43" s="288"/>
    </row>
    <row r="44" spans="1:16" s="47" customFormat="1" ht="15.75" customHeight="1">
      <c r="A44" s="180"/>
      <c r="B44" s="37" t="s">
        <v>339</v>
      </c>
      <c r="C44" s="30">
        <f>+'Bank Liabilities Analysis'!C43-'Bank Liabilities Analysis'!D43</f>
        <v>255916</v>
      </c>
      <c r="D44" s="30">
        <f>+'Bank Liabilities Analysis'!E43-'Bank Liabilities Analysis'!F43</f>
        <v>305000000</v>
      </c>
      <c r="E44" s="30">
        <f>+'Bank Liabilities Analysis'!G43-'Bank Liabilities Analysis'!H43</f>
        <v>100000000</v>
      </c>
      <c r="F44" s="30">
        <f>+'Bank Liabilities Analysis'!I43-'Bank Liabilities Analysis'!J43</f>
        <v>0</v>
      </c>
      <c r="G44" s="30">
        <f>+'Bank Liabilities Analysis'!K43-'Bank Liabilities Analysis'!L43</f>
        <v>485500000</v>
      </c>
      <c r="H44" s="30">
        <f>+'Bank Liabilities Analysis'!M43-'Bank Liabilities Analysis'!N43</f>
        <v>360000000</v>
      </c>
      <c r="I44" s="30">
        <f>+'Bank Liabilities Analysis'!O43-'Bank Liabilities Analysis'!P43</f>
        <v>0</v>
      </c>
      <c r="J44" s="30">
        <f>+'Bank Liabilities Analysis'!Q43-'Bank Liabilities Analysis'!R43</f>
        <v>800000</v>
      </c>
      <c r="K44" s="30">
        <f t="shared" si="7"/>
        <v>1251555916</v>
      </c>
      <c r="L44" s="24"/>
      <c r="M44" s="24"/>
      <c r="N44" s="294"/>
      <c r="O44" s="288"/>
      <c r="P44" s="288"/>
    </row>
    <row r="45" spans="1:16" s="47" customFormat="1" ht="15.75" customHeight="1">
      <c r="A45" s="180"/>
      <c r="B45" s="36" t="s">
        <v>340</v>
      </c>
      <c r="C45" s="30">
        <f>+C46+C47</f>
        <v>0</v>
      </c>
      <c r="D45" s="30">
        <f t="shared" ref="D45:J45" si="9">+D46+D47</f>
        <v>0</v>
      </c>
      <c r="E45" s="30">
        <f t="shared" si="9"/>
        <v>0</v>
      </c>
      <c r="F45" s="30">
        <f t="shared" si="9"/>
        <v>0</v>
      </c>
      <c r="G45" s="30">
        <f t="shared" si="9"/>
        <v>0</v>
      </c>
      <c r="H45" s="30">
        <f t="shared" si="9"/>
        <v>0</v>
      </c>
      <c r="I45" s="30">
        <f t="shared" si="9"/>
        <v>0</v>
      </c>
      <c r="J45" s="30">
        <f t="shared" si="9"/>
        <v>0</v>
      </c>
      <c r="K45" s="30">
        <f t="shared" si="7"/>
        <v>0</v>
      </c>
      <c r="L45" s="30"/>
      <c r="M45" s="30"/>
      <c r="N45" s="294"/>
      <c r="O45" s="288"/>
      <c r="P45" s="288"/>
    </row>
    <row r="46" spans="1:16" s="47" customFormat="1" ht="15.75" customHeight="1">
      <c r="A46" s="180"/>
      <c r="B46" s="37" t="s">
        <v>293</v>
      </c>
      <c r="C46" s="30">
        <f>+'Bank Liabilities Analysis'!C45-'Bank Liabilities Analysis'!D45</f>
        <v>0</v>
      </c>
      <c r="D46" s="30">
        <f>+'Bank Liabilities Analysis'!E45-'Bank Liabilities Analysis'!F45</f>
        <v>0</v>
      </c>
      <c r="E46" s="30">
        <f>+'Bank Liabilities Analysis'!G45-'Bank Liabilities Analysis'!H45</f>
        <v>0</v>
      </c>
      <c r="F46" s="30">
        <f>+'Bank Liabilities Analysis'!I45-'Bank Liabilities Analysis'!J45</f>
        <v>0</v>
      </c>
      <c r="G46" s="30">
        <f>+'Bank Liabilities Analysis'!K45-'Bank Liabilities Analysis'!L45</f>
        <v>0</v>
      </c>
      <c r="H46" s="30">
        <f>+'Bank Liabilities Analysis'!M45-'Bank Liabilities Analysis'!N45</f>
        <v>0</v>
      </c>
      <c r="I46" s="30">
        <f>+'Bank Liabilities Analysis'!O45-'Bank Liabilities Analysis'!P45</f>
        <v>0</v>
      </c>
      <c r="J46" s="30">
        <f>+'Bank Liabilities Analysis'!Q45-'Bank Liabilities Analysis'!R45</f>
        <v>0</v>
      </c>
      <c r="K46" s="30">
        <f t="shared" si="7"/>
        <v>0</v>
      </c>
      <c r="L46" s="24"/>
      <c r="M46" s="24"/>
      <c r="N46" s="294"/>
      <c r="O46" s="288"/>
      <c r="P46" s="288"/>
    </row>
    <row r="47" spans="1:16" s="47" customFormat="1" ht="15.75" customHeight="1">
      <c r="A47" s="183"/>
      <c r="B47" s="37" t="s">
        <v>339</v>
      </c>
      <c r="C47" s="30">
        <f>+'Bank Liabilities Analysis'!C46-'Bank Liabilities Analysis'!D46</f>
        <v>0</v>
      </c>
      <c r="D47" s="30">
        <f>+'Bank Liabilities Analysis'!E46-'Bank Liabilities Analysis'!F46</f>
        <v>0</v>
      </c>
      <c r="E47" s="30">
        <f>+'Bank Liabilities Analysis'!G46-'Bank Liabilities Analysis'!H46</f>
        <v>0</v>
      </c>
      <c r="F47" s="30">
        <f>+'Bank Liabilities Analysis'!I46-'Bank Liabilities Analysis'!J46</f>
        <v>0</v>
      </c>
      <c r="G47" s="30">
        <f>+'Bank Liabilities Analysis'!K46-'Bank Liabilities Analysis'!L46</f>
        <v>0</v>
      </c>
      <c r="H47" s="30">
        <f>+'Bank Liabilities Analysis'!M46-'Bank Liabilities Analysis'!N46</f>
        <v>0</v>
      </c>
      <c r="I47" s="30">
        <f>+'Bank Liabilities Analysis'!O46-'Bank Liabilities Analysis'!P46</f>
        <v>0</v>
      </c>
      <c r="J47" s="30">
        <f>+'Bank Liabilities Analysis'!Q46-'Bank Liabilities Analysis'!R46</f>
        <v>0</v>
      </c>
      <c r="K47" s="30">
        <f t="shared" si="7"/>
        <v>0</v>
      </c>
      <c r="L47" s="24"/>
      <c r="M47" s="24"/>
      <c r="N47" s="294"/>
      <c r="O47" s="288"/>
      <c r="P47" s="288"/>
    </row>
    <row r="48" spans="1:16" s="47" customFormat="1" ht="15.75">
      <c r="A48" s="183"/>
      <c r="B48" s="36" t="s">
        <v>341</v>
      </c>
      <c r="C48" s="30">
        <f>+C49+C50</f>
        <v>0</v>
      </c>
      <c r="D48" s="30">
        <f t="shared" ref="D48:J48" si="10">+D49+D50</f>
        <v>0</v>
      </c>
      <c r="E48" s="30">
        <f t="shared" si="10"/>
        <v>0</v>
      </c>
      <c r="F48" s="30">
        <f t="shared" si="10"/>
        <v>0</v>
      </c>
      <c r="G48" s="30">
        <f t="shared" si="10"/>
        <v>0</v>
      </c>
      <c r="H48" s="30">
        <f t="shared" si="10"/>
        <v>0</v>
      </c>
      <c r="I48" s="30">
        <f t="shared" si="10"/>
        <v>0</v>
      </c>
      <c r="J48" s="30">
        <f t="shared" si="10"/>
        <v>0</v>
      </c>
      <c r="K48" s="30">
        <f t="shared" si="7"/>
        <v>0</v>
      </c>
      <c r="L48" s="30"/>
      <c r="M48" s="30"/>
      <c r="N48" s="294"/>
      <c r="O48" s="288"/>
      <c r="P48" s="288"/>
    </row>
    <row r="49" spans="1:16" s="47" customFormat="1" ht="15.75" customHeight="1">
      <c r="A49" s="183"/>
      <c r="B49" s="37" t="s">
        <v>293</v>
      </c>
      <c r="C49" s="30">
        <f>+'Bank Liabilities Analysis'!C48-'Bank Liabilities Analysis'!D48</f>
        <v>0</v>
      </c>
      <c r="D49" s="30">
        <f>+'Bank Liabilities Analysis'!E48-'Bank Liabilities Analysis'!F48</f>
        <v>0</v>
      </c>
      <c r="E49" s="30">
        <f>+'Bank Liabilities Analysis'!G48-'Bank Liabilities Analysis'!H48</f>
        <v>0</v>
      </c>
      <c r="F49" s="30">
        <f>+'Bank Liabilities Analysis'!I48-'Bank Liabilities Analysis'!J48</f>
        <v>0</v>
      </c>
      <c r="G49" s="30">
        <f>+'Bank Liabilities Analysis'!K48-'Bank Liabilities Analysis'!L48</f>
        <v>0</v>
      </c>
      <c r="H49" s="30">
        <f>+'Bank Liabilities Analysis'!M48-'Bank Liabilities Analysis'!N48</f>
        <v>0</v>
      </c>
      <c r="I49" s="30">
        <f>+'Bank Liabilities Analysis'!O48-'Bank Liabilities Analysis'!P48</f>
        <v>0</v>
      </c>
      <c r="J49" s="30">
        <f>+'Bank Liabilities Analysis'!Q48-'Bank Liabilities Analysis'!R48</f>
        <v>0</v>
      </c>
      <c r="K49" s="30">
        <f t="shared" si="7"/>
        <v>0</v>
      </c>
      <c r="L49" s="24"/>
      <c r="M49" s="24"/>
      <c r="N49" s="294"/>
      <c r="O49" s="288"/>
      <c r="P49" s="288"/>
    </row>
    <row r="50" spans="1:16" s="47" customFormat="1" ht="15.75" customHeight="1">
      <c r="A50" s="183"/>
      <c r="B50" s="37" t="s">
        <v>339</v>
      </c>
      <c r="C50" s="30">
        <f>+'Bank Liabilities Analysis'!C49-'Bank Liabilities Analysis'!D49</f>
        <v>0</v>
      </c>
      <c r="D50" s="30">
        <f>+'Bank Liabilities Analysis'!E49-'Bank Liabilities Analysis'!F49</f>
        <v>0</v>
      </c>
      <c r="E50" s="30">
        <f>+'Bank Liabilities Analysis'!G49-'Bank Liabilities Analysis'!H49</f>
        <v>0</v>
      </c>
      <c r="F50" s="30">
        <f>+'Bank Liabilities Analysis'!I49-'Bank Liabilities Analysis'!J49</f>
        <v>0</v>
      </c>
      <c r="G50" s="30">
        <f>+'Bank Liabilities Analysis'!K49-'Bank Liabilities Analysis'!L49</f>
        <v>0</v>
      </c>
      <c r="H50" s="30">
        <f>+'Bank Liabilities Analysis'!M49-'Bank Liabilities Analysis'!N49</f>
        <v>0</v>
      </c>
      <c r="I50" s="30">
        <f>+'Bank Liabilities Analysis'!O49-'Bank Liabilities Analysis'!P49</f>
        <v>0</v>
      </c>
      <c r="J50" s="30">
        <f>+'Bank Liabilities Analysis'!Q49-'Bank Liabilities Analysis'!R49</f>
        <v>0</v>
      </c>
      <c r="K50" s="30">
        <f t="shared" si="7"/>
        <v>0</v>
      </c>
      <c r="L50" s="24"/>
      <c r="M50" s="24"/>
      <c r="N50" s="294"/>
      <c r="O50" s="288"/>
      <c r="P50" s="288"/>
    </row>
    <row r="51" spans="1:16" s="47" customFormat="1" ht="15.75" customHeight="1">
      <c r="A51" s="183"/>
      <c r="B51" s="36" t="s">
        <v>342</v>
      </c>
      <c r="C51" s="30">
        <f>+C52+C53</f>
        <v>0</v>
      </c>
      <c r="D51" s="30">
        <f t="shared" ref="D51:J51" si="11">+D52+D53</f>
        <v>0</v>
      </c>
      <c r="E51" s="30">
        <f t="shared" si="11"/>
        <v>0</v>
      </c>
      <c r="F51" s="30">
        <f t="shared" si="11"/>
        <v>0</v>
      </c>
      <c r="G51" s="30">
        <f t="shared" si="11"/>
        <v>0</v>
      </c>
      <c r="H51" s="30">
        <f t="shared" si="11"/>
        <v>0</v>
      </c>
      <c r="I51" s="30">
        <f t="shared" si="11"/>
        <v>0</v>
      </c>
      <c r="J51" s="30">
        <f t="shared" si="11"/>
        <v>0</v>
      </c>
      <c r="K51" s="30">
        <f t="shared" si="7"/>
        <v>0</v>
      </c>
      <c r="L51" s="30"/>
      <c r="M51" s="30"/>
      <c r="N51" s="294"/>
      <c r="O51" s="288"/>
      <c r="P51" s="288"/>
    </row>
    <row r="52" spans="1:16" s="47" customFormat="1" ht="15.75" customHeight="1">
      <c r="A52" s="183"/>
      <c r="B52" s="37" t="s">
        <v>293</v>
      </c>
      <c r="C52" s="30">
        <f>+'Bank Liabilities Analysis'!C51-'Bank Liabilities Analysis'!D51</f>
        <v>0</v>
      </c>
      <c r="D52" s="30">
        <f>+'Bank Liabilities Analysis'!E51-'Bank Liabilities Analysis'!F51</f>
        <v>0</v>
      </c>
      <c r="E52" s="30">
        <f>+'Bank Liabilities Analysis'!G51-'Bank Liabilities Analysis'!H51</f>
        <v>0</v>
      </c>
      <c r="F52" s="30">
        <f>+'Bank Liabilities Analysis'!I51-'Bank Liabilities Analysis'!J51</f>
        <v>0</v>
      </c>
      <c r="G52" s="30">
        <f>+'Bank Liabilities Analysis'!K51-'Bank Liabilities Analysis'!L51</f>
        <v>0</v>
      </c>
      <c r="H52" s="30">
        <f>+'Bank Liabilities Analysis'!M51-'Bank Liabilities Analysis'!N51</f>
        <v>0</v>
      </c>
      <c r="I52" s="30">
        <f>+'Bank Liabilities Analysis'!O51-'Bank Liabilities Analysis'!P51</f>
        <v>0</v>
      </c>
      <c r="J52" s="30">
        <f>+'Bank Liabilities Analysis'!Q51-'Bank Liabilities Analysis'!R51</f>
        <v>0</v>
      </c>
      <c r="K52" s="30">
        <f t="shared" si="7"/>
        <v>0</v>
      </c>
      <c r="L52" s="24"/>
      <c r="M52" s="24"/>
      <c r="N52" s="294"/>
      <c r="O52" s="288"/>
      <c r="P52" s="288"/>
    </row>
    <row r="53" spans="1:16" s="47" customFormat="1" ht="15.75" customHeight="1">
      <c r="A53" s="183"/>
      <c r="B53" s="37" t="s">
        <v>339</v>
      </c>
      <c r="C53" s="30">
        <f>+'Bank Liabilities Analysis'!C52-'Bank Liabilities Analysis'!D52</f>
        <v>0</v>
      </c>
      <c r="D53" s="30">
        <f>+'Bank Liabilities Analysis'!E52-'Bank Liabilities Analysis'!F52</f>
        <v>0</v>
      </c>
      <c r="E53" s="30">
        <f>+'Bank Liabilities Analysis'!G52-'Bank Liabilities Analysis'!H52</f>
        <v>0</v>
      </c>
      <c r="F53" s="30">
        <f>+'Bank Liabilities Analysis'!I52-'Bank Liabilities Analysis'!J52</f>
        <v>0</v>
      </c>
      <c r="G53" s="30">
        <f>+'Bank Liabilities Analysis'!K52-'Bank Liabilities Analysis'!L52</f>
        <v>0</v>
      </c>
      <c r="H53" s="30">
        <f>+'Bank Liabilities Analysis'!M52-'Bank Liabilities Analysis'!N52</f>
        <v>0</v>
      </c>
      <c r="I53" s="30">
        <f>+'Bank Liabilities Analysis'!O52-'Bank Liabilities Analysis'!P52</f>
        <v>0</v>
      </c>
      <c r="J53" s="30">
        <f>+'Bank Liabilities Analysis'!Q52-'Bank Liabilities Analysis'!R52</f>
        <v>0</v>
      </c>
      <c r="K53" s="30">
        <f t="shared" si="7"/>
        <v>0</v>
      </c>
      <c r="L53" s="24"/>
      <c r="M53" s="24"/>
      <c r="N53" s="294"/>
      <c r="O53" s="288"/>
      <c r="P53" s="288"/>
    </row>
    <row r="54" spans="1:16" s="47" customFormat="1" ht="15.75" customHeight="1">
      <c r="A54" s="183"/>
      <c r="B54" s="36" t="s">
        <v>343</v>
      </c>
      <c r="C54" s="30">
        <f>+C55+C56</f>
        <v>0</v>
      </c>
      <c r="D54" s="30">
        <f t="shared" ref="D54:J54" si="12">+D55+D56</f>
        <v>0</v>
      </c>
      <c r="E54" s="30">
        <f t="shared" si="12"/>
        <v>0</v>
      </c>
      <c r="F54" s="30">
        <f t="shared" si="12"/>
        <v>0</v>
      </c>
      <c r="G54" s="30">
        <f t="shared" si="12"/>
        <v>0</v>
      </c>
      <c r="H54" s="30">
        <f t="shared" si="12"/>
        <v>51578100</v>
      </c>
      <c r="I54" s="30">
        <f t="shared" si="12"/>
        <v>0</v>
      </c>
      <c r="J54" s="30">
        <f t="shared" si="12"/>
        <v>0</v>
      </c>
      <c r="K54" s="30">
        <f t="shared" si="7"/>
        <v>51578100</v>
      </c>
      <c r="L54" s="30"/>
      <c r="M54" s="30"/>
      <c r="N54" s="294"/>
      <c r="O54" s="288"/>
      <c r="P54" s="288"/>
    </row>
    <row r="55" spans="1:16" s="47" customFormat="1" ht="15.75" customHeight="1">
      <c r="A55" s="183"/>
      <c r="B55" s="37" t="s">
        <v>293</v>
      </c>
      <c r="C55" s="30">
        <f>+'Bank Liabilities Analysis'!C54-'Bank Liabilities Analysis'!D54</f>
        <v>0</v>
      </c>
      <c r="D55" s="30">
        <f>+'Bank Liabilities Analysis'!E54-'Bank Liabilities Analysis'!F54</f>
        <v>0</v>
      </c>
      <c r="E55" s="30">
        <f>+'Bank Liabilities Analysis'!G54-'Bank Liabilities Analysis'!H54</f>
        <v>0</v>
      </c>
      <c r="F55" s="30">
        <f>+'Bank Liabilities Analysis'!I54-'Bank Liabilities Analysis'!J54</f>
        <v>0</v>
      </c>
      <c r="G55" s="30">
        <f>+'Bank Liabilities Analysis'!K54-'Bank Liabilities Analysis'!L54</f>
        <v>0</v>
      </c>
      <c r="H55" s="30">
        <f>+'Bank Liabilities Analysis'!M54-'Bank Liabilities Analysis'!N54</f>
        <v>51578100</v>
      </c>
      <c r="I55" s="30">
        <f>+'Bank Liabilities Analysis'!O54-'Bank Liabilities Analysis'!P54</f>
        <v>0</v>
      </c>
      <c r="J55" s="30">
        <f>+'Bank Liabilities Analysis'!Q54-'Bank Liabilities Analysis'!R54</f>
        <v>0</v>
      </c>
      <c r="K55" s="30">
        <f t="shared" si="7"/>
        <v>51578100</v>
      </c>
      <c r="L55" s="24"/>
      <c r="M55" s="24"/>
      <c r="N55" s="294"/>
      <c r="O55" s="288"/>
      <c r="P55" s="288"/>
    </row>
    <row r="56" spans="1:16" s="47" customFormat="1" ht="15.75" customHeight="1">
      <c r="A56" s="183"/>
      <c r="B56" s="37" t="s">
        <v>339</v>
      </c>
      <c r="C56" s="30">
        <f>+'Bank Liabilities Analysis'!C55-'Bank Liabilities Analysis'!D55</f>
        <v>0</v>
      </c>
      <c r="D56" s="30">
        <f>+'Bank Liabilities Analysis'!E55-'Bank Liabilities Analysis'!F55</f>
        <v>0</v>
      </c>
      <c r="E56" s="30">
        <f>+'Bank Liabilities Analysis'!G55-'Bank Liabilities Analysis'!H55</f>
        <v>0</v>
      </c>
      <c r="F56" s="30">
        <f>+'Bank Liabilities Analysis'!I55-'Bank Liabilities Analysis'!J55</f>
        <v>0</v>
      </c>
      <c r="G56" s="30">
        <f>+'Bank Liabilities Analysis'!K55-'Bank Liabilities Analysis'!L55</f>
        <v>0</v>
      </c>
      <c r="H56" s="30">
        <f>+'Bank Liabilities Analysis'!M55-'Bank Liabilities Analysis'!N55</f>
        <v>0</v>
      </c>
      <c r="I56" s="30">
        <f>+'Bank Liabilities Analysis'!O55-'Bank Liabilities Analysis'!P55</f>
        <v>0</v>
      </c>
      <c r="J56" s="30">
        <f>+'Bank Liabilities Analysis'!Q55-'Bank Liabilities Analysis'!R55</f>
        <v>0</v>
      </c>
      <c r="K56" s="30">
        <f t="shared" si="7"/>
        <v>0</v>
      </c>
      <c r="L56" s="24"/>
      <c r="M56" s="24"/>
      <c r="N56" s="294"/>
      <c r="O56" s="288"/>
      <c r="P56" s="288"/>
    </row>
    <row r="57" spans="1:16" ht="15.75">
      <c r="N57" s="294"/>
      <c r="O57" s="288"/>
      <c r="P57" s="288"/>
    </row>
    <row r="58" spans="1:16" ht="15.75">
      <c r="B58" s="6" t="s">
        <v>4</v>
      </c>
      <c r="O58" s="288"/>
      <c r="P58" s="288"/>
    </row>
    <row r="59" spans="1:16" ht="15.75">
      <c r="O59" s="288"/>
      <c r="P59" s="288"/>
    </row>
    <row r="60" spans="1:16" ht="15.75">
      <c r="B60" s="6" t="s">
        <v>5</v>
      </c>
      <c r="O60" s="288"/>
      <c r="P60" s="288"/>
    </row>
  </sheetData>
  <sheetProtection algorithmName="SHA-512" hashValue="jv/3t1odASnil5e6VRZS5iNkbEl5yWpbPvRqpCIzusGNmgZt+PoS8dg/8fyAAYo5dTSyH31cCdHvzIhYKTfhLg==" saltValue="wR9U/V4DWRg6G9t8XyOlwQ==" spinCount="100000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K40">
    <cfRule type="cellIs" dxfId="11" priority="49" operator="notEqual">
      <formula>$N$40</formula>
    </cfRule>
  </conditionalFormatting>
  <conditionalFormatting sqref="L42:M56">
    <cfRule type="cellIs" dxfId="10" priority="2" operator="greaterThan">
      <formula>#REF!</formula>
    </cfRule>
  </conditionalFormatting>
  <dataValidations count="2">
    <dataValidation type="whole" operator="greaterThanOrEqual" allowBlank="1" showErrorMessage="1" error="Введите как целое положительное число." sqref="C9:J9 C15:J16" xr:uid="{00000000-0002-0000-0600-000000000000}">
      <formula1>0</formula1>
    </dataValidation>
    <dataValidation type="whole" operator="notEqual" allowBlank="1" showErrorMessage="1" error="Введите как целое число." sqref="C10:J14 C17:J22 C41:J56 C24:J39" xr:uid="{00000000-0002-0000-0600-000001000000}">
      <formula1>-1E+28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41" orientation="landscape" r:id="rId1"/>
  <headerFooter alignWithMargins="0"/>
  <ignoredErrors>
    <ignoredError sqref="M32:M39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9">
    <pageSetUpPr fitToPage="1"/>
  </sheetPr>
  <dimension ref="A1:E30"/>
  <sheetViews>
    <sheetView view="pageBreakPreview" zoomScale="70" zoomScaleNormal="85" zoomScaleSheetLayoutView="70" workbookViewId="0">
      <pane xSplit="2" ySplit="3" topLeftCell="C7" activePane="bottomRight" state="frozen"/>
      <selection activeCell="C71" sqref="C71"/>
      <selection pane="topRight" activeCell="C71" sqref="C71"/>
      <selection pane="bottomLeft" activeCell="C71" sqref="C71"/>
      <selection pane="bottomRight" activeCell="D5" sqref="D5"/>
    </sheetView>
  </sheetViews>
  <sheetFormatPr defaultRowHeight="12.75"/>
  <cols>
    <col min="1" max="1" width="5.85546875" style="60" customWidth="1"/>
    <col min="2" max="2" width="88.28515625" style="51" customWidth="1"/>
    <col min="3" max="4" width="17.7109375" style="51" customWidth="1"/>
    <col min="5" max="5" width="18.5703125" style="51" customWidth="1"/>
    <col min="6" max="6" width="6.42578125" style="51" customWidth="1"/>
    <col min="7" max="16384" width="9.140625" style="51"/>
  </cols>
  <sheetData>
    <row r="1" spans="1:5" s="50" customFormat="1" ht="32.25" customHeight="1">
      <c r="A1" s="566" t="s">
        <v>189</v>
      </c>
      <c r="B1" s="566"/>
      <c r="C1" s="566"/>
      <c r="D1" s="566"/>
      <c r="E1" s="49" t="s">
        <v>316</v>
      </c>
    </row>
    <row r="2" spans="1:5" ht="15.75">
      <c r="A2" s="49"/>
      <c r="B2" s="48" t="str">
        <f>Balance!B3</f>
        <v xml:space="preserve">АК "АЛОКАБАНК" </v>
      </c>
      <c r="C2" s="567" t="str">
        <f>+Balance!B2</f>
        <v xml:space="preserve"> 31 Декабрь, 2021</v>
      </c>
      <c r="D2" s="567"/>
      <c r="E2" s="177" t="str">
        <f>+Balance!E3</f>
        <v>тыс. сум</v>
      </c>
    </row>
    <row r="3" spans="1:5" s="50" customFormat="1" ht="53.25" customHeight="1">
      <c r="A3" s="225" t="s">
        <v>79</v>
      </c>
      <c r="B3" s="225" t="s">
        <v>6</v>
      </c>
      <c r="C3" s="225" t="s">
        <v>236</v>
      </c>
      <c r="D3" s="225" t="s">
        <v>237</v>
      </c>
      <c r="E3" s="225" t="s">
        <v>238</v>
      </c>
    </row>
    <row r="4" spans="1:5" s="50" customFormat="1" ht="22.5" customHeight="1">
      <c r="A4" s="222" t="s">
        <v>239</v>
      </c>
      <c r="B4" s="62" t="s">
        <v>454</v>
      </c>
      <c r="C4" s="223">
        <f>+D4+E4</f>
        <v>724661970</v>
      </c>
      <c r="D4" s="224">
        <v>549477519</v>
      </c>
      <c r="E4" s="224">
        <v>175184451</v>
      </c>
    </row>
    <row r="5" spans="1:5" s="349" customFormat="1" ht="22.5" customHeight="1">
      <c r="A5" s="79" t="s">
        <v>453</v>
      </c>
      <c r="B5" s="347" t="s">
        <v>456</v>
      </c>
      <c r="C5" s="346">
        <f>+D5+E5</f>
        <v>11998262</v>
      </c>
      <c r="D5" s="348">
        <v>3081158</v>
      </c>
      <c r="E5" s="348">
        <v>8917104</v>
      </c>
    </row>
    <row r="6" spans="1:5" s="349" customFormat="1" ht="14.25" customHeight="1">
      <c r="A6" s="79"/>
      <c r="B6" s="350"/>
      <c r="C6" s="30"/>
      <c r="D6" s="30"/>
      <c r="E6" s="30"/>
    </row>
    <row r="7" spans="1:5" s="349" customFormat="1" ht="22.5" customHeight="1">
      <c r="A7" s="351" t="s">
        <v>240</v>
      </c>
      <c r="B7" s="347" t="s">
        <v>303</v>
      </c>
      <c r="C7" s="223">
        <f>+D7+E7</f>
        <v>243690220</v>
      </c>
      <c r="D7" s="352">
        <v>3031573</v>
      </c>
      <c r="E7" s="352">
        <v>240658647</v>
      </c>
    </row>
    <row r="8" spans="1:5" s="349" customFormat="1" ht="22.5" customHeight="1">
      <c r="A8" s="79" t="s">
        <v>352</v>
      </c>
      <c r="B8" s="347" t="s">
        <v>455</v>
      </c>
      <c r="C8" s="346">
        <f>+D8+E8</f>
        <v>0</v>
      </c>
      <c r="D8" s="352">
        <v>0</v>
      </c>
      <c r="E8" s="352">
        <v>0</v>
      </c>
    </row>
    <row r="9" spans="1:5" s="50" customFormat="1" ht="14.25" customHeight="1">
      <c r="A9" s="54"/>
      <c r="B9" s="53"/>
      <c r="C9" s="29"/>
      <c r="D9" s="29"/>
      <c r="E9" s="29"/>
    </row>
    <row r="10" spans="1:5" s="50" customFormat="1" ht="29.25" customHeight="1">
      <c r="A10" s="61" t="s">
        <v>253</v>
      </c>
      <c r="B10" s="62" t="s">
        <v>304</v>
      </c>
      <c r="C10" s="223">
        <f>+D10+E10</f>
        <v>573749357</v>
      </c>
      <c r="D10" s="63">
        <f>SUM(D11:D14)</f>
        <v>0</v>
      </c>
      <c r="E10" s="63">
        <f>SUM(E11:E14)</f>
        <v>573749357</v>
      </c>
    </row>
    <row r="11" spans="1:5" s="50" customFormat="1" ht="22.5" customHeight="1">
      <c r="A11" s="54" t="s">
        <v>294</v>
      </c>
      <c r="B11" s="55" t="s">
        <v>305</v>
      </c>
      <c r="C11" s="29">
        <f t="shared" ref="C11:C14" si="0">+D11+E11</f>
        <v>22833631</v>
      </c>
      <c r="D11" s="32">
        <v>0</v>
      </c>
      <c r="E11" s="32">
        <v>22833631</v>
      </c>
    </row>
    <row r="12" spans="1:5" s="50" customFormat="1" ht="22.5" customHeight="1">
      <c r="A12" s="54" t="s">
        <v>295</v>
      </c>
      <c r="B12" s="55" t="s">
        <v>306</v>
      </c>
      <c r="C12" s="29">
        <f t="shared" si="0"/>
        <v>16326927</v>
      </c>
      <c r="D12" s="455">
        <v>0</v>
      </c>
      <c r="E12" s="455">
        <v>16326927</v>
      </c>
    </row>
    <row r="13" spans="1:5" s="50" customFormat="1" ht="22.5" customHeight="1">
      <c r="A13" s="54" t="s">
        <v>296</v>
      </c>
      <c r="B13" s="55" t="s">
        <v>307</v>
      </c>
      <c r="C13" s="29">
        <f t="shared" si="0"/>
        <v>0</v>
      </c>
      <c r="D13" s="455">
        <v>0</v>
      </c>
      <c r="E13" s="455"/>
    </row>
    <row r="14" spans="1:5" s="50" customFormat="1" ht="22.5" customHeight="1">
      <c r="A14" s="54" t="s">
        <v>297</v>
      </c>
      <c r="B14" s="55" t="s">
        <v>252</v>
      </c>
      <c r="C14" s="29">
        <f t="shared" si="0"/>
        <v>534588799</v>
      </c>
      <c r="D14" s="32">
        <v>0</v>
      </c>
      <c r="E14" s="32">
        <v>534588799</v>
      </c>
    </row>
    <row r="15" spans="1:5" s="50" customFormat="1" ht="14.25" customHeight="1">
      <c r="A15" s="54"/>
      <c r="B15" s="53"/>
      <c r="C15" s="29"/>
      <c r="D15" s="29"/>
      <c r="E15" s="29"/>
    </row>
    <row r="16" spans="1:5" s="50" customFormat="1" ht="22.5" customHeight="1">
      <c r="A16" s="61" t="s">
        <v>241</v>
      </c>
      <c r="B16" s="62" t="s">
        <v>308</v>
      </c>
      <c r="C16" s="63">
        <f t="shared" ref="C16" si="1">+D16+E16</f>
        <v>0</v>
      </c>
      <c r="D16" s="64">
        <v>0</v>
      </c>
      <c r="E16" s="64">
        <v>0</v>
      </c>
    </row>
    <row r="17" spans="1:5" s="50" customFormat="1" ht="14.25" customHeight="1">
      <c r="A17" s="54"/>
      <c r="B17" s="53"/>
      <c r="C17" s="29"/>
      <c r="D17" s="29"/>
      <c r="E17" s="29"/>
    </row>
    <row r="18" spans="1:5" s="50" customFormat="1" ht="22.5" customHeight="1">
      <c r="A18" s="61" t="s">
        <v>248</v>
      </c>
      <c r="B18" s="62" t="s">
        <v>309</v>
      </c>
      <c r="C18" s="63">
        <f t="shared" ref="C18:C23" si="2">+D18+E18</f>
        <v>951829282</v>
      </c>
      <c r="D18" s="63">
        <f>SUM(D19:D23)</f>
        <v>627582989</v>
      </c>
      <c r="E18" s="63">
        <f>SUM(E19:E23)</f>
        <v>324246293</v>
      </c>
    </row>
    <row r="19" spans="1:5" s="50" customFormat="1" ht="22.5" customHeight="1">
      <c r="A19" s="52" t="s">
        <v>298</v>
      </c>
      <c r="B19" s="55" t="s">
        <v>310</v>
      </c>
      <c r="C19" s="29">
        <f t="shared" si="2"/>
        <v>0</v>
      </c>
      <c r="D19" s="32">
        <v>0</v>
      </c>
      <c r="E19" s="32">
        <v>0</v>
      </c>
    </row>
    <row r="20" spans="1:5" s="50" customFormat="1" ht="22.5" customHeight="1">
      <c r="A20" s="52" t="s">
        <v>299</v>
      </c>
      <c r="B20" s="55" t="s">
        <v>311</v>
      </c>
      <c r="C20" s="29">
        <f t="shared" si="2"/>
        <v>369490971</v>
      </c>
      <c r="D20" s="455">
        <v>184370440</v>
      </c>
      <c r="E20" s="455">
        <v>185120531</v>
      </c>
    </row>
    <row r="21" spans="1:5" s="50" customFormat="1" ht="22.5" customHeight="1">
      <c r="A21" s="52" t="s">
        <v>300</v>
      </c>
      <c r="B21" s="55" t="s">
        <v>312</v>
      </c>
      <c r="C21" s="29">
        <f t="shared" si="2"/>
        <v>0</v>
      </c>
      <c r="D21" s="455"/>
      <c r="E21" s="455"/>
    </row>
    <row r="22" spans="1:5" s="50" customFormat="1" ht="22.5" customHeight="1">
      <c r="A22" s="52" t="s">
        <v>301</v>
      </c>
      <c r="B22" s="55" t="s">
        <v>313</v>
      </c>
      <c r="C22" s="29">
        <f t="shared" si="2"/>
        <v>418105000</v>
      </c>
      <c r="D22" s="32">
        <v>418105000</v>
      </c>
      <c r="E22" s="32"/>
    </row>
    <row r="23" spans="1:5" s="50" customFormat="1" ht="22.5" customHeight="1">
      <c r="A23" s="52" t="s">
        <v>302</v>
      </c>
      <c r="B23" s="55" t="s">
        <v>314</v>
      </c>
      <c r="C23" s="29">
        <f t="shared" si="2"/>
        <v>164233311</v>
      </c>
      <c r="D23" s="32">
        <v>25107549</v>
      </c>
      <c r="E23" s="455">
        <v>139125762</v>
      </c>
    </row>
    <row r="24" spans="1:5" s="50" customFormat="1" ht="14.25" customHeight="1">
      <c r="A24" s="54"/>
      <c r="B24" s="53"/>
      <c r="C24" s="29"/>
      <c r="D24" s="29"/>
      <c r="E24" s="29"/>
    </row>
    <row r="25" spans="1:5" s="50" customFormat="1" ht="22.5" customHeight="1">
      <c r="A25" s="61" t="s">
        <v>254</v>
      </c>
      <c r="B25" s="62" t="s">
        <v>315</v>
      </c>
      <c r="C25" s="63">
        <f>+C4+C7+C10+C16+C18</f>
        <v>2493930829</v>
      </c>
      <c r="D25" s="63">
        <f>+D4+D7+D10+D16+D18</f>
        <v>1180092081</v>
      </c>
      <c r="E25" s="63">
        <f>+E4+E7+E10+E16+E18</f>
        <v>1313838748</v>
      </c>
    </row>
    <row r="26" spans="1:5">
      <c r="A26" s="56"/>
      <c r="B26" s="57"/>
      <c r="C26" s="58"/>
      <c r="D26" s="58"/>
      <c r="E26" s="58"/>
    </row>
    <row r="27" spans="1:5">
      <c r="A27" s="56"/>
      <c r="B27" s="57"/>
      <c r="C27" s="58"/>
      <c r="D27" s="58"/>
      <c r="E27" s="58"/>
    </row>
    <row r="28" spans="1:5">
      <c r="A28" s="59"/>
      <c r="B28" s="4" t="s">
        <v>4</v>
      </c>
      <c r="C28" s="58"/>
      <c r="D28" s="58"/>
      <c r="E28" s="58"/>
    </row>
    <row r="29" spans="1:5">
      <c r="B29" s="4"/>
      <c r="C29" s="58"/>
      <c r="D29" s="58"/>
      <c r="E29" s="58"/>
    </row>
    <row r="30" spans="1:5">
      <c r="A30" s="59"/>
      <c r="B30" s="4" t="s">
        <v>5</v>
      </c>
      <c r="C30" s="58"/>
      <c r="D30" s="58"/>
      <c r="E30" s="58"/>
    </row>
  </sheetData>
  <sheetProtection password="CACA" sheet="1" objects="1" scenarios="1"/>
  <mergeCells count="2">
    <mergeCell ref="A1:D1"/>
    <mergeCell ref="C2:D2"/>
  </mergeCells>
  <phoneticPr fontId="15" type="noConversion"/>
  <conditionalFormatting sqref="C7">
    <cfRule type="cellIs" dxfId="9" priority="11" operator="notEqual">
      <formula>$D$7+$E$7</formula>
    </cfRule>
  </conditionalFormatting>
  <conditionalFormatting sqref="C10">
    <cfRule type="cellIs" dxfId="8" priority="9" operator="notEqual">
      <formula>$D$10+$E$10</formula>
    </cfRule>
  </conditionalFormatting>
  <conditionalFormatting sqref="D10">
    <cfRule type="cellIs" dxfId="7" priority="5" operator="notEqual">
      <formula>$D$11+$D$12+$D$13+$D$14</formula>
    </cfRule>
  </conditionalFormatting>
  <conditionalFormatting sqref="E10">
    <cfRule type="cellIs" dxfId="6" priority="4" operator="notEqual">
      <formula>$E$11+$E$12+$E$13+$E$14</formula>
    </cfRule>
  </conditionalFormatting>
  <dataValidations count="2">
    <dataValidation type="whole" operator="greaterThanOrEqual" allowBlank="1" showErrorMessage="1" error="Введите как целое положительное число." sqref="C16:C23 C4:C14 D7:D8 D11 D14 C25:E25 D20:D21 D16 D23" xr:uid="{00000000-0002-0000-0700-000000000000}">
      <formula1>0</formula1>
    </dataValidation>
    <dataValidation type="whole" operator="greaterThanOrEqual" allowBlank="1" showInputMessage="1" showErrorMessage="1" sqref="C24 C15" xr:uid="{00000000-0002-0000-0700-000001000000}">
      <formula1>0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4">
    <pageSetUpPr fitToPage="1"/>
  </sheetPr>
  <dimension ref="A1:G27"/>
  <sheetViews>
    <sheetView view="pageBreakPreview" zoomScale="70" zoomScaleNormal="75" zoomScaleSheetLayoutView="70" workbookViewId="0">
      <pane xSplit="2" ySplit="3" topLeftCell="C22" activePane="bottomRight" state="frozen"/>
      <selection activeCell="C71" sqref="C71"/>
      <selection pane="topRight" activeCell="C71" sqref="C71"/>
      <selection pane="bottomLeft" activeCell="C71" sqref="C71"/>
      <selection pane="bottomRight" activeCell="G20" sqref="G20"/>
    </sheetView>
  </sheetViews>
  <sheetFormatPr defaultRowHeight="18.75"/>
  <cols>
    <col min="1" max="1" width="8.5703125" style="162" customWidth="1"/>
    <col min="2" max="2" width="54.7109375" style="162" bestFit="1" customWidth="1"/>
    <col min="3" max="4" width="25.7109375" style="162" customWidth="1"/>
    <col min="5" max="7" width="15.28515625" style="253" customWidth="1"/>
    <col min="8" max="16384" width="9.140625" style="162"/>
  </cols>
  <sheetData>
    <row r="1" spans="1:7" ht="22.5" customHeight="1">
      <c r="A1" s="568" t="s">
        <v>360</v>
      </c>
      <c r="B1" s="568"/>
      <c r="C1" s="568"/>
      <c r="D1" s="161" t="s">
        <v>361</v>
      </c>
    </row>
    <row r="2" spans="1:7" ht="25.5" customHeight="1">
      <c r="B2" s="163" t="str">
        <f>+Balance!B3</f>
        <v xml:space="preserve">АК "АЛОКАБАНК" </v>
      </c>
      <c r="C2" s="178" t="str">
        <f>+Balance!B2</f>
        <v xml:space="preserve"> 31 Декабрь, 2021</v>
      </c>
      <c r="D2" s="164" t="s">
        <v>7</v>
      </c>
    </row>
    <row r="3" spans="1:7" ht="80.25" customHeight="1">
      <c r="A3" s="221" t="s">
        <v>79</v>
      </c>
      <c r="B3" s="221" t="s">
        <v>6</v>
      </c>
      <c r="C3" s="221" t="s">
        <v>236</v>
      </c>
      <c r="D3" s="221" t="s">
        <v>396</v>
      </c>
    </row>
    <row r="4" spans="1:7" s="167" customFormat="1" ht="35.25" customHeight="1">
      <c r="A4" s="165" t="s">
        <v>239</v>
      </c>
      <c r="B4" s="166" t="s">
        <v>170</v>
      </c>
      <c r="C4" s="221"/>
      <c r="D4" s="221"/>
      <c r="E4" s="254"/>
      <c r="F4" s="254"/>
      <c r="G4" s="254"/>
    </row>
    <row r="5" spans="1:7" s="167" customFormat="1" ht="35.25" customHeight="1">
      <c r="A5" s="184" t="s">
        <v>242</v>
      </c>
      <c r="B5" s="185" t="s">
        <v>85</v>
      </c>
      <c r="C5" s="186">
        <v>84005450</v>
      </c>
      <c r="D5" s="186">
        <v>6507488</v>
      </c>
      <c r="E5" s="254"/>
      <c r="F5" s="254"/>
      <c r="G5" s="254"/>
    </row>
    <row r="6" spans="1:7" s="167" customFormat="1" ht="35.25" customHeight="1">
      <c r="A6" s="184" t="s">
        <v>243</v>
      </c>
      <c r="B6" s="185" t="s">
        <v>86</v>
      </c>
      <c r="C6" s="186">
        <v>468677597</v>
      </c>
      <c r="D6" s="186">
        <v>70504468</v>
      </c>
      <c r="E6" s="254"/>
      <c r="F6" s="254"/>
      <c r="G6" s="254"/>
    </row>
    <row r="7" spans="1:7" s="167" customFormat="1" ht="35.25" customHeight="1">
      <c r="A7" s="184" t="s">
        <v>244</v>
      </c>
      <c r="B7" s="185" t="s">
        <v>87</v>
      </c>
      <c r="C7" s="186">
        <v>366724772</v>
      </c>
      <c r="D7" s="186">
        <v>72976974</v>
      </c>
      <c r="E7" s="254"/>
      <c r="F7" s="254"/>
      <c r="G7" s="254"/>
    </row>
    <row r="8" spans="1:7" s="167" customFormat="1" ht="35.25" customHeight="1">
      <c r="A8" s="184" t="s">
        <v>245</v>
      </c>
      <c r="B8" s="185" t="s">
        <v>88</v>
      </c>
      <c r="C8" s="186">
        <v>97364394</v>
      </c>
      <c r="D8" s="186">
        <v>10806486</v>
      </c>
      <c r="E8" s="254"/>
      <c r="F8" s="254"/>
      <c r="G8" s="254"/>
    </row>
    <row r="9" spans="1:7" s="167" customFormat="1" ht="35.25" customHeight="1">
      <c r="A9" s="184" t="s">
        <v>246</v>
      </c>
      <c r="B9" s="185" t="s">
        <v>89</v>
      </c>
      <c r="C9" s="186">
        <v>702461055</v>
      </c>
      <c r="D9" s="186">
        <v>41011156</v>
      </c>
      <c r="E9" s="254"/>
      <c r="F9" s="254"/>
      <c r="G9" s="254"/>
    </row>
    <row r="10" spans="1:7" s="167" customFormat="1" ht="35.25" customHeight="1">
      <c r="A10" s="184" t="s">
        <v>247</v>
      </c>
      <c r="B10" s="185" t="s">
        <v>392</v>
      </c>
      <c r="C10" s="186">
        <v>317693110</v>
      </c>
      <c r="D10" s="186">
        <v>152281308</v>
      </c>
      <c r="E10" s="254"/>
      <c r="F10" s="254"/>
      <c r="G10" s="254"/>
    </row>
    <row r="11" spans="1:7" s="169" customFormat="1" ht="35.25" customHeight="1">
      <c r="A11" s="165" t="s">
        <v>424</v>
      </c>
      <c r="B11" s="166" t="s">
        <v>393</v>
      </c>
      <c r="C11" s="168">
        <f>SUM(C5:C10)</f>
        <v>2036926378</v>
      </c>
      <c r="D11" s="168">
        <f>SUM(D5:D10)</f>
        <v>354087880</v>
      </c>
      <c r="E11" s="255">
        <f>+'Bank Liabilities Analysis'!S16+'Bank Liabilities Analysis'!S8</f>
        <v>2036926378</v>
      </c>
      <c r="F11" s="255">
        <f>+'Bank Liabilities Analysis'!T16+'Bank Liabilities Analysis'!T8</f>
        <v>1682838498</v>
      </c>
      <c r="G11" s="255">
        <f>+'Bank Liabilities Analysis'!U16+'Bank Liabilities Analysis'!U8</f>
        <v>354087880</v>
      </c>
    </row>
    <row r="12" spans="1:7" s="167" customFormat="1" ht="9" customHeight="1">
      <c r="A12" s="170"/>
      <c r="B12" s="185"/>
      <c r="C12" s="171"/>
      <c r="D12" s="170"/>
      <c r="E12" s="254"/>
      <c r="F12" s="254"/>
      <c r="G12" s="254"/>
    </row>
    <row r="13" spans="1:7" s="167" customFormat="1" ht="35.25" customHeight="1">
      <c r="A13" s="165" t="s">
        <v>240</v>
      </c>
      <c r="B13" s="166" t="s">
        <v>173</v>
      </c>
      <c r="C13" s="221"/>
      <c r="D13" s="221"/>
      <c r="E13" s="254"/>
      <c r="F13" s="254"/>
      <c r="G13" s="254"/>
    </row>
    <row r="14" spans="1:7" s="167" customFormat="1" ht="35.25" customHeight="1">
      <c r="A14" s="184" t="s">
        <v>242</v>
      </c>
      <c r="B14" s="185" t="s">
        <v>85</v>
      </c>
      <c r="C14" s="186">
        <v>2470819201</v>
      </c>
      <c r="D14" s="186">
        <v>628584280</v>
      </c>
      <c r="E14" s="254"/>
      <c r="F14" s="254"/>
      <c r="G14" s="254"/>
    </row>
    <row r="15" spans="1:7" s="167" customFormat="1" ht="35.25" customHeight="1">
      <c r="A15" s="184" t="s">
        <v>243</v>
      </c>
      <c r="B15" s="185" t="s">
        <v>86</v>
      </c>
      <c r="C15" s="186">
        <v>440584422</v>
      </c>
      <c r="D15" s="186">
        <v>28130995</v>
      </c>
      <c r="E15" s="254"/>
      <c r="F15" s="254"/>
      <c r="G15" s="254"/>
    </row>
    <row r="16" spans="1:7" s="167" customFormat="1" ht="35.25" customHeight="1">
      <c r="A16" s="184" t="s">
        <v>244</v>
      </c>
      <c r="B16" s="185" t="s">
        <v>87</v>
      </c>
      <c r="C16" s="186">
        <v>229197322</v>
      </c>
      <c r="D16" s="186">
        <v>41183108</v>
      </c>
      <c r="E16" s="254"/>
      <c r="F16" s="254"/>
      <c r="G16" s="254"/>
    </row>
    <row r="17" spans="1:7" s="167" customFormat="1" ht="35.25" customHeight="1">
      <c r="A17" s="184" t="s">
        <v>245</v>
      </c>
      <c r="B17" s="185" t="s">
        <v>88</v>
      </c>
      <c r="C17" s="186">
        <v>9818830</v>
      </c>
      <c r="D17" s="186">
        <v>5418830</v>
      </c>
      <c r="E17" s="254"/>
      <c r="F17" s="254"/>
      <c r="G17" s="254"/>
    </row>
    <row r="18" spans="1:7" s="167" customFormat="1" ht="35.25" customHeight="1">
      <c r="A18" s="184" t="s">
        <v>246</v>
      </c>
      <c r="B18" s="185" t="s">
        <v>89</v>
      </c>
      <c r="C18" s="186">
        <v>367985246</v>
      </c>
      <c r="D18" s="186">
        <v>13102731</v>
      </c>
      <c r="E18" s="254"/>
      <c r="F18" s="254"/>
      <c r="G18" s="254"/>
    </row>
    <row r="19" spans="1:7" s="167" customFormat="1" ht="35.25" customHeight="1">
      <c r="A19" s="184" t="s">
        <v>247</v>
      </c>
      <c r="B19" s="185" t="s">
        <v>439</v>
      </c>
      <c r="C19" s="186">
        <v>1240777784</v>
      </c>
      <c r="D19" s="186">
        <v>973806219</v>
      </c>
      <c r="E19" s="254"/>
      <c r="F19" s="254"/>
      <c r="G19" s="254"/>
    </row>
    <row r="20" spans="1:7" s="169" customFormat="1" ht="35.25" customHeight="1">
      <c r="A20" s="165" t="s">
        <v>424</v>
      </c>
      <c r="B20" s="166" t="s">
        <v>394</v>
      </c>
      <c r="C20" s="168">
        <f>SUM(C14:C19)</f>
        <v>4759182805</v>
      </c>
      <c r="D20" s="168">
        <f>SUM(D14:D19)</f>
        <v>1690226163</v>
      </c>
      <c r="E20" s="255">
        <f>+'Bank Liabilities Analysis'!S13</f>
        <v>4759182805</v>
      </c>
      <c r="F20" s="255">
        <f>+'Bank Liabilities Analysis'!T13</f>
        <v>3068956642</v>
      </c>
      <c r="G20" s="255">
        <f>+'Bank Liabilities Analysis'!U13</f>
        <v>1690226163</v>
      </c>
    </row>
    <row r="21" spans="1:7" s="167" customFormat="1" ht="9" customHeight="1">
      <c r="A21" s="184"/>
      <c r="B21" s="185"/>
      <c r="C21" s="171"/>
      <c r="D21" s="171"/>
      <c r="E21" s="254"/>
      <c r="F21" s="254"/>
      <c r="G21" s="254"/>
    </row>
    <row r="22" spans="1:7" s="169" customFormat="1" ht="35.25" customHeight="1">
      <c r="A22" s="165" t="s">
        <v>253</v>
      </c>
      <c r="B22" s="166" t="s">
        <v>175</v>
      </c>
      <c r="C22" s="168">
        <f t="shared" ref="C22:D22" si="0">+C11+C20</f>
        <v>6796109183</v>
      </c>
      <c r="D22" s="168">
        <f t="shared" si="0"/>
        <v>2044314043</v>
      </c>
      <c r="E22" s="255">
        <f>+'Bank Liabilities Analysis'!S22</f>
        <v>6796109183</v>
      </c>
      <c r="F22" s="255">
        <f>+'Bank Liabilities Analysis'!T22</f>
        <v>4751795140</v>
      </c>
      <c r="G22" s="255">
        <f>+'Bank Liabilities Analysis'!U22</f>
        <v>2044314043</v>
      </c>
    </row>
    <row r="24" spans="1:7">
      <c r="E24" s="162"/>
      <c r="F24" s="162"/>
      <c r="G24" s="162"/>
    </row>
    <row r="25" spans="1:7">
      <c r="B25" s="172" t="s">
        <v>4</v>
      </c>
      <c r="E25" s="162"/>
      <c r="F25" s="162"/>
      <c r="G25" s="162"/>
    </row>
    <row r="26" spans="1:7">
      <c r="B26" s="172"/>
      <c r="E26" s="162"/>
      <c r="F26" s="162"/>
      <c r="G26" s="162"/>
    </row>
    <row r="27" spans="1:7">
      <c r="B27" s="172" t="s">
        <v>5</v>
      </c>
      <c r="E27" s="162"/>
      <c r="F27" s="162"/>
      <c r="G27" s="162"/>
    </row>
  </sheetData>
  <sheetProtection password="CACA" sheet="1" objects="1" scenarios="1"/>
  <mergeCells count="1">
    <mergeCell ref="A1:C1"/>
  </mergeCells>
  <phoneticPr fontId="15" type="noConversion"/>
  <conditionalFormatting sqref="D11">
    <cfRule type="cellIs" dxfId="5" priority="9" operator="notEqual">
      <formula>$G$11</formula>
    </cfRule>
  </conditionalFormatting>
  <conditionalFormatting sqref="D20">
    <cfRule type="cellIs" dxfId="4" priority="10" operator="notEqual">
      <formula>$G$20</formula>
    </cfRule>
  </conditionalFormatting>
  <conditionalFormatting sqref="D22">
    <cfRule type="cellIs" dxfId="3" priority="11" operator="notEqual">
      <formula>$G$22</formula>
    </cfRule>
  </conditionalFormatting>
  <conditionalFormatting sqref="C11">
    <cfRule type="cellIs" dxfId="2" priority="15" operator="notEqual">
      <formula>$E$11</formula>
    </cfRule>
  </conditionalFormatting>
  <conditionalFormatting sqref="C20">
    <cfRule type="cellIs" dxfId="1" priority="16" operator="notEqual">
      <formula>$E$20</formula>
    </cfRule>
  </conditionalFormatting>
  <conditionalFormatting sqref="C22">
    <cfRule type="cellIs" dxfId="0" priority="17" operator="notEqual">
      <formula>$E$22</formula>
    </cfRule>
  </conditionalFormatting>
  <dataValidations xWindow="471" yWindow="473" count="2">
    <dataValidation type="whole" operator="greaterThanOrEqual" allowBlank="1" showErrorMessage="1" error="Введите как целое число." sqref="C5:D10 C14:D19" xr:uid="{00000000-0002-0000-08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800-000001000000}"/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62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5">
    <pageSetUpPr fitToPage="1"/>
  </sheetPr>
  <dimension ref="A1:H54"/>
  <sheetViews>
    <sheetView view="pageBreakPreview" zoomScale="70" zoomScaleNormal="70" zoomScaleSheetLayoutView="70" workbookViewId="0">
      <pane xSplit="1" ySplit="4" topLeftCell="B17" activePane="bottomRight" state="frozen"/>
      <selection activeCell="C71" sqref="C71"/>
      <selection pane="topRight" activeCell="C71" sqref="C71"/>
      <selection pane="bottomLeft" activeCell="C71" sqref="C71"/>
      <selection pane="bottomRight" activeCell="B19" sqref="B19"/>
    </sheetView>
  </sheetViews>
  <sheetFormatPr defaultRowHeight="12.75"/>
  <cols>
    <col min="1" max="1" width="48.42578125" style="82" customWidth="1"/>
    <col min="2" max="2" width="16.85546875" style="82" customWidth="1"/>
    <col min="3" max="3" width="16.7109375" style="82" customWidth="1"/>
    <col min="4" max="4" width="16" style="82" customWidth="1"/>
    <col min="5" max="5" width="15.42578125" style="82" customWidth="1"/>
    <col min="6" max="8" width="12.140625" style="487" customWidth="1"/>
    <col min="9" max="16384" width="9.140625" style="82"/>
  </cols>
  <sheetData>
    <row r="1" spans="1:8" ht="44.25" customHeight="1">
      <c r="A1" s="566" t="s">
        <v>91</v>
      </c>
      <c r="B1" s="566"/>
      <c r="C1" s="566"/>
      <c r="D1" s="566"/>
      <c r="E1" s="462" t="s">
        <v>359</v>
      </c>
    </row>
    <row r="2" spans="1:8" s="488" customFormat="1" ht="18" customHeight="1">
      <c r="A2" s="174" t="str">
        <f>Balance!B3</f>
        <v xml:space="preserve">АК "АЛОКАБАНК" </v>
      </c>
      <c r="C2" s="489" t="str">
        <f>+Balance!B2</f>
        <v xml:space="preserve"> 31 Декабрь, 2021</v>
      </c>
      <c r="D2" s="490"/>
      <c r="E2" s="491" t="str">
        <f>+Balance!E3</f>
        <v>тыс. сум</v>
      </c>
      <c r="F2" s="492"/>
      <c r="G2" s="492"/>
      <c r="H2" s="492"/>
    </row>
    <row r="3" spans="1:8" ht="26.25" customHeight="1">
      <c r="A3" s="571" t="s">
        <v>92</v>
      </c>
      <c r="B3" s="573" t="s">
        <v>358</v>
      </c>
      <c r="C3" s="569" t="s">
        <v>358</v>
      </c>
      <c r="D3" s="570"/>
      <c r="E3" s="573" t="s">
        <v>94</v>
      </c>
    </row>
    <row r="4" spans="1:8" ht="42.75" customHeight="1">
      <c r="A4" s="572"/>
      <c r="B4" s="574"/>
      <c r="C4" s="191" t="s">
        <v>237</v>
      </c>
      <c r="D4" s="191" t="s">
        <v>238</v>
      </c>
      <c r="E4" s="574"/>
    </row>
    <row r="5" spans="1:8" ht="12.75" customHeight="1">
      <c r="A5" s="140"/>
      <c r="B5" s="140"/>
      <c r="C5" s="142"/>
      <c r="D5" s="142"/>
      <c r="E5" s="140"/>
    </row>
    <row r="6" spans="1:8" s="488" customFormat="1" ht="12.75" customHeight="1">
      <c r="A6" s="449" t="s">
        <v>95</v>
      </c>
      <c r="B6" s="307">
        <f t="shared" ref="B6:B15" si="0">+C6+D6</f>
        <v>0</v>
      </c>
      <c r="C6" s="32">
        <v>0</v>
      </c>
      <c r="D6" s="32">
        <v>0</v>
      </c>
      <c r="E6" s="32">
        <v>0</v>
      </c>
      <c r="F6" s="493"/>
      <c r="G6" s="493"/>
      <c r="H6" s="493"/>
    </row>
    <row r="7" spans="1:8" s="488" customFormat="1" ht="12.75" customHeight="1">
      <c r="A7" s="494" t="s">
        <v>96</v>
      </c>
      <c r="B7" s="307">
        <f t="shared" si="0"/>
        <v>0</v>
      </c>
      <c r="C7" s="32">
        <v>0</v>
      </c>
      <c r="D7" s="32">
        <v>0</v>
      </c>
      <c r="E7" s="32">
        <v>0</v>
      </c>
      <c r="F7" s="493"/>
      <c r="G7" s="493"/>
      <c r="H7" s="493"/>
    </row>
    <row r="8" spans="1:8" s="488" customFormat="1" ht="12.75" customHeight="1">
      <c r="A8" s="494" t="s">
        <v>97</v>
      </c>
      <c r="B8" s="307">
        <f t="shared" si="0"/>
        <v>0</v>
      </c>
      <c r="C8" s="32">
        <v>0</v>
      </c>
      <c r="D8" s="32">
        <v>0</v>
      </c>
      <c r="E8" s="32">
        <v>0</v>
      </c>
      <c r="F8" s="493"/>
      <c r="G8" s="493"/>
      <c r="H8" s="493"/>
    </row>
    <row r="9" spans="1:8" s="488" customFormat="1" ht="12.75" customHeight="1">
      <c r="A9" s="494" t="s">
        <v>98</v>
      </c>
      <c r="B9" s="307">
        <f t="shared" si="0"/>
        <v>0</v>
      </c>
      <c r="C9" s="32">
        <v>0</v>
      </c>
      <c r="D9" s="32">
        <v>0</v>
      </c>
      <c r="E9" s="32">
        <v>0</v>
      </c>
      <c r="F9" s="493"/>
      <c r="G9" s="493"/>
      <c r="H9" s="493"/>
    </row>
    <row r="10" spans="1:8" s="488" customFormat="1" ht="12.75" customHeight="1">
      <c r="A10" s="494" t="s">
        <v>99</v>
      </c>
      <c r="B10" s="307">
        <f t="shared" si="0"/>
        <v>49999997</v>
      </c>
      <c r="C10" s="32">
        <v>49999997</v>
      </c>
      <c r="D10" s="32">
        <v>0</v>
      </c>
      <c r="E10" s="32">
        <v>49999997</v>
      </c>
      <c r="F10" s="493"/>
      <c r="G10" s="493"/>
      <c r="H10" s="493"/>
    </row>
    <row r="11" spans="1:8" s="488" customFormat="1" ht="12.75" customHeight="1">
      <c r="A11" s="494" t="s">
        <v>100</v>
      </c>
      <c r="B11" s="307">
        <f t="shared" si="0"/>
        <v>5603011</v>
      </c>
      <c r="C11" s="32">
        <v>5603011</v>
      </c>
      <c r="D11" s="32">
        <v>0</v>
      </c>
      <c r="E11" s="32">
        <v>5603011</v>
      </c>
      <c r="F11" s="493"/>
      <c r="G11" s="492"/>
      <c r="H11" s="492"/>
    </row>
    <row r="12" spans="1:8" s="488" customFormat="1">
      <c r="A12" s="494" t="s">
        <v>101</v>
      </c>
      <c r="B12" s="307">
        <f t="shared" si="0"/>
        <v>42736058</v>
      </c>
      <c r="C12" s="32">
        <v>42736058</v>
      </c>
      <c r="D12" s="32">
        <v>0</v>
      </c>
      <c r="E12" s="32">
        <v>42736058</v>
      </c>
      <c r="F12" s="493"/>
      <c r="G12" s="492"/>
      <c r="H12" s="492"/>
    </row>
    <row r="13" spans="1:8" s="488" customFormat="1" ht="12.75" customHeight="1">
      <c r="A13" s="495" t="s">
        <v>102</v>
      </c>
      <c r="B13" s="182">
        <f t="shared" si="0"/>
        <v>98339066</v>
      </c>
      <c r="C13" s="182">
        <f>SUM(C6:C12)</f>
        <v>98339066</v>
      </c>
      <c r="D13" s="182">
        <f t="shared" ref="D13" si="1">SUM(D6:D12)</f>
        <v>0</v>
      </c>
      <c r="E13" s="182">
        <f>SUM(E6:E12)</f>
        <v>98339066</v>
      </c>
      <c r="F13" s="493"/>
      <c r="G13" s="492"/>
      <c r="H13" s="492"/>
    </row>
    <row r="14" spans="1:8" s="488" customFormat="1" ht="12.75" customHeight="1">
      <c r="A14" s="496" t="s">
        <v>103</v>
      </c>
      <c r="B14" s="307">
        <f t="shared" si="0"/>
        <v>0</v>
      </c>
      <c r="C14" s="454"/>
      <c r="D14" s="454"/>
      <c r="E14" s="497"/>
      <c r="F14" s="493"/>
      <c r="G14" s="492"/>
      <c r="H14" s="492"/>
    </row>
    <row r="15" spans="1:8" s="488" customFormat="1" ht="17.25" customHeight="1">
      <c r="A15" s="495" t="s">
        <v>104</v>
      </c>
      <c r="B15" s="299">
        <f t="shared" si="0"/>
        <v>98339066</v>
      </c>
      <c r="C15" s="299">
        <f>C13-C14</f>
        <v>98339066</v>
      </c>
      <c r="D15" s="299">
        <f t="shared" ref="D15" si="2">D13-D14</f>
        <v>0</v>
      </c>
      <c r="E15" s="498"/>
      <c r="F15" s="499"/>
      <c r="G15" s="492"/>
      <c r="H15" s="492"/>
    </row>
    <row r="16" spans="1:8" ht="12.75" customHeight="1">
      <c r="A16" s="500"/>
      <c r="B16" s="501"/>
      <c r="C16" s="501"/>
      <c r="D16" s="501"/>
      <c r="E16" s="501"/>
      <c r="F16" s="502"/>
      <c r="G16" s="492"/>
      <c r="H16" s="492"/>
    </row>
    <row r="17" spans="1:8" s="488" customFormat="1" ht="38.25" customHeight="1">
      <c r="A17" s="503" t="s">
        <v>105</v>
      </c>
      <c r="B17" s="191" t="s">
        <v>93</v>
      </c>
      <c r="C17" s="191" t="s">
        <v>237</v>
      </c>
      <c r="D17" s="191" t="s">
        <v>238</v>
      </c>
      <c r="E17" s="191" t="s">
        <v>94</v>
      </c>
      <c r="F17" s="504"/>
      <c r="G17" s="492"/>
      <c r="H17" s="492"/>
    </row>
    <row r="18" spans="1:8" s="488" customFormat="1" ht="12.75" customHeight="1">
      <c r="A18" s="204"/>
      <c r="B18" s="494"/>
      <c r="C18" s="494"/>
      <c r="D18" s="494"/>
      <c r="E18" s="494"/>
      <c r="F18" s="493"/>
      <c r="G18" s="492"/>
      <c r="H18" s="492"/>
    </row>
    <row r="19" spans="1:8" s="488" customFormat="1">
      <c r="A19" s="449" t="s">
        <v>106</v>
      </c>
      <c r="B19" s="307">
        <f t="shared" ref="B19:B28" si="3">+C19+D19</f>
        <v>0</v>
      </c>
      <c r="C19" s="32"/>
      <c r="D19" s="32">
        <v>0</v>
      </c>
      <c r="E19" s="32">
        <v>0</v>
      </c>
      <c r="F19" s="493"/>
      <c r="G19" s="492"/>
      <c r="H19" s="492"/>
    </row>
    <row r="20" spans="1:8" s="488" customFormat="1">
      <c r="A20" s="494" t="s">
        <v>107</v>
      </c>
      <c r="B20" s="307">
        <f t="shared" si="3"/>
        <v>20000000</v>
      </c>
      <c r="C20" s="32">
        <v>20000000</v>
      </c>
      <c r="D20" s="32"/>
      <c r="E20" s="32">
        <v>20000000</v>
      </c>
      <c r="F20" s="493"/>
      <c r="G20" s="492"/>
      <c r="H20" s="492"/>
    </row>
    <row r="21" spans="1:8" s="488" customFormat="1">
      <c r="A21" s="494" t="s">
        <v>108</v>
      </c>
      <c r="B21" s="307">
        <f t="shared" si="3"/>
        <v>398105000</v>
      </c>
      <c r="C21" s="32">
        <v>398105000</v>
      </c>
      <c r="D21" s="32"/>
      <c r="E21" s="32">
        <v>398105000</v>
      </c>
      <c r="F21" s="493"/>
      <c r="G21" s="492"/>
      <c r="H21" s="492"/>
    </row>
    <row r="22" spans="1:8" s="488" customFormat="1">
      <c r="A22" s="494" t="s">
        <v>109</v>
      </c>
      <c r="B22" s="307">
        <f t="shared" si="3"/>
        <v>0</v>
      </c>
      <c r="C22" s="32"/>
      <c r="D22" s="32">
        <v>0</v>
      </c>
      <c r="E22" s="32">
        <v>0</v>
      </c>
      <c r="F22" s="493"/>
      <c r="G22" s="493"/>
      <c r="H22" s="493"/>
    </row>
    <row r="23" spans="1:8" s="488" customFormat="1">
      <c r="A23" s="494" t="s">
        <v>110</v>
      </c>
      <c r="B23" s="307">
        <f t="shared" si="3"/>
        <v>0</v>
      </c>
      <c r="C23" s="32">
        <v>0</v>
      </c>
      <c r="D23" s="32">
        <v>0</v>
      </c>
      <c r="E23" s="32">
        <v>0</v>
      </c>
      <c r="F23" s="493"/>
      <c r="G23" s="493"/>
      <c r="H23" s="493"/>
    </row>
    <row r="24" spans="1:8" s="488" customFormat="1">
      <c r="A24" s="494" t="s">
        <v>111</v>
      </c>
      <c r="B24" s="307">
        <f t="shared" si="3"/>
        <v>0</v>
      </c>
      <c r="C24" s="32">
        <v>0</v>
      </c>
      <c r="D24" s="32">
        <v>0</v>
      </c>
      <c r="E24" s="32">
        <v>0</v>
      </c>
      <c r="F24" s="493"/>
      <c r="G24" s="493"/>
      <c r="H24" s="493"/>
    </row>
    <row r="25" spans="1:8" s="488" customFormat="1">
      <c r="A25" s="494" t="s">
        <v>112</v>
      </c>
      <c r="B25" s="307">
        <f t="shared" si="3"/>
        <v>0</v>
      </c>
      <c r="C25" s="32"/>
      <c r="D25" s="32">
        <v>0</v>
      </c>
      <c r="E25" s="32"/>
      <c r="F25" s="493"/>
      <c r="G25" s="493"/>
      <c r="H25" s="493"/>
    </row>
    <row r="26" spans="1:8" s="488" customFormat="1">
      <c r="A26" s="505" t="s">
        <v>113</v>
      </c>
      <c r="B26" s="182">
        <f t="shared" ref="B26:B29" si="4">+C26+D26</f>
        <v>418105000</v>
      </c>
      <c r="C26" s="182">
        <f>SUM(C19:C25)</f>
        <v>418105000</v>
      </c>
      <c r="D26" s="182">
        <f t="shared" ref="D26" si="5">SUM(D19:D25)</f>
        <v>0</v>
      </c>
      <c r="E26" s="182">
        <f>SUM(E19:E25)</f>
        <v>418105000</v>
      </c>
      <c r="F26" s="493"/>
      <c r="G26" s="493"/>
      <c r="H26" s="493"/>
    </row>
    <row r="27" spans="1:8" s="450" customFormat="1">
      <c r="A27" s="494" t="s">
        <v>516</v>
      </c>
      <c r="B27" s="307">
        <f t="shared" si="3"/>
        <v>-8132565</v>
      </c>
      <c r="C27" s="32">
        <v>-8132565</v>
      </c>
      <c r="D27" s="32"/>
      <c r="E27" s="32">
        <v>-8132565</v>
      </c>
      <c r="F27" s="506"/>
      <c r="G27" s="506"/>
      <c r="H27" s="506"/>
    </row>
    <row r="28" spans="1:8" s="488" customFormat="1">
      <c r="A28" s="449" t="s">
        <v>517</v>
      </c>
      <c r="B28" s="307">
        <f t="shared" si="3"/>
        <v>0</v>
      </c>
      <c r="C28" s="454">
        <v>0</v>
      </c>
      <c r="D28" s="454">
        <v>0</v>
      </c>
      <c r="E28" s="497"/>
      <c r="F28" s="493"/>
      <c r="G28" s="493"/>
      <c r="H28" s="493"/>
    </row>
    <row r="29" spans="1:8" s="488" customFormat="1" ht="32.25" customHeight="1">
      <c r="A29" s="39" t="s">
        <v>518</v>
      </c>
      <c r="B29" s="299">
        <f t="shared" si="4"/>
        <v>409972435</v>
      </c>
      <c r="C29" s="299">
        <f>+C26+C27-C28</f>
        <v>409972435</v>
      </c>
      <c r="D29" s="299">
        <f>+D26+D27-D28</f>
        <v>0</v>
      </c>
      <c r="E29" s="498"/>
      <c r="F29" s="493"/>
      <c r="G29" s="493"/>
      <c r="H29" s="493"/>
    </row>
    <row r="30" spans="1:8" ht="12.75" customHeight="1">
      <c r="A30" s="500"/>
      <c r="B30" s="501"/>
      <c r="C30" s="501"/>
      <c r="D30" s="501"/>
      <c r="E30" s="501"/>
      <c r="F30" s="507"/>
      <c r="G30" s="502"/>
      <c r="H30" s="502"/>
    </row>
    <row r="31" spans="1:8" ht="12.75" customHeight="1">
      <c r="A31" s="508"/>
      <c r="B31" s="508"/>
      <c r="C31" s="508"/>
      <c r="D31" s="508"/>
      <c r="E31" s="508"/>
    </row>
    <row r="32" spans="1:8" ht="12.75" customHeight="1">
      <c r="A32" s="141"/>
      <c r="B32" s="501"/>
      <c r="C32" s="501"/>
      <c r="D32" s="501"/>
      <c r="E32" s="501"/>
      <c r="F32" s="502"/>
      <c r="G32" s="502"/>
      <c r="H32" s="502"/>
    </row>
    <row r="33" spans="1:8" s="511" customFormat="1" ht="42" customHeight="1">
      <c r="A33" s="509" t="s">
        <v>114</v>
      </c>
      <c r="B33" s="191" t="s">
        <v>115</v>
      </c>
      <c r="C33" s="191" t="s">
        <v>237</v>
      </c>
      <c r="D33" s="191" t="s">
        <v>238</v>
      </c>
      <c r="E33" s="191" t="s">
        <v>94</v>
      </c>
      <c r="F33" s="510"/>
      <c r="G33" s="510"/>
      <c r="H33" s="510"/>
    </row>
    <row r="34" spans="1:8" ht="12.75" customHeight="1">
      <c r="A34" s="512"/>
      <c r="B34" s="512"/>
      <c r="C34" s="512"/>
      <c r="D34" s="512"/>
      <c r="E34" s="512"/>
      <c r="F34" s="502"/>
      <c r="G34" s="502"/>
      <c r="H34" s="502"/>
    </row>
    <row r="35" spans="1:8" ht="12.75" customHeight="1">
      <c r="A35" s="512" t="s">
        <v>116</v>
      </c>
      <c r="B35" s="307">
        <f t="shared" ref="B35:B37" si="6">+C35+D35</f>
        <v>0</v>
      </c>
      <c r="C35" s="32">
        <v>0</v>
      </c>
      <c r="D35" s="32">
        <v>0</v>
      </c>
      <c r="E35" s="32">
        <v>0</v>
      </c>
      <c r="F35" s="502"/>
      <c r="G35" s="502"/>
      <c r="H35" s="502"/>
    </row>
    <row r="36" spans="1:8" ht="12.75" customHeight="1">
      <c r="A36" s="512" t="s">
        <v>117</v>
      </c>
      <c r="B36" s="307">
        <f t="shared" si="6"/>
        <v>0</v>
      </c>
      <c r="C36" s="32">
        <v>0</v>
      </c>
      <c r="D36" s="32">
        <v>0</v>
      </c>
      <c r="E36" s="32">
        <v>0</v>
      </c>
      <c r="F36" s="502"/>
      <c r="G36" s="502"/>
      <c r="H36" s="502"/>
    </row>
    <row r="37" spans="1:8" ht="12.75" customHeight="1">
      <c r="A37" s="512" t="s">
        <v>118</v>
      </c>
      <c r="B37" s="307">
        <f t="shared" si="6"/>
        <v>251</v>
      </c>
      <c r="C37" s="32">
        <v>251</v>
      </c>
      <c r="D37" s="32">
        <v>0</v>
      </c>
      <c r="E37" s="32">
        <v>251</v>
      </c>
      <c r="F37" s="502"/>
      <c r="G37" s="502"/>
      <c r="H37" s="502"/>
    </row>
    <row r="38" spans="1:8" ht="12.75" customHeight="1">
      <c r="A38" s="277" t="s">
        <v>436</v>
      </c>
      <c r="B38" s="521">
        <f t="shared" ref="B38:B40" si="7">+C38+D38</f>
        <v>251</v>
      </c>
      <c r="C38" s="521">
        <f>SUM(C35:C37)</f>
        <v>251</v>
      </c>
      <c r="D38" s="521">
        <f t="shared" ref="D38" si="8">SUM(D35:D37)</f>
        <v>0</v>
      </c>
      <c r="E38" s="521">
        <f>SUM(E35:E37)</f>
        <v>251</v>
      </c>
      <c r="F38" s="502"/>
      <c r="G38" s="502"/>
      <c r="H38" s="502"/>
    </row>
    <row r="39" spans="1:8" ht="12.75" customHeight="1">
      <c r="A39" s="278" t="s">
        <v>437</v>
      </c>
      <c r="B39" s="193">
        <f t="shared" si="7"/>
        <v>0</v>
      </c>
      <c r="C39" s="513"/>
      <c r="D39" s="513"/>
      <c r="E39" s="514"/>
      <c r="F39" s="502"/>
      <c r="G39" s="502"/>
      <c r="H39" s="502"/>
    </row>
    <row r="40" spans="1:8" ht="25.5">
      <c r="A40" s="279" t="s">
        <v>438</v>
      </c>
      <c r="B40" s="515">
        <f t="shared" si="7"/>
        <v>251</v>
      </c>
      <c r="C40" s="515">
        <f>C38-C39</f>
        <v>251</v>
      </c>
      <c r="D40" s="515">
        <f t="shared" ref="D40" si="9">D38-D39</f>
        <v>0</v>
      </c>
      <c r="E40" s="516"/>
      <c r="F40" s="502"/>
      <c r="G40" s="502"/>
      <c r="H40" s="502"/>
    </row>
    <row r="41" spans="1:8" ht="12.75" customHeight="1">
      <c r="A41" s="517"/>
      <c r="B41" s="409"/>
      <c r="C41" s="409"/>
      <c r="D41" s="409"/>
      <c r="E41" s="409"/>
    </row>
    <row r="42" spans="1:8" ht="12.75" customHeight="1">
      <c r="A42" s="277" t="s">
        <v>90</v>
      </c>
      <c r="B42" s="518"/>
      <c r="C42" s="518"/>
      <c r="D42" s="518"/>
      <c r="E42" s="409"/>
      <c r="F42" s="519"/>
    </row>
    <row r="43" spans="1:8" ht="12.75" customHeight="1">
      <c r="A43" s="520" t="s">
        <v>119</v>
      </c>
      <c r="B43" s="393"/>
      <c r="C43" s="393"/>
      <c r="D43" s="393"/>
      <c r="E43" s="409"/>
      <c r="F43" s="502"/>
    </row>
    <row r="44" spans="1:8" ht="12.75" customHeight="1">
      <c r="A44" s="277" t="s">
        <v>120</v>
      </c>
      <c r="B44" s="518"/>
      <c r="C44" s="518"/>
      <c r="D44" s="518"/>
      <c r="E44" s="409"/>
      <c r="F44" s="519"/>
    </row>
    <row r="45" spans="1:8" ht="12.75" customHeight="1">
      <c r="A45" s="512" t="s">
        <v>121</v>
      </c>
      <c r="B45" s="393">
        <f>E13-B13</f>
        <v>0</v>
      </c>
      <c r="C45" s="393"/>
      <c r="D45" s="393"/>
      <c r="E45" s="409"/>
      <c r="F45" s="502"/>
    </row>
    <row r="46" spans="1:8" ht="12.75" customHeight="1">
      <c r="A46" s="277" t="s">
        <v>122</v>
      </c>
      <c r="B46" s="518"/>
      <c r="C46" s="518"/>
      <c r="D46" s="518"/>
      <c r="E46" s="409"/>
      <c r="F46" s="519"/>
    </row>
    <row r="47" spans="1:8" ht="12.75" customHeight="1">
      <c r="A47" s="512" t="s">
        <v>121</v>
      </c>
      <c r="B47" s="393">
        <f>E26-B26</f>
        <v>0</v>
      </c>
      <c r="C47" s="393"/>
      <c r="D47" s="393"/>
      <c r="E47" s="409"/>
      <c r="F47" s="502"/>
    </row>
    <row r="48" spans="1:8" ht="12.75" customHeight="1">
      <c r="A48" s="277" t="s">
        <v>123</v>
      </c>
      <c r="B48" s="518"/>
      <c r="C48" s="518"/>
      <c r="D48" s="518"/>
      <c r="E48" s="409"/>
      <c r="F48" s="519"/>
    </row>
    <row r="49" spans="1:8" ht="12.75" customHeight="1">
      <c r="A49" s="512" t="s">
        <v>121</v>
      </c>
      <c r="B49" s="393">
        <f>E38-B38</f>
        <v>0</v>
      </c>
      <c r="C49" s="393"/>
      <c r="D49" s="393"/>
      <c r="E49" s="409"/>
      <c r="F49" s="502"/>
    </row>
    <row r="50" spans="1:8" ht="12.75" customHeight="1">
      <c r="F50" s="82"/>
      <c r="G50" s="82"/>
      <c r="H50" s="82"/>
    </row>
    <row r="51" spans="1:8" ht="12.75" customHeight="1">
      <c r="F51" s="82"/>
      <c r="G51" s="82"/>
      <c r="H51" s="82"/>
    </row>
    <row r="52" spans="1:8" ht="12.75" customHeight="1">
      <c r="A52" s="484" t="s">
        <v>4</v>
      </c>
      <c r="F52" s="82"/>
      <c r="G52" s="82"/>
      <c r="H52" s="82"/>
    </row>
    <row r="53" spans="1:8" ht="12.75" customHeight="1">
      <c r="A53" s="484"/>
      <c r="F53" s="82"/>
      <c r="G53" s="82"/>
      <c r="H53" s="82"/>
    </row>
    <row r="54" spans="1:8" ht="12.75" customHeight="1">
      <c r="A54" s="484" t="s">
        <v>5</v>
      </c>
      <c r="F54" s="82"/>
      <c r="G54" s="82"/>
      <c r="H54" s="82"/>
    </row>
  </sheetData>
  <sheetProtection algorithmName="SHA-512" hashValue="Fek6B+kgURlMK/+2xoCZzcl61NeZdUsUDck8Y+OXmva7UppkJKWULXVOw8AAYUOnelRzNot82fyGJNVg7SAVOQ==" saltValue="YB9LC5nIH88+HoOkDkWT/A==" spinCount="100000" sheet="1" objects="1" scenarios="1"/>
  <mergeCells count="5">
    <mergeCell ref="C3:D3"/>
    <mergeCell ref="A3:A4"/>
    <mergeCell ref="B3:B4"/>
    <mergeCell ref="E3:E4"/>
    <mergeCell ref="A1:D1"/>
  </mergeCells>
  <phoneticPr fontId="15" type="noConversion"/>
  <dataValidations count="2">
    <dataValidation type="whole" operator="greaterThanOrEqual" allowBlank="1" showErrorMessage="1" error="Введите как целое число." sqref="B39 C19:E24 B6:E12 B14 B19:B25 B27:B28 B35:E37" xr:uid="{00000000-0002-0000-0900-000000000000}">
      <formula1>0</formula1>
    </dataValidation>
    <dataValidation type="whole" operator="greaterThanOrEqual" allowBlank="1" showInputMessage="1" showErrorMessage="1" prompt="Ввести как положительное число." sqref="C28:D28 C39:D39 C14:D14" xr:uid="{00000000-0002-0000-0900-000001000000}">
      <formula1>0</formula1>
    </dataValidation>
  </dataValidations>
  <printOptions horizontalCentered="1" verticalCentered="1"/>
  <pageMargins left="0.27559055118110237" right="0.23622047244094491" top="0.43307086614173229" bottom="0.98425196850393704" header="0.51181102362204722" footer="0.51181102362204722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Balance</vt:lpstr>
      <vt:lpstr>Bank Capital Calc (2)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Capital Calc (2)'!Область_печати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Xudoyberdiyev Shohzod Bobir o'g'li</cp:lastModifiedBy>
  <cp:lastPrinted>2021-12-06T15:52:45Z</cp:lastPrinted>
  <dcterms:created xsi:type="dcterms:W3CDTF">2014-01-27T05:06:32Z</dcterms:created>
  <dcterms:modified xsi:type="dcterms:W3CDTF">2022-01-12T06:47:08Z</dcterms:modified>
</cp:coreProperties>
</file>