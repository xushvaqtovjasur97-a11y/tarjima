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ЭтаКнига" defaultThemeVersion="124226"/>
  <mc:AlternateContent xmlns:mc="http://schemas.openxmlformats.org/markup-compatibility/2006">
    <mc:Choice Requires="x15">
      <x15ac:absPath xmlns:x15ac="http://schemas.microsoft.com/office/spreadsheetml/2010/11/ac" url="\\alb-fs.aloqabank.local\Profiles$\islombek\Desktop\23 talik Islom\2023.12.31\sb\"/>
    </mc:Choice>
  </mc:AlternateContent>
  <xr:revisionPtr revIDLastSave="0" documentId="13_ncr:1_{D2539528-F0CB-40A2-8528-7832AD451A8B}" xr6:coauthVersionLast="45" xr6:coauthVersionMax="45" xr10:uidLastSave="{00000000-0000-0000-0000-000000000000}"/>
  <bookViews>
    <workbookView xWindow="-120" yWindow="-120" windowWidth="29040" windowHeight="15840" tabRatio="889" activeTab="5" xr2:uid="{00000000-000D-0000-FFFF-FFFF00000000}"/>
  </bookViews>
  <sheets>
    <sheet name="Bank Capital Calc" sheetId="27" r:id="rId1"/>
    <sheet name="Bank Capital Calc (2)" sheetId="41" state="hidden" r:id="rId2"/>
    <sheet name="Calculation of Risk Weighted As" sheetId="5" r:id="rId3"/>
    <sheet name="Calculation of Risk Weighte нац" sheetId="38" r:id="rId4"/>
    <sheet name="Calculation of Risk Weighte ин" sheetId="39" r:id="rId5"/>
    <sheet name="Calculation of Risk" sheetId="23" r:id="rId6"/>
  </sheets>
  <externalReferences>
    <externalReference r:id="rId7"/>
    <externalReference r:id="rId8"/>
    <externalReference r:id="rId9"/>
    <externalReference r:id="rId10"/>
    <externalReference r:id="rId11"/>
    <externalReference r:id="rId12"/>
    <externalReference r:id="rId13"/>
  </externalReferences>
  <definedNames>
    <definedName name="____add21" hidden="1">[1]tab17!#REF!</definedName>
    <definedName name="___add21" hidden="1">[1]tab17!#REF!</definedName>
    <definedName name="__123Graph_A" hidden="1">'[2]tab 19'!#REF!</definedName>
    <definedName name="__123Graph_B" hidden="1">[3]tab17!#REF!</definedName>
    <definedName name="__123Graph_X" hidden="1">[3]tab17!#REF!</definedName>
    <definedName name="__2__123Graph_ACHART_1" hidden="1">[4]A!$C$31:$AJ$31</definedName>
    <definedName name="__4__123Graph_ACHART_2" hidden="1">[4]A!$C$31:$AJ$31</definedName>
    <definedName name="__add21" hidden="1">[1]tab17!#REF!</definedName>
    <definedName name="_10__123Graph_AREALEX_WAGE" hidden="1">'[2]tab 19'!#REF!</definedName>
    <definedName name="_10__123Graph_BCHART_2" hidden="1">[4]A!$C$36:$AJ$36</definedName>
    <definedName name="_10__123Graph_BREALEX_WAGE" hidden="1">#REF!</definedName>
    <definedName name="_11__123Graph_BCHART_1" hidden="1">[4]A!$C$28:$AJ$28</definedName>
    <definedName name="_12__123Graph_BREALEX_WAGE" hidden="1">#REF!</definedName>
    <definedName name="_12__123Graph_CCHART_1" hidden="1">[4]A!$C$24:$AJ$24</definedName>
    <definedName name="_13__123Graph_BCHART_1" hidden="1">[4]A!$C$28:$AJ$28</definedName>
    <definedName name="_14__123Graph_BCHART_2" hidden="1">[4]A!$C$36:$AJ$36</definedName>
    <definedName name="_14__123Graph_CCHART_1" hidden="1">[4]A!$C$24:$AJ$24</definedName>
    <definedName name="_14__123Graph_CCHART_2" hidden="1">[4]A!$C$38:$AJ$38</definedName>
    <definedName name="_16__123Graph_BCHART_2" hidden="1">[4]A!$C$36:$AJ$36</definedName>
    <definedName name="_16__123Graph_BREALEX_WAGE" hidden="1">#REF!</definedName>
    <definedName name="_16__123Graph_CCHART_2" hidden="1">[4]A!$C$38:$AJ$38</definedName>
    <definedName name="_16__123Graph_XCHART_1" hidden="1">[4]A!$C$5:$AJ$5</definedName>
    <definedName name="_18__123Graph_XCHART_1" hidden="1">[4]A!$C$5:$AJ$5</definedName>
    <definedName name="_18__123Graph_XCHART_2" hidden="1">[4]A!$C$39:$AJ$39</definedName>
    <definedName name="_19__123Graph_CCHART_1" hidden="1">[4]A!$C$24:$AJ$24</definedName>
    <definedName name="_19__123Graph_XREALEX_WAGE" hidden="1">#REF!</definedName>
    <definedName name="_2__123Graph_ACHART_1" hidden="1">[4]A!$C$31:$AJ$31</definedName>
    <definedName name="_20__123Graph_BREALEX_WAGE" hidden="1">#REF!</definedName>
    <definedName name="_20__123Graph_XCHART_2" hidden="1">[4]A!$C$39:$AJ$39</definedName>
    <definedName name="_22__123Graph_CCHART_2" hidden="1">[4]A!$C$38:$AJ$38</definedName>
    <definedName name="_22__123Graph_XREALEX_WAGE" hidden="1">#REF!</definedName>
    <definedName name="_23__123Graph_CCHART_1" hidden="1">[4]A!$C$24:$AJ$24</definedName>
    <definedName name="_25__123Graph_XCHART_1" hidden="1">[4]A!$C$5:$AJ$5</definedName>
    <definedName name="_26__123Graph_CCHART_2" hidden="1">[4]A!$C$38:$AJ$38</definedName>
    <definedName name="_28__123Graph_XCHART_2" hidden="1">[4]A!$C$39:$AJ$39</definedName>
    <definedName name="_29__123Graph_XCHART_1" hidden="1">[4]A!$C$5:$AJ$5</definedName>
    <definedName name="_3__123Graph_ACHART_1" hidden="1">[4]A!$C$31:$AJ$31</definedName>
    <definedName name="_30__123Graph_XREALEX_WAGE" hidden="1">#REF!</definedName>
    <definedName name="_32__123Graph_XCHART_2" hidden="1">[4]A!$C$39:$AJ$39</definedName>
    <definedName name="_36__123Graph_XREALEX_WAGE" hidden="1">#REF!</definedName>
    <definedName name="_4__123Graph_ACHART_2" hidden="1">[4]A!$C$31:$AJ$31</definedName>
    <definedName name="_5__123Graph_AREALEX_WAGE" hidden="1">'[2]tab 19'!#REF!</definedName>
    <definedName name="_6__123Graph_ACHART_2" hidden="1">[4]A!$C$31:$AJ$31</definedName>
    <definedName name="_6__123Graph_AREALEX_WAGE" hidden="1">'[5]tab 19'!#REF!</definedName>
    <definedName name="_7__123Graph_BCHART_1" hidden="1">[4]A!$C$28:$AJ$28</definedName>
    <definedName name="_8__123Graph_AREALEX_WAGE" hidden="1">'[2]tab 19'!#REF!</definedName>
    <definedName name="_8__123Graph_BCHART_1" hidden="1">[4]A!$C$28:$AJ$28</definedName>
    <definedName name="_9__123Graph_BCHART_2" hidden="1">[4]A!$C$36:$AJ$36</definedName>
    <definedName name="_add21" hidden="1">[1]tab17!#REF!</definedName>
    <definedName name="_Key1" hidden="1">#REF!</definedName>
    <definedName name="_Key2" hidden="1">#REF!</definedName>
    <definedName name="_Order1" hidden="1">255</definedName>
    <definedName name="_Order2" hidden="1">0</definedName>
    <definedName name="_Parse_Out" hidden="1">#REF!</definedName>
    <definedName name="_Sort" hidden="1">#REF!</definedName>
    <definedName name="jop" localSheetId="1">#REF!</definedName>
    <definedName name="kol" localSheetId="1">#REF!</definedName>
    <definedName name="TwentyLargestData" localSheetId="1">#REF!</definedName>
    <definedName name="wrn.WEO." hidden="1">{"WEO",#N/A,FALSE,"T"}</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ддд" hidden="1">{"MONA",#N/A,FALSE,"S"}</definedName>
    <definedName name="Е" localSheetId="1">#REF!</definedName>
    <definedName name="_xlnm.Print_Area" localSheetId="0">'Bank Capital Calc'!$A$1:$C$57</definedName>
    <definedName name="_xlnm.Print_Area" localSheetId="1">'Bank Capital Calc (2)'!$A$1:$C$55</definedName>
    <definedName name="_xlnm.Print_Area" localSheetId="5">'Calculation of Risk'!$A$1:$C$28</definedName>
    <definedName name="_xlnm.Print_Area" localSheetId="4">'Calculation of Risk Weighte ин'!$A$1:$J$75</definedName>
    <definedName name="_xlnm.Print_Area" localSheetId="3">'Calculation of Risk Weighte нац'!$A$1:$J$75</definedName>
    <definedName name="_xlnm.Print_Area" localSheetId="2">'Calculation of Risk Weighted As'!$A$1:$J$75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27" i="27" l="1"/>
  <c r="H43" i="39"/>
  <c r="F38" i="27" l="1"/>
  <c r="E24" i="27"/>
  <c r="L62" i="38"/>
  <c r="L57" i="38"/>
  <c r="L55" i="38"/>
  <c r="L62" i="39"/>
  <c r="L57" i="39"/>
  <c r="L55" i="39"/>
  <c r="L62" i="5"/>
  <c r="L57" i="5"/>
  <c r="L55" i="5"/>
  <c r="J39" i="39" l="1"/>
  <c r="J40" i="39"/>
  <c r="J41" i="39"/>
  <c r="K62" i="38" l="1"/>
  <c r="K57" i="38"/>
  <c r="K55" i="38"/>
  <c r="K62" i="5"/>
  <c r="K57" i="5"/>
  <c r="K55" i="5"/>
  <c r="M57" i="38" l="1"/>
  <c r="M55" i="38"/>
  <c r="M62" i="38"/>
  <c r="E72" i="38"/>
  <c r="H71" i="39"/>
  <c r="G71" i="39"/>
  <c r="E71" i="39"/>
  <c r="D71" i="39"/>
  <c r="H70" i="39"/>
  <c r="G70" i="39"/>
  <c r="E70" i="39"/>
  <c r="D70" i="39"/>
  <c r="H69" i="39"/>
  <c r="G69" i="39"/>
  <c r="E69" i="39"/>
  <c r="D69" i="39"/>
  <c r="H67" i="39"/>
  <c r="G67" i="39"/>
  <c r="E67" i="39"/>
  <c r="D67" i="39"/>
  <c r="H66" i="39"/>
  <c r="G66" i="39"/>
  <c r="E66" i="39"/>
  <c r="D66" i="39"/>
  <c r="H65" i="39"/>
  <c r="G65" i="39"/>
  <c r="E65" i="39"/>
  <c r="D65" i="39"/>
  <c r="J62" i="39"/>
  <c r="H62" i="39"/>
  <c r="G62" i="39"/>
  <c r="E62" i="39"/>
  <c r="D62" i="39"/>
  <c r="J61" i="39"/>
  <c r="H61" i="39"/>
  <c r="G61" i="39"/>
  <c r="E61" i="39"/>
  <c r="D61" i="39"/>
  <c r="J60" i="39"/>
  <c r="H60" i="39"/>
  <c r="G60" i="39"/>
  <c r="E60" i="39"/>
  <c r="D60" i="39"/>
  <c r="J59" i="39"/>
  <c r="H59" i="39"/>
  <c r="G59" i="39"/>
  <c r="E59" i="39"/>
  <c r="D59" i="39"/>
  <c r="J57" i="39"/>
  <c r="I57" i="39"/>
  <c r="H57" i="39"/>
  <c r="G57" i="39"/>
  <c r="E57" i="39"/>
  <c r="D57" i="39"/>
  <c r="H56" i="39"/>
  <c r="G56" i="39"/>
  <c r="E56" i="39"/>
  <c r="D56" i="39"/>
  <c r="J55" i="39"/>
  <c r="I55" i="39"/>
  <c r="H55" i="39"/>
  <c r="G55" i="39"/>
  <c r="E55" i="39"/>
  <c r="D55" i="39"/>
  <c r="J54" i="39"/>
  <c r="I54" i="39"/>
  <c r="H54" i="39"/>
  <c r="G54" i="39"/>
  <c r="E54" i="39"/>
  <c r="D54" i="39"/>
  <c r="K57" i="39" l="1"/>
  <c r="M57" i="39" s="1"/>
  <c r="K62" i="39"/>
  <c r="M62" i="39" s="1"/>
  <c r="K55" i="39"/>
  <c r="M55" i="39" s="1"/>
  <c r="D47" i="38"/>
  <c r="E47" i="38"/>
  <c r="F47" i="38"/>
  <c r="G47" i="38"/>
  <c r="H47" i="38"/>
  <c r="I47" i="38"/>
  <c r="J47" i="38"/>
  <c r="J47" i="5"/>
  <c r="I47" i="5"/>
  <c r="C54" i="27" l="1"/>
  <c r="C55" i="27"/>
  <c r="J73" i="5"/>
  <c r="J72" i="5"/>
  <c r="I73" i="5"/>
  <c r="I72" i="5"/>
  <c r="H73" i="5"/>
  <c r="G73" i="5"/>
  <c r="F73" i="5"/>
  <c r="M57" i="5" l="1"/>
  <c r="M55" i="5"/>
  <c r="M62" i="5" l="1"/>
  <c r="J73" i="39" l="1"/>
  <c r="I73" i="39"/>
  <c r="H73" i="39"/>
  <c r="G73" i="39"/>
  <c r="F73" i="39"/>
  <c r="E73" i="39"/>
  <c r="D73" i="39"/>
  <c r="J72" i="39"/>
  <c r="I72" i="39"/>
  <c r="H72" i="39"/>
  <c r="G72" i="39"/>
  <c r="F72" i="39"/>
  <c r="E72" i="39"/>
  <c r="D72" i="39"/>
  <c r="J73" i="38"/>
  <c r="I73" i="38"/>
  <c r="H73" i="38"/>
  <c r="G73" i="38"/>
  <c r="F73" i="38"/>
  <c r="E73" i="38"/>
  <c r="D73" i="38"/>
  <c r="J72" i="38"/>
  <c r="I72" i="38"/>
  <c r="H72" i="38"/>
  <c r="G72" i="38"/>
  <c r="F72" i="38"/>
  <c r="D72" i="38"/>
  <c r="E73" i="5"/>
  <c r="D73" i="5"/>
  <c r="H72" i="5"/>
  <c r="G72" i="5"/>
  <c r="F72" i="5"/>
  <c r="E72" i="5"/>
  <c r="D72" i="5"/>
  <c r="J74" i="39" l="1"/>
  <c r="J74" i="38"/>
  <c r="J74" i="5"/>
  <c r="H47" i="5" l="1"/>
  <c r="G47" i="5"/>
  <c r="F47" i="5"/>
  <c r="E47" i="5"/>
  <c r="D47" i="5"/>
  <c r="D45" i="39" l="1"/>
  <c r="J31" i="39"/>
  <c r="I31" i="39"/>
  <c r="H31" i="39"/>
  <c r="J28" i="39"/>
  <c r="I28" i="39"/>
  <c r="H28" i="39"/>
  <c r="J29" i="39"/>
  <c r="I29" i="39"/>
  <c r="H29" i="39"/>
  <c r="D31" i="39"/>
  <c r="D29" i="39"/>
  <c r="J38" i="39" l="1"/>
  <c r="J37" i="39"/>
  <c r="D43" i="39" l="1"/>
  <c r="J44" i="39"/>
  <c r="J43" i="39"/>
  <c r="D25" i="39"/>
  <c r="E14" i="39"/>
  <c r="I18" i="39" l="1"/>
  <c r="H18" i="39"/>
  <c r="G18" i="39"/>
  <c r="E18" i="39"/>
  <c r="D18" i="39"/>
  <c r="D14" i="39" l="1"/>
  <c r="E13" i="39"/>
  <c r="F46" i="39" l="1"/>
  <c r="G46" i="39"/>
  <c r="H46" i="39"/>
  <c r="I46" i="39"/>
  <c r="J46" i="39"/>
  <c r="I38" i="39" l="1"/>
  <c r="C7" i="27" l="1"/>
  <c r="D16" i="39" l="1"/>
  <c r="I48" i="38" l="1"/>
  <c r="H48" i="38"/>
  <c r="G48" i="38"/>
  <c r="F48" i="38"/>
  <c r="E48" i="38"/>
  <c r="F48" i="5"/>
  <c r="J48" i="5"/>
  <c r="I48" i="5"/>
  <c r="G48" i="5"/>
  <c r="E48" i="5"/>
  <c r="D42" i="39"/>
  <c r="D39" i="39"/>
  <c r="E46" i="39"/>
  <c r="D46" i="39"/>
  <c r="H42" i="39"/>
  <c r="H41" i="39"/>
  <c r="J33" i="39"/>
  <c r="J32" i="39"/>
  <c r="I32" i="39"/>
  <c r="J30" i="39"/>
  <c r="I30" i="39"/>
  <c r="I37" i="39"/>
  <c r="H36" i="39"/>
  <c r="H35" i="39"/>
  <c r="D24" i="39"/>
  <c r="D23" i="39"/>
  <c r="D22" i="39"/>
  <c r="H32" i="39"/>
  <c r="H30" i="39"/>
  <c r="H27" i="39"/>
  <c r="H26" i="39"/>
  <c r="I27" i="39"/>
  <c r="G27" i="39"/>
  <c r="F27" i="39"/>
  <c r="E24" i="39"/>
  <c r="E20" i="39"/>
  <c r="D20" i="39"/>
  <c r="H19" i="39"/>
  <c r="I20" i="39"/>
  <c r="H20" i="39"/>
  <c r="G20" i="39"/>
  <c r="I17" i="39"/>
  <c r="H17" i="39"/>
  <c r="G17" i="39"/>
  <c r="I16" i="39"/>
  <c r="H16" i="39"/>
  <c r="G16" i="39"/>
  <c r="I15" i="39"/>
  <c r="H15" i="39"/>
  <c r="G15" i="39"/>
  <c r="D17" i="39"/>
  <c r="E17" i="39"/>
  <c r="E16" i="39"/>
  <c r="E15" i="39"/>
  <c r="D15" i="39"/>
  <c r="D13" i="39"/>
  <c r="I11" i="39"/>
  <c r="H11" i="39"/>
  <c r="G11" i="39"/>
  <c r="E11" i="39"/>
  <c r="E10" i="39"/>
  <c r="E9" i="39"/>
  <c r="D10" i="39"/>
  <c r="I47" i="39" l="1"/>
  <c r="I48" i="39" s="1"/>
  <c r="E47" i="39"/>
  <c r="E48" i="39" s="1"/>
  <c r="J47" i="39"/>
  <c r="J48" i="39" s="1"/>
  <c r="G47" i="39"/>
  <c r="G48" i="39" s="1"/>
  <c r="H47" i="39"/>
  <c r="H48" i="39" s="1"/>
  <c r="F47" i="39"/>
  <c r="F48" i="39" s="1"/>
  <c r="K47" i="38"/>
  <c r="K47" i="5"/>
  <c r="J48" i="38"/>
  <c r="J49" i="38" s="1"/>
  <c r="J75" i="38" s="1"/>
  <c r="H48" i="5"/>
  <c r="J49" i="39" l="1"/>
  <c r="J75" i="39" s="1"/>
  <c r="J49" i="5" l="1"/>
  <c r="J75" i="5" s="1"/>
  <c r="C46" i="27" s="1"/>
  <c r="C3" i="23" l="1"/>
  <c r="B2" i="23" s="1"/>
  <c r="D6" i="23" s="1"/>
  <c r="H2" i="39"/>
  <c r="H2" i="38"/>
  <c r="H2" i="5"/>
  <c r="B3" i="23"/>
  <c r="B2" i="39"/>
  <c r="B2" i="38"/>
  <c r="B2" i="5"/>
  <c r="B10" i="23" l="1"/>
  <c r="C28" i="23"/>
  <c r="B15" i="23"/>
  <c r="B5" i="23"/>
  <c r="D8" i="39"/>
  <c r="D47" i="39" s="1"/>
  <c r="C52" i="41" l="1"/>
  <c r="C25" i="41"/>
  <c r="C31" i="41" s="1"/>
  <c r="C54" i="41"/>
  <c r="C3" i="41"/>
  <c r="B3" i="41"/>
  <c r="C26" i="23" l="1"/>
  <c r="D26" i="23" l="1"/>
  <c r="C33" i="27"/>
  <c r="C15" i="23" l="1"/>
  <c r="C10" i="23"/>
  <c r="C5" i="23"/>
  <c r="K47" i="39" l="1"/>
  <c r="C11" i="27" l="1"/>
  <c r="C18" i="27" l="1"/>
  <c r="E25" i="27" s="1"/>
  <c r="C53" i="41" l="1"/>
  <c r="C20" i="23"/>
  <c r="C21" i="23" l="1"/>
  <c r="C47" i="27" s="1"/>
  <c r="E46" i="41" l="1"/>
  <c r="C45" i="41"/>
  <c r="C44" i="41"/>
  <c r="D52" i="41"/>
  <c r="C27" i="23"/>
  <c r="C48" i="27" s="1"/>
  <c r="C45" i="27" l="1"/>
  <c r="C46" i="41"/>
  <c r="C43" i="41" s="1"/>
  <c r="C35" i="41" s="1"/>
  <c r="C40" i="41" s="1"/>
  <c r="C37" i="27" l="1"/>
  <c r="C51" i="41"/>
  <c r="C42" i="27" l="1"/>
  <c r="F39" i="27" l="1"/>
  <c r="C19" i="27" l="1"/>
  <c r="C25" i="27" l="1"/>
  <c r="C56" i="27"/>
  <c r="C34" i="27" l="1"/>
  <c r="C49" i="27"/>
  <c r="C41" i="27" l="1"/>
  <c r="C50" i="27"/>
  <c r="C43" i="27" l="1"/>
  <c r="C44" i="27"/>
  <c r="C51" i="27" l="1"/>
  <c r="L47" i="39"/>
  <c r="M47" i="39" s="1"/>
  <c r="L47" i="38" l="1"/>
  <c r="M47" i="38" s="1"/>
  <c r="C53" i="27" l="1"/>
  <c r="C52" i="27" s="1"/>
  <c r="L47" i="5"/>
  <c r="M47" i="5" s="1"/>
  <c r="C57" i="27" l="1"/>
</calcChain>
</file>

<file path=xl/sharedStrings.xml><?xml version="1.0" encoding="utf-8"?>
<sst xmlns="http://schemas.openxmlformats.org/spreadsheetml/2006/main" count="750" uniqueCount="303">
  <si>
    <t>Подпись Председателя правления:</t>
  </si>
  <si>
    <t>Подпись Главного Бухгалтера:</t>
  </si>
  <si>
    <t xml:space="preserve">Итого капитала </t>
  </si>
  <si>
    <t>Резерв на девальвацию</t>
  </si>
  <si>
    <t>Инвестиции в капитал других банков</t>
  </si>
  <si>
    <t>Излишки оценочной стоимости прироста над первоначальной стоимостью</t>
  </si>
  <si>
    <t>Субординированный долг</t>
  </si>
  <si>
    <t>Операционный риск</t>
  </si>
  <si>
    <t>Рыночный риск</t>
  </si>
  <si>
    <t>VI</t>
  </si>
  <si>
    <t>VII</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</si>
  <si>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</si>
  <si>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</si>
  <si>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Резервы, создаваемые на стандартные кредиты (активы), в размере не более 1.25% от общей суммы активов, взвешенных с учетом риска</t>
  </si>
  <si>
    <t>Сумма балансовых и забалансовых активов, взвешенных с учетом риска</t>
  </si>
  <si>
    <t>б.</t>
  </si>
  <si>
    <t>в.</t>
  </si>
  <si>
    <t>Активы для расчета левеража</t>
  </si>
  <si>
    <t>Итого капитала Уровня II</t>
  </si>
  <si>
    <t>СКОРРЕКТИРОВАННЫЙ КАПИТАЛ УРОВНЯ II</t>
  </si>
  <si>
    <t>IX</t>
  </si>
  <si>
    <t>X</t>
  </si>
  <si>
    <t>XI</t>
  </si>
  <si>
    <t xml:space="preserve">Общие активы </t>
  </si>
  <si>
    <t>Коэффициент левеража</t>
  </si>
  <si>
    <t>Характеристики</t>
  </si>
  <si>
    <t>(A)</t>
  </si>
  <si>
    <t>(Б)</t>
  </si>
  <si>
    <t>(В)</t>
  </si>
  <si>
    <t>(Г)</t>
  </si>
  <si>
    <t>I.</t>
  </si>
  <si>
    <t>a</t>
  </si>
  <si>
    <t>Полностью оплаченные обыкновенные акции</t>
  </si>
  <si>
    <t>б</t>
  </si>
  <si>
    <t>Минус: Обратно Выкупленные обыкновенные акции</t>
  </si>
  <si>
    <t>в</t>
  </si>
  <si>
    <t xml:space="preserve">Некумулятивные бессрочные привилегированные акции </t>
  </si>
  <si>
    <t>а</t>
  </si>
  <si>
    <t>Полностью оплаченные привилегированные акции</t>
  </si>
  <si>
    <t>Минус: Обратно Выкупленные привилегированные акции</t>
  </si>
  <si>
    <t xml:space="preserve">Капитальные резервы </t>
  </si>
  <si>
    <t xml:space="preserve">Нераспределенная прибыль </t>
  </si>
  <si>
    <t>г</t>
  </si>
  <si>
    <t xml:space="preserve">Интерес меньшинства в консолидированных дочерних компаниях (согласно МБС) </t>
  </si>
  <si>
    <t>II</t>
  </si>
  <si>
    <t xml:space="preserve">Нематериальные активы </t>
  </si>
  <si>
    <t>III</t>
  </si>
  <si>
    <t>IV</t>
  </si>
  <si>
    <t>КАПИТАЛ УРОВНЯ II</t>
  </si>
  <si>
    <t xml:space="preserve">Вычеты превышения Капитала Уровня II над Капиталом Уровня I </t>
  </si>
  <si>
    <t>V</t>
  </si>
  <si>
    <t>VIII</t>
  </si>
  <si>
    <t>№</t>
  </si>
  <si>
    <t>(Д)</t>
  </si>
  <si>
    <t>(Е)</t>
  </si>
  <si>
    <t>1.</t>
  </si>
  <si>
    <t>а.</t>
  </si>
  <si>
    <t>(Ж)</t>
  </si>
  <si>
    <t>а1</t>
  </si>
  <si>
    <t>а2</t>
  </si>
  <si>
    <t>а3</t>
  </si>
  <si>
    <t>б1</t>
  </si>
  <si>
    <t>б2</t>
  </si>
  <si>
    <t>б3</t>
  </si>
  <si>
    <t>(З)</t>
  </si>
  <si>
    <t>2.</t>
  </si>
  <si>
    <t>3.</t>
  </si>
  <si>
    <t>4.</t>
  </si>
  <si>
    <t>5.</t>
  </si>
  <si>
    <t>6.</t>
  </si>
  <si>
    <t>7.</t>
  </si>
  <si>
    <t>8.</t>
  </si>
  <si>
    <t>9.</t>
  </si>
  <si>
    <t>12.</t>
  </si>
  <si>
    <t>13.</t>
  </si>
  <si>
    <t>14.</t>
  </si>
  <si>
    <t>15.</t>
  </si>
  <si>
    <t>16.</t>
  </si>
  <si>
    <t>17.</t>
  </si>
  <si>
    <t>10.</t>
  </si>
  <si>
    <t>11.</t>
  </si>
  <si>
    <t>Формула</t>
  </si>
  <si>
    <t xml:space="preserve">КАПИТАЛ УРОВНЯ 1 </t>
  </si>
  <si>
    <t>ОСНОВНОЙ КАПИТАЛ УРОВНЯ 1</t>
  </si>
  <si>
    <t>Обыкновенные Акции, чистые</t>
  </si>
  <si>
    <t>Добавленный капитал - Обыкновенные</t>
  </si>
  <si>
    <t>1.1.</t>
  </si>
  <si>
    <t>1.2.</t>
  </si>
  <si>
    <t>1.3.</t>
  </si>
  <si>
    <t>Нераспределенная прибыль (убыток), в том числе капитальные резервы</t>
  </si>
  <si>
    <t xml:space="preserve">Убыток за предыдущие периоды </t>
  </si>
  <si>
    <t xml:space="preserve">Убыток за текущий год </t>
  </si>
  <si>
    <t>1.4.</t>
  </si>
  <si>
    <t>1.5.</t>
  </si>
  <si>
    <t xml:space="preserve">Итого основного капитала уровня I до вычетов </t>
  </si>
  <si>
    <t>Вычеты из суммы основного капитала уровня I</t>
  </si>
  <si>
    <t>I</t>
  </si>
  <si>
    <t>ВСЕГО СКОРРЕКТИРОВАННЫЙ ОСНОВНОЙ КАПИТАЛ УРОВНЯ I</t>
  </si>
  <si>
    <t>ДОБАВЛЕННЫЙ КАПИТАЛ УРОВНЯ 1</t>
  </si>
  <si>
    <t>2.1.</t>
  </si>
  <si>
    <t>2.2.</t>
  </si>
  <si>
    <t xml:space="preserve">Добавленный капитал - Привилегированные </t>
  </si>
  <si>
    <t>2.3.</t>
  </si>
  <si>
    <t>Интерес меньшинства в консолидированных дочерних компаниях</t>
  </si>
  <si>
    <t>2.4.</t>
  </si>
  <si>
    <t>ВСЕГО ДОБАВЛЕННЫЙ КАПИТАЛ УРОВНЯ I</t>
  </si>
  <si>
    <t>ВСЕГО СКОРРЕКТИРОВАННЫЙ КАПИТАЛ УРОВНЯ I</t>
  </si>
  <si>
    <t>3.1.</t>
  </si>
  <si>
    <t>3.2.</t>
  </si>
  <si>
    <t>3.3.</t>
  </si>
  <si>
    <t>3.4.</t>
  </si>
  <si>
    <t>Другие инструменты капитала (не более 1/3 части капитала 1 уровня после вычетов)</t>
  </si>
  <si>
    <t>3.5.</t>
  </si>
  <si>
    <t>3.6.</t>
  </si>
  <si>
    <t xml:space="preserve">ВСЕГО РЕГУЛЯТИВНЫЙ КАПИТАЛ </t>
  </si>
  <si>
    <t>ОБЩАЯ  СУММА АКТИВОВ ВЗВЕШЕННЫХ С УЧЕТОМ РИСКА</t>
  </si>
  <si>
    <t>КОЭФФИЦИЕНТ ОСНОВНОГО КАПИТАЛА УРОВНЯ I (I/VI)</t>
  </si>
  <si>
    <t>КОЭФФИЦИЕНТ КАПИТАЛА УРОВНЯ I (III/VI)</t>
  </si>
  <si>
    <t>КОЭФФИЦИЕНТ ОБЩЕЙ СУММЫ КАПИТАЛА, ОСНОВАННОГО НА РИСКЕ (V/VI)</t>
  </si>
  <si>
    <t>Забалансовые инструменты</t>
  </si>
  <si>
    <t>Деривативные (производные) инструменты</t>
  </si>
  <si>
    <t xml:space="preserve">Минус: Строка 1.6. Итого вычетов из суммы основного капитала Уровня 1 </t>
  </si>
  <si>
    <t>1.6.</t>
  </si>
  <si>
    <t>г.</t>
  </si>
  <si>
    <t>Резервы созданные по стандартным активам</t>
  </si>
  <si>
    <t>Таблица-5</t>
  </si>
  <si>
    <t>РАСЧЕТ РЕГУЛЯТИВНОГО КАПИТАЛА БАНКА</t>
  </si>
  <si>
    <t xml:space="preserve">Прибыль за текущий год </t>
  </si>
  <si>
    <t>д</t>
  </si>
  <si>
    <t>БАНКНИНГ РЕГУЛЯТИВ КАПИТАЛИ ҲИСОБ-КИТОБИ</t>
  </si>
  <si>
    <t>5-жадвал</t>
  </si>
  <si>
    <t>Кўрсаткичлар</t>
  </si>
  <si>
    <t>I ДАРАЖАЛИ КАПИТАЛ</t>
  </si>
  <si>
    <t>I ДАРАЖАЛИ АСОСИЙ КАПИТАЛ</t>
  </si>
  <si>
    <t>Оддий акциялар, нетто</t>
  </si>
  <si>
    <t>Тўлиқ тўланган оддий акциялар</t>
  </si>
  <si>
    <t>Минус: Қайта сотиб олинган оддий акциялар</t>
  </si>
  <si>
    <t>Қўшимча капитал (оддий)</t>
  </si>
  <si>
    <t>Тақсимланмаган фойда (зарар), шу жумладан капитал захиралар</t>
  </si>
  <si>
    <t>Капитал ва бошқа захиралар</t>
  </si>
  <si>
    <t>Тақсимланмаган фойда</t>
  </si>
  <si>
    <t>Ўтган даврлар (йиллар) учун зарарлар</t>
  </si>
  <si>
    <t>Жорий йил учун зарар</t>
  </si>
  <si>
    <t>Озчилик улуш эгаларининг банк йиғма балансига бирлашадиган корхоналардаги улушлари</t>
  </si>
  <si>
    <t>Девальвация захираси</t>
  </si>
  <si>
    <t>Чегирмалар ҳисоблангунга қадар жами I даражали асосий капитал</t>
  </si>
  <si>
    <t>1.7.</t>
  </si>
  <si>
    <t>I даражали асосий капиталдан чегирмалар</t>
  </si>
  <si>
    <t>Номоддий активлар (бундан банкнинг дастурий таъминотлари мустасно)</t>
  </si>
  <si>
    <t>Бошқа банкларнинг капиталига қилинган инвестициялар</t>
  </si>
  <si>
    <t>Банк томонидан муаммоли активлар бўйича қўшимча шакллантирилиши лозим бўлган захиралар</t>
  </si>
  <si>
    <t>Банкка алоқадор бир ёки барча шахслар учун таваккалчиликнинг белгиланган энг кўп миқдоридан ортиқ қиймати</t>
  </si>
  <si>
    <t>I ДАРАЖАЛИ ҚЎШИМЧА КАПИТАЛ</t>
  </si>
  <si>
    <t>Нокумулятив муддатсиз имтиёзли акциялар</t>
  </si>
  <si>
    <t>Тўлиқ тўланган имтиёзли акциялар</t>
  </si>
  <si>
    <t>Минус: Қайтиб сотиб олинган имтиёзли акциялар</t>
  </si>
  <si>
    <t>Қўшилган капитал (имтиёзли)</t>
  </si>
  <si>
    <t>Шўъба корхоналарнинг улушлари (шўъба корхоналар томонидан чиқарилган ва капиталга тенглаштирилган учинчи шахслар эгалик қиладиган воситалар)</t>
  </si>
  <si>
    <t>ЖАМИ I ДАРАЖАЛИ ҚЎШИМЧА КАПИТАЛ</t>
  </si>
  <si>
    <t>ЖАМИ ТЎҒРИЛАНГАН I ДАРАЖАЛИ КАПИТАЛ</t>
  </si>
  <si>
    <t>II ДАРАЖАЛИ КАПИТАЛ</t>
  </si>
  <si>
    <t>Жорий йил соф фойдаси</t>
  </si>
  <si>
    <t>Стандарт активларга яратилган захиралар</t>
  </si>
  <si>
    <t>Чегирмалардан сўнг I даражали капиталнинг учдан бир қисмидан ошмаган миқдорда аралаш турдаги мажбуриятлар</t>
  </si>
  <si>
    <t>Субординар қарз</t>
  </si>
  <si>
    <t>Активларнинг бошланғич қийматига нисбатан баҳолаш қийматининг ошган суммасининг 45 фоизи миқдори</t>
  </si>
  <si>
    <t>II даражали капиталнинг I даражали капиталдан ортиқча қисми (чегирмаси)</t>
  </si>
  <si>
    <t>Жами II даражали капитал</t>
  </si>
  <si>
    <t>ЧЕГИРМАЛАРНИ ҲИСОБГА ОЛГАН ҲОЛДАГИ II ДАРАЖАЛИ КАПИТАЛ</t>
  </si>
  <si>
    <t>ЖАМИ РЕГУЛЯТИВ КАПИТАЛ</t>
  </si>
  <si>
    <t>ТАВАККАЛЧИЛИККА ТОРТИЛГАН АКТИВЛАР УМУМИЙ СУММАСИ</t>
  </si>
  <si>
    <t>Баланс ва балансдан ташқари активларнинг таваккалчиликни ҳисобга олган ҳолдаги активларнинг умумий суммаси</t>
  </si>
  <si>
    <t xml:space="preserve">Операцион таваккалчилик </t>
  </si>
  <si>
    <t>Бозор таваккалчилиги</t>
  </si>
  <si>
    <t>I ДАРАЖАЛИ АСОСИЙ КАПИТАЛНИНГ МОНАНДЛИК КОЭФФИЦИЕНТИ (I/VI)</t>
  </si>
  <si>
    <t>I ДАРАЖАЛИ КАПИТАЛНИНГ МОНАНДЛИК КОЭФФИЦИЕНТИ (III/VI)</t>
  </si>
  <si>
    <t>РЕГУЛЯТИВ КАПИТАЛНИНГ МОНАНДЛИК КОЭФФИЦИЕНТИ (V/VI)</t>
  </si>
  <si>
    <t>Левераж ҳисоб-китоби учун активлар</t>
  </si>
  <si>
    <t xml:space="preserve">Жами активлар </t>
  </si>
  <si>
    <t>Балансдан ташқари активлар</t>
  </si>
  <si>
    <t xml:space="preserve">Ҳосилавий (дереватив) воситалар </t>
  </si>
  <si>
    <t>Левераж коэффициенти</t>
  </si>
  <si>
    <t>6-жадвал</t>
  </si>
  <si>
    <t>ТАВАККАЛЧИЛИКНИ ҲИСОБГА ОЛГАН ҲОЛДАГИ АКТИВЛАР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</si>
  <si>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</si>
  <si>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</si>
  <si>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</si>
  <si>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</si>
  <si>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</si>
  <si>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</si>
  <si>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</si>
  <si>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</si>
  <si>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I. БАЛАНС АКТИВЛАРИ</t>
  </si>
  <si>
    <t>Кассадаги нақд пул ва бошқа тўлов ҳужжатлари ва қимматбаҳо металлар</t>
  </si>
  <si>
    <t>Йўлдаги нақд пуллар ва бошқа тўлов ҳужжатлари</t>
  </si>
  <si>
    <t>Банкнинг Марказий банкдаги маблағлар</t>
  </si>
  <si>
    <t>Қимматли қоғозлар (соф)</t>
  </si>
  <si>
    <t>Ўзбекистон Республикаси Ҳукумати ва Марказий банки томонидан чиқарилган қимматли қоғозлар</t>
  </si>
  <si>
    <t>Хорижий давлатларининг ҳукуматлари ва марказий банклари томонидан чиқарилган қимматли қоғозлар, шунингдек ушбу мамлакатларнинг марказий банклари ва ҳукуматларига нисбатан бошқа талаблар</t>
  </si>
  <si>
    <t>Ўзбекистон Республикаси ҳудудида чиқарилган бошқа қимматли қоғозлар</t>
  </si>
  <si>
    <t>Чет давлатлар томонидан чиқарилган бошқа қимматли қоғозлар</t>
  </si>
  <si>
    <t>Миллий валютага деноминация қилинмаган ва миллий валютада молиялаштириш суммасидан ошиб кетган активлар</t>
  </si>
  <si>
    <t>Хорижий давлатларнинг давлат секторлари (ҳукуматлар ва марказий банклар бундан мустасно) ва хорижий компаниялар бўйича банк талаблари, шунингдек уларнинг қимматли қоғозлари билан таъминланган ёки кафолатланган активлар (кредитлар ва қимматли қоғозлар бундан мустасно)</t>
  </si>
  <si>
    <t>Кредит ва лизинглар, соф</t>
  </si>
  <si>
    <t>Ўзбекистон Республикаси ҳукумати ва Марказий банкига тўғридан-тўғри берилган кредитлар</t>
  </si>
  <si>
    <t>Қисман ёки тўлиқ депозит билан таъминланган кредитлар</t>
  </si>
  <si>
    <t>Кредитлар/уларнинг қисмлари жорий бозор баҳосидаги ҳукумат, Марказий банк томонидан чиқарилган ёки кафолатланган қимматли қоғозлар билан таъминланган кредитлар/уларнинг қисмлари, шунингдек ҳукумат ва Марказий банк томонидан кафолатланган кредитлар/уларнинг қисмлари</t>
  </si>
  <si>
    <t>Дастлабки гаров ҳуқуқи банкка тегишли бўлмаган кредитлар</t>
  </si>
  <si>
    <t>е</t>
  </si>
  <si>
    <t>Аҳолига кўчмас мулк сотиб олиш учун берилган ва сотиб олинган ёки қурилаётган уй (квартира) билан таъминланган кредитлар</t>
  </si>
  <si>
    <t>ж</t>
  </si>
  <si>
    <t>Аҳолига берилган бошқа кредитлар</t>
  </si>
  <si>
    <t>з</t>
  </si>
  <si>
    <t>Бошқа барча кредит ва лизинглар</t>
  </si>
  <si>
    <t>и</t>
  </si>
  <si>
    <t>Банкнинг асосий воситалари ва бошқа хусусий мол-мулклари</t>
  </si>
  <si>
    <t>Банк фаолиятидаги фойдаланиладиган асосий воситалар (амортизацияни чегирган ҳолда)</t>
  </si>
  <si>
    <t>Банкнинг бошқа хусусий мулклари</t>
  </si>
  <si>
    <t>Қарздорликни тўлиқ ёки қисман ундириш мақсадида банк балансига қабул қилинган кўчмас мулк</t>
  </si>
  <si>
    <t>Икки йилдан ортиқ вақт мобайнида банк фойдаланмаётган банкнинг кўчмас мулки</t>
  </si>
  <si>
    <t>Номоддий активлар, соф</t>
  </si>
  <si>
    <t>Бошқа активлар, соф</t>
  </si>
  <si>
    <t>Баланс активларининг умумий миқдори</t>
  </si>
  <si>
    <t>Таваккалчилик гурухларига асосан рискка (таваккалчиликка) тортилган активларининг умумий миқдори</t>
  </si>
  <si>
    <t>Активларнинг таваккалчиликка тортилган умумий миқдори</t>
  </si>
  <si>
    <t>Кредитни қайта ҳисоблаш  омили</t>
  </si>
  <si>
    <t>Таваккалчилик қиймати</t>
  </si>
  <si>
    <t>II. БАЛАНСДАН ТАШҚАРИ АКТИВЛАР</t>
  </si>
  <si>
    <t>Банкнинг кредит ва лизинг бериш мажбурияти</t>
  </si>
  <si>
    <t>Бир йилдан ортиқ муддатга</t>
  </si>
  <si>
    <t>Бир йил ёки ундан кам муддатга</t>
  </si>
  <si>
    <t>Қимматли қоғозларнн сотиб олиш бўйича муддатли битимлар (шу жумладан, қайта сотиб олиш шартномалари бўйича сотилган активлар)</t>
  </si>
  <si>
    <t>Кафолат ва кафилликлар</t>
  </si>
  <si>
    <t xml:space="preserve">Aккредитивлар </t>
  </si>
  <si>
    <t>Тўғридан-тўғри кредит ўрнини босувчи воситалар</t>
  </si>
  <si>
    <t>Битимлар билан боғлиқ аккредитивлар</t>
  </si>
  <si>
    <t>Савдога тегишли аккредитивлар</t>
  </si>
  <si>
    <t>Бошқа аккредитивлар</t>
  </si>
  <si>
    <t>Фоиз ставкалари бўйича шартномалар</t>
  </si>
  <si>
    <t>Бир йил муддатгача</t>
  </si>
  <si>
    <t>Бир йилдан икки йил муддатгача</t>
  </si>
  <si>
    <t>Икки йилдан уч йил муддатгача</t>
  </si>
  <si>
    <t>Валюта шартномалари ва олтин</t>
  </si>
  <si>
    <t>Бир йилгача бўлган муддатда қайтариш</t>
  </si>
  <si>
    <t>Бир йилдан икки йилгача бўлган муддатда қайтариш</t>
  </si>
  <si>
    <t>Икки йилдан уч йилгача бўлган муддатда қайтариш</t>
  </si>
  <si>
    <t>Балансдан ташқари активларнинг умумий миқдори</t>
  </si>
  <si>
    <t>Жами балансдан ташқари активларнинг таваккалчиликка тортилган қиймати</t>
  </si>
  <si>
    <t>Жами активларнинг таваккалчиликка тортилган қиймати</t>
  </si>
  <si>
    <t>МИЛЛИЙ ВАЛЮТАДА ТАВАККАЛЧИЛИКНИ ҲИСОБГА ОЛГАН ҲОЛДАГИ АКТИВЛАР</t>
  </si>
  <si>
    <t>ХОРИЖИЙ ВАЛЮТАДА ТАВАККАЛЧИЛИКНИ ҲИСОБГА ОЛГАН ҲОЛДАГИ АКТИВЛАР</t>
  </si>
  <si>
    <t>6.2-жадвал</t>
  </si>
  <si>
    <t>6.1-жадвал</t>
  </si>
  <si>
    <t>6а-жадвал</t>
  </si>
  <si>
    <t>ОПЕРАЦИОН ВА БОЗОР ТАВАККАЛЧИЛИКЛАРИ ҲИСОБ-КИТОБИ</t>
  </si>
  <si>
    <t>Кўрсаткичлар номи</t>
  </si>
  <si>
    <t>фоизли даромад</t>
  </si>
  <si>
    <t>фоизли харажат</t>
  </si>
  <si>
    <t xml:space="preserve">фоизсиз даромад </t>
  </si>
  <si>
    <t>фоизсиз харажат</t>
  </si>
  <si>
    <t xml:space="preserve">фоизли даромад </t>
  </si>
  <si>
    <t xml:space="preserve">Банкнинг ўртача ялпи даромади 
(оҳирги уч йил давомида) </t>
  </si>
  <si>
    <t>Операцион таваккалчиликлар қиймати</t>
  </si>
  <si>
    <t>Валюта позицияси ҳисобварақлари</t>
  </si>
  <si>
    <t>Очиқ валюта позицияси, жами</t>
  </si>
  <si>
    <t>Бозор таваккалчилиги суммаси</t>
  </si>
  <si>
    <t>Капитал монандлигига бўлган амалдаги минимал талаб</t>
  </si>
  <si>
    <t>минг сўмда</t>
  </si>
  <si>
    <t>Форвард шартномалар, спот, своплар, опционлар ва шунга ўхшаш мажбуриятлар</t>
  </si>
  <si>
    <t>Бошқарув Раис имзоси:</t>
  </si>
  <si>
    <t>Бош бухгалтер имзоси:</t>
  </si>
  <si>
    <t>Кўзда тутилмаган ҳолатлар бўйича талаблар</t>
  </si>
  <si>
    <t>Кўзда тутилмаган ҳолатлар бўйича мажбуриятлар</t>
  </si>
  <si>
    <t xml:space="preserve">92503, 92705, 92716, 92728, 92732 </t>
  </si>
  <si>
    <t>92501, 92701, 92709, 92724, 92736</t>
  </si>
  <si>
    <t xml:space="preserve">РЕПО битимлари бўйича сотиб олинган қимматли қоғозлар </t>
  </si>
  <si>
    <t>Халқаро молия институтларига берилган кредитлар, халқаро молия ташкилотларининг қимматли қоғозлари билан таъминланган ёки улар томонидан кафолатланган кредитлар қисми</t>
  </si>
  <si>
    <t>Бошқа банкларга жойлаштирилган пул маблағлари, жумладан вакиллик ҳисобварақлари, депозитлар ва кредитлар</t>
  </si>
  <si>
    <t>Муаммоли кредит ва лизинглар, соф</t>
  </si>
  <si>
    <t>Ипотекани қайта молиялаштириш ташкилотлари томонидан чиқарилган қимматли қоғозлар</t>
  </si>
  <si>
    <t>18.</t>
  </si>
  <si>
    <t>Молиявий инструментлар бўйича мижозларнинг мажбуриятлари, соф</t>
  </si>
  <si>
    <t xml:space="preserve">Бошқа муаммоли активлар </t>
  </si>
  <si>
    <t>Бошқа барча инвестициялар, соф</t>
  </si>
  <si>
    <t>Жорий бозор қийматида баҳоланган ва ЎзР Ҳукумати, ЎзР Марказий банки томонидан эмиссия қилинган ёки кафолатланган қимматли қоғозлар кўринишидаги гаров билан таъминланган ёки кафолатланган кредитлар, уларнинг қисмлари.</t>
  </si>
  <si>
    <t>к</t>
  </si>
  <si>
    <t>л</t>
  </si>
  <si>
    <t>м</t>
  </si>
  <si>
    <t>Стандарт деб таснифланган активлар бўйича яратилган захиралар</t>
  </si>
  <si>
    <t>19.</t>
  </si>
  <si>
    <t>Жисмоний шахсларга қайта тикланадиган энергия манбалари учун ажратилган кредитлар</t>
  </si>
  <si>
    <t>Юридик шахсларга қайта тикланадиган энергия манбалари учун ажратилган кредитлар</t>
  </si>
  <si>
    <t xml:space="preserve"> </t>
  </si>
  <si>
    <t>Минус: 1.7-қатор. Жами I даражали асосий капиталдан чегирмалар</t>
  </si>
  <si>
    <t>Жисмоний шахсларга автомобиль сотиб олиш учун ажратилган кредитлар</t>
  </si>
  <si>
    <t>№1</t>
  </si>
  <si>
    <t>20.</t>
  </si>
  <si>
    <t>Бирлашмаган (консолидация қилинмаган) молиявий бўлган фаолият билан шуғулланувчи хўжалик юритувчи субъектларнинг капиталига қилинган барча инвестициялар суммаси</t>
  </si>
  <si>
    <t xml:space="preserve">Молиявий бўлган фаолият билан шуғулланувчи хўжалик юритувчи субъектларнинг капиталига қилинган барча инвестициялар, соф </t>
  </si>
  <si>
    <t xml:space="preserve">Молиявий бўлмаган фаолият билан шуғулланувчи хўжалик юритувчи субъектларнинг капиталига қилинган барча инвестициялар, соф </t>
  </si>
  <si>
    <t>сўм қисми</t>
  </si>
  <si>
    <t>чет эл валютасидаги қолдиқларининг эквиваленти</t>
  </si>
  <si>
    <t>"Алоқабанк"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</si>
</sst>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quot;р.&quot;;[Red]\-#,##0&quot;р.&quot;"/>
    <numFmt numFmtId="165" formatCode="_-* #,##0_р_._-;\-* #,##0_р_._-;_-* &quot;-&quot;_р_._-;_-@_-"/>
    <numFmt numFmtId="166" formatCode="_-* #,##0.00_р_._-;\-* #,##0.00_р_._-;_-* &quot;-&quot;??_р_._-;_-@_-"/>
    <numFmt numFmtId="167" formatCode="_-* #,##0_р_._-;\-* #,##0_р_._-;_-* &quot;-&quot;??_р_._-;_-@_-"/>
    <numFmt numFmtId="168" formatCode="[$-F800]dddd\,\ mmmm\ dd\,\ yyyy"/>
    <numFmt numFmtId="169" formatCode="0.0%"/>
    <numFmt numFmtId="170" formatCode="#,##0_ ;\-#,##0\ "/>
    <numFmt numFmtId="171" formatCode="#,##0.0"/>
    <numFmt numFmtId="172" formatCode="\$#.00"/>
    <numFmt numFmtId="173" formatCode="#"/>
    <numFmt numFmtId="174" formatCode="%#.00"/>
    <numFmt numFmtId="175" formatCode="#.00"/>
    <numFmt numFmtId="176" formatCode="_(* #,##0.00_);_(* \(#,##0.00\);_(* &quot;-&quot;??_);_(@_)"/>
    <numFmt numFmtId="177" formatCode="#,##0&quot; &quot;;\-#,##0&quot; &quot;"/>
    <numFmt numFmtId="178" formatCode="_-* #,##0.00_ _-;\-* #,##0.00_ _-;_-* &quot;-&quot;??_ _-;_-@_-"/>
    <numFmt numFmtId="179" formatCode="#&quot; &quot;##0&quot; &quot;;\-#&quot; &quot;##0&quot; &quot;"/>
    <numFmt numFmtId="180" formatCode="_-* #,##0.00\ _с_ў_м_-;\-* #,##0.00\ _с_ў_м_-;_-* &quot;-&quot;??\ _с_ў_м_-;_-@_-"/>
    <numFmt numFmtId="181" formatCode="&quot;   &quot;@"/>
    <numFmt numFmtId="182" formatCode="&quot;      &quot;@"/>
    <numFmt numFmtId="183" formatCode="&quot;            &quot;@"/>
    <numFmt numFmtId="184" formatCode="_-* #,##0.00\ &quot;сум&quot;_-;\-* #,##0.00\ &quot;сум&quot;_-;_-* &quot;-&quot;??\ &quot;сум&quot;_-;_-@_-"/>
    <numFmt numFmtId="185" formatCode="&quot;$&quot;#,##0\ ;\(&quot;$&quot;#,##0\)"/>
    <numFmt numFmtId="186" formatCode="_([$€-2]* #,##0.00_);_([$€-2]* \(#,##0.00\);_([$€-2]* &quot;-&quot;??_)"/>
    <numFmt numFmtId="187" formatCode="General_)"/>
    <numFmt numFmtId="188" formatCode="_(* #,##0_);_(* \(#,##0\);_(* &quot;-&quot;_);_(@_)"/>
    <numFmt numFmtId="189" formatCode="_(&quot;$&quot;* #,##0_);_(&quot;$&quot;* \(#,##0\);_(&quot;$&quot;* &quot;-&quot;_);_(@_)"/>
    <numFmt numFmtId="190" formatCode="_(&quot;$&quot;* #,##0.00_);_(&quot;$&quot;* \(#,##0.00\);_(&quot;$&quot;* &quot;-&quot;??_);_(@_)"/>
    <numFmt numFmtId="191" formatCode="[Black]#,##0.0;[Black]\-#,##0.0;;"/>
    <numFmt numFmtId="192" formatCode="[$-843]dd\ mmmm\ yyyy\ \й\и\л;@"/>
    <numFmt numFmtId="193" formatCode="_-* #,##0.0_р_._-;\-* #,##0.0_р_._-;_-* &quot;-&quot;??_р_._-;_-@_-"/>
  </numFmts>
  <fonts count="88">
    <font>
      <sz val="10"/>
      <name val="Arial Cyr"/>
      <charset val="204"/>
    </font>
    <font>
      <sz val="11"/>
      <color theme="1"/>
      <name val="Calibri"/>
      <family val="2"/>
      <charset val="204"/>
      <scheme val="minor"/>
    </font>
    <font>
      <sz val="10"/>
      <name val="Arial Cyr"/>
      <family val="2"/>
      <charset val="204"/>
    </font>
    <font>
      <sz val="10"/>
      <name val="Arial Cyr"/>
      <family val="2"/>
      <charset val="204"/>
    </font>
    <font>
      <b/>
      <sz val="10"/>
      <name val="Arial Cyr"/>
      <family val="2"/>
      <charset val="204"/>
    </font>
    <font>
      <b/>
      <sz val="10"/>
      <name val="Arial Cyr"/>
      <family val="2"/>
      <charset val="204"/>
    </font>
    <font>
      <sz val="10"/>
      <name val="Times New Roman"/>
      <family val="1"/>
    </font>
    <font>
      <sz val="10"/>
      <name val="Times New Roman Cyr"/>
      <family val="1"/>
      <charset val="204"/>
    </font>
    <font>
      <b/>
      <sz val="12"/>
      <name val="Times New Roman"/>
      <family val="1"/>
      <charset val="204"/>
    </font>
    <font>
      <sz val="8"/>
      <name val="Arial Cyr"/>
      <family val="2"/>
      <charset val="204"/>
    </font>
    <font>
      <b/>
      <sz val="10"/>
      <name val="Times New Roman"/>
      <family val="1"/>
      <charset val="204"/>
    </font>
    <font>
      <b/>
      <sz val="10"/>
      <name val="Times New Roman Cyr"/>
      <family val="1"/>
      <charset val="204"/>
    </font>
    <font>
      <sz val="10"/>
      <name val="Times New Roman Cyr"/>
      <family val="1"/>
      <charset val="204"/>
    </font>
    <font>
      <sz val="10"/>
      <name val="Times New Roman"/>
      <family val="1"/>
      <charset val="204"/>
    </font>
    <font>
      <b/>
      <sz val="12"/>
      <name val="Times New Roman Cyr"/>
      <family val="1"/>
      <charset val="204"/>
    </font>
    <font>
      <sz val="12"/>
      <name val="Times New Roman Cyr"/>
      <family val="1"/>
      <charset val="204"/>
    </font>
    <font>
      <b/>
      <sz val="10"/>
      <color indexed="10"/>
      <name val="Times New Roman Cyr"/>
      <family val="1"/>
      <charset val="204"/>
    </font>
    <font>
      <sz val="8"/>
      <name val="Arial Cyr"/>
      <family val="2"/>
      <charset val="204"/>
    </font>
    <font>
      <sz val="11"/>
      <color theme="1"/>
      <name val="Calibri"/>
      <family val="2"/>
      <charset val="204"/>
      <scheme val="minor"/>
    </font>
    <font>
      <b/>
      <sz val="10"/>
      <name val="Times New Roman Cyr"/>
      <charset val="204"/>
    </font>
    <font>
      <b/>
      <sz val="10"/>
      <name val="Arial Cyr"/>
      <charset val="204"/>
    </font>
    <font>
      <sz val="10"/>
      <name val="Arial"/>
      <family val="2"/>
      <charset val="204"/>
    </font>
    <font>
      <sz val="10"/>
      <name val="Times New Roman Cyr"/>
      <charset val="204"/>
    </font>
    <font>
      <sz val="10"/>
      <name val="Arial Cyr"/>
      <charset val="204"/>
    </font>
    <font>
      <sz val="10"/>
      <color theme="0" tint="-0.34998626667073579"/>
      <name val="Arial Cyr"/>
      <family val="2"/>
      <charset val="204"/>
    </font>
    <font>
      <b/>
      <sz val="10"/>
      <color theme="0" tint="-0.34998626667073579"/>
      <name val="Times New Roman Cyr"/>
      <family val="1"/>
      <charset val="204"/>
    </font>
    <font>
      <sz val="10"/>
      <color rgb="FF7030A0"/>
      <name val="Times New Roman Cyr"/>
      <charset val="204"/>
    </font>
    <font>
      <sz val="10"/>
      <color rgb="FFFF0000"/>
      <name val="Times New Roman Cyr"/>
      <family val="1"/>
      <charset val="204"/>
    </font>
    <font>
      <sz val="10"/>
      <color theme="0" tint="-0.34998626667073579"/>
      <name val="Times New Roman Cyr"/>
      <family val="1"/>
      <charset val="204"/>
    </font>
    <font>
      <b/>
      <sz val="10"/>
      <color theme="0" tint="-0.34998626667073579"/>
      <name val="Times New Roman Cyr"/>
      <charset val="204"/>
    </font>
    <font>
      <sz val="10"/>
      <color theme="0" tint="-0.34998626667073579"/>
      <name val="Times New Roman Cyr"/>
      <charset val="204"/>
    </font>
    <font>
      <sz val="10"/>
      <color rgb="FFFF0000"/>
      <name val="Times New Roman Cyr"/>
      <charset val="204"/>
    </font>
    <font>
      <sz val="1"/>
      <color indexed="8"/>
      <name val="Courier"/>
      <family val="1"/>
      <charset val="204"/>
    </font>
    <font>
      <b/>
      <sz val="1"/>
      <color indexed="8"/>
      <name val="Courier"/>
      <family val="1"/>
      <charset val="204"/>
    </font>
    <font>
      <sz val="12"/>
      <color indexed="8"/>
      <name val="Courier"/>
      <family val="3"/>
    </font>
    <font>
      <b/>
      <sz val="18"/>
      <color indexed="8"/>
      <name val="Courier"/>
      <family val="3"/>
    </font>
    <font>
      <b/>
      <sz val="12"/>
      <color indexed="8"/>
      <name val="Courier"/>
      <family val="3"/>
    </font>
    <font>
      <b/>
      <sz val="8"/>
      <name val="Arial"/>
      <family val="2"/>
      <charset val="204"/>
    </font>
    <font>
      <sz val="10"/>
      <name val="Times Armenian"/>
    </font>
    <font>
      <sz val="11"/>
      <color theme="1"/>
      <name val="Times New Roman"/>
      <family val="2"/>
      <charset val="204"/>
    </font>
    <font>
      <sz val="12"/>
      <color theme="1"/>
      <name val="Calibri"/>
      <family val="2"/>
      <charset val="204"/>
      <scheme val="minor"/>
    </font>
    <font>
      <sz val="10"/>
      <name val="Arial Cyr"/>
      <charset val="186"/>
    </font>
    <font>
      <sz val="10"/>
      <color indexed="8"/>
      <name val="Arial Cyr"/>
      <family val="2"/>
      <charset val="204"/>
    </font>
    <font>
      <sz val="11"/>
      <color indexed="8"/>
      <name val="Calibri"/>
      <family val="2"/>
      <charset val="204"/>
    </font>
    <font>
      <sz val="6"/>
      <color theme="1"/>
      <name val="Calibri"/>
      <family val="2"/>
      <charset val="204"/>
      <scheme val="minor"/>
    </font>
    <font>
      <sz val="12"/>
      <name val="Journal Uzbek"/>
      <family val="2"/>
    </font>
    <font>
      <sz val="10"/>
      <color theme="1"/>
      <name val="Times New Roman"/>
      <family val="2"/>
      <charset val="204"/>
    </font>
    <font>
      <sz val="12"/>
      <color theme="1"/>
      <name val="Times New Roman"/>
      <family val="2"/>
      <charset val="204"/>
    </font>
    <font>
      <sz val="10"/>
      <name val="Helv"/>
      <family val="2"/>
    </font>
    <font>
      <sz val="11"/>
      <color indexed="8"/>
      <name val="Times New Roman"/>
      <family val="2"/>
      <charset val="204"/>
    </font>
    <font>
      <sz val="6"/>
      <color indexed="8"/>
      <name val="Calibri"/>
      <family val="2"/>
      <charset val="204"/>
    </font>
    <font>
      <sz val="1"/>
      <color indexed="10"/>
      <name val="Arial Cyr"/>
    </font>
    <font>
      <sz val="10"/>
      <color theme="0" tint="-0.499984740745262"/>
      <name val="Times New Roman"/>
      <family val="1"/>
      <charset val="204"/>
    </font>
    <font>
      <sz val="8"/>
      <name val="Times New Roman"/>
      <family val="1"/>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sz val="11"/>
      <name val="Arial"/>
      <family val="2"/>
      <charset val="204"/>
    </font>
    <font>
      <sz val="12"/>
      <name val="Helv"/>
      <family val="2"/>
    </font>
    <font>
      <i/>
      <sz val="11"/>
      <color indexed="23"/>
      <name val="Calibri"/>
      <family val="2"/>
      <charset val="204"/>
    </font>
    <font>
      <sz val="11"/>
      <color indexed="17"/>
      <name val="Calibri"/>
      <family val="2"/>
      <charset val="204"/>
    </font>
    <font>
      <b/>
      <sz val="18"/>
      <name val="Arial"/>
      <family val="2"/>
      <charset val="204"/>
    </font>
    <font>
      <b/>
      <sz val="12"/>
      <name val="Arial"/>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2"/>
      <name val="Tms Rmn"/>
    </font>
    <font>
      <sz val="11"/>
      <color indexed="60"/>
      <name val="Calibri"/>
      <family val="2"/>
      <charset val="204"/>
    </font>
    <font>
      <b/>
      <sz val="11"/>
      <color indexed="63"/>
      <name val="Calibri"/>
      <family val="2"/>
      <charset val="204"/>
    </font>
    <font>
      <b/>
      <sz val="18"/>
      <color indexed="56"/>
      <name val="Cambria"/>
      <family val="2"/>
      <charset val="204"/>
    </font>
    <font>
      <sz val="11"/>
      <color indexed="10"/>
      <name val="Calibri"/>
      <family val="2"/>
      <charset val="204"/>
    </font>
    <font>
      <sz val="10"/>
      <color theme="0"/>
      <name val="Times New Roman"/>
      <family val="1"/>
      <charset val="204"/>
    </font>
    <font>
      <b/>
      <sz val="22"/>
      <name val="Times New Roman"/>
      <family val="1"/>
      <charset val="204"/>
    </font>
    <font>
      <b/>
      <sz val="11"/>
      <name val="Times New Roman"/>
      <family val="1"/>
      <charset val="204"/>
    </font>
    <font>
      <b/>
      <u/>
      <sz val="10"/>
      <name val="Times New Roman"/>
      <family val="1"/>
      <charset val="204"/>
    </font>
    <font>
      <sz val="12"/>
      <name val="Times New Roman"/>
      <family val="1"/>
      <charset val="204"/>
    </font>
    <font>
      <b/>
      <sz val="10"/>
      <color theme="0" tint="-0.499984740745262"/>
      <name val="Times New Roman Cyr"/>
      <family val="1"/>
      <charset val="204"/>
    </font>
    <font>
      <sz val="10"/>
      <color rgb="FFCC00CC"/>
      <name val="Times New Roman"/>
      <family val="1"/>
      <charset val="204"/>
    </font>
    <font>
      <sz val="12"/>
      <color rgb="FFCC00CC"/>
      <name val="Times New Roman"/>
      <family val="1"/>
      <charset val="204"/>
    </font>
    <font>
      <sz val="10"/>
      <color theme="0" tint="-0.34998626667073579"/>
      <name val="Times New Roman"/>
      <family val="1"/>
      <charset val="204"/>
    </font>
    <font>
      <sz val="11"/>
      <color theme="0" tint="-0.499984740745262"/>
      <name val="Times New Roman"/>
      <family val="1"/>
      <charset val="204"/>
    </font>
    <font>
      <b/>
      <sz val="12"/>
      <name val="Arial Cyr"/>
      <family val="2"/>
      <charset val="204"/>
    </font>
    <font>
      <b/>
      <sz val="16"/>
      <color rgb="FFB6FF5D"/>
      <name val="Times New Roman Cyr"/>
      <charset val="204"/>
    </font>
    <font>
      <b/>
      <sz val="10"/>
      <color rgb="FFFF0000"/>
      <name val="Times New Roman Cyr"/>
      <family val="1"/>
      <charset val="204"/>
    </font>
    <font>
      <b/>
      <sz val="10"/>
      <color rgb="FFFF0000"/>
      <name val="Times New Roman Cyr"/>
      <charset val="204"/>
    </font>
    <font>
      <sz val="10"/>
      <color rgb="FFFF0000"/>
      <name val="Arial Cyr"/>
      <family val="2"/>
      <charset val="204"/>
    </font>
    <font>
      <sz val="8"/>
      <color rgb="FFFF0000"/>
      <name val="Arial Cyr"/>
      <family val="2"/>
      <charset val="204"/>
    </font>
  </fonts>
  <fills count="41">
    <fill>
      <patternFill patternType="none"/>
    </fill>
    <fill>
      <patternFill patternType="gray125"/>
    </fill>
    <fill>
      <patternFill patternType="solid">
        <fgColor indexed="42"/>
        <bgColor indexed="64"/>
      </patternFill>
    </fill>
    <fill>
      <patternFill patternType="gray125">
        <bgColor indexed="5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88">
    <xf numFmtId="0" fontId="0" fillId="0" borderId="0"/>
    <xf numFmtId="0" fontId="18" fillId="0" borderId="0"/>
    <xf numFmtId="9" fontId="2" fillId="0" borderId="0" applyFont="0" applyFill="0" applyBorder="0" applyAlignment="0" applyProtection="0"/>
    <xf numFmtId="166" fontId="2" fillId="0" borderId="0" applyFont="0" applyFill="0" applyBorder="0" applyAlignment="0" applyProtection="0"/>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166" fontId="23" fillId="0" borderId="0" applyFont="0" applyFill="0" applyBorder="0" applyAlignment="0" applyProtection="0"/>
    <xf numFmtId="9" fontId="23" fillId="0" borderId="0" applyFont="0" applyFill="0" applyBorder="0" applyAlignment="0" applyProtection="0"/>
    <xf numFmtId="0" fontId="21" fillId="0" borderId="0" applyNumberFormat="0" applyFont="0" applyFill="0" applyBorder="0" applyAlignment="0" applyProtection="0">
      <alignment vertical="top"/>
    </xf>
    <xf numFmtId="9"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3" fillId="0" borderId="0">
      <protection locked="0"/>
    </xf>
    <xf numFmtId="0" fontId="33" fillId="0" borderId="0">
      <protection locked="0"/>
    </xf>
    <xf numFmtId="0" fontId="32" fillId="0" borderId="9">
      <protection locked="0"/>
    </xf>
    <xf numFmtId="172" fontId="34" fillId="0" borderId="0">
      <protection locked="0"/>
    </xf>
    <xf numFmtId="173" fontId="34" fillId="0" borderId="9">
      <protection locked="0"/>
    </xf>
    <xf numFmtId="174" fontId="34" fillId="0" borderId="0">
      <protection locked="0"/>
    </xf>
    <xf numFmtId="4" fontId="34" fillId="0" borderId="0">
      <protection locked="0"/>
    </xf>
    <xf numFmtId="175" fontId="34" fillId="0" borderId="0">
      <protection locked="0"/>
    </xf>
    <xf numFmtId="173" fontId="35" fillId="0" borderId="0">
      <protection locked="0"/>
    </xf>
    <xf numFmtId="173" fontId="36" fillId="0" borderId="0">
      <protection locked="0"/>
    </xf>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37" fillId="0" borderId="2">
      <alignment horizontal="center"/>
    </xf>
    <xf numFmtId="165" fontId="21" fillId="0" borderId="0" applyFont="0" applyFill="0" applyBorder="0" applyAlignment="0" applyProtection="0"/>
    <xf numFmtId="166" fontId="21" fillId="0" borderId="0" applyFont="0" applyFill="0" applyBorder="0" applyAlignment="0" applyProtection="0"/>
    <xf numFmtId="0" fontId="38" fillId="0" borderId="0"/>
    <xf numFmtId="0" fontId="21" fillId="0" borderId="0"/>
    <xf numFmtId="9" fontId="23" fillId="0" borderId="0" applyFont="0" applyFill="0" applyBorder="0" applyAlignment="0" applyProtection="0"/>
    <xf numFmtId="0" fontId="39" fillId="0" borderId="0"/>
    <xf numFmtId="0" fontId="1" fillId="0" borderId="0"/>
    <xf numFmtId="0" fontId="7" fillId="0" borderId="0"/>
    <xf numFmtId="0" fontId="1" fillId="0" borderId="0"/>
    <xf numFmtId="0" fontId="1" fillId="0" borderId="0"/>
    <xf numFmtId="0" fontId="2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23" fillId="0" borderId="0"/>
    <xf numFmtId="0" fontId="1" fillId="0" borderId="0"/>
    <xf numFmtId="0" fontId="1" fillId="0" borderId="0"/>
    <xf numFmtId="0" fontId="1" fillId="0" borderId="0"/>
    <xf numFmtId="0" fontId="23" fillId="0" borderId="0"/>
    <xf numFmtId="0" fontId="1" fillId="0" borderId="0"/>
    <xf numFmtId="0" fontId="23" fillId="0" borderId="0"/>
    <xf numFmtId="0" fontId="23" fillId="0" borderId="0"/>
    <xf numFmtId="0" fontId="23" fillId="0" borderId="0"/>
    <xf numFmtId="0" fontId="23" fillId="0" borderId="0"/>
    <xf numFmtId="0" fontId="1" fillId="0" borderId="0"/>
    <xf numFmtId="0" fontId="39" fillId="0" borderId="0"/>
    <xf numFmtId="0" fontId="1" fillId="0" borderId="0"/>
    <xf numFmtId="0" fontId="39" fillId="0" borderId="0"/>
    <xf numFmtId="0" fontId="7"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40"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39" fillId="0" borderId="0"/>
    <xf numFmtId="0" fontId="41" fillId="0" borderId="0"/>
    <xf numFmtId="0" fontId="1" fillId="0" borderId="0"/>
    <xf numFmtId="0" fontId="1" fillId="0" borderId="0"/>
    <xf numFmtId="0" fontId="40" fillId="0" borderId="0"/>
    <xf numFmtId="0" fontId="1" fillId="0" borderId="0"/>
    <xf numFmtId="0" fontId="39" fillId="0" borderId="0"/>
    <xf numFmtId="0" fontId="42" fillId="0" borderId="0"/>
    <xf numFmtId="0" fontId="43"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1" fillId="0" borderId="0"/>
    <xf numFmtId="0" fontId="40" fillId="0" borderId="0"/>
    <xf numFmtId="0" fontId="39" fillId="0" borderId="0"/>
    <xf numFmtId="0" fontId="1" fillId="0" borderId="0"/>
    <xf numFmtId="0" fontId="39" fillId="0" borderId="0"/>
    <xf numFmtId="0" fontId="21" fillId="0" borderId="0"/>
    <xf numFmtId="0" fontId="21" fillId="0" borderId="0"/>
    <xf numFmtId="0" fontId="21" fillId="0" borderId="0"/>
    <xf numFmtId="0" fontId="21" fillId="0" borderId="0"/>
    <xf numFmtId="0" fontId="21" fillId="0" borderId="0"/>
    <xf numFmtId="0" fontId="40" fillId="0" borderId="0"/>
    <xf numFmtId="0" fontId="21" fillId="0" borderId="0"/>
    <xf numFmtId="0" fontId="39" fillId="0" borderId="0"/>
    <xf numFmtId="0" fontId="21" fillId="0" borderId="0"/>
    <xf numFmtId="0" fontId="4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41" fillId="0" borderId="0"/>
    <xf numFmtId="0" fontId="1" fillId="0" borderId="0"/>
    <xf numFmtId="0" fontId="39"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39" fillId="0" borderId="0"/>
    <xf numFmtId="0" fontId="1" fillId="0" borderId="0"/>
    <xf numFmtId="0" fontId="1" fillId="0" borderId="0"/>
    <xf numFmtId="0" fontId="39"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41" fillId="0" borderId="0"/>
    <xf numFmtId="0" fontId="1" fillId="0" borderId="0"/>
    <xf numFmtId="0" fontId="1" fillId="0" borderId="0"/>
    <xf numFmtId="0" fontId="1" fillId="0" borderId="0"/>
    <xf numFmtId="0" fontId="23" fillId="0" borderId="0"/>
    <xf numFmtId="0" fontId="21" fillId="0" borderId="0"/>
    <xf numFmtId="0" fontId="2" fillId="0" borderId="0"/>
    <xf numFmtId="0" fontId="23" fillId="0" borderId="0"/>
    <xf numFmtId="0" fontId="1" fillId="0" borderId="0"/>
    <xf numFmtId="0" fontId="23" fillId="0" borderId="0"/>
    <xf numFmtId="0" fontId="22" fillId="0" borderId="0"/>
    <xf numFmtId="0" fontId="23" fillId="0" borderId="0"/>
    <xf numFmtId="0" fontId="23" fillId="0" borderId="0"/>
    <xf numFmtId="0" fontId="23"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41" fillId="0" borderId="0"/>
    <xf numFmtId="0" fontId="39" fillId="0" borderId="0"/>
    <xf numFmtId="0" fontId="44" fillId="0" borderId="0"/>
    <xf numFmtId="0" fontId="1" fillId="0" borderId="0"/>
    <xf numFmtId="0" fontId="39"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39" fillId="0" borderId="0"/>
    <xf numFmtId="0" fontId="39" fillId="0" borderId="0"/>
    <xf numFmtId="0" fontId="23" fillId="0" borderId="0"/>
    <xf numFmtId="0" fontId="1" fillId="0" borderId="0"/>
    <xf numFmtId="0" fontId="1" fillId="0" borderId="0"/>
    <xf numFmtId="0" fontId="45" fillId="0" borderId="0"/>
    <xf numFmtId="0" fontId="21" fillId="0" borderId="0"/>
    <xf numFmtId="0" fontId="1" fillId="0" borderId="0"/>
    <xf numFmtId="0" fontId="1" fillId="0" borderId="0"/>
    <xf numFmtId="0" fontId="21" fillId="0" borderId="0"/>
    <xf numFmtId="0" fontId="1" fillId="0" borderId="0"/>
    <xf numFmtId="0" fontId="46" fillId="0" borderId="0"/>
    <xf numFmtId="0" fontId="23" fillId="0" borderId="0"/>
    <xf numFmtId="0" fontId="41" fillId="0" borderId="0"/>
    <xf numFmtId="0" fontId="39" fillId="0" borderId="0"/>
    <xf numFmtId="0" fontId="1"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2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4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1" fillId="0" borderId="0"/>
    <xf numFmtId="0" fontId="39" fillId="0" borderId="0"/>
    <xf numFmtId="0" fontId="2"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23" fillId="0" borderId="0"/>
    <xf numFmtId="0" fontId="21"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23" fillId="0" borderId="0"/>
    <xf numFmtId="0" fontId="39" fillId="0" borderId="0"/>
    <xf numFmtId="0" fontId="47"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3"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40" fillId="0" borderId="0"/>
    <xf numFmtId="0" fontId="40" fillId="0" borderId="0"/>
    <xf numFmtId="0" fontId="23" fillId="0" borderId="0"/>
    <xf numFmtId="0" fontId="40" fillId="0" borderId="0"/>
    <xf numFmtId="0" fontId="40" fillId="0" borderId="0"/>
    <xf numFmtId="0" fontId="23" fillId="0" borderId="0"/>
    <xf numFmtId="0" fontId="23" fillId="0" borderId="0"/>
    <xf numFmtId="0" fontId="22" fillId="0" borderId="0"/>
    <xf numFmtId="0" fontId="1" fillId="0" borderId="0"/>
    <xf numFmtId="0" fontId="23" fillId="0" borderId="0"/>
    <xf numFmtId="0" fontId="1" fillId="0" borderId="0"/>
    <xf numFmtId="0" fontId="1" fillId="0" borderId="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9" fontId="4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0" fontId="48" fillId="0" borderId="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7" fontId="21" fillId="0" borderId="0" applyFont="0" applyFill="0" applyBorder="0" applyAlignment="0" applyProtection="0"/>
    <xf numFmtId="166" fontId="49" fillId="0" borderId="0" applyFont="0" applyFill="0" applyBorder="0" applyAlignment="0" applyProtection="0"/>
    <xf numFmtId="168" fontId="2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1"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50"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22"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8" fontId="2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79" fontId="43"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80" fontId="41"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21"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2" fillId="0" borderId="0">
      <protection locked="0"/>
    </xf>
    <xf numFmtId="0" fontId="6" fillId="0" borderId="0">
      <alignment vertical="top"/>
    </xf>
    <xf numFmtId="181" fontId="53" fillId="0" borderId="0" applyFont="0" applyFill="0" applyBorder="0" applyAlignment="0" applyProtection="0"/>
    <xf numFmtId="182" fontId="53" fillId="0" borderId="0" applyFont="0" applyFill="0" applyBorder="0" applyAlignment="0" applyProtection="0"/>
    <xf numFmtId="0" fontId="43" fillId="18" borderId="0" applyNumberFormat="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183" fontId="53" fillId="0" borderId="0" applyFont="0" applyFill="0" applyBorder="0" applyAlignment="0" applyProtection="0"/>
    <xf numFmtId="0" fontId="43" fillId="24" borderId="0" applyNumberFormat="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1" borderId="0" applyNumberFormat="0" applyBorder="0" applyAlignment="0" applyProtection="0"/>
    <xf numFmtId="0" fontId="43" fillId="24" borderId="0" applyNumberFormat="0" applyBorder="0" applyAlignment="0" applyProtection="0"/>
    <xf numFmtId="0" fontId="43" fillId="27" borderId="0" applyNumberFormat="0" applyBorder="0" applyAlignment="0" applyProtection="0"/>
    <xf numFmtId="0" fontId="54" fillId="28" borderId="0" applyNumberFormat="0" applyBorder="0" applyAlignment="0" applyProtection="0"/>
    <xf numFmtId="0" fontId="54" fillId="25" borderId="0" applyNumberFormat="0" applyBorder="0" applyAlignment="0" applyProtection="0"/>
    <xf numFmtId="0" fontId="54" fillId="26"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5" borderId="0" applyNumberFormat="0" applyBorder="0" applyAlignment="0" applyProtection="0"/>
    <xf numFmtId="0" fontId="55" fillId="19" borderId="0" applyNumberFormat="0" applyBorder="0" applyAlignment="0" applyProtection="0"/>
    <xf numFmtId="0" fontId="56" fillId="36" borderId="10" applyNumberFormat="0" applyAlignment="0" applyProtection="0"/>
    <xf numFmtId="0" fontId="57" fillId="37" borderId="11" applyNumberFormat="0" applyAlignment="0" applyProtection="0"/>
    <xf numFmtId="176" fontId="58" fillId="0" borderId="0" applyFont="0" applyFill="0" applyBorder="0" applyAlignment="0" applyProtection="0"/>
    <xf numFmtId="3" fontId="21" fillId="0" borderId="0" applyFont="0" applyFill="0" applyBorder="0" applyAlignment="0" applyProtection="0"/>
    <xf numFmtId="0" fontId="8" fillId="0" borderId="0" applyNumberFormat="0" applyFont="0" applyFill="0" applyBorder="0" applyAlignment="0"/>
    <xf numFmtId="184" fontId="21" fillId="0" borderId="0" applyFont="0" applyFill="0" applyBorder="0" applyAlignment="0" applyProtection="0"/>
    <xf numFmtId="185" fontId="21" fillId="0" borderId="0" applyFont="0" applyFill="0" applyBorder="0" applyAlignment="0" applyProtection="0"/>
    <xf numFmtId="0" fontId="21" fillId="0" borderId="0" applyFont="0" applyFill="0" applyBorder="0" applyAlignment="0" applyProtection="0"/>
    <xf numFmtId="186" fontId="13" fillId="0" borderId="0" applyFont="0" applyFill="0" applyBorder="0" applyAlignment="0" applyProtection="0"/>
    <xf numFmtId="187" fontId="59" fillId="0" borderId="0"/>
    <xf numFmtId="0" fontId="60" fillId="0" borderId="0" applyNumberFormat="0" applyFill="0" applyBorder="0" applyAlignment="0" applyProtection="0"/>
    <xf numFmtId="2" fontId="21" fillId="0" borderId="0" applyFont="0" applyFill="0" applyBorder="0" applyAlignment="0" applyProtection="0"/>
    <xf numFmtId="0" fontId="61" fillId="20" borderId="0" applyNumberFormat="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12" applyNumberFormat="0" applyFill="0" applyAlignment="0" applyProtection="0"/>
    <xf numFmtId="0" fontId="64" fillId="0" borderId="0" applyNumberFormat="0" applyFill="0" applyBorder="0" applyAlignment="0" applyProtection="0"/>
    <xf numFmtId="171" fontId="53" fillId="0" borderId="0" applyFont="0" applyFill="0" applyBorder="0" applyAlignment="0" applyProtection="0"/>
    <xf numFmtId="0" fontId="65" fillId="23" borderId="10" applyNumberFormat="0" applyAlignment="0" applyProtection="0"/>
    <xf numFmtId="0" fontId="66" fillId="0" borderId="13" applyNumberFormat="0" applyFill="0" applyAlignment="0" applyProtection="0"/>
    <xf numFmtId="188" fontId="6" fillId="0" borderId="0" applyFont="0" applyFill="0" applyBorder="0" applyAlignment="0" applyProtection="0"/>
    <xf numFmtId="17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71" fontId="67" fillId="0" borderId="0" applyFill="0" applyBorder="0"/>
    <xf numFmtId="0" fontId="68" fillId="38" borderId="0" applyNumberFormat="0" applyBorder="0" applyAlignment="0" applyProtection="0"/>
    <xf numFmtId="0" fontId="67" fillId="0" borderId="0"/>
    <xf numFmtId="0" fontId="23" fillId="39" borderId="14" applyNumberFormat="0" applyFont="0" applyAlignment="0" applyProtection="0"/>
    <xf numFmtId="0" fontId="69" fillId="36" borderId="15" applyNumberFormat="0" applyAlignment="0" applyProtection="0"/>
    <xf numFmtId="9" fontId="21" fillId="0" borderId="0" applyFont="0" applyFill="0" applyBorder="0" applyAlignment="0" applyProtection="0"/>
    <xf numFmtId="191" fontId="53" fillId="0" borderId="0" applyFont="0" applyFill="0" applyBorder="0" applyAlignment="0" applyProtection="0"/>
    <xf numFmtId="0" fontId="70" fillId="0" borderId="0" applyNumberFormat="0" applyFill="0" applyBorder="0" applyAlignment="0" applyProtection="0"/>
    <xf numFmtId="0" fontId="21" fillId="0" borderId="16" applyNumberFormat="0" applyFont="0" applyFill="0" applyAlignment="0" applyProtection="0"/>
    <xf numFmtId="0" fontId="71" fillId="0" borderId="0" applyNumberFormat="0" applyFill="0" applyBorder="0" applyAlignment="0" applyProtection="0"/>
  </cellStyleXfs>
  <cellXfs count="269">
    <xf numFmtId="0" fontId="0" fillId="0" borderId="0" xfId="0"/>
    <xf numFmtId="0" fontId="3" fillId="0" borderId="0" xfId="0" applyFont="1"/>
    <xf numFmtId="0" fontId="5" fillId="0" borderId="0" xfId="0" applyFont="1" applyBorder="1"/>
    <xf numFmtId="0" fontId="4" fillId="0" borderId="0" xfId="0" applyFont="1" applyBorder="1" applyAlignment="1">
      <alignment horizontal="center"/>
    </xf>
    <xf numFmtId="3" fontId="13" fillId="0" borderId="1" xfId="0" applyNumberFormat="1" applyFont="1" applyFill="1" applyBorder="1" applyAlignment="1" applyProtection="1">
      <alignment horizontal="right" vertical="center"/>
      <protection locked="0"/>
    </xf>
    <xf numFmtId="3" fontId="13" fillId="0" borderId="1" xfId="0" applyNumberFormat="1" applyFont="1" applyBorder="1" applyAlignment="1" applyProtection="1">
      <alignment horizontal="right" vertical="center"/>
      <protection locked="0"/>
    </xf>
    <xf numFmtId="0" fontId="24" fillId="0" borderId="0" xfId="0" applyFont="1" applyProtection="1">
      <protection hidden="1"/>
    </xf>
    <xf numFmtId="167" fontId="14" fillId="0" borderId="0" xfId="3" applyNumberFormat="1" applyFont="1" applyBorder="1" applyAlignment="1" applyProtection="1">
      <alignment horizontal="center" vertical="center" wrapText="1"/>
    </xf>
    <xf numFmtId="0" fontId="12" fillId="0" borderId="0" xfId="0" applyFont="1" applyProtection="1"/>
    <xf numFmtId="0" fontId="12" fillId="0" borderId="0" xfId="0" applyFont="1" applyBorder="1" applyAlignment="1" applyProtection="1">
      <alignment wrapText="1"/>
    </xf>
    <xf numFmtId="0" fontId="12" fillId="0" borderId="0" xfId="0" applyFont="1" applyAlignment="1" applyProtection="1">
      <alignment vertical="center"/>
    </xf>
    <xf numFmtId="0" fontId="12" fillId="0" borderId="1" xfId="0" applyFont="1" applyBorder="1" applyAlignment="1" applyProtection="1">
      <alignment horizontal="center" wrapText="1"/>
    </xf>
    <xf numFmtId="0" fontId="11" fillId="0" borderId="1" xfId="0" applyFont="1" applyBorder="1" applyAlignment="1" applyProtection="1">
      <alignment horizontal="center" vertical="center"/>
    </xf>
    <xf numFmtId="167" fontId="11" fillId="0" borderId="1" xfId="3" applyNumberFormat="1" applyFont="1" applyBorder="1" applyAlignment="1" applyProtection="1">
      <alignment horizontal="left" vertical="center"/>
    </xf>
    <xf numFmtId="3" fontId="11" fillId="0" borderId="1" xfId="3" applyNumberFormat="1" applyFont="1" applyBorder="1" applyAlignment="1" applyProtection="1">
      <alignment horizontal="center" vertical="center"/>
    </xf>
    <xf numFmtId="0" fontId="12" fillId="0" borderId="1" xfId="0" applyFont="1" applyFill="1" applyBorder="1" applyAlignment="1" applyProtection="1">
      <alignment horizontal="center" wrapText="1"/>
    </xf>
    <xf numFmtId="3" fontId="12" fillId="0" borderId="1" xfId="3" applyNumberFormat="1" applyFont="1" applyFill="1" applyBorder="1" applyAlignment="1" applyProtection="1">
      <alignment horizontal="center" wrapText="1"/>
    </xf>
    <xf numFmtId="3" fontId="19" fillId="0" borderId="1" xfId="3" applyNumberFormat="1" applyFont="1" applyFill="1" applyBorder="1" applyAlignment="1" applyProtection="1">
      <alignment horizontal="center" wrapText="1"/>
    </xf>
    <xf numFmtId="0" fontId="11" fillId="0" borderId="1" xfId="0" applyFont="1" applyFill="1" applyBorder="1" applyAlignment="1" applyProtection="1">
      <alignment horizontal="center" vertical="center" wrapText="1"/>
    </xf>
    <xf numFmtId="0" fontId="11" fillId="0" borderId="1" xfId="0" applyFont="1" applyFill="1" applyBorder="1" applyAlignment="1" applyProtection="1">
      <alignment horizontal="left" vertical="center" wrapText="1" indent="2"/>
    </xf>
    <xf numFmtId="0" fontId="16" fillId="0" borderId="0" xfId="0" applyFont="1" applyFill="1" applyAlignment="1" applyProtection="1">
      <alignment vertical="center"/>
    </xf>
    <xf numFmtId="0" fontId="11" fillId="0" borderId="0" xfId="0" applyFont="1" applyFill="1" applyAlignment="1" applyProtection="1">
      <alignment vertical="center"/>
    </xf>
    <xf numFmtId="0" fontId="11" fillId="0" borderId="1" xfId="0" applyFont="1" applyFill="1" applyBorder="1" applyAlignment="1" applyProtection="1">
      <alignment horizontal="left" vertical="center" indent="2"/>
    </xf>
    <xf numFmtId="0" fontId="12" fillId="0" borderId="1" xfId="0" applyFont="1" applyFill="1" applyBorder="1" applyAlignment="1" applyProtection="1">
      <alignment horizontal="center" vertical="center" wrapText="1"/>
    </xf>
    <xf numFmtId="0" fontId="19" fillId="0" borderId="1" xfId="0" applyFont="1" applyFill="1" applyBorder="1" applyAlignment="1" applyProtection="1">
      <alignment horizontal="center" wrapText="1"/>
    </xf>
    <xf numFmtId="0" fontId="19" fillId="0" borderId="0" xfId="0" applyFont="1" applyProtection="1"/>
    <xf numFmtId="0" fontId="19" fillId="0" borderId="1" xfId="0" applyFont="1" applyFill="1" applyBorder="1" applyAlignment="1" applyProtection="1">
      <alignment horizontal="center" vertical="center" wrapText="1"/>
    </xf>
    <xf numFmtId="0" fontId="19" fillId="0" borderId="0" xfId="0" applyFont="1" applyAlignment="1" applyProtection="1">
      <alignment vertical="center"/>
    </xf>
    <xf numFmtId="0" fontId="12" fillId="0" borderId="1" xfId="0" applyFont="1" applyBorder="1" applyAlignment="1" applyProtection="1">
      <alignment horizontal="center" vertical="center" wrapText="1"/>
    </xf>
    <xf numFmtId="0" fontId="11" fillId="0" borderId="1" xfId="0" applyFont="1" applyBorder="1" applyAlignment="1" applyProtection="1">
      <alignment horizontal="left" vertical="center" indent="2"/>
    </xf>
    <xf numFmtId="0" fontId="11" fillId="0" borderId="1" xfId="0" applyFont="1" applyBorder="1" applyAlignment="1" applyProtection="1">
      <alignment horizontal="left" vertical="center" wrapText="1" indent="2"/>
    </xf>
    <xf numFmtId="3" fontId="19" fillId="0" borderId="1" xfId="3" applyNumberFormat="1" applyFont="1" applyBorder="1" applyAlignment="1" applyProtection="1">
      <alignment horizontal="center" vertical="center" wrapText="1"/>
    </xf>
    <xf numFmtId="0" fontId="12" fillId="0" borderId="0" xfId="0" applyFont="1" applyFill="1" applyAlignment="1" applyProtection="1">
      <alignment vertical="center"/>
    </xf>
    <xf numFmtId="0" fontId="22"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left" vertical="center" wrapText="1" indent="2"/>
    </xf>
    <xf numFmtId="3" fontId="22" fillId="0" borderId="1" xfId="3" applyNumberFormat="1" applyFont="1" applyFill="1" applyBorder="1" applyAlignment="1" applyProtection="1">
      <alignment horizontal="center"/>
    </xf>
    <xf numFmtId="0" fontId="22" fillId="0" borderId="0" xfId="0" applyFont="1" applyFill="1" applyAlignment="1" applyProtection="1">
      <alignment vertical="center"/>
    </xf>
    <xf numFmtId="0" fontId="22" fillId="0" borderId="1" xfId="0" applyFont="1" applyBorder="1" applyAlignment="1" applyProtection="1">
      <alignment horizontal="center" vertical="center" wrapText="1"/>
    </xf>
    <xf numFmtId="0" fontId="22" fillId="0" borderId="1" xfId="0" applyFont="1" applyBorder="1" applyAlignment="1" applyProtection="1">
      <alignment horizontal="left" vertical="center" wrapText="1" indent="2"/>
    </xf>
    <xf numFmtId="0" fontId="22" fillId="0" borderId="0" xfId="0" applyFont="1" applyAlignment="1" applyProtection="1">
      <alignment vertical="center"/>
    </xf>
    <xf numFmtId="0" fontId="11" fillId="0" borderId="0" xfId="0" applyFont="1" applyBorder="1" applyProtection="1"/>
    <xf numFmtId="167" fontId="12" fillId="0" borderId="0" xfId="3" applyNumberFormat="1" applyFont="1" applyProtection="1"/>
    <xf numFmtId="0" fontId="11" fillId="0" borderId="0" xfId="0" applyFont="1" applyFill="1" applyBorder="1" applyAlignment="1" applyProtection="1">
      <alignment horizontal="right"/>
    </xf>
    <xf numFmtId="168" fontId="12" fillId="0" borderId="0" xfId="0" applyNumberFormat="1" applyFont="1" applyBorder="1" applyAlignment="1" applyProtection="1">
      <alignment wrapText="1"/>
    </xf>
    <xf numFmtId="3" fontId="22" fillId="0" borderId="1" xfId="3" applyNumberFormat="1" applyFont="1" applyBorder="1" applyAlignment="1" applyProtection="1">
      <alignment horizontal="center" vertical="center"/>
      <protection locked="0"/>
    </xf>
    <xf numFmtId="3" fontId="11" fillId="0" borderId="1" xfId="3" applyNumberFormat="1" applyFont="1" applyBorder="1" applyAlignment="1" applyProtection="1">
      <alignment horizontal="center" vertical="center"/>
      <protection locked="0"/>
    </xf>
    <xf numFmtId="3" fontId="12" fillId="0" borderId="1" xfId="3" applyNumberFormat="1" applyFont="1" applyFill="1" applyBorder="1" applyAlignment="1" applyProtection="1">
      <alignment horizontal="center" wrapText="1"/>
      <protection locked="0"/>
    </xf>
    <xf numFmtId="0" fontId="19" fillId="0" borderId="1" xfId="0" applyFont="1" applyBorder="1" applyAlignment="1" applyProtection="1">
      <alignment horizontal="center" vertical="center" wrapText="1"/>
    </xf>
    <xf numFmtId="0" fontId="19" fillId="0" borderId="1" xfId="0" applyFont="1" applyBorder="1" applyAlignment="1" applyProtection="1">
      <alignment horizontal="left" vertical="center" wrapText="1" indent="2"/>
    </xf>
    <xf numFmtId="10" fontId="19" fillId="0" borderId="1" xfId="2" applyNumberFormat="1" applyFont="1" applyFill="1" applyBorder="1" applyAlignment="1" applyProtection="1">
      <alignment horizontal="center" vertical="center"/>
    </xf>
    <xf numFmtId="3" fontId="12"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xf>
    <xf numFmtId="3" fontId="22" fillId="0" borderId="1" xfId="3" applyNumberFormat="1" applyFont="1" applyFill="1" applyBorder="1" applyAlignment="1" applyProtection="1">
      <alignment horizontal="center" vertical="center" wrapText="1"/>
      <protection locked="0"/>
    </xf>
    <xf numFmtId="166" fontId="25" fillId="0" borderId="0" xfId="3" applyFont="1" applyFill="1" applyBorder="1" applyAlignment="1" applyProtection="1">
      <alignment vertical="center"/>
    </xf>
    <xf numFmtId="0" fontId="19" fillId="0" borderId="1" xfId="0" applyFont="1" applyFill="1" applyBorder="1" applyAlignment="1" applyProtection="1">
      <alignment horizontal="left" vertical="center" indent="2"/>
    </xf>
    <xf numFmtId="3" fontId="26" fillId="0" borderId="1" xfId="3" applyNumberFormat="1" applyFont="1" applyFill="1" applyBorder="1" applyAlignment="1" applyProtection="1">
      <alignment horizontal="center"/>
    </xf>
    <xf numFmtId="15" fontId="22" fillId="0" borderId="0" xfId="0" applyNumberFormat="1" applyFont="1" applyBorder="1" applyAlignment="1" applyProtection="1">
      <alignment horizontal="left" wrapText="1" indent="3"/>
    </xf>
    <xf numFmtId="167" fontId="14" fillId="0" borderId="0" xfId="3" applyNumberFormat="1" applyFont="1" applyBorder="1" applyAlignment="1" applyProtection="1">
      <alignment horizontal="left" indent="2"/>
    </xf>
    <xf numFmtId="0" fontId="27" fillId="0" borderId="1" xfId="0" applyFont="1" applyFill="1" applyBorder="1" applyAlignment="1" applyProtection="1">
      <alignment horizontal="center" vertical="center" wrapText="1"/>
    </xf>
    <xf numFmtId="0" fontId="19" fillId="0" borderId="1" xfId="0" applyFont="1" applyBorder="1" applyAlignment="1" applyProtection="1">
      <alignment horizontal="center" wrapText="1"/>
    </xf>
    <xf numFmtId="3" fontId="12" fillId="0" borderId="1" xfId="3" applyNumberFormat="1" applyFont="1" applyFill="1" applyBorder="1" applyAlignment="1" applyProtection="1">
      <alignment horizontal="center" vertical="center" wrapText="1"/>
    </xf>
    <xf numFmtId="0" fontId="22" fillId="0" borderId="1" xfId="0" applyFont="1" applyFill="1" applyBorder="1" applyAlignment="1" applyProtection="1">
      <alignment horizontal="left" vertical="center" wrapText="1" indent="1"/>
    </xf>
    <xf numFmtId="0" fontId="22" fillId="0" borderId="1" xfId="0" applyFont="1" applyFill="1" applyBorder="1" applyAlignment="1" applyProtection="1">
      <alignment horizontal="left" vertical="center" indent="1"/>
    </xf>
    <xf numFmtId="0" fontId="12" fillId="0" borderId="1" xfId="0" applyFont="1" applyBorder="1" applyAlignment="1" applyProtection="1">
      <alignment horizontal="left" vertical="center" wrapText="1" indent="1"/>
    </xf>
    <xf numFmtId="0" fontId="12" fillId="0" borderId="1" xfId="0" applyFont="1" applyFill="1" applyBorder="1" applyAlignment="1" applyProtection="1">
      <alignment horizontal="left" vertical="center" wrapText="1" indent="1"/>
    </xf>
    <xf numFmtId="3" fontId="20" fillId="2" borderId="1" xfId="0" applyNumberFormat="1" applyFont="1" applyFill="1" applyBorder="1" applyAlignment="1" applyProtection="1">
      <alignment horizontal="center" vertical="center" wrapText="1"/>
    </xf>
    <xf numFmtId="0" fontId="19" fillId="0" borderId="1" xfId="0" applyFont="1" applyFill="1" applyBorder="1" applyAlignment="1" applyProtection="1">
      <alignment horizontal="left" vertical="center" wrapText="1" indent="2"/>
    </xf>
    <xf numFmtId="0" fontId="28" fillId="0" borderId="0" xfId="0" applyFont="1" applyProtection="1"/>
    <xf numFmtId="166" fontId="28" fillId="0" borderId="0" xfId="3" applyFont="1" applyBorder="1" applyProtection="1"/>
    <xf numFmtId="0" fontId="28" fillId="0" borderId="0" xfId="0" applyFont="1" applyAlignment="1" applyProtection="1">
      <alignment vertical="center"/>
    </xf>
    <xf numFmtId="166" fontId="28" fillId="0" borderId="0" xfId="3" applyFont="1" applyBorder="1" applyAlignment="1" applyProtection="1">
      <alignment vertical="center"/>
    </xf>
    <xf numFmtId="0" fontId="25" fillId="0" borderId="0" xfId="0" applyFont="1" applyFill="1" applyAlignment="1" applyProtection="1">
      <alignment vertical="center"/>
    </xf>
    <xf numFmtId="3" fontId="29" fillId="0" borderId="0" xfId="0" applyNumberFormat="1" applyFont="1" applyProtection="1"/>
    <xf numFmtId="166" fontId="29" fillId="0" borderId="0" xfId="3" applyFont="1" applyBorder="1" applyProtection="1"/>
    <xf numFmtId="0" fontId="29" fillId="0" borderId="0" xfId="0" applyFont="1" applyProtection="1"/>
    <xf numFmtId="0" fontId="29" fillId="0" borderId="0" xfId="0" applyFont="1" applyAlignment="1" applyProtection="1">
      <alignment vertical="center"/>
    </xf>
    <xf numFmtId="166" fontId="29" fillId="0" borderId="0" xfId="3" applyFont="1" applyBorder="1" applyAlignment="1" applyProtection="1">
      <alignment vertical="center"/>
    </xf>
    <xf numFmtId="167" fontId="29" fillId="0" borderId="0" xfId="3" applyNumberFormat="1" applyFont="1" applyAlignment="1" applyProtection="1">
      <alignment vertical="center"/>
    </xf>
    <xf numFmtId="3" fontId="28" fillId="0" borderId="0" xfId="0" applyNumberFormat="1" applyFont="1" applyAlignment="1" applyProtection="1">
      <alignment vertical="center"/>
    </xf>
    <xf numFmtId="0" fontId="28" fillId="0" borderId="0" xfId="0" applyFont="1" applyFill="1" applyAlignment="1" applyProtection="1">
      <alignment vertical="center"/>
    </xf>
    <xf numFmtId="166" fontId="28" fillId="0" borderId="0" xfId="3" applyFont="1" applyFill="1" applyBorder="1" applyAlignment="1" applyProtection="1">
      <alignment vertical="center"/>
    </xf>
    <xf numFmtId="3" fontId="28" fillId="0" borderId="0" xfId="0" applyNumberFormat="1" applyFont="1" applyFill="1" applyAlignment="1" applyProtection="1">
      <alignment vertical="center"/>
    </xf>
    <xf numFmtId="0" fontId="30" fillId="0" borderId="0" xfId="0" applyFont="1" applyFill="1" applyAlignment="1" applyProtection="1">
      <alignment vertical="center"/>
    </xf>
    <xf numFmtId="166" fontId="30" fillId="0" borderId="0" xfId="3" applyFont="1" applyFill="1" applyBorder="1" applyAlignment="1" applyProtection="1">
      <alignment vertical="center"/>
    </xf>
    <xf numFmtId="3" fontId="30" fillId="0" borderId="0" xfId="0" applyNumberFormat="1" applyFont="1" applyFill="1" applyAlignment="1" applyProtection="1">
      <alignment vertical="center"/>
    </xf>
    <xf numFmtId="0" fontId="30" fillId="0" borderId="0" xfId="0" applyFont="1" applyAlignment="1" applyProtection="1">
      <alignment vertical="center"/>
    </xf>
    <xf numFmtId="166" fontId="30" fillId="0" borderId="0" xfId="3" applyFont="1" applyBorder="1" applyAlignment="1" applyProtection="1">
      <alignment vertical="center"/>
    </xf>
    <xf numFmtId="0" fontId="31" fillId="0" borderId="0" xfId="0" applyFont="1" applyAlignment="1" applyProtection="1">
      <alignment vertical="center"/>
    </xf>
    <xf numFmtId="3" fontId="22" fillId="0" borderId="1" xfId="3" applyNumberFormat="1" applyFont="1" applyFill="1" applyBorder="1" applyAlignment="1" applyProtection="1">
      <alignment horizontal="center"/>
      <protection locked="0"/>
    </xf>
    <xf numFmtId="166" fontId="31" fillId="0" borderId="0" xfId="3" applyFont="1" applyBorder="1" applyAlignment="1" applyProtection="1">
      <alignment vertical="center"/>
    </xf>
    <xf numFmtId="3" fontId="31" fillId="0" borderId="1" xfId="3" applyNumberFormat="1" applyFont="1" applyFill="1" applyBorder="1" applyAlignment="1" applyProtection="1">
      <alignment horizontal="center"/>
    </xf>
    <xf numFmtId="3" fontId="7" fillId="0" borderId="1" xfId="3" applyNumberFormat="1" applyFont="1" applyFill="1" applyBorder="1" applyAlignment="1" applyProtection="1">
      <alignment horizontal="center" vertical="center" wrapText="1"/>
    </xf>
    <xf numFmtId="3" fontId="13" fillId="0" borderId="1" xfId="0" applyNumberFormat="1" applyFont="1" applyBorder="1" applyAlignment="1" applyProtection="1">
      <alignment vertical="center"/>
    </xf>
    <xf numFmtId="3" fontId="13" fillId="3" borderId="1" xfId="0" applyNumberFormat="1" applyFont="1" applyFill="1" applyBorder="1" applyAlignment="1" applyProtection="1">
      <alignment horizontal="right" vertical="center"/>
    </xf>
    <xf numFmtId="0" fontId="13" fillId="0" borderId="0" xfId="0" applyFont="1" applyBorder="1" applyAlignment="1" applyProtection="1">
      <alignment vertical="center"/>
    </xf>
    <xf numFmtId="0" fontId="13" fillId="0" borderId="0" xfId="0" applyFont="1" applyAlignment="1" applyProtection="1">
      <alignment vertical="center"/>
    </xf>
    <xf numFmtId="0" fontId="13" fillId="0" borderId="0" xfId="0" applyFont="1" applyProtection="1"/>
    <xf numFmtId="0" fontId="31" fillId="17" borderId="1" xfId="0" applyFont="1" applyFill="1" applyBorder="1" applyAlignment="1" applyProtection="1">
      <alignment horizontal="left" vertical="center" wrapText="1" indent="1"/>
    </xf>
    <xf numFmtId="0" fontId="22" fillId="17" borderId="1" xfId="0" applyFont="1" applyFill="1" applyBorder="1" applyAlignment="1" applyProtection="1">
      <alignment horizontal="left" vertical="center" wrapText="1" indent="1"/>
    </xf>
    <xf numFmtId="3" fontId="13" fillId="0" borderId="0" xfId="0" applyNumberFormat="1" applyFont="1" applyBorder="1" applyAlignment="1" applyProtection="1">
      <alignment horizontal="centerContinuous"/>
    </xf>
    <xf numFmtId="0" fontId="10" fillId="0" borderId="0" xfId="0" applyFont="1" applyAlignment="1" applyProtection="1">
      <alignment horizontal="center" vertical="center"/>
    </xf>
    <xf numFmtId="3" fontId="8" fillId="0" borderId="0" xfId="0" applyNumberFormat="1" applyFont="1" applyBorder="1" applyAlignment="1" applyProtection="1">
      <alignment horizontal="centerContinuous"/>
    </xf>
    <xf numFmtId="3" fontId="10" fillId="0" borderId="1" xfId="0" applyNumberFormat="1" applyFont="1" applyBorder="1" applyAlignment="1" applyProtection="1">
      <alignment horizontal="centerContinuous"/>
    </xf>
    <xf numFmtId="167" fontId="13" fillId="0" borderId="0" xfId="3" applyNumberFormat="1" applyFont="1" applyAlignment="1" applyProtection="1">
      <alignment vertical="center"/>
    </xf>
    <xf numFmtId="0" fontId="10" fillId="0" borderId="0" xfId="0" applyFont="1" applyBorder="1" applyAlignment="1" applyProtection="1">
      <alignment horizontal="center" vertical="center"/>
    </xf>
    <xf numFmtId="0" fontId="13" fillId="0" borderId="0" xfId="0" applyFont="1" applyBorder="1" applyAlignment="1" applyProtection="1">
      <alignment vertical="center" wrapText="1"/>
    </xf>
    <xf numFmtId="0" fontId="13" fillId="0" borderId="0" xfId="0" applyFont="1" applyBorder="1" applyAlignment="1" applyProtection="1">
      <alignment horizontal="left" vertical="center" wrapText="1"/>
    </xf>
    <xf numFmtId="3" fontId="13" fillId="3" borderId="1" xfId="0" applyNumberFormat="1" applyFont="1" applyFill="1" applyBorder="1" applyAlignment="1" applyProtection="1">
      <alignment horizontal="center" vertical="center"/>
    </xf>
    <xf numFmtId="0" fontId="13" fillId="0" borderId="0" xfId="1" applyFont="1" applyAlignment="1" applyProtection="1">
      <alignment vertical="center"/>
    </xf>
    <xf numFmtId="0" fontId="13" fillId="0" borderId="0" xfId="1" applyFont="1" applyProtection="1"/>
    <xf numFmtId="0" fontId="72" fillId="0" borderId="0" xfId="1" applyFont="1" applyProtection="1"/>
    <xf numFmtId="0" fontId="7" fillId="0" borderId="0" xfId="0" applyFont="1" applyFill="1" applyAlignment="1" applyProtection="1">
      <alignment vertical="center"/>
    </xf>
    <xf numFmtId="166" fontId="7" fillId="0" borderId="0" xfId="3" applyFont="1" applyFill="1" applyBorder="1" applyAlignment="1" applyProtection="1">
      <alignment vertical="center"/>
    </xf>
    <xf numFmtId="167" fontId="13" fillId="0" borderId="0" xfId="3" applyNumberFormat="1" applyFont="1" applyProtection="1"/>
    <xf numFmtId="3" fontId="73" fillId="3" borderId="1" xfId="0" applyNumberFormat="1" applyFont="1" applyFill="1" applyBorder="1" applyAlignment="1" applyProtection="1">
      <alignment horizontal="left" vertical="center"/>
    </xf>
    <xf numFmtId="0" fontId="13" fillId="0" borderId="1" xfId="0" applyFont="1" applyBorder="1" applyAlignment="1" applyProtection="1">
      <alignment horizontal="center" vertical="center"/>
    </xf>
    <xf numFmtId="9" fontId="13" fillId="0" borderId="1" xfId="0" applyNumberFormat="1" applyFont="1" applyBorder="1" applyAlignment="1" applyProtection="1">
      <alignment horizontal="center" vertical="center"/>
    </xf>
    <xf numFmtId="169" fontId="13" fillId="0" borderId="1" xfId="0" applyNumberFormat="1" applyFont="1" applyBorder="1" applyAlignment="1" applyProtection="1">
      <alignment horizontal="center" vertical="center"/>
    </xf>
    <xf numFmtId="3" fontId="11" fillId="0" borderId="4" xfId="3" applyNumberFormat="1" applyFont="1" applyBorder="1" applyAlignment="1" applyProtection="1">
      <alignment horizontal="center" vertical="center"/>
    </xf>
    <xf numFmtId="0" fontId="11" fillId="0" borderId="3" xfId="0" applyFont="1" applyFill="1" applyBorder="1" applyAlignment="1" applyProtection="1">
      <alignment horizontal="center" vertical="center" wrapText="1"/>
    </xf>
    <xf numFmtId="3" fontId="22" fillId="0" borderId="4" xfId="3" applyNumberFormat="1" applyFont="1" applyFill="1" applyBorder="1" applyAlignment="1" applyProtection="1">
      <alignment horizontal="center" vertical="center" wrapText="1"/>
      <protection locked="0"/>
    </xf>
    <xf numFmtId="3" fontId="19" fillId="0" borderId="4" xfId="3" applyNumberFormat="1" applyFont="1" applyFill="1" applyBorder="1" applyAlignment="1" applyProtection="1">
      <alignment horizontal="center" vertical="center" wrapText="1"/>
    </xf>
    <xf numFmtId="0" fontId="22" fillId="0" borderId="3" xfId="0" applyFont="1" applyFill="1" applyBorder="1" applyAlignment="1" applyProtection="1">
      <alignment horizontal="center" vertical="center" wrapText="1"/>
    </xf>
    <xf numFmtId="3" fontId="19" fillId="0" borderId="4" xfId="3" applyNumberFormat="1" applyFont="1" applyFill="1" applyBorder="1" applyAlignment="1" applyProtection="1">
      <alignment horizontal="center" vertical="center" wrapText="1"/>
      <protection locked="0"/>
    </xf>
    <xf numFmtId="0" fontId="7" fillId="0" borderId="3" xfId="0" applyFont="1" applyFill="1" applyBorder="1" applyAlignment="1" applyProtection="1">
      <alignment horizontal="center" vertical="center" wrapText="1"/>
    </xf>
    <xf numFmtId="3" fontId="7" fillId="0" borderId="4" xfId="3" applyNumberFormat="1" applyFont="1" applyFill="1" applyBorder="1" applyAlignment="1" applyProtection="1">
      <alignment horizontal="center" vertical="center" wrapText="1"/>
      <protection locked="0"/>
    </xf>
    <xf numFmtId="3" fontId="7" fillId="0" borderId="4" xfId="3" applyNumberFormat="1" applyFont="1" applyFill="1" applyBorder="1" applyAlignment="1" applyProtection="1">
      <alignment horizontal="center" vertical="center" wrapText="1"/>
    </xf>
    <xf numFmtId="3" fontId="19" fillId="0" borderId="4" xfId="3" applyNumberFormat="1" applyFont="1" applyFill="1" applyBorder="1" applyAlignment="1" applyProtection="1">
      <alignment horizontal="center" vertical="center"/>
    </xf>
    <xf numFmtId="3" fontId="19" fillId="0" borderId="4" xfId="3" applyNumberFormat="1" applyFont="1" applyBorder="1" applyAlignment="1" applyProtection="1">
      <alignment horizontal="center" vertical="center" wrapText="1"/>
    </xf>
    <xf numFmtId="10" fontId="19" fillId="0" borderId="4" xfId="2" applyNumberFormat="1" applyFont="1" applyFill="1" applyBorder="1" applyAlignment="1" applyProtection="1">
      <alignment horizontal="center" vertical="center"/>
    </xf>
    <xf numFmtId="10" fontId="19" fillId="0" borderId="5" xfId="2" applyNumberFormat="1" applyFont="1" applyFill="1" applyBorder="1" applyAlignment="1" applyProtection="1">
      <alignment horizontal="center" vertical="center"/>
    </xf>
    <xf numFmtId="0" fontId="19" fillId="0" borderId="17" xfId="0" applyFont="1" applyBorder="1" applyAlignment="1" applyProtection="1">
      <alignment horizontal="center" wrapText="1"/>
    </xf>
    <xf numFmtId="167" fontId="11" fillId="0" borderId="19" xfId="3" applyNumberFormat="1" applyFont="1" applyBorder="1" applyAlignment="1" applyProtection="1">
      <alignment horizontal="left" vertical="center"/>
    </xf>
    <xf numFmtId="3" fontId="20" fillId="2" borderId="20" xfId="0" applyNumberFormat="1" applyFont="1" applyFill="1" applyBorder="1" applyAlignment="1" applyProtection="1">
      <alignment horizontal="center" vertical="center" wrapText="1"/>
    </xf>
    <xf numFmtId="192" fontId="10" fillId="0" borderId="23" xfId="4" applyNumberFormat="1" applyFont="1" applyFill="1" applyBorder="1" applyAlignment="1" applyProtection="1">
      <alignment vertical="center" wrapText="1"/>
      <protection locked="0"/>
    </xf>
    <xf numFmtId="0" fontId="7" fillId="0" borderId="0" xfId="0" applyFont="1" applyProtection="1"/>
    <xf numFmtId="168" fontId="7" fillId="0" borderId="0" xfId="0" applyNumberFormat="1" applyFont="1" applyBorder="1" applyAlignment="1" applyProtection="1">
      <alignment wrapText="1"/>
    </xf>
    <xf numFmtId="166" fontId="7" fillId="0" borderId="0" xfId="3" applyFont="1" applyBorder="1" applyProtection="1"/>
    <xf numFmtId="0" fontId="7" fillId="0" borderId="0" xfId="0" applyFont="1" applyBorder="1" applyAlignment="1" applyProtection="1">
      <alignment wrapText="1"/>
    </xf>
    <xf numFmtId="3" fontId="20" fillId="2" borderId="21" xfId="0" applyNumberFormat="1" applyFont="1" applyFill="1" applyBorder="1" applyAlignment="1" applyProtection="1">
      <alignment horizontal="center" vertical="center" wrapText="1"/>
    </xf>
    <xf numFmtId="3" fontId="20" fillId="2" borderId="22" xfId="0" applyNumberFormat="1" applyFont="1" applyFill="1" applyBorder="1" applyAlignment="1" applyProtection="1">
      <alignment horizontal="center" vertical="center" wrapText="1"/>
    </xf>
    <xf numFmtId="0" fontId="7" fillId="0" borderId="0" xfId="0" applyFont="1" applyAlignment="1" applyProtection="1">
      <alignment vertical="center"/>
    </xf>
    <xf numFmtId="166" fontId="7" fillId="0" borderId="0" xfId="3" applyFont="1" applyBorder="1" applyAlignment="1" applyProtection="1">
      <alignment vertical="center"/>
    </xf>
    <xf numFmtId="0" fontId="11" fillId="0" borderId="18" xfId="0" applyFont="1" applyFill="1" applyBorder="1" applyAlignment="1" applyProtection="1">
      <alignment horizontal="center" vertical="center"/>
    </xf>
    <xf numFmtId="0" fontId="7" fillId="0" borderId="3" xfId="0" applyFont="1" applyBorder="1" applyAlignment="1" applyProtection="1">
      <alignment horizontal="center" wrapText="1"/>
    </xf>
    <xf numFmtId="0" fontId="11" fillId="0" borderId="1" xfId="0" applyFont="1" applyFill="1" applyBorder="1" applyAlignment="1" applyProtection="1">
      <alignment horizontal="center" vertical="center"/>
    </xf>
    <xf numFmtId="166" fontId="11" fillId="0" borderId="0" xfId="3" applyFont="1" applyFill="1" applyBorder="1" applyAlignment="1" applyProtection="1">
      <alignment vertical="center"/>
    </xf>
    <xf numFmtId="0" fontId="7" fillId="0" borderId="3" xfId="0" applyFont="1" applyBorder="1" applyAlignment="1" applyProtection="1">
      <alignment horizontal="center" vertical="center" wrapText="1"/>
    </xf>
    <xf numFmtId="0" fontId="7" fillId="0" borderId="1" xfId="0" applyFont="1" applyFill="1" applyBorder="1" applyAlignment="1" applyProtection="1">
      <alignment horizontal="left" vertical="center" wrapText="1" indent="1"/>
    </xf>
    <xf numFmtId="0" fontId="7" fillId="0" borderId="1" xfId="0" applyFont="1" applyBorder="1" applyAlignment="1" applyProtection="1">
      <alignment horizontal="left" vertical="center" wrapText="1" indent="1"/>
    </xf>
    <xf numFmtId="0" fontId="7" fillId="0" borderId="3" xfId="0" applyFont="1" applyFill="1" applyBorder="1" applyAlignment="1" applyProtection="1">
      <alignment horizontal="center" wrapText="1"/>
    </xf>
    <xf numFmtId="0" fontId="19" fillId="0" borderId="3" xfId="0" applyFont="1" applyFill="1" applyBorder="1" applyAlignment="1" applyProtection="1">
      <alignment horizontal="center" wrapText="1"/>
    </xf>
    <xf numFmtId="3" fontId="19" fillId="0" borderId="0" xfId="0" applyNumberFormat="1" applyFont="1" applyProtection="1"/>
    <xf numFmtId="166" fontId="19" fillId="0" borderId="0" xfId="3" applyFont="1" applyBorder="1" applyProtection="1"/>
    <xf numFmtId="0" fontId="19" fillId="0" borderId="3" xfId="0" applyFont="1" applyFill="1" applyBorder="1" applyAlignment="1" applyProtection="1">
      <alignment horizontal="center" vertical="center" wrapText="1"/>
    </xf>
    <xf numFmtId="166" fontId="19" fillId="0" borderId="0" xfId="3" applyFont="1" applyBorder="1" applyAlignment="1" applyProtection="1">
      <alignment vertical="center"/>
    </xf>
    <xf numFmtId="167" fontId="19" fillId="0" borderId="0" xfId="3" applyNumberFormat="1" applyFont="1" applyAlignment="1" applyProtection="1">
      <alignment vertical="center"/>
    </xf>
    <xf numFmtId="0" fontId="20" fillId="0" borderId="1" xfId="0" applyFont="1" applyBorder="1" applyAlignment="1" applyProtection="1">
      <alignment horizontal="left" vertical="center" wrapText="1" indent="2"/>
    </xf>
    <xf numFmtId="170" fontId="20" fillId="40" borderId="1" xfId="3" applyNumberFormat="1" applyFont="1" applyFill="1" applyBorder="1" applyAlignment="1" applyProtection="1">
      <alignment horizontal="center" vertical="center" wrapText="1"/>
      <protection locked="0"/>
    </xf>
    <xf numFmtId="0" fontId="19" fillId="0" borderId="3" xfId="0" applyFont="1" applyBorder="1" applyAlignment="1" applyProtection="1">
      <alignment horizontal="center" vertical="center" wrapText="1"/>
    </xf>
    <xf numFmtId="3" fontId="7" fillId="0" borderId="0" xfId="0" applyNumberFormat="1" applyFont="1" applyFill="1" applyAlignment="1" applyProtection="1">
      <alignment vertical="center"/>
    </xf>
    <xf numFmtId="0" fontId="22" fillId="0" borderId="3" xfId="0" applyFont="1" applyBorder="1" applyAlignment="1" applyProtection="1">
      <alignment horizontal="center" vertical="center" wrapText="1"/>
    </xf>
    <xf numFmtId="0" fontId="19" fillId="0" borderId="6" xfId="0" applyFont="1" applyBorder="1" applyAlignment="1" applyProtection="1">
      <alignment horizontal="center" vertical="center" wrapText="1"/>
    </xf>
    <xf numFmtId="0" fontId="19" fillId="0" borderId="7" xfId="0" applyFont="1" applyBorder="1" applyAlignment="1" applyProtection="1">
      <alignment horizontal="left" vertical="center" wrapText="1" indent="2"/>
    </xf>
    <xf numFmtId="167" fontId="7" fillId="0" borderId="0" xfId="3" applyNumberFormat="1" applyFont="1" applyProtection="1"/>
    <xf numFmtId="0" fontId="8" fillId="0" borderId="0" xfId="0" applyFont="1" applyAlignment="1" applyProtection="1">
      <alignment horizontal="center" vertical="center" wrapText="1"/>
    </xf>
    <xf numFmtId="15" fontId="0" fillId="0" borderId="0" xfId="0" applyNumberFormat="1" applyFont="1" applyBorder="1" applyAlignment="1" applyProtection="1">
      <alignment horizontal="center"/>
    </xf>
    <xf numFmtId="0" fontId="13" fillId="0" borderId="1" xfId="0" applyFont="1" applyFill="1" applyBorder="1" applyAlignment="1" applyProtection="1">
      <alignment vertical="center" wrapText="1"/>
    </xf>
    <xf numFmtId="0" fontId="4" fillId="0" borderId="0" xfId="0" applyFont="1" applyAlignment="1" applyProtection="1">
      <alignment horizontal="center" vertical="center" wrapText="1"/>
    </xf>
    <xf numFmtId="0" fontId="13" fillId="0" borderId="0" xfId="1" applyFont="1" applyAlignment="1" applyProtection="1">
      <alignment horizontal="center"/>
    </xf>
    <xf numFmtId="15" fontId="10" fillId="0" borderId="0" xfId="1" applyNumberFormat="1" applyFont="1" applyBorder="1" applyAlignment="1" applyProtection="1">
      <alignment horizontal="center" vertical="center" wrapText="1"/>
    </xf>
    <xf numFmtId="0" fontId="13" fillId="0" borderId="1" xfId="1" applyFont="1" applyBorder="1" applyAlignment="1" applyProtection="1">
      <alignment horizontal="center" vertical="center"/>
    </xf>
    <xf numFmtId="0" fontId="75" fillId="0" borderId="0" xfId="1" applyFont="1" applyAlignment="1" applyProtection="1">
      <alignment horizontal="left" vertical="center" indent="1"/>
    </xf>
    <xf numFmtId="167" fontId="10" fillId="0" borderId="1" xfId="3" applyNumberFormat="1" applyFont="1" applyBorder="1" applyAlignment="1" applyProtection="1">
      <alignment horizontal="center" vertical="center" wrapText="1"/>
    </xf>
    <xf numFmtId="0" fontId="13" fillId="0" borderId="1" xfId="1" applyFont="1" applyBorder="1" applyAlignment="1" applyProtection="1">
      <alignment horizontal="left" vertical="center" wrapText="1" indent="1"/>
    </xf>
    <xf numFmtId="167" fontId="13" fillId="0" borderId="1" xfId="3" applyNumberFormat="1" applyFont="1" applyBorder="1" applyAlignment="1" applyProtection="1">
      <alignment horizontal="center" vertical="center" wrapText="1"/>
      <protection locked="0"/>
    </xf>
    <xf numFmtId="0" fontId="74" fillId="0" borderId="1" xfId="1" applyFont="1" applyBorder="1" applyAlignment="1" applyProtection="1">
      <alignment horizontal="left" vertical="center" wrapText="1" indent="1"/>
    </xf>
    <xf numFmtId="167" fontId="10" fillId="0" borderId="1" xfId="3" applyNumberFormat="1" applyFont="1" applyFill="1" applyBorder="1" applyAlignment="1" applyProtection="1">
      <alignment horizontal="center" vertical="center" wrapText="1"/>
    </xf>
    <xf numFmtId="0" fontId="10" fillId="0" borderId="1" xfId="1" applyFont="1" applyBorder="1" applyAlignment="1" applyProtection="1">
      <alignment horizontal="left" vertical="center" wrapText="1" indent="1"/>
    </xf>
    <xf numFmtId="0" fontId="76" fillId="0" borderId="0" xfId="1" applyFont="1" applyProtection="1"/>
    <xf numFmtId="0" fontId="8" fillId="0" borderId="0" xfId="0" applyFont="1" applyAlignment="1" applyProtection="1">
      <alignment horizontal="left" vertical="center" indent="1"/>
    </xf>
    <xf numFmtId="0" fontId="13" fillId="0" borderId="0" xfId="1" applyFont="1" applyBorder="1" applyProtection="1"/>
    <xf numFmtId="0" fontId="4" fillId="0" borderId="0" xfId="0" applyFont="1" applyBorder="1" applyProtection="1"/>
    <xf numFmtId="167" fontId="77" fillId="0" borderId="0" xfId="3" applyNumberFormat="1" applyFont="1" applyFill="1" applyBorder="1" applyAlignment="1" applyProtection="1">
      <alignment vertical="center"/>
    </xf>
    <xf numFmtId="0" fontId="78" fillId="0" borderId="0" xfId="1" applyFont="1" applyAlignment="1" applyProtection="1">
      <alignment vertical="center"/>
    </xf>
    <xf numFmtId="0" fontId="78" fillId="0" borderId="0" xfId="1" applyFont="1" applyProtection="1"/>
    <xf numFmtId="0" fontId="79" fillId="0" borderId="0" xfId="1" applyFont="1" applyProtection="1"/>
    <xf numFmtId="0" fontId="78" fillId="0" borderId="0" xfId="1" applyFont="1" applyBorder="1" applyProtection="1"/>
    <xf numFmtId="0" fontId="78" fillId="0" borderId="0" xfId="1" applyFont="1" applyAlignment="1" applyProtection="1">
      <alignment horizontal="center"/>
    </xf>
    <xf numFmtId="0" fontId="79" fillId="0" borderId="0" xfId="1" applyFont="1" applyAlignment="1" applyProtection="1">
      <alignment horizontal="center"/>
    </xf>
    <xf numFmtId="0" fontId="78" fillId="0" borderId="0" xfId="1" applyFont="1" applyBorder="1" applyAlignment="1" applyProtection="1">
      <alignment horizontal="center"/>
    </xf>
    <xf numFmtId="0" fontId="74" fillId="0" borderId="1" xfId="1" applyFont="1" applyBorder="1" applyAlignment="1" applyProtection="1">
      <alignment horizontal="right" vertical="center" indent="1"/>
    </xf>
    <xf numFmtId="0" fontId="80" fillId="0" borderId="0" xfId="1" applyFont="1" applyAlignment="1" applyProtection="1">
      <alignment vertical="center"/>
    </xf>
    <xf numFmtId="0" fontId="80" fillId="0" borderId="0" xfId="1" applyFont="1" applyAlignment="1" applyProtection="1">
      <alignment horizontal="center" vertical="center"/>
    </xf>
    <xf numFmtId="0" fontId="80" fillId="0" borderId="0" xfId="1" applyFont="1" applyAlignment="1" applyProtection="1">
      <alignment horizontal="center" vertical="center" wrapText="1"/>
    </xf>
    <xf numFmtId="0" fontId="80" fillId="0" borderId="0" xfId="1" applyFont="1" applyAlignment="1" applyProtection="1">
      <alignment vertical="center" wrapText="1"/>
    </xf>
    <xf numFmtId="0" fontId="80" fillId="0" borderId="0" xfId="1" applyFont="1" applyProtection="1"/>
    <xf numFmtId="0" fontId="80" fillId="0" borderId="0" xfId="1" applyFont="1" applyAlignment="1" applyProtection="1">
      <alignment horizontal="center"/>
    </xf>
    <xf numFmtId="0" fontId="80" fillId="0" borderId="0" xfId="1" applyNumberFormat="1" applyFont="1" applyAlignment="1" applyProtection="1">
      <alignment horizontal="center"/>
    </xf>
    <xf numFmtId="193" fontId="81" fillId="0" borderId="0" xfId="3" applyNumberFormat="1" applyFont="1" applyProtection="1"/>
    <xf numFmtId="0" fontId="2" fillId="0" borderId="0" xfId="0" applyFont="1" applyBorder="1" applyProtection="1"/>
    <xf numFmtId="0" fontId="9" fillId="0" borderId="0" xfId="0" applyFont="1" applyBorder="1" applyProtection="1"/>
    <xf numFmtId="0" fontId="2" fillId="0" borderId="0" xfId="0" applyFont="1" applyProtection="1"/>
    <xf numFmtId="0" fontId="82" fillId="0" borderId="0" xfId="0" applyFont="1" applyBorder="1" applyProtection="1"/>
    <xf numFmtId="0" fontId="52" fillId="0" borderId="0" xfId="1" applyFont="1" applyProtection="1"/>
    <xf numFmtId="0" fontId="8" fillId="0" borderId="0" xfId="0" quotePrefix="1" applyFont="1" applyBorder="1" applyAlignment="1" applyProtection="1">
      <alignment horizontal="center"/>
      <protection locked="0"/>
    </xf>
    <xf numFmtId="192" fontId="10" fillId="0" borderId="23" xfId="4" applyNumberFormat="1" applyFont="1" applyFill="1" applyBorder="1" applyAlignment="1" applyProtection="1">
      <alignment vertical="center" wrapText="1"/>
    </xf>
    <xf numFmtId="3" fontId="22" fillId="0" borderId="4" xfId="3" applyNumberFormat="1" applyFont="1" applyFill="1" applyBorder="1" applyAlignment="1" applyProtection="1">
      <alignment horizontal="center" vertical="center"/>
    </xf>
    <xf numFmtId="0" fontId="13" fillId="0" borderId="0" xfId="0" applyFont="1" applyAlignment="1" applyProtection="1">
      <alignment horizontal="center" vertical="center"/>
    </xf>
    <xf numFmtId="165" fontId="13" fillId="0" borderId="0" xfId="0" applyNumberFormat="1" applyFont="1" applyAlignment="1" applyProtection="1">
      <alignment vertical="center"/>
    </xf>
    <xf numFmtId="170" fontId="20" fillId="40" borderId="0" xfId="3" applyNumberFormat="1" applyFont="1" applyFill="1" applyBorder="1" applyAlignment="1" applyProtection="1">
      <alignment horizontal="center" vertical="center" wrapText="1"/>
    </xf>
    <xf numFmtId="0" fontId="83" fillId="0" borderId="0" xfId="0" applyFont="1" applyAlignment="1" applyProtection="1">
      <alignment horizontal="center"/>
    </xf>
    <xf numFmtId="0" fontId="13" fillId="0" borderId="1" xfId="0" applyFont="1" applyFill="1" applyBorder="1" applyAlignment="1" applyProtection="1">
      <alignment horizontal="left" vertical="center" wrapText="1" indent="1"/>
    </xf>
    <xf numFmtId="0" fontId="13" fillId="0" borderId="1" xfId="0" applyFont="1" applyFill="1" applyBorder="1" applyAlignment="1" applyProtection="1">
      <alignment horizontal="left" vertical="center" wrapText="1" indent="2"/>
    </xf>
    <xf numFmtId="0" fontId="13" fillId="0" borderId="1" xfId="0" applyFont="1" applyFill="1" applyBorder="1" applyAlignment="1" applyProtection="1">
      <alignment horizontal="left" vertical="center" wrapText="1"/>
    </xf>
    <xf numFmtId="9" fontId="13" fillId="0" borderId="1" xfId="2" applyFont="1" applyBorder="1" applyAlignment="1" applyProtection="1">
      <alignment horizontal="center" vertical="center"/>
    </xf>
    <xf numFmtId="0" fontId="10" fillId="0" borderId="1" xfId="0" applyFont="1" applyBorder="1" applyAlignment="1" applyProtection="1">
      <alignment horizontal="center" vertical="center" wrapText="1"/>
    </xf>
    <xf numFmtId="0" fontId="10" fillId="0" borderId="2" xfId="0" applyFont="1" applyFill="1" applyBorder="1" applyAlignment="1" applyProtection="1">
      <alignment horizontal="center" vertical="center" wrapText="1"/>
    </xf>
    <xf numFmtId="167" fontId="2" fillId="0" borderId="0" xfId="3" applyNumberFormat="1" applyFont="1" applyBorder="1" applyProtection="1"/>
    <xf numFmtId="167" fontId="9" fillId="0" borderId="0" xfId="3" applyNumberFormat="1" applyFont="1" applyBorder="1" applyProtection="1"/>
    <xf numFmtId="3" fontId="13" fillId="0" borderId="0" xfId="0" applyNumberFormat="1" applyFont="1" applyAlignment="1" applyProtection="1">
      <alignment vertical="center"/>
    </xf>
    <xf numFmtId="166" fontId="13" fillId="0" borderId="0" xfId="3" applyFont="1" applyAlignment="1" applyProtection="1">
      <alignment vertical="center"/>
    </xf>
    <xf numFmtId="167" fontId="13" fillId="0" borderId="0" xfId="0" applyNumberFormat="1" applyFont="1" applyAlignment="1" applyProtection="1">
      <alignment vertical="center"/>
    </xf>
    <xf numFmtId="0" fontId="84" fillId="0" borderId="0" xfId="0" applyFont="1" applyFill="1" applyAlignment="1" applyProtection="1">
      <alignment vertical="center"/>
    </xf>
    <xf numFmtId="166" fontId="84" fillId="0" borderId="0" xfId="3" applyFont="1" applyFill="1" applyBorder="1" applyAlignment="1" applyProtection="1">
      <alignment vertical="center"/>
    </xf>
    <xf numFmtId="3" fontId="84" fillId="0" borderId="0" xfId="0" applyNumberFormat="1" applyFont="1" applyFill="1" applyAlignment="1" applyProtection="1">
      <alignment horizontal="center" vertical="center"/>
    </xf>
    <xf numFmtId="3" fontId="85" fillId="0" borderId="0" xfId="0" applyNumberFormat="1" applyFont="1" applyProtection="1"/>
    <xf numFmtId="166" fontId="27" fillId="0" borderId="0" xfId="3" applyFont="1" applyBorder="1" applyProtection="1"/>
    <xf numFmtId="0" fontId="27" fillId="0" borderId="0" xfId="0" applyFont="1" applyProtection="1"/>
    <xf numFmtId="3" fontId="27" fillId="0" borderId="0" xfId="0" applyNumberFormat="1" applyFont="1" applyAlignment="1" applyProtection="1">
      <alignment vertical="center"/>
    </xf>
    <xf numFmtId="166" fontId="27" fillId="0" borderId="0" xfId="3" applyFont="1" applyBorder="1" applyAlignment="1" applyProtection="1">
      <alignment vertical="center"/>
    </xf>
    <xf numFmtId="0" fontId="27" fillId="0" borderId="0" xfId="0" applyFont="1" applyAlignment="1" applyProtection="1">
      <alignment vertical="center"/>
    </xf>
    <xf numFmtId="0" fontId="85" fillId="0" borderId="0" xfId="0" applyFont="1" applyAlignment="1" applyProtection="1">
      <alignment vertical="center"/>
    </xf>
    <xf numFmtId="166" fontId="85" fillId="0" borderId="0" xfId="3" applyFont="1" applyBorder="1" applyAlignment="1" applyProtection="1">
      <alignment vertical="center"/>
    </xf>
    <xf numFmtId="0" fontId="27" fillId="0" borderId="0" xfId="0" applyFont="1" applyFill="1" applyAlignment="1" applyProtection="1">
      <alignment vertical="center"/>
    </xf>
    <xf numFmtId="166" fontId="27" fillId="0" borderId="0" xfId="3" applyFont="1" applyFill="1" applyBorder="1" applyAlignment="1" applyProtection="1">
      <alignment vertical="center"/>
    </xf>
    <xf numFmtId="3" fontId="27" fillId="0" borderId="0" xfId="0" applyNumberFormat="1" applyFont="1" applyFill="1" applyAlignment="1" applyProtection="1">
      <alignment vertical="center"/>
    </xf>
    <xf numFmtId="0" fontId="31" fillId="0" borderId="0" xfId="0" applyFont="1" applyFill="1" applyAlignment="1" applyProtection="1">
      <alignment vertical="center"/>
    </xf>
    <xf numFmtId="166" fontId="31" fillId="0" borderId="0" xfId="3" applyFont="1" applyFill="1" applyBorder="1" applyAlignment="1" applyProtection="1">
      <alignment vertical="center"/>
    </xf>
    <xf numFmtId="3" fontId="31" fillId="0" borderId="0" xfId="0" applyNumberFormat="1" applyFont="1" applyFill="1" applyAlignment="1" applyProtection="1">
      <alignment vertical="center"/>
    </xf>
    <xf numFmtId="0" fontId="86" fillId="0" borderId="0" xfId="0" applyFont="1" applyBorder="1" applyProtection="1"/>
    <xf numFmtId="0" fontId="87" fillId="0" borderId="0" xfId="0" applyFont="1" applyBorder="1" applyProtection="1"/>
    <xf numFmtId="0" fontId="10" fillId="0" borderId="1" xfId="0" applyFont="1" applyBorder="1" applyAlignment="1" applyProtection="1">
      <alignment horizontal="center" vertical="center"/>
    </xf>
    <xf numFmtId="0" fontId="10" fillId="0" borderId="1" xfId="0" applyFont="1" applyFill="1" applyBorder="1" applyAlignment="1" applyProtection="1">
      <alignment horizontal="center" vertical="center" wrapText="1"/>
    </xf>
    <xf numFmtId="3" fontId="13" fillId="0" borderId="1" xfId="0" applyNumberFormat="1" applyFont="1" applyFill="1" applyBorder="1" applyAlignment="1" applyProtection="1">
      <alignment horizontal="right" vertical="center"/>
    </xf>
    <xf numFmtId="3" fontId="13" fillId="0" borderId="1" xfId="0" applyNumberFormat="1" applyFont="1" applyBorder="1" applyAlignment="1" applyProtection="1">
      <alignment horizontal="right" vertical="center"/>
    </xf>
    <xf numFmtId="0" fontId="13" fillId="0" borderId="0" xfId="0" applyFont="1" applyFill="1" applyProtection="1"/>
    <xf numFmtId="0" fontId="10" fillId="0" borderId="0" xfId="0" applyFont="1" applyFill="1" applyAlignment="1" applyProtection="1">
      <alignment horizontal="center" vertical="center"/>
    </xf>
    <xf numFmtId="0" fontId="2" fillId="0" borderId="0" xfId="0" applyFont="1" applyFill="1" applyBorder="1" applyProtection="1"/>
    <xf numFmtId="0" fontId="4" fillId="0" borderId="0" xfId="0" applyFont="1" applyFill="1" applyBorder="1" applyProtection="1"/>
    <xf numFmtId="0" fontId="14" fillId="0" borderId="0" xfId="0" applyFont="1" applyBorder="1" applyAlignment="1" applyProtection="1">
      <alignment horizontal="center" vertical="center"/>
    </xf>
    <xf numFmtId="0" fontId="15" fillId="0" borderId="0" xfId="0" applyFont="1" applyBorder="1" applyAlignment="1" applyProtection="1">
      <alignment horizontal="center" vertical="center"/>
    </xf>
    <xf numFmtId="0" fontId="13" fillId="0" borderId="30" xfId="0" applyFont="1" applyFill="1" applyBorder="1" applyAlignment="1" applyProtection="1">
      <alignment horizontal="left" vertical="center" wrapText="1"/>
    </xf>
    <xf numFmtId="0" fontId="13" fillId="0" borderId="31" xfId="0" applyFont="1" applyFill="1" applyBorder="1" applyAlignment="1" applyProtection="1">
      <alignment horizontal="left" vertical="center" wrapText="1"/>
    </xf>
    <xf numFmtId="0" fontId="8" fillId="0" borderId="0" xfId="0" applyFont="1" applyBorder="1" applyAlignment="1" applyProtection="1">
      <alignment horizontal="center" vertical="center"/>
    </xf>
    <xf numFmtId="0" fontId="10" fillId="0" borderId="1" xfId="0" applyFont="1" applyBorder="1" applyAlignment="1" applyProtection="1">
      <alignment horizontal="center" vertical="center"/>
    </xf>
    <xf numFmtId="192" fontId="10" fillId="0" borderId="0" xfId="4" applyNumberFormat="1" applyFont="1" applyFill="1" applyBorder="1" applyAlignment="1" applyProtection="1">
      <alignment horizontal="center" wrapText="1"/>
    </xf>
    <xf numFmtId="0" fontId="10" fillId="0" borderId="24" xfId="0" applyFont="1" applyBorder="1" applyAlignment="1" applyProtection="1">
      <alignment horizontal="center" vertical="center"/>
    </xf>
    <xf numFmtId="0" fontId="10" fillId="0" borderId="25" xfId="0" applyFont="1" applyBorder="1" applyAlignment="1" applyProtection="1">
      <alignment horizontal="center" vertical="center"/>
    </xf>
    <xf numFmtId="0" fontId="10" fillId="0" borderId="26" xfId="0" applyFont="1" applyBorder="1" applyAlignment="1" applyProtection="1">
      <alignment horizontal="center" vertical="center"/>
    </xf>
    <xf numFmtId="0" fontId="10" fillId="0" borderId="27" xfId="0" applyFont="1" applyBorder="1" applyAlignment="1" applyProtection="1">
      <alignment horizontal="center" vertical="center"/>
    </xf>
    <xf numFmtId="0" fontId="10" fillId="0" borderId="28" xfId="0" applyFont="1" applyBorder="1" applyAlignment="1" applyProtection="1">
      <alignment horizontal="center" vertical="center"/>
    </xf>
    <xf numFmtId="0" fontId="10" fillId="0" borderId="29" xfId="0" applyFont="1" applyBorder="1" applyAlignment="1" applyProtection="1">
      <alignment horizontal="center" vertical="center"/>
    </xf>
    <xf numFmtId="0" fontId="13" fillId="0" borderId="30" xfId="0" applyFont="1" applyBorder="1" applyAlignment="1" applyProtection="1">
      <alignment horizontal="center" vertical="center"/>
    </xf>
    <xf numFmtId="0" fontId="13" fillId="0" borderId="31" xfId="0" applyFont="1" applyBorder="1" applyAlignment="1" applyProtection="1">
      <alignment horizontal="center" vertical="center"/>
    </xf>
    <xf numFmtId="0" fontId="10" fillId="0" borderId="30" xfId="0" applyFont="1" applyBorder="1" applyAlignment="1" applyProtection="1">
      <alignment horizontal="center" vertical="center"/>
    </xf>
    <xf numFmtId="0" fontId="10" fillId="0" borderId="31" xfId="0" applyFont="1" applyBorder="1" applyAlignment="1" applyProtection="1">
      <alignment horizontal="center" vertical="center"/>
    </xf>
    <xf numFmtId="0" fontId="10" fillId="0" borderId="0" xfId="1" applyFont="1" applyAlignment="1" applyProtection="1">
      <alignment horizontal="center" vertical="center"/>
    </xf>
  </cellXfs>
  <cellStyles count="1288">
    <cellStyle name="”ќђќ‘ћ‚›‰" xfId="11" xr:uid="{00000000-0005-0000-0000-000000000000}"/>
    <cellStyle name="”љ‘ђћ‚ђќќ›‰" xfId="12" xr:uid="{00000000-0005-0000-0000-000001000000}"/>
    <cellStyle name="„…ќ…†ќ›‰" xfId="13" xr:uid="{00000000-0005-0000-0000-000002000000}"/>
    <cellStyle name="‡ђѓћ‹ћ‚ћљ1" xfId="14" xr:uid="{00000000-0005-0000-0000-000003000000}"/>
    <cellStyle name="‡ђѓћ‹ћ‚ћљ2" xfId="15" xr:uid="{00000000-0005-0000-0000-000004000000}"/>
    <cellStyle name="’ћѓћ‚›‰" xfId="16" xr:uid="{00000000-0005-0000-0000-000005000000}"/>
    <cellStyle name="" xfId="17" xr:uid="{00000000-0005-0000-0000-000006000000}"/>
    <cellStyle name="" xfId="18" xr:uid="{00000000-0005-0000-0000-000007000000}"/>
    <cellStyle name="" xfId="19" xr:uid="{00000000-0005-0000-0000-000008000000}"/>
    <cellStyle name="" xfId="20" xr:uid="{00000000-0005-0000-0000-000009000000}"/>
    <cellStyle name="" xfId="21" xr:uid="{00000000-0005-0000-0000-00000A000000}"/>
    <cellStyle name="1" xfId="22" xr:uid="{00000000-0005-0000-0000-00000B000000}"/>
    <cellStyle name="2" xfId="23" xr:uid="{00000000-0005-0000-0000-00000C000000}"/>
    <cellStyle name="1 indent" xfId="1226" xr:uid="{00000000-0005-0000-0000-00000D000000}"/>
    <cellStyle name="2 indents" xfId="1227" xr:uid="{00000000-0005-0000-0000-00000E000000}"/>
    <cellStyle name="20% - Accent1" xfId="1228" xr:uid="{00000000-0005-0000-0000-00000F000000}"/>
    <cellStyle name="20% - Accent2" xfId="1229" xr:uid="{00000000-0005-0000-0000-000010000000}"/>
    <cellStyle name="20% - Accent3" xfId="1230" xr:uid="{00000000-0005-0000-0000-000011000000}"/>
    <cellStyle name="20% - Accent4" xfId="1231" xr:uid="{00000000-0005-0000-0000-000012000000}"/>
    <cellStyle name="20% - Accent5" xfId="1232" xr:uid="{00000000-0005-0000-0000-000013000000}"/>
    <cellStyle name="20% - Accent6" xfId="1233" xr:uid="{00000000-0005-0000-0000-000014000000}"/>
    <cellStyle name="20% - Акцент1 10" xfId="24" xr:uid="{00000000-0005-0000-0000-000015000000}"/>
    <cellStyle name="20% - Акцент1 11" xfId="25" xr:uid="{00000000-0005-0000-0000-000016000000}"/>
    <cellStyle name="20% - Акцент1 12" xfId="26" xr:uid="{00000000-0005-0000-0000-000017000000}"/>
    <cellStyle name="20% - Акцент1 13" xfId="27" xr:uid="{00000000-0005-0000-0000-000018000000}"/>
    <cellStyle name="20% - Акцент1 14" xfId="28" xr:uid="{00000000-0005-0000-0000-000019000000}"/>
    <cellStyle name="20% - Акцент1 15" xfId="29" xr:uid="{00000000-0005-0000-0000-00001A000000}"/>
    <cellStyle name="20% - Акцент1 16" xfId="30" xr:uid="{00000000-0005-0000-0000-00001B000000}"/>
    <cellStyle name="20% - Акцент1 17" xfId="31" xr:uid="{00000000-0005-0000-0000-00001C000000}"/>
    <cellStyle name="20% - Акцент1 18" xfId="32" xr:uid="{00000000-0005-0000-0000-00001D000000}"/>
    <cellStyle name="20% - Акцент1 19" xfId="33" xr:uid="{00000000-0005-0000-0000-00001E000000}"/>
    <cellStyle name="20% - Акцент1 2" xfId="34" xr:uid="{00000000-0005-0000-0000-00001F000000}"/>
    <cellStyle name="20% - Акцент1 20" xfId="35" xr:uid="{00000000-0005-0000-0000-000020000000}"/>
    <cellStyle name="20% - Акцент1 21" xfId="36" xr:uid="{00000000-0005-0000-0000-000021000000}"/>
    <cellStyle name="20% - Акцент1 22" xfId="37" xr:uid="{00000000-0005-0000-0000-000022000000}"/>
    <cellStyle name="20% - Акцент1 23" xfId="38" xr:uid="{00000000-0005-0000-0000-000023000000}"/>
    <cellStyle name="20% - Акцент1 24" xfId="39" xr:uid="{00000000-0005-0000-0000-000024000000}"/>
    <cellStyle name="20% - Акцент1 25" xfId="40" xr:uid="{00000000-0005-0000-0000-000025000000}"/>
    <cellStyle name="20% - Акцент1 26" xfId="41" xr:uid="{00000000-0005-0000-0000-000026000000}"/>
    <cellStyle name="20% - Акцент1 3" xfId="42" xr:uid="{00000000-0005-0000-0000-000027000000}"/>
    <cellStyle name="20% - Акцент1 4" xfId="43" xr:uid="{00000000-0005-0000-0000-000028000000}"/>
    <cellStyle name="20% - Акцент1 5" xfId="44" xr:uid="{00000000-0005-0000-0000-000029000000}"/>
    <cellStyle name="20% - Акцент1 6" xfId="45" xr:uid="{00000000-0005-0000-0000-00002A000000}"/>
    <cellStyle name="20% - Акцент1 7" xfId="46" xr:uid="{00000000-0005-0000-0000-00002B000000}"/>
    <cellStyle name="20% - Акцент1 8" xfId="47" xr:uid="{00000000-0005-0000-0000-00002C000000}"/>
    <cellStyle name="20% - Акцент1 9" xfId="48" xr:uid="{00000000-0005-0000-0000-00002D000000}"/>
    <cellStyle name="20% - Акцент2 10" xfId="49" xr:uid="{00000000-0005-0000-0000-00002E000000}"/>
    <cellStyle name="20% - Акцент2 11" xfId="50" xr:uid="{00000000-0005-0000-0000-00002F000000}"/>
    <cellStyle name="20% - Акцент2 12" xfId="51" xr:uid="{00000000-0005-0000-0000-000030000000}"/>
    <cellStyle name="20% - Акцент2 13" xfId="52" xr:uid="{00000000-0005-0000-0000-000031000000}"/>
    <cellStyle name="20% - Акцент2 14" xfId="53" xr:uid="{00000000-0005-0000-0000-000032000000}"/>
    <cellStyle name="20% - Акцент2 15" xfId="54" xr:uid="{00000000-0005-0000-0000-000033000000}"/>
    <cellStyle name="20% - Акцент2 16" xfId="55" xr:uid="{00000000-0005-0000-0000-000034000000}"/>
    <cellStyle name="20% - Акцент2 17" xfId="56" xr:uid="{00000000-0005-0000-0000-000035000000}"/>
    <cellStyle name="20% - Акцент2 18" xfId="57" xr:uid="{00000000-0005-0000-0000-000036000000}"/>
    <cellStyle name="20% - Акцент2 19" xfId="58" xr:uid="{00000000-0005-0000-0000-000037000000}"/>
    <cellStyle name="20% - Акцент2 2" xfId="59" xr:uid="{00000000-0005-0000-0000-000038000000}"/>
    <cellStyle name="20% - Акцент2 20" xfId="60" xr:uid="{00000000-0005-0000-0000-000039000000}"/>
    <cellStyle name="20% - Акцент2 21" xfId="61" xr:uid="{00000000-0005-0000-0000-00003A000000}"/>
    <cellStyle name="20% - Акцент2 22" xfId="62" xr:uid="{00000000-0005-0000-0000-00003B000000}"/>
    <cellStyle name="20% - Акцент2 23" xfId="63" xr:uid="{00000000-0005-0000-0000-00003C000000}"/>
    <cellStyle name="20% - Акцент2 24" xfId="64" xr:uid="{00000000-0005-0000-0000-00003D000000}"/>
    <cellStyle name="20% - Акцент2 25" xfId="65" xr:uid="{00000000-0005-0000-0000-00003E000000}"/>
    <cellStyle name="20% - Акцент2 26" xfId="66" xr:uid="{00000000-0005-0000-0000-00003F000000}"/>
    <cellStyle name="20% - Акцент2 3" xfId="67" xr:uid="{00000000-0005-0000-0000-000040000000}"/>
    <cellStyle name="20% - Акцент2 4" xfId="68" xr:uid="{00000000-0005-0000-0000-000041000000}"/>
    <cellStyle name="20% - Акцент2 5" xfId="69" xr:uid="{00000000-0005-0000-0000-000042000000}"/>
    <cellStyle name="20% - Акцент2 6" xfId="70" xr:uid="{00000000-0005-0000-0000-000043000000}"/>
    <cellStyle name="20% - Акцент2 7" xfId="71" xr:uid="{00000000-0005-0000-0000-000044000000}"/>
    <cellStyle name="20% - Акцент2 8" xfId="72" xr:uid="{00000000-0005-0000-0000-000045000000}"/>
    <cellStyle name="20% - Акцент2 9" xfId="73" xr:uid="{00000000-0005-0000-0000-000046000000}"/>
    <cellStyle name="20% - Акцент3 10" xfId="74" xr:uid="{00000000-0005-0000-0000-000047000000}"/>
    <cellStyle name="20% - Акцент3 11" xfId="75" xr:uid="{00000000-0005-0000-0000-000048000000}"/>
    <cellStyle name="20% - Акцент3 12" xfId="76" xr:uid="{00000000-0005-0000-0000-000049000000}"/>
    <cellStyle name="20% - Акцент3 13" xfId="77" xr:uid="{00000000-0005-0000-0000-00004A000000}"/>
    <cellStyle name="20% - Акцент3 14" xfId="78" xr:uid="{00000000-0005-0000-0000-00004B000000}"/>
    <cellStyle name="20% - Акцент3 15" xfId="79" xr:uid="{00000000-0005-0000-0000-00004C000000}"/>
    <cellStyle name="20% - Акцент3 16" xfId="80" xr:uid="{00000000-0005-0000-0000-00004D000000}"/>
    <cellStyle name="20% - Акцент3 17" xfId="81" xr:uid="{00000000-0005-0000-0000-00004E000000}"/>
    <cellStyle name="20% - Акцент3 18" xfId="82" xr:uid="{00000000-0005-0000-0000-00004F000000}"/>
    <cellStyle name="20% - Акцент3 19" xfId="83" xr:uid="{00000000-0005-0000-0000-000050000000}"/>
    <cellStyle name="20% - Акцент3 2" xfId="84" xr:uid="{00000000-0005-0000-0000-000051000000}"/>
    <cellStyle name="20% - Акцент3 20" xfId="85" xr:uid="{00000000-0005-0000-0000-000052000000}"/>
    <cellStyle name="20% - Акцент3 21" xfId="86" xr:uid="{00000000-0005-0000-0000-000053000000}"/>
    <cellStyle name="20% - Акцент3 22" xfId="87" xr:uid="{00000000-0005-0000-0000-000054000000}"/>
    <cellStyle name="20% - Акцент3 23" xfId="88" xr:uid="{00000000-0005-0000-0000-000055000000}"/>
    <cellStyle name="20% - Акцент3 24" xfId="89" xr:uid="{00000000-0005-0000-0000-000056000000}"/>
    <cellStyle name="20% - Акцент3 25" xfId="90" xr:uid="{00000000-0005-0000-0000-000057000000}"/>
    <cellStyle name="20% - Акцент3 26" xfId="91" xr:uid="{00000000-0005-0000-0000-000058000000}"/>
    <cellStyle name="20% - Акцент3 3" xfId="92" xr:uid="{00000000-0005-0000-0000-000059000000}"/>
    <cellStyle name="20% - Акцент3 4" xfId="93" xr:uid="{00000000-0005-0000-0000-00005A000000}"/>
    <cellStyle name="20% - Акцент3 5" xfId="94" xr:uid="{00000000-0005-0000-0000-00005B000000}"/>
    <cellStyle name="20% - Акцент3 6" xfId="95" xr:uid="{00000000-0005-0000-0000-00005C000000}"/>
    <cellStyle name="20% - Акцент3 7" xfId="96" xr:uid="{00000000-0005-0000-0000-00005D000000}"/>
    <cellStyle name="20% - Акцент3 8" xfId="97" xr:uid="{00000000-0005-0000-0000-00005E000000}"/>
    <cellStyle name="20% - Акцент3 9" xfId="98" xr:uid="{00000000-0005-0000-0000-00005F000000}"/>
    <cellStyle name="20% - Акцент4 10" xfId="99" xr:uid="{00000000-0005-0000-0000-000060000000}"/>
    <cellStyle name="20% - Акцент4 11" xfId="100" xr:uid="{00000000-0005-0000-0000-000061000000}"/>
    <cellStyle name="20% - Акцент4 12" xfId="101" xr:uid="{00000000-0005-0000-0000-000062000000}"/>
    <cellStyle name="20% - Акцент4 13" xfId="102" xr:uid="{00000000-0005-0000-0000-000063000000}"/>
    <cellStyle name="20% - Акцент4 14" xfId="103" xr:uid="{00000000-0005-0000-0000-000064000000}"/>
    <cellStyle name="20% - Акцент4 15" xfId="104" xr:uid="{00000000-0005-0000-0000-000065000000}"/>
    <cellStyle name="20% - Акцент4 16" xfId="105" xr:uid="{00000000-0005-0000-0000-000066000000}"/>
    <cellStyle name="20% - Акцент4 17" xfId="106" xr:uid="{00000000-0005-0000-0000-000067000000}"/>
    <cellStyle name="20% - Акцент4 18" xfId="107" xr:uid="{00000000-0005-0000-0000-000068000000}"/>
    <cellStyle name="20% - Акцент4 19" xfId="108" xr:uid="{00000000-0005-0000-0000-000069000000}"/>
    <cellStyle name="20% - Акцент4 2" xfId="109" xr:uid="{00000000-0005-0000-0000-00006A000000}"/>
    <cellStyle name="20% - Акцент4 20" xfId="110" xr:uid="{00000000-0005-0000-0000-00006B000000}"/>
    <cellStyle name="20% - Акцент4 21" xfId="111" xr:uid="{00000000-0005-0000-0000-00006C000000}"/>
    <cellStyle name="20% - Акцент4 22" xfId="112" xr:uid="{00000000-0005-0000-0000-00006D000000}"/>
    <cellStyle name="20% - Акцент4 23" xfId="113" xr:uid="{00000000-0005-0000-0000-00006E000000}"/>
    <cellStyle name="20% - Акцент4 24" xfId="114" xr:uid="{00000000-0005-0000-0000-00006F000000}"/>
    <cellStyle name="20% - Акцент4 25" xfId="115" xr:uid="{00000000-0005-0000-0000-000070000000}"/>
    <cellStyle name="20% - Акцент4 26" xfId="116" xr:uid="{00000000-0005-0000-0000-000071000000}"/>
    <cellStyle name="20% - Акцент4 3" xfId="117" xr:uid="{00000000-0005-0000-0000-000072000000}"/>
    <cellStyle name="20% - Акцент4 4" xfId="118" xr:uid="{00000000-0005-0000-0000-000073000000}"/>
    <cellStyle name="20% - Акцент4 5" xfId="119" xr:uid="{00000000-0005-0000-0000-000074000000}"/>
    <cellStyle name="20% - Акцент4 6" xfId="120" xr:uid="{00000000-0005-0000-0000-000075000000}"/>
    <cellStyle name="20% - Акцент4 7" xfId="121" xr:uid="{00000000-0005-0000-0000-000076000000}"/>
    <cellStyle name="20% - Акцент4 8" xfId="122" xr:uid="{00000000-0005-0000-0000-000077000000}"/>
    <cellStyle name="20% - Акцент4 9" xfId="123" xr:uid="{00000000-0005-0000-0000-000078000000}"/>
    <cellStyle name="20% - Акцент5 10" xfId="124" xr:uid="{00000000-0005-0000-0000-000079000000}"/>
    <cellStyle name="20% - Акцент5 11" xfId="125" xr:uid="{00000000-0005-0000-0000-00007A000000}"/>
    <cellStyle name="20% - Акцент5 12" xfId="126" xr:uid="{00000000-0005-0000-0000-00007B000000}"/>
    <cellStyle name="20% - Акцент5 13" xfId="127" xr:uid="{00000000-0005-0000-0000-00007C000000}"/>
    <cellStyle name="20% - Акцент5 14" xfId="128" xr:uid="{00000000-0005-0000-0000-00007D000000}"/>
    <cellStyle name="20% - Акцент5 15" xfId="129" xr:uid="{00000000-0005-0000-0000-00007E000000}"/>
    <cellStyle name="20% - Акцент5 16" xfId="130" xr:uid="{00000000-0005-0000-0000-00007F000000}"/>
    <cellStyle name="20% - Акцент5 17" xfId="131" xr:uid="{00000000-0005-0000-0000-000080000000}"/>
    <cellStyle name="20% - Акцент5 18" xfId="132" xr:uid="{00000000-0005-0000-0000-000081000000}"/>
    <cellStyle name="20% - Акцент5 19" xfId="133" xr:uid="{00000000-0005-0000-0000-000082000000}"/>
    <cellStyle name="20% - Акцент5 2" xfId="134" xr:uid="{00000000-0005-0000-0000-000083000000}"/>
    <cellStyle name="20% - Акцент5 20" xfId="135" xr:uid="{00000000-0005-0000-0000-000084000000}"/>
    <cellStyle name="20% - Акцент5 21" xfId="136" xr:uid="{00000000-0005-0000-0000-000085000000}"/>
    <cellStyle name="20% - Акцент5 22" xfId="137" xr:uid="{00000000-0005-0000-0000-000086000000}"/>
    <cellStyle name="20% - Акцент5 23" xfId="138" xr:uid="{00000000-0005-0000-0000-000087000000}"/>
    <cellStyle name="20% - Акцент5 24" xfId="139" xr:uid="{00000000-0005-0000-0000-000088000000}"/>
    <cellStyle name="20% - Акцент5 25" xfId="140" xr:uid="{00000000-0005-0000-0000-000089000000}"/>
    <cellStyle name="20% - Акцент5 26" xfId="141" xr:uid="{00000000-0005-0000-0000-00008A000000}"/>
    <cellStyle name="20% - Акцент5 3" xfId="142" xr:uid="{00000000-0005-0000-0000-00008B000000}"/>
    <cellStyle name="20% - Акцент5 4" xfId="143" xr:uid="{00000000-0005-0000-0000-00008C000000}"/>
    <cellStyle name="20% - Акцент5 5" xfId="144" xr:uid="{00000000-0005-0000-0000-00008D000000}"/>
    <cellStyle name="20% - Акцент5 6" xfId="145" xr:uid="{00000000-0005-0000-0000-00008E000000}"/>
    <cellStyle name="20% - Акцент5 7" xfId="146" xr:uid="{00000000-0005-0000-0000-00008F000000}"/>
    <cellStyle name="20% - Акцент5 8" xfId="147" xr:uid="{00000000-0005-0000-0000-000090000000}"/>
    <cellStyle name="20% - Акцент5 9" xfId="148" xr:uid="{00000000-0005-0000-0000-000091000000}"/>
    <cellStyle name="20% - Акцент6 10" xfId="149" xr:uid="{00000000-0005-0000-0000-000092000000}"/>
    <cellStyle name="20% - Акцент6 11" xfId="150" xr:uid="{00000000-0005-0000-0000-000093000000}"/>
    <cellStyle name="20% - Акцент6 12" xfId="151" xr:uid="{00000000-0005-0000-0000-000094000000}"/>
    <cellStyle name="20% - Акцент6 13" xfId="152" xr:uid="{00000000-0005-0000-0000-000095000000}"/>
    <cellStyle name="20% - Акцент6 14" xfId="153" xr:uid="{00000000-0005-0000-0000-000096000000}"/>
    <cellStyle name="20% - Акцент6 15" xfId="154" xr:uid="{00000000-0005-0000-0000-000097000000}"/>
    <cellStyle name="20% - Акцент6 16" xfId="155" xr:uid="{00000000-0005-0000-0000-000098000000}"/>
    <cellStyle name="20% - Акцент6 17" xfId="156" xr:uid="{00000000-0005-0000-0000-000099000000}"/>
    <cellStyle name="20% - Акцент6 18" xfId="157" xr:uid="{00000000-0005-0000-0000-00009A000000}"/>
    <cellStyle name="20% - Акцент6 19" xfId="158" xr:uid="{00000000-0005-0000-0000-00009B000000}"/>
    <cellStyle name="20% - Акцент6 2" xfId="159" xr:uid="{00000000-0005-0000-0000-00009C000000}"/>
    <cellStyle name="20% - Акцент6 20" xfId="160" xr:uid="{00000000-0005-0000-0000-00009D000000}"/>
    <cellStyle name="20% - Акцент6 21" xfId="161" xr:uid="{00000000-0005-0000-0000-00009E000000}"/>
    <cellStyle name="20% - Акцент6 22" xfId="162" xr:uid="{00000000-0005-0000-0000-00009F000000}"/>
    <cellStyle name="20% - Акцент6 23" xfId="163" xr:uid="{00000000-0005-0000-0000-0000A0000000}"/>
    <cellStyle name="20% - Акцент6 24" xfId="164" xr:uid="{00000000-0005-0000-0000-0000A1000000}"/>
    <cellStyle name="20% - Акцент6 25" xfId="165" xr:uid="{00000000-0005-0000-0000-0000A2000000}"/>
    <cellStyle name="20% - Акцент6 26" xfId="166" xr:uid="{00000000-0005-0000-0000-0000A3000000}"/>
    <cellStyle name="20% - Акцент6 3" xfId="167" xr:uid="{00000000-0005-0000-0000-0000A4000000}"/>
    <cellStyle name="20% - Акцент6 4" xfId="168" xr:uid="{00000000-0005-0000-0000-0000A5000000}"/>
    <cellStyle name="20% - Акцент6 5" xfId="169" xr:uid="{00000000-0005-0000-0000-0000A6000000}"/>
    <cellStyle name="20% - Акцент6 6" xfId="170" xr:uid="{00000000-0005-0000-0000-0000A7000000}"/>
    <cellStyle name="20% - Акцент6 7" xfId="171" xr:uid="{00000000-0005-0000-0000-0000A8000000}"/>
    <cellStyle name="20% - Акцент6 8" xfId="172" xr:uid="{00000000-0005-0000-0000-0000A9000000}"/>
    <cellStyle name="20% - Акцент6 9" xfId="173" xr:uid="{00000000-0005-0000-0000-0000AA000000}"/>
    <cellStyle name="4 indents" xfId="1234" xr:uid="{00000000-0005-0000-0000-0000AB000000}"/>
    <cellStyle name="40% - Accent1" xfId="1235" xr:uid="{00000000-0005-0000-0000-0000AC000000}"/>
    <cellStyle name="40% - Accent2" xfId="1236" xr:uid="{00000000-0005-0000-0000-0000AD000000}"/>
    <cellStyle name="40% - Accent3" xfId="1237" xr:uid="{00000000-0005-0000-0000-0000AE000000}"/>
    <cellStyle name="40% - Accent4" xfId="1238" xr:uid="{00000000-0005-0000-0000-0000AF000000}"/>
    <cellStyle name="40% - Accent5" xfId="1239" xr:uid="{00000000-0005-0000-0000-0000B0000000}"/>
    <cellStyle name="40% - Accent6" xfId="1240" xr:uid="{00000000-0005-0000-0000-0000B1000000}"/>
    <cellStyle name="40% - Акцент1 10" xfId="174" xr:uid="{00000000-0005-0000-0000-0000B2000000}"/>
    <cellStyle name="40% - Акцент1 11" xfId="175" xr:uid="{00000000-0005-0000-0000-0000B3000000}"/>
    <cellStyle name="40% - Акцент1 12" xfId="176" xr:uid="{00000000-0005-0000-0000-0000B4000000}"/>
    <cellStyle name="40% - Акцент1 13" xfId="177" xr:uid="{00000000-0005-0000-0000-0000B5000000}"/>
    <cellStyle name="40% - Акцент1 14" xfId="178" xr:uid="{00000000-0005-0000-0000-0000B6000000}"/>
    <cellStyle name="40% - Акцент1 15" xfId="179" xr:uid="{00000000-0005-0000-0000-0000B7000000}"/>
    <cellStyle name="40% - Акцент1 16" xfId="180" xr:uid="{00000000-0005-0000-0000-0000B8000000}"/>
    <cellStyle name="40% - Акцент1 17" xfId="181" xr:uid="{00000000-0005-0000-0000-0000B9000000}"/>
    <cellStyle name="40% - Акцент1 18" xfId="182" xr:uid="{00000000-0005-0000-0000-0000BA000000}"/>
    <cellStyle name="40% - Акцент1 19" xfId="183" xr:uid="{00000000-0005-0000-0000-0000BB000000}"/>
    <cellStyle name="40% - Акцент1 2" xfId="184" xr:uid="{00000000-0005-0000-0000-0000BC000000}"/>
    <cellStyle name="40% - Акцент1 20" xfId="185" xr:uid="{00000000-0005-0000-0000-0000BD000000}"/>
    <cellStyle name="40% - Акцент1 21" xfId="186" xr:uid="{00000000-0005-0000-0000-0000BE000000}"/>
    <cellStyle name="40% - Акцент1 22" xfId="187" xr:uid="{00000000-0005-0000-0000-0000BF000000}"/>
    <cellStyle name="40% - Акцент1 23" xfId="188" xr:uid="{00000000-0005-0000-0000-0000C0000000}"/>
    <cellStyle name="40% - Акцент1 24" xfId="189" xr:uid="{00000000-0005-0000-0000-0000C1000000}"/>
    <cellStyle name="40% - Акцент1 25" xfId="190" xr:uid="{00000000-0005-0000-0000-0000C2000000}"/>
    <cellStyle name="40% - Акцент1 26" xfId="191" xr:uid="{00000000-0005-0000-0000-0000C3000000}"/>
    <cellStyle name="40% - Акцент1 3" xfId="192" xr:uid="{00000000-0005-0000-0000-0000C4000000}"/>
    <cellStyle name="40% - Акцент1 4" xfId="193" xr:uid="{00000000-0005-0000-0000-0000C5000000}"/>
    <cellStyle name="40% - Акцент1 5" xfId="194" xr:uid="{00000000-0005-0000-0000-0000C6000000}"/>
    <cellStyle name="40% - Акцент1 6" xfId="195" xr:uid="{00000000-0005-0000-0000-0000C7000000}"/>
    <cellStyle name="40% - Акцент1 7" xfId="196" xr:uid="{00000000-0005-0000-0000-0000C8000000}"/>
    <cellStyle name="40% - Акцент1 8" xfId="197" xr:uid="{00000000-0005-0000-0000-0000C9000000}"/>
    <cellStyle name="40% - Акцент1 9" xfId="198" xr:uid="{00000000-0005-0000-0000-0000CA000000}"/>
    <cellStyle name="40% - Акцент2 10" xfId="199" xr:uid="{00000000-0005-0000-0000-0000CB000000}"/>
    <cellStyle name="40% - Акцент2 11" xfId="200" xr:uid="{00000000-0005-0000-0000-0000CC000000}"/>
    <cellStyle name="40% - Акцент2 12" xfId="201" xr:uid="{00000000-0005-0000-0000-0000CD000000}"/>
    <cellStyle name="40% - Акцент2 13" xfId="202" xr:uid="{00000000-0005-0000-0000-0000CE000000}"/>
    <cellStyle name="40% - Акцент2 14" xfId="203" xr:uid="{00000000-0005-0000-0000-0000CF000000}"/>
    <cellStyle name="40% - Акцент2 15" xfId="204" xr:uid="{00000000-0005-0000-0000-0000D0000000}"/>
    <cellStyle name="40% - Акцент2 16" xfId="205" xr:uid="{00000000-0005-0000-0000-0000D1000000}"/>
    <cellStyle name="40% - Акцент2 17" xfId="206" xr:uid="{00000000-0005-0000-0000-0000D2000000}"/>
    <cellStyle name="40% - Акцент2 18" xfId="207" xr:uid="{00000000-0005-0000-0000-0000D3000000}"/>
    <cellStyle name="40% - Акцент2 19" xfId="208" xr:uid="{00000000-0005-0000-0000-0000D4000000}"/>
    <cellStyle name="40% - Акцент2 2" xfId="209" xr:uid="{00000000-0005-0000-0000-0000D5000000}"/>
    <cellStyle name="40% - Акцент2 20" xfId="210" xr:uid="{00000000-0005-0000-0000-0000D6000000}"/>
    <cellStyle name="40% - Акцент2 21" xfId="211" xr:uid="{00000000-0005-0000-0000-0000D7000000}"/>
    <cellStyle name="40% - Акцент2 22" xfId="212" xr:uid="{00000000-0005-0000-0000-0000D8000000}"/>
    <cellStyle name="40% - Акцент2 23" xfId="213" xr:uid="{00000000-0005-0000-0000-0000D9000000}"/>
    <cellStyle name="40% - Акцент2 24" xfId="214" xr:uid="{00000000-0005-0000-0000-0000DA000000}"/>
    <cellStyle name="40% - Акцент2 25" xfId="215" xr:uid="{00000000-0005-0000-0000-0000DB000000}"/>
    <cellStyle name="40% - Акцент2 26" xfId="216" xr:uid="{00000000-0005-0000-0000-0000DC000000}"/>
    <cellStyle name="40% - Акцент2 3" xfId="217" xr:uid="{00000000-0005-0000-0000-0000DD000000}"/>
    <cellStyle name="40% - Акцент2 4" xfId="218" xr:uid="{00000000-0005-0000-0000-0000DE000000}"/>
    <cellStyle name="40% - Акцент2 5" xfId="219" xr:uid="{00000000-0005-0000-0000-0000DF000000}"/>
    <cellStyle name="40% - Акцент2 6" xfId="220" xr:uid="{00000000-0005-0000-0000-0000E0000000}"/>
    <cellStyle name="40% - Акцент2 7" xfId="221" xr:uid="{00000000-0005-0000-0000-0000E1000000}"/>
    <cellStyle name="40% - Акцент2 8" xfId="222" xr:uid="{00000000-0005-0000-0000-0000E2000000}"/>
    <cellStyle name="40% - Акцент2 9" xfId="223" xr:uid="{00000000-0005-0000-0000-0000E3000000}"/>
    <cellStyle name="40% - Акцент3 10" xfId="224" xr:uid="{00000000-0005-0000-0000-0000E4000000}"/>
    <cellStyle name="40% - Акцент3 11" xfId="225" xr:uid="{00000000-0005-0000-0000-0000E5000000}"/>
    <cellStyle name="40% - Акцент3 12" xfId="226" xr:uid="{00000000-0005-0000-0000-0000E6000000}"/>
    <cellStyle name="40% - Акцент3 13" xfId="227" xr:uid="{00000000-0005-0000-0000-0000E7000000}"/>
    <cellStyle name="40% - Акцент3 14" xfId="228" xr:uid="{00000000-0005-0000-0000-0000E8000000}"/>
    <cellStyle name="40% - Акцент3 15" xfId="229" xr:uid="{00000000-0005-0000-0000-0000E9000000}"/>
    <cellStyle name="40% - Акцент3 16" xfId="230" xr:uid="{00000000-0005-0000-0000-0000EA000000}"/>
    <cellStyle name="40% - Акцент3 17" xfId="231" xr:uid="{00000000-0005-0000-0000-0000EB000000}"/>
    <cellStyle name="40% - Акцент3 18" xfId="232" xr:uid="{00000000-0005-0000-0000-0000EC000000}"/>
    <cellStyle name="40% - Акцент3 19" xfId="233" xr:uid="{00000000-0005-0000-0000-0000ED000000}"/>
    <cellStyle name="40% - Акцент3 2" xfId="234" xr:uid="{00000000-0005-0000-0000-0000EE000000}"/>
    <cellStyle name="40% - Акцент3 20" xfId="235" xr:uid="{00000000-0005-0000-0000-0000EF000000}"/>
    <cellStyle name="40% - Акцент3 21" xfId="236" xr:uid="{00000000-0005-0000-0000-0000F0000000}"/>
    <cellStyle name="40% - Акцент3 22" xfId="237" xr:uid="{00000000-0005-0000-0000-0000F1000000}"/>
    <cellStyle name="40% - Акцент3 23" xfId="238" xr:uid="{00000000-0005-0000-0000-0000F2000000}"/>
    <cellStyle name="40% - Акцент3 24" xfId="239" xr:uid="{00000000-0005-0000-0000-0000F3000000}"/>
    <cellStyle name="40% - Акцент3 25" xfId="240" xr:uid="{00000000-0005-0000-0000-0000F4000000}"/>
    <cellStyle name="40% - Акцент3 26" xfId="241" xr:uid="{00000000-0005-0000-0000-0000F5000000}"/>
    <cellStyle name="40% - Акцент3 3" xfId="242" xr:uid="{00000000-0005-0000-0000-0000F6000000}"/>
    <cellStyle name="40% - Акцент3 4" xfId="243" xr:uid="{00000000-0005-0000-0000-0000F7000000}"/>
    <cellStyle name="40% - Акцент3 5" xfId="244" xr:uid="{00000000-0005-0000-0000-0000F8000000}"/>
    <cellStyle name="40% - Акцент3 6" xfId="245" xr:uid="{00000000-0005-0000-0000-0000F9000000}"/>
    <cellStyle name="40% - Акцент3 7" xfId="246" xr:uid="{00000000-0005-0000-0000-0000FA000000}"/>
    <cellStyle name="40% - Акцент3 8" xfId="247" xr:uid="{00000000-0005-0000-0000-0000FB000000}"/>
    <cellStyle name="40% - Акцент3 9" xfId="248" xr:uid="{00000000-0005-0000-0000-0000FC000000}"/>
    <cellStyle name="40% - Акцент4 10" xfId="249" xr:uid="{00000000-0005-0000-0000-0000FD000000}"/>
    <cellStyle name="40% - Акцент4 11" xfId="250" xr:uid="{00000000-0005-0000-0000-0000FE000000}"/>
    <cellStyle name="40% - Акцент4 12" xfId="251" xr:uid="{00000000-0005-0000-0000-0000FF000000}"/>
    <cellStyle name="40% - Акцент4 13" xfId="252" xr:uid="{00000000-0005-0000-0000-000000010000}"/>
    <cellStyle name="40% - Акцент4 14" xfId="253" xr:uid="{00000000-0005-0000-0000-000001010000}"/>
    <cellStyle name="40% - Акцент4 15" xfId="254" xr:uid="{00000000-0005-0000-0000-000002010000}"/>
    <cellStyle name="40% - Акцент4 16" xfId="255" xr:uid="{00000000-0005-0000-0000-000003010000}"/>
    <cellStyle name="40% - Акцент4 17" xfId="256" xr:uid="{00000000-0005-0000-0000-000004010000}"/>
    <cellStyle name="40% - Акцент4 18" xfId="257" xr:uid="{00000000-0005-0000-0000-000005010000}"/>
    <cellStyle name="40% - Акцент4 19" xfId="258" xr:uid="{00000000-0005-0000-0000-000006010000}"/>
    <cellStyle name="40% - Акцент4 2" xfId="259" xr:uid="{00000000-0005-0000-0000-000007010000}"/>
    <cellStyle name="40% - Акцент4 20" xfId="260" xr:uid="{00000000-0005-0000-0000-000008010000}"/>
    <cellStyle name="40% - Акцент4 21" xfId="261" xr:uid="{00000000-0005-0000-0000-000009010000}"/>
    <cellStyle name="40% - Акцент4 22" xfId="262" xr:uid="{00000000-0005-0000-0000-00000A010000}"/>
    <cellStyle name="40% - Акцент4 23" xfId="263" xr:uid="{00000000-0005-0000-0000-00000B010000}"/>
    <cellStyle name="40% - Акцент4 24" xfId="264" xr:uid="{00000000-0005-0000-0000-00000C010000}"/>
    <cellStyle name="40% - Акцент4 25" xfId="265" xr:uid="{00000000-0005-0000-0000-00000D010000}"/>
    <cellStyle name="40% - Акцент4 26" xfId="266" xr:uid="{00000000-0005-0000-0000-00000E010000}"/>
    <cellStyle name="40% - Акцент4 3" xfId="267" xr:uid="{00000000-0005-0000-0000-00000F010000}"/>
    <cellStyle name="40% - Акцент4 4" xfId="268" xr:uid="{00000000-0005-0000-0000-000010010000}"/>
    <cellStyle name="40% - Акцент4 5" xfId="269" xr:uid="{00000000-0005-0000-0000-000011010000}"/>
    <cellStyle name="40% - Акцент4 6" xfId="270" xr:uid="{00000000-0005-0000-0000-000012010000}"/>
    <cellStyle name="40% - Акцент4 7" xfId="271" xr:uid="{00000000-0005-0000-0000-000013010000}"/>
    <cellStyle name="40% - Акцент4 8" xfId="272" xr:uid="{00000000-0005-0000-0000-000014010000}"/>
    <cellStyle name="40% - Акцент4 9" xfId="273" xr:uid="{00000000-0005-0000-0000-000015010000}"/>
    <cellStyle name="40% - Акцент5 10" xfId="274" xr:uid="{00000000-0005-0000-0000-000016010000}"/>
    <cellStyle name="40% - Акцент5 11" xfId="275" xr:uid="{00000000-0005-0000-0000-000017010000}"/>
    <cellStyle name="40% - Акцент5 12" xfId="276" xr:uid="{00000000-0005-0000-0000-000018010000}"/>
    <cellStyle name="40% - Акцент5 13" xfId="277" xr:uid="{00000000-0005-0000-0000-000019010000}"/>
    <cellStyle name="40% - Акцент5 14" xfId="278" xr:uid="{00000000-0005-0000-0000-00001A010000}"/>
    <cellStyle name="40% - Акцент5 15" xfId="279" xr:uid="{00000000-0005-0000-0000-00001B010000}"/>
    <cellStyle name="40% - Акцент5 16" xfId="280" xr:uid="{00000000-0005-0000-0000-00001C010000}"/>
    <cellStyle name="40% - Акцент5 17" xfId="281" xr:uid="{00000000-0005-0000-0000-00001D010000}"/>
    <cellStyle name="40% - Акцент5 18" xfId="282" xr:uid="{00000000-0005-0000-0000-00001E010000}"/>
    <cellStyle name="40% - Акцент5 19" xfId="283" xr:uid="{00000000-0005-0000-0000-00001F010000}"/>
    <cellStyle name="40% - Акцент5 2" xfId="284" xr:uid="{00000000-0005-0000-0000-000020010000}"/>
    <cellStyle name="40% - Акцент5 20" xfId="285" xr:uid="{00000000-0005-0000-0000-000021010000}"/>
    <cellStyle name="40% - Акцент5 21" xfId="286" xr:uid="{00000000-0005-0000-0000-000022010000}"/>
    <cellStyle name="40% - Акцент5 22" xfId="287" xr:uid="{00000000-0005-0000-0000-000023010000}"/>
    <cellStyle name="40% - Акцент5 23" xfId="288" xr:uid="{00000000-0005-0000-0000-000024010000}"/>
    <cellStyle name="40% - Акцент5 24" xfId="289" xr:uid="{00000000-0005-0000-0000-000025010000}"/>
    <cellStyle name="40% - Акцент5 25" xfId="290" xr:uid="{00000000-0005-0000-0000-000026010000}"/>
    <cellStyle name="40% - Акцент5 26" xfId="291" xr:uid="{00000000-0005-0000-0000-000027010000}"/>
    <cellStyle name="40% - Акцент5 3" xfId="292" xr:uid="{00000000-0005-0000-0000-000028010000}"/>
    <cellStyle name="40% - Акцент5 4" xfId="293" xr:uid="{00000000-0005-0000-0000-000029010000}"/>
    <cellStyle name="40% - Акцент5 5" xfId="294" xr:uid="{00000000-0005-0000-0000-00002A010000}"/>
    <cellStyle name="40% - Акцент5 6" xfId="295" xr:uid="{00000000-0005-0000-0000-00002B010000}"/>
    <cellStyle name="40% - Акцент5 7" xfId="296" xr:uid="{00000000-0005-0000-0000-00002C010000}"/>
    <cellStyle name="40% - Акцент5 8" xfId="297" xr:uid="{00000000-0005-0000-0000-00002D010000}"/>
    <cellStyle name="40% - Акцент5 9" xfId="298" xr:uid="{00000000-0005-0000-0000-00002E010000}"/>
    <cellStyle name="40% - Акцент6 10" xfId="299" xr:uid="{00000000-0005-0000-0000-00002F010000}"/>
    <cellStyle name="40% - Акцент6 11" xfId="300" xr:uid="{00000000-0005-0000-0000-000030010000}"/>
    <cellStyle name="40% - Акцент6 12" xfId="301" xr:uid="{00000000-0005-0000-0000-000031010000}"/>
    <cellStyle name="40% - Акцент6 13" xfId="302" xr:uid="{00000000-0005-0000-0000-000032010000}"/>
    <cellStyle name="40% - Акцент6 14" xfId="303" xr:uid="{00000000-0005-0000-0000-000033010000}"/>
    <cellStyle name="40% - Акцент6 15" xfId="304" xr:uid="{00000000-0005-0000-0000-000034010000}"/>
    <cellStyle name="40% - Акцент6 16" xfId="305" xr:uid="{00000000-0005-0000-0000-000035010000}"/>
    <cellStyle name="40% - Акцент6 17" xfId="306" xr:uid="{00000000-0005-0000-0000-000036010000}"/>
    <cellStyle name="40% - Акцент6 18" xfId="307" xr:uid="{00000000-0005-0000-0000-000037010000}"/>
    <cellStyle name="40% - Акцент6 19" xfId="308" xr:uid="{00000000-0005-0000-0000-000038010000}"/>
    <cellStyle name="40% - Акцент6 2" xfId="309" xr:uid="{00000000-0005-0000-0000-000039010000}"/>
    <cellStyle name="40% - Акцент6 20" xfId="310" xr:uid="{00000000-0005-0000-0000-00003A010000}"/>
    <cellStyle name="40% - Акцент6 21" xfId="311" xr:uid="{00000000-0005-0000-0000-00003B010000}"/>
    <cellStyle name="40% - Акцент6 22" xfId="312" xr:uid="{00000000-0005-0000-0000-00003C010000}"/>
    <cellStyle name="40% - Акцент6 23" xfId="313" xr:uid="{00000000-0005-0000-0000-00003D010000}"/>
    <cellStyle name="40% - Акцент6 24" xfId="314" xr:uid="{00000000-0005-0000-0000-00003E010000}"/>
    <cellStyle name="40% - Акцент6 25" xfId="315" xr:uid="{00000000-0005-0000-0000-00003F010000}"/>
    <cellStyle name="40% - Акцент6 26" xfId="316" xr:uid="{00000000-0005-0000-0000-000040010000}"/>
    <cellStyle name="40% - Акцент6 3" xfId="317" xr:uid="{00000000-0005-0000-0000-000041010000}"/>
    <cellStyle name="40% - Акцент6 4" xfId="318" xr:uid="{00000000-0005-0000-0000-000042010000}"/>
    <cellStyle name="40% - Акцент6 5" xfId="319" xr:uid="{00000000-0005-0000-0000-000043010000}"/>
    <cellStyle name="40% - Акцент6 6" xfId="320" xr:uid="{00000000-0005-0000-0000-000044010000}"/>
    <cellStyle name="40% - Акцент6 7" xfId="321" xr:uid="{00000000-0005-0000-0000-000045010000}"/>
    <cellStyle name="40% - Акцент6 8" xfId="322" xr:uid="{00000000-0005-0000-0000-000046010000}"/>
    <cellStyle name="40% - Акцент6 9" xfId="323" xr:uid="{00000000-0005-0000-0000-000047010000}"/>
    <cellStyle name="60% - Accent1" xfId="1241" xr:uid="{00000000-0005-0000-0000-000048010000}"/>
    <cellStyle name="60% - Accent2" xfId="1242" xr:uid="{00000000-0005-0000-0000-000049010000}"/>
    <cellStyle name="60% - Accent3" xfId="1243" xr:uid="{00000000-0005-0000-0000-00004A010000}"/>
    <cellStyle name="60% - Accent4" xfId="1244" xr:uid="{00000000-0005-0000-0000-00004B010000}"/>
    <cellStyle name="60% - Accent5" xfId="1245" xr:uid="{00000000-0005-0000-0000-00004C010000}"/>
    <cellStyle name="60% - Accent6" xfId="1246" xr:uid="{00000000-0005-0000-0000-00004D010000}"/>
    <cellStyle name="Accent1" xfId="1247" xr:uid="{00000000-0005-0000-0000-00004E010000}"/>
    <cellStyle name="Accent2" xfId="1248" xr:uid="{00000000-0005-0000-0000-00004F010000}"/>
    <cellStyle name="Accent3" xfId="1249" xr:uid="{00000000-0005-0000-0000-000050010000}"/>
    <cellStyle name="Accent4" xfId="1250" xr:uid="{00000000-0005-0000-0000-000051010000}"/>
    <cellStyle name="Accent5" xfId="1251" xr:uid="{00000000-0005-0000-0000-000052010000}"/>
    <cellStyle name="Accent6" xfId="1252" xr:uid="{00000000-0005-0000-0000-000053010000}"/>
    <cellStyle name="Bad" xfId="1253" xr:uid="{00000000-0005-0000-0000-000054010000}"/>
    <cellStyle name="Calculation" xfId="1254" xr:uid="{00000000-0005-0000-0000-000055010000}"/>
    <cellStyle name="Check Cell" xfId="1255" xr:uid="{00000000-0005-0000-0000-000056010000}"/>
    <cellStyle name="Column_Title" xfId="324" xr:uid="{00000000-0005-0000-0000-000057010000}"/>
    <cellStyle name="Comma [0]_1 MAIN" xfId="325" xr:uid="{00000000-0005-0000-0000-000058010000}"/>
    <cellStyle name="Comma 2" xfId="1256" xr:uid="{00000000-0005-0000-0000-000059010000}"/>
    <cellStyle name="Comma_1 MAIN" xfId="326" xr:uid="{00000000-0005-0000-0000-00005A010000}"/>
    <cellStyle name="Comma0" xfId="1257" xr:uid="{00000000-0005-0000-0000-00005B010000}"/>
    <cellStyle name="common" xfId="1258" xr:uid="{00000000-0005-0000-0000-00005C010000}"/>
    <cellStyle name="Currency_Copy of SEI1098d" xfId="1259" xr:uid="{00000000-0005-0000-0000-00005D010000}"/>
    <cellStyle name="Currency0" xfId="1260" xr:uid="{00000000-0005-0000-0000-00005E010000}"/>
    <cellStyle name="Date" xfId="1261" xr:uid="{00000000-0005-0000-0000-00005F010000}"/>
    <cellStyle name="Euro" xfId="1262" xr:uid="{00000000-0005-0000-0000-000060010000}"/>
    <cellStyle name="Excel.Chart" xfId="1263" xr:uid="{00000000-0005-0000-0000-000061010000}"/>
    <cellStyle name="Explanatory Text" xfId="1264" xr:uid="{00000000-0005-0000-0000-000062010000}"/>
    <cellStyle name="Fixed" xfId="1265" xr:uid="{00000000-0005-0000-0000-000063010000}"/>
    <cellStyle name="Good" xfId="1266" xr:uid="{00000000-0005-0000-0000-000064010000}"/>
    <cellStyle name="Heading 1" xfId="1267" xr:uid="{00000000-0005-0000-0000-000065010000}"/>
    <cellStyle name="Heading 2" xfId="1268" xr:uid="{00000000-0005-0000-0000-000066010000}"/>
    <cellStyle name="Heading 3" xfId="1269" xr:uid="{00000000-0005-0000-0000-000067010000}"/>
    <cellStyle name="Heading 4" xfId="1270" xr:uid="{00000000-0005-0000-0000-000068010000}"/>
    <cellStyle name="imf-one decimal" xfId="1271" xr:uid="{00000000-0005-0000-0000-000069010000}"/>
    <cellStyle name="Input" xfId="1272" xr:uid="{00000000-0005-0000-0000-00006A010000}"/>
    <cellStyle name="Linked Cell" xfId="1273" xr:uid="{00000000-0005-0000-0000-00006B010000}"/>
    <cellStyle name="Millares [0]_11.1.3. bis" xfId="1274" xr:uid="{00000000-0005-0000-0000-00006C010000}"/>
    <cellStyle name="Millares_11.1.3. bis" xfId="1275" xr:uid="{00000000-0005-0000-0000-00006D010000}"/>
    <cellStyle name="Moneda [0]_11.1.3. bis" xfId="1276" xr:uid="{00000000-0005-0000-0000-00006E010000}"/>
    <cellStyle name="Moneda_11.1.3. bis" xfId="1277" xr:uid="{00000000-0005-0000-0000-00006F010000}"/>
    <cellStyle name="mystyle" xfId="1278" xr:uid="{00000000-0005-0000-0000-000070010000}"/>
    <cellStyle name="Neutral" xfId="1279" xr:uid="{00000000-0005-0000-0000-000071010000}"/>
    <cellStyle name="Normal - Style1" xfId="1280" xr:uid="{00000000-0005-0000-0000-000072010000}"/>
    <cellStyle name="Normal 2" xfId="327" xr:uid="{00000000-0005-0000-0000-000073010000}"/>
    <cellStyle name="Normal 2 2" xfId="1225" xr:uid="{00000000-0005-0000-0000-000074010000}"/>
    <cellStyle name="Normal_1 MAIN" xfId="328" xr:uid="{00000000-0005-0000-0000-000075010000}"/>
    <cellStyle name="Note" xfId="1281" xr:uid="{00000000-0005-0000-0000-000076010000}"/>
    <cellStyle name="Output" xfId="1282" xr:uid="{00000000-0005-0000-0000-000077010000}"/>
    <cellStyle name="Percent 2" xfId="329" xr:uid="{00000000-0005-0000-0000-000078010000}"/>
    <cellStyle name="Percent_Copy of SEI1098d" xfId="1283" xr:uid="{00000000-0005-0000-0000-000079010000}"/>
    <cellStyle name="percentage difference" xfId="1284" xr:uid="{00000000-0005-0000-0000-00007A010000}"/>
    <cellStyle name="Title" xfId="1285" xr:uid="{00000000-0005-0000-0000-00007B010000}"/>
    <cellStyle name="Total" xfId="1286" xr:uid="{00000000-0005-0000-0000-00007C010000}"/>
    <cellStyle name="Warning Text" xfId="1287" xr:uid="{00000000-0005-0000-0000-00007D010000}"/>
    <cellStyle name="Обычный" xfId="0" builtinId="0"/>
    <cellStyle name="Обычный 10" xfId="330" xr:uid="{00000000-0005-0000-0000-00007F010000}"/>
    <cellStyle name="Обычный 10 10" xfId="331" xr:uid="{00000000-0005-0000-0000-000080010000}"/>
    <cellStyle name="Обычный 10 11" xfId="332" xr:uid="{00000000-0005-0000-0000-000081010000}"/>
    <cellStyle name="Обычный 10 2" xfId="333" xr:uid="{00000000-0005-0000-0000-000082010000}"/>
    <cellStyle name="Обычный 10 2 2" xfId="334" xr:uid="{00000000-0005-0000-0000-000083010000}"/>
    <cellStyle name="Обычный 10 2 2 2" xfId="335" xr:uid="{00000000-0005-0000-0000-000084010000}"/>
    <cellStyle name="Обычный 10 2 3" xfId="336" xr:uid="{00000000-0005-0000-0000-000085010000}"/>
    <cellStyle name="Обычный 10 3" xfId="337" xr:uid="{00000000-0005-0000-0000-000086010000}"/>
    <cellStyle name="Обычный 10 3 2" xfId="338" xr:uid="{00000000-0005-0000-0000-000087010000}"/>
    <cellStyle name="Обычный 10 3 3" xfId="339" xr:uid="{00000000-0005-0000-0000-000088010000}"/>
    <cellStyle name="Обычный 10 4" xfId="340" xr:uid="{00000000-0005-0000-0000-000089010000}"/>
    <cellStyle name="Обычный 10 5" xfId="341" xr:uid="{00000000-0005-0000-0000-00008A010000}"/>
    <cellStyle name="Обычный 10 6" xfId="342" xr:uid="{00000000-0005-0000-0000-00008B010000}"/>
    <cellStyle name="Обычный 10 7" xfId="343" xr:uid="{00000000-0005-0000-0000-00008C010000}"/>
    <cellStyle name="Обычный 10 8" xfId="344" xr:uid="{00000000-0005-0000-0000-00008D010000}"/>
    <cellStyle name="Обычный 10 9" xfId="345" xr:uid="{00000000-0005-0000-0000-00008E010000}"/>
    <cellStyle name="Обычный 100" xfId="346" xr:uid="{00000000-0005-0000-0000-00008F010000}"/>
    <cellStyle name="Обычный 100 2" xfId="347" xr:uid="{00000000-0005-0000-0000-000090010000}"/>
    <cellStyle name="Обычный 100 2 2" xfId="348" xr:uid="{00000000-0005-0000-0000-000091010000}"/>
    <cellStyle name="Обычный 101" xfId="349" xr:uid="{00000000-0005-0000-0000-000092010000}"/>
    <cellStyle name="Обычный 102" xfId="350" xr:uid="{00000000-0005-0000-0000-000093010000}"/>
    <cellStyle name="Обычный 103" xfId="351" xr:uid="{00000000-0005-0000-0000-000094010000}"/>
    <cellStyle name="Обычный 104" xfId="352" xr:uid="{00000000-0005-0000-0000-000095010000}"/>
    <cellStyle name="Обычный 106" xfId="353" xr:uid="{00000000-0005-0000-0000-000096010000}"/>
    <cellStyle name="Обычный 107" xfId="354" xr:uid="{00000000-0005-0000-0000-000097010000}"/>
    <cellStyle name="Обычный 109" xfId="355" xr:uid="{00000000-0005-0000-0000-000098010000}"/>
    <cellStyle name="Обычный 11" xfId="356" xr:uid="{00000000-0005-0000-0000-000099010000}"/>
    <cellStyle name="Обычный 11 2" xfId="357" xr:uid="{00000000-0005-0000-0000-00009A010000}"/>
    <cellStyle name="Обычный 11 2 2" xfId="358" xr:uid="{00000000-0005-0000-0000-00009B010000}"/>
    <cellStyle name="Обычный 11 3" xfId="359" xr:uid="{00000000-0005-0000-0000-00009C010000}"/>
    <cellStyle name="Обычный 11 4" xfId="360" xr:uid="{00000000-0005-0000-0000-00009D010000}"/>
    <cellStyle name="Обычный 11 6" xfId="361" xr:uid="{00000000-0005-0000-0000-00009E010000}"/>
    <cellStyle name="Обычный 110" xfId="362" xr:uid="{00000000-0005-0000-0000-00009F010000}"/>
    <cellStyle name="Обычный 112" xfId="363" xr:uid="{00000000-0005-0000-0000-0000A0010000}"/>
    <cellStyle name="Обычный 113" xfId="364" xr:uid="{00000000-0005-0000-0000-0000A1010000}"/>
    <cellStyle name="Обычный 115" xfId="365" xr:uid="{00000000-0005-0000-0000-0000A2010000}"/>
    <cellStyle name="Обычный 116" xfId="366" xr:uid="{00000000-0005-0000-0000-0000A3010000}"/>
    <cellStyle name="Обычный 118" xfId="367" xr:uid="{00000000-0005-0000-0000-0000A4010000}"/>
    <cellStyle name="Обычный 12" xfId="368" xr:uid="{00000000-0005-0000-0000-0000A5010000}"/>
    <cellStyle name="Обычный 12 2" xfId="369" xr:uid="{00000000-0005-0000-0000-0000A6010000}"/>
    <cellStyle name="Обычный 12 2 2" xfId="370" xr:uid="{00000000-0005-0000-0000-0000A7010000}"/>
    <cellStyle name="Обычный 12 3" xfId="371" xr:uid="{00000000-0005-0000-0000-0000A8010000}"/>
    <cellStyle name="Обычный 12 4" xfId="372" xr:uid="{00000000-0005-0000-0000-0000A9010000}"/>
    <cellStyle name="Обычный 12 5" xfId="373" xr:uid="{00000000-0005-0000-0000-0000AA010000}"/>
    <cellStyle name="Обычный 12 6" xfId="374" xr:uid="{00000000-0005-0000-0000-0000AB010000}"/>
    <cellStyle name="Обычный 12 7" xfId="375" xr:uid="{00000000-0005-0000-0000-0000AC010000}"/>
    <cellStyle name="Обычный 12 8" xfId="376" xr:uid="{00000000-0005-0000-0000-0000AD010000}"/>
    <cellStyle name="Обычный 120" xfId="377" xr:uid="{00000000-0005-0000-0000-0000AE010000}"/>
    <cellStyle name="Обычный 121" xfId="378" xr:uid="{00000000-0005-0000-0000-0000AF010000}"/>
    <cellStyle name="Обычный 122" xfId="379" xr:uid="{00000000-0005-0000-0000-0000B0010000}"/>
    <cellStyle name="Обычный 123" xfId="380" xr:uid="{00000000-0005-0000-0000-0000B1010000}"/>
    <cellStyle name="Обычный 13" xfId="381" xr:uid="{00000000-0005-0000-0000-0000B2010000}"/>
    <cellStyle name="Обычный 13 2" xfId="382" xr:uid="{00000000-0005-0000-0000-0000B3010000}"/>
    <cellStyle name="Обычный 13 2 2" xfId="383" xr:uid="{00000000-0005-0000-0000-0000B4010000}"/>
    <cellStyle name="Обычный 14" xfId="384" xr:uid="{00000000-0005-0000-0000-0000B5010000}"/>
    <cellStyle name="Обычный 14 2" xfId="385" xr:uid="{00000000-0005-0000-0000-0000B6010000}"/>
    <cellStyle name="Обычный 14 2 2" xfId="386" xr:uid="{00000000-0005-0000-0000-0000B7010000}"/>
    <cellStyle name="Обычный 14 3" xfId="387" xr:uid="{00000000-0005-0000-0000-0000B8010000}"/>
    <cellStyle name="Обычный 14 4" xfId="388" xr:uid="{00000000-0005-0000-0000-0000B9010000}"/>
    <cellStyle name="Обычный 14 5" xfId="389" xr:uid="{00000000-0005-0000-0000-0000BA010000}"/>
    <cellStyle name="Обычный 144" xfId="390" xr:uid="{00000000-0005-0000-0000-0000BB010000}"/>
    <cellStyle name="Обычный 147" xfId="391" xr:uid="{00000000-0005-0000-0000-0000BC010000}"/>
    <cellStyle name="Обычный 148" xfId="392" xr:uid="{00000000-0005-0000-0000-0000BD010000}"/>
    <cellStyle name="Обычный 15" xfId="393" xr:uid="{00000000-0005-0000-0000-0000BE010000}"/>
    <cellStyle name="Обычный 15 2" xfId="394" xr:uid="{00000000-0005-0000-0000-0000BF010000}"/>
    <cellStyle name="Обычный 15 2 2" xfId="395" xr:uid="{00000000-0005-0000-0000-0000C0010000}"/>
    <cellStyle name="Обычный 15 2 3" xfId="396" xr:uid="{00000000-0005-0000-0000-0000C1010000}"/>
    <cellStyle name="Обычный 15 2 4" xfId="397" xr:uid="{00000000-0005-0000-0000-0000C2010000}"/>
    <cellStyle name="Обычный 15 2 5" xfId="398" xr:uid="{00000000-0005-0000-0000-0000C3010000}"/>
    <cellStyle name="Обычный 15 2 6" xfId="399" xr:uid="{00000000-0005-0000-0000-0000C4010000}"/>
    <cellStyle name="Обычный 15 3" xfId="400" xr:uid="{00000000-0005-0000-0000-0000C5010000}"/>
    <cellStyle name="Обычный 15 4" xfId="401" xr:uid="{00000000-0005-0000-0000-0000C6010000}"/>
    <cellStyle name="Обычный 15 5" xfId="402" xr:uid="{00000000-0005-0000-0000-0000C7010000}"/>
    <cellStyle name="Обычный 16" xfId="403" xr:uid="{00000000-0005-0000-0000-0000C8010000}"/>
    <cellStyle name="Обычный 16 10" xfId="404" xr:uid="{00000000-0005-0000-0000-0000C9010000}"/>
    <cellStyle name="Обычный 16 11" xfId="405" xr:uid="{00000000-0005-0000-0000-0000CA010000}"/>
    <cellStyle name="Обычный 16 12" xfId="406" xr:uid="{00000000-0005-0000-0000-0000CB010000}"/>
    <cellStyle name="Обычный 16 13" xfId="407" xr:uid="{00000000-0005-0000-0000-0000CC010000}"/>
    <cellStyle name="Обычный 16 14" xfId="408" xr:uid="{00000000-0005-0000-0000-0000CD010000}"/>
    <cellStyle name="Обычный 16 2" xfId="409" xr:uid="{00000000-0005-0000-0000-0000CE010000}"/>
    <cellStyle name="Обычный 16 2 2" xfId="410" xr:uid="{00000000-0005-0000-0000-0000CF010000}"/>
    <cellStyle name="Обычный 16 3" xfId="411" xr:uid="{00000000-0005-0000-0000-0000D0010000}"/>
    <cellStyle name="Обычный 16 3 2" xfId="412" xr:uid="{00000000-0005-0000-0000-0000D1010000}"/>
    <cellStyle name="Обычный 16 4" xfId="413" xr:uid="{00000000-0005-0000-0000-0000D2010000}"/>
    <cellStyle name="Обычный 16 4 2" xfId="414" xr:uid="{00000000-0005-0000-0000-0000D3010000}"/>
    <cellStyle name="Обычный 16 5" xfId="415" xr:uid="{00000000-0005-0000-0000-0000D4010000}"/>
    <cellStyle name="Обычный 16 6" xfId="416" xr:uid="{00000000-0005-0000-0000-0000D5010000}"/>
    <cellStyle name="Обычный 16 7" xfId="417" xr:uid="{00000000-0005-0000-0000-0000D6010000}"/>
    <cellStyle name="Обычный 16 8" xfId="418" xr:uid="{00000000-0005-0000-0000-0000D7010000}"/>
    <cellStyle name="Обычный 16 9" xfId="419" xr:uid="{00000000-0005-0000-0000-0000D8010000}"/>
    <cellStyle name="Обычный 17" xfId="420" xr:uid="{00000000-0005-0000-0000-0000D9010000}"/>
    <cellStyle name="Обычный 17 2" xfId="421" xr:uid="{00000000-0005-0000-0000-0000DA010000}"/>
    <cellStyle name="Обычный 17 2 2" xfId="422" xr:uid="{00000000-0005-0000-0000-0000DB010000}"/>
    <cellStyle name="Обычный 17 3" xfId="423" xr:uid="{00000000-0005-0000-0000-0000DC010000}"/>
    <cellStyle name="Обычный 17 4" xfId="424" xr:uid="{00000000-0005-0000-0000-0000DD010000}"/>
    <cellStyle name="Обычный 18" xfId="425" xr:uid="{00000000-0005-0000-0000-0000DE010000}"/>
    <cellStyle name="Обычный 18 2" xfId="426" xr:uid="{00000000-0005-0000-0000-0000DF010000}"/>
    <cellStyle name="Обычный 18 2 2" xfId="427" xr:uid="{00000000-0005-0000-0000-0000E0010000}"/>
    <cellStyle name="Обычный 18 2 2 2" xfId="428" xr:uid="{00000000-0005-0000-0000-0000E1010000}"/>
    <cellStyle name="Обычный 18 2 3" xfId="429" xr:uid="{00000000-0005-0000-0000-0000E2010000}"/>
    <cellStyle name="Обычный 18 2 4" xfId="430" xr:uid="{00000000-0005-0000-0000-0000E3010000}"/>
    <cellStyle name="Обычный 18 3" xfId="431" xr:uid="{00000000-0005-0000-0000-0000E4010000}"/>
    <cellStyle name="Обычный 18 3 2" xfId="432" xr:uid="{00000000-0005-0000-0000-0000E5010000}"/>
    <cellStyle name="Обычный 18 4" xfId="433" xr:uid="{00000000-0005-0000-0000-0000E6010000}"/>
    <cellStyle name="Обычный 18 5" xfId="434" xr:uid="{00000000-0005-0000-0000-0000E7010000}"/>
    <cellStyle name="Обычный 18 6" xfId="435" xr:uid="{00000000-0005-0000-0000-0000E8010000}"/>
    <cellStyle name="Обычный 188" xfId="436" xr:uid="{00000000-0005-0000-0000-0000E9010000}"/>
    <cellStyle name="Обычный 19" xfId="437" xr:uid="{00000000-0005-0000-0000-0000EA010000}"/>
    <cellStyle name="Обычный 19 2" xfId="438" xr:uid="{00000000-0005-0000-0000-0000EB010000}"/>
    <cellStyle name="Обычный 19 2 2" xfId="439" xr:uid="{00000000-0005-0000-0000-0000EC010000}"/>
    <cellStyle name="Обычный 19 2 3" xfId="440" xr:uid="{00000000-0005-0000-0000-0000ED010000}"/>
    <cellStyle name="Обычный 19 3" xfId="441" xr:uid="{00000000-0005-0000-0000-0000EE010000}"/>
    <cellStyle name="Обычный 190" xfId="442" xr:uid="{00000000-0005-0000-0000-0000EF010000}"/>
    <cellStyle name="Обычный 2" xfId="1" xr:uid="{00000000-0005-0000-0000-0000F0010000}"/>
    <cellStyle name="Обычный 2 10" xfId="443" xr:uid="{00000000-0005-0000-0000-0000F1010000}"/>
    <cellStyle name="Обычный 2 11" xfId="444" xr:uid="{00000000-0005-0000-0000-0000F2010000}"/>
    <cellStyle name="Обычный 2 12" xfId="445" xr:uid="{00000000-0005-0000-0000-0000F3010000}"/>
    <cellStyle name="Обычный 2 13" xfId="446" xr:uid="{00000000-0005-0000-0000-0000F4010000}"/>
    <cellStyle name="Обычный 2 14" xfId="447" xr:uid="{00000000-0005-0000-0000-0000F5010000}"/>
    <cellStyle name="Обычный 2 15" xfId="448" xr:uid="{00000000-0005-0000-0000-0000F6010000}"/>
    <cellStyle name="Обычный 2 16" xfId="449" xr:uid="{00000000-0005-0000-0000-0000F7010000}"/>
    <cellStyle name="Обычный 2 17" xfId="450" xr:uid="{00000000-0005-0000-0000-0000F8010000}"/>
    <cellStyle name="Обычный 2 18" xfId="451" xr:uid="{00000000-0005-0000-0000-0000F9010000}"/>
    <cellStyle name="Обычный 2 19" xfId="452" xr:uid="{00000000-0005-0000-0000-0000FA010000}"/>
    <cellStyle name="Обычный 2 2" xfId="453" xr:uid="{00000000-0005-0000-0000-0000FB010000}"/>
    <cellStyle name="Обычный 2 2 10" xfId="454" xr:uid="{00000000-0005-0000-0000-0000FC010000}"/>
    <cellStyle name="Обычный 2 2 10 2" xfId="455" xr:uid="{00000000-0005-0000-0000-0000FD010000}"/>
    <cellStyle name="Обычный 2 2 11" xfId="456" xr:uid="{00000000-0005-0000-0000-0000FE010000}"/>
    <cellStyle name="Обычный 2 2 11 2" xfId="457" xr:uid="{00000000-0005-0000-0000-0000FF010000}"/>
    <cellStyle name="Обычный 2 2 12" xfId="458" xr:uid="{00000000-0005-0000-0000-000000020000}"/>
    <cellStyle name="Обычный 2 2 12 2" xfId="459" xr:uid="{00000000-0005-0000-0000-000001020000}"/>
    <cellStyle name="Обычный 2 2 13" xfId="460" xr:uid="{00000000-0005-0000-0000-000002020000}"/>
    <cellStyle name="Обычный 2 2 13 2" xfId="461" xr:uid="{00000000-0005-0000-0000-000003020000}"/>
    <cellStyle name="Обычный 2 2 14" xfId="462" xr:uid="{00000000-0005-0000-0000-000004020000}"/>
    <cellStyle name="Обычный 2 2 14 2" xfId="463" xr:uid="{00000000-0005-0000-0000-000005020000}"/>
    <cellStyle name="Обычный 2 2 15" xfId="464" xr:uid="{00000000-0005-0000-0000-000006020000}"/>
    <cellStyle name="Обычный 2 2 15 2" xfId="465" xr:uid="{00000000-0005-0000-0000-000007020000}"/>
    <cellStyle name="Обычный 2 2 16" xfId="466" xr:uid="{00000000-0005-0000-0000-000008020000}"/>
    <cellStyle name="Обычный 2 2 16 2" xfId="467" xr:uid="{00000000-0005-0000-0000-000009020000}"/>
    <cellStyle name="Обычный 2 2 17" xfId="468" xr:uid="{00000000-0005-0000-0000-00000A020000}"/>
    <cellStyle name="Обычный 2 2 17 2" xfId="469" xr:uid="{00000000-0005-0000-0000-00000B020000}"/>
    <cellStyle name="Обычный 2 2 18" xfId="470" xr:uid="{00000000-0005-0000-0000-00000C020000}"/>
    <cellStyle name="Обычный 2 2 18 2" xfId="471" xr:uid="{00000000-0005-0000-0000-00000D020000}"/>
    <cellStyle name="Обычный 2 2 19" xfId="472" xr:uid="{00000000-0005-0000-0000-00000E020000}"/>
    <cellStyle name="Обычный 2 2 19 2" xfId="473" xr:uid="{00000000-0005-0000-0000-00000F020000}"/>
    <cellStyle name="Обычный 2 2 2" xfId="474" xr:uid="{00000000-0005-0000-0000-000010020000}"/>
    <cellStyle name="Обычный 2 2 2 10" xfId="475" xr:uid="{00000000-0005-0000-0000-000011020000}"/>
    <cellStyle name="Обычный 2 2 2 11" xfId="476" xr:uid="{00000000-0005-0000-0000-000012020000}"/>
    <cellStyle name="Обычный 2 2 2 12" xfId="477" xr:uid="{00000000-0005-0000-0000-000013020000}"/>
    <cellStyle name="Обычный 2 2 2 13" xfId="478" xr:uid="{00000000-0005-0000-0000-000014020000}"/>
    <cellStyle name="Обычный 2 2 2 14" xfId="479" xr:uid="{00000000-0005-0000-0000-000015020000}"/>
    <cellStyle name="Обычный 2 2 2 15" xfId="480" xr:uid="{00000000-0005-0000-0000-000016020000}"/>
    <cellStyle name="Обычный 2 2 2 16" xfId="481" xr:uid="{00000000-0005-0000-0000-000017020000}"/>
    <cellStyle name="Обычный 2 2 2 17" xfId="482" xr:uid="{00000000-0005-0000-0000-000018020000}"/>
    <cellStyle name="Обычный 2 2 2 18" xfId="483" xr:uid="{00000000-0005-0000-0000-000019020000}"/>
    <cellStyle name="Обычный 2 2 2 19" xfId="484" xr:uid="{00000000-0005-0000-0000-00001A020000}"/>
    <cellStyle name="Обычный 2 2 2 2" xfId="485" xr:uid="{00000000-0005-0000-0000-00001B020000}"/>
    <cellStyle name="Обычный 2 2 2 2 10" xfId="486" xr:uid="{00000000-0005-0000-0000-00001C020000}"/>
    <cellStyle name="Обычный 2 2 2 2 11" xfId="487" xr:uid="{00000000-0005-0000-0000-00001D020000}"/>
    <cellStyle name="Обычный 2 2 2 2 12" xfId="488" xr:uid="{00000000-0005-0000-0000-00001E020000}"/>
    <cellStyle name="Обычный 2 2 2 2 13" xfId="489" xr:uid="{00000000-0005-0000-0000-00001F020000}"/>
    <cellStyle name="Обычный 2 2 2 2 14" xfId="490" xr:uid="{00000000-0005-0000-0000-000020020000}"/>
    <cellStyle name="Обычный 2 2 2 2 15" xfId="491" xr:uid="{00000000-0005-0000-0000-000021020000}"/>
    <cellStyle name="Обычный 2 2 2 2 16" xfId="492" xr:uid="{00000000-0005-0000-0000-000022020000}"/>
    <cellStyle name="Обычный 2 2 2 2 17" xfId="493" xr:uid="{00000000-0005-0000-0000-000023020000}"/>
    <cellStyle name="Обычный 2 2 2 2 18" xfId="494" xr:uid="{00000000-0005-0000-0000-000024020000}"/>
    <cellStyle name="Обычный 2 2 2 2 19" xfId="495" xr:uid="{00000000-0005-0000-0000-000025020000}"/>
    <cellStyle name="Обычный 2 2 2 2 2" xfId="496" xr:uid="{00000000-0005-0000-0000-000026020000}"/>
    <cellStyle name="Обычный 2 2 2 2 20" xfId="497" xr:uid="{00000000-0005-0000-0000-000027020000}"/>
    <cellStyle name="Обычный 2 2 2 2 21" xfId="498" xr:uid="{00000000-0005-0000-0000-000028020000}"/>
    <cellStyle name="Обычный 2 2 2 2 22" xfId="499" xr:uid="{00000000-0005-0000-0000-000029020000}"/>
    <cellStyle name="Обычный 2 2 2 2 23" xfId="500" xr:uid="{00000000-0005-0000-0000-00002A020000}"/>
    <cellStyle name="Обычный 2 2 2 2 24" xfId="501" xr:uid="{00000000-0005-0000-0000-00002B020000}"/>
    <cellStyle name="Обычный 2 2 2 2 25" xfId="502" xr:uid="{00000000-0005-0000-0000-00002C020000}"/>
    <cellStyle name="Обычный 2 2 2 2 26" xfId="503" xr:uid="{00000000-0005-0000-0000-00002D020000}"/>
    <cellStyle name="Обычный 2 2 2 2 27" xfId="504" xr:uid="{00000000-0005-0000-0000-00002E020000}"/>
    <cellStyle name="Обычный 2 2 2 2 28" xfId="505" xr:uid="{00000000-0005-0000-0000-00002F020000}"/>
    <cellStyle name="Обычный 2 2 2 2 29" xfId="506" xr:uid="{00000000-0005-0000-0000-000030020000}"/>
    <cellStyle name="Обычный 2 2 2 2 3" xfId="507" xr:uid="{00000000-0005-0000-0000-000031020000}"/>
    <cellStyle name="Обычный 2 2 2 2 30" xfId="508" xr:uid="{00000000-0005-0000-0000-000032020000}"/>
    <cellStyle name="Обычный 2 2 2 2 4" xfId="509" xr:uid="{00000000-0005-0000-0000-000033020000}"/>
    <cellStyle name="Обычный 2 2 2 2 5" xfId="510" xr:uid="{00000000-0005-0000-0000-000034020000}"/>
    <cellStyle name="Обычный 2 2 2 2 6" xfId="511" xr:uid="{00000000-0005-0000-0000-000035020000}"/>
    <cellStyle name="Обычный 2 2 2 2 7" xfId="512" xr:uid="{00000000-0005-0000-0000-000036020000}"/>
    <cellStyle name="Обычный 2 2 2 2 8" xfId="513" xr:uid="{00000000-0005-0000-0000-000037020000}"/>
    <cellStyle name="Обычный 2 2 2 2 9" xfId="514" xr:uid="{00000000-0005-0000-0000-000038020000}"/>
    <cellStyle name="Обычный 2 2 2 20" xfId="515" xr:uid="{00000000-0005-0000-0000-000039020000}"/>
    <cellStyle name="Обычный 2 2 2 21" xfId="516" xr:uid="{00000000-0005-0000-0000-00003A020000}"/>
    <cellStyle name="Обычный 2 2 2 22" xfId="517" xr:uid="{00000000-0005-0000-0000-00003B020000}"/>
    <cellStyle name="Обычный 2 2 2 23" xfId="518" xr:uid="{00000000-0005-0000-0000-00003C020000}"/>
    <cellStyle name="Обычный 2 2 2 24" xfId="519" xr:uid="{00000000-0005-0000-0000-00003D020000}"/>
    <cellStyle name="Обычный 2 2 2 25" xfId="520" xr:uid="{00000000-0005-0000-0000-00003E020000}"/>
    <cellStyle name="Обычный 2 2 2 26" xfId="521" xr:uid="{00000000-0005-0000-0000-00003F020000}"/>
    <cellStyle name="Обычный 2 2 2 27" xfId="522" xr:uid="{00000000-0005-0000-0000-000040020000}"/>
    <cellStyle name="Обычный 2 2 2 28" xfId="523" xr:uid="{00000000-0005-0000-0000-000041020000}"/>
    <cellStyle name="Обычный 2 2 2 29" xfId="524" xr:uid="{00000000-0005-0000-0000-000042020000}"/>
    <cellStyle name="Обычный 2 2 2 3" xfId="525" xr:uid="{00000000-0005-0000-0000-000043020000}"/>
    <cellStyle name="Обычный 2 2 2 30" xfId="526" xr:uid="{00000000-0005-0000-0000-000044020000}"/>
    <cellStyle name="Обычный 2 2 2 31" xfId="527" xr:uid="{00000000-0005-0000-0000-000045020000}"/>
    <cellStyle name="Обычный 2 2 2 4" xfId="528" xr:uid="{00000000-0005-0000-0000-000046020000}"/>
    <cellStyle name="Обычный 2 2 2 5" xfId="529" xr:uid="{00000000-0005-0000-0000-000047020000}"/>
    <cellStyle name="Обычный 2 2 2 6" xfId="530" xr:uid="{00000000-0005-0000-0000-000048020000}"/>
    <cellStyle name="Обычный 2 2 2 7" xfId="531" xr:uid="{00000000-0005-0000-0000-000049020000}"/>
    <cellStyle name="Обычный 2 2 2 8" xfId="532" xr:uid="{00000000-0005-0000-0000-00004A020000}"/>
    <cellStyle name="Обычный 2 2 2 9" xfId="533" xr:uid="{00000000-0005-0000-0000-00004B020000}"/>
    <cellStyle name="Обычный 2 2 20" xfId="534" xr:uid="{00000000-0005-0000-0000-00004C020000}"/>
    <cellStyle name="Обычный 2 2 20 2" xfId="535" xr:uid="{00000000-0005-0000-0000-00004D020000}"/>
    <cellStyle name="Обычный 2 2 21" xfId="536" xr:uid="{00000000-0005-0000-0000-00004E020000}"/>
    <cellStyle name="Обычный 2 2 21 2" xfId="537" xr:uid="{00000000-0005-0000-0000-00004F020000}"/>
    <cellStyle name="Обычный 2 2 22" xfId="538" xr:uid="{00000000-0005-0000-0000-000050020000}"/>
    <cellStyle name="Обычный 2 2 22 2" xfId="539" xr:uid="{00000000-0005-0000-0000-000051020000}"/>
    <cellStyle name="Обычный 2 2 23" xfId="540" xr:uid="{00000000-0005-0000-0000-000052020000}"/>
    <cellStyle name="Обычный 2 2 23 2" xfId="541" xr:uid="{00000000-0005-0000-0000-000053020000}"/>
    <cellStyle name="Обычный 2 2 24" xfId="542" xr:uid="{00000000-0005-0000-0000-000054020000}"/>
    <cellStyle name="Обычный 2 2 24 2" xfId="543" xr:uid="{00000000-0005-0000-0000-000055020000}"/>
    <cellStyle name="Обычный 2 2 25" xfId="544" xr:uid="{00000000-0005-0000-0000-000056020000}"/>
    <cellStyle name="Обычный 2 2 25 2" xfId="545" xr:uid="{00000000-0005-0000-0000-000057020000}"/>
    <cellStyle name="Обычный 2 2 26" xfId="546" xr:uid="{00000000-0005-0000-0000-000058020000}"/>
    <cellStyle name="Обычный 2 2 26 2" xfId="547" xr:uid="{00000000-0005-0000-0000-000059020000}"/>
    <cellStyle name="Обычный 2 2 27" xfId="548" xr:uid="{00000000-0005-0000-0000-00005A020000}"/>
    <cellStyle name="Обычный 2 2 27 2" xfId="549" xr:uid="{00000000-0005-0000-0000-00005B020000}"/>
    <cellStyle name="Обычный 2 2 28" xfId="550" xr:uid="{00000000-0005-0000-0000-00005C020000}"/>
    <cellStyle name="Обычный 2 2 28 2" xfId="551" xr:uid="{00000000-0005-0000-0000-00005D020000}"/>
    <cellStyle name="Обычный 2 2 29" xfId="552" xr:uid="{00000000-0005-0000-0000-00005E020000}"/>
    <cellStyle name="Обычный 2 2 29 2" xfId="553" xr:uid="{00000000-0005-0000-0000-00005F020000}"/>
    <cellStyle name="Обычный 2 2 3" xfId="554" xr:uid="{00000000-0005-0000-0000-000060020000}"/>
    <cellStyle name="Обычный 2 2 3 2" xfId="555" xr:uid="{00000000-0005-0000-0000-000061020000}"/>
    <cellStyle name="Обычный 2 2 30" xfId="556" xr:uid="{00000000-0005-0000-0000-000062020000}"/>
    <cellStyle name="Обычный 2 2 30 2" xfId="557" xr:uid="{00000000-0005-0000-0000-000063020000}"/>
    <cellStyle name="Обычный 2 2 31" xfId="558" xr:uid="{00000000-0005-0000-0000-000064020000}"/>
    <cellStyle name="Обычный 2 2 31 2" xfId="559" xr:uid="{00000000-0005-0000-0000-000065020000}"/>
    <cellStyle name="Обычный 2 2 32" xfId="560" xr:uid="{00000000-0005-0000-0000-000066020000}"/>
    <cellStyle name="Обычный 2 2 4" xfId="561" xr:uid="{00000000-0005-0000-0000-000067020000}"/>
    <cellStyle name="Обычный 2 2 4 2" xfId="562" xr:uid="{00000000-0005-0000-0000-000068020000}"/>
    <cellStyle name="Обычный 2 2 5" xfId="563" xr:uid="{00000000-0005-0000-0000-000069020000}"/>
    <cellStyle name="Обычный 2 2 5 2" xfId="564" xr:uid="{00000000-0005-0000-0000-00006A020000}"/>
    <cellStyle name="Обычный 2 2 6" xfId="565" xr:uid="{00000000-0005-0000-0000-00006B020000}"/>
    <cellStyle name="Обычный 2 2 6 2" xfId="566" xr:uid="{00000000-0005-0000-0000-00006C020000}"/>
    <cellStyle name="Обычный 2 2 7" xfId="567" xr:uid="{00000000-0005-0000-0000-00006D020000}"/>
    <cellStyle name="Обычный 2 2 7 2" xfId="568" xr:uid="{00000000-0005-0000-0000-00006E020000}"/>
    <cellStyle name="Обычный 2 2 8" xfId="569" xr:uid="{00000000-0005-0000-0000-00006F020000}"/>
    <cellStyle name="Обычный 2 2 8 2" xfId="570" xr:uid="{00000000-0005-0000-0000-000070020000}"/>
    <cellStyle name="Обычный 2 2 9" xfId="571" xr:uid="{00000000-0005-0000-0000-000071020000}"/>
    <cellStyle name="Обычный 2 2 9 2" xfId="572" xr:uid="{00000000-0005-0000-0000-000072020000}"/>
    <cellStyle name="Обычный 2 20" xfId="573" xr:uid="{00000000-0005-0000-0000-000073020000}"/>
    <cellStyle name="Обычный 2 21" xfId="574" xr:uid="{00000000-0005-0000-0000-000074020000}"/>
    <cellStyle name="Обычный 2 22" xfId="575" xr:uid="{00000000-0005-0000-0000-000075020000}"/>
    <cellStyle name="Обычный 2 23" xfId="576" xr:uid="{00000000-0005-0000-0000-000076020000}"/>
    <cellStyle name="Обычный 2 24" xfId="577" xr:uid="{00000000-0005-0000-0000-000077020000}"/>
    <cellStyle name="Обычный 2 25" xfId="578" xr:uid="{00000000-0005-0000-0000-000078020000}"/>
    <cellStyle name="Обычный 2 26" xfId="579" xr:uid="{00000000-0005-0000-0000-000079020000}"/>
    <cellStyle name="Обычный 2 27" xfId="580" xr:uid="{00000000-0005-0000-0000-00007A020000}"/>
    <cellStyle name="Обычный 2 28" xfId="581" xr:uid="{00000000-0005-0000-0000-00007B020000}"/>
    <cellStyle name="Обычный 2 29" xfId="582" xr:uid="{00000000-0005-0000-0000-00007C020000}"/>
    <cellStyle name="Обычный 2 3" xfId="583" xr:uid="{00000000-0005-0000-0000-00007D020000}"/>
    <cellStyle name="Обычный 2 3 2" xfId="584" xr:uid="{00000000-0005-0000-0000-00007E020000}"/>
    <cellStyle name="Обычный 2 3 3" xfId="585" xr:uid="{00000000-0005-0000-0000-00007F020000}"/>
    <cellStyle name="Обычный 2 30" xfId="586" xr:uid="{00000000-0005-0000-0000-000080020000}"/>
    <cellStyle name="Обычный 2 31" xfId="587" xr:uid="{00000000-0005-0000-0000-000081020000}"/>
    <cellStyle name="Обычный 2 32" xfId="588" xr:uid="{00000000-0005-0000-0000-000082020000}"/>
    <cellStyle name="Обычный 2 33" xfId="589" xr:uid="{00000000-0005-0000-0000-000083020000}"/>
    <cellStyle name="Обычный 2 34" xfId="590" xr:uid="{00000000-0005-0000-0000-000084020000}"/>
    <cellStyle name="Обычный 2 34 2" xfId="591" xr:uid="{00000000-0005-0000-0000-000085020000}"/>
    <cellStyle name="Обычный 2 35" xfId="592" xr:uid="{00000000-0005-0000-0000-000086020000}"/>
    <cellStyle name="Обычный 2 36" xfId="593" xr:uid="{00000000-0005-0000-0000-000087020000}"/>
    <cellStyle name="Обычный 2 4" xfId="594" xr:uid="{00000000-0005-0000-0000-000088020000}"/>
    <cellStyle name="Обычный 2 4 2" xfId="595" xr:uid="{00000000-0005-0000-0000-000089020000}"/>
    <cellStyle name="Обычный 2 4 3" xfId="596" xr:uid="{00000000-0005-0000-0000-00008A020000}"/>
    <cellStyle name="Обычный 2 5" xfId="597" xr:uid="{00000000-0005-0000-0000-00008B020000}"/>
    <cellStyle name="Обычный 2 5 2" xfId="598" xr:uid="{00000000-0005-0000-0000-00008C020000}"/>
    <cellStyle name="Обычный 2 5 3" xfId="599" xr:uid="{00000000-0005-0000-0000-00008D020000}"/>
    <cellStyle name="Обычный 2 6" xfId="600" xr:uid="{00000000-0005-0000-0000-00008E020000}"/>
    <cellStyle name="Обычный 2 7" xfId="601" xr:uid="{00000000-0005-0000-0000-00008F020000}"/>
    <cellStyle name="Обычный 2 8" xfId="602" xr:uid="{00000000-0005-0000-0000-000090020000}"/>
    <cellStyle name="Обычный 2 9" xfId="603" xr:uid="{00000000-0005-0000-0000-000091020000}"/>
    <cellStyle name="Обычный 20" xfId="604" xr:uid="{00000000-0005-0000-0000-000092020000}"/>
    <cellStyle name="Обычный 20 10" xfId="605" xr:uid="{00000000-0005-0000-0000-000093020000}"/>
    <cellStyle name="Обычный 20 11" xfId="606" xr:uid="{00000000-0005-0000-0000-000094020000}"/>
    <cellStyle name="Обычный 20 12" xfId="607" xr:uid="{00000000-0005-0000-0000-000095020000}"/>
    <cellStyle name="Обычный 20 13" xfId="608" xr:uid="{00000000-0005-0000-0000-000096020000}"/>
    <cellStyle name="Обычный 20 14" xfId="609" xr:uid="{00000000-0005-0000-0000-000097020000}"/>
    <cellStyle name="Обычный 20 15" xfId="610" xr:uid="{00000000-0005-0000-0000-000098020000}"/>
    <cellStyle name="Обычный 20 16" xfId="611" xr:uid="{00000000-0005-0000-0000-000099020000}"/>
    <cellStyle name="Обычный 20 17" xfId="612" xr:uid="{00000000-0005-0000-0000-00009A020000}"/>
    <cellStyle name="Обычный 20 18" xfId="613" xr:uid="{00000000-0005-0000-0000-00009B020000}"/>
    <cellStyle name="Обычный 20 19" xfId="614" xr:uid="{00000000-0005-0000-0000-00009C020000}"/>
    <cellStyle name="Обычный 20 2" xfId="615" xr:uid="{00000000-0005-0000-0000-00009D020000}"/>
    <cellStyle name="Обычный 20 2 2" xfId="616" xr:uid="{00000000-0005-0000-0000-00009E020000}"/>
    <cellStyle name="Обычный 20 2 2 2" xfId="617" xr:uid="{00000000-0005-0000-0000-00009F020000}"/>
    <cellStyle name="Обычный 20 2 3" xfId="618" xr:uid="{00000000-0005-0000-0000-0000A0020000}"/>
    <cellStyle name="Обычный 20 2 4" xfId="619" xr:uid="{00000000-0005-0000-0000-0000A1020000}"/>
    <cellStyle name="Обычный 20 20" xfId="620" xr:uid="{00000000-0005-0000-0000-0000A2020000}"/>
    <cellStyle name="Обычный 20 21" xfId="621" xr:uid="{00000000-0005-0000-0000-0000A3020000}"/>
    <cellStyle name="Обычный 20 22" xfId="622" xr:uid="{00000000-0005-0000-0000-0000A4020000}"/>
    <cellStyle name="Обычный 20 23" xfId="623" xr:uid="{00000000-0005-0000-0000-0000A5020000}"/>
    <cellStyle name="Обычный 20 24" xfId="624" xr:uid="{00000000-0005-0000-0000-0000A6020000}"/>
    <cellStyle name="Обычный 20 25" xfId="625" xr:uid="{00000000-0005-0000-0000-0000A7020000}"/>
    <cellStyle name="Обычный 20 26" xfId="626" xr:uid="{00000000-0005-0000-0000-0000A8020000}"/>
    <cellStyle name="Обычный 20 27" xfId="627" xr:uid="{00000000-0005-0000-0000-0000A9020000}"/>
    <cellStyle name="Обычный 20 28" xfId="628" xr:uid="{00000000-0005-0000-0000-0000AA020000}"/>
    <cellStyle name="Обычный 20 29" xfId="629" xr:uid="{00000000-0005-0000-0000-0000AB020000}"/>
    <cellStyle name="Обычный 20 3" xfId="630" xr:uid="{00000000-0005-0000-0000-0000AC020000}"/>
    <cellStyle name="Обычный 20 3 2" xfId="631" xr:uid="{00000000-0005-0000-0000-0000AD020000}"/>
    <cellStyle name="Обычный 20 30" xfId="632" xr:uid="{00000000-0005-0000-0000-0000AE020000}"/>
    <cellStyle name="Обычный 20 31" xfId="633" xr:uid="{00000000-0005-0000-0000-0000AF020000}"/>
    <cellStyle name="Обычный 20 32" xfId="634" xr:uid="{00000000-0005-0000-0000-0000B0020000}"/>
    <cellStyle name="Обычный 20 4" xfId="635" xr:uid="{00000000-0005-0000-0000-0000B1020000}"/>
    <cellStyle name="Обычный 20 5" xfId="636" xr:uid="{00000000-0005-0000-0000-0000B2020000}"/>
    <cellStyle name="Обычный 20 6" xfId="637" xr:uid="{00000000-0005-0000-0000-0000B3020000}"/>
    <cellStyle name="Обычный 20 7" xfId="638" xr:uid="{00000000-0005-0000-0000-0000B4020000}"/>
    <cellStyle name="Обычный 20 8" xfId="639" xr:uid="{00000000-0005-0000-0000-0000B5020000}"/>
    <cellStyle name="Обычный 20 9" xfId="640" xr:uid="{00000000-0005-0000-0000-0000B6020000}"/>
    <cellStyle name="Обычный 21" xfId="641" xr:uid="{00000000-0005-0000-0000-0000B7020000}"/>
    <cellStyle name="Обычный 21 2" xfId="642" xr:uid="{00000000-0005-0000-0000-0000B8020000}"/>
    <cellStyle name="Обычный 21 2 2" xfId="643" xr:uid="{00000000-0005-0000-0000-0000B9020000}"/>
    <cellStyle name="Обычный 21 2 3" xfId="644" xr:uid="{00000000-0005-0000-0000-0000BA020000}"/>
    <cellStyle name="Обычный 21 2 4" xfId="645" xr:uid="{00000000-0005-0000-0000-0000BB020000}"/>
    <cellStyle name="Обычный 22" xfId="646" xr:uid="{00000000-0005-0000-0000-0000BC020000}"/>
    <cellStyle name="Обычный 22 10" xfId="647" xr:uid="{00000000-0005-0000-0000-0000BD020000}"/>
    <cellStyle name="Обычный 22 11" xfId="648" xr:uid="{00000000-0005-0000-0000-0000BE020000}"/>
    <cellStyle name="Обычный 22 12" xfId="649" xr:uid="{00000000-0005-0000-0000-0000BF020000}"/>
    <cellStyle name="Обычный 22 13" xfId="650" xr:uid="{00000000-0005-0000-0000-0000C0020000}"/>
    <cellStyle name="Обычный 22 14" xfId="651" xr:uid="{00000000-0005-0000-0000-0000C1020000}"/>
    <cellStyle name="Обычный 22 15" xfId="652" xr:uid="{00000000-0005-0000-0000-0000C2020000}"/>
    <cellStyle name="Обычный 22 16" xfId="653" xr:uid="{00000000-0005-0000-0000-0000C3020000}"/>
    <cellStyle name="Обычный 22 17" xfId="654" xr:uid="{00000000-0005-0000-0000-0000C4020000}"/>
    <cellStyle name="Обычный 22 18" xfId="655" xr:uid="{00000000-0005-0000-0000-0000C5020000}"/>
    <cellStyle name="Обычный 22 19" xfId="656" xr:uid="{00000000-0005-0000-0000-0000C6020000}"/>
    <cellStyle name="Обычный 22 2" xfId="657" xr:uid="{00000000-0005-0000-0000-0000C7020000}"/>
    <cellStyle name="Обычный 22 2 2" xfId="658" xr:uid="{00000000-0005-0000-0000-0000C8020000}"/>
    <cellStyle name="Обычный 22 2 3" xfId="659" xr:uid="{00000000-0005-0000-0000-0000C9020000}"/>
    <cellStyle name="Обычный 22 20" xfId="660" xr:uid="{00000000-0005-0000-0000-0000CA020000}"/>
    <cellStyle name="Обычный 22 21" xfId="661" xr:uid="{00000000-0005-0000-0000-0000CB020000}"/>
    <cellStyle name="Обычный 22 22" xfId="662" xr:uid="{00000000-0005-0000-0000-0000CC020000}"/>
    <cellStyle name="Обычный 22 23" xfId="663" xr:uid="{00000000-0005-0000-0000-0000CD020000}"/>
    <cellStyle name="Обычный 22 24" xfId="664" xr:uid="{00000000-0005-0000-0000-0000CE020000}"/>
    <cellStyle name="Обычный 22 25" xfId="665" xr:uid="{00000000-0005-0000-0000-0000CF020000}"/>
    <cellStyle name="Обычный 22 26" xfId="666" xr:uid="{00000000-0005-0000-0000-0000D0020000}"/>
    <cellStyle name="Обычный 22 27" xfId="667" xr:uid="{00000000-0005-0000-0000-0000D1020000}"/>
    <cellStyle name="Обычный 22 28" xfId="668" xr:uid="{00000000-0005-0000-0000-0000D2020000}"/>
    <cellStyle name="Обычный 22 29" xfId="669" xr:uid="{00000000-0005-0000-0000-0000D3020000}"/>
    <cellStyle name="Обычный 22 3" xfId="670" xr:uid="{00000000-0005-0000-0000-0000D4020000}"/>
    <cellStyle name="Обычный 22 30" xfId="671" xr:uid="{00000000-0005-0000-0000-0000D5020000}"/>
    <cellStyle name="Обычный 22 31" xfId="672" xr:uid="{00000000-0005-0000-0000-0000D6020000}"/>
    <cellStyle name="Обычный 22 32" xfId="673" xr:uid="{00000000-0005-0000-0000-0000D7020000}"/>
    <cellStyle name="Обычный 22 4" xfId="674" xr:uid="{00000000-0005-0000-0000-0000D8020000}"/>
    <cellStyle name="Обычный 22 5" xfId="675" xr:uid="{00000000-0005-0000-0000-0000D9020000}"/>
    <cellStyle name="Обычный 22 6" xfId="676" xr:uid="{00000000-0005-0000-0000-0000DA020000}"/>
    <cellStyle name="Обычный 22 7" xfId="677" xr:uid="{00000000-0005-0000-0000-0000DB020000}"/>
    <cellStyle name="Обычный 22 8" xfId="678" xr:uid="{00000000-0005-0000-0000-0000DC020000}"/>
    <cellStyle name="Обычный 22 9" xfId="679" xr:uid="{00000000-0005-0000-0000-0000DD020000}"/>
    <cellStyle name="Обычный 23" xfId="680" xr:uid="{00000000-0005-0000-0000-0000DE020000}"/>
    <cellStyle name="Обычный 24" xfId="681" xr:uid="{00000000-0005-0000-0000-0000DF020000}"/>
    <cellStyle name="Обычный 24 2" xfId="682" xr:uid="{00000000-0005-0000-0000-0000E0020000}"/>
    <cellStyle name="Обычный 24 3" xfId="683" xr:uid="{00000000-0005-0000-0000-0000E1020000}"/>
    <cellStyle name="Обычный 24 4" xfId="684" xr:uid="{00000000-0005-0000-0000-0000E2020000}"/>
    <cellStyle name="Обычный 25" xfId="685" xr:uid="{00000000-0005-0000-0000-0000E3020000}"/>
    <cellStyle name="Обычный 25 2" xfId="686" xr:uid="{00000000-0005-0000-0000-0000E4020000}"/>
    <cellStyle name="Обычный 256" xfId="687" xr:uid="{00000000-0005-0000-0000-0000E5020000}"/>
    <cellStyle name="Обычный 256 2" xfId="688" xr:uid="{00000000-0005-0000-0000-0000E6020000}"/>
    <cellStyle name="Обычный 26" xfId="689" xr:uid="{00000000-0005-0000-0000-0000E7020000}"/>
    <cellStyle name="Обычный 26 10" xfId="690" xr:uid="{00000000-0005-0000-0000-0000E8020000}"/>
    <cellStyle name="Обычный 26 11" xfId="691" xr:uid="{00000000-0005-0000-0000-0000E9020000}"/>
    <cellStyle name="Обычный 26 12" xfId="692" xr:uid="{00000000-0005-0000-0000-0000EA020000}"/>
    <cellStyle name="Обычный 26 13" xfId="693" xr:uid="{00000000-0005-0000-0000-0000EB020000}"/>
    <cellStyle name="Обычный 26 14" xfId="694" xr:uid="{00000000-0005-0000-0000-0000EC020000}"/>
    <cellStyle name="Обычный 26 15" xfId="695" xr:uid="{00000000-0005-0000-0000-0000ED020000}"/>
    <cellStyle name="Обычный 26 16" xfId="696" xr:uid="{00000000-0005-0000-0000-0000EE020000}"/>
    <cellStyle name="Обычный 26 17" xfId="697" xr:uid="{00000000-0005-0000-0000-0000EF020000}"/>
    <cellStyle name="Обычный 26 18" xfId="698" xr:uid="{00000000-0005-0000-0000-0000F0020000}"/>
    <cellStyle name="Обычный 26 19" xfId="699" xr:uid="{00000000-0005-0000-0000-0000F1020000}"/>
    <cellStyle name="Обычный 26 2" xfId="700" xr:uid="{00000000-0005-0000-0000-0000F2020000}"/>
    <cellStyle name="Обычный 26 20" xfId="701" xr:uid="{00000000-0005-0000-0000-0000F3020000}"/>
    <cellStyle name="Обычный 26 21" xfId="702" xr:uid="{00000000-0005-0000-0000-0000F4020000}"/>
    <cellStyle name="Обычный 26 22" xfId="703" xr:uid="{00000000-0005-0000-0000-0000F5020000}"/>
    <cellStyle name="Обычный 26 23" xfId="704" xr:uid="{00000000-0005-0000-0000-0000F6020000}"/>
    <cellStyle name="Обычный 26 24" xfId="705" xr:uid="{00000000-0005-0000-0000-0000F7020000}"/>
    <cellStyle name="Обычный 26 25" xfId="706" xr:uid="{00000000-0005-0000-0000-0000F8020000}"/>
    <cellStyle name="Обычный 26 26" xfId="707" xr:uid="{00000000-0005-0000-0000-0000F9020000}"/>
    <cellStyle name="Обычный 26 27" xfId="708" xr:uid="{00000000-0005-0000-0000-0000FA020000}"/>
    <cellStyle name="Обычный 26 28" xfId="709" xr:uid="{00000000-0005-0000-0000-0000FB020000}"/>
    <cellStyle name="Обычный 26 29" xfId="710" xr:uid="{00000000-0005-0000-0000-0000FC020000}"/>
    <cellStyle name="Обычный 26 3" xfId="711" xr:uid="{00000000-0005-0000-0000-0000FD020000}"/>
    <cellStyle name="Обычный 26 3 2" xfId="712" xr:uid="{00000000-0005-0000-0000-0000FE020000}"/>
    <cellStyle name="Обычный 26 30" xfId="713" xr:uid="{00000000-0005-0000-0000-0000FF020000}"/>
    <cellStyle name="Обычный 26 31" xfId="714" xr:uid="{00000000-0005-0000-0000-000000030000}"/>
    <cellStyle name="Обычный 26 32" xfId="715" xr:uid="{00000000-0005-0000-0000-000001030000}"/>
    <cellStyle name="Обычный 26 4" xfId="716" xr:uid="{00000000-0005-0000-0000-000002030000}"/>
    <cellStyle name="Обычный 26 5" xfId="717" xr:uid="{00000000-0005-0000-0000-000003030000}"/>
    <cellStyle name="Обычный 26 6" xfId="718" xr:uid="{00000000-0005-0000-0000-000004030000}"/>
    <cellStyle name="Обычный 26 7" xfId="719" xr:uid="{00000000-0005-0000-0000-000005030000}"/>
    <cellStyle name="Обычный 26 8" xfId="720" xr:uid="{00000000-0005-0000-0000-000006030000}"/>
    <cellStyle name="Обычный 26 9" xfId="721" xr:uid="{00000000-0005-0000-0000-000007030000}"/>
    <cellStyle name="Обычный 27" xfId="722" xr:uid="{00000000-0005-0000-0000-000008030000}"/>
    <cellStyle name="Обычный 27 2" xfId="723" xr:uid="{00000000-0005-0000-0000-000009030000}"/>
    <cellStyle name="Обычный 28" xfId="724" xr:uid="{00000000-0005-0000-0000-00000A030000}"/>
    <cellStyle name="Обычный 29" xfId="725" xr:uid="{00000000-0005-0000-0000-00000B030000}"/>
    <cellStyle name="Обычный 3" xfId="5" xr:uid="{00000000-0005-0000-0000-00000C030000}"/>
    <cellStyle name="Обычный 3 2" xfId="726" xr:uid="{00000000-0005-0000-0000-00000D030000}"/>
    <cellStyle name="Обычный 3 2 2" xfId="727" xr:uid="{00000000-0005-0000-0000-00000E030000}"/>
    <cellStyle name="Обычный 3 2 2 2" xfId="728" xr:uid="{00000000-0005-0000-0000-00000F030000}"/>
    <cellStyle name="Обычный 3 2 3" xfId="729" xr:uid="{00000000-0005-0000-0000-000010030000}"/>
    <cellStyle name="Обычный 3 2 4" xfId="730" xr:uid="{00000000-0005-0000-0000-000011030000}"/>
    <cellStyle name="Обычный 3 3" xfId="731" xr:uid="{00000000-0005-0000-0000-000012030000}"/>
    <cellStyle name="Обычный 3 3 2" xfId="732" xr:uid="{00000000-0005-0000-0000-000013030000}"/>
    <cellStyle name="Обычный 3 3 2 2" xfId="733" xr:uid="{00000000-0005-0000-0000-000014030000}"/>
    <cellStyle name="Обычный 3 3 3" xfId="734" xr:uid="{00000000-0005-0000-0000-000015030000}"/>
    <cellStyle name="Обычный 3 4" xfId="735" xr:uid="{00000000-0005-0000-0000-000016030000}"/>
    <cellStyle name="Обычный 3 5" xfId="736" xr:uid="{00000000-0005-0000-0000-000017030000}"/>
    <cellStyle name="Обычный 3 5 2" xfId="737" xr:uid="{00000000-0005-0000-0000-000018030000}"/>
    <cellStyle name="Обычный 3 6" xfId="738" xr:uid="{00000000-0005-0000-0000-000019030000}"/>
    <cellStyle name="Обычный 3 7" xfId="739" xr:uid="{00000000-0005-0000-0000-00001A030000}"/>
    <cellStyle name="Обычный 3 8" xfId="9" xr:uid="{00000000-0005-0000-0000-00001B030000}"/>
    <cellStyle name="Обычный 30" xfId="740" xr:uid="{00000000-0005-0000-0000-00001C030000}"/>
    <cellStyle name="Обычный 30 2" xfId="741" xr:uid="{00000000-0005-0000-0000-00001D030000}"/>
    <cellStyle name="Обычный 31" xfId="742" xr:uid="{00000000-0005-0000-0000-00001E030000}"/>
    <cellStyle name="Обычный 31 2" xfId="743" xr:uid="{00000000-0005-0000-0000-00001F030000}"/>
    <cellStyle name="Обычный 32" xfId="744" xr:uid="{00000000-0005-0000-0000-000020030000}"/>
    <cellStyle name="Обычный 32 2" xfId="745" xr:uid="{00000000-0005-0000-0000-000021030000}"/>
    <cellStyle name="Обычный 33" xfId="746" xr:uid="{00000000-0005-0000-0000-000022030000}"/>
    <cellStyle name="Обычный 33 2" xfId="747" xr:uid="{00000000-0005-0000-0000-000023030000}"/>
    <cellStyle name="Обычный 34" xfId="748" xr:uid="{00000000-0005-0000-0000-000024030000}"/>
    <cellStyle name="Обычный 34 2" xfId="749" xr:uid="{00000000-0005-0000-0000-000025030000}"/>
    <cellStyle name="Обычный 35" xfId="750" xr:uid="{00000000-0005-0000-0000-000026030000}"/>
    <cellStyle name="Обычный 35 10" xfId="751" xr:uid="{00000000-0005-0000-0000-000027030000}"/>
    <cellStyle name="Обычный 35 11" xfId="752" xr:uid="{00000000-0005-0000-0000-000028030000}"/>
    <cellStyle name="Обычный 35 12" xfId="753" xr:uid="{00000000-0005-0000-0000-000029030000}"/>
    <cellStyle name="Обычный 35 13" xfId="754" xr:uid="{00000000-0005-0000-0000-00002A030000}"/>
    <cellStyle name="Обычный 35 14" xfId="755" xr:uid="{00000000-0005-0000-0000-00002B030000}"/>
    <cellStyle name="Обычный 35 15" xfId="756" xr:uid="{00000000-0005-0000-0000-00002C030000}"/>
    <cellStyle name="Обычный 35 16" xfId="757" xr:uid="{00000000-0005-0000-0000-00002D030000}"/>
    <cellStyle name="Обычный 35 17" xfId="758" xr:uid="{00000000-0005-0000-0000-00002E030000}"/>
    <cellStyle name="Обычный 35 18" xfId="759" xr:uid="{00000000-0005-0000-0000-00002F030000}"/>
    <cellStyle name="Обычный 35 19" xfId="760" xr:uid="{00000000-0005-0000-0000-000030030000}"/>
    <cellStyle name="Обычный 35 2" xfId="761" xr:uid="{00000000-0005-0000-0000-000031030000}"/>
    <cellStyle name="Обычный 35 2 2" xfId="762" xr:uid="{00000000-0005-0000-0000-000032030000}"/>
    <cellStyle name="Обычный 35 20" xfId="763" xr:uid="{00000000-0005-0000-0000-000033030000}"/>
    <cellStyle name="Обычный 35 21" xfId="764" xr:uid="{00000000-0005-0000-0000-000034030000}"/>
    <cellStyle name="Обычный 35 22" xfId="765" xr:uid="{00000000-0005-0000-0000-000035030000}"/>
    <cellStyle name="Обычный 35 23" xfId="766" xr:uid="{00000000-0005-0000-0000-000036030000}"/>
    <cellStyle name="Обычный 35 24" xfId="767" xr:uid="{00000000-0005-0000-0000-000037030000}"/>
    <cellStyle name="Обычный 35 25" xfId="768" xr:uid="{00000000-0005-0000-0000-000038030000}"/>
    <cellStyle name="Обычный 35 26" xfId="769" xr:uid="{00000000-0005-0000-0000-000039030000}"/>
    <cellStyle name="Обычный 35 27" xfId="770" xr:uid="{00000000-0005-0000-0000-00003A030000}"/>
    <cellStyle name="Обычный 35 28" xfId="771" xr:uid="{00000000-0005-0000-0000-00003B030000}"/>
    <cellStyle name="Обычный 35 29" xfId="772" xr:uid="{00000000-0005-0000-0000-00003C030000}"/>
    <cellStyle name="Обычный 35 3" xfId="773" xr:uid="{00000000-0005-0000-0000-00003D030000}"/>
    <cellStyle name="Обычный 35 30" xfId="774" xr:uid="{00000000-0005-0000-0000-00003E030000}"/>
    <cellStyle name="Обычный 35 31" xfId="775" xr:uid="{00000000-0005-0000-0000-00003F030000}"/>
    <cellStyle name="Обычный 35 4" xfId="776" xr:uid="{00000000-0005-0000-0000-000040030000}"/>
    <cellStyle name="Обычный 35 5" xfId="777" xr:uid="{00000000-0005-0000-0000-000041030000}"/>
    <cellStyle name="Обычный 35 6" xfId="778" xr:uid="{00000000-0005-0000-0000-000042030000}"/>
    <cellStyle name="Обычный 35 7" xfId="779" xr:uid="{00000000-0005-0000-0000-000043030000}"/>
    <cellStyle name="Обычный 35 8" xfId="780" xr:uid="{00000000-0005-0000-0000-000044030000}"/>
    <cellStyle name="Обычный 35 9" xfId="781" xr:uid="{00000000-0005-0000-0000-000045030000}"/>
    <cellStyle name="Обычный 36" xfId="782" xr:uid="{00000000-0005-0000-0000-000046030000}"/>
    <cellStyle name="Обычный 36 2" xfId="783" xr:uid="{00000000-0005-0000-0000-000047030000}"/>
    <cellStyle name="Обычный 37" xfId="784" xr:uid="{00000000-0005-0000-0000-000048030000}"/>
    <cellStyle name="Обычный 37 2" xfId="785" xr:uid="{00000000-0005-0000-0000-000049030000}"/>
    <cellStyle name="Обычный 38" xfId="786" xr:uid="{00000000-0005-0000-0000-00004A030000}"/>
    <cellStyle name="Обычный 38 2" xfId="787" xr:uid="{00000000-0005-0000-0000-00004B030000}"/>
    <cellStyle name="Обычный 39" xfId="788" xr:uid="{00000000-0005-0000-0000-00004C030000}"/>
    <cellStyle name="Обычный 39 2" xfId="789" xr:uid="{00000000-0005-0000-0000-00004D030000}"/>
    <cellStyle name="Обычный 4" xfId="6" xr:uid="{00000000-0005-0000-0000-00004E030000}"/>
    <cellStyle name="Обычный 4 2" xfId="4" xr:uid="{00000000-0005-0000-0000-00004F030000}"/>
    <cellStyle name="Обычный 4 2 2" xfId="790" xr:uid="{00000000-0005-0000-0000-000050030000}"/>
    <cellStyle name="Обычный 4 2 3" xfId="791" xr:uid="{00000000-0005-0000-0000-000051030000}"/>
    <cellStyle name="Обычный 4 3" xfId="792" xr:uid="{00000000-0005-0000-0000-000052030000}"/>
    <cellStyle name="Обычный 4 3 2" xfId="793" xr:uid="{00000000-0005-0000-0000-000053030000}"/>
    <cellStyle name="Обычный 4 4" xfId="794" xr:uid="{00000000-0005-0000-0000-000054030000}"/>
    <cellStyle name="Обычный 4 4 2" xfId="795" xr:uid="{00000000-0005-0000-0000-000055030000}"/>
    <cellStyle name="Обычный 4 5" xfId="796" xr:uid="{00000000-0005-0000-0000-000056030000}"/>
    <cellStyle name="Обычный 40" xfId="797" xr:uid="{00000000-0005-0000-0000-000057030000}"/>
    <cellStyle name="Обычный 40 10" xfId="798" xr:uid="{00000000-0005-0000-0000-000058030000}"/>
    <cellStyle name="Обычный 40 11" xfId="799" xr:uid="{00000000-0005-0000-0000-000059030000}"/>
    <cellStyle name="Обычный 40 12" xfId="800" xr:uid="{00000000-0005-0000-0000-00005A030000}"/>
    <cellStyle name="Обычный 40 13" xfId="801" xr:uid="{00000000-0005-0000-0000-00005B030000}"/>
    <cellStyle name="Обычный 40 14" xfId="802" xr:uid="{00000000-0005-0000-0000-00005C030000}"/>
    <cellStyle name="Обычный 40 15" xfId="803" xr:uid="{00000000-0005-0000-0000-00005D030000}"/>
    <cellStyle name="Обычный 40 16" xfId="804" xr:uid="{00000000-0005-0000-0000-00005E030000}"/>
    <cellStyle name="Обычный 40 17" xfId="805" xr:uid="{00000000-0005-0000-0000-00005F030000}"/>
    <cellStyle name="Обычный 40 18" xfId="806" xr:uid="{00000000-0005-0000-0000-000060030000}"/>
    <cellStyle name="Обычный 40 19" xfId="807" xr:uid="{00000000-0005-0000-0000-000061030000}"/>
    <cellStyle name="Обычный 40 2" xfId="808" xr:uid="{00000000-0005-0000-0000-000062030000}"/>
    <cellStyle name="Обычный 40 2 2" xfId="809" xr:uid="{00000000-0005-0000-0000-000063030000}"/>
    <cellStyle name="Обычный 40 20" xfId="810" xr:uid="{00000000-0005-0000-0000-000064030000}"/>
    <cellStyle name="Обычный 40 21" xfId="811" xr:uid="{00000000-0005-0000-0000-000065030000}"/>
    <cellStyle name="Обычный 40 22" xfId="812" xr:uid="{00000000-0005-0000-0000-000066030000}"/>
    <cellStyle name="Обычный 40 23" xfId="813" xr:uid="{00000000-0005-0000-0000-000067030000}"/>
    <cellStyle name="Обычный 40 24" xfId="814" xr:uid="{00000000-0005-0000-0000-000068030000}"/>
    <cellStyle name="Обычный 40 25" xfId="815" xr:uid="{00000000-0005-0000-0000-000069030000}"/>
    <cellStyle name="Обычный 40 26" xfId="816" xr:uid="{00000000-0005-0000-0000-00006A030000}"/>
    <cellStyle name="Обычный 40 27" xfId="817" xr:uid="{00000000-0005-0000-0000-00006B030000}"/>
    <cellStyle name="Обычный 40 28" xfId="818" xr:uid="{00000000-0005-0000-0000-00006C030000}"/>
    <cellStyle name="Обычный 40 29" xfId="819" xr:uid="{00000000-0005-0000-0000-00006D030000}"/>
    <cellStyle name="Обычный 40 3" xfId="820" xr:uid="{00000000-0005-0000-0000-00006E030000}"/>
    <cellStyle name="Обычный 40 30" xfId="821" xr:uid="{00000000-0005-0000-0000-00006F030000}"/>
    <cellStyle name="Обычный 40 31" xfId="822" xr:uid="{00000000-0005-0000-0000-000070030000}"/>
    <cellStyle name="Обычный 40 32" xfId="823" xr:uid="{00000000-0005-0000-0000-000071030000}"/>
    <cellStyle name="Обычный 40 4" xfId="824" xr:uid="{00000000-0005-0000-0000-000072030000}"/>
    <cellStyle name="Обычный 40 5" xfId="825" xr:uid="{00000000-0005-0000-0000-000073030000}"/>
    <cellStyle name="Обычный 40 6" xfId="826" xr:uid="{00000000-0005-0000-0000-000074030000}"/>
    <cellStyle name="Обычный 40 7" xfId="827" xr:uid="{00000000-0005-0000-0000-000075030000}"/>
    <cellStyle name="Обычный 40 8" xfId="828" xr:uid="{00000000-0005-0000-0000-000076030000}"/>
    <cellStyle name="Обычный 40 9" xfId="829" xr:uid="{00000000-0005-0000-0000-000077030000}"/>
    <cellStyle name="Обычный 41" xfId="830" xr:uid="{00000000-0005-0000-0000-000078030000}"/>
    <cellStyle name="Обычный 41 10" xfId="831" xr:uid="{00000000-0005-0000-0000-000079030000}"/>
    <cellStyle name="Обычный 41 11" xfId="832" xr:uid="{00000000-0005-0000-0000-00007A030000}"/>
    <cellStyle name="Обычный 41 12" xfId="833" xr:uid="{00000000-0005-0000-0000-00007B030000}"/>
    <cellStyle name="Обычный 41 13" xfId="834" xr:uid="{00000000-0005-0000-0000-00007C030000}"/>
    <cellStyle name="Обычный 41 14" xfId="835" xr:uid="{00000000-0005-0000-0000-00007D030000}"/>
    <cellStyle name="Обычный 41 15" xfId="836" xr:uid="{00000000-0005-0000-0000-00007E030000}"/>
    <cellStyle name="Обычный 41 16" xfId="837" xr:uid="{00000000-0005-0000-0000-00007F030000}"/>
    <cellStyle name="Обычный 41 17" xfId="838" xr:uid="{00000000-0005-0000-0000-000080030000}"/>
    <cellStyle name="Обычный 41 18" xfId="839" xr:uid="{00000000-0005-0000-0000-000081030000}"/>
    <cellStyle name="Обычный 41 19" xfId="840" xr:uid="{00000000-0005-0000-0000-000082030000}"/>
    <cellStyle name="Обычный 41 2" xfId="841" xr:uid="{00000000-0005-0000-0000-000083030000}"/>
    <cellStyle name="Обычный 41 2 2" xfId="842" xr:uid="{00000000-0005-0000-0000-000084030000}"/>
    <cellStyle name="Обычный 41 20" xfId="843" xr:uid="{00000000-0005-0000-0000-000085030000}"/>
    <cellStyle name="Обычный 41 21" xfId="844" xr:uid="{00000000-0005-0000-0000-000086030000}"/>
    <cellStyle name="Обычный 41 22" xfId="845" xr:uid="{00000000-0005-0000-0000-000087030000}"/>
    <cellStyle name="Обычный 41 23" xfId="846" xr:uid="{00000000-0005-0000-0000-000088030000}"/>
    <cellStyle name="Обычный 41 24" xfId="847" xr:uid="{00000000-0005-0000-0000-000089030000}"/>
    <cellStyle name="Обычный 41 25" xfId="848" xr:uid="{00000000-0005-0000-0000-00008A030000}"/>
    <cellStyle name="Обычный 41 26" xfId="849" xr:uid="{00000000-0005-0000-0000-00008B030000}"/>
    <cellStyle name="Обычный 41 27" xfId="850" xr:uid="{00000000-0005-0000-0000-00008C030000}"/>
    <cellStyle name="Обычный 41 28" xfId="851" xr:uid="{00000000-0005-0000-0000-00008D030000}"/>
    <cellStyle name="Обычный 41 29" xfId="852" xr:uid="{00000000-0005-0000-0000-00008E030000}"/>
    <cellStyle name="Обычный 41 3" xfId="853" xr:uid="{00000000-0005-0000-0000-00008F030000}"/>
    <cellStyle name="Обычный 41 30" xfId="854" xr:uid="{00000000-0005-0000-0000-000090030000}"/>
    <cellStyle name="Обычный 41 31" xfId="855" xr:uid="{00000000-0005-0000-0000-000091030000}"/>
    <cellStyle name="Обычный 41 32" xfId="856" xr:uid="{00000000-0005-0000-0000-000092030000}"/>
    <cellStyle name="Обычный 41 4" xfId="857" xr:uid="{00000000-0005-0000-0000-000093030000}"/>
    <cellStyle name="Обычный 41 5" xfId="858" xr:uid="{00000000-0005-0000-0000-000094030000}"/>
    <cellStyle name="Обычный 41 6" xfId="859" xr:uid="{00000000-0005-0000-0000-000095030000}"/>
    <cellStyle name="Обычный 41 7" xfId="860" xr:uid="{00000000-0005-0000-0000-000096030000}"/>
    <cellStyle name="Обычный 41 8" xfId="861" xr:uid="{00000000-0005-0000-0000-000097030000}"/>
    <cellStyle name="Обычный 41 9" xfId="862" xr:uid="{00000000-0005-0000-0000-000098030000}"/>
    <cellStyle name="Обычный 42" xfId="863" xr:uid="{00000000-0005-0000-0000-000099030000}"/>
    <cellStyle name="Обычный 43" xfId="864" xr:uid="{00000000-0005-0000-0000-00009A030000}"/>
    <cellStyle name="Обычный 44" xfId="865" xr:uid="{00000000-0005-0000-0000-00009B030000}"/>
    <cellStyle name="Обычный 45" xfId="866" xr:uid="{00000000-0005-0000-0000-00009C030000}"/>
    <cellStyle name="Обычный 46" xfId="867" xr:uid="{00000000-0005-0000-0000-00009D030000}"/>
    <cellStyle name="Обычный 47" xfId="868" xr:uid="{00000000-0005-0000-0000-00009E030000}"/>
    <cellStyle name="Обычный 47 2" xfId="869" xr:uid="{00000000-0005-0000-0000-00009F030000}"/>
    <cellStyle name="Обычный 47 3" xfId="870" xr:uid="{00000000-0005-0000-0000-0000A0030000}"/>
    <cellStyle name="Обычный 47 4" xfId="871" xr:uid="{00000000-0005-0000-0000-0000A1030000}"/>
    <cellStyle name="Обычный 47 5" xfId="872" xr:uid="{00000000-0005-0000-0000-0000A2030000}"/>
    <cellStyle name="Обычный 47 6" xfId="873" xr:uid="{00000000-0005-0000-0000-0000A3030000}"/>
    <cellStyle name="Обычный 47 7" xfId="874" xr:uid="{00000000-0005-0000-0000-0000A4030000}"/>
    <cellStyle name="Обычный 48" xfId="875" xr:uid="{00000000-0005-0000-0000-0000A5030000}"/>
    <cellStyle name="Обычный 48 2" xfId="876" xr:uid="{00000000-0005-0000-0000-0000A6030000}"/>
    <cellStyle name="Обычный 48 3" xfId="877" xr:uid="{00000000-0005-0000-0000-0000A7030000}"/>
    <cellStyle name="Обычный 49" xfId="878" xr:uid="{00000000-0005-0000-0000-0000A8030000}"/>
    <cellStyle name="Обычный 5" xfId="879" xr:uid="{00000000-0005-0000-0000-0000A9030000}"/>
    <cellStyle name="Обычный 5 2" xfId="880" xr:uid="{00000000-0005-0000-0000-0000AA030000}"/>
    <cellStyle name="Обычный 5 2 2" xfId="881" xr:uid="{00000000-0005-0000-0000-0000AB030000}"/>
    <cellStyle name="Обычный 5 2 2 2" xfId="882" xr:uid="{00000000-0005-0000-0000-0000AC030000}"/>
    <cellStyle name="Обычный 5 2 3" xfId="883" xr:uid="{00000000-0005-0000-0000-0000AD030000}"/>
    <cellStyle name="Обычный 5 3" xfId="884" xr:uid="{00000000-0005-0000-0000-0000AE030000}"/>
    <cellStyle name="Обычный 5 3 2" xfId="885" xr:uid="{00000000-0005-0000-0000-0000AF030000}"/>
    <cellStyle name="Обычный 5 3 2 2" xfId="886" xr:uid="{00000000-0005-0000-0000-0000B0030000}"/>
    <cellStyle name="Обычный 5 3 3" xfId="887" xr:uid="{00000000-0005-0000-0000-0000B1030000}"/>
    <cellStyle name="Обычный 5 3 4" xfId="888" xr:uid="{00000000-0005-0000-0000-0000B2030000}"/>
    <cellStyle name="Обычный 5 4" xfId="889" xr:uid="{00000000-0005-0000-0000-0000B3030000}"/>
    <cellStyle name="Обычный 5 4 2" xfId="890" xr:uid="{00000000-0005-0000-0000-0000B4030000}"/>
    <cellStyle name="Обычный 5 5" xfId="891" xr:uid="{00000000-0005-0000-0000-0000B5030000}"/>
    <cellStyle name="Обычный 5 5 2" xfId="892" xr:uid="{00000000-0005-0000-0000-0000B6030000}"/>
    <cellStyle name="Обычный 5 6" xfId="893" xr:uid="{00000000-0005-0000-0000-0000B7030000}"/>
    <cellStyle name="Обычный 5 6 2" xfId="894" xr:uid="{00000000-0005-0000-0000-0000B8030000}"/>
    <cellStyle name="Обычный 5 7" xfId="895" xr:uid="{00000000-0005-0000-0000-0000B9030000}"/>
    <cellStyle name="Обычный 5 7 2" xfId="896" xr:uid="{00000000-0005-0000-0000-0000BA030000}"/>
    <cellStyle name="Обычный 5 8" xfId="897" xr:uid="{00000000-0005-0000-0000-0000BB030000}"/>
    <cellStyle name="Обычный 5 8 2" xfId="898" xr:uid="{00000000-0005-0000-0000-0000BC030000}"/>
    <cellStyle name="Обычный 50" xfId="899" xr:uid="{00000000-0005-0000-0000-0000BD030000}"/>
    <cellStyle name="Обычный 51" xfId="900" xr:uid="{00000000-0005-0000-0000-0000BE030000}"/>
    <cellStyle name="Обычный 52" xfId="901" xr:uid="{00000000-0005-0000-0000-0000BF030000}"/>
    <cellStyle name="Обычный 53" xfId="902" xr:uid="{00000000-0005-0000-0000-0000C0030000}"/>
    <cellStyle name="Обычный 54" xfId="903" xr:uid="{00000000-0005-0000-0000-0000C1030000}"/>
    <cellStyle name="Обычный 55" xfId="904" xr:uid="{00000000-0005-0000-0000-0000C2030000}"/>
    <cellStyle name="Обычный 56" xfId="905" xr:uid="{00000000-0005-0000-0000-0000C3030000}"/>
    <cellStyle name="Обычный 57" xfId="906" xr:uid="{00000000-0005-0000-0000-0000C4030000}"/>
    <cellStyle name="Обычный 58" xfId="907" xr:uid="{00000000-0005-0000-0000-0000C5030000}"/>
    <cellStyle name="Обычный 59" xfId="908" xr:uid="{00000000-0005-0000-0000-0000C6030000}"/>
    <cellStyle name="Обычный 6" xfId="909" xr:uid="{00000000-0005-0000-0000-0000C7030000}"/>
    <cellStyle name="Обычный 6 2" xfId="910" xr:uid="{00000000-0005-0000-0000-0000C8030000}"/>
    <cellStyle name="Обычный 6 2 2" xfId="911" xr:uid="{00000000-0005-0000-0000-0000C9030000}"/>
    <cellStyle name="Обычный 6 2 3" xfId="912" xr:uid="{00000000-0005-0000-0000-0000CA030000}"/>
    <cellStyle name="Обычный 6 3" xfId="913" xr:uid="{00000000-0005-0000-0000-0000CB030000}"/>
    <cellStyle name="Обычный 6 3 2" xfId="914" xr:uid="{00000000-0005-0000-0000-0000CC030000}"/>
    <cellStyle name="Обычный 6 4" xfId="915" xr:uid="{00000000-0005-0000-0000-0000CD030000}"/>
    <cellStyle name="Обычный 6 5" xfId="916" xr:uid="{00000000-0005-0000-0000-0000CE030000}"/>
    <cellStyle name="Обычный 6 6" xfId="917" xr:uid="{00000000-0005-0000-0000-0000CF030000}"/>
    <cellStyle name="Обычный 60" xfId="918" xr:uid="{00000000-0005-0000-0000-0000D0030000}"/>
    <cellStyle name="Обычный 61" xfId="919" xr:uid="{00000000-0005-0000-0000-0000D1030000}"/>
    <cellStyle name="Обычный 62" xfId="920" xr:uid="{00000000-0005-0000-0000-0000D2030000}"/>
    <cellStyle name="Обычный 63" xfId="921" xr:uid="{00000000-0005-0000-0000-0000D3030000}"/>
    <cellStyle name="Обычный 64" xfId="922" xr:uid="{00000000-0005-0000-0000-0000D4030000}"/>
    <cellStyle name="Обычный 65" xfId="923" xr:uid="{00000000-0005-0000-0000-0000D5030000}"/>
    <cellStyle name="Обычный 65 2" xfId="924" xr:uid="{00000000-0005-0000-0000-0000D6030000}"/>
    <cellStyle name="Обычный 66" xfId="925" xr:uid="{00000000-0005-0000-0000-0000D7030000}"/>
    <cellStyle name="Обычный 66 2" xfId="926" xr:uid="{00000000-0005-0000-0000-0000D8030000}"/>
    <cellStyle name="Обычный 66 3" xfId="927" xr:uid="{00000000-0005-0000-0000-0000D9030000}"/>
    <cellStyle name="Обычный 67" xfId="928" xr:uid="{00000000-0005-0000-0000-0000DA030000}"/>
    <cellStyle name="Обычный 68" xfId="929" xr:uid="{00000000-0005-0000-0000-0000DB030000}"/>
    <cellStyle name="Обычный 69" xfId="930" xr:uid="{00000000-0005-0000-0000-0000DC030000}"/>
    <cellStyle name="Обычный 7" xfId="931" xr:uid="{00000000-0005-0000-0000-0000DD030000}"/>
    <cellStyle name="Обычный 7 2" xfId="932" xr:uid="{00000000-0005-0000-0000-0000DE030000}"/>
    <cellStyle name="Обычный 7 2 2" xfId="933" xr:uid="{00000000-0005-0000-0000-0000DF030000}"/>
    <cellStyle name="Обычный 7 2 3" xfId="934" xr:uid="{00000000-0005-0000-0000-0000E0030000}"/>
    <cellStyle name="Обычный 7 3" xfId="935" xr:uid="{00000000-0005-0000-0000-0000E1030000}"/>
    <cellStyle name="Обычный 7 3 2" xfId="936" xr:uid="{00000000-0005-0000-0000-0000E2030000}"/>
    <cellStyle name="Обычный 7 4" xfId="937" xr:uid="{00000000-0005-0000-0000-0000E3030000}"/>
    <cellStyle name="Обычный 7 4 2" xfId="938" xr:uid="{00000000-0005-0000-0000-0000E4030000}"/>
    <cellStyle name="Обычный 7 5" xfId="939" xr:uid="{00000000-0005-0000-0000-0000E5030000}"/>
    <cellStyle name="Обычный 70" xfId="940" xr:uid="{00000000-0005-0000-0000-0000E6030000}"/>
    <cellStyle name="Обычный 71" xfId="941" xr:uid="{00000000-0005-0000-0000-0000E7030000}"/>
    <cellStyle name="Обычный 72" xfId="942" xr:uid="{00000000-0005-0000-0000-0000E8030000}"/>
    <cellStyle name="Обычный 73" xfId="943" xr:uid="{00000000-0005-0000-0000-0000E9030000}"/>
    <cellStyle name="Обычный 73 2" xfId="944" xr:uid="{00000000-0005-0000-0000-0000EA030000}"/>
    <cellStyle name="Обычный 73 3" xfId="945" xr:uid="{00000000-0005-0000-0000-0000EB030000}"/>
    <cellStyle name="Обычный 73 4" xfId="946" xr:uid="{00000000-0005-0000-0000-0000EC030000}"/>
    <cellStyle name="Обычный 74" xfId="947" xr:uid="{00000000-0005-0000-0000-0000ED030000}"/>
    <cellStyle name="Обычный 75" xfId="948" xr:uid="{00000000-0005-0000-0000-0000EE030000}"/>
    <cellStyle name="Обычный 75 2" xfId="949" xr:uid="{00000000-0005-0000-0000-0000EF030000}"/>
    <cellStyle name="Обычный 76" xfId="950" xr:uid="{00000000-0005-0000-0000-0000F0030000}"/>
    <cellStyle name="Обычный 77" xfId="951" xr:uid="{00000000-0005-0000-0000-0000F1030000}"/>
    <cellStyle name="Обычный 78" xfId="952" xr:uid="{00000000-0005-0000-0000-0000F2030000}"/>
    <cellStyle name="Обычный 78 2" xfId="953" xr:uid="{00000000-0005-0000-0000-0000F3030000}"/>
    <cellStyle name="Обычный 78 3" xfId="954" xr:uid="{00000000-0005-0000-0000-0000F4030000}"/>
    <cellStyle name="Обычный 79" xfId="955" xr:uid="{00000000-0005-0000-0000-0000F5030000}"/>
    <cellStyle name="Обычный 8" xfId="956" xr:uid="{00000000-0005-0000-0000-0000F6030000}"/>
    <cellStyle name="Обычный 8 2" xfId="957" xr:uid="{00000000-0005-0000-0000-0000F7030000}"/>
    <cellStyle name="Обычный 8 2 2" xfId="958" xr:uid="{00000000-0005-0000-0000-0000F8030000}"/>
    <cellStyle name="Обычный 8 2 3" xfId="959" xr:uid="{00000000-0005-0000-0000-0000F9030000}"/>
    <cellStyle name="Обычный 8 3" xfId="960" xr:uid="{00000000-0005-0000-0000-0000FA030000}"/>
    <cellStyle name="Обычный 8 3 2" xfId="961" xr:uid="{00000000-0005-0000-0000-0000FB030000}"/>
    <cellStyle name="Обычный 8 4" xfId="962" xr:uid="{00000000-0005-0000-0000-0000FC030000}"/>
    <cellStyle name="Обычный 8 5" xfId="963" xr:uid="{00000000-0005-0000-0000-0000FD030000}"/>
    <cellStyle name="Обычный 8 6" xfId="964" xr:uid="{00000000-0005-0000-0000-0000FE030000}"/>
    <cellStyle name="Обычный 80" xfId="965" xr:uid="{00000000-0005-0000-0000-0000FF030000}"/>
    <cellStyle name="Обычный 81" xfId="966" xr:uid="{00000000-0005-0000-0000-000000040000}"/>
    <cellStyle name="Обычный 82" xfId="967" xr:uid="{00000000-0005-0000-0000-000001040000}"/>
    <cellStyle name="Обычный 83" xfId="968" xr:uid="{00000000-0005-0000-0000-000002040000}"/>
    <cellStyle name="Обычный 84" xfId="969" xr:uid="{00000000-0005-0000-0000-000003040000}"/>
    <cellStyle name="Обычный 85" xfId="970" xr:uid="{00000000-0005-0000-0000-000004040000}"/>
    <cellStyle name="Обычный 86" xfId="971" xr:uid="{00000000-0005-0000-0000-000005040000}"/>
    <cellStyle name="Обычный 87" xfId="972" xr:uid="{00000000-0005-0000-0000-000006040000}"/>
    <cellStyle name="Обычный 87 2" xfId="973" xr:uid="{00000000-0005-0000-0000-000007040000}"/>
    <cellStyle name="Обычный 87 3" xfId="974" xr:uid="{00000000-0005-0000-0000-000008040000}"/>
    <cellStyle name="Обычный 88" xfId="975" xr:uid="{00000000-0005-0000-0000-000009040000}"/>
    <cellStyle name="Обычный 88 2" xfId="976" xr:uid="{00000000-0005-0000-0000-00000A040000}"/>
    <cellStyle name="Обычный 88 3" xfId="977" xr:uid="{00000000-0005-0000-0000-00000B040000}"/>
    <cellStyle name="Обычный 89" xfId="978" xr:uid="{00000000-0005-0000-0000-00000C040000}"/>
    <cellStyle name="Обычный 9" xfId="979" xr:uid="{00000000-0005-0000-0000-00000D040000}"/>
    <cellStyle name="Обычный 9 2" xfId="980" xr:uid="{00000000-0005-0000-0000-00000E040000}"/>
    <cellStyle name="Обычный 9 2 2" xfId="981" xr:uid="{00000000-0005-0000-0000-00000F040000}"/>
    <cellStyle name="Обычный 9 2 3" xfId="982" xr:uid="{00000000-0005-0000-0000-000010040000}"/>
    <cellStyle name="Обычный 9 3" xfId="983" xr:uid="{00000000-0005-0000-0000-000011040000}"/>
    <cellStyle name="Обычный 9 3 2" xfId="984" xr:uid="{00000000-0005-0000-0000-000012040000}"/>
    <cellStyle name="Обычный 9 4" xfId="985" xr:uid="{00000000-0005-0000-0000-000013040000}"/>
    <cellStyle name="Обычный 90" xfId="986" xr:uid="{00000000-0005-0000-0000-000014040000}"/>
    <cellStyle name="Обычный 90 2" xfId="987" xr:uid="{00000000-0005-0000-0000-000015040000}"/>
    <cellStyle name="Обычный 91" xfId="988" xr:uid="{00000000-0005-0000-0000-000016040000}"/>
    <cellStyle name="Обычный 92" xfId="989" xr:uid="{00000000-0005-0000-0000-000017040000}"/>
    <cellStyle name="Обычный 92 2" xfId="990" xr:uid="{00000000-0005-0000-0000-000018040000}"/>
    <cellStyle name="Обычный 93" xfId="991" xr:uid="{00000000-0005-0000-0000-000019040000}"/>
    <cellStyle name="Обычный 93 2" xfId="992" xr:uid="{00000000-0005-0000-0000-00001A040000}"/>
    <cellStyle name="Обычный 93 3" xfId="993" xr:uid="{00000000-0005-0000-0000-00001B040000}"/>
    <cellStyle name="Обычный 94" xfId="994" xr:uid="{00000000-0005-0000-0000-00001C040000}"/>
    <cellStyle name="Обычный 94 2" xfId="995" xr:uid="{00000000-0005-0000-0000-00001D040000}"/>
    <cellStyle name="Обычный 94 3" xfId="996" xr:uid="{00000000-0005-0000-0000-00001E040000}"/>
    <cellStyle name="Обычный 95" xfId="997" xr:uid="{00000000-0005-0000-0000-00001F040000}"/>
    <cellStyle name="Обычный 95 2" xfId="998" xr:uid="{00000000-0005-0000-0000-000020040000}"/>
    <cellStyle name="Обычный 96" xfId="999" xr:uid="{00000000-0005-0000-0000-000021040000}"/>
    <cellStyle name="Обычный 97" xfId="1000" xr:uid="{00000000-0005-0000-0000-000022040000}"/>
    <cellStyle name="Обычный 97 2" xfId="1001" xr:uid="{00000000-0005-0000-0000-000023040000}"/>
    <cellStyle name="Обычный 98" xfId="1002" xr:uid="{00000000-0005-0000-0000-000024040000}"/>
    <cellStyle name="Обычный 99" xfId="1003" xr:uid="{00000000-0005-0000-0000-000025040000}"/>
    <cellStyle name="Обычный 99 2" xfId="1004" xr:uid="{00000000-0005-0000-0000-000026040000}"/>
    <cellStyle name="Обычный 99 2 2" xfId="1005" xr:uid="{00000000-0005-0000-0000-000027040000}"/>
    <cellStyle name="Примечание 10" xfId="1006" xr:uid="{00000000-0005-0000-0000-000028040000}"/>
    <cellStyle name="Примечание 11" xfId="1007" xr:uid="{00000000-0005-0000-0000-000029040000}"/>
    <cellStyle name="Примечание 12" xfId="1008" xr:uid="{00000000-0005-0000-0000-00002A040000}"/>
    <cellStyle name="Примечание 13" xfId="1009" xr:uid="{00000000-0005-0000-0000-00002B040000}"/>
    <cellStyle name="Примечание 14" xfId="1010" xr:uid="{00000000-0005-0000-0000-00002C040000}"/>
    <cellStyle name="Примечание 15" xfId="1011" xr:uid="{00000000-0005-0000-0000-00002D040000}"/>
    <cellStyle name="Примечание 16" xfId="1012" xr:uid="{00000000-0005-0000-0000-00002E040000}"/>
    <cellStyle name="Примечание 17" xfId="1013" xr:uid="{00000000-0005-0000-0000-00002F040000}"/>
    <cellStyle name="Примечание 18" xfId="1014" xr:uid="{00000000-0005-0000-0000-000030040000}"/>
    <cellStyle name="Примечание 19" xfId="1015" xr:uid="{00000000-0005-0000-0000-000031040000}"/>
    <cellStyle name="Примечание 2" xfId="1016" xr:uid="{00000000-0005-0000-0000-000032040000}"/>
    <cellStyle name="Примечание 2 2" xfId="1017" xr:uid="{00000000-0005-0000-0000-000033040000}"/>
    <cellStyle name="Примечание 2 3" xfId="1018" xr:uid="{00000000-0005-0000-0000-000034040000}"/>
    <cellStyle name="Примечание 20" xfId="1019" xr:uid="{00000000-0005-0000-0000-000035040000}"/>
    <cellStyle name="Примечание 21" xfId="1020" xr:uid="{00000000-0005-0000-0000-000036040000}"/>
    <cellStyle name="Примечание 22" xfId="1021" xr:uid="{00000000-0005-0000-0000-000037040000}"/>
    <cellStyle name="Примечание 23" xfId="1022" xr:uid="{00000000-0005-0000-0000-000038040000}"/>
    <cellStyle name="Примечание 24" xfId="1023" xr:uid="{00000000-0005-0000-0000-000039040000}"/>
    <cellStyle name="Примечание 25" xfId="1024" xr:uid="{00000000-0005-0000-0000-00003A040000}"/>
    <cellStyle name="Примечание 26" xfId="1025" xr:uid="{00000000-0005-0000-0000-00003B040000}"/>
    <cellStyle name="Примечание 27" xfId="1026" xr:uid="{00000000-0005-0000-0000-00003C040000}"/>
    <cellStyle name="Примечание 28" xfId="1027" xr:uid="{00000000-0005-0000-0000-00003D040000}"/>
    <cellStyle name="Примечание 29" xfId="1028" xr:uid="{00000000-0005-0000-0000-00003E040000}"/>
    <cellStyle name="Примечание 3" xfId="1029" xr:uid="{00000000-0005-0000-0000-00003F040000}"/>
    <cellStyle name="Примечание 3 2" xfId="1030" xr:uid="{00000000-0005-0000-0000-000040040000}"/>
    <cellStyle name="Примечание 3 3" xfId="1031" xr:uid="{00000000-0005-0000-0000-000041040000}"/>
    <cellStyle name="Примечание 30" xfId="1032" xr:uid="{00000000-0005-0000-0000-000042040000}"/>
    <cellStyle name="Примечание 4" xfId="1033" xr:uid="{00000000-0005-0000-0000-000043040000}"/>
    <cellStyle name="Примечание 4 2" xfId="1034" xr:uid="{00000000-0005-0000-0000-000044040000}"/>
    <cellStyle name="Примечание 4 3" xfId="1035" xr:uid="{00000000-0005-0000-0000-000045040000}"/>
    <cellStyle name="Примечание 5" xfId="1036" xr:uid="{00000000-0005-0000-0000-000046040000}"/>
    <cellStyle name="Примечание 5 2" xfId="1037" xr:uid="{00000000-0005-0000-0000-000047040000}"/>
    <cellStyle name="Примечание 5 3" xfId="1038" xr:uid="{00000000-0005-0000-0000-000048040000}"/>
    <cellStyle name="Примечание 6" xfId="1039" xr:uid="{00000000-0005-0000-0000-000049040000}"/>
    <cellStyle name="Примечание 6 2" xfId="1040" xr:uid="{00000000-0005-0000-0000-00004A040000}"/>
    <cellStyle name="Примечание 6 3" xfId="1041" xr:uid="{00000000-0005-0000-0000-00004B040000}"/>
    <cellStyle name="Примечание 7" xfId="1042" xr:uid="{00000000-0005-0000-0000-00004C040000}"/>
    <cellStyle name="Примечание 7 2" xfId="1043" xr:uid="{00000000-0005-0000-0000-00004D040000}"/>
    <cellStyle name="Примечание 7 3" xfId="1044" xr:uid="{00000000-0005-0000-0000-00004E040000}"/>
    <cellStyle name="Примечание 8" xfId="1045" xr:uid="{00000000-0005-0000-0000-00004F040000}"/>
    <cellStyle name="Примечание 8 2" xfId="1046" xr:uid="{00000000-0005-0000-0000-000050040000}"/>
    <cellStyle name="Примечание 8 3" xfId="1047" xr:uid="{00000000-0005-0000-0000-000051040000}"/>
    <cellStyle name="Примечание 9" xfId="1048" xr:uid="{00000000-0005-0000-0000-000052040000}"/>
    <cellStyle name="Примечание 9 2" xfId="1049" xr:uid="{00000000-0005-0000-0000-000053040000}"/>
    <cellStyle name="Процентный" xfId="2" builtinId="5"/>
    <cellStyle name="Процентный 2" xfId="8" xr:uid="{00000000-0005-0000-0000-000055040000}"/>
    <cellStyle name="Процентный 2 2" xfId="1050" xr:uid="{00000000-0005-0000-0000-000056040000}"/>
    <cellStyle name="Процентный 2 2 2" xfId="10" xr:uid="{00000000-0005-0000-0000-000057040000}"/>
    <cellStyle name="Процентный 2 2 3" xfId="1051" xr:uid="{00000000-0005-0000-0000-000058040000}"/>
    <cellStyle name="Процентный 2 3" xfId="1052" xr:uid="{00000000-0005-0000-0000-000059040000}"/>
    <cellStyle name="Процентный 2 4" xfId="1053" xr:uid="{00000000-0005-0000-0000-00005A040000}"/>
    <cellStyle name="Процентный 2 5" xfId="1054" xr:uid="{00000000-0005-0000-0000-00005B040000}"/>
    <cellStyle name="Процентный 2 6" xfId="1055" xr:uid="{00000000-0005-0000-0000-00005C040000}"/>
    <cellStyle name="Процентный 2 7" xfId="1056" xr:uid="{00000000-0005-0000-0000-00005D040000}"/>
    <cellStyle name="Процентный 3" xfId="1057" xr:uid="{00000000-0005-0000-0000-00005E040000}"/>
    <cellStyle name="Процентный 4" xfId="1058" xr:uid="{00000000-0005-0000-0000-00005F040000}"/>
    <cellStyle name="Стиль 1" xfId="1059" xr:uid="{00000000-0005-0000-0000-000060040000}"/>
    <cellStyle name="Финансовый" xfId="3" builtinId="3"/>
    <cellStyle name="Финансовый [0] 2" xfId="1060" xr:uid="{00000000-0005-0000-0000-000062040000}"/>
    <cellStyle name="Финансовый [0] 2 2" xfId="1061" xr:uid="{00000000-0005-0000-0000-000063040000}"/>
    <cellStyle name="Финансовый [0] 67" xfId="1062" xr:uid="{00000000-0005-0000-0000-000064040000}"/>
    <cellStyle name="Финансовый 10" xfId="1063" xr:uid="{00000000-0005-0000-0000-000065040000}"/>
    <cellStyle name="Финансовый 10 2" xfId="1064" xr:uid="{00000000-0005-0000-0000-000066040000}"/>
    <cellStyle name="Финансовый 11" xfId="1065" xr:uid="{00000000-0005-0000-0000-000067040000}"/>
    <cellStyle name="Финансовый 11 2" xfId="1066" xr:uid="{00000000-0005-0000-0000-000068040000}"/>
    <cellStyle name="Финансовый 13" xfId="1067" xr:uid="{00000000-0005-0000-0000-000069040000}"/>
    <cellStyle name="Финансовый 13 2" xfId="1068" xr:uid="{00000000-0005-0000-0000-00006A040000}"/>
    <cellStyle name="Финансовый 13 3" xfId="1069" xr:uid="{00000000-0005-0000-0000-00006B040000}"/>
    <cellStyle name="Финансовый 17" xfId="1070" xr:uid="{00000000-0005-0000-0000-00006C040000}"/>
    <cellStyle name="Финансовый 19" xfId="1071" xr:uid="{00000000-0005-0000-0000-00006D040000}"/>
    <cellStyle name="Финансовый 19 2" xfId="1072" xr:uid="{00000000-0005-0000-0000-00006E040000}"/>
    <cellStyle name="Финансовый 19 3" xfId="1073" xr:uid="{00000000-0005-0000-0000-00006F040000}"/>
    <cellStyle name="Финансовый 2" xfId="7" xr:uid="{00000000-0005-0000-0000-000070040000}"/>
    <cellStyle name="Финансовый 2 10" xfId="1074" xr:uid="{00000000-0005-0000-0000-000071040000}"/>
    <cellStyle name="Финансовый 2 11" xfId="1075" xr:uid="{00000000-0005-0000-0000-000072040000}"/>
    <cellStyle name="Финансовый 2 12" xfId="1076" xr:uid="{00000000-0005-0000-0000-000073040000}"/>
    <cellStyle name="Финансовый 2 13" xfId="1077" xr:uid="{00000000-0005-0000-0000-000074040000}"/>
    <cellStyle name="Финансовый 2 14" xfId="1078" xr:uid="{00000000-0005-0000-0000-000075040000}"/>
    <cellStyle name="Финансовый 2 15" xfId="1079" xr:uid="{00000000-0005-0000-0000-000076040000}"/>
    <cellStyle name="Финансовый 2 16" xfId="1080" xr:uid="{00000000-0005-0000-0000-000077040000}"/>
    <cellStyle name="Финансовый 2 17" xfId="1081" xr:uid="{00000000-0005-0000-0000-000078040000}"/>
    <cellStyle name="Финансовый 2 18" xfId="1082" xr:uid="{00000000-0005-0000-0000-000079040000}"/>
    <cellStyle name="Финансовый 2 19" xfId="1083" xr:uid="{00000000-0005-0000-0000-00007A040000}"/>
    <cellStyle name="Финансовый 2 2" xfId="1084" xr:uid="{00000000-0005-0000-0000-00007B040000}"/>
    <cellStyle name="Финансовый 2 2 2" xfId="1085" xr:uid="{00000000-0005-0000-0000-00007C040000}"/>
    <cellStyle name="Финансовый 2 2 2 2" xfId="1086" xr:uid="{00000000-0005-0000-0000-00007D040000}"/>
    <cellStyle name="Финансовый 2 2 2 3" xfId="1087" xr:uid="{00000000-0005-0000-0000-00007E040000}"/>
    <cellStyle name="Финансовый 2 2 3" xfId="1088" xr:uid="{00000000-0005-0000-0000-00007F040000}"/>
    <cellStyle name="Финансовый 2 2 4" xfId="1089" xr:uid="{00000000-0005-0000-0000-000080040000}"/>
    <cellStyle name="Финансовый 2 20" xfId="1090" xr:uid="{00000000-0005-0000-0000-000081040000}"/>
    <cellStyle name="Финансовый 2 21" xfId="1091" xr:uid="{00000000-0005-0000-0000-000082040000}"/>
    <cellStyle name="Финансовый 2 22" xfId="1092" xr:uid="{00000000-0005-0000-0000-000083040000}"/>
    <cellStyle name="Финансовый 2 23" xfId="1093" xr:uid="{00000000-0005-0000-0000-000084040000}"/>
    <cellStyle name="Финансовый 2 24" xfId="1094" xr:uid="{00000000-0005-0000-0000-000085040000}"/>
    <cellStyle name="Финансовый 2 25" xfId="1095" xr:uid="{00000000-0005-0000-0000-000086040000}"/>
    <cellStyle name="Финансовый 2 26" xfId="1096" xr:uid="{00000000-0005-0000-0000-000087040000}"/>
    <cellStyle name="Финансовый 2 27" xfId="1097" xr:uid="{00000000-0005-0000-0000-000088040000}"/>
    <cellStyle name="Финансовый 2 28" xfId="1098" xr:uid="{00000000-0005-0000-0000-000089040000}"/>
    <cellStyle name="Финансовый 2 29" xfId="1099" xr:uid="{00000000-0005-0000-0000-00008A040000}"/>
    <cellStyle name="Финансовый 2 3" xfId="1100" xr:uid="{00000000-0005-0000-0000-00008B040000}"/>
    <cellStyle name="Финансовый 2 3 2" xfId="1101" xr:uid="{00000000-0005-0000-0000-00008C040000}"/>
    <cellStyle name="Финансовый 2 3 3" xfId="1102" xr:uid="{00000000-0005-0000-0000-00008D040000}"/>
    <cellStyle name="Финансовый 2 3 4" xfId="1103" xr:uid="{00000000-0005-0000-0000-00008E040000}"/>
    <cellStyle name="Финансовый 2 30" xfId="1104" xr:uid="{00000000-0005-0000-0000-00008F040000}"/>
    <cellStyle name="Финансовый 2 4" xfId="1105" xr:uid="{00000000-0005-0000-0000-000090040000}"/>
    <cellStyle name="Финансовый 2 4 2" xfId="1106" xr:uid="{00000000-0005-0000-0000-000091040000}"/>
    <cellStyle name="Финансовый 2 4 3" xfId="1107" xr:uid="{00000000-0005-0000-0000-000092040000}"/>
    <cellStyle name="Финансовый 2 4 4" xfId="1108" xr:uid="{00000000-0005-0000-0000-000093040000}"/>
    <cellStyle name="Финансовый 2 5" xfId="1109" xr:uid="{00000000-0005-0000-0000-000094040000}"/>
    <cellStyle name="Финансовый 2 5 2" xfId="1110" xr:uid="{00000000-0005-0000-0000-000095040000}"/>
    <cellStyle name="Финансовый 2 6" xfId="1111" xr:uid="{00000000-0005-0000-0000-000096040000}"/>
    <cellStyle name="Финансовый 2 6 2" xfId="1112" xr:uid="{00000000-0005-0000-0000-000097040000}"/>
    <cellStyle name="Финансовый 2 7" xfId="1113" xr:uid="{00000000-0005-0000-0000-000098040000}"/>
    <cellStyle name="Финансовый 2 8" xfId="1114" xr:uid="{00000000-0005-0000-0000-000099040000}"/>
    <cellStyle name="Финансовый 2 9" xfId="1115" xr:uid="{00000000-0005-0000-0000-00009A040000}"/>
    <cellStyle name="Финансовый 20" xfId="1116" xr:uid="{00000000-0005-0000-0000-00009B040000}"/>
    <cellStyle name="Финансовый 21" xfId="1117" xr:uid="{00000000-0005-0000-0000-00009C040000}"/>
    <cellStyle name="Финансовый 23" xfId="1118" xr:uid="{00000000-0005-0000-0000-00009D040000}"/>
    <cellStyle name="Финансовый 24" xfId="1119" xr:uid="{00000000-0005-0000-0000-00009E040000}"/>
    <cellStyle name="Финансовый 25" xfId="1120" xr:uid="{00000000-0005-0000-0000-00009F040000}"/>
    <cellStyle name="Финансовый 26" xfId="1121" xr:uid="{00000000-0005-0000-0000-0000A0040000}"/>
    <cellStyle name="Финансовый 27" xfId="1122" xr:uid="{00000000-0005-0000-0000-0000A1040000}"/>
    <cellStyle name="Финансовый 28" xfId="1123" xr:uid="{00000000-0005-0000-0000-0000A2040000}"/>
    <cellStyle name="Финансовый 3" xfId="1124" xr:uid="{00000000-0005-0000-0000-0000A3040000}"/>
    <cellStyle name="Финансовый 3 10" xfId="1125" xr:uid="{00000000-0005-0000-0000-0000A4040000}"/>
    <cellStyle name="Финансовый 3 11" xfId="1126" xr:uid="{00000000-0005-0000-0000-0000A5040000}"/>
    <cellStyle name="Финансовый 3 12" xfId="1127" xr:uid="{00000000-0005-0000-0000-0000A6040000}"/>
    <cellStyle name="Финансовый 3 13" xfId="1128" xr:uid="{00000000-0005-0000-0000-0000A7040000}"/>
    <cellStyle name="Финансовый 3 14" xfId="1129" xr:uid="{00000000-0005-0000-0000-0000A8040000}"/>
    <cellStyle name="Финансовый 3 15" xfId="1130" xr:uid="{00000000-0005-0000-0000-0000A9040000}"/>
    <cellStyle name="Финансовый 3 16" xfId="1131" xr:uid="{00000000-0005-0000-0000-0000AA040000}"/>
    <cellStyle name="Финансовый 3 17" xfId="1132" xr:uid="{00000000-0005-0000-0000-0000AB040000}"/>
    <cellStyle name="Финансовый 3 18" xfId="1133" xr:uid="{00000000-0005-0000-0000-0000AC040000}"/>
    <cellStyle name="Финансовый 3 19" xfId="1134" xr:uid="{00000000-0005-0000-0000-0000AD040000}"/>
    <cellStyle name="Финансовый 3 2" xfId="1135" xr:uid="{00000000-0005-0000-0000-0000AE040000}"/>
    <cellStyle name="Финансовый 3 2 2" xfId="1136" xr:uid="{00000000-0005-0000-0000-0000AF040000}"/>
    <cellStyle name="Финансовый 3 2 2 2" xfId="1137" xr:uid="{00000000-0005-0000-0000-0000B0040000}"/>
    <cellStyle name="Финансовый 3 2 2 3" xfId="1138" xr:uid="{00000000-0005-0000-0000-0000B1040000}"/>
    <cellStyle name="Финансовый 3 2 3" xfId="1139" xr:uid="{00000000-0005-0000-0000-0000B2040000}"/>
    <cellStyle name="Финансовый 3 2 3 2" xfId="1140" xr:uid="{00000000-0005-0000-0000-0000B3040000}"/>
    <cellStyle name="Финансовый 3 2 4" xfId="1141" xr:uid="{00000000-0005-0000-0000-0000B4040000}"/>
    <cellStyle name="Финансовый 3 2 5" xfId="1142" xr:uid="{00000000-0005-0000-0000-0000B5040000}"/>
    <cellStyle name="Финансовый 3 2 6" xfId="1143" xr:uid="{00000000-0005-0000-0000-0000B6040000}"/>
    <cellStyle name="Финансовый 3 20" xfId="1144" xr:uid="{00000000-0005-0000-0000-0000B7040000}"/>
    <cellStyle name="Финансовый 3 21" xfId="1145" xr:uid="{00000000-0005-0000-0000-0000B8040000}"/>
    <cellStyle name="Финансовый 3 22" xfId="1146" xr:uid="{00000000-0005-0000-0000-0000B9040000}"/>
    <cellStyle name="Финансовый 3 3" xfId="1147" xr:uid="{00000000-0005-0000-0000-0000BA040000}"/>
    <cellStyle name="Финансовый 3 3 2" xfId="1148" xr:uid="{00000000-0005-0000-0000-0000BB040000}"/>
    <cellStyle name="Финансовый 3 3 3" xfId="1149" xr:uid="{00000000-0005-0000-0000-0000BC040000}"/>
    <cellStyle name="Финансовый 3 4" xfId="1150" xr:uid="{00000000-0005-0000-0000-0000BD040000}"/>
    <cellStyle name="Финансовый 3 4 2" xfId="1151" xr:uid="{00000000-0005-0000-0000-0000BE040000}"/>
    <cellStyle name="Финансовый 3 4 3" xfId="1152" xr:uid="{00000000-0005-0000-0000-0000BF040000}"/>
    <cellStyle name="Финансовый 3 5" xfId="1153" xr:uid="{00000000-0005-0000-0000-0000C0040000}"/>
    <cellStyle name="Финансовый 3 5 2" xfId="1154" xr:uid="{00000000-0005-0000-0000-0000C1040000}"/>
    <cellStyle name="Финансовый 3 5 3" xfId="1155" xr:uid="{00000000-0005-0000-0000-0000C2040000}"/>
    <cellStyle name="Финансовый 3 5 4" xfId="1156" xr:uid="{00000000-0005-0000-0000-0000C3040000}"/>
    <cellStyle name="Финансовый 3 6" xfId="1157" xr:uid="{00000000-0005-0000-0000-0000C4040000}"/>
    <cellStyle name="Финансовый 3 6 2" xfId="1158" xr:uid="{00000000-0005-0000-0000-0000C5040000}"/>
    <cellStyle name="Финансовый 3 7" xfId="1159" xr:uid="{00000000-0005-0000-0000-0000C6040000}"/>
    <cellStyle name="Финансовый 3 7 2" xfId="1160" xr:uid="{00000000-0005-0000-0000-0000C7040000}"/>
    <cellStyle name="Финансовый 3 8" xfId="1161" xr:uid="{00000000-0005-0000-0000-0000C8040000}"/>
    <cellStyle name="Финансовый 3 9" xfId="1162" xr:uid="{00000000-0005-0000-0000-0000C9040000}"/>
    <cellStyle name="Финансовый 30" xfId="1163" xr:uid="{00000000-0005-0000-0000-0000CA040000}"/>
    <cellStyle name="Финансовый 31" xfId="1164" xr:uid="{00000000-0005-0000-0000-0000CB040000}"/>
    <cellStyle name="Финансовый 31 2" xfId="1165" xr:uid="{00000000-0005-0000-0000-0000CC040000}"/>
    <cellStyle name="Финансовый 32" xfId="1166" xr:uid="{00000000-0005-0000-0000-0000CD040000}"/>
    <cellStyle name="Финансовый 32 2" xfId="1167" xr:uid="{00000000-0005-0000-0000-0000CE040000}"/>
    <cellStyle name="Финансовый 33" xfId="1168" xr:uid="{00000000-0005-0000-0000-0000CF040000}"/>
    <cellStyle name="Финансовый 33 2" xfId="1169" xr:uid="{00000000-0005-0000-0000-0000D0040000}"/>
    <cellStyle name="Финансовый 34" xfId="1170" xr:uid="{00000000-0005-0000-0000-0000D1040000}"/>
    <cellStyle name="Финансовый 34 2" xfId="1171" xr:uid="{00000000-0005-0000-0000-0000D2040000}"/>
    <cellStyle name="Финансовый 35" xfId="1172" xr:uid="{00000000-0005-0000-0000-0000D3040000}"/>
    <cellStyle name="Финансовый 35 2" xfId="1173" xr:uid="{00000000-0005-0000-0000-0000D4040000}"/>
    <cellStyle name="Финансовый 36" xfId="1174" xr:uid="{00000000-0005-0000-0000-0000D5040000}"/>
    <cellStyle name="Финансовый 36 2" xfId="1175" xr:uid="{00000000-0005-0000-0000-0000D6040000}"/>
    <cellStyle name="Финансовый 37" xfId="1176" xr:uid="{00000000-0005-0000-0000-0000D7040000}"/>
    <cellStyle name="Финансовый 37 2" xfId="1177" xr:uid="{00000000-0005-0000-0000-0000D8040000}"/>
    <cellStyle name="Финансовый 38" xfId="1178" xr:uid="{00000000-0005-0000-0000-0000D9040000}"/>
    <cellStyle name="Финансовый 38 2" xfId="1179" xr:uid="{00000000-0005-0000-0000-0000DA040000}"/>
    <cellStyle name="Финансовый 39" xfId="1180" xr:uid="{00000000-0005-0000-0000-0000DB040000}"/>
    <cellStyle name="Финансовый 4" xfId="1181" xr:uid="{00000000-0005-0000-0000-0000DC040000}"/>
    <cellStyle name="Финансовый 4 2" xfId="1182" xr:uid="{00000000-0005-0000-0000-0000DD040000}"/>
    <cellStyle name="Финансовый 4 2 2" xfId="1183" xr:uid="{00000000-0005-0000-0000-0000DE040000}"/>
    <cellStyle name="Финансовый 4 2 2 2" xfId="1184" xr:uid="{00000000-0005-0000-0000-0000DF040000}"/>
    <cellStyle name="Финансовый 4 2 3" xfId="1185" xr:uid="{00000000-0005-0000-0000-0000E0040000}"/>
    <cellStyle name="Финансовый 4 3" xfId="1186" xr:uid="{00000000-0005-0000-0000-0000E1040000}"/>
    <cellStyle name="Финансовый 4 3 2" xfId="1187" xr:uid="{00000000-0005-0000-0000-0000E2040000}"/>
    <cellStyle name="Финансовый 4 4" xfId="1188" xr:uid="{00000000-0005-0000-0000-0000E3040000}"/>
    <cellStyle name="Финансовый 4 4 2" xfId="1189" xr:uid="{00000000-0005-0000-0000-0000E4040000}"/>
    <cellStyle name="Финансовый 4 5" xfId="1190" xr:uid="{00000000-0005-0000-0000-0000E5040000}"/>
    <cellStyle name="Финансовый 4 6" xfId="1191" xr:uid="{00000000-0005-0000-0000-0000E6040000}"/>
    <cellStyle name="Финансовый 4 7" xfId="1192" xr:uid="{00000000-0005-0000-0000-0000E7040000}"/>
    <cellStyle name="Финансовый 4 8" xfId="1193" xr:uid="{00000000-0005-0000-0000-0000E8040000}"/>
    <cellStyle name="Финансовый 4 9" xfId="1194" xr:uid="{00000000-0005-0000-0000-0000E9040000}"/>
    <cellStyle name="Финансовый 40" xfId="1195" xr:uid="{00000000-0005-0000-0000-0000EA040000}"/>
    <cellStyle name="Финансовый 41" xfId="1196" xr:uid="{00000000-0005-0000-0000-0000EB040000}"/>
    <cellStyle name="Финансовый 42" xfId="1197" xr:uid="{00000000-0005-0000-0000-0000EC040000}"/>
    <cellStyle name="Финансовый 42 2" xfId="1198" xr:uid="{00000000-0005-0000-0000-0000ED040000}"/>
    <cellStyle name="Финансовый 44" xfId="1199" xr:uid="{00000000-0005-0000-0000-0000EE040000}"/>
    <cellStyle name="Финансовый 46" xfId="1200" xr:uid="{00000000-0005-0000-0000-0000EF040000}"/>
    <cellStyle name="Финансовый 47" xfId="1201" xr:uid="{00000000-0005-0000-0000-0000F0040000}"/>
    <cellStyle name="Финансовый 5" xfId="1202" xr:uid="{00000000-0005-0000-0000-0000F1040000}"/>
    <cellStyle name="Финансовый 5 2" xfId="1203" xr:uid="{00000000-0005-0000-0000-0000F2040000}"/>
    <cellStyle name="Финансовый 5 2 2" xfId="1204" xr:uid="{00000000-0005-0000-0000-0000F3040000}"/>
    <cellStyle name="Финансовый 5 3" xfId="1205" xr:uid="{00000000-0005-0000-0000-0000F4040000}"/>
    <cellStyle name="Финансовый 5 3 2" xfId="1206" xr:uid="{00000000-0005-0000-0000-0000F5040000}"/>
    <cellStyle name="Финансовый 5 3 3" xfId="1207" xr:uid="{00000000-0005-0000-0000-0000F6040000}"/>
    <cellStyle name="Финансовый 5 4" xfId="1208" xr:uid="{00000000-0005-0000-0000-0000F7040000}"/>
    <cellStyle name="Финансовый 5 5" xfId="1209" xr:uid="{00000000-0005-0000-0000-0000F8040000}"/>
    <cellStyle name="Финансовый 6" xfId="1210" xr:uid="{00000000-0005-0000-0000-0000F9040000}"/>
    <cellStyle name="Финансовый 6 2" xfId="1211" xr:uid="{00000000-0005-0000-0000-0000FA040000}"/>
    <cellStyle name="Финансовый 6 2 2" xfId="1212" xr:uid="{00000000-0005-0000-0000-0000FB040000}"/>
    <cellStyle name="Финансовый 6 2 3" xfId="1213" xr:uid="{00000000-0005-0000-0000-0000FC040000}"/>
    <cellStyle name="Финансовый 6 3" xfId="1214" xr:uid="{00000000-0005-0000-0000-0000FD040000}"/>
    <cellStyle name="Финансовый 6 4" xfId="1215" xr:uid="{00000000-0005-0000-0000-0000FE040000}"/>
    <cellStyle name="Финансовый 7" xfId="1216" xr:uid="{00000000-0005-0000-0000-0000FF040000}"/>
    <cellStyle name="Финансовый 7 2" xfId="1217" xr:uid="{00000000-0005-0000-0000-000000050000}"/>
    <cellStyle name="Финансовый 7 2 2" xfId="1218" xr:uid="{00000000-0005-0000-0000-000001050000}"/>
    <cellStyle name="Финансовый 7 2 3" xfId="1219" xr:uid="{00000000-0005-0000-0000-000002050000}"/>
    <cellStyle name="Финансовый 7 3" xfId="1220" xr:uid="{00000000-0005-0000-0000-000003050000}"/>
    <cellStyle name="Финансовый 8" xfId="1221" xr:uid="{00000000-0005-0000-0000-000004050000}"/>
    <cellStyle name="Финансовый 8 2" xfId="1222" xr:uid="{00000000-0005-0000-0000-000005050000}"/>
    <cellStyle name="Финансовый 9" xfId="1223" xr:uid="{00000000-0005-0000-0000-000006050000}"/>
    <cellStyle name="Џђћ–…ќ’ќ›‰" xfId="1224" xr:uid="{00000000-0005-0000-0000-000007050000}"/>
  </cellStyles>
  <dxfs count="5">
    <dxf>
      <fill>
        <patternFill>
          <bgColor rgb="FFFF00FF"/>
        </patternFill>
      </fill>
    </dxf>
    <dxf>
      <fill>
        <patternFill>
          <bgColor rgb="FFFF00FF"/>
        </patternFill>
      </fill>
    </dxf>
    <dxf>
      <fill>
        <patternFill>
          <bgColor rgb="FFFF00FF"/>
        </patternFill>
      </fill>
    </dxf>
    <dxf>
      <fill>
        <patternFill>
          <bgColor rgb="FFFF0000"/>
        </patternFill>
      </fill>
    </dxf>
    <dxf>
      <fill>
        <patternFill>
          <bgColor rgb="FFFF0000"/>
        </patternFill>
      </fill>
    </dxf>
  </dxfs>
  <tableStyles count="0" defaultTableStyle="TableStyleMedium9" defaultPivotStyle="PivotStyleLight16"/>
  <colors>
    <mruColors>
      <color rgb="FFFF33CC"/>
      <color rgb="FFB6FF5D"/>
      <color rgb="FF08C8C3"/>
      <color rgb="FF68A62A"/>
      <color rgb="FF4A5886"/>
      <color rgb="FFB30D9B"/>
      <color rgb="FFFF00FF"/>
      <color rgb="FF35E2EB"/>
      <color rgb="FFD9F29C"/>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rs031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rs031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TAB158"/>
      <sheetName val="Пост по регион (2)"/>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UZB redtab Jan 04"/>
      <sheetName val="жадвал"/>
      <sheetName val="Танишиб чиқиш учун"/>
      <sheetName val="tab 19"/>
      <sheetName val="tab31_old1"/>
      <sheetName val="Пост_по_регион_(2)1"/>
      <sheetName val="Субстандарт_"/>
      <sheetName val="tab_19"/>
      <sheetName val="Танишиб_чиқиш_учун"/>
      <sheetName val="UZB_redtab_Jan_04"/>
      <sheetName val="Свод (Район,кала)"/>
      <sheetName val="Банк жам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refreshError="1"/>
      <sheetData sheetId="7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tab1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quality"/>
      <sheetName val="Income "/>
      <sheetName val="Analysis of Interest"/>
      <sheetName val="Changes in Equity"/>
      <sheetName val="Loans Receivable"/>
      <sheetName val="Aging Analysis"/>
      <sheetName val="Asset Classification"/>
      <sheetName val="Asset Provisioning"/>
      <sheetName val="Transactions of related parties"/>
      <sheetName val=" Largest risk"/>
      <sheetName val="Charge-offs and Recoveries"/>
      <sheetName val="loans_av rate"/>
      <sheetName val="Bank Capital Calc (2)"/>
      <sheetName val="loans type"/>
      <sheetName val="Deposits_av rate"/>
      <sheetName val="Economic Normatives"/>
      <sheetName val="Miscellaneous"/>
      <sheetName val="ПФУ"/>
    </sheetNames>
    <sheetDataSet>
      <sheetData sheetId="0"/>
      <sheetData sheetId="1"/>
      <sheetData sheetId="2"/>
      <sheetData sheetId="3"/>
      <sheetData sheetId="4"/>
      <sheetData sheetId="5"/>
      <sheetData sheetId="6"/>
      <sheetData sheetId="7"/>
      <sheetData sheetId="8">
        <row r="89">
          <cell r="Z89">
            <v>682008419.58000004</v>
          </cell>
        </row>
      </sheetData>
      <sheetData sheetId="9"/>
      <sheetData sheetId="10"/>
      <sheetData sheetId="11"/>
      <sheetData sheetId="12"/>
      <sheetData sheetId="13"/>
      <sheetData sheetId="14"/>
      <sheetData sheetId="15"/>
      <sheetData sheetId="16"/>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s>
    <sheetDataSet>
      <sheetData sheetId="0">
        <row r="39">
          <cell r="C39">
            <v>102677702</v>
          </cell>
        </row>
        <row r="47">
          <cell r="C47">
            <v>16044651933</v>
          </cell>
          <cell r="D47">
            <v>11177309025</v>
          </cell>
          <cell r="E47">
            <v>4867342908</v>
          </cell>
        </row>
        <row r="61">
          <cell r="C61">
            <v>0</v>
          </cell>
        </row>
      </sheetData>
      <sheetData sheetId="1"/>
      <sheetData sheetId="2"/>
      <sheetData sheetId="3"/>
      <sheetData sheetId="4"/>
      <sheetData sheetId="5"/>
      <sheetData sheetId="6"/>
      <sheetData sheetId="7">
        <row r="4">
          <cell r="C4">
            <v>327139041</v>
          </cell>
          <cell r="D4">
            <v>139202747</v>
          </cell>
          <cell r="E4">
            <v>187936294</v>
          </cell>
        </row>
        <row r="7">
          <cell r="C7">
            <v>622189526</v>
          </cell>
          <cell r="D7">
            <v>6801377</v>
          </cell>
          <cell r="E7">
            <v>615388149</v>
          </cell>
        </row>
        <row r="10">
          <cell r="C10">
            <v>158636020</v>
          </cell>
          <cell r="D10">
            <v>0</v>
          </cell>
          <cell r="E10">
            <v>158636020</v>
          </cell>
        </row>
      </sheetData>
      <sheetData sheetId="8"/>
      <sheetData sheetId="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7">
    <pageSetUpPr fitToPage="1"/>
  </sheetPr>
  <dimension ref="A1:AD62"/>
  <sheetViews>
    <sheetView view="pageBreakPreview" zoomScaleNormal="100" zoomScaleSheetLayoutView="100" workbookViewId="0">
      <pane xSplit="2" ySplit="4" topLeftCell="C5" activePane="bottomRight" state="frozen"/>
      <selection sqref="A1:B1"/>
      <selection pane="topRight" sqref="A1:B1"/>
      <selection pane="bottomLeft" sqref="A1:B1"/>
      <selection pane="bottomRight" activeCell="D16" sqref="D16"/>
    </sheetView>
  </sheetViews>
  <sheetFormatPr defaultRowHeight="12.75"/>
  <cols>
    <col min="1" max="1" width="6" style="136" customWidth="1"/>
    <col min="2" max="2" width="105.140625" style="136" customWidth="1"/>
    <col min="3" max="3" width="19.7109375" style="165" customWidth="1"/>
    <col min="4" max="4" width="14.5703125" style="136" customWidth="1"/>
    <col min="5" max="5" width="27.42578125" style="138" customWidth="1"/>
    <col min="6" max="6" width="14.140625" style="136" customWidth="1"/>
    <col min="7" max="7" width="9.140625" style="136"/>
    <col min="8" max="8" width="17.42578125" style="136" bestFit="1" customWidth="1"/>
    <col min="9" max="16384" width="9.140625" style="136"/>
  </cols>
  <sheetData>
    <row r="1" spans="1:5" ht="23.25" customHeight="1">
      <c r="A1" s="251" t="s">
        <v>129</v>
      </c>
      <c r="B1" s="252"/>
      <c r="C1" s="7" t="s">
        <v>130</v>
      </c>
      <c r="E1" s="212" t="s">
        <v>295</v>
      </c>
    </row>
    <row r="2" spans="1:5">
      <c r="A2" s="137"/>
      <c r="B2" s="137"/>
      <c r="C2" s="137"/>
    </row>
    <row r="3" spans="1:5" ht="16.5" thickBot="1">
      <c r="A3" s="139"/>
      <c r="B3" s="206" t="s">
        <v>302</v>
      </c>
      <c r="C3" s="135">
        <v>45291</v>
      </c>
    </row>
    <row r="4" spans="1:5" s="142" customFormat="1" ht="43.5" customHeight="1" thickBot="1">
      <c r="A4" s="134" t="s">
        <v>52</v>
      </c>
      <c r="B4" s="140" t="s">
        <v>131</v>
      </c>
      <c r="C4" s="141" t="s">
        <v>267</v>
      </c>
      <c r="E4" s="212"/>
    </row>
    <row r="5" spans="1:5" ht="12.75" customHeight="1">
      <c r="A5" s="132" t="s">
        <v>30</v>
      </c>
      <c r="B5" s="144" t="s">
        <v>132</v>
      </c>
      <c r="C5" s="133"/>
    </row>
    <row r="6" spans="1:5" ht="12.75" customHeight="1">
      <c r="A6" s="145">
        <v>1</v>
      </c>
      <c r="B6" s="146" t="s">
        <v>133</v>
      </c>
      <c r="C6" s="119"/>
    </row>
    <row r="7" spans="1:5" s="21" customFormat="1" ht="18" customHeight="1">
      <c r="A7" s="120" t="s">
        <v>86</v>
      </c>
      <c r="B7" s="19" t="s">
        <v>134</v>
      </c>
      <c r="C7" s="119">
        <f>+C8-C9</f>
        <v>1189065847</v>
      </c>
      <c r="E7" s="147"/>
    </row>
    <row r="8" spans="1:5" s="142" customFormat="1" ht="18" customHeight="1">
      <c r="A8" s="148" t="s">
        <v>31</v>
      </c>
      <c r="B8" s="149" t="s">
        <v>135</v>
      </c>
      <c r="C8" s="121">
        <v>1189065847</v>
      </c>
      <c r="E8" s="143"/>
    </row>
    <row r="9" spans="1:5" s="142" customFormat="1" ht="18" customHeight="1">
      <c r="A9" s="148" t="s">
        <v>33</v>
      </c>
      <c r="B9" s="149" t="s">
        <v>136</v>
      </c>
      <c r="C9" s="121">
        <v>0</v>
      </c>
      <c r="E9" s="143"/>
    </row>
    <row r="10" spans="1:5" s="21" customFormat="1" ht="18" customHeight="1">
      <c r="A10" s="120" t="s">
        <v>87</v>
      </c>
      <c r="B10" s="19" t="s">
        <v>137</v>
      </c>
      <c r="C10" s="121">
        <v>3870139</v>
      </c>
      <c r="E10" s="147"/>
    </row>
    <row r="11" spans="1:5" s="142" customFormat="1" ht="18" customHeight="1">
      <c r="A11" s="148" t="s">
        <v>88</v>
      </c>
      <c r="B11" s="150" t="s">
        <v>138</v>
      </c>
      <c r="C11" s="122">
        <f>+C12+C13-C14-C15</f>
        <v>837083540</v>
      </c>
      <c r="E11" s="143"/>
    </row>
    <row r="12" spans="1:5" s="142" customFormat="1" ht="18" customHeight="1">
      <c r="A12" s="148" t="s">
        <v>37</v>
      </c>
      <c r="B12" s="150" t="s">
        <v>139</v>
      </c>
      <c r="C12" s="121">
        <v>524440207</v>
      </c>
      <c r="E12" s="143"/>
    </row>
    <row r="13" spans="1:5" s="142" customFormat="1" ht="18" customHeight="1">
      <c r="A13" s="125" t="s">
        <v>33</v>
      </c>
      <c r="B13" s="149" t="s">
        <v>140</v>
      </c>
      <c r="C13" s="121">
        <v>312643333</v>
      </c>
      <c r="E13" s="143"/>
    </row>
    <row r="14" spans="1:5" s="21" customFormat="1" ht="18" customHeight="1">
      <c r="A14" s="123" t="s">
        <v>35</v>
      </c>
      <c r="B14" s="149" t="s">
        <v>141</v>
      </c>
      <c r="C14" s="121">
        <v>0</v>
      </c>
      <c r="E14" s="147"/>
    </row>
    <row r="15" spans="1:5" s="21" customFormat="1" ht="18" customHeight="1">
      <c r="A15" s="123" t="s">
        <v>42</v>
      </c>
      <c r="B15" s="149" t="s">
        <v>142</v>
      </c>
      <c r="C15" s="121">
        <v>0</v>
      </c>
      <c r="E15" s="147"/>
    </row>
    <row r="16" spans="1:5" s="142" customFormat="1" ht="18" customHeight="1">
      <c r="A16" s="125" t="s">
        <v>92</v>
      </c>
      <c r="B16" s="149" t="s">
        <v>143</v>
      </c>
      <c r="C16" s="124">
        <v>0</v>
      </c>
      <c r="E16" s="184"/>
    </row>
    <row r="17" spans="1:6" s="142" customFormat="1" ht="18" customHeight="1">
      <c r="A17" s="125" t="s">
        <v>93</v>
      </c>
      <c r="B17" s="149" t="s">
        <v>144</v>
      </c>
      <c r="C17" s="124">
        <v>0</v>
      </c>
    </row>
    <row r="18" spans="1:6" s="142" customFormat="1" ht="18" customHeight="1">
      <c r="A18" s="125" t="s">
        <v>122</v>
      </c>
      <c r="B18" s="149" t="s">
        <v>145</v>
      </c>
      <c r="C18" s="122">
        <f>+C7+C10+C11+C16+C17</f>
        <v>2030019526</v>
      </c>
      <c r="E18" s="184"/>
    </row>
    <row r="19" spans="1:6" s="142" customFormat="1" ht="18" customHeight="1">
      <c r="A19" s="125" t="s">
        <v>146</v>
      </c>
      <c r="B19" s="149" t="s">
        <v>147</v>
      </c>
      <c r="C19" s="122">
        <f>C20+C21+C22+C23+C24</f>
        <v>1757673</v>
      </c>
      <c r="E19" s="184"/>
    </row>
    <row r="20" spans="1:6" s="142" customFormat="1" ht="22.5" customHeight="1">
      <c r="A20" s="125" t="s">
        <v>37</v>
      </c>
      <c r="B20" s="149" t="s">
        <v>148</v>
      </c>
      <c r="C20" s="121">
        <v>1757673</v>
      </c>
      <c r="E20" s="143"/>
    </row>
    <row r="21" spans="1:6" s="142" customFormat="1" ht="29.25" customHeight="1">
      <c r="A21" s="125" t="s">
        <v>33</v>
      </c>
      <c r="B21" s="149" t="s">
        <v>297</v>
      </c>
      <c r="C21" s="121">
        <v>0</v>
      </c>
      <c r="E21" s="143"/>
    </row>
    <row r="22" spans="1:6" s="142" customFormat="1" ht="22.5" customHeight="1">
      <c r="A22" s="125" t="s">
        <v>35</v>
      </c>
      <c r="B22" s="149" t="s">
        <v>149</v>
      </c>
      <c r="C22" s="121">
        <v>0</v>
      </c>
      <c r="E22" s="143"/>
    </row>
    <row r="23" spans="1:6" s="112" customFormat="1" ht="22.5" customHeight="1">
      <c r="A23" s="125" t="s">
        <v>42</v>
      </c>
      <c r="B23" s="149" t="s">
        <v>150</v>
      </c>
      <c r="C23" s="124">
        <v>0</v>
      </c>
      <c r="E23" s="113"/>
    </row>
    <row r="24" spans="1:6" s="112" customFormat="1" ht="22.5" customHeight="1">
      <c r="A24" s="125" t="s">
        <v>128</v>
      </c>
      <c r="B24" s="149" t="s">
        <v>151</v>
      </c>
      <c r="C24" s="124">
        <v>0</v>
      </c>
      <c r="D24" s="161"/>
      <c r="E24" s="184">
        <f>+'[6]Transactions of related parties'!$Z$89</f>
        <v>682008419.58000004</v>
      </c>
      <c r="F24" s="161"/>
    </row>
    <row r="25" spans="1:6" s="21" customFormat="1" ht="15" customHeight="1">
      <c r="A25" s="120" t="s">
        <v>96</v>
      </c>
      <c r="B25" s="19" t="s">
        <v>133</v>
      </c>
      <c r="C25" s="122">
        <f>+C18-C19</f>
        <v>2028261853</v>
      </c>
      <c r="E25" s="184">
        <f>C18-C20-C21-C22-C23</f>
        <v>2028261853</v>
      </c>
    </row>
    <row r="26" spans="1:6" ht="16.5" customHeight="1">
      <c r="A26" s="151">
        <v>2</v>
      </c>
      <c r="B26" s="22" t="s">
        <v>152</v>
      </c>
      <c r="C26" s="127"/>
    </row>
    <row r="27" spans="1:6" s="21" customFormat="1" ht="18" customHeight="1">
      <c r="A27" s="123" t="s">
        <v>99</v>
      </c>
      <c r="B27" s="62" t="s">
        <v>153</v>
      </c>
      <c r="C27" s="119">
        <f>+C28-C29</f>
        <v>2178000</v>
      </c>
      <c r="E27" s="147"/>
    </row>
    <row r="28" spans="1:6" s="21" customFormat="1" ht="18" customHeight="1">
      <c r="A28" s="123" t="s">
        <v>37</v>
      </c>
      <c r="B28" s="62" t="s">
        <v>154</v>
      </c>
      <c r="C28" s="126">
        <v>2178000</v>
      </c>
      <c r="E28" s="147"/>
    </row>
    <row r="29" spans="1:6" s="21" customFormat="1" ht="18" customHeight="1">
      <c r="A29" s="123" t="s">
        <v>33</v>
      </c>
      <c r="B29" s="62" t="s">
        <v>155</v>
      </c>
      <c r="C29" s="126">
        <v>0</v>
      </c>
      <c r="E29" s="147"/>
    </row>
    <row r="30" spans="1:6" s="21" customFormat="1" ht="18" customHeight="1">
      <c r="A30" s="123" t="s">
        <v>100</v>
      </c>
      <c r="B30" s="62" t="s">
        <v>156</v>
      </c>
      <c r="C30" s="126">
        <v>36000</v>
      </c>
      <c r="E30" s="147"/>
    </row>
    <row r="31" spans="1:6">
      <c r="A31" s="123" t="s">
        <v>102</v>
      </c>
      <c r="B31" s="63" t="s">
        <v>143</v>
      </c>
      <c r="C31" s="126">
        <v>0</v>
      </c>
    </row>
    <row r="32" spans="1:6" s="21" customFormat="1" ht="29.25" customHeight="1">
      <c r="A32" s="123" t="s">
        <v>104</v>
      </c>
      <c r="B32" s="62" t="s">
        <v>157</v>
      </c>
      <c r="C32" s="126">
        <v>0</v>
      </c>
      <c r="E32" s="147"/>
    </row>
    <row r="33" spans="1:13" s="25" customFormat="1">
      <c r="A33" s="152" t="s">
        <v>44</v>
      </c>
      <c r="B33" s="55" t="s">
        <v>158</v>
      </c>
      <c r="C33" s="122">
        <f>+C27+C30+C31+C32</f>
        <v>2214000</v>
      </c>
      <c r="D33" s="153"/>
      <c r="E33" s="154"/>
    </row>
    <row r="34" spans="1:13" s="25" customFormat="1" ht="16.5" customHeight="1">
      <c r="A34" s="152" t="s">
        <v>46</v>
      </c>
      <c r="B34" s="67" t="s">
        <v>159</v>
      </c>
      <c r="C34" s="122">
        <f>+C25+C33</f>
        <v>2030475853</v>
      </c>
      <c r="E34" s="154"/>
    </row>
    <row r="35" spans="1:13" s="27" customFormat="1" ht="13.5" customHeight="1">
      <c r="A35" s="155"/>
      <c r="B35" s="26" t="s">
        <v>160</v>
      </c>
      <c r="C35" s="122"/>
      <c r="E35" s="156"/>
      <c r="H35" s="157"/>
    </row>
    <row r="36" spans="1:13" s="21" customFormat="1" ht="18" customHeight="1">
      <c r="A36" s="123" t="s">
        <v>107</v>
      </c>
      <c r="B36" s="62" t="s">
        <v>161</v>
      </c>
      <c r="C36" s="126">
        <v>607650640</v>
      </c>
      <c r="E36" s="147"/>
    </row>
    <row r="37" spans="1:13" s="21" customFormat="1" ht="30" customHeight="1">
      <c r="A37" s="123" t="s">
        <v>108</v>
      </c>
      <c r="B37" s="62" t="s">
        <v>162</v>
      </c>
      <c r="C37" s="127">
        <f>IF(F37&lt;(C45*1.25%),F37,(C45*1.25%))</f>
        <v>102677702</v>
      </c>
      <c r="E37" s="158" t="s">
        <v>124</v>
      </c>
      <c r="F37" s="159">
        <v>102677702</v>
      </c>
    </row>
    <row r="38" spans="1:13" s="21" customFormat="1" ht="18" customHeight="1">
      <c r="A38" s="123" t="s">
        <v>109</v>
      </c>
      <c r="B38" s="62" t="s">
        <v>163</v>
      </c>
      <c r="C38" s="121">
        <v>0</v>
      </c>
      <c r="E38" s="147"/>
      <c r="F38" s="211">
        <f>+[7]Balance!$C$39+[7]Balance!$C$61</f>
        <v>102677702</v>
      </c>
    </row>
    <row r="39" spans="1:13" s="21" customFormat="1" ht="18" customHeight="1">
      <c r="A39" s="123" t="s">
        <v>110</v>
      </c>
      <c r="B39" s="62" t="s">
        <v>164</v>
      </c>
      <c r="C39" s="121">
        <v>160342316</v>
      </c>
      <c r="D39" s="224"/>
      <c r="E39" s="225"/>
      <c r="F39" s="226">
        <f>+F37-F38</f>
        <v>0</v>
      </c>
      <c r="G39" s="224"/>
      <c r="H39" s="224"/>
      <c r="I39" s="224"/>
      <c r="J39" s="224"/>
      <c r="K39" s="224"/>
      <c r="L39" s="224"/>
      <c r="M39" s="224"/>
    </row>
    <row r="40" spans="1:13" s="21" customFormat="1" ht="18" customHeight="1">
      <c r="A40" s="123" t="s">
        <v>112</v>
      </c>
      <c r="B40" s="62" t="s">
        <v>165</v>
      </c>
      <c r="C40" s="126">
        <v>1478316</v>
      </c>
      <c r="D40" s="224"/>
      <c r="E40" s="225"/>
      <c r="F40" s="224"/>
      <c r="G40" s="224"/>
      <c r="H40" s="224"/>
      <c r="I40" s="224"/>
      <c r="J40" s="224"/>
      <c r="K40" s="224"/>
      <c r="L40" s="224"/>
      <c r="M40" s="224"/>
    </row>
    <row r="41" spans="1:13" s="21" customFormat="1" ht="18" customHeight="1">
      <c r="A41" s="123" t="s">
        <v>113</v>
      </c>
      <c r="B41" s="62" t="s">
        <v>166</v>
      </c>
      <c r="C41" s="127">
        <f>IF($C$34&gt;=SUM($C$36:$C$40),0,(SUM($C$36:$C$40)-$C$34))*-1</f>
        <v>0</v>
      </c>
      <c r="D41" s="224"/>
      <c r="E41" s="225"/>
      <c r="F41" s="224"/>
      <c r="G41" s="224"/>
      <c r="H41" s="224"/>
      <c r="I41" s="224"/>
      <c r="J41" s="224"/>
      <c r="K41" s="224"/>
      <c r="L41" s="224"/>
      <c r="M41" s="224"/>
    </row>
    <row r="42" spans="1:13" ht="18.75" customHeight="1">
      <c r="A42" s="148"/>
      <c r="B42" s="29" t="s">
        <v>167</v>
      </c>
      <c r="C42" s="122">
        <f>SUM(C36:C40)</f>
        <v>872148974</v>
      </c>
      <c r="D42" s="227"/>
      <c r="E42" s="228"/>
      <c r="F42" s="229"/>
      <c r="G42" s="229"/>
      <c r="H42" s="229"/>
      <c r="I42" s="229"/>
      <c r="J42" s="229"/>
      <c r="K42" s="229"/>
      <c r="L42" s="229"/>
      <c r="M42" s="229"/>
    </row>
    <row r="43" spans="1:13" s="142" customFormat="1" ht="22.5" customHeight="1">
      <c r="A43" s="160" t="s">
        <v>47</v>
      </c>
      <c r="B43" s="48" t="s">
        <v>168</v>
      </c>
      <c r="C43" s="128">
        <f>+C41+C42</f>
        <v>872148974</v>
      </c>
      <c r="D43" s="230"/>
      <c r="E43" s="231"/>
      <c r="F43" s="232"/>
      <c r="G43" s="232"/>
      <c r="H43" s="232"/>
      <c r="I43" s="232"/>
      <c r="J43" s="232"/>
      <c r="K43" s="232"/>
      <c r="L43" s="232"/>
      <c r="M43" s="232"/>
    </row>
    <row r="44" spans="1:13" s="142" customFormat="1" ht="15.75" customHeight="1">
      <c r="A44" s="155" t="s">
        <v>50</v>
      </c>
      <c r="B44" s="48" t="s">
        <v>169</v>
      </c>
      <c r="C44" s="129">
        <f>+C34+C41+C42</f>
        <v>2902624827</v>
      </c>
      <c r="D44" s="230"/>
      <c r="E44" s="231"/>
      <c r="F44" s="232"/>
      <c r="G44" s="232"/>
      <c r="H44" s="232"/>
      <c r="I44" s="232"/>
      <c r="J44" s="232"/>
      <c r="K44" s="232"/>
      <c r="L44" s="232"/>
      <c r="M44" s="232"/>
    </row>
    <row r="45" spans="1:13" s="142" customFormat="1" ht="21.75" customHeight="1">
      <c r="A45" s="155" t="s">
        <v>9</v>
      </c>
      <c r="B45" s="67" t="s">
        <v>170</v>
      </c>
      <c r="C45" s="129">
        <f>+C46+C47+C48</f>
        <v>17647513259.367123</v>
      </c>
      <c r="D45" s="232"/>
      <c r="E45" s="231"/>
      <c r="F45" s="232"/>
      <c r="G45" s="232"/>
      <c r="H45" s="232"/>
      <c r="I45" s="232"/>
      <c r="J45" s="232"/>
      <c r="K45" s="232"/>
      <c r="L45" s="232"/>
      <c r="M45" s="232"/>
    </row>
    <row r="46" spans="1:13" s="21" customFormat="1" ht="18" customHeight="1">
      <c r="A46" s="123" t="s">
        <v>37</v>
      </c>
      <c r="B46" s="62" t="s">
        <v>171</v>
      </c>
      <c r="C46" s="127">
        <f>+'Calculation of Risk Weighted As'!J75</f>
        <v>16706055802.545</v>
      </c>
      <c r="D46" s="224"/>
      <c r="E46" s="225"/>
      <c r="F46" s="224"/>
      <c r="G46" s="224"/>
      <c r="H46" s="224"/>
      <c r="I46" s="224"/>
      <c r="J46" s="224"/>
      <c r="K46" s="224"/>
      <c r="L46" s="224"/>
      <c r="M46" s="224"/>
    </row>
    <row r="47" spans="1:13" s="21" customFormat="1" ht="18" customHeight="1">
      <c r="A47" s="123" t="s">
        <v>33</v>
      </c>
      <c r="B47" s="62" t="s">
        <v>172</v>
      </c>
      <c r="C47" s="127">
        <f>+'Calculation of Risk'!C21</f>
        <v>791291847.69230771</v>
      </c>
      <c r="D47" s="224"/>
      <c r="E47" s="225"/>
      <c r="F47" s="224"/>
      <c r="G47" s="224"/>
      <c r="H47" s="224"/>
      <c r="I47" s="224"/>
      <c r="J47" s="224"/>
      <c r="K47" s="224"/>
      <c r="L47" s="224"/>
      <c r="M47" s="224"/>
    </row>
    <row r="48" spans="1:13" s="21" customFormat="1" ht="18" customHeight="1">
      <c r="A48" s="123" t="s">
        <v>35</v>
      </c>
      <c r="B48" s="62" t="s">
        <v>173</v>
      </c>
      <c r="C48" s="127">
        <f>+'Calculation of Risk'!C27</f>
        <v>150165609.12981537</v>
      </c>
      <c r="D48" s="224"/>
      <c r="E48" s="225"/>
      <c r="F48" s="224"/>
      <c r="G48" s="224"/>
      <c r="H48" s="224"/>
      <c r="I48" s="224"/>
      <c r="J48" s="224"/>
      <c r="K48" s="224"/>
      <c r="L48" s="224"/>
      <c r="M48" s="224"/>
    </row>
    <row r="49" spans="1:30" s="27" customFormat="1" ht="21.75" customHeight="1">
      <c r="A49" s="160" t="s">
        <v>10</v>
      </c>
      <c r="B49" s="48" t="s">
        <v>174</v>
      </c>
      <c r="C49" s="130">
        <f>IFERROR((+C25/C45),0)</f>
        <v>0.11493187868400773</v>
      </c>
      <c r="D49" s="233"/>
      <c r="E49" s="234"/>
      <c r="F49" s="233"/>
      <c r="G49" s="233"/>
      <c r="H49" s="233"/>
      <c r="I49" s="233"/>
      <c r="J49" s="233"/>
      <c r="K49" s="233"/>
      <c r="L49" s="233"/>
      <c r="M49" s="233"/>
    </row>
    <row r="50" spans="1:30" s="27" customFormat="1" ht="21.75" customHeight="1">
      <c r="A50" s="160" t="s">
        <v>51</v>
      </c>
      <c r="B50" s="48" t="s">
        <v>175</v>
      </c>
      <c r="C50" s="130">
        <f>IFERROR((+C34/C45),0)</f>
        <v>0.11505733545332478</v>
      </c>
      <c r="D50" s="233"/>
      <c r="E50" s="234"/>
      <c r="F50" s="233"/>
      <c r="G50" s="233"/>
      <c r="H50" s="233"/>
      <c r="I50" s="233"/>
      <c r="J50" s="233"/>
      <c r="K50" s="233"/>
      <c r="L50" s="233"/>
      <c r="M50" s="233"/>
    </row>
    <row r="51" spans="1:30" s="27" customFormat="1" ht="21.75" customHeight="1">
      <c r="A51" s="160" t="s">
        <v>20</v>
      </c>
      <c r="B51" s="48" t="s">
        <v>176</v>
      </c>
      <c r="C51" s="130">
        <f>IFERROR((+C44/C45),0)</f>
        <v>0.16447783800130117</v>
      </c>
      <c r="D51" s="233"/>
      <c r="E51" s="234"/>
      <c r="F51" s="233"/>
      <c r="G51" s="233"/>
      <c r="H51" s="233"/>
      <c r="I51" s="233"/>
      <c r="J51" s="233"/>
      <c r="K51" s="233"/>
      <c r="L51" s="233"/>
      <c r="M51" s="233"/>
    </row>
    <row r="52" spans="1:30" s="112" customFormat="1" ht="21.75" customHeight="1">
      <c r="A52" s="155" t="s">
        <v>21</v>
      </c>
      <c r="B52" s="67" t="s">
        <v>177</v>
      </c>
      <c r="C52" s="128">
        <f>SUM(C53:C55)-C56</f>
        <v>17152611981.145</v>
      </c>
      <c r="D52" s="235"/>
      <c r="E52" s="236"/>
      <c r="F52" s="237"/>
      <c r="G52" s="235"/>
      <c r="H52" s="235"/>
      <c r="I52" s="235"/>
      <c r="J52" s="235"/>
      <c r="K52" s="235"/>
      <c r="L52" s="235"/>
      <c r="M52" s="235"/>
    </row>
    <row r="53" spans="1:30" s="36" customFormat="1" ht="21.75" customHeight="1">
      <c r="A53" s="123" t="s">
        <v>37</v>
      </c>
      <c r="B53" s="34" t="s">
        <v>178</v>
      </c>
      <c r="C53" s="208">
        <f>+[7]Balance!$C$47</f>
        <v>16044651933</v>
      </c>
      <c r="D53" s="238"/>
      <c r="E53" s="239"/>
      <c r="F53" s="240"/>
      <c r="G53" s="238"/>
      <c r="H53" s="238"/>
      <c r="I53" s="238"/>
      <c r="J53" s="238"/>
      <c r="K53" s="238"/>
      <c r="L53" s="238"/>
      <c r="M53" s="238"/>
    </row>
    <row r="54" spans="1:30" s="36" customFormat="1" ht="21.75" customHeight="1">
      <c r="A54" s="123" t="s">
        <v>33</v>
      </c>
      <c r="B54" s="34" t="s">
        <v>179</v>
      </c>
      <c r="C54" s="208">
        <f>SUM('Calculation of Risk Weighted As'!D54:J62)</f>
        <v>1107964587</v>
      </c>
      <c r="D54" s="238"/>
      <c r="E54" s="240"/>
      <c r="F54" s="240"/>
      <c r="G54" s="238"/>
      <c r="H54" s="238"/>
      <c r="I54" s="238"/>
      <c r="J54" s="238"/>
      <c r="K54" s="238"/>
      <c r="L54" s="238"/>
      <c r="M54" s="238"/>
    </row>
    <row r="55" spans="1:30" s="39" customFormat="1" ht="21.75" customHeight="1">
      <c r="A55" s="162" t="s">
        <v>35</v>
      </c>
      <c r="B55" s="38" t="s">
        <v>180</v>
      </c>
      <c r="C55" s="208">
        <f>+('Calculation of Risk Weighted As'!D65*'Calculation of Risk Weighted As'!$C$65*'Calculation of Risk Weighted As'!$D$3)+('Calculation of Risk Weighted As'!D66*'Calculation of Risk Weighted As'!$C$66*'Calculation of Risk Weighted As'!$D$3)+('Calculation of Risk Weighted As'!D67*'Calculation of Risk Weighted As'!$C$67*'Calculation of Risk Weighted As'!$D$3)+('Calculation of Risk Weighted As'!D69*'Calculation of Risk Weighted As'!$C$69*'Calculation of Risk Weighted As'!$D$3)+('Calculation of Risk Weighted As'!D70*'Calculation of Risk Weighted As'!$C$70*'Calculation of Risk Weighted As'!$D$3)+('Calculation of Risk Weighted As'!D71*'Calculation of Risk Weighted As'!$C$71*'Calculation of Risk Weighted As'!$D$3)+('Calculation of Risk Weighted As'!E65*'Calculation of Risk Weighted As'!$C$65*'Calculation of Risk Weighted As'!$E$3)+('Calculation of Risk Weighted As'!E66*'Calculation of Risk Weighted As'!$C$66*'Calculation of Risk Weighted As'!$E$3)+('Calculation of Risk Weighted As'!E67*'Calculation of Risk Weighted As'!$C$67*'Calculation of Risk Weighted As'!$E$3)+('Calculation of Risk Weighted As'!E69*'Calculation of Risk Weighted As'!$C$69*'Calculation of Risk Weighted As'!$E$3)+('Calculation of Risk Weighted As'!E70*'Calculation of Risk Weighted As'!$C$70*'Calculation of Risk Weighted As'!$E$3)+('Calculation of Risk Weighted As'!E71*'Calculation of Risk Weighted As'!$C$71*'Calculation of Risk Weighted As'!$E$3)+('Calculation of Risk Weighted As'!F65*'Calculation of Risk Weighted As'!$C$65*'Calculation of Risk Weighted As'!$F$3)+('Calculation of Risk Weighted As'!F66*$C$66*$F$3)+('Calculation of Risk Weighted As'!F67*$C$67*$F$3)+('Calculation of Risk Weighted As'!F69*$C$69*$F$3)+('Calculation of Risk Weighted As'!F70*$C$70*$F$3)+('Calculation of Risk Weighted As'!F71*$C$71*$F$3)+('Calculation of Risk Weighted As'!G65*'Calculation of Risk Weighted As'!$C$65*'Calculation of Risk Weighted As'!$G$3)+('Calculation of Risk Weighted As'!G66*'Calculation of Risk Weighted As'!$C$66*'Calculation of Risk Weighted As'!$G$3)+('Calculation of Risk Weighted As'!G67*'Calculation of Risk Weighted As'!$C$67*'Calculation of Risk Weighted As'!$G$3)+('Calculation of Risk Weighted As'!G69*'Calculation of Risk Weighted As'!$C$69*'Calculation of Risk Weighted As'!$G$3)+('Calculation of Risk Weighted As'!G70*'Calculation of Risk Weighted As'!$C$70*'Calculation of Risk Weighted As'!$G$3)+('Calculation of Risk Weighted As'!G71*'Calculation of Risk Weighted As'!$C$71*'Calculation of Risk Weighted As'!$G$3)+('Calculation of Risk Weighted As'!H65*'Calculation of Risk Weighted As'!$C$65*'Calculation of Risk Weighted As'!$H$3)+('Calculation of Risk Weighted As'!H66*'Calculation of Risk Weighted As'!$C$66*'Calculation of Risk Weighted As'!$H$3)+('Calculation of Risk Weighted As'!H67*'Calculation of Risk Weighted As'!$C$67*'Calculation of Risk Weighted As'!$H$3)+('Calculation of Risk Weighted As'!H69*'Calculation of Risk Weighted As'!$C$69*'Calculation of Risk Weighted As'!$H$3)+('Calculation of Risk Weighted As'!H70*'Calculation of Risk Weighted As'!$C$70*'Calculation of Risk Weighted As'!$H$3)+('Calculation of Risk Weighted As'!H71*'Calculation of Risk Weighted As'!$C$71*'Calculation of Risk Weighted As'!$H$3)+('Calculation of Risk Weighted As'!I65*'Calculation of Risk Weighted As'!$C$65*'Calculation of Risk Weighted As'!$I$3)+('Calculation of Risk Weighted As'!I66*'Calculation of Risk Weighted As'!$C$66*'Calculation of Risk Weighted As'!$I$3)+('Calculation of Risk Weighted As'!I67*'Calculation of Risk Weighted As'!$C$67*'Calculation of Risk Weighted As'!$I$3)+('Calculation of Risk Weighted As'!I69*'Calculation of Risk Weighted As'!$C$69*'Calculation of Risk Weighted As'!$I$3)+('Calculation of Risk Weighted As'!I70*'Calculation of Risk Weighted As'!$C$70*'Calculation of Risk Weighted As'!$I$3)+('Calculation of Risk Weighted As'!I71*'Calculation of Risk Weighted As'!$C$71*'Calculation of Risk Weighted As'!$I$3)+('Calculation of Risk Weighted As'!J65*'Calculation of Risk Weighted As'!$C$65*'Calculation of Risk Weighted As'!$J$3)+('Calculation of Risk Weighted As'!J66*'Calculation of Risk Weighted As'!$C$66*'Calculation of Risk Weighted As'!$J$3)+('Calculation of Risk Weighted As'!J67*'Calculation of Risk Weighted As'!$C$67*'Calculation of Risk Weighted As'!$J$3)+('Calculation of Risk Weighted As'!J69*'Calculation of Risk Weighted As'!$C$69*'Calculation of Risk Weighted As'!$J$3)+('Calculation of Risk Weighted As'!J70*'Calculation of Risk Weighted As'!$C$70*'Calculation of Risk Weighted As'!$J$3)+('Calculation of Risk Weighted As'!J71*'Calculation of Risk Weighted As'!$C$71*'Calculation of Risk Weighted As'!$J$3)</f>
        <v>1753134.145</v>
      </c>
      <c r="D55" s="238"/>
      <c r="E55" s="90"/>
      <c r="F55" s="88"/>
      <c r="G55" s="88"/>
      <c r="H55" s="88"/>
      <c r="I55" s="88"/>
      <c r="J55" s="88"/>
      <c r="K55" s="88"/>
      <c r="L55" s="88"/>
      <c r="M55" s="88"/>
    </row>
    <row r="56" spans="1:30" s="39" customFormat="1" ht="21.75" customHeight="1">
      <c r="A56" s="162" t="s">
        <v>42</v>
      </c>
      <c r="B56" s="38" t="s">
        <v>293</v>
      </c>
      <c r="C56" s="208">
        <f>+C19</f>
        <v>1757673</v>
      </c>
      <c r="D56" s="88"/>
      <c r="E56" s="90"/>
      <c r="F56" s="88"/>
      <c r="G56" s="88"/>
      <c r="H56" s="88"/>
      <c r="I56" s="88"/>
      <c r="J56" s="88"/>
      <c r="K56" s="88"/>
      <c r="L56" s="88"/>
      <c r="M56" s="88"/>
    </row>
    <row r="57" spans="1:30" s="27" customFormat="1" ht="21.75" customHeight="1" thickBot="1">
      <c r="A57" s="163" t="s">
        <v>22</v>
      </c>
      <c r="B57" s="164" t="s">
        <v>181</v>
      </c>
      <c r="C57" s="131">
        <f>IFERROR((+C34/C52),0)</f>
        <v>0.11837706439299155</v>
      </c>
      <c r="D57" s="233"/>
      <c r="E57" s="234"/>
      <c r="F57" s="233"/>
      <c r="G57" s="233"/>
      <c r="H57" s="233"/>
      <c r="I57" s="233"/>
      <c r="J57" s="233"/>
      <c r="K57" s="233"/>
      <c r="L57" s="233"/>
      <c r="M57" s="233"/>
    </row>
    <row r="58" spans="1:30">
      <c r="B58" s="40"/>
      <c r="D58" s="229"/>
      <c r="E58" s="228"/>
      <c r="F58" s="229"/>
      <c r="G58" s="229"/>
      <c r="H58" s="229"/>
      <c r="I58" s="229"/>
      <c r="J58" s="229"/>
      <c r="K58" s="229"/>
      <c r="L58" s="229"/>
      <c r="M58" s="229"/>
    </row>
    <row r="59" spans="1:30" s="203" customFormat="1" ht="18" customHeight="1">
      <c r="A59" s="201"/>
      <c r="B59" s="183" t="s">
        <v>269</v>
      </c>
      <c r="C59" s="201"/>
      <c r="D59" s="241"/>
      <c r="E59" s="241"/>
      <c r="F59" s="242"/>
      <c r="G59" s="242"/>
      <c r="H59" s="242"/>
      <c r="I59" s="242"/>
      <c r="J59" s="242"/>
      <c r="K59" s="242"/>
      <c r="L59" s="242"/>
      <c r="M59" s="242"/>
      <c r="N59" s="201"/>
      <c r="O59" s="201"/>
      <c r="P59" s="201"/>
      <c r="Q59" s="201"/>
      <c r="R59" s="201"/>
      <c r="S59" s="201"/>
      <c r="T59" s="201"/>
      <c r="U59" s="201"/>
      <c r="V59" s="201"/>
      <c r="W59" s="201"/>
      <c r="X59" s="201"/>
      <c r="Y59" s="201"/>
      <c r="Z59" s="201"/>
      <c r="AA59" s="201"/>
      <c r="AB59" s="201"/>
      <c r="AC59" s="201"/>
      <c r="AD59" s="201"/>
    </row>
    <row r="60" spans="1:30" s="203" customFormat="1" ht="14.25" customHeight="1">
      <c r="A60" s="201"/>
      <c r="B60" s="183"/>
      <c r="C60" s="201"/>
      <c r="D60" s="241"/>
      <c r="E60" s="241"/>
      <c r="F60" s="242"/>
      <c r="G60" s="242"/>
      <c r="H60" s="242"/>
      <c r="I60" s="242"/>
      <c r="J60" s="242"/>
      <c r="K60" s="242"/>
      <c r="L60" s="242"/>
      <c r="M60" s="242"/>
      <c r="N60" s="201"/>
      <c r="O60" s="201"/>
      <c r="P60" s="201"/>
      <c r="Q60" s="201"/>
      <c r="R60" s="201"/>
      <c r="S60" s="201"/>
      <c r="T60" s="201"/>
      <c r="U60" s="201"/>
      <c r="V60" s="201"/>
      <c r="W60" s="201"/>
      <c r="X60" s="201"/>
      <c r="Y60" s="201"/>
      <c r="Z60" s="201"/>
      <c r="AA60" s="201"/>
      <c r="AB60" s="201"/>
      <c r="AC60" s="201"/>
      <c r="AD60" s="201"/>
    </row>
    <row r="61" spans="1:30" s="203" customFormat="1" ht="18" customHeight="1">
      <c r="A61" s="201"/>
      <c r="B61" s="183" t="s">
        <v>270</v>
      </c>
      <c r="C61" s="201"/>
      <c r="D61" s="241"/>
      <c r="E61" s="241"/>
      <c r="F61" s="242"/>
      <c r="G61" s="242"/>
      <c r="H61" s="242"/>
      <c r="I61" s="242"/>
      <c r="J61" s="242"/>
      <c r="K61" s="242"/>
      <c r="L61" s="242"/>
      <c r="M61" s="242"/>
      <c r="N61" s="201"/>
      <c r="O61" s="201"/>
      <c r="P61" s="201"/>
      <c r="Q61" s="201"/>
      <c r="R61" s="201"/>
      <c r="S61" s="201"/>
      <c r="T61" s="201"/>
      <c r="U61" s="201"/>
      <c r="V61" s="201"/>
      <c r="W61" s="201"/>
      <c r="X61" s="201"/>
      <c r="Y61" s="201"/>
      <c r="Z61" s="201"/>
      <c r="AA61" s="201"/>
      <c r="AB61" s="201"/>
      <c r="AC61" s="201"/>
      <c r="AD61" s="201"/>
    </row>
    <row r="62" spans="1:30">
      <c r="B62" s="42"/>
      <c r="D62" s="229"/>
      <c r="E62" s="228"/>
      <c r="F62" s="229"/>
      <c r="G62" s="229"/>
      <c r="H62" s="229"/>
      <c r="I62" s="229"/>
      <c r="J62" s="229"/>
      <c r="K62" s="229"/>
      <c r="L62" s="229"/>
      <c r="M62" s="229"/>
    </row>
  </sheetData>
  <sheetProtection password="CACA" sheet="1" objects="1" scenarios="1"/>
  <mergeCells count="1">
    <mergeCell ref="A1:B1"/>
  </mergeCells>
  <conditionalFormatting sqref="C39">
    <cfRule type="expression" dxfId="4" priority="1">
      <formula>$C$39&gt;$C$34</formula>
    </cfRule>
  </conditionalFormatting>
  <conditionalFormatting sqref="C34">
    <cfRule type="cellIs" dxfId="3" priority="2" operator="greaterThan">
      <formula>$C$34&lt;($C$44/2)</formula>
    </cfRule>
  </conditionalFormatting>
  <dataValidations count="1">
    <dataValidation type="date" operator="greaterThan" allowBlank="1" showInputMessage="1" showErrorMessage="1" prompt="Введите дату в формате ЧЧ.ММ.ГГГГ" sqref="C3" xr:uid="{00000000-0002-0000-0000-000000000000}">
      <formula1>DATE(96,1,1)</formula1>
    </dataValidation>
  </dataValidations>
  <printOptions horizontalCentered="1"/>
  <pageMargins left="0.19685039370078741" right="0.19685039370078741" top="0.39370078740157483" bottom="0.39370078740157483" header="0.15748031496062992" footer="0.51181102362204722"/>
  <pageSetup paperSize="9" scale="72" orientation="portrait" r:id="rId1"/>
  <headerFooter alignWithMargins="0"/>
  <ignoredErrors>
    <ignoredError sqref="C25:C26 C54:C56"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5">
    <tabColor rgb="FFFFFF00"/>
    <pageSetUpPr fitToPage="1"/>
  </sheetPr>
  <dimension ref="A1:H60"/>
  <sheetViews>
    <sheetView view="pageBreakPreview" zoomScaleNormal="130" zoomScaleSheetLayoutView="100" workbookViewId="0">
      <pane xSplit="2" ySplit="4" topLeftCell="C5" activePane="bottomRight" state="frozen"/>
      <selection activeCell="B3" sqref="B3"/>
      <selection pane="topRight" activeCell="B3" sqref="B3"/>
      <selection pane="bottomLeft" activeCell="B3" sqref="B3"/>
      <selection pane="bottomRight" activeCell="C5" sqref="C5"/>
    </sheetView>
  </sheetViews>
  <sheetFormatPr defaultRowHeight="12.75"/>
  <cols>
    <col min="1" max="1" width="6" style="8" customWidth="1"/>
    <col min="2" max="2" width="105.140625" style="8" customWidth="1"/>
    <col min="3" max="3" width="19.7109375" style="41" customWidth="1"/>
    <col min="4" max="4" width="10.28515625" style="68" bestFit="1" customWidth="1"/>
    <col min="5" max="5" width="19.42578125" style="69" bestFit="1" customWidth="1"/>
    <col min="6" max="6" width="9.28515625" style="68" bestFit="1" customWidth="1"/>
    <col min="7" max="7" width="9.140625" style="68"/>
    <col min="8" max="8" width="17.42578125" style="68" bestFit="1" customWidth="1"/>
    <col min="9" max="16384" width="9.140625" style="8"/>
  </cols>
  <sheetData>
    <row r="1" spans="1:8" ht="23.25" customHeight="1">
      <c r="A1" s="251" t="s">
        <v>126</v>
      </c>
      <c r="B1" s="252"/>
      <c r="C1" s="7" t="s">
        <v>125</v>
      </c>
    </row>
    <row r="2" spans="1:8">
      <c r="A2" s="43"/>
      <c r="B2" s="43"/>
      <c r="C2" s="43"/>
    </row>
    <row r="3" spans="1:8" ht="15.75">
      <c r="A3" s="9"/>
      <c r="B3" s="58" t="e">
        <f>#REF!</f>
        <v>#REF!</v>
      </c>
      <c r="C3" s="57" t="e">
        <f>+#REF!</f>
        <v>#REF!</v>
      </c>
    </row>
    <row r="4" spans="1:8" s="10" customFormat="1" ht="43.5" customHeight="1">
      <c r="A4" s="66" t="s">
        <v>52</v>
      </c>
      <c r="B4" s="66" t="s">
        <v>25</v>
      </c>
      <c r="C4" s="66" t="s">
        <v>2</v>
      </c>
      <c r="D4" s="70"/>
      <c r="E4" s="71"/>
      <c r="F4" s="70"/>
      <c r="G4" s="70"/>
      <c r="H4" s="70"/>
    </row>
    <row r="5" spans="1:8" ht="12.75" customHeight="1">
      <c r="A5" s="60" t="s">
        <v>30</v>
      </c>
      <c r="B5" s="12" t="s">
        <v>82</v>
      </c>
      <c r="C5" s="13"/>
    </row>
    <row r="6" spans="1:8" ht="12.75" customHeight="1">
      <c r="A6" s="11">
        <v>1</v>
      </c>
      <c r="B6" s="12" t="s">
        <v>83</v>
      </c>
      <c r="C6" s="14"/>
    </row>
    <row r="7" spans="1:8" s="21" customFormat="1" ht="18" customHeight="1">
      <c r="A7" s="18" t="s">
        <v>86</v>
      </c>
      <c r="B7" s="19" t="s">
        <v>84</v>
      </c>
      <c r="C7" s="49" t="s">
        <v>81</v>
      </c>
      <c r="D7" s="72"/>
      <c r="E7" s="54"/>
      <c r="F7" s="72"/>
      <c r="G7" s="72"/>
      <c r="H7" s="72"/>
    </row>
    <row r="8" spans="1:8" s="10" customFormat="1" ht="18" customHeight="1">
      <c r="A8" s="28" t="s">
        <v>31</v>
      </c>
      <c r="B8" s="64" t="s">
        <v>32</v>
      </c>
      <c r="C8" s="44"/>
      <c r="D8" s="70"/>
      <c r="E8" s="71"/>
      <c r="F8" s="70"/>
      <c r="G8" s="70"/>
      <c r="H8" s="70"/>
    </row>
    <row r="9" spans="1:8" s="10" customFormat="1" ht="18" customHeight="1">
      <c r="A9" s="28" t="s">
        <v>33</v>
      </c>
      <c r="B9" s="64" t="s">
        <v>34</v>
      </c>
      <c r="C9" s="45"/>
      <c r="D9" s="70"/>
      <c r="E9" s="71"/>
      <c r="F9" s="70"/>
      <c r="G9" s="70"/>
      <c r="H9" s="70"/>
    </row>
    <row r="10" spans="1:8" s="21" customFormat="1" ht="18" customHeight="1">
      <c r="A10" s="18" t="s">
        <v>87</v>
      </c>
      <c r="B10" s="19" t="s">
        <v>85</v>
      </c>
      <c r="C10" s="51">
        <v>0</v>
      </c>
      <c r="D10" s="72"/>
      <c r="E10" s="54"/>
      <c r="F10" s="72"/>
      <c r="G10" s="72"/>
      <c r="H10" s="72"/>
    </row>
    <row r="11" spans="1:8" s="10" customFormat="1" ht="18" customHeight="1">
      <c r="A11" s="28" t="s">
        <v>88</v>
      </c>
      <c r="B11" s="64" t="s">
        <v>89</v>
      </c>
      <c r="C11" s="49" t="s">
        <v>81</v>
      </c>
      <c r="D11" s="70"/>
      <c r="E11" s="71"/>
      <c r="F11" s="70"/>
      <c r="G11" s="70"/>
      <c r="H11" s="70"/>
    </row>
    <row r="12" spans="1:8" s="10" customFormat="1" ht="18" customHeight="1">
      <c r="A12" s="28" t="s">
        <v>37</v>
      </c>
      <c r="B12" s="64" t="s">
        <v>40</v>
      </c>
      <c r="C12" s="53"/>
      <c r="D12" s="70"/>
      <c r="E12" s="71"/>
      <c r="F12" s="70"/>
      <c r="G12" s="70"/>
      <c r="H12" s="70"/>
    </row>
    <row r="13" spans="1:8" s="10" customFormat="1" ht="18" customHeight="1">
      <c r="A13" s="23" t="s">
        <v>33</v>
      </c>
      <c r="B13" s="65" t="s">
        <v>41</v>
      </c>
      <c r="C13" s="53"/>
      <c r="D13" s="70"/>
      <c r="E13" s="71"/>
      <c r="F13" s="70"/>
      <c r="G13" s="70"/>
      <c r="H13" s="70"/>
    </row>
    <row r="14" spans="1:8" s="21" customFormat="1" ht="18" customHeight="1">
      <c r="A14" s="33" t="s">
        <v>35</v>
      </c>
      <c r="B14" s="62" t="s">
        <v>90</v>
      </c>
      <c r="C14" s="50"/>
      <c r="D14" s="72"/>
      <c r="E14" s="54"/>
      <c r="F14" s="72"/>
      <c r="G14" s="72"/>
      <c r="H14" s="72"/>
    </row>
    <row r="15" spans="1:8" s="21" customFormat="1" ht="18" customHeight="1">
      <c r="A15" s="33" t="s">
        <v>42</v>
      </c>
      <c r="B15" s="62" t="s">
        <v>91</v>
      </c>
      <c r="C15" s="50"/>
      <c r="D15" s="72"/>
      <c r="E15" s="54"/>
      <c r="F15" s="72"/>
      <c r="G15" s="72"/>
      <c r="H15" s="72"/>
    </row>
    <row r="16" spans="1:8" s="10" customFormat="1" ht="18" customHeight="1">
      <c r="A16" s="23" t="s">
        <v>92</v>
      </c>
      <c r="B16" s="65" t="s">
        <v>43</v>
      </c>
      <c r="C16" s="51"/>
      <c r="D16" s="70"/>
      <c r="E16" s="71"/>
      <c r="F16" s="70"/>
      <c r="G16" s="70"/>
      <c r="H16" s="70"/>
    </row>
    <row r="17" spans="1:8" s="10" customFormat="1" ht="18" customHeight="1">
      <c r="A17" s="23" t="s">
        <v>93</v>
      </c>
      <c r="B17" s="65" t="s">
        <v>3</v>
      </c>
      <c r="C17" s="51"/>
      <c r="D17" s="70"/>
      <c r="E17" s="71"/>
      <c r="F17" s="70"/>
      <c r="G17" s="70"/>
      <c r="H17" s="70"/>
    </row>
    <row r="18" spans="1:8" s="10" customFormat="1" ht="18" customHeight="1">
      <c r="A18" s="23"/>
      <c r="B18" s="65" t="s">
        <v>94</v>
      </c>
      <c r="C18" s="49" t="s">
        <v>81</v>
      </c>
      <c r="D18" s="70"/>
      <c r="E18" s="71"/>
      <c r="F18" s="70"/>
      <c r="G18" s="70"/>
      <c r="H18" s="70"/>
    </row>
    <row r="19" spans="1:8" s="10" customFormat="1" ht="18" customHeight="1">
      <c r="A19" s="23" t="s">
        <v>122</v>
      </c>
      <c r="B19" s="65" t="s">
        <v>95</v>
      </c>
      <c r="C19" s="49" t="s">
        <v>81</v>
      </c>
      <c r="D19" s="70"/>
      <c r="E19" s="71"/>
      <c r="F19" s="70"/>
      <c r="G19" s="70"/>
      <c r="H19" s="70"/>
    </row>
    <row r="20" spans="1:8" s="21" customFormat="1" ht="18" customHeight="1">
      <c r="A20" s="59" t="s">
        <v>37</v>
      </c>
      <c r="B20" s="99" t="s">
        <v>45</v>
      </c>
      <c r="C20" s="50"/>
      <c r="D20" s="72"/>
      <c r="E20" s="54"/>
      <c r="F20" s="72"/>
      <c r="G20" s="72"/>
      <c r="H20" s="72"/>
    </row>
    <row r="21" spans="1:8" s="20" customFormat="1" ht="25.5">
      <c r="A21" s="59" t="s">
        <v>33</v>
      </c>
      <c r="B21" s="62" t="s">
        <v>12</v>
      </c>
      <c r="C21" s="50"/>
      <c r="D21" s="72"/>
      <c r="E21" s="54"/>
      <c r="F21" s="72"/>
      <c r="G21" s="72"/>
      <c r="H21" s="72"/>
    </row>
    <row r="22" spans="1:8" s="21" customFormat="1" ht="18" customHeight="1">
      <c r="A22" s="59" t="s">
        <v>35</v>
      </c>
      <c r="B22" s="62" t="s">
        <v>4</v>
      </c>
      <c r="C22" s="50"/>
      <c r="D22" s="72"/>
      <c r="E22" s="54"/>
      <c r="F22" s="72"/>
      <c r="G22" s="72"/>
      <c r="H22" s="72"/>
    </row>
    <row r="23" spans="1:8" s="21" customFormat="1" ht="15" customHeight="1">
      <c r="A23" s="18" t="s">
        <v>96</v>
      </c>
      <c r="B23" s="19" t="s">
        <v>97</v>
      </c>
      <c r="C23" s="49" t="s">
        <v>81</v>
      </c>
      <c r="D23" s="72"/>
      <c r="E23" s="54"/>
      <c r="F23" s="72"/>
      <c r="G23" s="72"/>
      <c r="H23" s="72"/>
    </row>
    <row r="24" spans="1:8" ht="16.5" customHeight="1">
      <c r="A24" s="15">
        <v>2</v>
      </c>
      <c r="B24" s="22" t="s">
        <v>98</v>
      </c>
      <c r="C24" s="16"/>
    </row>
    <row r="25" spans="1:8" s="21" customFormat="1" ht="18" customHeight="1">
      <c r="A25" s="33" t="s">
        <v>99</v>
      </c>
      <c r="B25" s="62" t="s">
        <v>36</v>
      </c>
      <c r="C25" s="61">
        <f>+C26+C27</f>
        <v>0</v>
      </c>
      <c r="D25" s="72"/>
      <c r="E25" s="54"/>
      <c r="F25" s="72"/>
      <c r="G25" s="72"/>
      <c r="H25" s="72"/>
    </row>
    <row r="26" spans="1:8" s="21" customFormat="1" ht="18" customHeight="1">
      <c r="A26" s="33" t="s">
        <v>37</v>
      </c>
      <c r="B26" s="62" t="s">
        <v>38</v>
      </c>
      <c r="C26" s="50"/>
      <c r="D26" s="72"/>
      <c r="E26" s="54"/>
      <c r="F26" s="72"/>
      <c r="G26" s="72"/>
      <c r="H26" s="72"/>
    </row>
    <row r="27" spans="1:8" s="21" customFormat="1" ht="18" customHeight="1">
      <c r="A27" s="33" t="s">
        <v>33</v>
      </c>
      <c r="B27" s="62" t="s">
        <v>39</v>
      </c>
      <c r="C27" s="50"/>
      <c r="D27" s="72"/>
      <c r="E27" s="54"/>
      <c r="F27" s="72"/>
      <c r="G27" s="72"/>
      <c r="H27" s="72"/>
    </row>
    <row r="28" spans="1:8" s="21" customFormat="1" ht="18" customHeight="1">
      <c r="A28" s="33" t="s">
        <v>100</v>
      </c>
      <c r="B28" s="62" t="s">
        <v>101</v>
      </c>
      <c r="C28" s="50">
        <v>0</v>
      </c>
      <c r="D28" s="72"/>
      <c r="E28" s="54"/>
      <c r="F28" s="72"/>
      <c r="G28" s="72"/>
      <c r="H28" s="72"/>
    </row>
    <row r="29" spans="1:8">
      <c r="A29" s="23" t="s">
        <v>102</v>
      </c>
      <c r="B29" s="63" t="s">
        <v>103</v>
      </c>
      <c r="C29" s="46">
        <v>0</v>
      </c>
    </row>
    <row r="30" spans="1:8" s="21" customFormat="1" ht="29.25" customHeight="1">
      <c r="A30" s="33" t="s">
        <v>104</v>
      </c>
      <c r="B30" s="62" t="s">
        <v>11</v>
      </c>
      <c r="C30" s="50">
        <v>0</v>
      </c>
      <c r="D30" s="72"/>
      <c r="E30" s="54"/>
      <c r="F30" s="72"/>
      <c r="G30" s="72"/>
      <c r="H30" s="72"/>
    </row>
    <row r="31" spans="1:8" s="25" customFormat="1">
      <c r="A31" s="24" t="s">
        <v>44</v>
      </c>
      <c r="B31" s="55" t="s">
        <v>105</v>
      </c>
      <c r="C31" s="52">
        <f>+C25+C28+C29+C30</f>
        <v>0</v>
      </c>
      <c r="D31" s="73"/>
      <c r="E31" s="74"/>
      <c r="F31" s="75"/>
      <c r="G31" s="75"/>
      <c r="H31" s="75"/>
    </row>
    <row r="32" spans="1:8" s="25" customFormat="1" ht="16.5" customHeight="1">
      <c r="A32" s="24" t="s">
        <v>46</v>
      </c>
      <c r="B32" s="67" t="s">
        <v>106</v>
      </c>
      <c r="C32" s="49" t="s">
        <v>81</v>
      </c>
      <c r="D32" s="75"/>
      <c r="E32" s="74"/>
      <c r="F32" s="75"/>
      <c r="G32" s="75"/>
      <c r="H32" s="75"/>
    </row>
    <row r="33" spans="1:8" s="27" customFormat="1" ht="13.5" customHeight="1">
      <c r="A33" s="26"/>
      <c r="B33" s="26" t="s">
        <v>48</v>
      </c>
      <c r="C33" s="17"/>
      <c r="D33" s="76"/>
      <c r="E33" s="77"/>
      <c r="F33" s="76"/>
      <c r="G33" s="76"/>
      <c r="H33" s="78"/>
    </row>
    <row r="34" spans="1:8" s="21" customFormat="1" ht="18" customHeight="1">
      <c r="A34" s="33" t="s">
        <v>107</v>
      </c>
      <c r="B34" s="98" t="s">
        <v>127</v>
      </c>
      <c r="C34" s="50"/>
      <c r="D34" s="72"/>
      <c r="E34" s="54"/>
      <c r="F34" s="72"/>
      <c r="G34" s="72"/>
      <c r="H34" s="72"/>
    </row>
    <row r="35" spans="1:8" s="21" customFormat="1" ht="25.5">
      <c r="A35" s="33" t="s">
        <v>108</v>
      </c>
      <c r="B35" s="62" t="s">
        <v>13</v>
      </c>
      <c r="C35" s="92" t="e">
        <f>IF(#REF!&lt;(C43*1.25%),#REF!,(C43*1.25%))</f>
        <v>#REF!</v>
      </c>
      <c r="D35" s="72"/>
      <c r="E35" s="54"/>
      <c r="F35" s="72"/>
      <c r="G35" s="72"/>
      <c r="H35" s="72"/>
    </row>
    <row r="36" spans="1:8" s="21" customFormat="1" ht="18" customHeight="1">
      <c r="A36" s="33" t="s">
        <v>109</v>
      </c>
      <c r="B36" s="62" t="s">
        <v>5</v>
      </c>
      <c r="C36" s="50"/>
      <c r="D36" s="72"/>
      <c r="E36" s="54"/>
      <c r="F36" s="72"/>
      <c r="G36" s="72"/>
      <c r="H36" s="72"/>
    </row>
    <row r="37" spans="1:8" s="21" customFormat="1" ht="18" customHeight="1">
      <c r="A37" s="33" t="s">
        <v>110</v>
      </c>
      <c r="B37" s="62" t="s">
        <v>111</v>
      </c>
      <c r="C37" s="50"/>
      <c r="D37" s="72"/>
      <c r="E37" s="54"/>
      <c r="F37" s="72"/>
      <c r="G37" s="72"/>
      <c r="H37" s="72"/>
    </row>
    <row r="38" spans="1:8" s="21" customFormat="1" ht="18" customHeight="1">
      <c r="A38" s="33" t="s">
        <v>112</v>
      </c>
      <c r="B38" s="62" t="s">
        <v>6</v>
      </c>
      <c r="C38" s="50"/>
      <c r="D38" s="72"/>
      <c r="E38" s="54"/>
      <c r="F38" s="72"/>
      <c r="G38" s="72"/>
      <c r="H38" s="72"/>
    </row>
    <row r="39" spans="1:8" s="21" customFormat="1" ht="18" customHeight="1">
      <c r="A39" s="33" t="s">
        <v>113</v>
      </c>
      <c r="B39" s="62" t="s">
        <v>49</v>
      </c>
      <c r="C39" s="49" t="s">
        <v>81</v>
      </c>
      <c r="D39" s="72"/>
      <c r="E39" s="54"/>
      <c r="F39" s="72"/>
      <c r="G39" s="72"/>
      <c r="H39" s="72"/>
    </row>
    <row r="40" spans="1:8" ht="18.75" customHeight="1">
      <c r="A40" s="28"/>
      <c r="B40" s="29" t="s">
        <v>18</v>
      </c>
      <c r="C40" s="17" t="e">
        <f>SUM(C34:C38)</f>
        <v>#REF!</v>
      </c>
      <c r="D40" s="73"/>
    </row>
    <row r="41" spans="1:8" s="10" customFormat="1" ht="22.5" customHeight="1">
      <c r="A41" s="47" t="s">
        <v>47</v>
      </c>
      <c r="B41" s="30" t="s">
        <v>19</v>
      </c>
      <c r="C41" s="49" t="s">
        <v>81</v>
      </c>
      <c r="D41" s="79"/>
      <c r="E41" s="71"/>
      <c r="F41" s="70"/>
      <c r="G41" s="70"/>
      <c r="H41" s="70"/>
    </row>
    <row r="42" spans="1:8" s="10" customFormat="1" ht="15.75" customHeight="1">
      <c r="A42" s="26" t="s">
        <v>50</v>
      </c>
      <c r="B42" s="30" t="s">
        <v>114</v>
      </c>
      <c r="C42" s="49" t="s">
        <v>81</v>
      </c>
      <c r="D42" s="79"/>
      <c r="E42" s="71"/>
      <c r="F42" s="70"/>
      <c r="G42" s="70"/>
      <c r="H42" s="70"/>
    </row>
    <row r="43" spans="1:8" s="10" customFormat="1" ht="21.75" customHeight="1">
      <c r="A43" s="26" t="s">
        <v>9</v>
      </c>
      <c r="B43" s="19" t="s">
        <v>115</v>
      </c>
      <c r="C43" s="31" t="e">
        <f>+C44+C45+C46</f>
        <v>#REF!</v>
      </c>
      <c r="D43" s="70"/>
      <c r="E43" s="71"/>
      <c r="F43" s="70"/>
      <c r="G43" s="70"/>
      <c r="H43" s="70"/>
    </row>
    <row r="44" spans="1:8" s="21" customFormat="1" ht="18" customHeight="1">
      <c r="A44" s="33" t="s">
        <v>37</v>
      </c>
      <c r="B44" s="62" t="s">
        <v>14</v>
      </c>
      <c r="C44" s="61" t="e">
        <f>+'Calculation of Risk Weighted As'!#REF!</f>
        <v>#REF!</v>
      </c>
      <c r="D44" s="72"/>
      <c r="E44" s="54"/>
      <c r="F44" s="72"/>
      <c r="G44" s="72"/>
      <c r="H44" s="72"/>
    </row>
    <row r="45" spans="1:8" s="21" customFormat="1" ht="18" customHeight="1">
      <c r="A45" s="33" t="s">
        <v>33</v>
      </c>
      <c r="B45" s="62" t="s">
        <v>7</v>
      </c>
      <c r="C45" s="61">
        <f>+'Calculation of Risk'!C21</f>
        <v>791291847.69230771</v>
      </c>
      <c r="D45" s="72"/>
      <c r="E45" s="54"/>
      <c r="F45" s="72"/>
      <c r="G45" s="72"/>
      <c r="H45" s="72"/>
    </row>
    <row r="46" spans="1:8" s="21" customFormat="1" ht="18" customHeight="1">
      <c r="A46" s="33" t="s">
        <v>35</v>
      </c>
      <c r="B46" s="62" t="s">
        <v>8</v>
      </c>
      <c r="C46" s="61">
        <f>+'Calculation of Risk'!C27</f>
        <v>150165609.12981537</v>
      </c>
      <c r="D46" s="72"/>
      <c r="E46" s="54">
        <f>+'Calculation of Risk'!G12</f>
        <v>0</v>
      </c>
      <c r="F46" s="72"/>
      <c r="G46" s="72"/>
      <c r="H46" s="72"/>
    </row>
    <row r="47" spans="1:8" s="27" customFormat="1" ht="21.75" customHeight="1">
      <c r="A47" s="47" t="s">
        <v>10</v>
      </c>
      <c r="B47" s="48" t="s">
        <v>116</v>
      </c>
      <c r="C47" s="49" t="s">
        <v>81</v>
      </c>
      <c r="D47" s="76"/>
      <c r="E47" s="77"/>
      <c r="F47" s="76"/>
      <c r="G47" s="76"/>
      <c r="H47" s="76"/>
    </row>
    <row r="48" spans="1:8" s="27" customFormat="1" ht="21.75" customHeight="1">
      <c r="A48" s="47" t="s">
        <v>51</v>
      </c>
      <c r="B48" s="48" t="s">
        <v>117</v>
      </c>
      <c r="C48" s="49" t="s">
        <v>81</v>
      </c>
      <c r="D48" s="76"/>
      <c r="E48" s="77"/>
      <c r="F48" s="76"/>
      <c r="G48" s="76"/>
      <c r="H48" s="76"/>
    </row>
    <row r="49" spans="1:8" s="27" customFormat="1" ht="21.75" customHeight="1">
      <c r="A49" s="47" t="s">
        <v>20</v>
      </c>
      <c r="B49" s="48" t="s">
        <v>118</v>
      </c>
      <c r="C49" s="49" t="s">
        <v>81</v>
      </c>
      <c r="D49" s="76"/>
      <c r="E49" s="77"/>
      <c r="F49" s="76"/>
      <c r="G49" s="76"/>
      <c r="H49" s="76"/>
    </row>
    <row r="50" spans="1:8" s="32" customFormat="1" ht="21.75" customHeight="1">
      <c r="A50" s="26" t="s">
        <v>21</v>
      </c>
      <c r="B50" s="19" t="s">
        <v>17</v>
      </c>
      <c r="C50" s="49" t="s">
        <v>81</v>
      </c>
      <c r="D50" s="80"/>
      <c r="E50" s="81"/>
      <c r="F50" s="82"/>
      <c r="G50" s="80"/>
      <c r="H50" s="80"/>
    </row>
    <row r="51" spans="1:8" s="36" customFormat="1" ht="21.75" customHeight="1">
      <c r="A51" s="33" t="s">
        <v>37</v>
      </c>
      <c r="B51" s="34" t="s">
        <v>23</v>
      </c>
      <c r="C51" s="35" t="e">
        <f>+#REF!</f>
        <v>#REF!</v>
      </c>
      <c r="D51" s="83"/>
      <c r="E51" s="84"/>
      <c r="F51" s="85"/>
      <c r="G51" s="83"/>
      <c r="H51" s="83"/>
    </row>
    <row r="52" spans="1:8" s="36" customFormat="1" ht="21.75" customHeight="1">
      <c r="A52" s="33" t="s">
        <v>33</v>
      </c>
      <c r="B52" s="34" t="s">
        <v>119</v>
      </c>
      <c r="C52" s="89">
        <f>SUM('Calculation of Risk Weighted As'!D54:G62)</f>
        <v>158636020</v>
      </c>
      <c r="D52" s="85" t="e">
        <f>+'Calculation of Risk Weighted As'!#REF!</f>
        <v>#REF!</v>
      </c>
      <c r="E52" s="84"/>
      <c r="F52" s="85"/>
      <c r="G52" s="83"/>
      <c r="H52" s="83"/>
    </row>
    <row r="53" spans="1:8" s="39" customFormat="1" ht="21.75" customHeight="1">
      <c r="A53" s="37" t="s">
        <v>35</v>
      </c>
      <c r="B53" s="38" t="s">
        <v>120</v>
      </c>
      <c r="C53" s="91" t="e">
        <f>SUM('Calculation of Risk Weighted As'!#REF!)</f>
        <v>#REF!</v>
      </c>
      <c r="D53" s="88"/>
      <c r="E53" s="90"/>
      <c r="F53" s="86"/>
      <c r="G53" s="86"/>
      <c r="H53" s="86"/>
    </row>
    <row r="54" spans="1:8" s="39" customFormat="1" ht="21.75" customHeight="1">
      <c r="A54" s="37" t="s">
        <v>42</v>
      </c>
      <c r="B54" s="38" t="s">
        <v>121</v>
      </c>
      <c r="C54" s="56" t="str">
        <f>+C19</f>
        <v>Формула</v>
      </c>
      <c r="D54" s="86"/>
      <c r="E54" s="87"/>
      <c r="F54" s="86"/>
      <c r="G54" s="86"/>
      <c r="H54" s="86"/>
    </row>
    <row r="55" spans="1:8" s="27" customFormat="1" ht="21.75" customHeight="1">
      <c r="A55" s="47" t="s">
        <v>22</v>
      </c>
      <c r="B55" s="48" t="s">
        <v>24</v>
      </c>
      <c r="C55" s="49" t="s">
        <v>81</v>
      </c>
      <c r="D55" s="76"/>
      <c r="E55" s="77"/>
      <c r="F55" s="76"/>
      <c r="G55" s="76"/>
      <c r="H55" s="76"/>
    </row>
    <row r="56" spans="1:8">
      <c r="B56" s="40"/>
    </row>
    <row r="57" spans="1:8" s="1" customFormat="1">
      <c r="A57" s="3"/>
      <c r="B57" s="2" t="s">
        <v>0</v>
      </c>
      <c r="D57" s="6"/>
      <c r="E57" s="6"/>
      <c r="F57" s="6"/>
      <c r="G57" s="6"/>
      <c r="H57" s="6"/>
    </row>
    <row r="58" spans="1:8" s="1" customFormat="1">
      <c r="A58" s="3"/>
      <c r="B58" s="2"/>
      <c r="D58" s="6"/>
      <c r="E58" s="6"/>
      <c r="F58" s="6"/>
      <c r="G58" s="6"/>
      <c r="H58" s="6"/>
    </row>
    <row r="59" spans="1:8" s="1" customFormat="1">
      <c r="A59" s="3"/>
      <c r="B59" s="2" t="s">
        <v>1</v>
      </c>
      <c r="D59" s="6"/>
      <c r="E59" s="6"/>
      <c r="F59" s="6"/>
      <c r="G59" s="6"/>
      <c r="H59" s="6"/>
    </row>
    <row r="60" spans="1:8">
      <c r="B60" s="42"/>
    </row>
  </sheetData>
  <mergeCells count="1">
    <mergeCell ref="A1:B1"/>
  </mergeCells>
  <printOptions horizontalCentered="1"/>
  <pageMargins left="0.19685039370078741" right="0.19685039370078741" top="0.39370078740157483" bottom="0.39370078740157483" header="0.15748031496062992" footer="0.51181102362204722"/>
  <pageSetup paperSize="9" scale="7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5">
    <pageSetUpPr fitToPage="1"/>
  </sheetPr>
  <dimension ref="A1:AE80"/>
  <sheetViews>
    <sheetView view="pageBreakPreview" zoomScale="70" zoomScaleNormal="70" zoomScaleSheetLayoutView="70" workbookViewId="0">
      <pane xSplit="3" ySplit="6" topLeftCell="D40" activePane="bottomRight" state="frozen"/>
      <selection sqref="A1:B1"/>
      <selection pane="topRight" sqref="A1:B1"/>
      <selection pane="bottomLeft" sqref="A1:B1"/>
      <selection pane="bottomRight" activeCell="K56" sqref="K56"/>
    </sheetView>
  </sheetViews>
  <sheetFormatPr defaultRowHeight="12.75"/>
  <cols>
    <col min="1" max="1" width="5.42578125" style="101" customWidth="1"/>
    <col min="2" max="2" width="67" style="97" customWidth="1"/>
    <col min="3" max="3" width="13" style="97" customWidth="1"/>
    <col min="4" max="9" width="14.5703125" style="97" customWidth="1"/>
    <col min="10" max="10" width="14.5703125" style="114" customWidth="1"/>
    <col min="11" max="13" width="20.85546875" style="97" customWidth="1"/>
    <col min="14" max="14" width="14.28515625" style="97" bestFit="1" customWidth="1"/>
    <col min="15" max="16" width="10.28515625" style="97" customWidth="1"/>
    <col min="17" max="16384" width="9.140625" style="97"/>
  </cols>
  <sheetData>
    <row r="1" spans="1:12" ht="26.25" customHeight="1">
      <c r="A1" s="255" t="s">
        <v>183</v>
      </c>
      <c r="B1" s="255"/>
      <c r="C1" s="255"/>
      <c r="D1" s="255"/>
      <c r="E1" s="255"/>
      <c r="F1" s="255"/>
      <c r="G1" s="255"/>
      <c r="H1" s="255"/>
      <c r="I1" s="255"/>
      <c r="J1" s="166" t="s">
        <v>182</v>
      </c>
    </row>
    <row r="2" spans="1:12" ht="25.5" customHeight="1">
      <c r="B2" s="102" t="str">
        <f>+'Bank Capital Calc'!B3</f>
        <v>"Алоқабанк"</v>
      </c>
      <c r="C2" s="102"/>
      <c r="E2" s="100"/>
      <c r="F2" s="100"/>
      <c r="H2" s="257">
        <f>+'Bank Capital Calc'!C3</f>
        <v>45291</v>
      </c>
      <c r="I2" s="257"/>
      <c r="J2" s="167" t="s">
        <v>267</v>
      </c>
      <c r="K2" s="114"/>
    </row>
    <row r="3" spans="1:12">
      <c r="A3" s="256" t="s">
        <v>52</v>
      </c>
      <c r="B3" s="258" t="s">
        <v>131</v>
      </c>
      <c r="C3" s="259"/>
      <c r="D3" s="216">
        <v>0</v>
      </c>
      <c r="E3" s="216">
        <v>0.2</v>
      </c>
      <c r="F3" s="216">
        <v>0.35</v>
      </c>
      <c r="G3" s="216">
        <v>0.5</v>
      </c>
      <c r="H3" s="216">
        <v>1</v>
      </c>
      <c r="I3" s="216">
        <v>1.5</v>
      </c>
      <c r="J3" s="216">
        <v>2</v>
      </c>
      <c r="K3" s="209"/>
      <c r="L3" s="114"/>
    </row>
    <row r="4" spans="1:12" ht="20.25" customHeight="1">
      <c r="A4" s="256"/>
      <c r="B4" s="260"/>
      <c r="C4" s="261"/>
      <c r="D4" s="243" t="s">
        <v>184</v>
      </c>
      <c r="E4" s="243" t="s">
        <v>184</v>
      </c>
      <c r="F4" s="243" t="s">
        <v>184</v>
      </c>
      <c r="G4" s="243" t="s">
        <v>184</v>
      </c>
      <c r="H4" s="243" t="s">
        <v>184</v>
      </c>
      <c r="I4" s="243" t="s">
        <v>184</v>
      </c>
      <c r="J4" s="243" t="s">
        <v>184</v>
      </c>
      <c r="L4" s="114"/>
    </row>
    <row r="5" spans="1:12" ht="20.25" customHeight="1">
      <c r="A5" s="256"/>
      <c r="B5" s="262"/>
      <c r="C5" s="263"/>
      <c r="D5" s="243" t="s">
        <v>185</v>
      </c>
      <c r="E5" s="243" t="s">
        <v>186</v>
      </c>
      <c r="F5" s="243" t="s">
        <v>187</v>
      </c>
      <c r="G5" s="243" t="s">
        <v>188</v>
      </c>
      <c r="H5" s="243" t="s">
        <v>189</v>
      </c>
      <c r="I5" s="243" t="s">
        <v>190</v>
      </c>
      <c r="J5" s="243" t="s">
        <v>191</v>
      </c>
      <c r="L5" s="114"/>
    </row>
    <row r="6" spans="1:12">
      <c r="A6" s="243"/>
      <c r="B6" s="264" t="s">
        <v>26</v>
      </c>
      <c r="C6" s="265"/>
      <c r="D6" s="116" t="s">
        <v>27</v>
      </c>
      <c r="E6" s="116" t="s">
        <v>28</v>
      </c>
      <c r="F6" s="116" t="s">
        <v>29</v>
      </c>
      <c r="G6" s="116" t="s">
        <v>53</v>
      </c>
      <c r="H6" s="116" t="s">
        <v>54</v>
      </c>
      <c r="I6" s="116" t="s">
        <v>57</v>
      </c>
      <c r="J6" s="116" t="s">
        <v>64</v>
      </c>
      <c r="L6" s="114"/>
    </row>
    <row r="7" spans="1:12">
      <c r="A7" s="243"/>
      <c r="B7" s="266" t="s">
        <v>192</v>
      </c>
      <c r="C7" s="267"/>
      <c r="D7" s="103"/>
      <c r="E7" s="103"/>
      <c r="F7" s="103"/>
      <c r="G7" s="103"/>
      <c r="H7" s="103"/>
      <c r="I7" s="103"/>
      <c r="J7" s="103"/>
      <c r="L7" s="114"/>
    </row>
    <row r="8" spans="1:12" s="96" customFormat="1" ht="21" customHeight="1">
      <c r="A8" s="243" t="s">
        <v>55</v>
      </c>
      <c r="B8" s="253" t="s">
        <v>193</v>
      </c>
      <c r="C8" s="254"/>
      <c r="D8" s="4">
        <v>427565101</v>
      </c>
      <c r="E8" s="94"/>
      <c r="F8" s="94"/>
      <c r="G8" s="94"/>
      <c r="H8" s="94"/>
      <c r="I8" s="94"/>
      <c r="J8" s="94"/>
      <c r="K8" s="210"/>
      <c r="L8" s="104"/>
    </row>
    <row r="9" spans="1:12" s="96" customFormat="1" ht="21" customHeight="1">
      <c r="A9" s="243" t="s">
        <v>65</v>
      </c>
      <c r="B9" s="253" t="s">
        <v>194</v>
      </c>
      <c r="C9" s="254"/>
      <c r="D9" s="94"/>
      <c r="E9" s="4">
        <v>20584524</v>
      </c>
      <c r="F9" s="94"/>
      <c r="G9" s="94"/>
      <c r="H9" s="94"/>
      <c r="I9" s="94"/>
      <c r="J9" s="94"/>
      <c r="K9" s="210"/>
      <c r="L9" s="104"/>
    </row>
    <row r="10" spans="1:12" s="96" customFormat="1" ht="21" customHeight="1">
      <c r="A10" s="243" t="s">
        <v>66</v>
      </c>
      <c r="B10" s="253" t="s">
        <v>195</v>
      </c>
      <c r="C10" s="254"/>
      <c r="D10" s="4">
        <v>751379622</v>
      </c>
      <c r="E10" s="4">
        <v>61976744</v>
      </c>
      <c r="F10" s="94"/>
      <c r="G10" s="94"/>
      <c r="H10" s="94"/>
      <c r="I10" s="94"/>
      <c r="J10" s="94"/>
      <c r="K10" s="210"/>
      <c r="L10" s="104"/>
    </row>
    <row r="11" spans="1:12" s="96" customFormat="1" ht="27.75" customHeight="1">
      <c r="A11" s="243" t="s">
        <v>67</v>
      </c>
      <c r="B11" s="253" t="s">
        <v>277</v>
      </c>
      <c r="C11" s="254"/>
      <c r="D11" s="94"/>
      <c r="E11" s="4">
        <v>188043533</v>
      </c>
      <c r="F11" s="94"/>
      <c r="G11" s="4">
        <v>118627879</v>
      </c>
      <c r="H11" s="4">
        <v>338942194</v>
      </c>
      <c r="I11" s="4">
        <v>59343095</v>
      </c>
      <c r="J11" s="94"/>
      <c r="K11" s="210"/>
      <c r="L11" s="104"/>
    </row>
    <row r="12" spans="1:12" s="96" customFormat="1" ht="21" customHeight="1">
      <c r="A12" s="243" t="s">
        <v>68</v>
      </c>
      <c r="B12" s="253" t="s">
        <v>196</v>
      </c>
      <c r="C12" s="254"/>
      <c r="D12" s="94"/>
      <c r="E12" s="94"/>
      <c r="F12" s="94"/>
      <c r="G12" s="94"/>
      <c r="H12" s="94"/>
      <c r="I12" s="94"/>
      <c r="J12" s="94"/>
      <c r="K12" s="210"/>
      <c r="L12" s="104"/>
    </row>
    <row r="13" spans="1:12" s="96" customFormat="1" ht="27.75" customHeight="1">
      <c r="A13" s="243" t="s">
        <v>37</v>
      </c>
      <c r="B13" s="253" t="s">
        <v>197</v>
      </c>
      <c r="C13" s="254"/>
      <c r="D13" s="4">
        <v>209969287</v>
      </c>
      <c r="E13" s="4">
        <v>0</v>
      </c>
      <c r="F13" s="94"/>
      <c r="G13" s="94"/>
      <c r="H13" s="94"/>
      <c r="I13" s="94"/>
      <c r="J13" s="94"/>
      <c r="K13" s="210"/>
      <c r="L13" s="104"/>
    </row>
    <row r="14" spans="1:12" s="96" customFormat="1" ht="21" customHeight="1">
      <c r="A14" s="243" t="s">
        <v>33</v>
      </c>
      <c r="B14" s="253" t="s">
        <v>279</v>
      </c>
      <c r="C14" s="254"/>
      <c r="D14" s="4">
        <v>0</v>
      </c>
      <c r="E14" s="4">
        <v>0</v>
      </c>
      <c r="F14" s="94"/>
      <c r="G14" s="94"/>
      <c r="H14" s="94"/>
      <c r="I14" s="94"/>
      <c r="J14" s="94"/>
      <c r="K14" s="210"/>
      <c r="L14" s="104"/>
    </row>
    <row r="15" spans="1:12" s="96" customFormat="1" ht="38.25" customHeight="1">
      <c r="A15" s="243" t="s">
        <v>35</v>
      </c>
      <c r="B15" s="253" t="s">
        <v>198</v>
      </c>
      <c r="C15" s="254"/>
      <c r="D15" s="4">
        <v>0</v>
      </c>
      <c r="E15" s="4">
        <v>0</v>
      </c>
      <c r="F15" s="94"/>
      <c r="G15" s="4">
        <v>0</v>
      </c>
      <c r="H15" s="4">
        <v>0</v>
      </c>
      <c r="I15" s="4">
        <v>0</v>
      </c>
      <c r="J15" s="94"/>
      <c r="K15" s="210"/>
      <c r="L15" s="104"/>
    </row>
    <row r="16" spans="1:12" s="96" customFormat="1" ht="21" customHeight="1">
      <c r="A16" s="243" t="s">
        <v>42</v>
      </c>
      <c r="B16" s="253" t="s">
        <v>199</v>
      </c>
      <c r="C16" s="254"/>
      <c r="D16" s="4">
        <v>0</v>
      </c>
      <c r="E16" s="4">
        <v>0</v>
      </c>
      <c r="F16" s="94"/>
      <c r="G16" s="4">
        <v>0</v>
      </c>
      <c r="H16" s="4">
        <v>0</v>
      </c>
      <c r="I16" s="4">
        <v>0</v>
      </c>
      <c r="J16" s="94"/>
      <c r="K16" s="210"/>
      <c r="L16" s="104"/>
    </row>
    <row r="17" spans="1:12" s="96" customFormat="1" ht="21" customHeight="1">
      <c r="A17" s="243" t="s">
        <v>128</v>
      </c>
      <c r="B17" s="253" t="s">
        <v>200</v>
      </c>
      <c r="C17" s="254"/>
      <c r="D17" s="4">
        <v>0</v>
      </c>
      <c r="E17" s="4">
        <v>0</v>
      </c>
      <c r="F17" s="94"/>
      <c r="G17" s="4">
        <v>0</v>
      </c>
      <c r="H17" s="4">
        <v>0</v>
      </c>
      <c r="I17" s="4">
        <v>0</v>
      </c>
      <c r="J17" s="94"/>
      <c r="K17" s="210"/>
      <c r="L17" s="104"/>
    </row>
    <row r="18" spans="1:12" s="96" customFormat="1" ht="21" customHeight="1">
      <c r="A18" s="243" t="s">
        <v>208</v>
      </c>
      <c r="B18" s="253" t="s">
        <v>275</v>
      </c>
      <c r="C18" s="254"/>
      <c r="D18" s="4">
        <v>0</v>
      </c>
      <c r="E18" s="4">
        <v>0</v>
      </c>
      <c r="F18" s="94"/>
      <c r="G18" s="4">
        <v>0</v>
      </c>
      <c r="H18" s="4">
        <v>0</v>
      </c>
      <c r="I18" s="4">
        <v>0</v>
      </c>
      <c r="J18" s="94"/>
      <c r="K18" s="210"/>
      <c r="L18" s="104"/>
    </row>
    <row r="19" spans="1:12" s="96" customFormat="1" ht="27.75" customHeight="1">
      <c r="A19" s="243" t="s">
        <v>69</v>
      </c>
      <c r="B19" s="253" t="s">
        <v>201</v>
      </c>
      <c r="C19" s="254"/>
      <c r="D19" s="94"/>
      <c r="E19" s="94"/>
      <c r="F19" s="94"/>
      <c r="G19" s="94"/>
      <c r="H19" s="4">
        <v>0</v>
      </c>
      <c r="I19" s="94"/>
      <c r="J19" s="94"/>
      <c r="K19" s="210"/>
      <c r="L19" s="104"/>
    </row>
    <row r="20" spans="1:12" s="96" customFormat="1" ht="52.5" customHeight="1">
      <c r="A20" s="243" t="s">
        <v>70</v>
      </c>
      <c r="B20" s="253" t="s">
        <v>202</v>
      </c>
      <c r="C20" s="254"/>
      <c r="D20" s="4">
        <v>0</v>
      </c>
      <c r="E20" s="4">
        <v>0</v>
      </c>
      <c r="F20" s="94"/>
      <c r="G20" s="4">
        <v>0</v>
      </c>
      <c r="H20" s="4">
        <v>0</v>
      </c>
      <c r="I20" s="4">
        <v>0</v>
      </c>
      <c r="J20" s="94"/>
      <c r="K20" s="210"/>
      <c r="L20" s="104"/>
    </row>
    <row r="21" spans="1:12" s="96" customFormat="1" ht="21" customHeight="1">
      <c r="A21" s="243" t="s">
        <v>71</v>
      </c>
      <c r="B21" s="253" t="s">
        <v>203</v>
      </c>
      <c r="C21" s="254"/>
      <c r="D21" s="94"/>
      <c r="E21" s="94"/>
      <c r="F21" s="94"/>
      <c r="G21" s="94"/>
      <c r="H21" s="94"/>
      <c r="I21" s="94"/>
      <c r="J21" s="94"/>
      <c r="K21" s="210"/>
      <c r="L21" s="104"/>
    </row>
    <row r="22" spans="1:12" s="96" customFormat="1" ht="21" customHeight="1">
      <c r="A22" s="243" t="s">
        <v>37</v>
      </c>
      <c r="B22" s="253" t="s">
        <v>204</v>
      </c>
      <c r="C22" s="254"/>
      <c r="D22" s="4">
        <v>0</v>
      </c>
      <c r="E22" s="94"/>
      <c r="F22" s="94"/>
      <c r="G22" s="94"/>
      <c r="H22" s="94"/>
      <c r="I22" s="94"/>
      <c r="J22" s="94"/>
      <c r="K22" s="210"/>
      <c r="L22" s="104"/>
    </row>
    <row r="23" spans="1:12" s="96" customFormat="1" ht="27.75" customHeight="1">
      <c r="A23" s="243" t="s">
        <v>33</v>
      </c>
      <c r="B23" s="253" t="s">
        <v>276</v>
      </c>
      <c r="C23" s="254"/>
      <c r="D23" s="4">
        <v>0</v>
      </c>
      <c r="E23" s="94"/>
      <c r="F23" s="94"/>
      <c r="G23" s="94"/>
      <c r="H23" s="94"/>
      <c r="I23" s="94"/>
      <c r="J23" s="94"/>
      <c r="K23" s="210"/>
      <c r="L23" s="104"/>
    </row>
    <row r="24" spans="1:12" s="96" customFormat="1" ht="21" customHeight="1">
      <c r="A24" s="243" t="s">
        <v>35</v>
      </c>
      <c r="B24" s="253" t="s">
        <v>205</v>
      </c>
      <c r="C24" s="254"/>
      <c r="D24" s="4">
        <v>251740444</v>
      </c>
      <c r="E24" s="4"/>
      <c r="F24" s="94"/>
      <c r="G24" s="94"/>
      <c r="H24" s="94"/>
      <c r="I24" s="94"/>
      <c r="J24" s="94"/>
      <c r="K24" s="210"/>
      <c r="L24" s="104"/>
    </row>
    <row r="25" spans="1:12" s="96" customFormat="1" ht="52.5" customHeight="1">
      <c r="A25" s="243" t="s">
        <v>42</v>
      </c>
      <c r="B25" s="253" t="s">
        <v>284</v>
      </c>
      <c r="C25" s="254"/>
      <c r="D25" s="4">
        <v>0</v>
      </c>
      <c r="E25" s="94"/>
      <c r="F25" s="94"/>
      <c r="G25" s="94"/>
      <c r="H25" s="94"/>
      <c r="I25" s="94"/>
      <c r="J25" s="94"/>
      <c r="K25" s="210"/>
      <c r="L25" s="104"/>
    </row>
    <row r="26" spans="1:12" s="96" customFormat="1" ht="21" customHeight="1">
      <c r="A26" s="243" t="s">
        <v>128</v>
      </c>
      <c r="B26" s="253" t="s">
        <v>207</v>
      </c>
      <c r="C26" s="254"/>
      <c r="D26" s="94" t="s">
        <v>292</v>
      </c>
      <c r="E26" s="94"/>
      <c r="F26" s="94"/>
      <c r="G26" s="94"/>
      <c r="H26" s="4">
        <v>0</v>
      </c>
      <c r="I26" s="94"/>
      <c r="J26" s="94"/>
      <c r="K26" s="210"/>
      <c r="L26" s="104"/>
    </row>
    <row r="27" spans="1:12" s="96" customFormat="1" ht="27.75" customHeight="1">
      <c r="A27" s="243" t="s">
        <v>208</v>
      </c>
      <c r="B27" s="253" t="s">
        <v>209</v>
      </c>
      <c r="C27" s="254"/>
      <c r="D27" s="94"/>
      <c r="E27" s="94"/>
      <c r="F27" s="4">
        <v>59570238</v>
      </c>
      <c r="G27" s="4">
        <v>104498073</v>
      </c>
      <c r="H27" s="4">
        <v>222462363</v>
      </c>
      <c r="I27" s="4">
        <v>276946236</v>
      </c>
      <c r="J27" s="94"/>
      <c r="K27" s="210"/>
      <c r="L27" s="104"/>
    </row>
    <row r="28" spans="1:12" s="96" customFormat="1" ht="21" customHeight="1">
      <c r="A28" s="243" t="s">
        <v>210</v>
      </c>
      <c r="B28" s="253" t="s">
        <v>294</v>
      </c>
      <c r="C28" s="254"/>
      <c r="D28" s="94"/>
      <c r="E28" s="94"/>
      <c r="F28" s="94"/>
      <c r="G28" s="94"/>
      <c r="H28" s="4">
        <v>862533732</v>
      </c>
      <c r="I28" s="4">
        <v>842352568</v>
      </c>
      <c r="J28" s="4">
        <v>6391156</v>
      </c>
      <c r="K28" s="210"/>
      <c r="L28" s="104"/>
    </row>
    <row r="29" spans="1:12" s="96" customFormat="1" ht="21" customHeight="1">
      <c r="A29" s="243" t="s">
        <v>212</v>
      </c>
      <c r="B29" s="253" t="s">
        <v>290</v>
      </c>
      <c r="C29" s="254"/>
      <c r="D29" s="4">
        <v>9258449</v>
      </c>
      <c r="E29" s="94"/>
      <c r="F29" s="94"/>
      <c r="G29" s="94"/>
      <c r="H29" s="4">
        <v>0</v>
      </c>
      <c r="I29" s="4">
        <v>0</v>
      </c>
      <c r="J29" s="4">
        <v>0</v>
      </c>
      <c r="K29" s="210"/>
      <c r="L29" s="104"/>
    </row>
    <row r="30" spans="1:12" s="96" customFormat="1" ht="21" customHeight="1">
      <c r="A30" s="243" t="s">
        <v>214</v>
      </c>
      <c r="B30" s="253" t="s">
        <v>211</v>
      </c>
      <c r="C30" s="254"/>
      <c r="D30" s="94"/>
      <c r="E30" s="94"/>
      <c r="F30" s="94"/>
      <c r="G30" s="94"/>
      <c r="H30" s="4">
        <v>252741759</v>
      </c>
      <c r="I30" s="4">
        <v>86317160</v>
      </c>
      <c r="J30" s="4">
        <v>324404810</v>
      </c>
      <c r="K30" s="210"/>
      <c r="L30" s="104"/>
    </row>
    <row r="31" spans="1:12" s="96" customFormat="1" ht="21" customHeight="1">
      <c r="A31" s="243" t="s">
        <v>285</v>
      </c>
      <c r="B31" s="253" t="s">
        <v>291</v>
      </c>
      <c r="C31" s="254"/>
      <c r="D31" s="4">
        <v>26325247</v>
      </c>
      <c r="E31" s="94"/>
      <c r="F31" s="94"/>
      <c r="G31" s="94"/>
      <c r="H31" s="4">
        <v>0</v>
      </c>
      <c r="I31" s="4">
        <v>0</v>
      </c>
      <c r="J31" s="4">
        <v>0</v>
      </c>
      <c r="K31" s="210"/>
      <c r="L31" s="104"/>
    </row>
    <row r="32" spans="1:12" s="96" customFormat="1" ht="21" customHeight="1">
      <c r="A32" s="243" t="s">
        <v>286</v>
      </c>
      <c r="B32" s="253" t="s">
        <v>213</v>
      </c>
      <c r="C32" s="254"/>
      <c r="D32" s="94"/>
      <c r="E32" s="94"/>
      <c r="F32" s="94"/>
      <c r="G32" s="94"/>
      <c r="H32" s="4">
        <v>6198958199</v>
      </c>
      <c r="I32" s="4">
        <v>583435950</v>
      </c>
      <c r="J32" s="4">
        <v>16114825</v>
      </c>
      <c r="K32" s="210"/>
      <c r="L32" s="104"/>
    </row>
    <row r="33" spans="1:13" s="96" customFormat="1" ht="21" customHeight="1">
      <c r="A33" s="243" t="s">
        <v>287</v>
      </c>
      <c r="B33" s="253" t="s">
        <v>278</v>
      </c>
      <c r="C33" s="254"/>
      <c r="D33" s="94"/>
      <c r="E33" s="94"/>
      <c r="F33" s="94"/>
      <c r="G33" s="94"/>
      <c r="H33" s="94"/>
      <c r="I33" s="94"/>
      <c r="J33" s="4">
        <v>135478535</v>
      </c>
      <c r="K33" s="210"/>
      <c r="L33" s="210"/>
      <c r="M33" s="210"/>
    </row>
    <row r="34" spans="1:13" s="96" customFormat="1" ht="21" customHeight="1">
      <c r="A34" s="243" t="s">
        <v>72</v>
      </c>
      <c r="B34" s="253" t="s">
        <v>215</v>
      </c>
      <c r="C34" s="254"/>
      <c r="D34" s="94"/>
      <c r="E34" s="94"/>
      <c r="F34" s="94"/>
      <c r="G34" s="94"/>
      <c r="H34" s="94"/>
      <c r="I34" s="94"/>
      <c r="J34" s="94"/>
      <c r="K34" s="210"/>
      <c r="L34" s="104"/>
    </row>
    <row r="35" spans="1:13" s="96" customFormat="1" ht="21" customHeight="1">
      <c r="A35" s="243" t="s">
        <v>37</v>
      </c>
      <c r="B35" s="253" t="s">
        <v>216</v>
      </c>
      <c r="C35" s="254"/>
      <c r="D35" s="94"/>
      <c r="E35" s="94"/>
      <c r="F35" s="94"/>
      <c r="G35" s="94"/>
      <c r="H35" s="4">
        <v>2003170965</v>
      </c>
      <c r="I35" s="94"/>
      <c r="J35" s="94"/>
      <c r="K35" s="210"/>
      <c r="L35" s="104"/>
    </row>
    <row r="36" spans="1:13" s="96" customFormat="1" ht="21" customHeight="1">
      <c r="A36" s="243" t="s">
        <v>33</v>
      </c>
      <c r="B36" s="253" t="s">
        <v>217</v>
      </c>
      <c r="C36" s="254"/>
      <c r="D36" s="94"/>
      <c r="E36" s="94"/>
      <c r="F36" s="94"/>
      <c r="G36" s="94"/>
      <c r="H36" s="4">
        <v>0</v>
      </c>
      <c r="I36" s="94"/>
      <c r="J36" s="94"/>
      <c r="K36" s="210"/>
      <c r="L36" s="104"/>
    </row>
    <row r="37" spans="1:13" s="96" customFormat="1" ht="21" customHeight="1">
      <c r="A37" s="243" t="s">
        <v>35</v>
      </c>
      <c r="B37" s="253" t="s">
        <v>218</v>
      </c>
      <c r="C37" s="254"/>
      <c r="D37" s="94"/>
      <c r="E37" s="94"/>
      <c r="F37" s="94"/>
      <c r="G37" s="94"/>
      <c r="H37" s="94"/>
      <c r="I37" s="4">
        <v>349433916</v>
      </c>
      <c r="J37" s="4">
        <v>46693523</v>
      </c>
      <c r="K37" s="210"/>
      <c r="L37" s="104"/>
    </row>
    <row r="38" spans="1:13" s="96" customFormat="1" ht="21" customHeight="1">
      <c r="A38" s="243" t="s">
        <v>42</v>
      </c>
      <c r="B38" s="253" t="s">
        <v>219</v>
      </c>
      <c r="C38" s="254"/>
      <c r="D38" s="94"/>
      <c r="E38" s="94"/>
      <c r="F38" s="94"/>
      <c r="G38" s="94"/>
      <c r="H38" s="94"/>
      <c r="I38" s="4">
        <v>0</v>
      </c>
      <c r="J38" s="4">
        <v>0</v>
      </c>
      <c r="K38" s="210"/>
      <c r="L38" s="104"/>
    </row>
    <row r="39" spans="1:13" s="96" customFormat="1" ht="27.75" customHeight="1">
      <c r="A39" s="243" t="s">
        <v>79</v>
      </c>
      <c r="B39" s="253" t="s">
        <v>298</v>
      </c>
      <c r="C39" s="254"/>
      <c r="D39" s="4">
        <v>0</v>
      </c>
      <c r="E39" s="94"/>
      <c r="F39" s="94"/>
      <c r="G39" s="94"/>
      <c r="H39" s="94"/>
      <c r="I39" s="94"/>
      <c r="J39" s="4">
        <v>156083266</v>
      </c>
      <c r="K39" s="210"/>
      <c r="L39" s="104"/>
    </row>
    <row r="40" spans="1:13" s="96" customFormat="1" ht="27.75" customHeight="1">
      <c r="A40" s="243" t="s">
        <v>80</v>
      </c>
      <c r="B40" s="253" t="s">
        <v>299</v>
      </c>
      <c r="C40" s="254"/>
      <c r="D40" s="94"/>
      <c r="E40" s="94"/>
      <c r="F40" s="94"/>
      <c r="G40" s="94"/>
      <c r="H40" s="94"/>
      <c r="I40" s="94"/>
      <c r="J40" s="4">
        <v>0</v>
      </c>
      <c r="K40" s="210"/>
      <c r="L40" s="104"/>
    </row>
    <row r="41" spans="1:13" s="96" customFormat="1" ht="21" customHeight="1">
      <c r="A41" s="243" t="s">
        <v>73</v>
      </c>
      <c r="B41" s="253" t="s">
        <v>283</v>
      </c>
      <c r="C41" s="254"/>
      <c r="D41" s="94"/>
      <c r="E41" s="115"/>
      <c r="F41" s="94"/>
      <c r="G41" s="94"/>
      <c r="H41" s="4">
        <v>0</v>
      </c>
      <c r="I41" s="94"/>
      <c r="J41" s="4">
        <v>0</v>
      </c>
      <c r="K41" s="210"/>
      <c r="L41" s="104"/>
    </row>
    <row r="42" spans="1:13" s="96" customFormat="1" ht="21" customHeight="1">
      <c r="A42" s="243" t="s">
        <v>74</v>
      </c>
      <c r="B42" s="253" t="s">
        <v>220</v>
      </c>
      <c r="C42" s="254"/>
      <c r="D42" s="4">
        <v>1757673</v>
      </c>
      <c r="E42" s="115"/>
      <c r="F42" s="94"/>
      <c r="G42" s="94"/>
      <c r="H42" s="4">
        <v>42295090</v>
      </c>
      <c r="I42" s="94"/>
      <c r="J42" s="94"/>
      <c r="K42" s="210"/>
      <c r="L42" s="104"/>
    </row>
    <row r="43" spans="1:13" s="96" customFormat="1" ht="21" customHeight="1">
      <c r="A43" s="243" t="s">
        <v>75</v>
      </c>
      <c r="B43" s="253" t="s">
        <v>281</v>
      </c>
      <c r="C43" s="254"/>
      <c r="D43" s="4">
        <v>0</v>
      </c>
      <c r="E43" s="115"/>
      <c r="F43" s="94"/>
      <c r="G43" s="94"/>
      <c r="H43" s="4">
        <v>37525835</v>
      </c>
      <c r="I43" s="94"/>
      <c r="J43" s="4">
        <v>0</v>
      </c>
      <c r="K43" s="210"/>
      <c r="L43" s="104"/>
    </row>
    <row r="44" spans="1:13" s="96" customFormat="1" ht="21" customHeight="1">
      <c r="A44" s="243" t="s">
        <v>76</v>
      </c>
      <c r="B44" s="253" t="s">
        <v>282</v>
      </c>
      <c r="C44" s="254"/>
      <c r="D44" s="94"/>
      <c r="E44" s="94"/>
      <c r="F44" s="94"/>
      <c r="G44" s="94"/>
      <c r="H44" s="94"/>
      <c r="I44" s="94"/>
      <c r="J44" s="4">
        <v>188604</v>
      </c>
      <c r="K44" s="210"/>
      <c r="L44" s="104"/>
    </row>
    <row r="45" spans="1:13" s="96" customFormat="1" ht="21" customHeight="1">
      <c r="A45" s="243" t="s">
        <v>77</v>
      </c>
      <c r="B45" s="253" t="s">
        <v>288</v>
      </c>
      <c r="C45" s="254"/>
      <c r="D45" s="4">
        <v>102677702</v>
      </c>
      <c r="E45" s="94"/>
      <c r="F45" s="94"/>
      <c r="G45" s="94"/>
      <c r="H45" s="94"/>
      <c r="I45" s="94"/>
      <c r="J45" s="94"/>
      <c r="K45" s="210"/>
      <c r="L45" s="104"/>
    </row>
    <row r="46" spans="1:13" s="96" customFormat="1" ht="21" customHeight="1">
      <c r="A46" s="243" t="s">
        <v>78</v>
      </c>
      <c r="B46" s="253" t="s">
        <v>221</v>
      </c>
      <c r="C46" s="254"/>
      <c r="D46" s="4">
        <v>469388</v>
      </c>
      <c r="E46" s="4"/>
      <c r="F46" s="4">
        <v>527384</v>
      </c>
      <c r="G46" s="4">
        <v>1962576</v>
      </c>
      <c r="H46" s="4">
        <v>1007827710</v>
      </c>
      <c r="I46" s="4">
        <v>30217531</v>
      </c>
      <c r="J46" s="4">
        <v>33214451</v>
      </c>
      <c r="K46" s="210"/>
      <c r="L46" s="104"/>
    </row>
    <row r="47" spans="1:13" s="96" customFormat="1" ht="21" customHeight="1">
      <c r="A47" s="243" t="s">
        <v>280</v>
      </c>
      <c r="B47" s="253" t="s">
        <v>222</v>
      </c>
      <c r="C47" s="254"/>
      <c r="D47" s="93">
        <f>SUM(D8:D44)+D46-D45</f>
        <v>1575787509</v>
      </c>
      <c r="E47" s="93">
        <f t="shared" ref="E47:J47" si="0">SUM(E8:E44)+E46-E45</f>
        <v>270604801</v>
      </c>
      <c r="F47" s="93">
        <f t="shared" si="0"/>
        <v>60097622</v>
      </c>
      <c r="G47" s="93">
        <f t="shared" si="0"/>
        <v>225088528</v>
      </c>
      <c r="H47" s="93">
        <f t="shared" si="0"/>
        <v>10966457847</v>
      </c>
      <c r="I47" s="93">
        <f t="shared" si="0"/>
        <v>2228046456</v>
      </c>
      <c r="J47" s="93">
        <f t="shared" si="0"/>
        <v>718569170</v>
      </c>
      <c r="K47" s="210">
        <f>SUM(D47:J47)</f>
        <v>16044651933</v>
      </c>
      <c r="L47" s="104">
        <f>+[7]Balance!$C$47</f>
        <v>16044651933</v>
      </c>
      <c r="M47" s="210">
        <f>+K47-L47</f>
        <v>0</v>
      </c>
    </row>
    <row r="48" spans="1:13" s="96" customFormat="1" ht="26.25" customHeight="1">
      <c r="A48" s="243" t="s">
        <v>289</v>
      </c>
      <c r="B48" s="253" t="s">
        <v>223</v>
      </c>
      <c r="C48" s="254"/>
      <c r="D48" s="94"/>
      <c r="E48" s="93">
        <f t="shared" ref="E48:J48" si="1">E47*E3</f>
        <v>54120960.200000003</v>
      </c>
      <c r="F48" s="93">
        <f t="shared" si="1"/>
        <v>21034167.699999999</v>
      </c>
      <c r="G48" s="93">
        <f t="shared" si="1"/>
        <v>112544264</v>
      </c>
      <c r="H48" s="93">
        <f t="shared" si="1"/>
        <v>10966457847</v>
      </c>
      <c r="I48" s="93">
        <f t="shared" si="1"/>
        <v>3342069684</v>
      </c>
      <c r="J48" s="93">
        <f t="shared" si="1"/>
        <v>1437138340</v>
      </c>
      <c r="K48" s="104"/>
      <c r="L48" s="104"/>
    </row>
    <row r="49" spans="1:13" s="96" customFormat="1" ht="21" customHeight="1">
      <c r="A49" s="243" t="s">
        <v>296</v>
      </c>
      <c r="B49" s="253" t="s">
        <v>224</v>
      </c>
      <c r="C49" s="254"/>
      <c r="D49" s="94"/>
      <c r="E49" s="94"/>
      <c r="F49" s="94"/>
      <c r="G49" s="94"/>
      <c r="H49" s="94"/>
      <c r="I49" s="94"/>
      <c r="J49" s="93">
        <f>SUM(E48:J48)</f>
        <v>15933365262.9</v>
      </c>
      <c r="K49" s="104"/>
    </row>
    <row r="50" spans="1:13" s="96" customFormat="1">
      <c r="A50" s="105"/>
      <c r="B50" s="106"/>
      <c r="C50" s="106"/>
      <c r="D50" s="95"/>
      <c r="E50" s="95"/>
      <c r="F50" s="95"/>
      <c r="G50" s="95"/>
      <c r="H50" s="95"/>
      <c r="J50" s="104"/>
    </row>
    <row r="51" spans="1:13" s="96" customFormat="1">
      <c r="A51" s="105"/>
      <c r="B51" s="107"/>
      <c r="C51" s="107"/>
      <c r="D51" s="107"/>
      <c r="E51" s="107"/>
      <c r="F51" s="107"/>
      <c r="G51" s="107"/>
      <c r="H51" s="107"/>
      <c r="I51" s="107"/>
    </row>
    <row r="52" spans="1:13" s="96" customFormat="1" ht="48.75" customHeight="1">
      <c r="A52" s="217" t="s">
        <v>52</v>
      </c>
      <c r="B52" s="243" t="s">
        <v>227</v>
      </c>
      <c r="C52" s="218" t="s">
        <v>225</v>
      </c>
      <c r="D52" s="216">
        <v>0</v>
      </c>
      <c r="E52" s="216">
        <v>0.2</v>
      </c>
      <c r="F52" s="216">
        <v>0.35</v>
      </c>
      <c r="G52" s="216">
        <v>0.5</v>
      </c>
      <c r="H52" s="216">
        <v>1</v>
      </c>
      <c r="I52" s="216">
        <v>1.5</v>
      </c>
      <c r="J52" s="216">
        <v>2</v>
      </c>
    </row>
    <row r="53" spans="1:13" s="96" customFormat="1">
      <c r="A53" s="217">
        <v>1</v>
      </c>
      <c r="B53" s="215" t="s">
        <v>228</v>
      </c>
      <c r="C53" s="94"/>
      <c r="D53" s="94"/>
      <c r="E53" s="94"/>
      <c r="F53" s="94"/>
      <c r="G53" s="94"/>
      <c r="H53" s="94"/>
      <c r="I53" s="94"/>
      <c r="J53" s="94"/>
    </row>
    <row r="54" spans="1:13" s="96" customFormat="1" ht="12.75" customHeight="1">
      <c r="A54" s="217" t="s">
        <v>31</v>
      </c>
      <c r="B54" s="213" t="s">
        <v>229</v>
      </c>
      <c r="C54" s="117">
        <v>0.5</v>
      </c>
      <c r="D54" s="4">
        <v>0</v>
      </c>
      <c r="E54" s="4">
        <v>0</v>
      </c>
      <c r="F54" s="94"/>
      <c r="G54" s="4">
        <v>0</v>
      </c>
      <c r="H54" s="4">
        <v>277733571</v>
      </c>
      <c r="I54" s="4">
        <v>0</v>
      </c>
      <c r="J54" s="4">
        <v>0</v>
      </c>
    </row>
    <row r="55" spans="1:13" s="96" customFormat="1">
      <c r="A55" s="217" t="s">
        <v>33</v>
      </c>
      <c r="B55" s="213" t="s">
        <v>230</v>
      </c>
      <c r="C55" s="117">
        <v>0.2</v>
      </c>
      <c r="D55" s="4">
        <v>0</v>
      </c>
      <c r="E55" s="4">
        <v>0</v>
      </c>
      <c r="F55" s="94"/>
      <c r="G55" s="4">
        <v>0</v>
      </c>
      <c r="H55" s="4">
        <v>49405470</v>
      </c>
      <c r="I55" s="4"/>
      <c r="J55" s="4"/>
      <c r="K55" s="221">
        <f>SUM(D54:J55)</f>
        <v>327139041</v>
      </c>
      <c r="L55" s="221">
        <f>+[7]Commitments!$C$4</f>
        <v>327139041</v>
      </c>
      <c r="M55" s="222">
        <f>+K55-L55</f>
        <v>0</v>
      </c>
    </row>
    <row r="56" spans="1:13" s="96" customFormat="1" ht="26.25" customHeight="1">
      <c r="A56" s="217">
        <v>2</v>
      </c>
      <c r="B56" s="215" t="s">
        <v>231</v>
      </c>
      <c r="C56" s="117">
        <v>1</v>
      </c>
      <c r="D56" s="4"/>
      <c r="E56" s="4"/>
      <c r="F56" s="94"/>
      <c r="G56" s="4"/>
      <c r="H56" s="4"/>
      <c r="I56" s="94"/>
      <c r="J56" s="94"/>
      <c r="M56" s="222"/>
    </row>
    <row r="57" spans="1:13" s="96" customFormat="1">
      <c r="A57" s="217">
        <v>3</v>
      </c>
      <c r="B57" s="215" t="s">
        <v>232</v>
      </c>
      <c r="C57" s="117">
        <v>1</v>
      </c>
      <c r="D57" s="4">
        <v>0</v>
      </c>
      <c r="E57" s="4">
        <v>0</v>
      </c>
      <c r="F57" s="94"/>
      <c r="G57" s="4">
        <v>0</v>
      </c>
      <c r="H57" s="4">
        <v>622189526</v>
      </c>
      <c r="I57" s="4">
        <v>0</v>
      </c>
      <c r="J57" s="4">
        <v>0</v>
      </c>
      <c r="K57" s="221">
        <f>SUM(D57:J57)</f>
        <v>622189526</v>
      </c>
      <c r="L57" s="221">
        <f>+[7]Commitments!$C$7</f>
        <v>622189526</v>
      </c>
      <c r="M57" s="222">
        <f>+K57-L57</f>
        <v>0</v>
      </c>
    </row>
    <row r="58" spans="1:13" s="96" customFormat="1">
      <c r="A58" s="217">
        <v>4</v>
      </c>
      <c r="B58" s="215" t="s">
        <v>233</v>
      </c>
      <c r="C58" s="108"/>
      <c r="D58" s="94"/>
      <c r="E58" s="94"/>
      <c r="F58" s="94"/>
      <c r="G58" s="94"/>
      <c r="H58" s="94"/>
      <c r="I58" s="94"/>
      <c r="J58" s="94"/>
      <c r="M58" s="222"/>
    </row>
    <row r="59" spans="1:13" s="96" customFormat="1">
      <c r="A59" s="217" t="s">
        <v>31</v>
      </c>
      <c r="B59" s="213" t="s">
        <v>234</v>
      </c>
      <c r="C59" s="117">
        <v>1</v>
      </c>
      <c r="D59" s="4">
        <v>0</v>
      </c>
      <c r="E59" s="4">
        <v>0</v>
      </c>
      <c r="F59" s="94"/>
      <c r="G59" s="4">
        <v>0</v>
      </c>
      <c r="H59" s="4">
        <v>0</v>
      </c>
      <c r="I59" s="94"/>
      <c r="J59" s="4">
        <v>0</v>
      </c>
      <c r="M59" s="222"/>
    </row>
    <row r="60" spans="1:13" s="96" customFormat="1">
      <c r="A60" s="217" t="s">
        <v>33</v>
      </c>
      <c r="B60" s="213" t="s">
        <v>235</v>
      </c>
      <c r="C60" s="117">
        <v>0.5</v>
      </c>
      <c r="D60" s="4">
        <v>0</v>
      </c>
      <c r="E60" s="4">
        <v>0</v>
      </c>
      <c r="F60" s="94"/>
      <c r="G60" s="4">
        <v>0</v>
      </c>
      <c r="H60" s="4">
        <v>0</v>
      </c>
      <c r="I60" s="94"/>
      <c r="J60" s="4">
        <v>0</v>
      </c>
      <c r="M60" s="222"/>
    </row>
    <row r="61" spans="1:13" s="96" customFormat="1" ht="12.75" customHeight="1">
      <c r="A61" s="217" t="s">
        <v>35</v>
      </c>
      <c r="B61" s="213" t="s">
        <v>236</v>
      </c>
      <c r="C61" s="117">
        <v>0.2</v>
      </c>
      <c r="D61" s="4">
        <v>0</v>
      </c>
      <c r="E61" s="4">
        <v>0</v>
      </c>
      <c r="F61" s="94"/>
      <c r="G61" s="4">
        <v>0</v>
      </c>
      <c r="H61" s="4">
        <v>0</v>
      </c>
      <c r="I61" s="94"/>
      <c r="J61" s="4">
        <v>0</v>
      </c>
      <c r="M61" s="222"/>
    </row>
    <row r="62" spans="1:13" s="96" customFormat="1">
      <c r="A62" s="217" t="s">
        <v>42</v>
      </c>
      <c r="B62" s="213" t="s">
        <v>237</v>
      </c>
      <c r="C62" s="117">
        <v>1</v>
      </c>
      <c r="D62" s="4">
        <v>158636020</v>
      </c>
      <c r="E62" s="4">
        <v>0</v>
      </c>
      <c r="F62" s="94"/>
      <c r="G62" s="4">
        <v>0</v>
      </c>
      <c r="H62" s="4">
        <v>0</v>
      </c>
      <c r="I62" s="94"/>
      <c r="J62" s="4">
        <v>0</v>
      </c>
      <c r="K62" s="221">
        <f>SUM(D59:J62)</f>
        <v>158636020</v>
      </c>
      <c r="L62" s="221">
        <f>+[7]Commitments!$C$10</f>
        <v>158636020</v>
      </c>
      <c r="M62" s="222">
        <f>+K62-L62</f>
        <v>0</v>
      </c>
    </row>
    <row r="63" spans="1:13" s="96" customFormat="1" ht="16.5" customHeight="1">
      <c r="A63" s="217">
        <v>5</v>
      </c>
      <c r="B63" s="215" t="s">
        <v>268</v>
      </c>
      <c r="C63" s="108"/>
      <c r="D63" s="94"/>
      <c r="E63" s="94"/>
      <c r="F63" s="94"/>
      <c r="G63" s="94"/>
      <c r="H63" s="94"/>
      <c r="I63" s="94"/>
      <c r="J63" s="94"/>
      <c r="M63" s="222"/>
    </row>
    <row r="64" spans="1:13" s="96" customFormat="1">
      <c r="A64" s="217" t="s">
        <v>31</v>
      </c>
      <c r="B64" s="213" t="s">
        <v>238</v>
      </c>
      <c r="C64" s="108"/>
      <c r="D64" s="94"/>
      <c r="E64" s="94"/>
      <c r="F64" s="94"/>
      <c r="G64" s="94"/>
      <c r="H64" s="94"/>
      <c r="I64" s="94"/>
      <c r="J64" s="94"/>
      <c r="M64" s="222"/>
    </row>
    <row r="65" spans="1:31" s="96" customFormat="1">
      <c r="A65" s="217" t="s">
        <v>58</v>
      </c>
      <c r="B65" s="214" t="s">
        <v>239</v>
      </c>
      <c r="C65" s="118">
        <v>5.0000000000000001E-3</v>
      </c>
      <c r="D65" s="4">
        <v>0</v>
      </c>
      <c r="E65" s="4">
        <v>0</v>
      </c>
      <c r="F65" s="94"/>
      <c r="G65" s="4">
        <v>0</v>
      </c>
      <c r="H65" s="4">
        <v>350626829</v>
      </c>
      <c r="I65" s="94"/>
      <c r="J65" s="94"/>
      <c r="M65" s="222"/>
    </row>
    <row r="66" spans="1:31" s="96" customFormat="1">
      <c r="A66" s="217" t="s">
        <v>59</v>
      </c>
      <c r="B66" s="214" t="s">
        <v>240</v>
      </c>
      <c r="C66" s="117">
        <v>0.01</v>
      </c>
      <c r="D66" s="4">
        <v>0</v>
      </c>
      <c r="E66" s="4">
        <v>0</v>
      </c>
      <c r="F66" s="94"/>
      <c r="G66" s="4">
        <v>0</v>
      </c>
      <c r="H66" s="4">
        <v>0</v>
      </c>
      <c r="I66" s="94"/>
      <c r="J66" s="94"/>
      <c r="M66" s="222"/>
    </row>
    <row r="67" spans="1:31" s="96" customFormat="1">
      <c r="A67" s="217" t="s">
        <v>60</v>
      </c>
      <c r="B67" s="214" t="s">
        <v>241</v>
      </c>
      <c r="C67" s="117">
        <v>0.02</v>
      </c>
      <c r="D67" s="4">
        <v>0</v>
      </c>
      <c r="E67" s="4">
        <v>0</v>
      </c>
      <c r="F67" s="94"/>
      <c r="G67" s="4">
        <v>0</v>
      </c>
      <c r="H67" s="4">
        <v>0</v>
      </c>
      <c r="I67" s="94"/>
      <c r="J67" s="94"/>
      <c r="M67" s="222"/>
    </row>
    <row r="68" spans="1:31" s="96" customFormat="1">
      <c r="A68" s="217" t="s">
        <v>33</v>
      </c>
      <c r="B68" s="213" t="s">
        <v>242</v>
      </c>
      <c r="C68" s="108"/>
      <c r="D68" s="94"/>
      <c r="E68" s="94"/>
      <c r="F68" s="94"/>
      <c r="G68" s="94"/>
      <c r="H68" s="94"/>
      <c r="I68" s="94"/>
      <c r="J68" s="94"/>
      <c r="M68" s="222"/>
    </row>
    <row r="69" spans="1:31" s="96" customFormat="1">
      <c r="A69" s="217" t="s">
        <v>61</v>
      </c>
      <c r="B69" s="214" t="s">
        <v>243</v>
      </c>
      <c r="C69" s="117">
        <v>0.02</v>
      </c>
      <c r="D69" s="4">
        <v>0</v>
      </c>
      <c r="E69" s="4">
        <v>0</v>
      </c>
      <c r="F69" s="94"/>
      <c r="G69" s="4">
        <v>0</v>
      </c>
      <c r="H69" s="4">
        <v>0</v>
      </c>
      <c r="I69" s="94"/>
      <c r="J69" s="94"/>
      <c r="M69" s="104"/>
    </row>
    <row r="70" spans="1:31" s="96" customFormat="1">
      <c r="A70" s="217" t="s">
        <v>62</v>
      </c>
      <c r="B70" s="214" t="s">
        <v>244</v>
      </c>
      <c r="C70" s="117">
        <v>0.05</v>
      </c>
      <c r="D70" s="4">
        <v>0</v>
      </c>
      <c r="E70" s="4">
        <v>0</v>
      </c>
      <c r="F70" s="94"/>
      <c r="G70" s="4">
        <v>0</v>
      </c>
      <c r="H70" s="4">
        <v>0</v>
      </c>
      <c r="I70" s="94"/>
      <c r="J70" s="94"/>
    </row>
    <row r="71" spans="1:31" s="96" customFormat="1">
      <c r="A71" s="217" t="s">
        <v>63</v>
      </c>
      <c r="B71" s="214" t="s">
        <v>245</v>
      </c>
      <c r="C71" s="117">
        <v>0.08</v>
      </c>
      <c r="D71" s="4">
        <v>0</v>
      </c>
      <c r="E71" s="4">
        <v>0</v>
      </c>
      <c r="F71" s="94"/>
      <c r="G71" s="4">
        <v>0</v>
      </c>
      <c r="H71" s="4">
        <v>0</v>
      </c>
      <c r="I71" s="94"/>
      <c r="J71" s="94"/>
    </row>
    <row r="72" spans="1:31" s="96" customFormat="1">
      <c r="A72" s="244">
        <v>6</v>
      </c>
      <c r="B72" s="168" t="s">
        <v>246</v>
      </c>
      <c r="C72" s="108"/>
      <c r="D72" s="93">
        <f t="shared" ref="D72:G72" si="2">SUM(D54:D71)</f>
        <v>158636020</v>
      </c>
      <c r="E72" s="93">
        <f t="shared" si="2"/>
        <v>0</v>
      </c>
      <c r="F72" s="93">
        <f t="shared" si="2"/>
        <v>0</v>
      </c>
      <c r="G72" s="93">
        <f t="shared" si="2"/>
        <v>0</v>
      </c>
      <c r="H72" s="93">
        <f>SUM(H54:H71)</f>
        <v>1299955396</v>
      </c>
      <c r="I72" s="93">
        <f>SUM(I54:I71)</f>
        <v>0</v>
      </c>
      <c r="J72" s="93">
        <f>SUM(J54:J71)</f>
        <v>0</v>
      </c>
      <c r="K72" s="221"/>
      <c r="L72" s="221"/>
      <c r="M72" s="223"/>
    </row>
    <row r="73" spans="1:31" s="96" customFormat="1">
      <c r="A73" s="244">
        <v>7</v>
      </c>
      <c r="B73" s="168" t="s">
        <v>226</v>
      </c>
      <c r="C73" s="108"/>
      <c r="D73" s="93">
        <f>+(D54*$C$54*$D$3)+(D55*$C$55*$D$3)+(D56*$C$56*$D$3)+(D57*$C$57*$D$3)+(D59*$C$59*$D$3)+(D60*$C$60*$D$3)+(D61*$C$61*$D$3)+(D62*$C$62*$D$3)+(D65*$C$65*$D$3)+(D66*$C$66*$D$3)+(D67*$C$67*$D$3)+(D69*$C$69*$D$3)+(D70*$C$70*$D$3)+(D71*$C$71*$D$3)</f>
        <v>0</v>
      </c>
      <c r="E73" s="93">
        <f>+(E54*$C$54*$E$3)+(E55*$C$55*$E$3)+(E56*$C$56*$E$3)+(E57*$C$57*$E$3)+(E59*$C$59*$E$3)+(E60*$C$60*$E$3)+(E61*$C$61*$E$3)+(E62*$C$62*$E$3)+(E65*$C$65*$E$3)+(E66*$C$66*$E$3)+(E67*$C$67*$E$3)+(E69*$C$69*$E$3)+(E70*$C$70*$E$3)+(E71*$C$71*$E$3)</f>
        <v>0</v>
      </c>
      <c r="F73" s="93">
        <f>+(F54*$C$54*$F$3)+(F55*$C$55*$F$3)+(F56*$C$56*$F$3)+(F57*$C$57*$F$3)+(F59*$C$59*$F$3)+(F60*$C$60*$F$3)+(F61*$C$61*$F$3)+(F62*$C$62*$F$3)+(F65*$C$65*$F$3)+(F66*$C$66*$F$3)+(F67*$C$67*$F$3)+(F69*$C$69*$F$3)+(F70*$C$70*$F$3)+(F71*$C$71*$F$3)</f>
        <v>0</v>
      </c>
      <c r="G73" s="93">
        <f>+(G54*$C$54*$G$3)+(G55*$C$55*$G$3)+(G56*$C$56*$G$3)+(G57*$C$57*$G$3)+(G59*$C$59*$G$3)+(G60*$C$60*$G$3)+(G61*$C$61*$G$3)+(G62*$C$62*$G$3)+(G65*$C$65*$G$3)+(G66*$C$66*$G$3)+(G67*$C$67*$G$3)+(G69*$C$69*$G$3)+(G70*$C$70*$G$3)+(G71*$C$71*$G$3)</f>
        <v>0</v>
      </c>
      <c r="H73" s="93">
        <f>+(H54*$C$54*$H$3)+(H55*$C$55*$H$3)+(H56*$C$56*$H$3)+(H57*$C$57*$H$3)+(H59*$C$59*$H$3)+(H60*$C$60*$H$3)+(H61*$C$61*$H$3)+(H62*$C$62*$H$3)+(H65*$C$65*$H$3)+(H66*$C$66*$H$3)+(H67*$C$67*$H$3)+(H69*$C$69*$H$3)+(H70*$C$70*$H$3)+(H71*$C$71*$H$3)</f>
        <v>772690539.64499998</v>
      </c>
      <c r="I73" s="93">
        <f>+(I54*$C$54*$I$3)+(I55*$C$55*$I$3)+(I56*$C$56*$I$3)+(I57*$C$57*$I$3)+(I59*$C$59*$I$3)+(I60*$C$60*$I$3)+(I61*$C$61*$I$3)+(I62*$C$62*$I$3)+(I65*$C$65*$I$3)+(I66*$C$66*$I$3)+(I67*$C$67*$I$3)+(I69*$C$69*$I$3)+(I70*$C$70*$I$3)+(I71*$C$71*$I$3)</f>
        <v>0</v>
      </c>
      <c r="J73" s="93">
        <f>+(J54*$C$54*$J$3)+(J55*$C$55*$J$3)+(J56*$C$56*$J$3)+(J57*$C$57*$J$3)+(J59*$C$59*$J$3)+(J60*$C$60*$J$3)+(J61*$C$61*$J$3)+(J62*$C$62*$J$3)+(J65*$C$65*$J$3)+(J66*$C$66*$J$3)+(J67*$C$67*$J$3)+(J69*$C$69*$J$3)+(J70*$C$70*$J$3)+(J71*$C$71*$J$3)</f>
        <v>0</v>
      </c>
      <c r="K73" s="222"/>
    </row>
    <row r="74" spans="1:31" s="96" customFormat="1">
      <c r="A74" s="244">
        <v>8</v>
      </c>
      <c r="B74" s="168" t="s">
        <v>247</v>
      </c>
      <c r="C74" s="108"/>
      <c r="D74" s="94"/>
      <c r="E74" s="94"/>
      <c r="F74" s="94"/>
      <c r="G74" s="94"/>
      <c r="H74" s="94"/>
      <c r="I74" s="94"/>
      <c r="J74" s="93">
        <f>SUM(D73:J73)</f>
        <v>772690539.64499998</v>
      </c>
    </row>
    <row r="75" spans="1:31" s="96" customFormat="1">
      <c r="A75" s="244">
        <v>9</v>
      </c>
      <c r="B75" s="168" t="s">
        <v>248</v>
      </c>
      <c r="C75" s="108"/>
      <c r="D75" s="94"/>
      <c r="E75" s="94"/>
      <c r="F75" s="94"/>
      <c r="G75" s="94"/>
      <c r="H75" s="94"/>
      <c r="I75" s="94"/>
      <c r="J75" s="93">
        <f>SUM(J74+J49)</f>
        <v>16706055802.545</v>
      </c>
    </row>
    <row r="76" spans="1:31">
      <c r="A76" s="248"/>
      <c r="B76" s="247"/>
      <c r="H76" s="114"/>
      <c r="J76" s="97"/>
    </row>
    <row r="77" spans="1:31" s="203" customFormat="1" ht="15" customHeight="1">
      <c r="A77" s="249"/>
      <c r="B77" s="250" t="s">
        <v>269</v>
      </c>
      <c r="C77" s="201"/>
      <c r="D77" s="219"/>
      <c r="E77" s="220"/>
      <c r="F77" s="220"/>
      <c r="G77" s="220"/>
      <c r="H77" s="220"/>
      <c r="I77" s="220"/>
      <c r="J77" s="220"/>
      <c r="K77" s="202"/>
      <c r="L77" s="201"/>
      <c r="M77" s="201"/>
      <c r="O77" s="201"/>
      <c r="P77" s="201"/>
      <c r="Q77" s="201"/>
      <c r="R77" s="201"/>
      <c r="S77" s="201"/>
      <c r="T77" s="201"/>
      <c r="U77" s="201"/>
      <c r="V77" s="201"/>
      <c r="W77" s="201"/>
      <c r="X77" s="201"/>
      <c r="Y77" s="201"/>
      <c r="Z77" s="201"/>
      <c r="AA77" s="201"/>
      <c r="AB77" s="201"/>
      <c r="AC77" s="201"/>
    </row>
    <row r="78" spans="1:31" s="203" customFormat="1" ht="11.25" customHeight="1">
      <c r="A78" s="249"/>
      <c r="B78" s="250"/>
      <c r="C78" s="201"/>
      <c r="D78" s="201"/>
      <c r="E78" s="202"/>
      <c r="F78" s="202"/>
      <c r="G78" s="202"/>
      <c r="H78" s="202"/>
      <c r="I78" s="202"/>
      <c r="J78" s="202"/>
      <c r="K78" s="202"/>
      <c r="L78" s="201"/>
      <c r="M78" s="201"/>
      <c r="O78" s="201"/>
      <c r="P78" s="201"/>
      <c r="Q78" s="201"/>
      <c r="R78" s="201"/>
      <c r="S78" s="201"/>
      <c r="T78" s="201"/>
      <c r="U78" s="201"/>
      <c r="V78" s="201"/>
      <c r="W78" s="201"/>
      <c r="X78" s="201"/>
      <c r="Y78" s="201"/>
      <c r="Z78" s="201"/>
      <c r="AA78" s="201"/>
      <c r="AB78" s="201"/>
      <c r="AC78" s="201"/>
    </row>
    <row r="79" spans="1:31" s="203" customFormat="1" ht="15" customHeight="1">
      <c r="A79" s="249"/>
      <c r="B79" s="250" t="s">
        <v>270</v>
      </c>
      <c r="C79" s="183"/>
      <c r="E79" s="201"/>
      <c r="J79" s="219"/>
      <c r="K79" s="202"/>
      <c r="L79" s="202"/>
      <c r="M79" s="202"/>
      <c r="O79" s="201"/>
      <c r="P79" s="201"/>
      <c r="Q79" s="201"/>
      <c r="R79" s="201"/>
      <c r="S79" s="201"/>
      <c r="T79" s="201"/>
      <c r="U79" s="201"/>
      <c r="V79" s="201"/>
      <c r="W79" s="201"/>
      <c r="X79" s="201"/>
      <c r="Y79" s="201"/>
      <c r="Z79" s="201"/>
      <c r="AA79" s="201"/>
      <c r="AB79" s="201"/>
      <c r="AC79" s="201"/>
      <c r="AD79" s="201"/>
      <c r="AE79" s="201"/>
    </row>
    <row r="80" spans="1:31">
      <c r="I80" s="219"/>
    </row>
  </sheetData>
  <sheetProtection password="CACA" sheet="1" objects="1" scenarios="1"/>
  <mergeCells count="48">
    <mergeCell ref="B12:C12"/>
    <mergeCell ref="B13:C13"/>
    <mergeCell ref="B14:C14"/>
    <mergeCell ref="B15:C15"/>
    <mergeCell ref="B7:C7"/>
    <mergeCell ref="B11:C11"/>
    <mergeCell ref="B10:C10"/>
    <mergeCell ref="B9:C9"/>
    <mergeCell ref="B8:C8"/>
    <mergeCell ref="A1:I1"/>
    <mergeCell ref="A3:A5"/>
    <mergeCell ref="H2:I2"/>
    <mergeCell ref="B3:C5"/>
    <mergeCell ref="B6:C6"/>
    <mergeCell ref="B16:C16"/>
    <mergeCell ref="B17:C17"/>
    <mergeCell ref="B18:C18"/>
    <mergeCell ref="B19:C19"/>
    <mergeCell ref="B20:C20"/>
    <mergeCell ref="B22:C22"/>
    <mergeCell ref="B23:C23"/>
    <mergeCell ref="B24:C24"/>
    <mergeCell ref="B25:C25"/>
    <mergeCell ref="B26:C26"/>
    <mergeCell ref="B34:C34"/>
    <mergeCell ref="B35:C35"/>
    <mergeCell ref="B36:C36"/>
    <mergeCell ref="B27:C27"/>
    <mergeCell ref="B28:C28"/>
    <mergeCell ref="B29:C29"/>
    <mergeCell ref="B30:C30"/>
    <mergeCell ref="B31:C31"/>
    <mergeCell ref="B47:C47"/>
    <mergeCell ref="B48:C48"/>
    <mergeCell ref="B49:C49"/>
    <mergeCell ref="B21:C21"/>
    <mergeCell ref="B42:C42"/>
    <mergeCell ref="B43:C43"/>
    <mergeCell ref="B44:C44"/>
    <mergeCell ref="B45:C45"/>
    <mergeCell ref="B46:C46"/>
    <mergeCell ref="B37:C37"/>
    <mergeCell ref="B38:C38"/>
    <mergeCell ref="B39:C39"/>
    <mergeCell ref="B40:C40"/>
    <mergeCell ref="B41:C41"/>
    <mergeCell ref="B32:C32"/>
    <mergeCell ref="B33:C33"/>
  </mergeCells>
  <phoneticPr fontId="9" type="noConversion"/>
  <conditionalFormatting sqref="K47">
    <cfRule type="cellIs" dxfId="2" priority="7" operator="notEqual">
      <formula>L47</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D24:E24 G54:H57 H26:I26 J43:J44 G15:I18 D39 D8 I54:J55 G69:H71 G20:I20 H19 D31 J26:J33 D10 E9:E11 G11:I11 J37:J41 F27:I27 I37:I38 D29 D25 H34:H38 D13:E18 D42:D43 D20:E20 H41:H43 D46:J46 D59:E62 J59:J62 D65:E67 G59:H62 I57:J57 D69:E71 D54:E57 G65:H67 D22:D23 H28:I32 D45" xr:uid="{00000000-0002-0000-0200-000000000000}">
      <formula1>-1E+22</formula1>
      <formula2>1E+22</formula2>
    </dataValidation>
    <dataValidation type="whole" operator="greaterThanOrEqual" allowBlank="1" showInputMessage="1" showErrorMessage="1" sqref="F59:F62 F65:F67 F69:F71 F54:F57 I65:J67 I69:J71 I59:I62 I56:J56 D63:J64 D68:J68 D58:J58" xr:uid="{00000000-0002-0000-02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6">
    <pageSetUpPr fitToPage="1"/>
  </sheetPr>
  <dimension ref="A1:AE80"/>
  <sheetViews>
    <sheetView view="pageBreakPreview" zoomScale="70" zoomScaleNormal="85" zoomScaleSheetLayoutView="70" workbookViewId="0">
      <pane xSplit="3" ySplit="7" topLeftCell="D47" activePane="bottomRight" state="frozen"/>
      <selection sqref="A1:B1"/>
      <selection pane="topRight" sqref="A1:B1"/>
      <selection pane="bottomLeft" sqref="A1:B1"/>
      <selection pane="bottomRight" activeCell="K32" sqref="K32"/>
    </sheetView>
  </sheetViews>
  <sheetFormatPr defaultRowHeight="12.75"/>
  <cols>
    <col min="1" max="1" width="5.42578125" style="101" customWidth="1"/>
    <col min="2" max="2" width="67" style="97" customWidth="1"/>
    <col min="3" max="3" width="13" style="97" customWidth="1"/>
    <col min="4" max="9" width="14.5703125" style="97" customWidth="1"/>
    <col min="10" max="10" width="14.5703125" style="114" customWidth="1"/>
    <col min="11" max="13" width="20.85546875" style="97" customWidth="1"/>
    <col min="14" max="14" width="14.28515625" style="97" bestFit="1" customWidth="1"/>
    <col min="15" max="16" width="10.28515625" style="97" customWidth="1"/>
    <col min="17" max="16384" width="9.140625" style="97"/>
  </cols>
  <sheetData>
    <row r="1" spans="1:12" ht="26.25" customHeight="1">
      <c r="A1" s="255" t="s">
        <v>249</v>
      </c>
      <c r="B1" s="255"/>
      <c r="C1" s="255"/>
      <c r="D1" s="255"/>
      <c r="E1" s="255"/>
      <c r="F1" s="255"/>
      <c r="G1" s="255"/>
      <c r="H1" s="255"/>
      <c r="I1" s="255"/>
      <c r="J1" s="166" t="s">
        <v>252</v>
      </c>
    </row>
    <row r="2" spans="1:12" ht="25.5" customHeight="1">
      <c r="B2" s="102" t="str">
        <f>+'Bank Capital Calc'!B3</f>
        <v>"Алоқабанк"</v>
      </c>
      <c r="C2" s="102"/>
      <c r="E2" s="100"/>
      <c r="F2" s="100"/>
      <c r="H2" s="257">
        <f>+'Bank Capital Calc'!C3</f>
        <v>45291</v>
      </c>
      <c r="I2" s="257"/>
      <c r="J2" s="167" t="s">
        <v>267</v>
      </c>
      <c r="K2" s="114"/>
    </row>
    <row r="3" spans="1:12">
      <c r="A3" s="256" t="s">
        <v>52</v>
      </c>
      <c r="B3" s="258" t="s">
        <v>131</v>
      </c>
      <c r="C3" s="259"/>
      <c r="D3" s="216">
        <v>0</v>
      </c>
      <c r="E3" s="216">
        <v>0.2</v>
      </c>
      <c r="F3" s="216">
        <v>0.35</v>
      </c>
      <c r="G3" s="216">
        <v>0.5</v>
      </c>
      <c r="H3" s="216">
        <v>1</v>
      </c>
      <c r="I3" s="216">
        <v>1.5</v>
      </c>
      <c r="J3" s="216">
        <v>2</v>
      </c>
      <c r="K3" s="209"/>
      <c r="L3" s="114"/>
    </row>
    <row r="4" spans="1:12" ht="20.25" customHeight="1">
      <c r="A4" s="256"/>
      <c r="B4" s="260"/>
      <c r="C4" s="261"/>
      <c r="D4" s="243" t="s">
        <v>184</v>
      </c>
      <c r="E4" s="243" t="s">
        <v>184</v>
      </c>
      <c r="F4" s="243" t="s">
        <v>184</v>
      </c>
      <c r="G4" s="243" t="s">
        <v>184</v>
      </c>
      <c r="H4" s="243" t="s">
        <v>184</v>
      </c>
      <c r="I4" s="243" t="s">
        <v>184</v>
      </c>
      <c r="J4" s="243" t="s">
        <v>184</v>
      </c>
      <c r="L4" s="114"/>
    </row>
    <row r="5" spans="1:12" ht="20.25" customHeight="1">
      <c r="A5" s="256"/>
      <c r="B5" s="262"/>
      <c r="C5" s="263"/>
      <c r="D5" s="243" t="s">
        <v>185</v>
      </c>
      <c r="E5" s="243" t="s">
        <v>186</v>
      </c>
      <c r="F5" s="243" t="s">
        <v>187</v>
      </c>
      <c r="G5" s="243" t="s">
        <v>188</v>
      </c>
      <c r="H5" s="243" t="s">
        <v>189</v>
      </c>
      <c r="I5" s="243" t="s">
        <v>190</v>
      </c>
      <c r="J5" s="243" t="s">
        <v>191</v>
      </c>
      <c r="L5" s="114"/>
    </row>
    <row r="6" spans="1:12">
      <c r="A6" s="243"/>
      <c r="B6" s="264" t="s">
        <v>26</v>
      </c>
      <c r="C6" s="265"/>
      <c r="D6" s="116" t="s">
        <v>27</v>
      </c>
      <c r="E6" s="116" t="s">
        <v>28</v>
      </c>
      <c r="F6" s="116" t="s">
        <v>29</v>
      </c>
      <c r="G6" s="116" t="s">
        <v>53</v>
      </c>
      <c r="H6" s="116" t="s">
        <v>54</v>
      </c>
      <c r="I6" s="116" t="s">
        <v>57</v>
      </c>
      <c r="J6" s="116" t="s">
        <v>64</v>
      </c>
      <c r="L6" s="114"/>
    </row>
    <row r="7" spans="1:12">
      <c r="A7" s="243"/>
      <c r="B7" s="266" t="s">
        <v>192</v>
      </c>
      <c r="C7" s="267"/>
      <c r="D7" s="103"/>
      <c r="E7" s="103"/>
      <c r="F7" s="103"/>
      <c r="G7" s="103"/>
      <c r="H7" s="103"/>
      <c r="I7" s="103"/>
      <c r="J7" s="103"/>
      <c r="L7" s="114"/>
    </row>
    <row r="8" spans="1:12" s="96" customFormat="1" ht="21" customHeight="1">
      <c r="A8" s="243" t="s">
        <v>55</v>
      </c>
      <c r="B8" s="253" t="s">
        <v>193</v>
      </c>
      <c r="C8" s="254"/>
      <c r="D8" s="4">
        <v>218070289</v>
      </c>
      <c r="E8" s="94"/>
      <c r="F8" s="94"/>
      <c r="G8" s="94"/>
      <c r="H8" s="94"/>
      <c r="I8" s="94"/>
      <c r="J8" s="94"/>
      <c r="K8" s="210"/>
      <c r="L8" s="104"/>
    </row>
    <row r="9" spans="1:12" s="96" customFormat="1" ht="21" customHeight="1">
      <c r="A9" s="243" t="s">
        <v>65</v>
      </c>
      <c r="B9" s="253" t="s">
        <v>194</v>
      </c>
      <c r="C9" s="254"/>
      <c r="D9" s="94"/>
      <c r="E9" s="4">
        <v>12930000</v>
      </c>
      <c r="F9" s="94"/>
      <c r="G9" s="94"/>
      <c r="H9" s="94"/>
      <c r="I9" s="94"/>
      <c r="J9" s="94"/>
      <c r="K9" s="210"/>
      <c r="L9" s="104"/>
    </row>
    <row r="10" spans="1:12" s="96" customFormat="1" ht="21" customHeight="1">
      <c r="A10" s="243" t="s">
        <v>66</v>
      </c>
      <c r="B10" s="253" t="s">
        <v>195</v>
      </c>
      <c r="C10" s="254"/>
      <c r="D10" s="4">
        <v>751379622</v>
      </c>
      <c r="E10" s="4">
        <v>0</v>
      </c>
      <c r="F10" s="94"/>
      <c r="G10" s="94"/>
      <c r="H10" s="94"/>
      <c r="I10" s="94"/>
      <c r="J10" s="94"/>
      <c r="K10" s="210"/>
      <c r="L10" s="104"/>
    </row>
    <row r="11" spans="1:12" s="96" customFormat="1" ht="27.75" customHeight="1">
      <c r="A11" s="243" t="s">
        <v>67</v>
      </c>
      <c r="B11" s="253" t="s">
        <v>277</v>
      </c>
      <c r="C11" s="254"/>
      <c r="D11" s="94"/>
      <c r="E11" s="4">
        <v>0</v>
      </c>
      <c r="F11" s="94"/>
      <c r="G11" s="4">
        <v>0</v>
      </c>
      <c r="H11" s="4">
        <v>153860643</v>
      </c>
      <c r="I11" s="4">
        <v>1643291</v>
      </c>
      <c r="J11" s="94"/>
      <c r="K11" s="210"/>
      <c r="L11" s="104"/>
    </row>
    <row r="12" spans="1:12" s="96" customFormat="1" ht="21" customHeight="1">
      <c r="A12" s="243" t="s">
        <v>68</v>
      </c>
      <c r="B12" s="253" t="s">
        <v>196</v>
      </c>
      <c r="C12" s="254"/>
      <c r="D12" s="94"/>
      <c r="E12" s="94"/>
      <c r="F12" s="94"/>
      <c r="G12" s="94"/>
      <c r="H12" s="94"/>
      <c r="I12" s="94"/>
      <c r="J12" s="94"/>
      <c r="K12" s="210"/>
      <c r="L12" s="104"/>
    </row>
    <row r="13" spans="1:12" s="96" customFormat="1" ht="27.75" customHeight="1">
      <c r="A13" s="243" t="s">
        <v>37</v>
      </c>
      <c r="B13" s="253" t="s">
        <v>197</v>
      </c>
      <c r="C13" s="254"/>
      <c r="D13" s="4">
        <v>209969287</v>
      </c>
      <c r="E13" s="4">
        <v>0</v>
      </c>
      <c r="F13" s="94"/>
      <c r="G13" s="94"/>
      <c r="H13" s="94"/>
      <c r="I13" s="94"/>
      <c r="J13" s="94"/>
      <c r="K13" s="210"/>
      <c r="L13" s="104"/>
    </row>
    <row r="14" spans="1:12" s="96" customFormat="1" ht="21" customHeight="1">
      <c r="A14" s="243" t="s">
        <v>33</v>
      </c>
      <c r="B14" s="253" t="s">
        <v>279</v>
      </c>
      <c r="C14" s="254"/>
      <c r="D14" s="4">
        <v>0</v>
      </c>
      <c r="E14" s="4">
        <v>0</v>
      </c>
      <c r="F14" s="94"/>
      <c r="G14" s="94"/>
      <c r="H14" s="94"/>
      <c r="I14" s="94"/>
      <c r="J14" s="94"/>
      <c r="K14" s="210"/>
      <c r="L14" s="104"/>
    </row>
    <row r="15" spans="1:12" s="96" customFormat="1" ht="38.25" customHeight="1">
      <c r="A15" s="243" t="s">
        <v>35</v>
      </c>
      <c r="B15" s="253" t="s">
        <v>198</v>
      </c>
      <c r="C15" s="254"/>
      <c r="D15" s="4">
        <v>0</v>
      </c>
      <c r="E15" s="4">
        <v>0</v>
      </c>
      <c r="F15" s="94"/>
      <c r="G15" s="4">
        <v>0</v>
      </c>
      <c r="H15" s="4">
        <v>0</v>
      </c>
      <c r="I15" s="4">
        <v>0</v>
      </c>
      <c r="J15" s="94"/>
      <c r="K15" s="210"/>
      <c r="L15" s="104"/>
    </row>
    <row r="16" spans="1:12" s="96" customFormat="1" ht="21" customHeight="1">
      <c r="A16" s="243" t="s">
        <v>42</v>
      </c>
      <c r="B16" s="253" t="s">
        <v>199</v>
      </c>
      <c r="C16" s="254"/>
      <c r="D16" s="4">
        <v>0</v>
      </c>
      <c r="E16" s="4">
        <v>0</v>
      </c>
      <c r="F16" s="94"/>
      <c r="G16" s="4">
        <v>0</v>
      </c>
      <c r="H16" s="4">
        <v>0</v>
      </c>
      <c r="I16" s="4">
        <v>0</v>
      </c>
      <c r="J16" s="94"/>
      <c r="K16" s="210"/>
      <c r="L16" s="104"/>
    </row>
    <row r="17" spans="1:12" s="96" customFormat="1" ht="21" customHeight="1">
      <c r="A17" s="243" t="s">
        <v>128</v>
      </c>
      <c r="B17" s="253" t="s">
        <v>200</v>
      </c>
      <c r="C17" s="254"/>
      <c r="D17" s="4">
        <v>0</v>
      </c>
      <c r="E17" s="4">
        <v>0</v>
      </c>
      <c r="F17" s="94"/>
      <c r="G17" s="4">
        <v>0</v>
      </c>
      <c r="H17" s="4">
        <v>0</v>
      </c>
      <c r="I17" s="4">
        <v>0</v>
      </c>
      <c r="J17" s="94"/>
      <c r="K17" s="210"/>
      <c r="L17" s="104"/>
    </row>
    <row r="18" spans="1:12" s="96" customFormat="1" ht="21" customHeight="1">
      <c r="A18" s="243" t="s">
        <v>208</v>
      </c>
      <c r="B18" s="253" t="s">
        <v>275</v>
      </c>
      <c r="C18" s="254"/>
      <c r="D18" s="4">
        <v>0</v>
      </c>
      <c r="E18" s="4">
        <v>0</v>
      </c>
      <c r="F18" s="94"/>
      <c r="G18" s="4">
        <v>0</v>
      </c>
      <c r="H18" s="4">
        <v>0</v>
      </c>
      <c r="I18" s="4">
        <v>0</v>
      </c>
      <c r="J18" s="94"/>
      <c r="K18" s="210"/>
      <c r="L18" s="104"/>
    </row>
    <row r="19" spans="1:12" s="96" customFormat="1" ht="27.75" customHeight="1">
      <c r="A19" s="243" t="s">
        <v>69</v>
      </c>
      <c r="B19" s="253" t="s">
        <v>201</v>
      </c>
      <c r="C19" s="254"/>
      <c r="D19" s="94"/>
      <c r="E19" s="94"/>
      <c r="F19" s="94"/>
      <c r="G19" s="94"/>
      <c r="H19" s="4">
        <v>0</v>
      </c>
      <c r="I19" s="94"/>
      <c r="J19" s="94"/>
      <c r="K19" s="210"/>
      <c r="L19" s="104"/>
    </row>
    <row r="20" spans="1:12" s="96" customFormat="1" ht="52.5" customHeight="1">
      <c r="A20" s="243" t="s">
        <v>70</v>
      </c>
      <c r="B20" s="253" t="s">
        <v>202</v>
      </c>
      <c r="C20" s="254"/>
      <c r="D20" s="4">
        <v>0</v>
      </c>
      <c r="E20" s="4">
        <v>0</v>
      </c>
      <c r="F20" s="94"/>
      <c r="G20" s="4">
        <v>0</v>
      </c>
      <c r="H20" s="4">
        <v>0</v>
      </c>
      <c r="I20" s="4">
        <v>0</v>
      </c>
      <c r="J20" s="94"/>
      <c r="K20" s="210"/>
      <c r="L20" s="104"/>
    </row>
    <row r="21" spans="1:12" s="96" customFormat="1" ht="21" customHeight="1">
      <c r="A21" s="243" t="s">
        <v>71</v>
      </c>
      <c r="B21" s="253" t="s">
        <v>203</v>
      </c>
      <c r="C21" s="254"/>
      <c r="D21" s="94"/>
      <c r="E21" s="94"/>
      <c r="F21" s="94"/>
      <c r="G21" s="94"/>
      <c r="H21" s="94"/>
      <c r="I21" s="94"/>
      <c r="J21" s="94"/>
      <c r="K21" s="210"/>
      <c r="L21" s="104"/>
    </row>
    <row r="22" spans="1:12" s="96" customFormat="1" ht="21" customHeight="1">
      <c r="A22" s="243" t="s">
        <v>37</v>
      </c>
      <c r="B22" s="253" t="s">
        <v>204</v>
      </c>
      <c r="C22" s="254"/>
      <c r="D22" s="4">
        <v>0</v>
      </c>
      <c r="E22" s="94"/>
      <c r="F22" s="94"/>
      <c r="G22" s="94"/>
      <c r="H22" s="94"/>
      <c r="I22" s="94"/>
      <c r="J22" s="94"/>
      <c r="K22" s="210"/>
      <c r="L22" s="104"/>
    </row>
    <row r="23" spans="1:12" s="96" customFormat="1" ht="27.75" customHeight="1">
      <c r="A23" s="243" t="s">
        <v>33</v>
      </c>
      <c r="B23" s="253" t="s">
        <v>276</v>
      </c>
      <c r="C23" s="254"/>
      <c r="D23" s="4">
        <v>0</v>
      </c>
      <c r="E23" s="94"/>
      <c r="F23" s="94"/>
      <c r="G23" s="94"/>
      <c r="H23" s="94"/>
      <c r="I23" s="94"/>
      <c r="J23" s="94"/>
      <c r="K23" s="210"/>
      <c r="L23" s="104"/>
    </row>
    <row r="24" spans="1:12" s="96" customFormat="1" ht="21" customHeight="1">
      <c r="A24" s="243" t="s">
        <v>35</v>
      </c>
      <c r="B24" s="253" t="s">
        <v>205</v>
      </c>
      <c r="C24" s="254"/>
      <c r="D24" s="4">
        <v>250390965</v>
      </c>
      <c r="E24" s="4">
        <v>0</v>
      </c>
      <c r="F24" s="94"/>
      <c r="G24" s="94"/>
      <c r="H24" s="94"/>
      <c r="I24" s="94"/>
      <c r="J24" s="94"/>
      <c r="K24" s="210"/>
      <c r="L24" s="104"/>
    </row>
    <row r="25" spans="1:12" s="96" customFormat="1" ht="52.5" customHeight="1">
      <c r="A25" s="243" t="s">
        <v>42</v>
      </c>
      <c r="B25" s="253" t="s">
        <v>206</v>
      </c>
      <c r="C25" s="254"/>
      <c r="D25" s="4">
        <v>0</v>
      </c>
      <c r="E25" s="94"/>
      <c r="F25" s="94"/>
      <c r="G25" s="94"/>
      <c r="H25" s="94"/>
      <c r="I25" s="94"/>
      <c r="J25" s="94"/>
      <c r="K25" s="210"/>
      <c r="L25" s="104"/>
    </row>
    <row r="26" spans="1:12" s="96" customFormat="1" ht="21" customHeight="1">
      <c r="A26" s="243" t="s">
        <v>128</v>
      </c>
      <c r="B26" s="253" t="s">
        <v>207</v>
      </c>
      <c r="C26" s="254"/>
      <c r="D26" s="94" t="s">
        <v>292</v>
      </c>
      <c r="E26" s="94"/>
      <c r="F26" s="94"/>
      <c r="G26" s="94"/>
      <c r="H26" s="4">
        <v>0</v>
      </c>
      <c r="I26" s="94"/>
      <c r="J26" s="94"/>
      <c r="K26" s="210"/>
      <c r="L26" s="104"/>
    </row>
    <row r="27" spans="1:12" s="96" customFormat="1" ht="27.75" customHeight="1">
      <c r="A27" s="243" t="s">
        <v>208</v>
      </c>
      <c r="B27" s="253" t="s">
        <v>209</v>
      </c>
      <c r="C27" s="254"/>
      <c r="D27" s="94"/>
      <c r="E27" s="94"/>
      <c r="F27" s="4">
        <v>59570238</v>
      </c>
      <c r="G27" s="4">
        <v>104498073</v>
      </c>
      <c r="H27" s="4">
        <v>222462363</v>
      </c>
      <c r="I27" s="4">
        <v>276946236</v>
      </c>
      <c r="J27" s="94"/>
      <c r="K27" s="210"/>
      <c r="L27" s="104"/>
    </row>
    <row r="28" spans="1:12" s="96" customFormat="1" ht="21" customHeight="1">
      <c r="A28" s="243" t="s">
        <v>210</v>
      </c>
      <c r="B28" s="253" t="s">
        <v>294</v>
      </c>
      <c r="C28" s="254"/>
      <c r="D28" s="94"/>
      <c r="E28" s="94"/>
      <c r="F28" s="94"/>
      <c r="G28" s="94"/>
      <c r="H28" s="4">
        <v>862533732</v>
      </c>
      <c r="I28" s="4">
        <v>842352568</v>
      </c>
      <c r="J28" s="4">
        <v>6391156</v>
      </c>
      <c r="K28" s="210"/>
      <c r="L28" s="104"/>
    </row>
    <row r="29" spans="1:12" s="96" customFormat="1" ht="21" customHeight="1">
      <c r="A29" s="243" t="s">
        <v>212</v>
      </c>
      <c r="B29" s="253" t="s">
        <v>290</v>
      </c>
      <c r="C29" s="254"/>
      <c r="D29" s="4">
        <v>9258449</v>
      </c>
      <c r="E29" s="94"/>
      <c r="F29" s="94"/>
      <c r="G29" s="94"/>
      <c r="H29" s="4">
        <v>0</v>
      </c>
      <c r="I29" s="4">
        <v>0</v>
      </c>
      <c r="J29" s="4">
        <v>0</v>
      </c>
      <c r="K29" s="210"/>
      <c r="L29" s="104"/>
    </row>
    <row r="30" spans="1:12" s="96" customFormat="1" ht="21" customHeight="1">
      <c r="A30" s="243" t="s">
        <v>214</v>
      </c>
      <c r="B30" s="253" t="s">
        <v>211</v>
      </c>
      <c r="C30" s="254"/>
      <c r="D30" s="94"/>
      <c r="E30" s="94"/>
      <c r="F30" s="94"/>
      <c r="G30" s="94"/>
      <c r="H30" s="4">
        <v>252741759</v>
      </c>
      <c r="I30" s="4">
        <v>86317160</v>
      </c>
      <c r="J30" s="4">
        <v>324404810</v>
      </c>
      <c r="K30" s="210"/>
      <c r="L30" s="104"/>
    </row>
    <row r="31" spans="1:12" s="96" customFormat="1" ht="21" customHeight="1">
      <c r="A31" s="243" t="s">
        <v>285</v>
      </c>
      <c r="B31" s="253" t="s">
        <v>291</v>
      </c>
      <c r="C31" s="254"/>
      <c r="D31" s="4">
        <v>26325247</v>
      </c>
      <c r="E31" s="94"/>
      <c r="F31" s="94"/>
      <c r="G31" s="94"/>
      <c r="H31" s="4">
        <v>0</v>
      </c>
      <c r="I31" s="4">
        <v>0</v>
      </c>
      <c r="J31" s="4">
        <v>0</v>
      </c>
      <c r="K31" s="210"/>
      <c r="L31" s="104"/>
    </row>
    <row r="32" spans="1:12" s="96" customFormat="1" ht="21" customHeight="1">
      <c r="A32" s="243" t="s">
        <v>286</v>
      </c>
      <c r="B32" s="253" t="s">
        <v>213</v>
      </c>
      <c r="C32" s="254"/>
      <c r="D32" s="94"/>
      <c r="E32" s="94"/>
      <c r="F32" s="94"/>
      <c r="G32" s="94"/>
      <c r="H32" s="4">
        <v>2470580972</v>
      </c>
      <c r="I32" s="4">
        <v>572250793</v>
      </c>
      <c r="J32" s="4">
        <v>2428669</v>
      </c>
      <c r="K32" s="210"/>
      <c r="L32" s="104"/>
    </row>
    <row r="33" spans="1:13" s="96" customFormat="1" ht="21" customHeight="1">
      <c r="A33" s="243" t="s">
        <v>287</v>
      </c>
      <c r="B33" s="253" t="s">
        <v>278</v>
      </c>
      <c r="C33" s="254"/>
      <c r="D33" s="94"/>
      <c r="E33" s="94"/>
      <c r="F33" s="94"/>
      <c r="G33" s="94"/>
      <c r="H33" s="94"/>
      <c r="I33" s="94"/>
      <c r="J33" s="4">
        <v>79509611</v>
      </c>
      <c r="K33" s="210"/>
      <c r="L33" s="210"/>
      <c r="M33" s="210"/>
    </row>
    <row r="34" spans="1:13" s="96" customFormat="1" ht="21" customHeight="1">
      <c r="A34" s="243" t="s">
        <v>72</v>
      </c>
      <c r="B34" s="253" t="s">
        <v>215</v>
      </c>
      <c r="C34" s="254"/>
      <c r="D34" s="94"/>
      <c r="E34" s="94"/>
      <c r="F34" s="94"/>
      <c r="G34" s="94"/>
      <c r="H34" s="94"/>
      <c r="I34" s="94"/>
      <c r="J34" s="94"/>
      <c r="K34" s="210"/>
      <c r="L34" s="104"/>
    </row>
    <row r="35" spans="1:13" s="96" customFormat="1" ht="21" customHeight="1">
      <c r="A35" s="243" t="s">
        <v>37</v>
      </c>
      <c r="B35" s="253" t="s">
        <v>216</v>
      </c>
      <c r="C35" s="254"/>
      <c r="D35" s="94"/>
      <c r="E35" s="94"/>
      <c r="F35" s="94"/>
      <c r="G35" s="94"/>
      <c r="H35" s="4">
        <v>2003170965</v>
      </c>
      <c r="I35" s="94"/>
      <c r="J35" s="94"/>
      <c r="K35" s="210"/>
      <c r="L35" s="104"/>
    </row>
    <row r="36" spans="1:13" s="96" customFormat="1" ht="21" customHeight="1">
      <c r="A36" s="243" t="s">
        <v>33</v>
      </c>
      <c r="B36" s="253" t="s">
        <v>217</v>
      </c>
      <c r="C36" s="254"/>
      <c r="D36" s="94"/>
      <c r="E36" s="94"/>
      <c r="F36" s="94"/>
      <c r="G36" s="94"/>
      <c r="H36" s="4">
        <v>0</v>
      </c>
      <c r="I36" s="94"/>
      <c r="J36" s="94"/>
      <c r="K36" s="210"/>
      <c r="L36" s="104"/>
    </row>
    <row r="37" spans="1:13" s="96" customFormat="1" ht="21" customHeight="1">
      <c r="A37" s="243" t="s">
        <v>35</v>
      </c>
      <c r="B37" s="253" t="s">
        <v>218</v>
      </c>
      <c r="C37" s="254"/>
      <c r="D37" s="94"/>
      <c r="E37" s="94"/>
      <c r="F37" s="94"/>
      <c r="G37" s="94"/>
      <c r="H37" s="94"/>
      <c r="I37" s="4">
        <v>349433916</v>
      </c>
      <c r="J37" s="4">
        <v>46693523</v>
      </c>
      <c r="K37" s="210"/>
      <c r="L37" s="104"/>
    </row>
    <row r="38" spans="1:13" s="96" customFormat="1" ht="21" customHeight="1">
      <c r="A38" s="243" t="s">
        <v>42</v>
      </c>
      <c r="B38" s="253" t="s">
        <v>219</v>
      </c>
      <c r="C38" s="254"/>
      <c r="D38" s="94"/>
      <c r="E38" s="94"/>
      <c r="F38" s="94"/>
      <c r="G38" s="94"/>
      <c r="H38" s="94"/>
      <c r="I38" s="4">
        <v>0</v>
      </c>
      <c r="J38" s="4">
        <v>0</v>
      </c>
      <c r="K38" s="210"/>
      <c r="L38" s="104"/>
    </row>
    <row r="39" spans="1:13" s="96" customFormat="1" ht="27.75" customHeight="1">
      <c r="A39" s="243" t="s">
        <v>79</v>
      </c>
      <c r="B39" s="253" t="s">
        <v>298</v>
      </c>
      <c r="C39" s="254"/>
      <c r="D39" s="4">
        <v>0</v>
      </c>
      <c r="E39" s="94"/>
      <c r="F39" s="94"/>
      <c r="G39" s="94"/>
      <c r="H39" s="94"/>
      <c r="I39" s="94"/>
      <c r="J39" s="4">
        <v>156083266</v>
      </c>
      <c r="K39" s="210"/>
      <c r="L39" s="104"/>
    </row>
    <row r="40" spans="1:13" s="96" customFormat="1" ht="27.75" customHeight="1">
      <c r="A40" s="243" t="s">
        <v>80</v>
      </c>
      <c r="B40" s="253" t="s">
        <v>299</v>
      </c>
      <c r="C40" s="254"/>
      <c r="D40" s="94"/>
      <c r="E40" s="94"/>
      <c r="F40" s="94"/>
      <c r="G40" s="94"/>
      <c r="H40" s="94"/>
      <c r="I40" s="94"/>
      <c r="J40" s="4">
        <v>0</v>
      </c>
      <c r="K40" s="210"/>
      <c r="L40" s="104"/>
    </row>
    <row r="41" spans="1:13" s="96" customFormat="1" ht="21" customHeight="1">
      <c r="A41" s="243" t="s">
        <v>73</v>
      </c>
      <c r="B41" s="253" t="s">
        <v>283</v>
      </c>
      <c r="C41" s="254"/>
      <c r="D41" s="94"/>
      <c r="E41" s="115"/>
      <c r="F41" s="94"/>
      <c r="G41" s="94"/>
      <c r="H41" s="4">
        <v>0</v>
      </c>
      <c r="I41" s="94"/>
      <c r="J41" s="4">
        <v>0</v>
      </c>
      <c r="K41" s="210"/>
      <c r="L41" s="104"/>
    </row>
    <row r="42" spans="1:13" s="96" customFormat="1" ht="21" customHeight="1">
      <c r="A42" s="243" t="s">
        <v>74</v>
      </c>
      <c r="B42" s="253" t="s">
        <v>220</v>
      </c>
      <c r="C42" s="254"/>
      <c r="D42" s="4">
        <v>1757673</v>
      </c>
      <c r="E42" s="115"/>
      <c r="F42" s="94"/>
      <c r="G42" s="94"/>
      <c r="H42" s="4">
        <v>42295090</v>
      </c>
      <c r="I42" s="94"/>
      <c r="J42" s="94"/>
      <c r="K42" s="210"/>
      <c r="L42" s="104"/>
    </row>
    <row r="43" spans="1:13" s="96" customFormat="1" ht="21" customHeight="1">
      <c r="A43" s="243" t="s">
        <v>75</v>
      </c>
      <c r="B43" s="253" t="s">
        <v>281</v>
      </c>
      <c r="C43" s="254"/>
      <c r="D43" s="4">
        <v>0</v>
      </c>
      <c r="E43" s="115"/>
      <c r="F43" s="94"/>
      <c r="G43" s="94"/>
      <c r="H43" s="4">
        <v>0</v>
      </c>
      <c r="I43" s="94"/>
      <c r="J43" s="4">
        <v>0</v>
      </c>
      <c r="K43" s="210"/>
      <c r="L43" s="104"/>
    </row>
    <row r="44" spans="1:13" s="96" customFormat="1" ht="21" customHeight="1">
      <c r="A44" s="243" t="s">
        <v>76</v>
      </c>
      <c r="B44" s="253" t="s">
        <v>282</v>
      </c>
      <c r="C44" s="254"/>
      <c r="D44" s="94"/>
      <c r="E44" s="94"/>
      <c r="F44" s="94"/>
      <c r="G44" s="94"/>
      <c r="H44" s="94"/>
      <c r="I44" s="94"/>
      <c r="J44" s="4">
        <v>188604</v>
      </c>
      <c r="K44" s="210"/>
      <c r="L44" s="104"/>
    </row>
    <row r="45" spans="1:13" s="96" customFormat="1" ht="21" customHeight="1">
      <c r="A45" s="243" t="s">
        <v>77</v>
      </c>
      <c r="B45" s="253" t="s">
        <v>288</v>
      </c>
      <c r="C45" s="254"/>
      <c r="D45" s="4">
        <v>102677702</v>
      </c>
      <c r="E45" s="94"/>
      <c r="F45" s="94"/>
      <c r="G45" s="94"/>
      <c r="H45" s="94"/>
      <c r="I45" s="94"/>
      <c r="J45" s="94"/>
      <c r="K45" s="210"/>
      <c r="L45" s="104"/>
    </row>
    <row r="46" spans="1:13" s="96" customFormat="1" ht="21" customHeight="1">
      <c r="A46" s="243" t="s">
        <v>78</v>
      </c>
      <c r="B46" s="253" t="s">
        <v>221</v>
      </c>
      <c r="C46" s="254"/>
      <c r="D46" s="4">
        <v>469388</v>
      </c>
      <c r="E46" s="4"/>
      <c r="F46" s="4">
        <v>527384</v>
      </c>
      <c r="G46" s="4">
        <v>1962576</v>
      </c>
      <c r="H46" s="4">
        <v>828248734</v>
      </c>
      <c r="I46" s="4">
        <v>30165795</v>
      </c>
      <c r="J46" s="4">
        <v>22173880</v>
      </c>
      <c r="K46" s="210"/>
      <c r="L46" s="104"/>
    </row>
    <row r="47" spans="1:13" s="96" customFormat="1" ht="21" customHeight="1">
      <c r="A47" s="243" t="s">
        <v>280</v>
      </c>
      <c r="B47" s="253" t="s">
        <v>222</v>
      </c>
      <c r="C47" s="254"/>
      <c r="D47" s="93">
        <f>SUM(D8:D44)+D46-D45</f>
        <v>1364943218</v>
      </c>
      <c r="E47" s="93">
        <f t="shared" ref="E47:J47" si="0">SUM(E8:E44)+E46-E45</f>
        <v>12930000</v>
      </c>
      <c r="F47" s="93">
        <f t="shared" si="0"/>
        <v>60097622</v>
      </c>
      <c r="G47" s="93">
        <f t="shared" si="0"/>
        <v>106460649</v>
      </c>
      <c r="H47" s="93">
        <f t="shared" si="0"/>
        <v>6835894258</v>
      </c>
      <c r="I47" s="93">
        <f t="shared" si="0"/>
        <v>2159109759</v>
      </c>
      <c r="J47" s="93">
        <f t="shared" si="0"/>
        <v>637873519</v>
      </c>
      <c r="K47" s="210">
        <f>SUM(D47:J47)</f>
        <v>11177309025</v>
      </c>
      <c r="L47" s="104">
        <f>+[7]Balance!$D$47</f>
        <v>11177309025</v>
      </c>
      <c r="M47" s="210">
        <f>+K47-L47</f>
        <v>0</v>
      </c>
    </row>
    <row r="48" spans="1:13" s="96" customFormat="1" ht="26.25" customHeight="1">
      <c r="A48" s="243" t="s">
        <v>289</v>
      </c>
      <c r="B48" s="253" t="s">
        <v>223</v>
      </c>
      <c r="C48" s="254"/>
      <c r="D48" s="94"/>
      <c r="E48" s="93">
        <f t="shared" ref="E48:J48" si="1">E47*E3</f>
        <v>2586000</v>
      </c>
      <c r="F48" s="93">
        <f t="shared" si="1"/>
        <v>21034167.699999999</v>
      </c>
      <c r="G48" s="93">
        <f t="shared" si="1"/>
        <v>53230324.5</v>
      </c>
      <c r="H48" s="93">
        <f t="shared" si="1"/>
        <v>6835894258</v>
      </c>
      <c r="I48" s="93">
        <f t="shared" si="1"/>
        <v>3238664638.5</v>
      </c>
      <c r="J48" s="93">
        <f t="shared" si="1"/>
        <v>1275747038</v>
      </c>
      <c r="K48" s="104"/>
      <c r="L48" s="104"/>
    </row>
    <row r="49" spans="1:13" s="96" customFormat="1" ht="21" customHeight="1">
      <c r="A49" s="243" t="s">
        <v>296</v>
      </c>
      <c r="B49" s="253" t="s">
        <v>224</v>
      </c>
      <c r="C49" s="254"/>
      <c r="D49" s="94"/>
      <c r="E49" s="94"/>
      <c r="F49" s="94"/>
      <c r="G49" s="94"/>
      <c r="H49" s="94"/>
      <c r="I49" s="94"/>
      <c r="J49" s="93">
        <f>SUM(E48:J48)</f>
        <v>11427156426.700001</v>
      </c>
      <c r="K49" s="104"/>
    </row>
    <row r="50" spans="1:13" s="96" customFormat="1">
      <c r="A50" s="105"/>
      <c r="B50" s="106"/>
      <c r="C50" s="106"/>
      <c r="D50" s="95"/>
      <c r="E50" s="95"/>
      <c r="F50" s="95"/>
      <c r="G50" s="95"/>
      <c r="H50" s="95"/>
      <c r="J50" s="104"/>
    </row>
    <row r="51" spans="1:13" s="96" customFormat="1">
      <c r="A51" s="105"/>
      <c r="B51" s="107"/>
      <c r="C51" s="107"/>
      <c r="D51" s="107"/>
      <c r="E51" s="107"/>
      <c r="F51" s="107"/>
      <c r="G51" s="107"/>
      <c r="H51" s="107"/>
      <c r="I51" s="107"/>
    </row>
    <row r="52" spans="1:13" s="96" customFormat="1" ht="48.75" customHeight="1">
      <c r="A52" s="217" t="s">
        <v>52</v>
      </c>
      <c r="B52" s="243" t="s">
        <v>227</v>
      </c>
      <c r="C52" s="218" t="s">
        <v>225</v>
      </c>
      <c r="D52" s="216">
        <v>0</v>
      </c>
      <c r="E52" s="216">
        <v>0.2</v>
      </c>
      <c r="F52" s="216">
        <v>0.35</v>
      </c>
      <c r="G52" s="216">
        <v>0.5</v>
      </c>
      <c r="H52" s="216">
        <v>1</v>
      </c>
      <c r="I52" s="216">
        <v>1.5</v>
      </c>
      <c r="J52" s="216">
        <v>2</v>
      </c>
    </row>
    <row r="53" spans="1:13" s="96" customFormat="1">
      <c r="A53" s="217">
        <v>1</v>
      </c>
      <c r="B53" s="215" t="s">
        <v>228</v>
      </c>
      <c r="C53" s="94"/>
      <c r="D53" s="94"/>
      <c r="E53" s="94"/>
      <c r="F53" s="94"/>
      <c r="G53" s="94"/>
      <c r="H53" s="94"/>
      <c r="I53" s="94"/>
      <c r="J53" s="94"/>
    </row>
    <row r="54" spans="1:13" s="96" customFormat="1" ht="12.75" customHeight="1">
      <c r="A54" s="217" t="s">
        <v>31</v>
      </c>
      <c r="B54" s="213" t="s">
        <v>229</v>
      </c>
      <c r="C54" s="117">
        <v>0.5</v>
      </c>
      <c r="D54" s="5">
        <v>0</v>
      </c>
      <c r="E54" s="5">
        <v>0</v>
      </c>
      <c r="F54" s="94"/>
      <c r="G54" s="5">
        <v>0</v>
      </c>
      <c r="H54" s="5">
        <v>96596093</v>
      </c>
      <c r="I54" s="5">
        <v>0</v>
      </c>
      <c r="J54" s="5">
        <v>0</v>
      </c>
    </row>
    <row r="55" spans="1:13" s="96" customFormat="1">
      <c r="A55" s="217" t="s">
        <v>33</v>
      </c>
      <c r="B55" s="213" t="s">
        <v>230</v>
      </c>
      <c r="C55" s="117">
        <v>0.2</v>
      </c>
      <c r="D55" s="5">
        <v>0</v>
      </c>
      <c r="E55" s="5">
        <v>0</v>
      </c>
      <c r="F55" s="94"/>
      <c r="G55" s="5">
        <v>0</v>
      </c>
      <c r="H55" s="5">
        <v>42606654</v>
      </c>
      <c r="I55" s="5">
        <v>0</v>
      </c>
      <c r="J55" s="5">
        <v>0</v>
      </c>
      <c r="K55" s="221">
        <f>SUM(D54:J55)</f>
        <v>139202747</v>
      </c>
      <c r="L55" s="221">
        <f>+[7]Commitments!$D$4</f>
        <v>139202747</v>
      </c>
      <c r="M55" s="222">
        <f>+K55-L55</f>
        <v>0</v>
      </c>
    </row>
    <row r="56" spans="1:13" s="96" customFormat="1" ht="26.25" customHeight="1">
      <c r="A56" s="217">
        <v>2</v>
      </c>
      <c r="B56" s="215" t="s">
        <v>231</v>
      </c>
      <c r="C56" s="117">
        <v>1</v>
      </c>
      <c r="D56" s="5">
        <v>0</v>
      </c>
      <c r="E56" s="5">
        <v>0</v>
      </c>
      <c r="F56" s="94"/>
      <c r="G56" s="5">
        <v>0</v>
      </c>
      <c r="H56" s="5">
        <v>0</v>
      </c>
      <c r="I56" s="94"/>
      <c r="J56" s="94"/>
      <c r="M56" s="222"/>
    </row>
    <row r="57" spans="1:13" s="96" customFormat="1">
      <c r="A57" s="217">
        <v>3</v>
      </c>
      <c r="B57" s="215" t="s">
        <v>232</v>
      </c>
      <c r="C57" s="117">
        <v>1</v>
      </c>
      <c r="D57" s="5">
        <v>0</v>
      </c>
      <c r="E57" s="5">
        <v>0</v>
      </c>
      <c r="F57" s="94"/>
      <c r="G57" s="5">
        <v>0</v>
      </c>
      <c r="H57" s="5">
        <v>6801377</v>
      </c>
      <c r="I57" s="5">
        <v>0</v>
      </c>
      <c r="J57" s="5">
        <v>0</v>
      </c>
      <c r="K57" s="221">
        <f>SUM(D57:J57)</f>
        <v>6801377</v>
      </c>
      <c r="L57" s="221">
        <f>+[7]Commitments!$D$7</f>
        <v>6801377</v>
      </c>
      <c r="M57" s="222">
        <f>+K57-L57</f>
        <v>0</v>
      </c>
    </row>
    <row r="58" spans="1:13" s="96" customFormat="1">
      <c r="A58" s="217">
        <v>4</v>
      </c>
      <c r="B58" s="215" t="s">
        <v>233</v>
      </c>
      <c r="C58" s="108"/>
      <c r="D58" s="94"/>
      <c r="E58" s="94"/>
      <c r="F58" s="94"/>
      <c r="G58" s="94"/>
      <c r="H58" s="94"/>
      <c r="I58" s="94"/>
      <c r="J58" s="94"/>
      <c r="M58" s="222"/>
    </row>
    <row r="59" spans="1:13" s="96" customFormat="1">
      <c r="A59" s="217" t="s">
        <v>31</v>
      </c>
      <c r="B59" s="213" t="s">
        <v>234</v>
      </c>
      <c r="C59" s="117">
        <v>1</v>
      </c>
      <c r="D59" s="5">
        <v>0</v>
      </c>
      <c r="E59" s="5">
        <v>0</v>
      </c>
      <c r="F59" s="94"/>
      <c r="G59" s="5">
        <v>0</v>
      </c>
      <c r="H59" s="5">
        <v>0</v>
      </c>
      <c r="I59" s="94"/>
      <c r="J59" s="5">
        <v>0</v>
      </c>
      <c r="M59" s="222"/>
    </row>
    <row r="60" spans="1:13" s="96" customFormat="1">
      <c r="A60" s="217" t="s">
        <v>33</v>
      </c>
      <c r="B60" s="213" t="s">
        <v>235</v>
      </c>
      <c r="C60" s="117">
        <v>0.5</v>
      </c>
      <c r="D60" s="5">
        <v>0</v>
      </c>
      <c r="E60" s="5">
        <v>0</v>
      </c>
      <c r="F60" s="94"/>
      <c r="G60" s="5">
        <v>0</v>
      </c>
      <c r="H60" s="5">
        <v>0</v>
      </c>
      <c r="I60" s="94"/>
      <c r="J60" s="5">
        <v>0</v>
      </c>
      <c r="M60" s="222"/>
    </row>
    <row r="61" spans="1:13" s="96" customFormat="1" ht="12.75" customHeight="1">
      <c r="A61" s="217" t="s">
        <v>35</v>
      </c>
      <c r="B61" s="213" t="s">
        <v>236</v>
      </c>
      <c r="C61" s="117">
        <v>0.2</v>
      </c>
      <c r="D61" s="5">
        <v>0</v>
      </c>
      <c r="E61" s="5">
        <v>0</v>
      </c>
      <c r="F61" s="94"/>
      <c r="G61" s="5">
        <v>0</v>
      </c>
      <c r="H61" s="5">
        <v>0</v>
      </c>
      <c r="I61" s="94"/>
      <c r="J61" s="5">
        <v>0</v>
      </c>
      <c r="M61" s="222"/>
    </row>
    <row r="62" spans="1:13" s="96" customFormat="1">
      <c r="A62" s="217" t="s">
        <v>42</v>
      </c>
      <c r="B62" s="213" t="s">
        <v>237</v>
      </c>
      <c r="C62" s="117">
        <v>1</v>
      </c>
      <c r="D62" s="5">
        <v>0</v>
      </c>
      <c r="E62" s="5">
        <v>0</v>
      </c>
      <c r="F62" s="94"/>
      <c r="G62" s="5">
        <v>0</v>
      </c>
      <c r="H62" s="5">
        <v>0</v>
      </c>
      <c r="I62" s="94"/>
      <c r="J62" s="5">
        <v>0</v>
      </c>
      <c r="K62" s="221">
        <f>SUM(D59:J62)</f>
        <v>0</v>
      </c>
      <c r="L62" s="221">
        <f>+[7]Commitments!$D$10</f>
        <v>0</v>
      </c>
      <c r="M62" s="222">
        <f>+K62-L62</f>
        <v>0</v>
      </c>
    </row>
    <row r="63" spans="1:13" s="96" customFormat="1" ht="16.5" customHeight="1">
      <c r="A63" s="217">
        <v>5</v>
      </c>
      <c r="B63" s="215" t="s">
        <v>268</v>
      </c>
      <c r="C63" s="108"/>
      <c r="D63" s="94"/>
      <c r="E63" s="94"/>
      <c r="F63" s="94"/>
      <c r="G63" s="94"/>
      <c r="H63" s="94"/>
      <c r="I63" s="94"/>
      <c r="J63" s="94"/>
      <c r="M63" s="222"/>
    </row>
    <row r="64" spans="1:13" s="96" customFormat="1">
      <c r="A64" s="217" t="s">
        <v>31</v>
      </c>
      <c r="B64" s="213" t="s">
        <v>238</v>
      </c>
      <c r="C64" s="108"/>
      <c r="D64" s="94"/>
      <c r="E64" s="94"/>
      <c r="F64" s="94"/>
      <c r="G64" s="94"/>
      <c r="H64" s="94"/>
      <c r="I64" s="94"/>
      <c r="J64" s="94"/>
      <c r="M64" s="222"/>
    </row>
    <row r="65" spans="1:31" s="96" customFormat="1">
      <c r="A65" s="217" t="s">
        <v>58</v>
      </c>
      <c r="B65" s="214" t="s">
        <v>239</v>
      </c>
      <c r="C65" s="118">
        <v>5.0000000000000001E-3</v>
      </c>
      <c r="D65" s="5">
        <v>0</v>
      </c>
      <c r="E65" s="5">
        <v>0</v>
      </c>
      <c r="F65" s="94"/>
      <c r="G65" s="5">
        <v>0</v>
      </c>
      <c r="H65" s="5">
        <v>0</v>
      </c>
      <c r="I65" s="94"/>
      <c r="J65" s="94"/>
      <c r="M65" s="222"/>
    </row>
    <row r="66" spans="1:31" s="96" customFormat="1">
      <c r="A66" s="217" t="s">
        <v>59</v>
      </c>
      <c r="B66" s="214" t="s">
        <v>240</v>
      </c>
      <c r="C66" s="117">
        <v>0.01</v>
      </c>
      <c r="D66" s="5">
        <v>0</v>
      </c>
      <c r="E66" s="5">
        <v>0</v>
      </c>
      <c r="F66" s="94"/>
      <c r="G66" s="5">
        <v>0</v>
      </c>
      <c r="H66" s="5">
        <v>0</v>
      </c>
      <c r="I66" s="94"/>
      <c r="J66" s="94"/>
      <c r="M66" s="222"/>
    </row>
    <row r="67" spans="1:31" s="96" customFormat="1">
      <c r="A67" s="217" t="s">
        <v>60</v>
      </c>
      <c r="B67" s="214" t="s">
        <v>241</v>
      </c>
      <c r="C67" s="117">
        <v>0.02</v>
      </c>
      <c r="D67" s="5">
        <v>0</v>
      </c>
      <c r="E67" s="5">
        <v>0</v>
      </c>
      <c r="F67" s="94"/>
      <c r="G67" s="5">
        <v>0</v>
      </c>
      <c r="H67" s="5">
        <v>0</v>
      </c>
      <c r="I67" s="94"/>
      <c r="J67" s="94"/>
      <c r="M67" s="222"/>
    </row>
    <row r="68" spans="1:31" s="96" customFormat="1">
      <c r="A68" s="217" t="s">
        <v>33</v>
      </c>
      <c r="B68" s="213" t="s">
        <v>242</v>
      </c>
      <c r="C68" s="108"/>
      <c r="D68" s="94"/>
      <c r="E68" s="94"/>
      <c r="F68" s="94"/>
      <c r="G68" s="94"/>
      <c r="H68" s="94"/>
      <c r="I68" s="94"/>
      <c r="J68" s="94"/>
      <c r="M68" s="222"/>
    </row>
    <row r="69" spans="1:31" s="96" customFormat="1">
      <c r="A69" s="217" t="s">
        <v>61</v>
      </c>
      <c r="B69" s="214" t="s">
        <v>243</v>
      </c>
      <c r="C69" s="117">
        <v>0.02</v>
      </c>
      <c r="D69" s="5">
        <v>0</v>
      </c>
      <c r="E69" s="5">
        <v>0</v>
      </c>
      <c r="F69" s="94"/>
      <c r="G69" s="5">
        <v>0</v>
      </c>
      <c r="H69" s="5">
        <v>0</v>
      </c>
      <c r="I69" s="94"/>
      <c r="J69" s="94"/>
      <c r="M69" s="104"/>
    </row>
    <row r="70" spans="1:31" s="96" customFormat="1">
      <c r="A70" s="217" t="s">
        <v>62</v>
      </c>
      <c r="B70" s="214" t="s">
        <v>244</v>
      </c>
      <c r="C70" s="117">
        <v>0.05</v>
      </c>
      <c r="D70" s="5">
        <v>0</v>
      </c>
      <c r="E70" s="5">
        <v>0</v>
      </c>
      <c r="F70" s="94"/>
      <c r="G70" s="5">
        <v>0</v>
      </c>
      <c r="H70" s="5">
        <v>0</v>
      </c>
      <c r="I70" s="94"/>
      <c r="J70" s="94"/>
    </row>
    <row r="71" spans="1:31" s="96" customFormat="1">
      <c r="A71" s="244" t="s">
        <v>63</v>
      </c>
      <c r="B71" s="214" t="s">
        <v>245</v>
      </c>
      <c r="C71" s="117">
        <v>0.08</v>
      </c>
      <c r="D71" s="5">
        <v>0</v>
      </c>
      <c r="E71" s="5">
        <v>0</v>
      </c>
      <c r="F71" s="94"/>
      <c r="G71" s="5">
        <v>0</v>
      </c>
      <c r="H71" s="5">
        <v>0</v>
      </c>
      <c r="I71" s="94"/>
      <c r="J71" s="94"/>
    </row>
    <row r="72" spans="1:31" s="96" customFormat="1">
      <c r="A72" s="244">
        <v>6</v>
      </c>
      <c r="B72" s="168" t="s">
        <v>246</v>
      </c>
      <c r="C72" s="108"/>
      <c r="D72" s="93">
        <f t="shared" ref="D72:G72" si="2">SUM(D54:D71)</f>
        <v>0</v>
      </c>
      <c r="E72" s="93">
        <f t="shared" ref="E72" si="3">SUM(E54:E71)</f>
        <v>0</v>
      </c>
      <c r="F72" s="93">
        <f t="shared" si="2"/>
        <v>0</v>
      </c>
      <c r="G72" s="93">
        <f t="shared" si="2"/>
        <v>0</v>
      </c>
      <c r="H72" s="93">
        <f>SUM(H54:H71)</f>
        <v>146004124</v>
      </c>
      <c r="I72" s="93">
        <f>SUM(I54:I71)</f>
        <v>0</v>
      </c>
      <c r="J72" s="93">
        <f>SUM(J54:J71)</f>
        <v>0</v>
      </c>
      <c r="K72" s="221"/>
      <c r="L72" s="221"/>
      <c r="M72" s="223"/>
    </row>
    <row r="73" spans="1:31" s="96" customFormat="1">
      <c r="A73" s="244">
        <v>7</v>
      </c>
      <c r="B73" s="168" t="s">
        <v>226</v>
      </c>
      <c r="C73" s="108"/>
      <c r="D73" s="93">
        <f>+(D54*$C$54*$D$3)+(D55*$C$55*$D$3)+(D56*$C$56*$D$3)+(D57*$C$57*$D$3)+(D59*$C$59*$D$3)+(D60*$C$60*$D$3)+(D61*$C$61*$D$3)+(D62*$C$62*$D$3)+(D65*$C$65*$D$3)+(D66*$C$66*$D$3)+(D67*$C$67*$D$3)+(D69*$C$69*$D$3)+(D70*$C$70*$D$3)+(D71*$C$71*$D$3)</f>
        <v>0</v>
      </c>
      <c r="E73" s="93">
        <f>+(E54*$C$54*$E$3)+(E55*$C$55*$E$3)+(E56*$C$56*$E$3)+(E57*$C$57*$E$3)+(E59*$C$59*$E$3)+(E60*$C$60*$E$3)+(E61*$C$61*$E$3)+(E62*$C$62*$E$3)+(E65*$C$65*$E$3)+(E66*$C$66*$E$3)+(E67*$C$67*$E$3)+(E69*$C$69*$E$3)+(E70*$C$70*$E$3)+(E71*$C$71*$E$3)</f>
        <v>0</v>
      </c>
      <c r="F73" s="93">
        <f>+(F54*$C$54*$F$3)+(F55*$C$55*$F$3)+(F56*$C$56*$F$3)+(F57*$C$57*$F$3)+(F59*$C$59*$F$3)+(F60*$C$60*$F$3)+(F61*$C$61*$F$3)+(F62*$C$62*$F$3)+(F65*$C$65*$F$3)+(F66*$C$66*$F$3)+(F67*$C$67*$F$3)+(F69*$C$69*$F$3)+(F70*$C$70*$F$3)+(F71*$C$71*$F$3)</f>
        <v>0</v>
      </c>
      <c r="G73" s="93">
        <f>+(G54*$C$54*$G$3)+(G55*$C$55*$G$3)+(G56*$C$56*$G$3)+(G57*$C$57*$G$3)+(G59*$C$59*$G$3)+(G60*$C$60*$G$3)+(G61*$C$61*$G$3)+(G62*$C$62*$G$3)+(G65*$C$65*$G$3)+(G66*$C$66*$G$3)+(G67*$C$67*$G$3)+(G69*$C$69*$G$3)+(G70*$C$70*$G$3)+(G71*$C$71*$G$3)</f>
        <v>0</v>
      </c>
      <c r="H73" s="93">
        <f>+(H54*$C$54*$H$3)+(H55*$C$55*$H$3)+(H56*$C$56*$H$3)+(H57*$C$57*$H$3)+(H59*$C$59*$H$3)+(H60*$C$60*$H$3)+(H61*$C$61*$H$3)+(H62*$C$62*$H$3)+(H65*$C$65*$H$3)+(H66*$C$66*$H$3)+(H67*$C$67*$H$3)+(H69*$C$69*$H$3)+(H70*$C$70*$H$3)+(H71*$C$71*$H$3)</f>
        <v>63620754.299999997</v>
      </c>
      <c r="I73" s="93">
        <f>+(I54*$C$54*$I$3)+(I55*$C$55*$I$3)+(I56*$C$56*$I$3)+(I57*$C$57*$I$3)+(I59*$C$59*$I$3)+(I60*$C$60*$I$3)+(I61*$C$61*$I$3)+(I62*$C$62*$I$3)+(I65*$C$65*$I$3)+(I66*$C$66*$I$3)+(I67*$C$67*$I$3)+(I69*$C$69*$I$3)+(I70*$C$70*$I$3)+(I71*$C$71*$I$3)</f>
        <v>0</v>
      </c>
      <c r="J73" s="93">
        <f>+(J54*$C$54*$J$3)+(J55*$C$55*$J$3)+(J56*$C$56*$J$3)+(J57*$C$57*$J$3)+(J59*$C$59*$J$3)+(J60*$C$60*$J$3)+(J61*$C$61*$J$3)+(J62*$C$62*$J$3)+(J65*$C$65*$J$3)+(J66*$C$66*$J$3)+(J67*$C$67*$J$3)+(J69*$C$69*$J$3)+(J70*$C$70*$J$3)+(J71*$C$71*$J$3)</f>
        <v>0</v>
      </c>
      <c r="K73" s="222"/>
    </row>
    <row r="74" spans="1:31" s="96" customFormat="1">
      <c r="A74" s="244">
        <v>8</v>
      </c>
      <c r="B74" s="168" t="s">
        <v>247</v>
      </c>
      <c r="C74" s="108"/>
      <c r="D74" s="94"/>
      <c r="E74" s="94"/>
      <c r="F74" s="94"/>
      <c r="G74" s="94"/>
      <c r="H74" s="94"/>
      <c r="I74" s="94"/>
      <c r="J74" s="93">
        <f>SUM(D73:J73)</f>
        <v>63620754.299999997</v>
      </c>
    </row>
    <row r="75" spans="1:31" s="96" customFormat="1">
      <c r="A75" s="244">
        <v>9</v>
      </c>
      <c r="B75" s="168" t="s">
        <v>248</v>
      </c>
      <c r="C75" s="108"/>
      <c r="D75" s="94"/>
      <c r="E75" s="94"/>
      <c r="F75" s="94"/>
      <c r="G75" s="94"/>
      <c r="H75" s="94"/>
      <c r="I75" s="94"/>
      <c r="J75" s="93">
        <f>SUM(J74+J49)</f>
        <v>11490777181</v>
      </c>
    </row>
    <row r="76" spans="1:31">
      <c r="A76" s="248"/>
      <c r="B76" s="247"/>
      <c r="H76" s="114"/>
      <c r="J76" s="97"/>
    </row>
    <row r="77" spans="1:31" s="203" customFormat="1" ht="15" customHeight="1">
      <c r="A77" s="249"/>
      <c r="B77" s="250" t="s">
        <v>269</v>
      </c>
      <c r="C77" s="201"/>
      <c r="D77" s="219"/>
      <c r="E77" s="220"/>
      <c r="F77" s="220"/>
      <c r="G77" s="220"/>
      <c r="H77" s="220"/>
      <c r="I77" s="220"/>
      <c r="J77" s="220"/>
      <c r="K77" s="202"/>
      <c r="L77" s="201"/>
      <c r="M77" s="201"/>
      <c r="O77" s="201"/>
      <c r="P77" s="201"/>
      <c r="Q77" s="201"/>
      <c r="R77" s="201"/>
      <c r="S77" s="201"/>
      <c r="T77" s="201"/>
      <c r="U77" s="201"/>
      <c r="V77" s="201"/>
      <c r="W77" s="201"/>
      <c r="X77" s="201"/>
      <c r="Y77" s="201"/>
      <c r="Z77" s="201"/>
      <c r="AA77" s="201"/>
      <c r="AB77" s="201"/>
      <c r="AC77" s="201"/>
    </row>
    <row r="78" spans="1:31" s="203" customFormat="1" ht="11.25" customHeight="1">
      <c r="A78" s="249"/>
      <c r="B78" s="250"/>
      <c r="C78" s="201"/>
      <c r="D78" s="201"/>
      <c r="E78" s="202"/>
      <c r="F78" s="202"/>
      <c r="G78" s="202"/>
      <c r="H78" s="202"/>
      <c r="I78" s="202"/>
      <c r="J78" s="202"/>
      <c r="K78" s="202"/>
      <c r="L78" s="201"/>
      <c r="M78" s="201"/>
      <c r="O78" s="201"/>
      <c r="P78" s="201"/>
      <c r="Q78" s="201"/>
      <c r="R78" s="201"/>
      <c r="S78" s="201"/>
      <c r="T78" s="201"/>
      <c r="U78" s="201"/>
      <c r="V78" s="201"/>
      <c r="W78" s="201"/>
      <c r="X78" s="201"/>
      <c r="Y78" s="201"/>
      <c r="Z78" s="201"/>
      <c r="AA78" s="201"/>
      <c r="AB78" s="201"/>
      <c r="AC78" s="201"/>
    </row>
    <row r="79" spans="1:31" s="203" customFormat="1" ht="15" customHeight="1">
      <c r="A79" s="249"/>
      <c r="B79" s="250" t="s">
        <v>270</v>
      </c>
      <c r="C79" s="183"/>
      <c r="E79" s="201"/>
      <c r="J79" s="219"/>
      <c r="K79" s="202"/>
      <c r="L79" s="202"/>
      <c r="M79" s="202"/>
      <c r="O79" s="201"/>
      <c r="P79" s="201"/>
      <c r="Q79" s="201"/>
      <c r="R79" s="201"/>
      <c r="S79" s="201"/>
      <c r="T79" s="201"/>
      <c r="U79" s="201"/>
      <c r="V79" s="201"/>
      <c r="W79" s="201"/>
      <c r="X79" s="201"/>
      <c r="Y79" s="201"/>
      <c r="Z79" s="201"/>
      <c r="AA79" s="201"/>
      <c r="AB79" s="201"/>
      <c r="AC79" s="201"/>
      <c r="AD79" s="201"/>
      <c r="AE79" s="201"/>
    </row>
    <row r="80" spans="1:31">
      <c r="A80" s="248"/>
      <c r="B80" s="247"/>
      <c r="I80" s="219"/>
    </row>
  </sheetData>
  <sheetProtection password="CACA" sheet="1" objects="1" scenarios="1"/>
  <mergeCells count="48">
    <mergeCell ref="B12:C12"/>
    <mergeCell ref="B13:C13"/>
    <mergeCell ref="B14:C14"/>
    <mergeCell ref="B15:C15"/>
    <mergeCell ref="B7:C7"/>
    <mergeCell ref="B8:C8"/>
    <mergeCell ref="B9:C9"/>
    <mergeCell ref="B10:C10"/>
    <mergeCell ref="B11:C11"/>
    <mergeCell ref="A3:A5"/>
    <mergeCell ref="A1:I1"/>
    <mergeCell ref="H2:I2"/>
    <mergeCell ref="B3:C5"/>
    <mergeCell ref="B6:C6"/>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6:C46"/>
    <mergeCell ref="B47:C47"/>
    <mergeCell ref="B48:C48"/>
    <mergeCell ref="B49:C49"/>
    <mergeCell ref="B41:C41"/>
    <mergeCell ref="B42:C42"/>
    <mergeCell ref="B43:C43"/>
    <mergeCell ref="B44:C44"/>
    <mergeCell ref="B45:C45"/>
  </mergeCells>
  <conditionalFormatting sqref="K47">
    <cfRule type="cellIs" dxfId="1" priority="1" operator="notEqual">
      <formula>L47</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G15:I16 H41:H43 F27:J27 D45 H28:I32 D31 J43:J44 D29 D20:E20 H26:J26 E11 D8 G20:I20 E9 H17:H19 G17:G18 D10:E10 D39 I17:I18 D42:D43 G11:I11 D22:D25 D46:J46 D13:E18 E24 H34:H37 I37:J37 J28:J33 H38:J38 J39:J41 D59:E62 J59:J62 D65:E67 G54:H57 D69:E71 G69:H71 G59:H62 G65:H67 I57:J57 I54:J55 D54:E57" xr:uid="{00000000-0002-0000-0300-000000000000}">
      <formula1>-1E+22</formula1>
      <formula2>1E+22</formula2>
    </dataValidation>
    <dataValidation type="whole" operator="greaterThanOrEqual" allowBlank="1" showInputMessage="1" showErrorMessage="1" sqref="F59:F62 F65:F67 F69:F71 F54:F57 I65:J67 I69:J71 I59:I62 I56:J56 D63:J64 D68:J68 D58:J58" xr:uid="{00000000-0002-0000-03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27">
    <pageSetUpPr fitToPage="1"/>
  </sheetPr>
  <dimension ref="A1:AE80"/>
  <sheetViews>
    <sheetView view="pageBreakPreview" zoomScale="70" zoomScaleNormal="75" zoomScaleSheetLayoutView="70" workbookViewId="0">
      <pane xSplit="3" ySplit="7" topLeftCell="D52" activePane="bottomRight" state="frozen"/>
      <selection sqref="A1:B1"/>
      <selection pane="topRight" sqref="A1:B1"/>
      <selection pane="bottomLeft" sqref="A1:B1"/>
      <selection pane="bottomRight" activeCell="H43" sqref="H43"/>
    </sheetView>
  </sheetViews>
  <sheetFormatPr defaultRowHeight="12.75"/>
  <cols>
    <col min="1" max="1" width="5.42578125" style="101" customWidth="1"/>
    <col min="2" max="2" width="67" style="97" customWidth="1"/>
    <col min="3" max="3" width="13" style="97" customWidth="1"/>
    <col min="4" max="9" width="14.5703125" style="97" customWidth="1"/>
    <col min="10" max="10" width="14.5703125" style="114" customWidth="1"/>
    <col min="11" max="13" width="20.85546875" style="97" customWidth="1"/>
    <col min="14" max="14" width="14.28515625" style="97" bestFit="1" customWidth="1"/>
    <col min="15" max="16" width="10.28515625" style="97" customWidth="1"/>
    <col min="17" max="16384" width="9.140625" style="97"/>
  </cols>
  <sheetData>
    <row r="1" spans="1:12" ht="26.25" customHeight="1">
      <c r="A1" s="255" t="s">
        <v>250</v>
      </c>
      <c r="B1" s="255"/>
      <c r="C1" s="255"/>
      <c r="D1" s="255"/>
      <c r="E1" s="255"/>
      <c r="F1" s="255"/>
      <c r="G1" s="255"/>
      <c r="H1" s="255"/>
      <c r="I1" s="255"/>
      <c r="J1" s="166" t="s">
        <v>251</v>
      </c>
    </row>
    <row r="2" spans="1:12" ht="25.5" customHeight="1">
      <c r="B2" s="102" t="str">
        <f>+'Bank Capital Calc'!B3</f>
        <v>"Алоқабанк"</v>
      </c>
      <c r="C2" s="102"/>
      <c r="E2" s="100"/>
      <c r="F2" s="100"/>
      <c r="H2" s="257">
        <f>+'Bank Capital Calc'!C3</f>
        <v>45291</v>
      </c>
      <c r="I2" s="257"/>
      <c r="J2" s="167" t="s">
        <v>267</v>
      </c>
      <c r="K2" s="114"/>
    </row>
    <row r="3" spans="1:12">
      <c r="A3" s="256" t="s">
        <v>52</v>
      </c>
      <c r="B3" s="258" t="s">
        <v>131</v>
      </c>
      <c r="C3" s="259"/>
      <c r="D3" s="216">
        <v>0</v>
      </c>
      <c r="E3" s="216">
        <v>0.2</v>
      </c>
      <c r="F3" s="216">
        <v>0.35</v>
      </c>
      <c r="G3" s="216">
        <v>0.5</v>
      </c>
      <c r="H3" s="216">
        <v>1</v>
      </c>
      <c r="I3" s="216">
        <v>1.5</v>
      </c>
      <c r="J3" s="216">
        <v>2</v>
      </c>
      <c r="K3" s="209"/>
      <c r="L3" s="114"/>
    </row>
    <row r="4" spans="1:12" ht="20.25" customHeight="1">
      <c r="A4" s="256"/>
      <c r="B4" s="260"/>
      <c r="C4" s="261"/>
      <c r="D4" s="243" t="s">
        <v>184</v>
      </c>
      <c r="E4" s="243" t="s">
        <v>184</v>
      </c>
      <c r="F4" s="243" t="s">
        <v>184</v>
      </c>
      <c r="G4" s="243" t="s">
        <v>184</v>
      </c>
      <c r="H4" s="243" t="s">
        <v>184</v>
      </c>
      <c r="I4" s="243" t="s">
        <v>184</v>
      </c>
      <c r="J4" s="243" t="s">
        <v>184</v>
      </c>
      <c r="L4" s="114"/>
    </row>
    <row r="5" spans="1:12" ht="20.25" customHeight="1">
      <c r="A5" s="256"/>
      <c r="B5" s="262"/>
      <c r="C5" s="263"/>
      <c r="D5" s="243" t="s">
        <v>185</v>
      </c>
      <c r="E5" s="243" t="s">
        <v>186</v>
      </c>
      <c r="F5" s="243" t="s">
        <v>187</v>
      </c>
      <c r="G5" s="243" t="s">
        <v>188</v>
      </c>
      <c r="H5" s="243" t="s">
        <v>189</v>
      </c>
      <c r="I5" s="243" t="s">
        <v>190</v>
      </c>
      <c r="J5" s="243" t="s">
        <v>191</v>
      </c>
      <c r="L5" s="114"/>
    </row>
    <row r="6" spans="1:12">
      <c r="A6" s="243"/>
      <c r="B6" s="264" t="s">
        <v>26</v>
      </c>
      <c r="C6" s="265"/>
      <c r="D6" s="116" t="s">
        <v>27</v>
      </c>
      <c r="E6" s="116" t="s">
        <v>28</v>
      </c>
      <c r="F6" s="116" t="s">
        <v>29</v>
      </c>
      <c r="G6" s="116" t="s">
        <v>53</v>
      </c>
      <c r="H6" s="116" t="s">
        <v>54</v>
      </c>
      <c r="I6" s="116" t="s">
        <v>57</v>
      </c>
      <c r="J6" s="116" t="s">
        <v>64</v>
      </c>
      <c r="L6" s="114"/>
    </row>
    <row r="7" spans="1:12">
      <c r="A7" s="243"/>
      <c r="B7" s="266" t="s">
        <v>192</v>
      </c>
      <c r="C7" s="267"/>
      <c r="D7" s="103"/>
      <c r="E7" s="103"/>
      <c r="F7" s="103"/>
      <c r="G7" s="103"/>
      <c r="H7" s="103"/>
      <c r="I7" s="103"/>
      <c r="J7" s="103"/>
      <c r="L7" s="114"/>
    </row>
    <row r="8" spans="1:12" s="96" customFormat="1" ht="21" customHeight="1">
      <c r="A8" s="243" t="s">
        <v>55</v>
      </c>
      <c r="B8" s="253" t="s">
        <v>193</v>
      </c>
      <c r="C8" s="254"/>
      <c r="D8" s="245">
        <f>+'Calculation of Risk Weighted As'!D8-'Calculation of Risk Weighte нац'!D8</f>
        <v>209494812</v>
      </c>
      <c r="E8" s="94"/>
      <c r="F8" s="94"/>
      <c r="G8" s="94"/>
      <c r="H8" s="94"/>
      <c r="I8" s="94"/>
      <c r="J8" s="94"/>
      <c r="K8" s="210"/>
      <c r="L8" s="104"/>
    </row>
    <row r="9" spans="1:12" s="96" customFormat="1" ht="21" customHeight="1">
      <c r="A9" s="243" t="s">
        <v>65</v>
      </c>
      <c r="B9" s="253" t="s">
        <v>194</v>
      </c>
      <c r="C9" s="254"/>
      <c r="D9" s="94"/>
      <c r="E9" s="245">
        <f>+'Calculation of Risk Weighted As'!E9-'Calculation of Risk Weighte нац'!E9</f>
        <v>7654524</v>
      </c>
      <c r="F9" s="94"/>
      <c r="G9" s="94"/>
      <c r="H9" s="94"/>
      <c r="I9" s="94"/>
      <c r="J9" s="94"/>
      <c r="K9" s="210"/>
      <c r="L9" s="104"/>
    </row>
    <row r="10" spans="1:12" s="96" customFormat="1" ht="21" customHeight="1">
      <c r="A10" s="243" t="s">
        <v>66</v>
      </c>
      <c r="B10" s="253" t="s">
        <v>195</v>
      </c>
      <c r="C10" s="254"/>
      <c r="D10" s="245">
        <f>+'Calculation of Risk Weighted As'!D10-'Calculation of Risk Weighte нац'!D10</f>
        <v>0</v>
      </c>
      <c r="E10" s="245">
        <f>+'Calculation of Risk Weighted As'!E10-'Calculation of Risk Weighte нац'!E10</f>
        <v>61976744</v>
      </c>
      <c r="F10" s="94"/>
      <c r="G10" s="94"/>
      <c r="H10" s="94"/>
      <c r="I10" s="94"/>
      <c r="J10" s="94"/>
      <c r="K10" s="210"/>
      <c r="L10" s="104"/>
    </row>
    <row r="11" spans="1:12" s="96" customFormat="1" ht="27.75" customHeight="1">
      <c r="A11" s="243" t="s">
        <v>67</v>
      </c>
      <c r="B11" s="253" t="s">
        <v>277</v>
      </c>
      <c r="C11" s="254"/>
      <c r="D11" s="94"/>
      <c r="E11" s="245">
        <f>+'Calculation of Risk Weighted As'!E11-'Calculation of Risk Weighte нац'!E11</f>
        <v>188043533</v>
      </c>
      <c r="F11" s="94"/>
      <c r="G11" s="245">
        <f>+'Calculation of Risk Weighted As'!G11-'Calculation of Risk Weighte нац'!G11</f>
        <v>118627879</v>
      </c>
      <c r="H11" s="245">
        <f>+'Calculation of Risk Weighted As'!H11-'Calculation of Risk Weighte нац'!H11</f>
        <v>185081551</v>
      </c>
      <c r="I11" s="245">
        <f>+'Calculation of Risk Weighted As'!I11-'Calculation of Risk Weighte нац'!I11</f>
        <v>57699804</v>
      </c>
      <c r="J11" s="94"/>
      <c r="K11" s="210"/>
      <c r="L11" s="104"/>
    </row>
    <row r="12" spans="1:12" s="96" customFormat="1" ht="21" customHeight="1">
      <c r="A12" s="243" t="s">
        <v>68</v>
      </c>
      <c r="B12" s="253" t="s">
        <v>196</v>
      </c>
      <c r="C12" s="254"/>
      <c r="D12" s="94"/>
      <c r="E12" s="94"/>
      <c r="F12" s="94"/>
      <c r="G12" s="94"/>
      <c r="H12" s="94"/>
      <c r="I12" s="94"/>
      <c r="J12" s="94"/>
      <c r="K12" s="210"/>
      <c r="L12" s="104"/>
    </row>
    <row r="13" spans="1:12" s="96" customFormat="1" ht="27.75" customHeight="1">
      <c r="A13" s="243" t="s">
        <v>37</v>
      </c>
      <c r="B13" s="253" t="s">
        <v>197</v>
      </c>
      <c r="C13" s="254"/>
      <c r="D13" s="245">
        <f>+'Calculation of Risk Weighted As'!D13-'Calculation of Risk Weighte нац'!D13</f>
        <v>0</v>
      </c>
      <c r="E13" s="245">
        <f>+'Calculation of Risk Weighted As'!E13-'Calculation of Risk Weighte нац'!E13</f>
        <v>0</v>
      </c>
      <c r="F13" s="94"/>
      <c r="G13" s="94"/>
      <c r="H13" s="94"/>
      <c r="I13" s="94"/>
      <c r="J13" s="94"/>
      <c r="K13" s="210"/>
      <c r="L13" s="104"/>
    </row>
    <row r="14" spans="1:12" s="96" customFormat="1" ht="21" customHeight="1">
      <c r="A14" s="243" t="s">
        <v>33</v>
      </c>
      <c r="B14" s="253" t="s">
        <v>279</v>
      </c>
      <c r="C14" s="254"/>
      <c r="D14" s="245">
        <f>+'Calculation of Risk Weighted As'!D14-'Calculation of Risk Weighte нац'!D14</f>
        <v>0</v>
      </c>
      <c r="E14" s="245">
        <f>+'Calculation of Risk Weighted As'!E14-'Calculation of Risk Weighte нац'!E14</f>
        <v>0</v>
      </c>
      <c r="F14" s="94"/>
      <c r="G14" s="94"/>
      <c r="H14" s="94"/>
      <c r="I14" s="94"/>
      <c r="J14" s="94"/>
      <c r="K14" s="210"/>
      <c r="L14" s="104"/>
    </row>
    <row r="15" spans="1:12" s="96" customFormat="1" ht="38.25" customHeight="1">
      <c r="A15" s="243" t="s">
        <v>35</v>
      </c>
      <c r="B15" s="253" t="s">
        <v>198</v>
      </c>
      <c r="C15" s="254"/>
      <c r="D15" s="245">
        <f>+'Calculation of Risk Weighted As'!D15-'Calculation of Risk Weighte нац'!D15</f>
        <v>0</v>
      </c>
      <c r="E15" s="245">
        <f>+'Calculation of Risk Weighted As'!E15-'Calculation of Risk Weighte нац'!E15</f>
        <v>0</v>
      </c>
      <c r="F15" s="94"/>
      <c r="G15" s="245">
        <f>+'Calculation of Risk Weighted As'!G15-'Calculation of Risk Weighte нац'!G15</f>
        <v>0</v>
      </c>
      <c r="H15" s="245">
        <f>+'Calculation of Risk Weighted As'!H15-'Calculation of Risk Weighte нац'!H15</f>
        <v>0</v>
      </c>
      <c r="I15" s="245">
        <f>+'Calculation of Risk Weighted As'!I15-'Calculation of Risk Weighte нац'!I15</f>
        <v>0</v>
      </c>
      <c r="J15" s="94"/>
      <c r="K15" s="210"/>
      <c r="L15" s="104"/>
    </row>
    <row r="16" spans="1:12" s="96" customFormat="1" ht="21" customHeight="1">
      <c r="A16" s="243" t="s">
        <v>42</v>
      </c>
      <c r="B16" s="253" t="s">
        <v>199</v>
      </c>
      <c r="C16" s="254"/>
      <c r="D16" s="245">
        <f>+'Calculation of Risk Weighted As'!D16-'Calculation of Risk Weighte нац'!D16</f>
        <v>0</v>
      </c>
      <c r="E16" s="245">
        <f>+'Calculation of Risk Weighted As'!E16-'Calculation of Risk Weighte нац'!E16</f>
        <v>0</v>
      </c>
      <c r="F16" s="94"/>
      <c r="G16" s="245">
        <f>+'Calculation of Risk Weighted As'!G16-'Calculation of Risk Weighte нац'!G16</f>
        <v>0</v>
      </c>
      <c r="H16" s="245">
        <f>+'Calculation of Risk Weighted As'!H16-'Calculation of Risk Weighte нац'!H16</f>
        <v>0</v>
      </c>
      <c r="I16" s="245">
        <f>+'Calculation of Risk Weighted As'!I16-'Calculation of Risk Weighte нац'!I16</f>
        <v>0</v>
      </c>
      <c r="J16" s="94"/>
      <c r="K16" s="210"/>
      <c r="L16" s="104"/>
    </row>
    <row r="17" spans="1:12" s="96" customFormat="1" ht="21" customHeight="1">
      <c r="A17" s="243" t="s">
        <v>128</v>
      </c>
      <c r="B17" s="253" t="s">
        <v>200</v>
      </c>
      <c r="C17" s="254"/>
      <c r="D17" s="245">
        <f>+'Calculation of Risk Weighted As'!D17-'Calculation of Risk Weighte нац'!D17</f>
        <v>0</v>
      </c>
      <c r="E17" s="245">
        <f>+'Calculation of Risk Weighted As'!E17-'Calculation of Risk Weighte нац'!E17</f>
        <v>0</v>
      </c>
      <c r="F17" s="94"/>
      <c r="G17" s="245">
        <f>+'Calculation of Risk Weighted As'!G17-'Calculation of Risk Weighte нац'!G17</f>
        <v>0</v>
      </c>
      <c r="H17" s="245">
        <f>+'Calculation of Risk Weighted As'!H17-'Calculation of Risk Weighte нац'!H17</f>
        <v>0</v>
      </c>
      <c r="I17" s="245">
        <f>+'Calculation of Risk Weighted As'!I17-'Calculation of Risk Weighte нац'!I17</f>
        <v>0</v>
      </c>
      <c r="J17" s="94"/>
      <c r="K17" s="210"/>
      <c r="L17" s="104"/>
    </row>
    <row r="18" spans="1:12" s="96" customFormat="1" ht="21" customHeight="1">
      <c r="A18" s="243" t="s">
        <v>208</v>
      </c>
      <c r="B18" s="253" t="s">
        <v>275</v>
      </c>
      <c r="C18" s="254"/>
      <c r="D18" s="245">
        <f>+'Calculation of Risk Weighted As'!D18-'Calculation of Risk Weighte нац'!D18</f>
        <v>0</v>
      </c>
      <c r="E18" s="245">
        <f>+'Calculation of Risk Weighted As'!E18-'Calculation of Risk Weighte нац'!E18</f>
        <v>0</v>
      </c>
      <c r="F18" s="94"/>
      <c r="G18" s="245">
        <f>+'Calculation of Risk Weighted As'!G18-'Calculation of Risk Weighte нац'!G18</f>
        <v>0</v>
      </c>
      <c r="H18" s="245">
        <f>+'Calculation of Risk Weighted As'!H18-'Calculation of Risk Weighte нац'!H18</f>
        <v>0</v>
      </c>
      <c r="I18" s="245">
        <f>+'Calculation of Risk Weighted As'!I18-'Calculation of Risk Weighte нац'!I18</f>
        <v>0</v>
      </c>
      <c r="J18" s="94"/>
      <c r="K18" s="210"/>
      <c r="L18" s="104"/>
    </row>
    <row r="19" spans="1:12" s="96" customFormat="1" ht="27.75" customHeight="1">
      <c r="A19" s="243" t="s">
        <v>69</v>
      </c>
      <c r="B19" s="253" t="s">
        <v>201</v>
      </c>
      <c r="C19" s="254"/>
      <c r="D19" s="94"/>
      <c r="E19" s="94"/>
      <c r="F19" s="94"/>
      <c r="G19" s="94"/>
      <c r="H19" s="245">
        <f>+'Calculation of Risk Weighted As'!H19-'Calculation of Risk Weighte нац'!H19</f>
        <v>0</v>
      </c>
      <c r="I19" s="94"/>
      <c r="J19" s="94"/>
      <c r="K19" s="210"/>
      <c r="L19" s="104"/>
    </row>
    <row r="20" spans="1:12" s="96" customFormat="1" ht="52.5" customHeight="1">
      <c r="A20" s="243" t="s">
        <v>70</v>
      </c>
      <c r="B20" s="253" t="s">
        <v>202</v>
      </c>
      <c r="C20" s="254"/>
      <c r="D20" s="245">
        <f>+'Calculation of Risk Weighted As'!D20-'Calculation of Risk Weighte нац'!D20</f>
        <v>0</v>
      </c>
      <c r="E20" s="245">
        <f>+'Calculation of Risk Weighted As'!E20-'Calculation of Risk Weighte нац'!E20</f>
        <v>0</v>
      </c>
      <c r="F20" s="94"/>
      <c r="G20" s="245">
        <f>+'Calculation of Risk Weighted As'!G20-'Calculation of Risk Weighte нац'!G20</f>
        <v>0</v>
      </c>
      <c r="H20" s="245">
        <f>+'Calculation of Risk Weighted As'!H20-'Calculation of Risk Weighte нац'!H20</f>
        <v>0</v>
      </c>
      <c r="I20" s="245">
        <f>+'Calculation of Risk Weighted As'!I20-'Calculation of Risk Weighte нац'!I20</f>
        <v>0</v>
      </c>
      <c r="J20" s="94"/>
      <c r="K20" s="210"/>
      <c r="L20" s="104"/>
    </row>
    <row r="21" spans="1:12" s="96" customFormat="1" ht="21" customHeight="1">
      <c r="A21" s="243" t="s">
        <v>71</v>
      </c>
      <c r="B21" s="253" t="s">
        <v>203</v>
      </c>
      <c r="C21" s="254"/>
      <c r="D21" s="94"/>
      <c r="E21" s="94"/>
      <c r="F21" s="94"/>
      <c r="G21" s="94"/>
      <c r="H21" s="94"/>
      <c r="I21" s="94"/>
      <c r="J21" s="94"/>
      <c r="K21" s="210"/>
      <c r="L21" s="104"/>
    </row>
    <row r="22" spans="1:12" s="96" customFormat="1" ht="21" customHeight="1">
      <c r="A22" s="243" t="s">
        <v>37</v>
      </c>
      <c r="B22" s="253" t="s">
        <v>204</v>
      </c>
      <c r="C22" s="254"/>
      <c r="D22" s="245">
        <f>+'Calculation of Risk Weighted As'!D22-'Calculation of Risk Weighte нац'!D22</f>
        <v>0</v>
      </c>
      <c r="E22" s="94"/>
      <c r="F22" s="94"/>
      <c r="G22" s="94"/>
      <c r="H22" s="94"/>
      <c r="I22" s="94"/>
      <c r="J22" s="94"/>
      <c r="K22" s="210"/>
      <c r="L22" s="104"/>
    </row>
    <row r="23" spans="1:12" s="96" customFormat="1" ht="27.75" customHeight="1">
      <c r="A23" s="243" t="s">
        <v>33</v>
      </c>
      <c r="B23" s="253" t="s">
        <v>276</v>
      </c>
      <c r="C23" s="254"/>
      <c r="D23" s="245">
        <f>+'Calculation of Risk Weighted As'!D23-'Calculation of Risk Weighte нац'!D23</f>
        <v>0</v>
      </c>
      <c r="E23" s="94"/>
      <c r="F23" s="94"/>
      <c r="G23" s="94"/>
      <c r="H23" s="94"/>
      <c r="I23" s="94"/>
      <c r="J23" s="94"/>
      <c r="K23" s="210"/>
      <c r="L23" s="104"/>
    </row>
    <row r="24" spans="1:12" s="96" customFormat="1" ht="21" customHeight="1">
      <c r="A24" s="243" t="s">
        <v>35</v>
      </c>
      <c r="B24" s="253" t="s">
        <v>205</v>
      </c>
      <c r="C24" s="254"/>
      <c r="D24" s="245">
        <f>+'Calculation of Risk Weighted As'!D24-'Calculation of Risk Weighte нац'!D24</f>
        <v>1349479</v>
      </c>
      <c r="E24" s="245">
        <f>+'Calculation of Risk Weighted As'!E24-'Calculation of Risk Weighte нац'!E24</f>
        <v>0</v>
      </c>
      <c r="F24" s="94"/>
      <c r="G24" s="94"/>
      <c r="H24" s="94"/>
      <c r="I24" s="94"/>
      <c r="J24" s="94"/>
      <c r="K24" s="210"/>
      <c r="L24" s="104"/>
    </row>
    <row r="25" spans="1:12" s="96" customFormat="1" ht="52.5" customHeight="1">
      <c r="A25" s="243" t="s">
        <v>42</v>
      </c>
      <c r="B25" s="253" t="s">
        <v>206</v>
      </c>
      <c r="C25" s="254"/>
      <c r="D25" s="245">
        <f>+'Calculation of Risk Weighted As'!D25-'Calculation of Risk Weighte нац'!D25</f>
        <v>0</v>
      </c>
      <c r="E25" s="94"/>
      <c r="F25" s="94"/>
      <c r="G25" s="94"/>
      <c r="H25" s="94"/>
      <c r="I25" s="94"/>
      <c r="J25" s="94"/>
      <c r="K25" s="210"/>
      <c r="L25" s="104"/>
    </row>
    <row r="26" spans="1:12" s="96" customFormat="1" ht="21" customHeight="1">
      <c r="A26" s="243" t="s">
        <v>128</v>
      </c>
      <c r="B26" s="253" t="s">
        <v>207</v>
      </c>
      <c r="C26" s="254"/>
      <c r="D26" s="94" t="s">
        <v>292</v>
      </c>
      <c r="E26" s="94"/>
      <c r="F26" s="94"/>
      <c r="G26" s="94"/>
      <c r="H26" s="245">
        <f>+'Calculation of Risk Weighted As'!H26-'Calculation of Risk Weighte нац'!H26</f>
        <v>0</v>
      </c>
      <c r="I26" s="94"/>
      <c r="J26" s="94"/>
      <c r="K26" s="210"/>
      <c r="L26" s="104"/>
    </row>
    <row r="27" spans="1:12" s="96" customFormat="1" ht="27.75" customHeight="1">
      <c r="A27" s="243" t="s">
        <v>208</v>
      </c>
      <c r="B27" s="253" t="s">
        <v>209</v>
      </c>
      <c r="C27" s="254"/>
      <c r="D27" s="94"/>
      <c r="E27" s="94"/>
      <c r="F27" s="246">
        <f>+'Calculation of Risk Weighted As'!F27-'Calculation of Risk Weighte нац'!F27</f>
        <v>0</v>
      </c>
      <c r="G27" s="246">
        <f>+'Calculation of Risk Weighted As'!G27-'Calculation of Risk Weighte нац'!G27</f>
        <v>0</v>
      </c>
      <c r="H27" s="246">
        <f>+'Calculation of Risk Weighted As'!H27-'Calculation of Risk Weighte нац'!H27</f>
        <v>0</v>
      </c>
      <c r="I27" s="246">
        <f>+'Calculation of Risk Weighted As'!I27-'Calculation of Risk Weighte нац'!I27</f>
        <v>0</v>
      </c>
      <c r="J27" s="94"/>
      <c r="K27" s="210"/>
      <c r="L27" s="104"/>
    </row>
    <row r="28" spans="1:12" s="96" customFormat="1" ht="21" customHeight="1">
      <c r="A28" s="243" t="s">
        <v>210</v>
      </c>
      <c r="B28" s="253" t="s">
        <v>294</v>
      </c>
      <c r="C28" s="254"/>
      <c r="D28" s="94"/>
      <c r="E28" s="94"/>
      <c r="F28" s="94"/>
      <c r="G28" s="94"/>
      <c r="H28" s="245">
        <f>+'Calculation of Risk Weighted As'!H28-'Calculation of Risk Weighte нац'!H28</f>
        <v>0</v>
      </c>
      <c r="I28" s="245">
        <f>+'Calculation of Risk Weighted As'!I28-'Calculation of Risk Weighte нац'!I28</f>
        <v>0</v>
      </c>
      <c r="J28" s="245">
        <f>+'Calculation of Risk Weighted As'!J28-'Calculation of Risk Weighte нац'!J28</f>
        <v>0</v>
      </c>
      <c r="K28" s="210"/>
      <c r="L28" s="104"/>
    </row>
    <row r="29" spans="1:12" s="96" customFormat="1" ht="21" customHeight="1">
      <c r="A29" s="243" t="s">
        <v>212</v>
      </c>
      <c r="B29" s="253" t="s">
        <v>290</v>
      </c>
      <c r="C29" s="254"/>
      <c r="D29" s="245">
        <f>+'Calculation of Risk Weighted As'!D29-'Calculation of Risk Weighte нац'!D29</f>
        <v>0</v>
      </c>
      <c r="E29" s="94"/>
      <c r="F29" s="94"/>
      <c r="G29" s="94"/>
      <c r="H29" s="245">
        <f>+'Calculation of Risk Weighted As'!H29-'Calculation of Risk Weighte нац'!H29</f>
        <v>0</v>
      </c>
      <c r="I29" s="245">
        <f>+'Calculation of Risk Weighted As'!I29-'Calculation of Risk Weighte нац'!I29</f>
        <v>0</v>
      </c>
      <c r="J29" s="245">
        <f>+'Calculation of Risk Weighted As'!J29-'Calculation of Risk Weighte нац'!J29</f>
        <v>0</v>
      </c>
      <c r="K29" s="210"/>
      <c r="L29" s="104"/>
    </row>
    <row r="30" spans="1:12" s="96" customFormat="1" ht="21" customHeight="1">
      <c r="A30" s="243" t="s">
        <v>214</v>
      </c>
      <c r="B30" s="253" t="s">
        <v>211</v>
      </c>
      <c r="C30" s="254"/>
      <c r="D30" s="94"/>
      <c r="E30" s="94"/>
      <c r="F30" s="94"/>
      <c r="G30" s="94"/>
      <c r="H30" s="246">
        <f>+'Calculation of Risk Weighted As'!H30-'Calculation of Risk Weighte нац'!H30</f>
        <v>0</v>
      </c>
      <c r="I30" s="246">
        <f>+'Calculation of Risk Weighted As'!I30-'Calculation of Risk Weighte нац'!I30</f>
        <v>0</v>
      </c>
      <c r="J30" s="246">
        <f>+'Calculation of Risk Weighted As'!J30-'Calculation of Risk Weighte нац'!J30</f>
        <v>0</v>
      </c>
      <c r="K30" s="210"/>
      <c r="L30" s="104"/>
    </row>
    <row r="31" spans="1:12" s="96" customFormat="1" ht="21" customHeight="1">
      <c r="A31" s="243" t="s">
        <v>285</v>
      </c>
      <c r="B31" s="253" t="s">
        <v>291</v>
      </c>
      <c r="C31" s="254"/>
      <c r="D31" s="245">
        <f>+'Calculation of Risk Weighted As'!D31-'Calculation of Risk Weighte нац'!D31</f>
        <v>0</v>
      </c>
      <c r="E31" s="94"/>
      <c r="F31" s="94"/>
      <c r="G31" s="94"/>
      <c r="H31" s="245">
        <f>+'Calculation of Risk Weighted As'!H31-'Calculation of Risk Weighte нац'!H31</f>
        <v>0</v>
      </c>
      <c r="I31" s="245">
        <f>+'Calculation of Risk Weighted As'!I31-'Calculation of Risk Weighte нац'!I31</f>
        <v>0</v>
      </c>
      <c r="J31" s="245">
        <f>+'Calculation of Risk Weighted As'!J31-'Calculation of Risk Weighte нац'!J31</f>
        <v>0</v>
      </c>
      <c r="K31" s="210"/>
      <c r="L31" s="104"/>
    </row>
    <row r="32" spans="1:12" s="96" customFormat="1" ht="21" customHeight="1">
      <c r="A32" s="243" t="s">
        <v>286</v>
      </c>
      <c r="B32" s="253" t="s">
        <v>213</v>
      </c>
      <c r="C32" s="254"/>
      <c r="D32" s="94"/>
      <c r="E32" s="94"/>
      <c r="F32" s="94"/>
      <c r="G32" s="94"/>
      <c r="H32" s="245">
        <f>+'Calculation of Risk Weighted As'!H32-'Calculation of Risk Weighte нац'!H32</f>
        <v>3728377227</v>
      </c>
      <c r="I32" s="245">
        <f>+'Calculation of Risk Weighted As'!I32-'Calculation of Risk Weighte нац'!I32</f>
        <v>11185157</v>
      </c>
      <c r="J32" s="246">
        <f>+'Calculation of Risk Weighted As'!J32-'Calculation of Risk Weighte нац'!J32</f>
        <v>13686156</v>
      </c>
      <c r="K32" s="210"/>
      <c r="L32" s="104"/>
    </row>
    <row r="33" spans="1:13" s="96" customFormat="1" ht="21" customHeight="1">
      <c r="A33" s="243" t="s">
        <v>287</v>
      </c>
      <c r="B33" s="253" t="s">
        <v>278</v>
      </c>
      <c r="C33" s="254"/>
      <c r="D33" s="94"/>
      <c r="E33" s="94"/>
      <c r="F33" s="94"/>
      <c r="G33" s="94"/>
      <c r="H33" s="94"/>
      <c r="I33" s="94"/>
      <c r="J33" s="246">
        <f>+'Calculation of Risk Weighted As'!J33-'Calculation of Risk Weighte нац'!J33</f>
        <v>55968924</v>
      </c>
      <c r="K33" s="210"/>
      <c r="L33" s="210"/>
      <c r="M33" s="210"/>
    </row>
    <row r="34" spans="1:13" s="96" customFormat="1" ht="21" customHeight="1">
      <c r="A34" s="243" t="s">
        <v>72</v>
      </c>
      <c r="B34" s="253" t="s">
        <v>215</v>
      </c>
      <c r="C34" s="254"/>
      <c r="D34" s="94"/>
      <c r="E34" s="94"/>
      <c r="F34" s="94"/>
      <c r="G34" s="94"/>
      <c r="H34" s="94"/>
      <c r="I34" s="94"/>
      <c r="J34" s="94"/>
      <c r="K34" s="210"/>
      <c r="L34" s="104"/>
    </row>
    <row r="35" spans="1:13" s="96" customFormat="1" ht="21" customHeight="1">
      <c r="A35" s="243" t="s">
        <v>37</v>
      </c>
      <c r="B35" s="253" t="s">
        <v>216</v>
      </c>
      <c r="C35" s="254"/>
      <c r="D35" s="94"/>
      <c r="E35" s="94"/>
      <c r="F35" s="94"/>
      <c r="G35" s="94"/>
      <c r="H35" s="245">
        <f>+'Calculation of Risk Weighted As'!H35-'Calculation of Risk Weighte нац'!H35</f>
        <v>0</v>
      </c>
      <c r="I35" s="94"/>
      <c r="J35" s="94"/>
      <c r="K35" s="210"/>
      <c r="L35" s="104"/>
    </row>
    <row r="36" spans="1:13" s="96" customFormat="1" ht="21" customHeight="1">
      <c r="A36" s="243" t="s">
        <v>33</v>
      </c>
      <c r="B36" s="253" t="s">
        <v>217</v>
      </c>
      <c r="C36" s="254"/>
      <c r="D36" s="94"/>
      <c r="E36" s="94"/>
      <c r="F36" s="94"/>
      <c r="G36" s="94"/>
      <c r="H36" s="245">
        <f>+'Calculation of Risk Weighted As'!H36-'Calculation of Risk Weighte нац'!H36</f>
        <v>0</v>
      </c>
      <c r="I36" s="94"/>
      <c r="J36" s="94"/>
      <c r="K36" s="210"/>
      <c r="L36" s="104"/>
    </row>
    <row r="37" spans="1:13" s="96" customFormat="1" ht="21" customHeight="1">
      <c r="A37" s="243" t="s">
        <v>35</v>
      </c>
      <c r="B37" s="253" t="s">
        <v>218</v>
      </c>
      <c r="C37" s="254"/>
      <c r="D37" s="94"/>
      <c r="E37" s="94"/>
      <c r="F37" s="94"/>
      <c r="G37" s="94"/>
      <c r="H37" s="94"/>
      <c r="I37" s="245">
        <f>+'Calculation of Risk Weighted As'!I37-'Calculation of Risk Weighte нац'!I37</f>
        <v>0</v>
      </c>
      <c r="J37" s="246">
        <f>+'Calculation of Risk Weighted As'!J37-'Calculation of Risk Weighte нац'!J37</f>
        <v>0</v>
      </c>
      <c r="K37" s="210"/>
      <c r="L37" s="104"/>
    </row>
    <row r="38" spans="1:13" s="96" customFormat="1" ht="21" customHeight="1">
      <c r="A38" s="243" t="s">
        <v>42</v>
      </c>
      <c r="B38" s="253" t="s">
        <v>219</v>
      </c>
      <c r="C38" s="254"/>
      <c r="D38" s="94"/>
      <c r="E38" s="94"/>
      <c r="F38" s="94"/>
      <c r="G38" s="94"/>
      <c r="H38" s="94"/>
      <c r="I38" s="245">
        <f>+'Calculation of Risk Weighted As'!I38-'Calculation of Risk Weighte нац'!I38</f>
        <v>0</v>
      </c>
      <c r="J38" s="246">
        <f>+'Calculation of Risk Weighted As'!J38-'Calculation of Risk Weighte нац'!J38</f>
        <v>0</v>
      </c>
      <c r="K38" s="210"/>
      <c r="L38" s="104"/>
    </row>
    <row r="39" spans="1:13" s="96" customFormat="1" ht="27.75" customHeight="1">
      <c r="A39" s="243" t="s">
        <v>79</v>
      </c>
      <c r="B39" s="253" t="s">
        <v>298</v>
      </c>
      <c r="C39" s="254"/>
      <c r="D39" s="245">
        <f>+'Calculation of Risk Weighted As'!D39-'Calculation of Risk Weighte нац'!D39</f>
        <v>0</v>
      </c>
      <c r="E39" s="94"/>
      <c r="F39" s="94"/>
      <c r="G39" s="94"/>
      <c r="H39" s="94"/>
      <c r="I39" s="94"/>
      <c r="J39" s="246">
        <f>+'Calculation of Risk Weighted As'!J39-'Calculation of Risk Weighte нац'!J39</f>
        <v>0</v>
      </c>
      <c r="K39" s="210"/>
      <c r="L39" s="104"/>
    </row>
    <row r="40" spans="1:13" s="96" customFormat="1" ht="27.75" customHeight="1">
      <c r="A40" s="243" t="s">
        <v>80</v>
      </c>
      <c r="B40" s="253" t="s">
        <v>299</v>
      </c>
      <c r="C40" s="254"/>
      <c r="D40" s="94"/>
      <c r="E40" s="94"/>
      <c r="F40" s="94"/>
      <c r="G40" s="94"/>
      <c r="H40" s="94"/>
      <c r="I40" s="94"/>
      <c r="J40" s="246">
        <f>+'Calculation of Risk Weighted As'!J40-'Calculation of Risk Weighte нац'!J40</f>
        <v>0</v>
      </c>
      <c r="K40" s="210"/>
      <c r="L40" s="104"/>
    </row>
    <row r="41" spans="1:13" s="96" customFormat="1" ht="21" customHeight="1">
      <c r="A41" s="243" t="s">
        <v>73</v>
      </c>
      <c r="B41" s="253" t="s">
        <v>283</v>
      </c>
      <c r="C41" s="254"/>
      <c r="D41" s="94"/>
      <c r="E41" s="115"/>
      <c r="F41" s="94"/>
      <c r="G41" s="94"/>
      <c r="H41" s="245">
        <f>+'Calculation of Risk Weighted As'!H41-'Calculation of Risk Weighte нац'!H41</f>
        <v>0</v>
      </c>
      <c r="I41" s="94"/>
      <c r="J41" s="246">
        <f>+'Calculation of Risk Weighted As'!J41-'Calculation of Risk Weighte нац'!J41</f>
        <v>0</v>
      </c>
      <c r="K41" s="210"/>
      <c r="L41" s="104"/>
    </row>
    <row r="42" spans="1:13" s="96" customFormat="1" ht="21" customHeight="1">
      <c r="A42" s="243" t="s">
        <v>74</v>
      </c>
      <c r="B42" s="253" t="s">
        <v>220</v>
      </c>
      <c r="C42" s="254"/>
      <c r="D42" s="245">
        <f>+'Calculation of Risk Weighted As'!D42-'Calculation of Risk Weighte нац'!D42</f>
        <v>0</v>
      </c>
      <c r="E42" s="115"/>
      <c r="F42" s="94"/>
      <c r="G42" s="94"/>
      <c r="H42" s="245">
        <f>+'Calculation of Risk Weighted As'!H42-'Calculation of Risk Weighte нац'!H42</f>
        <v>0</v>
      </c>
      <c r="I42" s="94"/>
      <c r="J42" s="94"/>
      <c r="K42" s="210"/>
      <c r="L42" s="104"/>
    </row>
    <row r="43" spans="1:13" s="96" customFormat="1" ht="21" customHeight="1">
      <c r="A43" s="243" t="s">
        <v>75</v>
      </c>
      <c r="B43" s="253" t="s">
        <v>281</v>
      </c>
      <c r="C43" s="254"/>
      <c r="D43" s="245">
        <f>+'Calculation of Risk Weighted As'!D43-'Calculation of Risk Weighte нац'!D43</f>
        <v>0</v>
      </c>
      <c r="E43" s="115"/>
      <c r="F43" s="94"/>
      <c r="G43" s="94"/>
      <c r="H43" s="245">
        <f>+'Calculation of Risk Weighted As'!H43-'Calculation of Risk Weighte нац'!H43</f>
        <v>37525835</v>
      </c>
      <c r="I43" s="94"/>
      <c r="J43" s="246">
        <f>+'Calculation of Risk Weighted As'!J43-'Calculation of Risk Weighte нац'!J43</f>
        <v>0</v>
      </c>
      <c r="K43" s="210"/>
      <c r="L43" s="104"/>
    </row>
    <row r="44" spans="1:13" s="96" customFormat="1" ht="21" customHeight="1">
      <c r="A44" s="243" t="s">
        <v>76</v>
      </c>
      <c r="B44" s="253" t="s">
        <v>282</v>
      </c>
      <c r="C44" s="254"/>
      <c r="D44" s="94"/>
      <c r="E44" s="94"/>
      <c r="F44" s="94"/>
      <c r="G44" s="94"/>
      <c r="H44" s="94"/>
      <c r="I44" s="94"/>
      <c r="J44" s="246">
        <f>+'Calculation of Risk Weighted As'!J44-'Calculation of Risk Weighte нац'!J44</f>
        <v>0</v>
      </c>
      <c r="K44" s="210"/>
      <c r="L44" s="104"/>
    </row>
    <row r="45" spans="1:13" s="96" customFormat="1" ht="21" customHeight="1">
      <c r="A45" s="243" t="s">
        <v>77</v>
      </c>
      <c r="B45" s="253" t="s">
        <v>288</v>
      </c>
      <c r="C45" s="254"/>
      <c r="D45" s="245">
        <f>+'Calculation of Risk Weighted As'!D45-'Calculation of Risk Weighte нац'!D45</f>
        <v>0</v>
      </c>
      <c r="E45" s="94"/>
      <c r="F45" s="94"/>
      <c r="G45" s="94"/>
      <c r="H45" s="94"/>
      <c r="I45" s="94"/>
      <c r="J45" s="94"/>
      <c r="K45" s="210"/>
      <c r="L45" s="104"/>
    </row>
    <row r="46" spans="1:13" s="96" customFormat="1" ht="21" customHeight="1">
      <c r="A46" s="243" t="s">
        <v>78</v>
      </c>
      <c r="B46" s="253" t="s">
        <v>221</v>
      </c>
      <c r="C46" s="254"/>
      <c r="D46" s="245">
        <f>+'Calculation of Risk Weighted As'!D46-'Calculation of Risk Weighte нац'!D46</f>
        <v>0</v>
      </c>
      <c r="E46" s="245">
        <f>+'Calculation of Risk Weighted As'!E46-'Calculation of Risk Weighte нац'!E46</f>
        <v>0</v>
      </c>
      <c r="F46" s="245">
        <f>+'Calculation of Risk Weighted As'!F46-'Calculation of Risk Weighte нац'!F46</f>
        <v>0</v>
      </c>
      <c r="G46" s="245">
        <f>+'Calculation of Risk Weighted As'!G46-'Calculation of Risk Weighte нац'!G46</f>
        <v>0</v>
      </c>
      <c r="H46" s="245">
        <f>+'Calculation of Risk Weighted As'!H46-'Calculation of Risk Weighte нац'!H46</f>
        <v>179578976</v>
      </c>
      <c r="I46" s="245">
        <f>+'Calculation of Risk Weighted As'!I46-'Calculation of Risk Weighte нац'!I46</f>
        <v>51736</v>
      </c>
      <c r="J46" s="246">
        <f>+'Calculation of Risk Weighted As'!J46-'Calculation of Risk Weighte нац'!J46</f>
        <v>11040571</v>
      </c>
      <c r="K46" s="210"/>
      <c r="L46" s="104"/>
    </row>
    <row r="47" spans="1:13" s="96" customFormat="1" ht="21" customHeight="1">
      <c r="A47" s="243" t="s">
        <v>280</v>
      </c>
      <c r="B47" s="253" t="s">
        <v>222</v>
      </c>
      <c r="C47" s="254"/>
      <c r="D47" s="93">
        <f>SUM(D8:D44)+D46-D45</f>
        <v>210844291</v>
      </c>
      <c r="E47" s="93">
        <f t="shared" ref="E47:J47" si="0">SUM(E8:E44)+E46-E45</f>
        <v>257674801</v>
      </c>
      <c r="F47" s="93">
        <f t="shared" si="0"/>
        <v>0</v>
      </c>
      <c r="G47" s="93">
        <f t="shared" si="0"/>
        <v>118627879</v>
      </c>
      <c r="H47" s="93">
        <f t="shared" si="0"/>
        <v>4130563589</v>
      </c>
      <c r="I47" s="93">
        <f t="shared" si="0"/>
        <v>68936697</v>
      </c>
      <c r="J47" s="93">
        <f t="shared" si="0"/>
        <v>80695651</v>
      </c>
      <c r="K47" s="210">
        <f>SUM(D47:J47)</f>
        <v>4867342908</v>
      </c>
      <c r="L47" s="104">
        <f>+[7]Balance!$E$47</f>
        <v>4867342908</v>
      </c>
      <c r="M47" s="210">
        <f>+K47-L47</f>
        <v>0</v>
      </c>
    </row>
    <row r="48" spans="1:13" s="96" customFormat="1" ht="26.25" customHeight="1">
      <c r="A48" s="243" t="s">
        <v>289</v>
      </c>
      <c r="B48" s="253" t="s">
        <v>223</v>
      </c>
      <c r="C48" s="254"/>
      <c r="D48" s="94"/>
      <c r="E48" s="93">
        <f t="shared" ref="E48:J48" si="1">E47*E3</f>
        <v>51534960.200000003</v>
      </c>
      <c r="F48" s="93">
        <f t="shared" si="1"/>
        <v>0</v>
      </c>
      <c r="G48" s="93">
        <f t="shared" si="1"/>
        <v>59313939.5</v>
      </c>
      <c r="H48" s="93">
        <f t="shared" si="1"/>
        <v>4130563589</v>
      </c>
      <c r="I48" s="93">
        <f t="shared" si="1"/>
        <v>103405045.5</v>
      </c>
      <c r="J48" s="93">
        <f t="shared" si="1"/>
        <v>161391302</v>
      </c>
      <c r="K48" s="104"/>
      <c r="L48" s="104"/>
    </row>
    <row r="49" spans="1:13" s="96" customFormat="1" ht="21" customHeight="1">
      <c r="A49" s="243" t="s">
        <v>296</v>
      </c>
      <c r="B49" s="253" t="s">
        <v>224</v>
      </c>
      <c r="C49" s="254"/>
      <c r="D49" s="94"/>
      <c r="E49" s="94"/>
      <c r="F49" s="94"/>
      <c r="G49" s="94"/>
      <c r="H49" s="94"/>
      <c r="I49" s="94"/>
      <c r="J49" s="93">
        <f>SUM(E48:J48)</f>
        <v>4506208836.1999998</v>
      </c>
      <c r="K49" s="104"/>
    </row>
    <row r="50" spans="1:13" s="96" customFormat="1">
      <c r="A50" s="105"/>
      <c r="B50" s="106"/>
      <c r="C50" s="106"/>
      <c r="D50" s="95"/>
      <c r="E50" s="95"/>
      <c r="F50" s="95"/>
      <c r="G50" s="95"/>
      <c r="H50" s="95"/>
      <c r="J50" s="104"/>
    </row>
    <row r="51" spans="1:13" s="96" customFormat="1">
      <c r="A51" s="105"/>
      <c r="B51" s="107"/>
      <c r="C51" s="107"/>
      <c r="D51" s="107"/>
      <c r="E51" s="107"/>
      <c r="F51" s="107"/>
      <c r="G51" s="107"/>
      <c r="H51" s="107"/>
      <c r="I51" s="107"/>
    </row>
    <row r="52" spans="1:13" s="96" customFormat="1" ht="48.75" customHeight="1">
      <c r="A52" s="217" t="s">
        <v>52</v>
      </c>
      <c r="B52" s="243" t="s">
        <v>227</v>
      </c>
      <c r="C52" s="244" t="s">
        <v>225</v>
      </c>
      <c r="D52" s="216">
        <v>0</v>
      </c>
      <c r="E52" s="216">
        <v>0.2</v>
      </c>
      <c r="F52" s="216">
        <v>0.35</v>
      </c>
      <c r="G52" s="216">
        <v>0.5</v>
      </c>
      <c r="H52" s="216">
        <v>1</v>
      </c>
      <c r="I52" s="216">
        <v>1.5</v>
      </c>
      <c r="J52" s="216">
        <v>2</v>
      </c>
    </row>
    <row r="53" spans="1:13" s="96" customFormat="1">
      <c r="A53" s="217">
        <v>1</v>
      </c>
      <c r="B53" s="215" t="s">
        <v>228</v>
      </c>
      <c r="C53" s="94"/>
      <c r="D53" s="94"/>
      <c r="E53" s="94"/>
      <c r="F53" s="94"/>
      <c r="G53" s="94"/>
      <c r="H53" s="94"/>
      <c r="I53" s="94"/>
      <c r="J53" s="94"/>
    </row>
    <row r="54" spans="1:13" s="96" customFormat="1" ht="12.75" customHeight="1">
      <c r="A54" s="217" t="s">
        <v>31</v>
      </c>
      <c r="B54" s="213" t="s">
        <v>229</v>
      </c>
      <c r="C54" s="117">
        <v>0.5</v>
      </c>
      <c r="D54" s="246">
        <f>+'Calculation of Risk Weighted As'!D54-'Calculation of Risk Weighte нац'!D54</f>
        <v>0</v>
      </c>
      <c r="E54" s="246">
        <f>+'Calculation of Risk Weighted As'!E54-'Calculation of Risk Weighte нац'!E54</f>
        <v>0</v>
      </c>
      <c r="F54" s="94"/>
      <c r="G54" s="246">
        <f>+'Calculation of Risk Weighted As'!G54-'Calculation of Risk Weighte нац'!G54</f>
        <v>0</v>
      </c>
      <c r="H54" s="246">
        <f>+'Calculation of Risk Weighted As'!H54-'Calculation of Risk Weighte нац'!H54</f>
        <v>181137478</v>
      </c>
      <c r="I54" s="246">
        <f>+'Calculation of Risk Weighted As'!I54-'Calculation of Risk Weighte нац'!I54</f>
        <v>0</v>
      </c>
      <c r="J54" s="246">
        <f>+'Calculation of Risk Weighted As'!J54-'Calculation of Risk Weighte нац'!J54</f>
        <v>0</v>
      </c>
    </row>
    <row r="55" spans="1:13" s="96" customFormat="1">
      <c r="A55" s="217" t="s">
        <v>33</v>
      </c>
      <c r="B55" s="213" t="s">
        <v>230</v>
      </c>
      <c r="C55" s="117">
        <v>0.2</v>
      </c>
      <c r="D55" s="246">
        <f>+'Calculation of Risk Weighted As'!D55-'Calculation of Risk Weighte нац'!D55</f>
        <v>0</v>
      </c>
      <c r="E55" s="246">
        <f>+'Calculation of Risk Weighted As'!E55-'Calculation of Risk Weighte нац'!E55</f>
        <v>0</v>
      </c>
      <c r="F55" s="94"/>
      <c r="G55" s="246">
        <f>+'Calculation of Risk Weighted As'!G55-'Calculation of Risk Weighte нац'!G55</f>
        <v>0</v>
      </c>
      <c r="H55" s="246">
        <f>+'Calculation of Risk Weighted As'!H55-'Calculation of Risk Weighte нац'!H55</f>
        <v>6798816</v>
      </c>
      <c r="I55" s="246">
        <f>+'Calculation of Risk Weighted As'!I55-'Calculation of Risk Weighte нац'!I55</f>
        <v>0</v>
      </c>
      <c r="J55" s="246">
        <f>+'Calculation of Risk Weighted As'!J55-'Calculation of Risk Weighte нац'!J55</f>
        <v>0</v>
      </c>
      <c r="K55" s="221">
        <f>SUM(D54:J55)</f>
        <v>187936294</v>
      </c>
      <c r="L55" s="221">
        <f>+[7]Commitments!$E$4</f>
        <v>187936294</v>
      </c>
      <c r="M55" s="222">
        <f>+K55-L55</f>
        <v>0</v>
      </c>
    </row>
    <row r="56" spans="1:13" s="96" customFormat="1" ht="26.25" customHeight="1">
      <c r="A56" s="217">
        <v>2</v>
      </c>
      <c r="B56" s="215" t="s">
        <v>231</v>
      </c>
      <c r="C56" s="117">
        <v>1</v>
      </c>
      <c r="D56" s="246">
        <f>+'Calculation of Risk Weighted As'!D56-'Calculation of Risk Weighte нац'!D56</f>
        <v>0</v>
      </c>
      <c r="E56" s="246">
        <f>+'Calculation of Risk Weighted As'!E56-'Calculation of Risk Weighte нац'!E56</f>
        <v>0</v>
      </c>
      <c r="F56" s="94"/>
      <c r="G56" s="246">
        <f>+'Calculation of Risk Weighted As'!G56-'Calculation of Risk Weighte нац'!G56</f>
        <v>0</v>
      </c>
      <c r="H56" s="246">
        <f>+'Calculation of Risk Weighted As'!H56-'Calculation of Risk Weighte нац'!H56</f>
        <v>0</v>
      </c>
      <c r="I56" s="94"/>
      <c r="J56" s="94"/>
      <c r="M56" s="222"/>
    </row>
    <row r="57" spans="1:13" s="96" customFormat="1">
      <c r="A57" s="217">
        <v>3</v>
      </c>
      <c r="B57" s="215" t="s">
        <v>232</v>
      </c>
      <c r="C57" s="117">
        <v>1</v>
      </c>
      <c r="D57" s="246">
        <f>+'Calculation of Risk Weighted As'!D57-'Calculation of Risk Weighte нац'!D57</f>
        <v>0</v>
      </c>
      <c r="E57" s="246">
        <f>+'Calculation of Risk Weighted As'!E57-'Calculation of Risk Weighte нац'!E57</f>
        <v>0</v>
      </c>
      <c r="F57" s="94"/>
      <c r="G57" s="246">
        <f>+'Calculation of Risk Weighted As'!G57-'Calculation of Risk Weighte нац'!G57</f>
        <v>0</v>
      </c>
      <c r="H57" s="246">
        <f>+'Calculation of Risk Weighted As'!H57-'Calculation of Risk Weighte нац'!H57</f>
        <v>615388149</v>
      </c>
      <c r="I57" s="246">
        <f>+'Calculation of Risk Weighted As'!I57-'Calculation of Risk Weighte нац'!I57</f>
        <v>0</v>
      </c>
      <c r="J57" s="246">
        <f>+'Calculation of Risk Weighted As'!J57-'Calculation of Risk Weighte нац'!J57</f>
        <v>0</v>
      </c>
      <c r="K57" s="221">
        <f>SUM(D57:J57)</f>
        <v>615388149</v>
      </c>
      <c r="L57" s="221">
        <f>+[7]Commitments!$E$7</f>
        <v>615388149</v>
      </c>
      <c r="M57" s="222">
        <f>+K57-L57</f>
        <v>0</v>
      </c>
    </row>
    <row r="58" spans="1:13" s="96" customFormat="1">
      <c r="A58" s="217">
        <v>4</v>
      </c>
      <c r="B58" s="215" t="s">
        <v>233</v>
      </c>
      <c r="C58" s="108"/>
      <c r="D58" s="94"/>
      <c r="E58" s="94"/>
      <c r="F58" s="94"/>
      <c r="G58" s="94"/>
      <c r="H58" s="94"/>
      <c r="I58" s="94"/>
      <c r="J58" s="94"/>
      <c r="M58" s="222"/>
    </row>
    <row r="59" spans="1:13" s="96" customFormat="1">
      <c r="A59" s="217" t="s">
        <v>31</v>
      </c>
      <c r="B59" s="213" t="s">
        <v>234</v>
      </c>
      <c r="C59" s="117">
        <v>1</v>
      </c>
      <c r="D59" s="246">
        <f>+'Calculation of Risk Weighted As'!D59-'Calculation of Risk Weighte нац'!D59</f>
        <v>0</v>
      </c>
      <c r="E59" s="246">
        <f>+'Calculation of Risk Weighted As'!E59-'Calculation of Risk Weighte нац'!E59</f>
        <v>0</v>
      </c>
      <c r="F59" s="94"/>
      <c r="G59" s="246">
        <f>+'Calculation of Risk Weighted As'!G59-'Calculation of Risk Weighte нац'!G59</f>
        <v>0</v>
      </c>
      <c r="H59" s="246">
        <f>+'Calculation of Risk Weighted As'!H59-'Calculation of Risk Weighte нац'!H59</f>
        <v>0</v>
      </c>
      <c r="I59" s="94"/>
      <c r="J59" s="246">
        <f>+'Calculation of Risk Weighted As'!J59-'Calculation of Risk Weighte нац'!J59</f>
        <v>0</v>
      </c>
      <c r="M59" s="222"/>
    </row>
    <row r="60" spans="1:13" s="96" customFormat="1">
      <c r="A60" s="217" t="s">
        <v>33</v>
      </c>
      <c r="B60" s="213" t="s">
        <v>235</v>
      </c>
      <c r="C60" s="117">
        <v>0.5</v>
      </c>
      <c r="D60" s="246">
        <f>+'Calculation of Risk Weighted As'!D60-'Calculation of Risk Weighte нац'!D60</f>
        <v>0</v>
      </c>
      <c r="E60" s="246">
        <f>+'Calculation of Risk Weighted As'!E60-'Calculation of Risk Weighte нац'!E60</f>
        <v>0</v>
      </c>
      <c r="F60" s="94"/>
      <c r="G60" s="246">
        <f>+'Calculation of Risk Weighted As'!G60-'Calculation of Risk Weighte нац'!G60</f>
        <v>0</v>
      </c>
      <c r="H60" s="246">
        <f>+'Calculation of Risk Weighted As'!H60-'Calculation of Risk Weighte нац'!H60</f>
        <v>0</v>
      </c>
      <c r="I60" s="94"/>
      <c r="J60" s="246">
        <f>+'Calculation of Risk Weighted As'!J60-'Calculation of Risk Weighte нац'!J60</f>
        <v>0</v>
      </c>
      <c r="M60" s="222"/>
    </row>
    <row r="61" spans="1:13" s="96" customFormat="1" ht="12.75" customHeight="1">
      <c r="A61" s="217" t="s">
        <v>35</v>
      </c>
      <c r="B61" s="213" t="s">
        <v>236</v>
      </c>
      <c r="C61" s="117">
        <v>0.2</v>
      </c>
      <c r="D61" s="246">
        <f>+'Calculation of Risk Weighted As'!D61-'Calculation of Risk Weighte нац'!D61</f>
        <v>0</v>
      </c>
      <c r="E61" s="246">
        <f>+'Calculation of Risk Weighted As'!E61-'Calculation of Risk Weighte нац'!E61</f>
        <v>0</v>
      </c>
      <c r="F61" s="94"/>
      <c r="G61" s="246">
        <f>+'Calculation of Risk Weighted As'!G61-'Calculation of Risk Weighte нац'!G61</f>
        <v>0</v>
      </c>
      <c r="H61" s="246">
        <f>+'Calculation of Risk Weighted As'!H61-'Calculation of Risk Weighte нац'!H61</f>
        <v>0</v>
      </c>
      <c r="I61" s="94"/>
      <c r="J61" s="246">
        <f>+'Calculation of Risk Weighted As'!J61-'Calculation of Risk Weighte нац'!J61</f>
        <v>0</v>
      </c>
      <c r="M61" s="222"/>
    </row>
    <row r="62" spans="1:13" s="96" customFormat="1">
      <c r="A62" s="217" t="s">
        <v>42</v>
      </c>
      <c r="B62" s="213" t="s">
        <v>237</v>
      </c>
      <c r="C62" s="117">
        <v>1</v>
      </c>
      <c r="D62" s="246">
        <f>+'Calculation of Risk Weighted As'!D62-'Calculation of Risk Weighte нац'!D62</f>
        <v>158636020</v>
      </c>
      <c r="E62" s="246">
        <f>+'Calculation of Risk Weighted As'!E62-'Calculation of Risk Weighte нац'!E62</f>
        <v>0</v>
      </c>
      <c r="F62" s="94"/>
      <c r="G62" s="246">
        <f>+'Calculation of Risk Weighted As'!G62-'Calculation of Risk Weighte нац'!G62</f>
        <v>0</v>
      </c>
      <c r="H62" s="246">
        <f>+'Calculation of Risk Weighted As'!H62-'Calculation of Risk Weighte нац'!H62</f>
        <v>0</v>
      </c>
      <c r="I62" s="94"/>
      <c r="J62" s="246">
        <f>+'Calculation of Risk Weighted As'!J62-'Calculation of Risk Weighte нац'!J62</f>
        <v>0</v>
      </c>
      <c r="K62" s="221">
        <f>SUM(D59:J62)</f>
        <v>158636020</v>
      </c>
      <c r="L62" s="221">
        <f>+[7]Commitments!$E$10</f>
        <v>158636020</v>
      </c>
      <c r="M62" s="222">
        <f>+K62-L62</f>
        <v>0</v>
      </c>
    </row>
    <row r="63" spans="1:13" s="96" customFormat="1" ht="16.5" customHeight="1">
      <c r="A63" s="217">
        <v>5</v>
      </c>
      <c r="B63" s="215" t="s">
        <v>268</v>
      </c>
      <c r="C63" s="108"/>
      <c r="D63" s="94"/>
      <c r="E63" s="94"/>
      <c r="F63" s="94"/>
      <c r="G63" s="94"/>
      <c r="H63" s="94"/>
      <c r="I63" s="94"/>
      <c r="J63" s="94"/>
      <c r="M63" s="222"/>
    </row>
    <row r="64" spans="1:13" s="96" customFormat="1">
      <c r="A64" s="217" t="s">
        <v>31</v>
      </c>
      <c r="B64" s="213" t="s">
        <v>238</v>
      </c>
      <c r="C64" s="108"/>
      <c r="D64" s="94"/>
      <c r="E64" s="94"/>
      <c r="F64" s="94"/>
      <c r="G64" s="94"/>
      <c r="H64" s="94"/>
      <c r="I64" s="94"/>
      <c r="J64" s="94"/>
      <c r="M64" s="222"/>
    </row>
    <row r="65" spans="1:31" s="96" customFormat="1">
      <c r="A65" s="217" t="s">
        <v>58</v>
      </c>
      <c r="B65" s="214" t="s">
        <v>239</v>
      </c>
      <c r="C65" s="118">
        <v>5.0000000000000001E-3</v>
      </c>
      <c r="D65" s="246">
        <f>+'Calculation of Risk Weighted As'!D65-'Calculation of Risk Weighte нац'!D65</f>
        <v>0</v>
      </c>
      <c r="E65" s="246">
        <f>+'Calculation of Risk Weighted As'!E65-'Calculation of Risk Weighte нац'!E65</f>
        <v>0</v>
      </c>
      <c r="F65" s="94"/>
      <c r="G65" s="246">
        <f>+'Calculation of Risk Weighted As'!G65-'Calculation of Risk Weighte нац'!G65</f>
        <v>0</v>
      </c>
      <c r="H65" s="246">
        <f>+'Calculation of Risk Weighted As'!H65-'Calculation of Risk Weighte нац'!H65</f>
        <v>350626829</v>
      </c>
      <c r="I65" s="94"/>
      <c r="J65" s="94"/>
      <c r="M65" s="222"/>
    </row>
    <row r="66" spans="1:31" s="96" customFormat="1">
      <c r="A66" s="217" t="s">
        <v>59</v>
      </c>
      <c r="B66" s="214" t="s">
        <v>240</v>
      </c>
      <c r="C66" s="117">
        <v>0.01</v>
      </c>
      <c r="D66" s="246">
        <f>+'Calculation of Risk Weighted As'!D66-'Calculation of Risk Weighte нац'!D66</f>
        <v>0</v>
      </c>
      <c r="E66" s="246">
        <f>+'Calculation of Risk Weighted As'!E66-'Calculation of Risk Weighte нац'!E66</f>
        <v>0</v>
      </c>
      <c r="F66" s="94"/>
      <c r="G66" s="246">
        <f>+'Calculation of Risk Weighted As'!G66-'Calculation of Risk Weighte нац'!G66</f>
        <v>0</v>
      </c>
      <c r="H66" s="246">
        <f>+'Calculation of Risk Weighted As'!H66-'Calculation of Risk Weighte нац'!H66</f>
        <v>0</v>
      </c>
      <c r="I66" s="94"/>
      <c r="J66" s="94"/>
      <c r="M66" s="222"/>
    </row>
    <row r="67" spans="1:31" s="96" customFormat="1">
      <c r="A67" s="217" t="s">
        <v>60</v>
      </c>
      <c r="B67" s="214" t="s">
        <v>241</v>
      </c>
      <c r="C67" s="117">
        <v>0.02</v>
      </c>
      <c r="D67" s="246">
        <f>+'Calculation of Risk Weighted As'!D67-'Calculation of Risk Weighte нац'!D67</f>
        <v>0</v>
      </c>
      <c r="E67" s="246">
        <f>+'Calculation of Risk Weighted As'!E67-'Calculation of Risk Weighte нац'!E67</f>
        <v>0</v>
      </c>
      <c r="F67" s="94"/>
      <c r="G67" s="246">
        <f>+'Calculation of Risk Weighted As'!G67-'Calculation of Risk Weighte нац'!G67</f>
        <v>0</v>
      </c>
      <c r="H67" s="246">
        <f>+'Calculation of Risk Weighted As'!H67-'Calculation of Risk Weighte нац'!H67</f>
        <v>0</v>
      </c>
      <c r="I67" s="94"/>
      <c r="J67" s="94"/>
      <c r="M67" s="222"/>
    </row>
    <row r="68" spans="1:31" s="96" customFormat="1">
      <c r="A68" s="217" t="s">
        <v>33</v>
      </c>
      <c r="B68" s="213" t="s">
        <v>242</v>
      </c>
      <c r="C68" s="108"/>
      <c r="D68" s="94"/>
      <c r="E68" s="94"/>
      <c r="F68" s="94"/>
      <c r="G68" s="94"/>
      <c r="H68" s="94"/>
      <c r="I68" s="94"/>
      <c r="J68" s="94"/>
      <c r="M68" s="222"/>
    </row>
    <row r="69" spans="1:31" s="96" customFormat="1">
      <c r="A69" s="217" t="s">
        <v>61</v>
      </c>
      <c r="B69" s="214" t="s">
        <v>243</v>
      </c>
      <c r="C69" s="117">
        <v>0.02</v>
      </c>
      <c r="D69" s="246">
        <f>+'Calculation of Risk Weighted As'!D69-'Calculation of Risk Weighte нац'!D69</f>
        <v>0</v>
      </c>
      <c r="E69" s="246">
        <f>+'Calculation of Risk Weighted As'!E69-'Calculation of Risk Weighte нац'!E69</f>
        <v>0</v>
      </c>
      <c r="F69" s="94"/>
      <c r="G69" s="246">
        <f>+'Calculation of Risk Weighted As'!G69-'Calculation of Risk Weighte нац'!G69</f>
        <v>0</v>
      </c>
      <c r="H69" s="246">
        <f>+'Calculation of Risk Weighted As'!H69-'Calculation of Risk Weighte нац'!H69</f>
        <v>0</v>
      </c>
      <c r="I69" s="94"/>
      <c r="J69" s="94"/>
      <c r="M69" s="104"/>
    </row>
    <row r="70" spans="1:31" s="96" customFormat="1">
      <c r="A70" s="217" t="s">
        <v>62</v>
      </c>
      <c r="B70" s="214" t="s">
        <v>244</v>
      </c>
      <c r="C70" s="117">
        <v>0.05</v>
      </c>
      <c r="D70" s="246">
        <f>+'Calculation of Risk Weighted As'!D70-'Calculation of Risk Weighte нац'!D70</f>
        <v>0</v>
      </c>
      <c r="E70" s="246">
        <f>+'Calculation of Risk Weighted As'!E70-'Calculation of Risk Weighte нац'!E70</f>
        <v>0</v>
      </c>
      <c r="F70" s="94"/>
      <c r="G70" s="246">
        <f>+'Calculation of Risk Weighted As'!G70-'Calculation of Risk Weighte нац'!G70</f>
        <v>0</v>
      </c>
      <c r="H70" s="246">
        <f>+'Calculation of Risk Weighted As'!H70-'Calculation of Risk Weighte нац'!H70</f>
        <v>0</v>
      </c>
      <c r="I70" s="94"/>
      <c r="J70" s="94"/>
    </row>
    <row r="71" spans="1:31" s="96" customFormat="1">
      <c r="A71" s="244" t="s">
        <v>63</v>
      </c>
      <c r="B71" s="214" t="s">
        <v>245</v>
      </c>
      <c r="C71" s="117">
        <v>0.08</v>
      </c>
      <c r="D71" s="246">
        <f>+'Calculation of Risk Weighted As'!D71-'Calculation of Risk Weighte нац'!D71</f>
        <v>0</v>
      </c>
      <c r="E71" s="246">
        <f>+'Calculation of Risk Weighted As'!E71-'Calculation of Risk Weighte нац'!E71</f>
        <v>0</v>
      </c>
      <c r="F71" s="94"/>
      <c r="G71" s="246">
        <f>+'Calculation of Risk Weighted As'!G71-'Calculation of Risk Weighte нац'!G71</f>
        <v>0</v>
      </c>
      <c r="H71" s="246">
        <f>+'Calculation of Risk Weighted As'!H71-'Calculation of Risk Weighte нац'!H71</f>
        <v>0</v>
      </c>
      <c r="I71" s="94"/>
      <c r="J71" s="94"/>
    </row>
    <row r="72" spans="1:31" s="96" customFormat="1">
      <c r="A72" s="244">
        <v>6</v>
      </c>
      <c r="B72" s="168" t="s">
        <v>246</v>
      </c>
      <c r="C72" s="108"/>
      <c r="D72" s="93">
        <f t="shared" ref="D72:G72" si="2">SUM(D54:D71)</f>
        <v>158636020</v>
      </c>
      <c r="E72" s="93">
        <f t="shared" si="2"/>
        <v>0</v>
      </c>
      <c r="F72" s="93">
        <f t="shared" si="2"/>
        <v>0</v>
      </c>
      <c r="G72" s="93">
        <f t="shared" si="2"/>
        <v>0</v>
      </c>
      <c r="H72" s="93">
        <f>SUM(H54:H71)</f>
        <v>1153951272</v>
      </c>
      <c r="I72" s="93">
        <f>SUM(I54:I71)</f>
        <v>0</v>
      </c>
      <c r="J72" s="93">
        <f>SUM(J54:J71)</f>
        <v>0</v>
      </c>
      <c r="K72" s="221"/>
      <c r="L72" s="221"/>
      <c r="M72" s="223"/>
    </row>
    <row r="73" spans="1:31" s="96" customFormat="1">
      <c r="A73" s="244">
        <v>7</v>
      </c>
      <c r="B73" s="168" t="s">
        <v>226</v>
      </c>
      <c r="C73" s="108"/>
      <c r="D73" s="93">
        <f>+(D54*$C$54*$D$3)+(D55*$C$55*$D$3)+(D56*$C$56*$D$3)+(D57*$C$57*$D$3)+(D59*$C$59*$D$3)+(D60*$C$60*$D$3)+(D61*$C$61*$D$3)+(D62*$C$62*$D$3)+(D65*$C$65*$D$3)+(D66*$C$66*$D$3)+(D67*$C$67*$D$3)+(D69*$C$69*$D$3)+(D70*$C$70*$D$3)+(D71*$C$71*$D$3)</f>
        <v>0</v>
      </c>
      <c r="E73" s="93">
        <f>+(E54*$C$54*$E$3)+(E55*$C$55*$E$3)+(E56*$C$56*$E$3)+(E57*$C$57*$E$3)+(E59*$C$59*$E$3)+(E60*$C$60*$E$3)+(E61*$C$61*$E$3)+(E62*$C$62*$E$3)+(E65*$C$65*$E$3)+(E66*$C$66*$E$3)+(E67*$C$67*$E$3)+(E69*$C$69*$E$3)+(E70*$C$70*$E$3)+(E71*$C$71*$E$3)</f>
        <v>0</v>
      </c>
      <c r="F73" s="93">
        <f>+(F54*$C$54*$F$3)+(F55*$C$55*$F$3)+(F56*$C$56*$F$3)+(F57*$C$57*$F$3)+(F59*$C$59*$F$3)+(F60*$C$60*$F$3)+(F61*$C$61*$F$3)+(F62*$C$62*$F$3)+(F65*$C$65*$F$3)+(F66*$C$66*$F$3)+(F67*$C$67*$F$3)+(F69*$C$69*$F$3)+(F70*$C$70*$F$3)+(F71*$C$71*$F$3)</f>
        <v>0</v>
      </c>
      <c r="G73" s="93">
        <f>+(G54*$C$54*$G$3)+(G55*$C$55*$G$3)+(G56*$C$56*$G$3)+(G57*$C$57*$G$3)+(G59*$C$59*$G$3)+(G60*$C$60*$G$3)+(G61*$C$61*$G$3)+(G62*$C$62*$G$3)+(G65*$C$65*$G$3)+(G66*$C$66*$G$3)+(G67*$C$67*$G$3)+(G69*$C$69*$G$3)+(G70*$C$70*$G$3)+(G71*$C$71*$G$3)</f>
        <v>0</v>
      </c>
      <c r="H73" s="93">
        <f>+(H54*$C$54*$H$3)+(H55*$C$55*$H$3)+(H56*$C$56*$H$3)+(H57*$C$57*$H$3)+(H59*$C$59*$H$3)+(H60*$C$60*$H$3)+(H61*$C$61*$H$3)+(H62*$C$62*$H$3)+(H65*$C$65*$H$3)+(H66*$C$66*$H$3)+(H67*$C$67*$H$3)+(H69*$C$69*$H$3)+(H70*$C$70*$H$3)+(H71*$C$71*$H$3)</f>
        <v>709069785.34500003</v>
      </c>
      <c r="I73" s="93">
        <f>+(I54*$C$54*$I$3)+(I55*$C$55*$I$3)+(I56*$C$56*$I$3)+(I57*$C$57*$I$3)+(I59*$C$59*$I$3)+(I60*$C$60*$I$3)+(I61*$C$61*$I$3)+(I62*$C$62*$I$3)+(I65*$C$65*$I$3)+(I66*$C$66*$I$3)+(I67*$C$67*$I$3)+(I69*$C$69*$I$3)+(I70*$C$70*$I$3)+(I71*$C$71*$I$3)</f>
        <v>0</v>
      </c>
      <c r="J73" s="93">
        <f>+(J54*$C$54*$J$3)+(J55*$C$55*$J$3)+(J56*$C$56*$J$3)+(J57*$C$57*$J$3)+(J59*$C$59*$J$3)+(J60*$C$60*$J$3)+(J61*$C$61*$J$3)+(J62*$C$62*$J$3)+(J65*$C$65*$J$3)+(J66*$C$66*$J$3)+(J67*$C$67*$J$3)+(J69*$C$69*$J$3)+(J70*$C$70*$J$3)+(J71*$C$71*$J$3)</f>
        <v>0</v>
      </c>
      <c r="K73" s="222"/>
    </row>
    <row r="74" spans="1:31" s="96" customFormat="1">
      <c r="A74" s="244">
        <v>8</v>
      </c>
      <c r="B74" s="168" t="s">
        <v>247</v>
      </c>
      <c r="C74" s="108"/>
      <c r="D74" s="94"/>
      <c r="E74" s="94"/>
      <c r="F74" s="94"/>
      <c r="G74" s="94"/>
      <c r="H74" s="94"/>
      <c r="I74" s="94"/>
      <c r="J74" s="93">
        <f>SUM(D73:J73)</f>
        <v>709069785.34500003</v>
      </c>
    </row>
    <row r="75" spans="1:31" s="96" customFormat="1">
      <c r="A75" s="244">
        <v>9</v>
      </c>
      <c r="B75" s="168" t="s">
        <v>248</v>
      </c>
      <c r="C75" s="108"/>
      <c r="D75" s="94"/>
      <c r="E75" s="94"/>
      <c r="F75" s="94"/>
      <c r="G75" s="94"/>
      <c r="H75" s="94"/>
      <c r="I75" s="94"/>
      <c r="J75" s="93">
        <f>SUM(J74+J49)</f>
        <v>5215278621.5450001</v>
      </c>
    </row>
    <row r="76" spans="1:31">
      <c r="H76" s="114"/>
      <c r="J76" s="97"/>
    </row>
    <row r="77" spans="1:31" s="203" customFormat="1" ht="15" customHeight="1">
      <c r="A77" s="201"/>
      <c r="B77" s="183" t="s">
        <v>269</v>
      </c>
      <c r="C77" s="201"/>
      <c r="D77" s="219"/>
      <c r="E77" s="220"/>
      <c r="F77" s="220"/>
      <c r="G77" s="220"/>
      <c r="H77" s="220"/>
      <c r="I77" s="220"/>
      <c r="J77" s="220"/>
      <c r="K77" s="202"/>
      <c r="L77" s="201"/>
      <c r="M77" s="201"/>
      <c r="O77" s="201"/>
      <c r="P77" s="201"/>
      <c r="Q77" s="201"/>
      <c r="R77" s="201"/>
      <c r="S77" s="201"/>
      <c r="T77" s="201"/>
      <c r="U77" s="201"/>
      <c r="V77" s="201"/>
      <c r="W77" s="201"/>
      <c r="X77" s="201"/>
      <c r="Y77" s="201"/>
      <c r="Z77" s="201"/>
      <c r="AA77" s="201"/>
      <c r="AB77" s="201"/>
      <c r="AC77" s="201"/>
    </row>
    <row r="78" spans="1:31" s="203" customFormat="1" ht="11.25" customHeight="1">
      <c r="A78" s="201"/>
      <c r="B78" s="183"/>
      <c r="C78" s="201"/>
      <c r="D78" s="201"/>
      <c r="E78" s="202"/>
      <c r="F78" s="202"/>
      <c r="G78" s="202"/>
      <c r="H78" s="202"/>
      <c r="I78" s="202"/>
      <c r="J78" s="202"/>
      <c r="K78" s="202"/>
      <c r="L78" s="201"/>
      <c r="M78" s="201"/>
      <c r="O78" s="201"/>
      <c r="P78" s="201"/>
      <c r="Q78" s="201"/>
      <c r="R78" s="201"/>
      <c r="S78" s="201"/>
      <c r="T78" s="201"/>
      <c r="U78" s="201"/>
      <c r="V78" s="201"/>
      <c r="W78" s="201"/>
      <c r="X78" s="201"/>
      <c r="Y78" s="201"/>
      <c r="Z78" s="201"/>
      <c r="AA78" s="201"/>
      <c r="AB78" s="201"/>
      <c r="AC78" s="201"/>
    </row>
    <row r="79" spans="1:31" s="203" customFormat="1" ht="15" customHeight="1">
      <c r="A79" s="201"/>
      <c r="B79" s="183" t="s">
        <v>270</v>
      </c>
      <c r="C79" s="183"/>
      <c r="E79" s="201"/>
      <c r="J79" s="219"/>
      <c r="K79" s="202"/>
      <c r="L79" s="202"/>
      <c r="M79" s="202"/>
      <c r="O79" s="201"/>
      <c r="P79" s="201"/>
      <c r="Q79" s="201"/>
      <c r="R79" s="201"/>
      <c r="S79" s="201"/>
      <c r="T79" s="201"/>
      <c r="U79" s="201"/>
      <c r="V79" s="201"/>
      <c r="W79" s="201"/>
      <c r="X79" s="201"/>
      <c r="Y79" s="201"/>
      <c r="Z79" s="201"/>
      <c r="AA79" s="201"/>
      <c r="AB79" s="201"/>
      <c r="AC79" s="201"/>
      <c r="AD79" s="201"/>
      <c r="AE79" s="201"/>
    </row>
    <row r="80" spans="1:31">
      <c r="I80" s="219"/>
    </row>
  </sheetData>
  <sheetProtection password="CACA" sheet="1" objects="1" scenarios="1"/>
  <mergeCells count="48">
    <mergeCell ref="B12:C12"/>
    <mergeCell ref="B13:C13"/>
    <mergeCell ref="B14:C14"/>
    <mergeCell ref="B15:C15"/>
    <mergeCell ref="B7:C7"/>
    <mergeCell ref="B8:C8"/>
    <mergeCell ref="B9:C9"/>
    <mergeCell ref="B10:C10"/>
    <mergeCell ref="B11:C11"/>
    <mergeCell ref="A3:A5"/>
    <mergeCell ref="A1:I1"/>
    <mergeCell ref="H2:I2"/>
    <mergeCell ref="B3:C5"/>
    <mergeCell ref="B6:C6"/>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6:C46"/>
    <mergeCell ref="B47:C47"/>
    <mergeCell ref="B48:C48"/>
    <mergeCell ref="B49:C49"/>
    <mergeCell ref="B41:C41"/>
    <mergeCell ref="B42:C42"/>
    <mergeCell ref="B43:C43"/>
    <mergeCell ref="B44:C44"/>
    <mergeCell ref="B45:C45"/>
  </mergeCells>
  <conditionalFormatting sqref="K47">
    <cfRule type="cellIs" dxfId="0" priority="1" operator="notEqual">
      <formula>L47</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H26:J26 H17:H20 F27:J27 D8 D22:D25 D42:D43 H28:I32 D31 J28:J33 J43:J44 D46:J46 I17:I18 G17:G18 D10 H38:J38 G20 D29 I37:J37 D20:E20 E9:E11 G11:I11 D54:E57 E24 D45 D13:E18 D39 H34:H37 I20 G15:I16 J39:J41 I57:J57 J59:J62 D59:E62 G54:H57 D65:E67 D69:E71 G59:H62 G65:H67 G69:H71 I54:J55 H41:H43" xr:uid="{00000000-0002-0000-0400-000000000000}">
      <formula1>-1E+22</formula1>
      <formula2>1E+22</formula2>
    </dataValidation>
    <dataValidation type="whole" operator="greaterThanOrEqual" allowBlank="1" showInputMessage="1" showErrorMessage="1" sqref="F59:F62 F65:F67 F69:F71 D58:J58 D68:J68 F54:F57 I65:J67 I69:J71 I59:I62 D63:J64 I56:J56" xr:uid="{00000000-0002-0000-04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4" orientation="portrait" r:id="rId1"/>
  <headerFooter alignWithMargins="0"/>
  <ignoredErrors>
    <ignoredError sqref="D54:K54 D76:K79 D55:J75"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8">
    <pageSetUpPr fitToPage="1"/>
  </sheetPr>
  <dimension ref="A1:AD32"/>
  <sheetViews>
    <sheetView tabSelected="1" view="pageBreakPreview" topLeftCell="A13" zoomScale="115" zoomScaleNormal="75" zoomScaleSheetLayoutView="115" workbookViewId="0">
      <selection activeCell="C23" sqref="C23"/>
    </sheetView>
  </sheetViews>
  <sheetFormatPr defaultRowHeight="12.75"/>
  <cols>
    <col min="1" max="1" width="8.85546875" style="110" customWidth="1"/>
    <col min="2" max="2" width="58.42578125" style="110" bestFit="1" customWidth="1"/>
    <col min="3" max="3" width="21.28515625" style="170" customWidth="1"/>
    <col min="4" max="4" width="31" style="186" bestFit="1" customWidth="1"/>
    <col min="5" max="5" width="42.28515625" style="186" bestFit="1" customWidth="1"/>
    <col min="6" max="6" width="9.140625" style="186"/>
    <col min="7" max="7" width="10.5703125" style="186" bestFit="1" customWidth="1"/>
    <col min="8" max="8" width="9.140625" style="189"/>
    <col min="9" max="13" width="15.7109375" style="189" customWidth="1"/>
    <col min="14" max="14" width="9.140625" style="186"/>
    <col min="15" max="16384" width="9.140625" style="110"/>
  </cols>
  <sheetData>
    <row r="1" spans="1:15" s="109" customFormat="1" ht="48.75" customHeight="1">
      <c r="A1" s="268" t="s">
        <v>254</v>
      </c>
      <c r="B1" s="268"/>
      <c r="C1" s="169" t="s">
        <v>253</v>
      </c>
      <c r="D1" s="185"/>
      <c r="E1" s="193"/>
      <c r="F1" s="193"/>
      <c r="G1" s="193"/>
      <c r="H1" s="194"/>
      <c r="I1" s="195"/>
      <c r="J1" s="195"/>
      <c r="K1" s="195"/>
      <c r="L1" s="195"/>
      <c r="M1" s="195"/>
      <c r="N1" s="196"/>
      <c r="O1" s="193"/>
    </row>
    <row r="2" spans="1:15" ht="7.5" customHeight="1">
      <c r="B2" s="111" t="str">
        <f>IF(C3&gt;0," "&amp;TEXT(C3,"гггг"),"Число,Месяц,Год")</f>
        <v xml:space="preserve"> 2023</v>
      </c>
      <c r="E2" s="197"/>
      <c r="F2" s="197"/>
      <c r="G2" s="197"/>
      <c r="H2" s="198"/>
      <c r="I2" s="198"/>
      <c r="J2" s="198"/>
      <c r="K2" s="198"/>
      <c r="L2" s="198"/>
      <c r="M2" s="198"/>
      <c r="N2" s="197"/>
      <c r="O2" s="197"/>
    </row>
    <row r="3" spans="1:15" ht="15.75" customHeight="1">
      <c r="B3" s="171" t="str">
        <f>+'Bank Capital Calc'!B3</f>
        <v>"Алоқабанк"</v>
      </c>
      <c r="C3" s="207">
        <f>+'Bank Capital Calc'!C3</f>
        <v>45291</v>
      </c>
      <c r="E3" s="197"/>
      <c r="F3" s="197"/>
      <c r="G3" s="197"/>
      <c r="H3" s="199"/>
      <c r="I3" s="198"/>
      <c r="J3" s="198"/>
      <c r="K3" s="198"/>
      <c r="L3" s="198"/>
      <c r="M3" s="198"/>
      <c r="N3" s="197"/>
      <c r="O3" s="197"/>
    </row>
    <row r="4" spans="1:15" ht="43.5" customHeight="1">
      <c r="A4" s="66" t="s">
        <v>52</v>
      </c>
      <c r="B4" s="66" t="s">
        <v>255</v>
      </c>
      <c r="C4" s="66" t="s">
        <v>267</v>
      </c>
      <c r="E4" s="197"/>
      <c r="G4" s="197"/>
      <c r="H4" s="198"/>
      <c r="I4" s="198"/>
      <c r="J4" s="198"/>
      <c r="K4" s="198"/>
      <c r="L4" s="198"/>
      <c r="M4" s="198"/>
      <c r="N4" s="197"/>
      <c r="O4" s="197"/>
    </row>
    <row r="5" spans="1:15" ht="21.75" customHeight="1">
      <c r="A5" s="172" t="s">
        <v>55</v>
      </c>
      <c r="B5" s="173" t="str">
        <f>+""&amp;(D$6-3)&amp;" йилдаги банкнинг ялпи  даромади"</f>
        <v>2020 йилдаги банкнинг ялпи  даромади</v>
      </c>
      <c r="C5" s="174">
        <f>+C6+C8-C7-C9</f>
        <v>490963020</v>
      </c>
      <c r="E5" s="197"/>
      <c r="G5" s="197"/>
      <c r="H5" s="198"/>
      <c r="I5" s="198"/>
      <c r="J5" s="198"/>
      <c r="K5" s="198"/>
      <c r="L5" s="198"/>
      <c r="M5" s="198"/>
      <c r="N5" s="197"/>
      <c r="O5" s="197"/>
    </row>
    <row r="6" spans="1:15" ht="21.75" customHeight="1">
      <c r="A6" s="172" t="s">
        <v>56</v>
      </c>
      <c r="B6" s="175" t="s">
        <v>256</v>
      </c>
      <c r="C6" s="176">
        <v>1185874258</v>
      </c>
      <c r="D6" s="198" t="str">
        <f>+B2</f>
        <v xml:space="preserve"> 2023</v>
      </c>
      <c r="E6" s="198">
        <v>13</v>
      </c>
      <c r="G6" s="197"/>
      <c r="J6" s="198"/>
      <c r="K6" s="198"/>
      <c r="L6" s="198"/>
      <c r="M6" s="198"/>
      <c r="N6" s="197"/>
      <c r="O6" s="197"/>
    </row>
    <row r="7" spans="1:15" ht="21.75" customHeight="1">
      <c r="A7" s="172" t="s">
        <v>15</v>
      </c>
      <c r="B7" s="175" t="s">
        <v>257</v>
      </c>
      <c r="C7" s="176">
        <v>819338253</v>
      </c>
      <c r="E7" s="197"/>
      <c r="F7" s="197"/>
      <c r="G7" s="197"/>
      <c r="H7" s="198"/>
      <c r="I7" s="198"/>
      <c r="J7" s="198"/>
      <c r="K7" s="198"/>
      <c r="L7" s="198"/>
      <c r="M7" s="198"/>
      <c r="N7" s="197"/>
      <c r="O7" s="197"/>
    </row>
    <row r="8" spans="1:15" ht="21.75" customHeight="1">
      <c r="A8" s="172" t="s">
        <v>16</v>
      </c>
      <c r="B8" s="175" t="s">
        <v>258</v>
      </c>
      <c r="C8" s="176">
        <v>294481740</v>
      </c>
      <c r="J8" s="198"/>
      <c r="K8" s="198"/>
      <c r="L8" s="198"/>
      <c r="M8" s="198"/>
      <c r="N8" s="197"/>
      <c r="O8" s="197"/>
    </row>
    <row r="9" spans="1:15" ht="21.75" customHeight="1">
      <c r="A9" s="172" t="s">
        <v>123</v>
      </c>
      <c r="B9" s="175" t="s">
        <v>259</v>
      </c>
      <c r="C9" s="176">
        <v>170054725</v>
      </c>
      <c r="J9" s="198"/>
      <c r="K9" s="198"/>
      <c r="L9" s="198"/>
      <c r="M9" s="198"/>
      <c r="N9" s="197"/>
      <c r="O9" s="197"/>
    </row>
    <row r="10" spans="1:15" ht="21.75" customHeight="1">
      <c r="A10" s="172" t="s">
        <v>65</v>
      </c>
      <c r="B10" s="173" t="str">
        <f>+""&amp;(D$6-2)&amp;" йилдаги банкнинг ялпи  даромади"</f>
        <v>2021 йилдаги банкнинг ялпи  даромади</v>
      </c>
      <c r="C10" s="174">
        <f>+C11+C13-C12-C14</f>
        <v>623564273</v>
      </c>
      <c r="J10" s="198"/>
      <c r="K10" s="198"/>
      <c r="L10" s="198"/>
      <c r="M10" s="198"/>
      <c r="N10" s="197"/>
      <c r="O10" s="197"/>
    </row>
    <row r="11" spans="1:15" ht="21.75" customHeight="1">
      <c r="A11" s="172" t="s">
        <v>56</v>
      </c>
      <c r="B11" s="175" t="s">
        <v>260</v>
      </c>
      <c r="C11" s="176">
        <v>1206690017</v>
      </c>
      <c r="E11" s="197"/>
      <c r="J11" s="198"/>
      <c r="K11" s="198"/>
      <c r="L11" s="198"/>
      <c r="M11" s="198"/>
      <c r="N11" s="197"/>
      <c r="O11" s="197"/>
    </row>
    <row r="12" spans="1:15" ht="21.75" customHeight="1">
      <c r="A12" s="172" t="s">
        <v>15</v>
      </c>
      <c r="B12" s="175" t="s">
        <v>257</v>
      </c>
      <c r="C12" s="176">
        <v>798308535</v>
      </c>
      <c r="E12" s="197"/>
      <c r="F12" s="197"/>
      <c r="G12" s="197"/>
      <c r="H12" s="198"/>
      <c r="I12" s="198"/>
      <c r="J12" s="198"/>
      <c r="K12" s="198"/>
      <c r="L12" s="198"/>
      <c r="M12" s="198"/>
      <c r="N12" s="197"/>
      <c r="O12" s="197"/>
    </row>
    <row r="13" spans="1:15" ht="21.75" customHeight="1">
      <c r="A13" s="172" t="s">
        <v>16</v>
      </c>
      <c r="B13" s="175" t="s">
        <v>258</v>
      </c>
      <c r="C13" s="176">
        <v>427153372</v>
      </c>
      <c r="E13" s="197"/>
      <c r="F13" s="197"/>
      <c r="G13" s="197"/>
      <c r="H13" s="198"/>
      <c r="I13" s="198"/>
      <c r="J13" s="198"/>
      <c r="K13" s="198"/>
      <c r="L13" s="198"/>
      <c r="M13" s="198"/>
      <c r="N13" s="197"/>
      <c r="O13" s="197"/>
    </row>
    <row r="14" spans="1:15" ht="21.75" customHeight="1">
      <c r="A14" s="172" t="s">
        <v>123</v>
      </c>
      <c r="B14" s="175" t="s">
        <v>259</v>
      </c>
      <c r="C14" s="176">
        <v>211970581</v>
      </c>
      <c r="E14" s="197"/>
      <c r="F14" s="197"/>
      <c r="G14" s="197"/>
      <c r="H14" s="198"/>
      <c r="I14" s="198"/>
      <c r="J14" s="198"/>
      <c r="K14" s="198"/>
      <c r="L14" s="198"/>
      <c r="M14" s="198"/>
      <c r="N14" s="197"/>
      <c r="O14" s="197"/>
    </row>
    <row r="15" spans="1:15" ht="21.75" customHeight="1">
      <c r="A15" s="172" t="s">
        <v>66</v>
      </c>
      <c r="B15" s="173" t="str">
        <f>+""&amp;(D$6-1)&amp;" йилдаги банкнинг ялпи  даромади"</f>
        <v>2022 йилдаги банкнинг ялпи  даромади</v>
      </c>
      <c r="C15" s="174">
        <f>+C16+C18-C17-C19</f>
        <v>942831511</v>
      </c>
      <c r="E15" s="197"/>
      <c r="F15" s="197"/>
      <c r="G15" s="197"/>
      <c r="H15" s="198"/>
      <c r="I15" s="198"/>
      <c r="J15" s="198"/>
      <c r="K15" s="198"/>
      <c r="L15" s="198"/>
      <c r="M15" s="198"/>
      <c r="N15" s="197"/>
      <c r="O15" s="197"/>
    </row>
    <row r="16" spans="1:15" ht="21.75" customHeight="1">
      <c r="A16" s="172" t="s">
        <v>56</v>
      </c>
      <c r="B16" s="175" t="s">
        <v>260</v>
      </c>
      <c r="C16" s="176">
        <v>1499548960</v>
      </c>
    </row>
    <row r="17" spans="1:30" ht="21.75" customHeight="1">
      <c r="A17" s="172" t="s">
        <v>15</v>
      </c>
      <c r="B17" s="175" t="s">
        <v>257</v>
      </c>
      <c r="C17" s="176">
        <v>993836102</v>
      </c>
    </row>
    <row r="18" spans="1:30" ht="21.75" customHeight="1">
      <c r="A18" s="172" t="s">
        <v>16</v>
      </c>
      <c r="B18" s="175" t="s">
        <v>258</v>
      </c>
      <c r="C18" s="176">
        <v>836134469</v>
      </c>
    </row>
    <row r="19" spans="1:30" ht="21.75" customHeight="1">
      <c r="A19" s="172" t="s">
        <v>123</v>
      </c>
      <c r="B19" s="175" t="s">
        <v>259</v>
      </c>
      <c r="C19" s="176">
        <v>399015816</v>
      </c>
    </row>
    <row r="20" spans="1:30" ht="31.5" customHeight="1">
      <c r="A20" s="172" t="s">
        <v>67</v>
      </c>
      <c r="B20" s="177" t="s">
        <v>261</v>
      </c>
      <c r="C20" s="174">
        <f>(C5+C10+C15)/3</f>
        <v>685786268</v>
      </c>
    </row>
    <row r="21" spans="1:30" ht="22.5" customHeight="1">
      <c r="A21" s="172" t="s">
        <v>68</v>
      </c>
      <c r="B21" s="177" t="s">
        <v>262</v>
      </c>
      <c r="C21" s="178">
        <f>+(100/C28)*C20*15%</f>
        <v>791291847.69230771</v>
      </c>
    </row>
    <row r="22" spans="1:30" ht="13.5" customHeight="1">
      <c r="A22" s="66"/>
      <c r="B22" s="66"/>
      <c r="C22" s="66"/>
    </row>
    <row r="23" spans="1:30" ht="21.75" customHeight="1">
      <c r="A23" s="172" t="s">
        <v>69</v>
      </c>
      <c r="B23" s="175" t="s">
        <v>263</v>
      </c>
      <c r="C23" s="176">
        <v>198642121.19193</v>
      </c>
      <c r="E23" s="205" t="s">
        <v>300</v>
      </c>
    </row>
    <row r="24" spans="1:30" ht="21.75" customHeight="1">
      <c r="A24" s="172" t="s">
        <v>70</v>
      </c>
      <c r="B24" s="175" t="s">
        <v>271</v>
      </c>
      <c r="C24" s="176">
        <v>173600000</v>
      </c>
      <c r="D24" s="205" t="s">
        <v>273</v>
      </c>
      <c r="E24" s="205" t="s">
        <v>301</v>
      </c>
    </row>
    <row r="25" spans="1:30" ht="22.5" customHeight="1">
      <c r="A25" s="172" t="s">
        <v>71</v>
      </c>
      <c r="B25" s="175" t="s">
        <v>272</v>
      </c>
      <c r="C25" s="176">
        <v>177026829.32317001</v>
      </c>
      <c r="D25" s="205" t="s">
        <v>274</v>
      </c>
      <c r="E25" s="205" t="s">
        <v>301</v>
      </c>
    </row>
    <row r="26" spans="1:30" ht="22.5" customHeight="1">
      <c r="A26" s="172" t="s">
        <v>72</v>
      </c>
      <c r="B26" s="179" t="s">
        <v>264</v>
      </c>
      <c r="C26" s="174">
        <f>ABS(C23+(C24-C25))</f>
        <v>195215291.86875999</v>
      </c>
      <c r="D26" s="200">
        <f>+C26*0.1</f>
        <v>19521529.186875999</v>
      </c>
      <c r="E26" s="187"/>
      <c r="F26" s="187"/>
      <c r="G26" s="187"/>
      <c r="H26" s="190"/>
      <c r="I26" s="190"/>
      <c r="J26" s="190"/>
      <c r="K26" s="190"/>
      <c r="L26" s="190"/>
      <c r="M26" s="190"/>
      <c r="N26" s="187"/>
      <c r="O26" s="180"/>
      <c r="P26" s="180"/>
    </row>
    <row r="27" spans="1:30" ht="22.5" customHeight="1">
      <c r="A27" s="172" t="s">
        <v>79</v>
      </c>
      <c r="B27" s="181" t="s">
        <v>265</v>
      </c>
      <c r="C27" s="174">
        <f>+(100/C28)*(C26*10%)</f>
        <v>150165609.12981537</v>
      </c>
    </row>
    <row r="28" spans="1:30" s="182" customFormat="1" ht="14.25">
      <c r="A28" s="172" t="s">
        <v>80</v>
      </c>
      <c r="B28" s="175" t="s">
        <v>266</v>
      </c>
      <c r="C28" s="192">
        <f>VLOOKUP($D$6,$D$6:$E$6,2,0)</f>
        <v>13</v>
      </c>
      <c r="D28" s="186"/>
      <c r="E28" s="186"/>
      <c r="F28" s="186"/>
      <c r="G28" s="186"/>
      <c r="H28" s="189"/>
      <c r="I28" s="189"/>
      <c r="J28" s="189"/>
      <c r="K28" s="189"/>
      <c r="L28" s="189"/>
      <c r="M28" s="189"/>
      <c r="N28" s="186"/>
      <c r="O28" s="110"/>
      <c r="P28" s="110"/>
    </row>
    <row r="29" spans="1:30" ht="17.25" customHeight="1">
      <c r="D29" s="188"/>
      <c r="E29" s="188"/>
      <c r="F29" s="188"/>
      <c r="G29" s="188"/>
      <c r="H29" s="191"/>
      <c r="I29" s="191"/>
      <c r="J29" s="191"/>
      <c r="K29" s="191"/>
      <c r="L29" s="191"/>
      <c r="M29" s="191"/>
      <c r="N29" s="188"/>
      <c r="O29" s="182"/>
      <c r="P29" s="182"/>
    </row>
    <row r="30" spans="1:30" s="203" customFormat="1" ht="15" customHeight="1">
      <c r="A30" s="201"/>
      <c r="B30" s="204" t="s">
        <v>269</v>
      </c>
      <c r="C30" s="201"/>
      <c r="D30" s="201"/>
      <c r="E30" s="201"/>
      <c r="F30" s="202"/>
      <c r="G30" s="202"/>
      <c r="H30" s="202"/>
      <c r="I30" s="202"/>
      <c r="J30" s="202"/>
      <c r="K30" s="202"/>
      <c r="L30" s="202"/>
      <c r="M30" s="202"/>
      <c r="N30" s="201"/>
      <c r="O30" s="201"/>
      <c r="P30" s="201"/>
      <c r="Q30" s="201"/>
      <c r="R30" s="201"/>
      <c r="S30" s="201"/>
      <c r="T30" s="201"/>
      <c r="U30" s="201"/>
      <c r="V30" s="201"/>
      <c r="W30" s="201"/>
      <c r="X30" s="201"/>
      <c r="Y30" s="201"/>
      <c r="Z30" s="201"/>
      <c r="AA30" s="201"/>
      <c r="AB30" s="201"/>
      <c r="AC30" s="201"/>
      <c r="AD30" s="201"/>
    </row>
    <row r="31" spans="1:30" s="203" customFormat="1" ht="11.25" customHeight="1">
      <c r="A31" s="201"/>
      <c r="B31" s="204"/>
      <c r="C31" s="201"/>
      <c r="D31" s="201"/>
      <c r="E31" s="201"/>
      <c r="F31" s="202"/>
      <c r="G31" s="202"/>
      <c r="H31" s="202"/>
      <c r="I31" s="202"/>
      <c r="J31" s="202"/>
      <c r="K31" s="202"/>
      <c r="L31" s="202"/>
      <c r="M31" s="202"/>
      <c r="N31" s="201"/>
      <c r="O31" s="201"/>
      <c r="P31" s="201"/>
      <c r="Q31" s="201"/>
      <c r="R31" s="201"/>
      <c r="S31" s="201"/>
      <c r="T31" s="201"/>
      <c r="U31" s="201"/>
      <c r="V31" s="201"/>
      <c r="W31" s="201"/>
      <c r="X31" s="201"/>
      <c r="Y31" s="201"/>
      <c r="Z31" s="201"/>
      <c r="AA31" s="201"/>
      <c r="AB31" s="201"/>
      <c r="AC31" s="201"/>
      <c r="AD31" s="201"/>
    </row>
    <row r="32" spans="1:30" s="203" customFormat="1" ht="15" customHeight="1">
      <c r="A32" s="201"/>
      <c r="B32" s="204" t="s">
        <v>270</v>
      </c>
      <c r="C32" s="201"/>
      <c r="D32" s="201"/>
      <c r="E32" s="201"/>
      <c r="F32" s="202"/>
      <c r="G32" s="202"/>
      <c r="H32" s="202"/>
      <c r="I32" s="202"/>
      <c r="J32" s="202"/>
      <c r="K32" s="202"/>
      <c r="L32" s="202"/>
      <c r="M32" s="202"/>
      <c r="N32" s="201"/>
      <c r="O32" s="201"/>
      <c r="P32" s="201"/>
      <c r="Q32" s="201"/>
      <c r="R32" s="201"/>
      <c r="S32" s="201"/>
      <c r="T32" s="201"/>
      <c r="U32" s="201"/>
      <c r="V32" s="201"/>
      <c r="W32" s="201"/>
      <c r="X32" s="201"/>
      <c r="Y32" s="201"/>
      <c r="Z32" s="201"/>
      <c r="AA32" s="201"/>
      <c r="AB32" s="201"/>
      <c r="AC32" s="201"/>
      <c r="AD32" s="201"/>
    </row>
  </sheetData>
  <sheetProtection password="CACA" sheet="1" objects="1" scenarios="1"/>
  <mergeCells count="1">
    <mergeCell ref="A1:B1"/>
  </mergeCells>
  <phoneticPr fontId="17" type="noConversion"/>
  <printOptions horizontalCentered="1"/>
  <pageMargins left="0.19685039370078741" right="0.19685039370078741" top="0.33" bottom="0.19685039370078741" header="0.32"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Bank Capital Calc</vt:lpstr>
      <vt:lpstr>Bank Capital Calc (2)</vt:lpstr>
      <vt:lpstr>Calculation of Risk Weighted As</vt:lpstr>
      <vt:lpstr>Calculation of Risk Weighte нац</vt:lpstr>
      <vt:lpstr>Calculation of Risk Weighte ин</vt:lpstr>
      <vt:lpstr>Calculation of Risk</vt:lpstr>
      <vt:lpstr>'Bank Capital Calc'!Область_печати</vt:lpstr>
      <vt:lpstr>'Bank Capital Calc (2)'!Область_печати</vt:lpstr>
      <vt:lpstr>'Calculation of Risk'!Область_печати</vt:lpstr>
      <vt:lpstr>'Calculation of Risk Weighte ин'!Область_печати</vt:lpstr>
      <vt:lpstr>'Calculation of Risk Weighte нац'!Область_печати</vt:lpstr>
      <vt:lpstr>'Calculation of Risk Weighted As'!Область_печати</vt:lpstr>
    </vt:vector>
  </TitlesOfParts>
  <Company>CBU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Iskandarov_U</dc:creator>
  <cp:lastModifiedBy>Yuldashev Islombek Shuhratovich</cp:lastModifiedBy>
  <cp:lastPrinted>2023-12-29T11:17:04Z</cp:lastPrinted>
  <dcterms:created xsi:type="dcterms:W3CDTF">2014-01-27T05:06:32Z</dcterms:created>
  <dcterms:modified xsi:type="dcterms:W3CDTF">2024-01-09T05:15:25Z</dcterms:modified>
</cp:coreProperties>
</file>