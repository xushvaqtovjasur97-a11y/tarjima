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АЪЛУМОТ\Бошкарув маълумот\2024 йил 4-чорак\23 талик\"/>
    </mc:Choice>
  </mc:AlternateContent>
  <xr:revisionPtr revIDLastSave="0" documentId="8_{8DFDB35A-A00F-4EB2-A3DF-DC4A7A3FACCA}" xr6:coauthVersionLast="47" xr6:coauthVersionMax="47" xr10:uidLastSave="{00000000-0000-0000-0000-000000000000}"/>
  <bookViews>
    <workbookView xWindow="-120" yWindow="-120" windowWidth="29040" windowHeight="15840" tabRatio="92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Analysis'!$A$1:$Z$54</definedName>
    <definedName name="_xlnm.Print_Area" localSheetId="4">'Bank Assets Analysis (нац)'!$A$1:$N$54</definedName>
    <definedName name="_xlnm.Print_Area" localSheetId="1">'Bank Capital Calc (2)'!$A$1:$C$55</definedName>
    <definedName name="_xlnm.Print_Area" localSheetId="5">'Bank Liabilities Analysis'!$A$1:$X$64</definedName>
    <definedName name="_xlnm.Print_Area" localSheetId="6">'Bank Liabilities Analysis (нац)'!$A$1:$M$59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4" i="17" l="1"/>
  <c r="S44" i="17"/>
  <c r="T44" i="17" s="1"/>
  <c r="U43" i="17"/>
  <c r="S43" i="17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E37" i="16"/>
  <c r="C37" i="16"/>
  <c r="D37" i="16" s="1"/>
  <c r="T43" i="17" l="1"/>
  <c r="U40" i="18" l="1"/>
  <c r="S40" i="18"/>
  <c r="T40" i="18" s="1"/>
  <c r="C9" i="17" l="1"/>
  <c r="W39" i="18" l="1"/>
  <c r="X39" i="18"/>
  <c r="W40" i="18"/>
  <c r="X40" i="18"/>
  <c r="J44" i="36"/>
  <c r="I44" i="36"/>
  <c r="H44" i="36"/>
  <c r="G44" i="36"/>
  <c r="F44" i="36"/>
  <c r="E44" i="36"/>
  <c r="D44" i="36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M44" i="36" l="1"/>
  <c r="N44" i="36" s="1"/>
  <c r="K44" i="36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C43" i="36"/>
  <c r="M43" i="36" l="1"/>
  <c r="N43" i="36" s="1"/>
  <c r="M40" i="37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55" i="16" l="1"/>
  <c r="D55" i="16"/>
  <c r="E71" i="1" l="1"/>
  <c r="D71" i="1"/>
  <c r="S50" i="17" l="1"/>
  <c r="F5" i="19" s="1"/>
  <c r="AC52" i="17"/>
  <c r="AB52" i="17"/>
  <c r="AC50" i="17"/>
  <c r="AB50" i="17"/>
  <c r="D49" i="36"/>
  <c r="D46" i="36"/>
  <c r="H47" i="37"/>
  <c r="H35" i="37"/>
  <c r="AB49" i="17"/>
  <c r="AC49" i="17"/>
  <c r="X41" i="18" l="1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AA50" i="17" s="1"/>
  <c r="C4" i="19"/>
  <c r="AA51" i="17" l="1"/>
  <c r="AA49" i="17"/>
  <c r="AC53" i="17"/>
  <c r="E26" i="19"/>
  <c r="B13" i="15"/>
  <c r="C61" i="1" l="1"/>
  <c r="J61" i="1" l="1"/>
  <c r="J24" i="36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C41" i="1"/>
  <c r="D43" i="1" l="1"/>
  <c r="J41" i="1"/>
  <c r="D18" i="19"/>
  <c r="C18" i="19" s="1"/>
  <c r="U46" i="17" l="1"/>
  <c r="Z46" i="17" s="1"/>
  <c r="S46" i="17"/>
  <c r="T46" i="17" l="1"/>
  <c r="X46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M46" i="36" s="1"/>
  <c r="U54" i="17"/>
  <c r="S54" i="17"/>
  <c r="U53" i="17"/>
  <c r="S53" i="17"/>
  <c r="U52" i="17"/>
  <c r="H8" i="19" s="1"/>
  <c r="S52" i="17"/>
  <c r="F8" i="19" s="1"/>
  <c r="U51" i="17"/>
  <c r="S51" i="17"/>
  <c r="U50" i="17"/>
  <c r="H5" i="19" s="1"/>
  <c r="AF53" i="17" l="1"/>
  <c r="AD51" i="17"/>
  <c r="F7" i="19"/>
  <c r="AF51" i="17"/>
  <c r="H7" i="19"/>
  <c r="T50" i="17"/>
  <c r="G5" i="19" s="1"/>
  <c r="T54" i="17"/>
  <c r="T53" i="17"/>
  <c r="T51" i="17"/>
  <c r="T52" i="17"/>
  <c r="G8" i="19" s="1"/>
  <c r="K46" i="36"/>
  <c r="N46" i="36" s="1"/>
  <c r="AE51" i="17" l="1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J12" i="1" s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E15" i="16" s="1"/>
  <c r="S18" i="17"/>
  <c r="C15" i="16" s="1"/>
  <c r="AF49" i="17" l="1"/>
  <c r="H4" i="19"/>
  <c r="AD49" i="17"/>
  <c r="F4" i="19"/>
  <c r="M31" i="36"/>
  <c r="N31" i="36" s="1"/>
  <c r="T49" i="17"/>
  <c r="T31" i="17"/>
  <c r="T18" i="17"/>
  <c r="D15" i="16" s="1"/>
  <c r="K31" i="36"/>
  <c r="M18" i="36"/>
  <c r="K18" i="36"/>
  <c r="N18" i="36" l="1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Z47" i="17" l="1"/>
  <c r="Z63" i="17" s="1"/>
  <c r="X47" i="17"/>
  <c r="X63" i="17" s="1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R60" i="18" s="1"/>
  <c r="Q9" i="17"/>
  <c r="Q47" i="17" s="1"/>
  <c r="Q60" i="18" s="1"/>
  <c r="P9" i="17"/>
  <c r="P47" i="17" s="1"/>
  <c r="P60" i="18" s="1"/>
  <c r="O9" i="17"/>
  <c r="O47" i="17" s="1"/>
  <c r="O60" i="18" s="1"/>
  <c r="N9" i="17"/>
  <c r="N47" i="17" s="1"/>
  <c r="N60" i="18" s="1"/>
  <c r="M9" i="17"/>
  <c r="M47" i="17" s="1"/>
  <c r="M60" i="18" s="1"/>
  <c r="L9" i="17"/>
  <c r="L47" i="17" s="1"/>
  <c r="L60" i="18" s="1"/>
  <c r="K9" i="17"/>
  <c r="K47" i="17" s="1"/>
  <c r="K60" i="18" s="1"/>
  <c r="J9" i="17"/>
  <c r="J47" i="17" s="1"/>
  <c r="J60" i="18" s="1"/>
  <c r="I9" i="17"/>
  <c r="I47" i="17" s="1"/>
  <c r="I60" i="18" s="1"/>
  <c r="H9" i="17"/>
  <c r="H47" i="17" s="1"/>
  <c r="H60" i="18" s="1"/>
  <c r="G9" i="17"/>
  <c r="G47" i="17" s="1"/>
  <c r="G60" i="18" s="1"/>
  <c r="F9" i="17"/>
  <c r="F47" i="17" s="1"/>
  <c r="F60" i="18" s="1"/>
  <c r="E9" i="17"/>
  <c r="E47" i="17" s="1"/>
  <c r="E60" i="18" s="1"/>
  <c r="D9" i="17"/>
  <c r="D47" i="17" s="1"/>
  <c r="D60" i="18" s="1"/>
  <c r="C47" i="17"/>
  <c r="C60" i="18" s="1"/>
  <c r="U24" i="18" l="1"/>
  <c r="X24" i="18" s="1"/>
  <c r="W24" i="18" s="1"/>
  <c r="S24" i="18"/>
  <c r="W32" i="18" l="1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C57" i="37" s="1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H48" i="37" s="1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C46" i="37"/>
  <c r="J42" i="37"/>
  <c r="I42" i="37"/>
  <c r="H42" i="37"/>
  <c r="G42" i="37"/>
  <c r="F42" i="37"/>
  <c r="E42" i="37"/>
  <c r="D42" i="37"/>
  <c r="C42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D34" i="36" s="1"/>
  <c r="C35" i="36"/>
  <c r="C34" i="36" s="1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4" i="37"/>
  <c r="M3" i="37"/>
  <c r="B3" i="37"/>
  <c r="B3" i="36"/>
  <c r="S19" i="17"/>
  <c r="D16" i="1"/>
  <c r="D45" i="37" l="1"/>
  <c r="E54" i="37"/>
  <c r="W19" i="17"/>
  <c r="M39" i="37"/>
  <c r="M42" i="36"/>
  <c r="N42" i="36" s="1"/>
  <c r="J48" i="37"/>
  <c r="C45" i="37"/>
  <c r="D54" i="37"/>
  <c r="D24" i="37"/>
  <c r="H24" i="37"/>
  <c r="I24" i="37"/>
  <c r="D51" i="37"/>
  <c r="H54" i="37"/>
  <c r="F51" i="37"/>
  <c r="J54" i="37"/>
  <c r="C51" i="37"/>
  <c r="C48" i="37"/>
  <c r="D48" i="37"/>
  <c r="E48" i="37"/>
  <c r="I51" i="37"/>
  <c r="F48" i="37"/>
  <c r="J51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1" i="37"/>
  <c r="G54" i="37"/>
  <c r="F9" i="36"/>
  <c r="I16" i="37"/>
  <c r="G16" i="37"/>
  <c r="E9" i="36"/>
  <c r="F54" i="37"/>
  <c r="G8" i="37"/>
  <c r="X19" i="17"/>
  <c r="G9" i="36"/>
  <c r="I9" i="36"/>
  <c r="J9" i="36"/>
  <c r="H57" i="37"/>
  <c r="H9" i="36"/>
  <c r="D9" i="36"/>
  <c r="M10" i="36"/>
  <c r="N10" i="36" s="1"/>
  <c r="C9" i="36"/>
  <c r="C47" i="36" s="1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H51" i="37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E51" i="37"/>
  <c r="I57" i="37"/>
  <c r="J57" i="37"/>
  <c r="K10" i="37"/>
  <c r="K14" i="37"/>
  <c r="K17" i="37"/>
  <c r="K30" i="37"/>
  <c r="K32" i="37"/>
  <c r="K37" i="37"/>
  <c r="M37" i="37" s="1"/>
  <c r="K39" i="37"/>
  <c r="K46" i="37"/>
  <c r="K47" i="37"/>
  <c r="K58" i="37"/>
  <c r="E45" i="37"/>
  <c r="K59" i="37"/>
  <c r="E57" i="37"/>
  <c r="K28" i="37"/>
  <c r="K52" i="37"/>
  <c r="K29" i="37"/>
  <c r="K31" i="37"/>
  <c r="M31" i="37" s="1"/>
  <c r="K33" i="37"/>
  <c r="K38" i="37"/>
  <c r="M38" i="37" s="1"/>
  <c r="E34" i="36"/>
  <c r="M34" i="36" s="1"/>
  <c r="K55" i="37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3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J47" i="36" l="1"/>
  <c r="G47" i="36"/>
  <c r="N47" i="36"/>
  <c r="P59" i="36" s="1"/>
  <c r="I47" i="36"/>
  <c r="F47" i="36"/>
  <c r="H47" i="36"/>
  <c r="I21" i="37"/>
  <c r="I43" i="37" s="1"/>
  <c r="N34" i="36"/>
  <c r="K48" i="37"/>
  <c r="E21" i="37"/>
  <c r="E43" i="37" s="1"/>
  <c r="K54" i="37"/>
  <c r="K45" i="37"/>
  <c r="K51" i="37"/>
  <c r="G21" i="37"/>
  <c r="G43" i="37" s="1"/>
  <c r="N19" i="36"/>
  <c r="C21" i="37"/>
  <c r="C43" i="37" s="1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J43" i="37" s="1"/>
  <c r="F21" i="37"/>
  <c r="F43" i="37" s="1"/>
  <c r="H21" i="37"/>
  <c r="H43" i="37" s="1"/>
  <c r="D21" i="37"/>
  <c r="D43" i="37" s="1"/>
  <c r="K8" i="37"/>
  <c r="U58" i="18"/>
  <c r="S58" i="18"/>
  <c r="U57" i="18"/>
  <c r="S57" i="18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1" i="18"/>
  <c r="S41" i="18"/>
  <c r="U38" i="18"/>
  <c r="E58" i="1" s="1"/>
  <c r="S38" i="18"/>
  <c r="C58" i="1" s="1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U16" i="17"/>
  <c r="S16" i="17"/>
  <c r="U15" i="17"/>
  <c r="S15" i="17"/>
  <c r="U14" i="17"/>
  <c r="S14" i="17"/>
  <c r="U10" i="17"/>
  <c r="S10" i="17"/>
  <c r="U8" i="17"/>
  <c r="S8" i="17"/>
  <c r="U6" i="17"/>
  <c r="S6" i="17"/>
  <c r="X30" i="18" l="1"/>
  <c r="W30" i="18" s="1"/>
  <c r="G20" i="14"/>
  <c r="Y19" i="17"/>
  <c r="E20" i="14"/>
  <c r="E7" i="16"/>
  <c r="D32" i="16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C11" i="16"/>
  <c r="E11" i="16"/>
  <c r="T54" i="18"/>
  <c r="T49" i="18"/>
  <c r="T51" i="18"/>
  <c r="T57" i="18"/>
  <c r="T45" i="18"/>
  <c r="T48" i="18"/>
  <c r="T43" i="18"/>
  <c r="T46" i="18"/>
  <c r="D33" i="16"/>
  <c r="T45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D58" i="1" s="1"/>
  <c r="T8" i="17"/>
  <c r="T36" i="17"/>
  <c r="T38" i="17"/>
  <c r="T40" i="17"/>
  <c r="T42" i="17"/>
  <c r="T20" i="17"/>
  <c r="D11" i="16" s="1"/>
  <c r="T25" i="17"/>
  <c r="T29" i="17"/>
  <c r="T16" i="17"/>
  <c r="T19" i="18"/>
  <c r="T11" i="18"/>
  <c r="T13" i="18"/>
  <c r="T41" i="18"/>
  <c r="D34" i="16"/>
  <c r="K21" i="37"/>
  <c r="K43" i="37" s="1"/>
  <c r="T55" i="18"/>
  <c r="T22" i="17"/>
  <c r="T27" i="17"/>
  <c r="T28" i="17"/>
  <c r="T12" i="18"/>
  <c r="T10" i="18"/>
  <c r="T8" i="18"/>
  <c r="T39" i="17"/>
  <c r="T9" i="18"/>
  <c r="T17" i="18"/>
  <c r="T14" i="17"/>
  <c r="T35" i="17"/>
  <c r="D14" i="16" s="1"/>
  <c r="T32" i="18"/>
  <c r="T5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E53" i="18"/>
  <c r="F50" i="18"/>
  <c r="E50" i="18"/>
  <c r="F47" i="18"/>
  <c r="E47" i="18"/>
  <c r="F44" i="18"/>
  <c r="E44" i="18"/>
  <c r="F15" i="18"/>
  <c r="E15" i="18"/>
  <c r="F7" i="18"/>
  <c r="E7" i="18"/>
  <c r="D7" i="16" l="1"/>
  <c r="F20" i="14"/>
  <c r="D51" i="1"/>
  <c r="M21" i="37"/>
  <c r="M43" i="37" s="1"/>
  <c r="D27" i="1"/>
  <c r="F20" i="18"/>
  <c r="F42" i="18" s="1"/>
  <c r="F62" i="18" s="1"/>
  <c r="F63" i="18" s="1"/>
  <c r="E20" i="18"/>
  <c r="E42" i="18" s="1"/>
  <c r="E62" i="18" s="1"/>
  <c r="E63" i="18" s="1"/>
  <c r="R44" i="18" l="1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C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S53" i="18" l="1"/>
  <c r="U56" i="18"/>
  <c r="U50" i="18"/>
  <c r="U44" i="18"/>
  <c r="S47" i="18"/>
  <c r="S56" i="18"/>
  <c r="S50" i="18"/>
  <c r="S44" i="18"/>
  <c r="U53" i="18"/>
  <c r="U47" i="18"/>
  <c r="C56" i="1"/>
  <c r="T53" i="18" l="1"/>
  <c r="T44" i="18"/>
  <c r="T56" i="18"/>
  <c r="T47" i="18"/>
  <c r="T50" i="18"/>
  <c r="E41" i="16"/>
  <c r="D10" i="19"/>
  <c r="AB53" i="17" l="1"/>
  <c r="AE53" i="17" s="1"/>
  <c r="D41" i="16"/>
  <c r="C10" i="19"/>
  <c r="D26" i="19"/>
  <c r="C41" i="16" l="1"/>
  <c r="C26" i="19"/>
  <c r="AA53" i="17"/>
  <c r="AD53" i="17" s="1"/>
  <c r="Y34" i="17"/>
  <c r="Z34" i="17" s="1"/>
  <c r="P64" i="36"/>
  <c r="P63" i="36" s="1"/>
  <c r="D27" i="16" s="1"/>
  <c r="J56" i="1" l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J52" i="1"/>
  <c r="C7" i="1"/>
  <c r="J54" i="1"/>
  <c r="J53" i="1"/>
  <c r="J27" i="1"/>
  <c r="D35" i="1"/>
  <c r="E24" i="1"/>
  <c r="D24" i="1"/>
  <c r="D30" i="1"/>
  <c r="J30" i="1" s="1"/>
  <c r="J35" i="1" l="1"/>
  <c r="D7" i="1"/>
  <c r="W7" i="17"/>
  <c r="X7" i="17" s="1"/>
  <c r="X64" i="17" s="1"/>
  <c r="C52" i="16"/>
  <c r="C6" i="16"/>
  <c r="C16" i="16" s="1"/>
  <c r="E6" i="16"/>
  <c r="E16" i="16" s="1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C76" i="1"/>
  <c r="J62" i="1" l="1"/>
  <c r="C36" i="16"/>
  <c r="E36" i="16"/>
  <c r="C25" i="16"/>
  <c r="C19" i="16"/>
  <c r="C22" i="16"/>
  <c r="N7" i="36"/>
  <c r="P60" i="36" s="1"/>
  <c r="D52" i="16"/>
  <c r="D6" i="16"/>
  <c r="D16" i="16" s="1"/>
  <c r="D6" i="1"/>
  <c r="E19" i="16"/>
  <c r="E25" i="16"/>
  <c r="E22" i="16"/>
  <c r="J76" i="1"/>
  <c r="S47" i="17"/>
  <c r="Z68" i="17"/>
  <c r="U15" i="18"/>
  <c r="S15" i="18"/>
  <c r="U17" i="17"/>
  <c r="S34" i="17"/>
  <c r="U34" i="17"/>
  <c r="E21" i="1" s="1"/>
  <c r="D36" i="16" l="1"/>
  <c r="D25" i="16"/>
  <c r="D22" i="16"/>
  <c r="D19" i="16"/>
  <c r="X68" i="17"/>
  <c r="T15" i="18"/>
  <c r="T34" i="17"/>
  <c r="U47" i="17"/>
  <c r="C37" i="15"/>
  <c r="B6" i="15"/>
  <c r="B5" i="15"/>
  <c r="C26" i="15"/>
  <c r="C29" i="15" s="1"/>
  <c r="D10" i="1" s="1"/>
  <c r="H47" i="1" l="1"/>
  <c r="C39" i="15"/>
  <c r="D51" i="16" s="1"/>
  <c r="C55" i="16"/>
  <c r="D18" i="1"/>
  <c r="D11" i="1"/>
  <c r="D17" i="1"/>
  <c r="D15" i="1"/>
  <c r="D58" i="16" l="1"/>
  <c r="D40" i="16" s="1"/>
  <c r="D14" i="1"/>
  <c r="D31" i="16" l="1"/>
  <c r="E31" i="16" l="1"/>
  <c r="J68" i="1"/>
  <c r="C59" i="1"/>
  <c r="C44" i="1"/>
  <c r="C34" i="1"/>
  <c r="C33" i="1"/>
  <c r="C38" i="1"/>
  <c r="C37" i="1"/>
  <c r="C36" i="1"/>
  <c r="E31" i="1"/>
  <c r="C29" i="1"/>
  <c r="C23" i="1"/>
  <c r="J23" i="1" s="1"/>
  <c r="C22" i="1"/>
  <c r="J22" i="1" s="1"/>
  <c r="C25" i="1"/>
  <c r="J8" i="1"/>
  <c r="J13" i="1"/>
  <c r="J59" i="1" l="1"/>
  <c r="J44" i="1"/>
  <c r="J36" i="1"/>
  <c r="J37" i="1"/>
  <c r="J38" i="1"/>
  <c r="J33" i="1"/>
  <c r="J34" i="1"/>
  <c r="J29" i="1"/>
  <c r="J25" i="1"/>
  <c r="D31" i="1"/>
  <c r="D11" i="14" l="1"/>
  <c r="D20" i="14"/>
  <c r="D37" i="15"/>
  <c r="D26" i="15"/>
  <c r="D12" i="15"/>
  <c r="P7" i="18"/>
  <c r="P20" i="18" s="1"/>
  <c r="P42" i="18" s="1"/>
  <c r="P62" i="18" s="1"/>
  <c r="P63" i="18" s="1"/>
  <c r="O7" i="18"/>
  <c r="O20" i="18" s="1"/>
  <c r="O42" i="18" s="1"/>
  <c r="O62" i="18" s="1"/>
  <c r="O63" i="18" s="1"/>
  <c r="J7" i="18"/>
  <c r="J20" i="18" s="1"/>
  <c r="J42" i="18" s="1"/>
  <c r="J62" i="18" s="1"/>
  <c r="J63" i="18" s="1"/>
  <c r="I7" i="18"/>
  <c r="I20" i="18" s="1"/>
  <c r="I42" i="18" s="1"/>
  <c r="I62" i="18" s="1"/>
  <c r="I63" i="18" s="1"/>
  <c r="G21" i="14" l="1"/>
  <c r="E15" i="1"/>
  <c r="D39" i="15"/>
  <c r="B39" i="15" s="1"/>
  <c r="B37" i="15"/>
  <c r="E18" i="1"/>
  <c r="D15" i="15"/>
  <c r="B15" i="15" s="1"/>
  <c r="D29" i="15"/>
  <c r="E11" i="1"/>
  <c r="C11" i="1" s="1"/>
  <c r="J11" i="1" s="1"/>
  <c r="E5" i="1"/>
  <c r="B12" i="15"/>
  <c r="D5" i="1"/>
  <c r="B26" i="15"/>
  <c r="D22" i="14"/>
  <c r="R7" i="18"/>
  <c r="R20" i="18" s="1"/>
  <c r="R42" i="18" s="1"/>
  <c r="R62" i="18" s="1"/>
  <c r="R63" i="18" s="1"/>
  <c r="Q7" i="18"/>
  <c r="Q20" i="18" s="1"/>
  <c r="Q42" i="18" s="1"/>
  <c r="Q62" i="18" s="1"/>
  <c r="Q63" i="18" s="1"/>
  <c r="N7" i="18"/>
  <c r="N20" i="18" s="1"/>
  <c r="N42" i="18" s="1"/>
  <c r="N62" i="18" s="1"/>
  <c r="N63" i="18" s="1"/>
  <c r="M7" i="18"/>
  <c r="L7" i="18"/>
  <c r="K7" i="18"/>
  <c r="K20" i="18" s="1"/>
  <c r="K42" i="18" s="1"/>
  <c r="K62" i="18" s="1"/>
  <c r="K63" i="18" s="1"/>
  <c r="H7" i="18"/>
  <c r="H20" i="18" s="1"/>
  <c r="H42" i="18" s="1"/>
  <c r="H62" i="18" s="1"/>
  <c r="H63" i="18" s="1"/>
  <c r="G7" i="18"/>
  <c r="D7" i="18"/>
  <c r="E51" i="16" l="1"/>
  <c r="E58" i="16" s="1"/>
  <c r="AA20" i="18"/>
  <c r="E10" i="1"/>
  <c r="B29" i="15"/>
  <c r="E32" i="16"/>
  <c r="C32" i="16"/>
  <c r="E17" i="1"/>
  <c r="U7" i="18"/>
  <c r="G11" i="14" s="1"/>
  <c r="G13" i="14" s="1"/>
  <c r="D20" i="18"/>
  <c r="D42" i="18" s="1"/>
  <c r="D62" i="18" s="1"/>
  <c r="D63" i="18" s="1"/>
  <c r="D64" i="18" s="1"/>
  <c r="F64" i="18" s="1"/>
  <c r="H64" i="18" s="1"/>
  <c r="J64" i="18" s="1"/>
  <c r="L64" i="18" s="1"/>
  <c r="N64" i="18" s="1"/>
  <c r="P64" i="18" s="1"/>
  <c r="R64" i="18" s="1"/>
  <c r="C51" i="16"/>
  <c r="E14" i="1"/>
  <c r="L20" i="18"/>
  <c r="L42" i="18" s="1"/>
  <c r="L62" i="18" s="1"/>
  <c r="L63" i="18" s="1"/>
  <c r="G20" i="18"/>
  <c r="G42" i="18" s="1"/>
  <c r="G62" i="18" s="1"/>
  <c r="G63" i="18" s="1"/>
  <c r="M20" i="18"/>
  <c r="M42" i="18" s="1"/>
  <c r="M62" i="18" s="1"/>
  <c r="M63" i="18" s="1"/>
  <c r="E40" i="16" l="1"/>
  <c r="E35" i="16" s="1"/>
  <c r="E23" i="16"/>
  <c r="E21" i="16" s="1"/>
  <c r="E47" i="1"/>
  <c r="C10" i="1"/>
  <c r="J10" i="1" s="1"/>
  <c r="C58" i="16"/>
  <c r="C17" i="1"/>
  <c r="E34" i="16"/>
  <c r="U20" i="18"/>
  <c r="U42" i="18" s="1"/>
  <c r="E50" i="1"/>
  <c r="C75" i="1"/>
  <c r="C74" i="1"/>
  <c r="C72" i="1"/>
  <c r="C57" i="1"/>
  <c r="C55" i="1"/>
  <c r="C45" i="1"/>
  <c r="C31" i="1"/>
  <c r="C42" i="1"/>
  <c r="J17" i="1" l="1"/>
  <c r="J75" i="1"/>
  <c r="J74" i="1"/>
  <c r="J57" i="1"/>
  <c r="J55" i="1"/>
  <c r="C43" i="1"/>
  <c r="J42" i="1"/>
  <c r="J31" i="1"/>
  <c r="E63" i="1"/>
  <c r="X20" i="18"/>
  <c r="C40" i="16"/>
  <c r="C71" i="1"/>
  <c r="E20" i="16"/>
  <c r="E18" i="16" s="1"/>
  <c r="AC47" i="17"/>
  <c r="AC48" i="17" s="1"/>
  <c r="G22" i="14"/>
  <c r="G23" i="14" s="1"/>
  <c r="AA21" i="18"/>
  <c r="J72" i="1"/>
  <c r="C34" i="16"/>
  <c r="Y61" i="17"/>
  <c r="E33" i="16"/>
  <c r="E30" i="16" s="1"/>
  <c r="J45" i="1"/>
  <c r="W20" i="18" l="1"/>
  <c r="W42" i="18" s="1"/>
  <c r="X42" i="18"/>
  <c r="J43" i="1"/>
  <c r="AA42" i="18"/>
  <c r="AA43" i="18" s="1"/>
  <c r="E78" i="1"/>
  <c r="Z67" i="17"/>
  <c r="E27" i="16" s="1"/>
  <c r="H63" i="1"/>
  <c r="C77" i="1"/>
  <c r="J71" i="1"/>
  <c r="E29" i="16"/>
  <c r="B2" i="1"/>
  <c r="S17" i="17"/>
  <c r="A2" i="15"/>
  <c r="C7" i="18"/>
  <c r="E37" i="15"/>
  <c r="E26" i="15"/>
  <c r="C9" i="1"/>
  <c r="E12" i="15"/>
  <c r="C20" i="14"/>
  <c r="C11" i="14"/>
  <c r="J58" i="1"/>
  <c r="B2" i="19"/>
  <c r="B2" i="18"/>
  <c r="C40" i="1"/>
  <c r="C18" i="1"/>
  <c r="B2" i="17"/>
  <c r="B2" i="16"/>
  <c r="C16" i="1"/>
  <c r="J16" i="1" s="1"/>
  <c r="J18" i="1" l="1"/>
  <c r="J40" i="1"/>
  <c r="T17" i="17"/>
  <c r="J77" i="1"/>
  <c r="C51" i="1"/>
  <c r="E21" i="14"/>
  <c r="C50" i="1"/>
  <c r="Z70" i="17"/>
  <c r="C53" i="41"/>
  <c r="S7" i="18"/>
  <c r="J7" i="1"/>
  <c r="J9" i="1"/>
  <c r="D21" i="1"/>
  <c r="D47" i="1" s="1"/>
  <c r="C21" i="1"/>
  <c r="C22" i="14"/>
  <c r="C5" i="1"/>
  <c r="J5" i="1" s="1"/>
  <c r="C28" i="1"/>
  <c r="C39" i="1"/>
  <c r="C20" i="1"/>
  <c r="J20" i="1" s="1"/>
  <c r="C15" i="1"/>
  <c r="J51" i="1" l="1"/>
  <c r="J28" i="1"/>
  <c r="D20" i="16"/>
  <c r="D18" i="16" s="1"/>
  <c r="T7" i="18"/>
  <c r="E11" i="14"/>
  <c r="E13" i="14" s="1"/>
  <c r="O47" i="36"/>
  <c r="R47" i="36" s="1"/>
  <c r="S47" i="36" s="1"/>
  <c r="AB47" i="17"/>
  <c r="Y20" i="18"/>
  <c r="J39" i="1"/>
  <c r="C47" i="1"/>
  <c r="Z65" i="17"/>
  <c r="E26" i="16" s="1"/>
  <c r="E24" i="16" s="1"/>
  <c r="E28" i="16"/>
  <c r="X61" i="17"/>
  <c r="F47" i="1"/>
  <c r="J21" i="1"/>
  <c r="C14" i="1"/>
  <c r="J14" i="1" s="1"/>
  <c r="J15" i="1"/>
  <c r="J26" i="1"/>
  <c r="F11" i="14" l="1"/>
  <c r="D50" i="1"/>
  <c r="C20" i="16"/>
  <c r="AA47" i="17"/>
  <c r="AA48" i="17" s="1"/>
  <c r="Z20" i="18"/>
  <c r="E46" i="41"/>
  <c r="C45" i="41"/>
  <c r="C44" i="41"/>
  <c r="D52" i="41"/>
  <c r="C31" i="16"/>
  <c r="T47" i="17"/>
  <c r="C6" i="1"/>
  <c r="J6" i="1" s="1"/>
  <c r="D63" i="1" l="1"/>
  <c r="N43" i="37" s="1"/>
  <c r="N44" i="37" s="1"/>
  <c r="G47" i="1"/>
  <c r="J50" i="1"/>
  <c r="AB48" i="17"/>
  <c r="P47" i="36"/>
  <c r="C46" i="41"/>
  <c r="C43" i="41" s="1"/>
  <c r="C35" i="41" s="1"/>
  <c r="C40" i="41" s="1"/>
  <c r="C35" i="16"/>
  <c r="D35" i="16"/>
  <c r="Z42" i="18" l="1"/>
  <c r="C63" i="1"/>
  <c r="D78" i="1"/>
  <c r="C18" i="16"/>
  <c r="P65" i="36"/>
  <c r="W61" i="17"/>
  <c r="C51" i="41"/>
  <c r="J47" i="1"/>
  <c r="C78" i="1" l="1"/>
  <c r="J78" i="1" s="1"/>
  <c r="J63" i="1"/>
  <c r="Y42" i="18"/>
  <c r="D28" i="16"/>
  <c r="P61" i="36"/>
  <c r="C20" i="18"/>
  <c r="C42" i="18" s="1"/>
  <c r="C62" i="18" s="1"/>
  <c r="C63" i="18" s="1"/>
  <c r="C64" i="18" s="1"/>
  <c r="E64" i="18" s="1"/>
  <c r="G64" i="18" s="1"/>
  <c r="I64" i="18" s="1"/>
  <c r="K64" i="18" s="1"/>
  <c r="M64" i="18" s="1"/>
  <c r="O64" i="18" s="1"/>
  <c r="Q64" i="18" s="1"/>
  <c r="C86" i="1" l="1"/>
  <c r="D26" i="16"/>
  <c r="S20" i="18"/>
  <c r="S42" i="18" s="1"/>
  <c r="C23" i="16" l="1"/>
  <c r="E22" i="14"/>
  <c r="E23" i="14" s="1"/>
  <c r="Y21" i="18"/>
  <c r="T20" i="18"/>
  <c r="T42" i="18" s="1"/>
  <c r="C33" i="16"/>
  <c r="F22" i="14" l="1"/>
  <c r="Z21" i="18"/>
  <c r="F63" i="1"/>
  <c r="Y43" i="18"/>
  <c r="X67" i="17"/>
  <c r="C27" i="16" s="1"/>
  <c r="D23" i="16"/>
  <c r="D21" i="16" s="1"/>
  <c r="C21" i="16"/>
  <c r="C30" i="16"/>
  <c r="D30" i="16"/>
  <c r="G63" i="1" l="1"/>
  <c r="Z43" i="18"/>
  <c r="X70" i="17"/>
  <c r="C28" i="16" s="1"/>
  <c r="C29" i="16"/>
  <c r="D29" i="16"/>
  <c r="D24" i="16"/>
  <c r="X65" i="17" l="1"/>
  <c r="C26" i="16" l="1"/>
  <c r="C24" i="16" l="1"/>
</calcChain>
</file>

<file path=xl/sharedStrings.xml><?xml version="1.0" encoding="utf-8"?>
<sst xmlns="http://schemas.openxmlformats.org/spreadsheetml/2006/main" count="1010" uniqueCount="579">
  <si>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</si>
  <si>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</si>
  <si>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</si>
  <si>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</si>
  <si>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</si>
  <si>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</si>
  <si>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</si>
  <si>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</si>
  <si>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</si>
  <si>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</si>
  <si>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</si>
  <si>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</si>
  <si>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</si>
  <si>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</si>
  <si>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</si>
  <si>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</si>
  <si>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</si>
  <si>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</si>
  <si>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</si>
  <si>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</si>
  <si>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</si>
  <si>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</si>
  <si>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</si>
  <si>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</si>
  <si>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</si>
  <si>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</si>
  <si>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</si>
  <si>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</si>
  <si>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</si>
  <si>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</si>
  <si>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</si>
  <si>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</si>
  <si>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</si>
  <si>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</si>
  <si>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</si>
  <si>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</si>
  <si>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</si>
  <si>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</si>
  <si>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</si>
  <si>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</si>
  <si>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</si>
  <si>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</si>
  <si>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</si>
  <si>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</si>
  <si>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</si>
  <si>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</si>
  <si>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</si>
  <si>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</si>
  <si>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</si>
  <si>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</si>
  <si>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</si>
  <si>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</si>
  <si>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</si>
  <si>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</si>
  <si>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</si>
  <si>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</si>
  <si>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</si>
  <si>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</si>
  <si>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</si>
  <si>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</si>
  <si>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</si>
  <si>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</si>
  <si>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</si>
  <si>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</si>
  <si>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</si>
  <si>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</si>
  <si>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</si>
  <si>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</si>
  <si>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</si>
  <si>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</si>
  <si>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</si>
  <si>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</si>
  <si>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</si>
  <si>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</si>
  <si>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</si>
  <si>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</si>
  <si>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</si>
  <si>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</si>
  <si>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</si>
  <si>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</si>
  <si>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</si>
  <si>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</si>
  <si>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</si>
  <si>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</si>
  <si>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</si>
  <si>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</si>
  <si>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</si>
  <si>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</si>
  <si>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</si>
  <si>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</si>
  <si>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</si>
  <si>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</si>
  <si>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</si>
  <si>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</si>
  <si>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</si>
  <si>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</si>
  <si>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</si>
  <si>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</si>
  <si>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</si>
  <si>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</si>
  <si>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</si>
  <si>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</si>
  <si>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</si>
  <si>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</si>
  <si>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</si>
  <si>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</si>
  <si>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</si>
  <si>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</si>
  <si>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</si>
  <si>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</si>
  <si>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</si>
  <si>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</si>
  <si>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</si>
  <si>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</si>
  <si>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</si>
  <si>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</si>
  <si>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</si>
  <si>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</si>
  <si>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</si>
  <si>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</si>
  <si>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</si>
  <si>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</si>
  <si>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</si>
  <si>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</si>
  <si>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</si>
  <si>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</si>
  <si>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</si>
  <si>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</si>
  <si>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</si>
  <si>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</si>
  <si>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</si>
  <si>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</si>
  <si>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</si>
  <si>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</si>
  <si>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</si>
  <si>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</si>
  <si>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</si>
  <si>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</si>
  <si>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</si>
  <si>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</si>
  <si>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</si>
  <si>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</si>
  <si>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</si>
  <si>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</si>
  <si>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</si>
  <si>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</si>
  <si>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</si>
  <si>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</si>
  <si>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</si>
  <si>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</si>
  <si>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</si>
  <si>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</si>
  <si>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</si>
  <si>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</si>
  <si>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</si>
  <si>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</si>
  <si>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</si>
  <si>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</si>
  <si>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</si>
  <si>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</si>
  <si>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</si>
  <si>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</si>
  <si>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</si>
  <si>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</si>
  <si>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</si>
  <si>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</si>
  <si>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</si>
  <si>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</si>
  <si>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</si>
  <si>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</si>
  <si>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</si>
  <si>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</si>
  <si>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</si>
  <si>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</si>
  <si>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</si>
  <si>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</si>
  <si>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</si>
  <si>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</si>
  <si>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</si>
  <si>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</si>
  <si>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</si>
  <si>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</si>
  <si>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</si>
  <si>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</si>
  <si>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</si>
  <si>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</si>
  <si>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</si>
  <si>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</si>
  <si>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</si>
  <si>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</si>
  <si>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</si>
  <si>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</si>
  <si>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</si>
  <si>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</si>
  <si>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</si>
  <si>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</si>
  <si>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</si>
  <si>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</si>
  <si>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</si>
  <si>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</si>
  <si>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</si>
  <si>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</si>
  <si>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</si>
  <si>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</si>
  <si>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</si>
  <si>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</si>
  <si>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</si>
  <si>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</si>
  <si>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</si>
  <si>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</si>
  <si>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</si>
  <si>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</si>
  <si>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</si>
  <si>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</si>
  <si>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</si>
  <si>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</si>
  <si>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</si>
  <si>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</si>
  <si>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</si>
  <si>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</si>
  <si>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</si>
  <si>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</si>
  <si>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</si>
  <si>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</si>
  <si>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</si>
  <si>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</si>
  <si>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</si>
  <si>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</si>
  <si>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</si>
  <si>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</si>
  <si>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</si>
  <si>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</si>
  <si>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</si>
  <si>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</si>
  <si>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</si>
  <si>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</si>
  <si>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</si>
  <si>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</si>
  <si>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</si>
  <si>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</si>
  <si>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</si>
  <si>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</si>
  <si>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</si>
  <si>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</si>
  <si>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</si>
  <si>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</si>
  <si>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</si>
  <si>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</si>
  <si>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</si>
  <si>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</si>
  <si>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</si>
  <si>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</si>
  <si>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</si>
  <si>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</si>
  <si>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</si>
  <si>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</si>
  <si>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</si>
  <si>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</si>
  <si>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</si>
  <si>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</si>
  <si>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</si>
  <si>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</si>
  <si>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</si>
  <si>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</si>
  <si>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</si>
  <si>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</si>
  <si>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</si>
  <si>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</si>
  <si>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</si>
  <si>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</si>
  <si>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</si>
  <si>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</si>
  <si>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</si>
  <si>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</si>
  <si>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</si>
  <si>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</si>
  <si>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</si>
  <si>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</si>
  <si>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</si>
  <si>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</si>
  <si>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</si>
  <si>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</si>
  <si>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</si>
  <si>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</si>
  <si>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</si>
  <si>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</si>
  <si>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</si>
  <si>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</si>
  <si>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</si>
  <si>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</si>
  <si>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</si>
  <si>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</si>
  <si>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</si>
  <si>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</si>
  <si>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</si>
  <si>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</si>
  <si>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</si>
  <si>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</si>
  <si>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</si>
  <si>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</si>
  <si>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</si>
  <si>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</si>
  <si>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</si>
  <si>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</si>
  <si>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</si>
  <si>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</si>
  <si>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</si>
  <si>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</si>
  <si>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</si>
  <si>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</si>
  <si>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</si>
  <si>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</si>
  <si>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</si>
  <si>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</si>
  <si>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</si>
  <si>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</si>
  <si>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</si>
  <si>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</si>
  <si>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</si>
  <si>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</si>
  <si>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</si>
  <si>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</si>
  <si>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</si>
  <si>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</si>
  <si>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</si>
  <si>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</si>
  <si>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</si>
  <si>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</si>
  <si>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</si>
  <si>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</si>
  <si>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</si>
  <si>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</si>
  <si>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</si>
  <si>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</si>
  <si>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</si>
  <si>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</si>
  <si>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</si>
  <si>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</si>
  <si>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</si>
  <si>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</si>
  <si>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</si>
  <si>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</si>
  <si>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</si>
  <si>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</si>
  <si>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</si>
  <si>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</si>
  <si>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</si>
  <si>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</si>
  <si>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</si>
  <si>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</si>
  <si>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</si>
  <si>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</si>
  <si>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</si>
  <si>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</si>
  <si>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</si>
  <si>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</si>
  <si>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</si>
  <si>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</si>
  <si>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</si>
  <si>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</si>
  <si>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</si>
  <si>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</si>
  <si>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</si>
  <si>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</si>
  <si>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</si>
  <si>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</si>
  <si>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</si>
  <si>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</si>
  <si>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</si>
  <si>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</si>
  <si>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</si>
  <si>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</si>
  <si>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</si>
  <si>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</si>
  <si>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</si>
  <si>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</si>
  <si>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</si>
  <si>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</si>
  <si>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</si>
  <si>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</si>
  <si>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</si>
  <si>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</si>
  <si>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</si>
  <si>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</si>
  <si>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</si>
  <si>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</si>
  <si>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</si>
  <si>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</si>
  <si>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</si>
  <si>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</si>
  <si>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</si>
  <si>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</si>
  <si>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</si>
  <si>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</si>
  <si>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</si>
  <si>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</si>
  <si>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</si>
  <si>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</si>
  <si>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</si>
  <si>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</si>
  <si>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</si>
  <si>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</si>
  <si>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</si>
  <si>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</si>
  <si>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</si>
  <si>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</si>
  <si>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</si>
  <si>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</si>
  <si>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</si>
  <si>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</si>
  <si>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</si>
  <si>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</si>
  <si>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</si>
  <si>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</si>
  <si>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</si>
  <si>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</si>
  <si>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</si>
  <si>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</si>
  <si>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</si>
  <si>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</si>
  <si>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</si>
  <si>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</si>
  <si>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</si>
  <si>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</si>
  <si>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</si>
  <si>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</si>
  <si>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</si>
  <si>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</si>
  <si>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</si>
  <si>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</si>
  <si>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</si>
  <si>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</si>
  <si>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</si>
  <si>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</si>
  <si>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</si>
  <si>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</si>
  <si>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</si>
  <si>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</si>
  <si>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</si>
  <si>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</si>
  <si>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</si>
  <si>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</si>
  <si>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</si>
  <si>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</si>
  <si>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</si>
  <si>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</si>
  <si>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</si>
  <si>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</si>
  <si>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</si>
  <si>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</si>
  <si>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</si>
  <si>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</si>
  <si>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</si>
  <si>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</si>
  <si>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</si>
  <si>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</si>
  <si>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</si>
  <si>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</si>
  <si>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</si>
  <si>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</si>
  <si>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</si>
  <si>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</si>
  <si>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</si>
  <si>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</si>
  <si>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</si>
  <si>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</si>
  <si>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</si>
  <si>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</si>
  <si>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</si>
  <si>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</si>
  <si>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</si>
  <si>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</si>
  <si>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</si>
  <si>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</si>
  <si>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</si>
  <si>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</si>
  <si>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</si>
  <si>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</si>
  <si>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</si>
  <si>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</si>
  <si>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</si>
  <si>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</si>
  <si>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</si>
  <si>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</si>
  <si>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</si>
  <si>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</si>
  <si>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</si>
  <si>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</si>
  <si>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</si>
  <si>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</si>
  <si>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</si>
  <si>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</si>
  <si>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</si>
  <si>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</si>
  <si>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</si>
  <si>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</si>
  <si>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</si>
  <si>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</si>
  <si>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</si>
  <si>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</si>
  <si>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</si>
  <si>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</si>
  <si>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</si>
  <si>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</si>
  <si>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</si>
  <si>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</si>
  <si>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</si>
  <si>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</si>
  <si>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</si>
  <si>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</si>
  <si>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</si>
  <si>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</si>
  <si>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</si>
  <si>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</si>
  <si>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</si>
  <si>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</si>
  <si>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</si>
  <si>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</si>
  <si>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</si>
  <si>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</si>
  <si>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</si>
  <si>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</si>
  <si>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</si>
  <si>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</si>
  <si>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</si>
  <si>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</si>
  <si>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</si>
  <si>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</si>
  <si>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</si>
  <si>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</si>
  <si>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</si>
  <si>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</si>
  <si>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</si>
  <si>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</si>
  <si>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</si>
  <si>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</si>
  <si>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</si>
  <si>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</si>
  <si>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</si>
  <si>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</si>
  <si>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</si>
  <si>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</si>
  <si>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</si>
  <si>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</si>
  <si>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</si>
  <si>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</si>
  <si>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</si>
  <si>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</si>
  <si>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</si>
  <si>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</si>
  <si>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</si>
  <si>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</si>
  <si>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</si>
  <si>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</si>
  <si>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</si>
  <si>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</si>
  <si>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</si>
  <si>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</si>
  <si>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</si>
  <si>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</si>
  <si>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</si>
  <si>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</si>
  <si>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</si>
  <si>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</si>
  <si>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</si>
  <si>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</si>
  <si>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</si>
  <si>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</si>
  <si>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</si>
  <si>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</si>
  <si>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</si>
  <si>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</si>
  <si>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</si>
  <si>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</si>
  <si>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</si>
  <si>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Банк номи</t>
  </si>
  <si>
    <t>№1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</si>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</sst>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04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00B0F0"/>
      <name val="Times New Roman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1" fillId="0" borderId="15">
      <protection locked="0"/>
    </xf>
    <xf numFmtId="172" fontId="43" fillId="0" borderId="0">
      <protection locked="0"/>
    </xf>
    <xf numFmtId="173" fontId="43" fillId="0" borderId="15">
      <protection locked="0"/>
    </xf>
    <xf numFmtId="174" fontId="43" fillId="0" borderId="0">
      <protection locked="0"/>
    </xf>
    <xf numFmtId="4" fontId="43" fillId="0" borderId="0">
      <protection locked="0"/>
    </xf>
    <xf numFmtId="175" fontId="43" fillId="0" borderId="0">
      <protection locked="0"/>
    </xf>
    <xf numFmtId="173" fontId="44" fillId="0" borderId="0">
      <protection locked="0"/>
    </xf>
    <xf numFmtId="173" fontId="45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6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7" fillId="0" borderId="0"/>
    <xf numFmtId="0" fontId="25" fillId="0" borderId="0"/>
    <xf numFmtId="9" fontId="27" fillId="0" borderId="0" applyFont="0" applyFill="0" applyBorder="0" applyAlignment="0" applyProtection="0"/>
    <xf numFmtId="0" fontId="4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50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9" fillId="0" borderId="0"/>
    <xf numFmtId="0" fontId="48" fillId="0" borderId="0"/>
    <xf numFmtId="0" fontId="1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9" fillId="0" borderId="0"/>
    <xf numFmtId="0" fontId="25" fillId="0" borderId="0"/>
    <xf numFmtId="0" fontId="48" fillId="0" borderId="0"/>
    <xf numFmtId="0" fontId="25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0" fillId="0" borderId="0"/>
    <xf numFmtId="0" fontId="1" fillId="0" borderId="0"/>
    <xf numFmtId="0" fontId="48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50" fillId="0" borderId="0"/>
    <xf numFmtId="0" fontId="48" fillId="0" borderId="0"/>
    <xf numFmtId="0" fontId="53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1" fillId="0" borderId="0"/>
    <xf numFmtId="0" fontId="1" fillId="0" borderId="0"/>
    <xf numFmtId="0" fontId="54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5" fillId="0" borderId="0"/>
    <xf numFmtId="0" fontId="27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7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0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25" fillId="0" borderId="0"/>
    <xf numFmtId="0" fontId="48" fillId="0" borderId="0"/>
    <xf numFmtId="0" fontId="48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7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1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50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1" fillId="0" borderId="0">
      <protection locked="0"/>
    </xf>
    <xf numFmtId="0" fontId="7" fillId="0" borderId="0">
      <alignment vertical="top"/>
    </xf>
    <xf numFmtId="181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183" fontId="62" fillId="0" borderId="0" applyFont="0" applyFill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3" borderId="0" applyNumberFormat="0" applyBorder="0" applyAlignment="0" applyProtection="0"/>
    <xf numFmtId="0" fontId="52" fillId="26" borderId="0" applyNumberFormat="0" applyBorder="0" applyAlignment="0" applyProtection="0"/>
    <xf numFmtId="0" fontId="52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7" borderId="0" applyNumberFormat="0" applyBorder="0" applyAlignment="0" applyProtection="0"/>
    <xf numFmtId="0" fontId="64" fillId="21" borderId="0" applyNumberFormat="0" applyBorder="0" applyAlignment="0" applyProtection="0"/>
    <xf numFmtId="0" fontId="65" fillId="38" borderId="16" applyNumberFormat="0" applyAlignment="0" applyProtection="0"/>
    <xf numFmtId="0" fontId="66" fillId="39" borderId="17" applyNumberFormat="0" applyAlignment="0" applyProtection="0"/>
    <xf numFmtId="176" fontId="67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68" fillId="0" borderId="0"/>
    <xf numFmtId="0" fontId="69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0" fillId="22" borderId="0" applyNumberFormat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73" fillId="0" borderId="0" applyNumberFormat="0" applyFill="0" applyBorder="0" applyAlignment="0" applyProtection="0"/>
    <xf numFmtId="171" fontId="62" fillId="0" borderId="0" applyFont="0" applyFill="0" applyBorder="0" applyAlignment="0" applyProtection="0"/>
    <xf numFmtId="0" fontId="74" fillId="25" borderId="16" applyNumberFormat="0" applyAlignment="0" applyProtection="0"/>
    <xf numFmtId="0" fontId="75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76" fillId="0" borderId="0" applyFill="0" applyBorder="0"/>
    <xf numFmtId="0" fontId="77" fillId="40" borderId="0" applyNumberFormat="0" applyBorder="0" applyAlignment="0" applyProtection="0"/>
    <xf numFmtId="0" fontId="76" fillId="0" borderId="0"/>
    <xf numFmtId="0" fontId="27" fillId="41" borderId="20" applyNumberFormat="0" applyFont="0" applyAlignment="0" applyProtection="0"/>
    <xf numFmtId="0" fontId="78" fillId="38" borderId="21" applyNumberFormat="0" applyAlignment="0" applyProtection="0"/>
    <xf numFmtId="9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0" fillId="0" borderId="0" applyNumberFormat="0" applyFill="0" applyBorder="0" applyAlignment="0" applyProtection="0"/>
  </cellStyleXfs>
  <cellXfs count="452">
    <xf numFmtId="0" fontId="0" fillId="0" borderId="0" xfId="0"/>
    <xf numFmtId="0" fontId="3" fillId="0" borderId="0" xfId="0" applyFont="1"/>
    <xf numFmtId="0" fontId="6" fillId="0" borderId="0" xfId="0" applyFont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3" fontId="7" fillId="0" borderId="3" xfId="0" applyNumberFormat="1" applyFont="1" applyBorder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3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/>
    <xf numFmtId="3" fontId="7" fillId="0" borderId="3" xfId="0" applyNumberFormat="1" applyFont="1" applyBorder="1"/>
    <xf numFmtId="3" fontId="7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3" fontId="15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2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vertical="center"/>
    </xf>
    <xf numFmtId="0" fontId="16" fillId="0" borderId="0" xfId="0" applyFont="1"/>
    <xf numFmtId="168" fontId="17" fillId="0" borderId="0" xfId="4" applyNumberFormat="1" applyFont="1" applyProtection="1"/>
    <xf numFmtId="0" fontId="16" fillId="0" borderId="0" xfId="0" applyFont="1" applyAlignment="1">
      <alignment horizontal="right"/>
    </xf>
    <xf numFmtId="169" fontId="17" fillId="0" borderId="0" xfId="0" applyNumberFormat="1" applyFont="1" applyAlignment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Border="1" applyAlignment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Alignment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/>
    <xf numFmtId="169" fontId="33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vertical="center"/>
    </xf>
    <xf numFmtId="0" fontId="33" fillId="0" borderId="0" xfId="0" applyFont="1"/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 indent="1"/>
    </xf>
    <xf numFmtId="3" fontId="35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32" fillId="3" borderId="1" xfId="0" applyNumberFormat="1" applyFont="1" applyFill="1" applyBorder="1" applyAlignment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vertical="center"/>
    </xf>
    <xf numFmtId="0" fontId="37" fillId="0" borderId="0" xfId="0" applyFont="1"/>
    <xf numFmtId="167" fontId="37" fillId="0" borderId="0" xfId="4" applyFont="1" applyBorder="1" applyProtection="1"/>
    <xf numFmtId="0" fontId="37" fillId="0" borderId="0" xfId="0" applyFont="1" applyAlignment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/>
    <xf numFmtId="167" fontId="38" fillId="0" borderId="0" xfId="4" applyFont="1" applyBorder="1" applyProtection="1"/>
    <xf numFmtId="0" fontId="38" fillId="0" borderId="0" xfId="0" applyFont="1"/>
    <xf numFmtId="0" fontId="38" fillId="0" borderId="0" xfId="0" applyFont="1" applyAlignment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>
      <alignment vertical="center"/>
    </xf>
    <xf numFmtId="167" fontId="37" fillId="0" borderId="0" xfId="4" applyFont="1" applyFill="1" applyBorder="1" applyAlignment="1" applyProtection="1">
      <alignment vertical="center"/>
    </xf>
    <xf numFmtId="0" fontId="39" fillId="0" borderId="0" xfId="0" applyFont="1" applyAlignment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Alignment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Border="1" applyAlignment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40" fillId="0" borderId="0" xfId="0" applyFont="1" applyAlignment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Border="1" applyAlignment="1">
      <alignment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Protection="1">
      <protection hidden="1"/>
    </xf>
    <xf numFmtId="0" fontId="14" fillId="0" borderId="0" xfId="0" applyFont="1"/>
    <xf numFmtId="0" fontId="40" fillId="19" borderId="1" xfId="0" applyFont="1" applyFill="1" applyBorder="1" applyAlignment="1">
      <alignment horizontal="left" vertical="center" wrapText="1" indent="1"/>
    </xf>
    <xf numFmtId="0" fontId="26" fillId="19" borderId="1" xfId="0" applyFont="1" applyFill="1" applyBorder="1" applyAlignment="1">
      <alignment horizontal="left" vertical="center" wrapText="1" indent="1"/>
    </xf>
    <xf numFmtId="3" fontId="24" fillId="0" borderId="3" xfId="0" applyNumberFormat="1" applyFont="1" applyBorder="1" applyAlignment="1">
      <alignment vertical="center"/>
    </xf>
    <xf numFmtId="3" fontId="12" fillId="0" borderId="1" xfId="3" applyNumberFormat="1" applyFont="1" applyFill="1" applyBorder="1" applyAlignment="1" applyProtection="1">
      <alignment vertical="center"/>
    </xf>
    <xf numFmtId="0" fontId="61" fillId="0" borderId="0" xfId="0" applyFont="1"/>
    <xf numFmtId="0" fontId="61" fillId="0" borderId="0" xfId="0" applyFont="1" applyAlignment="1">
      <alignment wrapText="1"/>
    </xf>
    <xf numFmtId="0" fontId="6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9" fontId="5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167" fontId="2" fillId="0" borderId="0" xfId="4" applyFont="1" applyBorder="1" applyProtection="1"/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167" fontId="2" fillId="0" borderId="0" xfId="4" applyFont="1" applyFill="1" applyAlignment="1">
      <alignment vertical="center"/>
    </xf>
    <xf numFmtId="0" fontId="82" fillId="0" borderId="0" xfId="0" applyFont="1" applyAlignment="1">
      <alignment horizontal="center"/>
    </xf>
    <xf numFmtId="0" fontId="82" fillId="0" borderId="0" xfId="0" applyFont="1" applyAlignment="1" applyProtection="1">
      <alignment horizontal="center"/>
      <protection hidden="1"/>
    </xf>
    <xf numFmtId="0" fontId="82" fillId="0" borderId="0" xfId="0" applyFont="1" applyProtection="1">
      <protection hidden="1"/>
    </xf>
    <xf numFmtId="0" fontId="82" fillId="0" borderId="0" xfId="0" applyFont="1"/>
    <xf numFmtId="3" fontId="81" fillId="0" borderId="0" xfId="0" applyNumberFormat="1" applyFont="1" applyAlignment="1">
      <alignment horizontal="center" vertical="center"/>
    </xf>
    <xf numFmtId="167" fontId="14" fillId="0" borderId="0" xfId="4" applyFont="1" applyBorder="1" applyProtection="1"/>
    <xf numFmtId="167" fontId="2" fillId="0" borderId="0" xfId="4" applyFont="1" applyProtection="1"/>
    <xf numFmtId="0" fontId="83" fillId="0" borderId="0" xfId="0" applyFont="1"/>
    <xf numFmtId="0" fontId="8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8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4" fillId="0" borderId="0" xfId="0" applyFont="1" applyAlignment="1">
      <alignment horizont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35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indent="1"/>
    </xf>
    <xf numFmtId="4" fontId="0" fillId="0" borderId="0" xfId="0" applyNumberFormat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84" fillId="3" borderId="5" xfId="0" applyNumberFormat="1" applyFont="1" applyFill="1" applyBorder="1" applyAlignment="1">
      <alignment horizontal="center" vertical="center" textRotation="90" wrapText="1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49" fontId="10" fillId="0" borderId="1" xfId="0" quotePrefix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3" fontId="85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0" fillId="0" borderId="0" xfId="0" applyFont="1" applyAlignment="1">
      <alignment horizontal="center"/>
    </xf>
    <xf numFmtId="0" fontId="86" fillId="0" borderId="0" xfId="0" applyFont="1"/>
    <xf numFmtId="0" fontId="84" fillId="0" borderId="0" xfId="0" quotePrefix="1" applyFont="1" applyAlignment="1">
      <alignment horizontal="left" indent="6"/>
    </xf>
    <xf numFmtId="0" fontId="86" fillId="0" borderId="0" xfId="0" applyFont="1" applyAlignment="1">
      <alignment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49" fontId="4" fillId="0" borderId="1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87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5" fillId="0" borderId="1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5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left" vertical="center" wrapText="1" indent="1"/>
    </xf>
    <xf numFmtId="3" fontId="5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89" fillId="0" borderId="1" xfId="0" applyFont="1" applyBorder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14" fillId="0" borderId="0" xfId="0" applyFont="1" applyAlignment="1" applyProtection="1">
      <alignment horizontal="left"/>
      <protection hidden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0" fontId="24" fillId="0" borderId="23" xfId="0" applyFont="1" applyBorder="1" applyAlignment="1">
      <alignment horizontal="center" wrapText="1"/>
    </xf>
    <xf numFmtId="0" fontId="90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24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3" fontId="91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10" fillId="0" borderId="0" xfId="0" applyFont="1"/>
    <xf numFmtId="0" fontId="11" fillId="0" borderId="0" xfId="0" applyFont="1"/>
    <xf numFmtId="167" fontId="8" fillId="0" borderId="0" xfId="4" applyFont="1" applyFill="1" applyBorder="1" applyAlignment="1">
      <alignment vertical="center"/>
    </xf>
    <xf numFmtId="167" fontId="86" fillId="0" borderId="0" xfId="4" applyFont="1" applyAlignment="1" applyProtection="1">
      <alignment vertical="center"/>
    </xf>
    <xf numFmtId="3" fontId="92" fillId="0" borderId="0" xfId="0" applyNumberFormat="1" applyFont="1" applyAlignment="1">
      <alignment vertical="center"/>
    </xf>
    <xf numFmtId="0" fontId="93" fillId="0" borderId="0" xfId="0" applyFont="1" applyAlignment="1">
      <alignment vertical="center"/>
    </xf>
    <xf numFmtId="167" fontId="94" fillId="0" borderId="0" xfId="4" applyFont="1" applyAlignment="1" applyProtection="1">
      <alignment vertical="center"/>
    </xf>
    <xf numFmtId="0" fontId="94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8" fillId="0" borderId="9" xfId="5" applyNumberFormat="1" applyFont="1" applyFill="1" applyBorder="1" applyAlignment="1" applyProtection="1">
      <alignment horizont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0" fontId="95" fillId="0" borderId="0" xfId="0" quotePrefix="1" applyFont="1" applyAlignment="1">
      <alignment horizontal="left"/>
    </xf>
    <xf numFmtId="49" fontId="96" fillId="0" borderId="1" xfId="0" applyNumberFormat="1" applyFont="1" applyBorder="1" applyAlignment="1">
      <alignment horizontal="center" vertical="center"/>
    </xf>
    <xf numFmtId="49" fontId="97" fillId="0" borderId="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96" fillId="0" borderId="0" xfId="0" applyNumberFormat="1" applyFont="1" applyAlignment="1">
      <alignment horizontal="center"/>
    </xf>
    <xf numFmtId="3" fontId="8" fillId="0" borderId="0" xfId="0" applyNumberFormat="1" applyFont="1"/>
    <xf numFmtId="49" fontId="8" fillId="0" borderId="0" xfId="0" applyNumberFormat="1" applyFont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Protection="1">
      <protection hidden="1"/>
    </xf>
    <xf numFmtId="0" fontId="8" fillId="0" borderId="0" xfId="0" applyFont="1"/>
    <xf numFmtId="0" fontId="4" fillId="0" borderId="0" xfId="0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Border="1"/>
    <xf numFmtId="3" fontId="8" fillId="0" borderId="0" xfId="0" applyNumberFormat="1" applyFont="1" applyAlignment="1">
      <alignment wrapText="1"/>
    </xf>
    <xf numFmtId="3" fontId="11" fillId="0" borderId="0" xfId="0" applyNumberFormat="1" applyFont="1" applyAlignment="1">
      <alignment horizontal="center" vertical="center"/>
    </xf>
    <xf numFmtId="3" fontId="84" fillId="3" borderId="5" xfId="0" applyNumberFormat="1" applyFont="1" applyFill="1" applyBorder="1" applyAlignment="1">
      <alignment horizontal="center" vertic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4" fontId="0" fillId="0" borderId="24" xfId="0" applyNumberFormat="1" applyBorder="1" applyProtection="1">
      <protection locked="0"/>
    </xf>
    <xf numFmtId="0" fontId="4" fillId="0" borderId="0" xfId="0" quotePrefix="1" applyFont="1" applyAlignment="1" applyProtection="1">
      <alignment horizontal="center"/>
      <protection locked="0"/>
    </xf>
    <xf numFmtId="3" fontId="2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0" fontId="8" fillId="0" borderId="0" xfId="0" applyFont="1" applyAlignment="1">
      <alignment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98" fillId="0" borderId="0" xfId="0" applyNumberFormat="1" applyFont="1" applyAlignment="1">
      <alignment vertical="center"/>
    </xf>
    <xf numFmtId="0" fontId="98" fillId="0" borderId="0" xfId="0" applyFont="1" applyAlignment="1">
      <alignment vertical="center"/>
    </xf>
    <xf numFmtId="3" fontId="0" fillId="0" borderId="1" xfId="0" quotePrefix="1" applyNumberFormat="1" applyBorder="1" applyAlignment="1">
      <alignment vertical="center" wrapText="1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99" fillId="0" borderId="0" xfId="4" applyNumberFormat="1" applyFont="1" applyBorder="1" applyProtection="1"/>
    <xf numFmtId="0" fontId="12" fillId="0" borderId="0" xfId="0" applyFont="1" applyAlignment="1">
      <alignment vertical="center"/>
    </xf>
    <xf numFmtId="3" fontId="88" fillId="3" borderId="5" xfId="0" applyNumberFormat="1" applyFont="1" applyFill="1" applyBorder="1" applyAlignment="1">
      <alignment horizontal="center" vertical="center" textRotation="90" wrapText="1"/>
    </xf>
    <xf numFmtId="3" fontId="10" fillId="0" borderId="1" xfId="0" applyNumberFormat="1" applyFont="1" applyBorder="1" applyAlignment="1">
      <alignment vertical="center"/>
    </xf>
    <xf numFmtId="167" fontId="12" fillId="0" borderId="0" xfId="4" applyFont="1" applyFill="1" applyAlignment="1">
      <alignment vertical="center"/>
    </xf>
    <xf numFmtId="3" fontId="84" fillId="3" borderId="4" xfId="0" applyNumberFormat="1" applyFont="1" applyFill="1" applyBorder="1" applyAlignment="1">
      <alignment horizontal="center" vertical="center" wrapText="1"/>
    </xf>
    <xf numFmtId="3" fontId="90" fillId="0" borderId="0" xfId="0" applyNumberFormat="1" applyFont="1" applyAlignment="1">
      <alignment vertical="center"/>
    </xf>
    <xf numFmtId="167" fontId="97" fillId="0" borderId="0" xfId="4" applyFont="1" applyBorder="1" applyAlignment="1">
      <alignment vertical="center"/>
    </xf>
    <xf numFmtId="0" fontId="97" fillId="0" borderId="0" xfId="0" applyFont="1" applyAlignment="1">
      <alignment vertical="center"/>
    </xf>
    <xf numFmtId="168" fontId="97" fillId="0" borderId="0" xfId="4" applyNumberFormat="1" applyFont="1" applyFill="1" applyAlignment="1">
      <alignment vertical="center"/>
    </xf>
    <xf numFmtId="0" fontId="96" fillId="0" borderId="1" xfId="0" applyFont="1" applyBorder="1" applyAlignment="1">
      <alignment horizontal="left" vertical="center" wrapText="1" indent="1"/>
    </xf>
    <xf numFmtId="9" fontId="96" fillId="0" borderId="1" xfId="3" applyFont="1" applyFill="1" applyBorder="1" applyAlignment="1" applyProtection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00" fillId="0" borderId="0" xfId="0" applyFont="1" applyAlignment="1">
      <alignment vertical="center"/>
    </xf>
    <xf numFmtId="3" fontId="14" fillId="0" borderId="0" xfId="0" applyNumberFormat="1" applyFont="1"/>
    <xf numFmtId="3" fontId="14" fillId="0" borderId="0" xfId="0" applyNumberFormat="1" applyFont="1" applyProtection="1">
      <protection hidden="1"/>
    </xf>
    <xf numFmtId="0" fontId="101" fillId="0" borderId="0" xfId="0" applyFont="1" applyAlignment="1">
      <alignment vertical="center"/>
    </xf>
    <xf numFmtId="168" fontId="14" fillId="0" borderId="0" xfId="4" applyNumberFormat="1" applyFont="1" applyAlignment="1" applyProtection="1">
      <alignment horizontal="center" vertical="center"/>
    </xf>
    <xf numFmtId="168" fontId="14" fillId="0" borderId="0" xfId="4" applyNumberFormat="1" applyFont="1" applyBorder="1" applyAlignment="1" applyProtection="1">
      <alignment horizontal="center" vertical="center"/>
    </xf>
    <xf numFmtId="168" fontId="14" fillId="0" borderId="0" xfId="4" applyNumberFormat="1" applyFont="1" applyFill="1" applyBorder="1" applyAlignment="1" applyProtection="1">
      <alignment horizontal="center" vertical="center"/>
    </xf>
    <xf numFmtId="168" fontId="14" fillId="0" borderId="0" xfId="4" applyNumberFormat="1" applyFont="1" applyFill="1" applyAlignment="1" applyProtection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 applyProtection="1">
      <alignment horizontal="center" vertical="center"/>
      <protection locked="0"/>
    </xf>
    <xf numFmtId="3" fontId="24" fillId="0" borderId="1" xfId="0" applyNumberFormat="1" applyFont="1" applyBorder="1" applyAlignment="1">
      <alignment horizontal="center" vertical="center"/>
    </xf>
    <xf numFmtId="3" fontId="5" fillId="0" borderId="1" xfId="3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7" fontId="102" fillId="0" borderId="0" xfId="4" applyFont="1" applyFill="1" applyAlignment="1" applyProtection="1">
      <alignment horizontal="center" vertical="center"/>
    </xf>
    <xf numFmtId="194" fontId="4" fillId="0" borderId="1" xfId="0" applyNumberFormat="1" applyFont="1" applyBorder="1" applyAlignment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  <protection locked="0"/>
    </xf>
    <xf numFmtId="194" fontId="24" fillId="0" borderId="1" xfId="0" applyNumberFormat="1" applyFont="1" applyBorder="1" applyAlignment="1">
      <alignment vertical="center"/>
    </xf>
    <xf numFmtId="194" fontId="12" fillId="0" borderId="1" xfId="0" applyNumberFormat="1" applyFont="1" applyBorder="1" applyAlignment="1" applyProtection="1">
      <alignment vertical="center"/>
      <protection locked="0"/>
    </xf>
    <xf numFmtId="194" fontId="12" fillId="0" borderId="1" xfId="0" applyNumberFormat="1" applyFont="1" applyBorder="1" applyAlignment="1">
      <alignment vertical="center"/>
    </xf>
    <xf numFmtId="194" fontId="10" fillId="0" borderId="1" xfId="0" applyNumberFormat="1" applyFont="1" applyBorder="1" applyAlignment="1">
      <alignment vertical="center"/>
    </xf>
    <xf numFmtId="194" fontId="14" fillId="0" borderId="0" xfId="0" applyNumberFormat="1" applyFont="1"/>
    <xf numFmtId="194" fontId="96" fillId="0" borderId="1" xfId="0" applyNumberFormat="1" applyFont="1" applyBorder="1" applyAlignment="1">
      <alignment vertical="center"/>
    </xf>
    <xf numFmtId="194" fontId="8" fillId="0" borderId="1" xfId="3" applyNumberFormat="1" applyFont="1" applyBorder="1" applyAlignment="1" applyProtection="1">
      <alignment vertical="center"/>
    </xf>
    <xf numFmtId="194" fontId="8" fillId="5" borderId="1" xfId="0" applyNumberFormat="1" applyFont="1" applyFill="1" applyBorder="1" applyAlignment="1">
      <alignment vertical="center"/>
    </xf>
    <xf numFmtId="194" fontId="8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3" fontId="27" fillId="0" borderId="1" xfId="3" applyNumberFormat="1" applyFont="1" applyFill="1" applyBorder="1" applyAlignment="1" applyProtection="1">
      <alignment vertical="center"/>
    </xf>
    <xf numFmtId="3" fontId="27" fillId="0" borderId="1" xfId="0" applyNumberFormat="1" applyFont="1" applyBorder="1" applyAlignment="1">
      <alignment vertical="center"/>
    </xf>
    <xf numFmtId="3" fontId="27" fillId="0" borderId="3" xfId="0" applyNumberFormat="1" applyFont="1" applyBorder="1" applyAlignment="1">
      <alignment vertical="center"/>
    </xf>
    <xf numFmtId="3" fontId="27" fillId="0" borderId="3" xfId="0" applyNumberFormat="1" applyFont="1" applyBorder="1" applyAlignment="1" applyProtection="1">
      <alignment vertical="center"/>
      <protection locked="0"/>
    </xf>
    <xf numFmtId="3" fontId="24" fillId="0" borderId="1" xfId="0" quotePrefix="1" applyNumberFormat="1" applyFont="1" applyBorder="1" applyAlignment="1">
      <alignment horizontal="left" vertical="center" wrapText="1" indent="4"/>
    </xf>
    <xf numFmtId="168" fontId="97" fillId="0" borderId="0" xfId="4" applyNumberFormat="1" applyFont="1" applyBorder="1" applyAlignment="1">
      <alignment vertical="center"/>
    </xf>
    <xf numFmtId="194" fontId="35" fillId="0" borderId="1" xfId="0" applyNumberFormat="1" applyFont="1" applyBorder="1" applyAlignment="1">
      <alignment vertical="center"/>
    </xf>
    <xf numFmtId="194" fontId="5" fillId="0" borderId="1" xfId="0" applyNumberFormat="1" applyFont="1" applyBorder="1" applyAlignment="1">
      <alignment vertical="center"/>
    </xf>
    <xf numFmtId="168" fontId="103" fillId="0" borderId="0" xfId="4" applyNumberFormat="1" applyFont="1" applyFill="1" applyAlignment="1" applyProtection="1">
      <alignment horizontal="center" vertical="center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Alignment="1">
      <alignment horizontal="center" vertical="center" shrinkToFit="1"/>
    </xf>
    <xf numFmtId="3" fontId="88" fillId="3" borderId="4" xfId="0" applyNumberFormat="1" applyFont="1" applyFill="1" applyBorder="1" applyAlignment="1">
      <alignment horizontal="center" vertical="center" wrapText="1"/>
    </xf>
    <xf numFmtId="3" fontId="88" fillId="3" borderId="6" xfId="0" applyNumberFormat="1" applyFont="1" applyFill="1" applyBorder="1" applyAlignment="1">
      <alignment horizontal="center" vertical="center" wrapText="1"/>
    </xf>
    <xf numFmtId="3" fontId="88" fillId="3" borderId="8" xfId="0" applyNumberFormat="1" applyFont="1" applyFill="1" applyBorder="1" applyAlignment="1">
      <alignment horizontal="center" vertic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3" fontId="88" fillId="3" borderId="11" xfId="0" applyNumberFormat="1" applyFont="1" applyFill="1" applyBorder="1" applyAlignment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88" fillId="3" borderId="7" xfId="0" applyNumberFormat="1" applyFont="1" applyFill="1" applyBorder="1" applyAlignment="1">
      <alignment horizontal="center" vertical="center" wrapText="1"/>
    </xf>
    <xf numFmtId="3" fontId="88" fillId="3" borderId="13" xfId="0" applyNumberFormat="1" applyFont="1" applyFill="1" applyBorder="1" applyAlignment="1">
      <alignment horizontal="center" vertical="center" wrapText="1"/>
    </xf>
    <xf numFmtId="3" fontId="88" fillId="3" borderId="2" xfId="0" applyNumberFormat="1" applyFont="1" applyFill="1" applyBorder="1" applyAlignment="1">
      <alignment horizontal="center" vertical="center" wrapText="1"/>
    </xf>
    <xf numFmtId="3" fontId="88" fillId="3" borderId="12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88" fillId="3" borderId="10" xfId="0" applyNumberFormat="1" applyFont="1" applyFill="1" applyBorder="1" applyAlignment="1">
      <alignment horizontal="center" vertical="center" wrapText="1"/>
    </xf>
    <xf numFmtId="3" fontId="88" fillId="3" borderId="9" xfId="0" applyNumberFormat="1" applyFont="1" applyFill="1" applyBorder="1" applyAlignment="1">
      <alignment horizontal="center" vertical="center" wrapText="1"/>
    </xf>
    <xf numFmtId="3" fontId="84" fillId="3" borderId="4" xfId="0" applyNumberFormat="1" applyFont="1" applyFill="1" applyBorder="1" applyAlignment="1">
      <alignment horizontal="center" vertical="center" wrapText="1"/>
    </xf>
    <xf numFmtId="3" fontId="84" fillId="3" borderId="8" xfId="0" applyNumberFormat="1" applyFont="1" applyFill="1" applyBorder="1" applyAlignment="1">
      <alignment horizontal="center" vertical="center" wrapText="1"/>
    </xf>
    <xf numFmtId="3" fontId="84" fillId="3" borderId="6" xfId="0" applyNumberFormat="1" applyFont="1" applyFill="1" applyBorder="1" applyAlignment="1">
      <alignment horizontal="center" vertical="center" wrapText="1"/>
    </xf>
    <xf numFmtId="3" fontId="84" fillId="3" borderId="5" xfId="0" applyNumberFormat="1" applyFont="1" applyFill="1" applyBorder="1" applyAlignment="1">
      <alignment horizontal="center" vertical="center" wrapText="1"/>
    </xf>
    <xf numFmtId="3" fontId="84" fillId="3" borderId="3" xfId="0" applyNumberFormat="1" applyFont="1" applyFill="1" applyBorder="1" applyAlignment="1">
      <alignment horizontal="center" vertic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3" fontId="84" fillId="3" borderId="7" xfId="0" applyNumberFormat="1" applyFont="1" applyFill="1" applyBorder="1" applyAlignment="1">
      <alignment horizontal="center" vertical="center" wrapText="1"/>
    </xf>
    <xf numFmtId="3" fontId="84" fillId="3" borderId="13" xfId="0" applyNumberFormat="1" applyFont="1" applyFill="1" applyBorder="1" applyAlignment="1">
      <alignment horizontal="center" vertical="center" wrapText="1"/>
    </xf>
    <xf numFmtId="3" fontId="84" fillId="3" borderId="2" xfId="0" applyNumberFormat="1" applyFont="1" applyFill="1" applyBorder="1" applyAlignment="1">
      <alignment horizontal="center" vertical="center" wrapText="1"/>
    </xf>
    <xf numFmtId="3" fontId="84" fillId="3" borderId="12" xfId="0" applyNumberFormat="1" applyFont="1" applyFill="1" applyBorder="1" applyAlignment="1">
      <alignment horizontal="center" vertical="center" wrapText="1"/>
    </xf>
    <xf numFmtId="3" fontId="84" fillId="3" borderId="1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151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33FF"/>
      <color rgb="FF749B51"/>
      <color rgb="FF9F9F4D"/>
      <color rgb="FF5F648D"/>
      <color rgb="FF3EABAE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Пост по регион (2)"/>
      <sheetName val="TAB158"/>
      <sheetName val="ЭСЛАТМА!!"/>
      <sheetName val="Лист1"/>
      <sheetName val="Тегишилмасин"/>
      <sheetName val="Лист2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/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1"/>
  <sheetViews>
    <sheetView tabSelected="1" view="pageBreakPreview" zoomScale="75" zoomScaleNormal="75" zoomScaleSheetLayoutView="75" workbookViewId="0">
      <pane xSplit="2" ySplit="4" topLeftCell="C5" activePane="bottomRight" state="frozen"/>
      <selection activeCell="C9" sqref="C9"/>
      <selection pane="topRight" activeCell="C9" sqref="C9"/>
      <selection pane="bottomLeft" activeCell="C9" sqref="C9"/>
      <selection pane="bottomRight" activeCell="D22" sqref="D22"/>
    </sheetView>
  </sheetViews>
  <sheetFormatPr defaultRowHeight="15" customHeight="1"/>
  <cols>
    <col min="1" max="1" width="7" style="17" customWidth="1"/>
    <col min="2" max="2" width="85.42578125" style="17" customWidth="1"/>
    <col min="3" max="5" width="17.28515625" style="17" customWidth="1"/>
    <col min="6" max="8" width="16.42578125" style="380" customWidth="1"/>
    <col min="9" max="9" width="5.85546875" style="380" customWidth="1"/>
    <col min="10" max="10" width="13.28515625" style="380" customWidth="1"/>
    <col min="11" max="12" width="6.140625" style="144" customWidth="1"/>
    <col min="13" max="14" width="6.140625" style="17" customWidth="1"/>
    <col min="15" max="16384" width="9.140625" style="17"/>
  </cols>
  <sheetData>
    <row r="1" spans="1:10 16376:16376" ht="20.25">
      <c r="A1" s="413" t="s">
        <v>508</v>
      </c>
      <c r="B1" s="413"/>
      <c r="C1" s="413"/>
      <c r="D1" s="413"/>
      <c r="E1" s="201" t="s">
        <v>173</v>
      </c>
      <c r="G1" s="412" t="s">
        <v>576</v>
      </c>
    </row>
    <row r="2" spans="1:10 16376:16376" ht="15" customHeight="1">
      <c r="B2" s="320" t="str">
        <f>IF(D3&gt;0," "&amp;TEXT(D3,"д ММММ, гггг"),"Число,Месяц,Год")</f>
        <v xml:space="preserve"> 31 Декабрь, 2024</v>
      </c>
      <c r="C2" s="7"/>
      <c r="D2" s="187"/>
      <c r="E2" s="7"/>
    </row>
    <row r="3" spans="1:10 16376:16376" ht="15" customHeight="1">
      <c r="B3" s="345" t="s">
        <v>575</v>
      </c>
      <c r="D3" s="360">
        <v>45657</v>
      </c>
      <c r="E3" s="202" t="s">
        <v>174</v>
      </c>
    </row>
    <row r="4" spans="1:10 16376:16376" ht="43.5" customHeight="1">
      <c r="A4" s="89" t="s">
        <v>54</v>
      </c>
      <c r="B4" s="89" t="s">
        <v>175</v>
      </c>
      <c r="C4" s="89" t="s">
        <v>176</v>
      </c>
      <c r="D4" s="89" t="s">
        <v>177</v>
      </c>
      <c r="E4" s="89" t="s">
        <v>178</v>
      </c>
      <c r="F4" s="381"/>
      <c r="G4" s="381"/>
      <c r="H4" s="381"/>
      <c r="I4" s="381"/>
      <c r="J4" s="381"/>
    </row>
    <row r="5" spans="1:10 16376:16376" ht="15" customHeight="1">
      <c r="A5" s="10">
        <v>1</v>
      </c>
      <c r="B5" s="203" t="s">
        <v>285</v>
      </c>
      <c r="C5" s="5">
        <f>+D5+E5</f>
        <v>510025015</v>
      </c>
      <c r="D5" s="5">
        <f>+'Bank Assets Analysis'!T6</f>
        <v>230334913</v>
      </c>
      <c r="E5" s="5">
        <f>+'Bank Assets Analysis'!U6</f>
        <v>279690102</v>
      </c>
      <c r="F5" s="381"/>
      <c r="G5" s="381"/>
      <c r="I5" s="381"/>
      <c r="J5" s="381">
        <f t="shared" ref="J5:J47" si="0">+C5-D5-E5</f>
        <v>0</v>
      </c>
    </row>
    <row r="6" spans="1:10 16376:16376" ht="15" customHeight="1">
      <c r="A6" s="10">
        <v>2</v>
      </c>
      <c r="B6" s="203" t="s">
        <v>507</v>
      </c>
      <c r="C6" s="18">
        <f t="shared" ref="C6:C76" si="1">+D6+E6</f>
        <v>1828213292</v>
      </c>
      <c r="D6" s="5">
        <f>+'Bank Assets Analysis'!T7+'Bank Assets Analysis'!T8</f>
        <v>1828213292</v>
      </c>
      <c r="E6" s="5">
        <f>+'Bank Assets Analysis'!U7+'Bank Assets Analysis'!U8</f>
        <v>0</v>
      </c>
      <c r="F6" s="381"/>
      <c r="G6" s="381"/>
      <c r="I6" s="381"/>
      <c r="J6" s="381">
        <f t="shared" si="0"/>
        <v>0</v>
      </c>
    </row>
    <row r="7" spans="1:10 16376:16376" ht="15" customHeight="1">
      <c r="A7" s="10">
        <v>3</v>
      </c>
      <c r="B7" s="283" t="s">
        <v>180</v>
      </c>
      <c r="C7" s="5">
        <f>+'Bank Assets Analysis'!S9</f>
        <v>893895010</v>
      </c>
      <c r="D7" s="5">
        <f>+'Bank Assets Analysis'!T9</f>
        <v>255178602</v>
      </c>
      <c r="E7" s="5">
        <f>+'Bank Assets Analysis'!U9</f>
        <v>638716408</v>
      </c>
      <c r="F7" s="381"/>
      <c r="G7" s="381"/>
      <c r="I7" s="381"/>
      <c r="J7" s="381">
        <f t="shared" si="0"/>
        <v>0</v>
      </c>
    </row>
    <row r="8" spans="1:10 16376:16376" ht="15" customHeight="1">
      <c r="A8" s="10" t="s">
        <v>74</v>
      </c>
      <c r="B8" s="9" t="s">
        <v>181</v>
      </c>
      <c r="C8" s="5">
        <f t="shared" ref="C8" si="2">+D8+E8</f>
        <v>893895010</v>
      </c>
      <c r="D8" s="3">
        <v>255178602</v>
      </c>
      <c r="E8" s="3">
        <v>638716408</v>
      </c>
      <c r="F8" s="381"/>
      <c r="G8" s="381"/>
      <c r="I8" s="381"/>
      <c r="J8" s="381">
        <f t="shared" si="0"/>
        <v>0</v>
      </c>
    </row>
    <row r="9" spans="1:10 16376:16376" ht="15" customHeight="1">
      <c r="A9" s="10" t="s">
        <v>75</v>
      </c>
      <c r="B9" s="9" t="s">
        <v>182</v>
      </c>
      <c r="C9" s="5">
        <f t="shared" si="1"/>
        <v>0</v>
      </c>
      <c r="D9" s="3">
        <v>0</v>
      </c>
      <c r="E9" s="3">
        <v>0</v>
      </c>
      <c r="F9" s="381"/>
      <c r="G9" s="381"/>
      <c r="I9" s="381"/>
      <c r="J9" s="381">
        <f t="shared" si="0"/>
        <v>0</v>
      </c>
      <c r="XEV9" s="3"/>
    </row>
    <row r="10" spans="1:10 16376:16376" ht="15" customHeight="1">
      <c r="A10" s="10">
        <v>4</v>
      </c>
      <c r="B10" s="203" t="s">
        <v>183</v>
      </c>
      <c r="C10" s="5">
        <f>+D10+E10</f>
        <v>2113772835</v>
      </c>
      <c r="D10" s="5">
        <f>+'Investment Securities'!C29</f>
        <v>2113772835</v>
      </c>
      <c r="E10" s="5">
        <f>+'Investment Securities'!D29</f>
        <v>0</v>
      </c>
      <c r="F10" s="381"/>
      <c r="I10" s="381"/>
      <c r="J10" s="381">
        <f t="shared" si="0"/>
        <v>0</v>
      </c>
    </row>
    <row r="11" spans="1:10 16376:16376" ht="15" customHeight="1">
      <c r="A11" s="10" t="s">
        <v>76</v>
      </c>
      <c r="B11" s="284" t="s">
        <v>184</v>
      </c>
      <c r="C11" s="5">
        <f t="shared" ref="C11:C13" si="3">+D11+E11</f>
        <v>2166910000</v>
      </c>
      <c r="D11" s="5">
        <f>+'Investment Securities'!C26</f>
        <v>2166910000</v>
      </c>
      <c r="E11" s="5">
        <f>+'Investment Securities'!D26</f>
        <v>0</v>
      </c>
      <c r="F11" s="381"/>
      <c r="G11" s="381"/>
      <c r="I11" s="381"/>
      <c r="J11" s="381">
        <f t="shared" si="0"/>
        <v>0</v>
      </c>
    </row>
    <row r="12" spans="1:10 16376:16376" ht="25.5">
      <c r="A12" s="10" t="s">
        <v>20</v>
      </c>
      <c r="B12" s="9" t="s">
        <v>512</v>
      </c>
      <c r="C12" s="5">
        <f t="shared" si="3"/>
        <v>-53137165</v>
      </c>
      <c r="D12" s="5">
        <f>+'Investment Securities'!C27</f>
        <v>-53137165</v>
      </c>
      <c r="E12" s="5">
        <f>+'Investment Securities'!D27</f>
        <v>0</v>
      </c>
      <c r="F12" s="381"/>
      <c r="G12" s="381"/>
      <c r="I12" s="381"/>
      <c r="J12" s="381">
        <f t="shared" si="0"/>
        <v>0</v>
      </c>
    </row>
    <row r="13" spans="1:10 16376:16376" ht="15" customHeight="1">
      <c r="A13" s="10" t="s">
        <v>21</v>
      </c>
      <c r="B13" s="284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F13" s="381"/>
      <c r="G13" s="381"/>
      <c r="I13" s="381"/>
      <c r="J13" s="381">
        <f t="shared" si="0"/>
        <v>0</v>
      </c>
    </row>
    <row r="14" spans="1:10 16376:16376" ht="15" customHeight="1">
      <c r="A14" s="10">
        <v>5</v>
      </c>
      <c r="B14" s="203" t="s">
        <v>186</v>
      </c>
      <c r="C14" s="5">
        <f>+C15-C16</f>
        <v>251</v>
      </c>
      <c r="D14" s="5">
        <f>+'Investment Securities'!C39</f>
        <v>251</v>
      </c>
      <c r="E14" s="5">
        <f>+'Investment Securities'!D39</f>
        <v>0</v>
      </c>
      <c r="F14" s="381"/>
      <c r="G14" s="381"/>
      <c r="I14" s="381"/>
      <c r="J14" s="381">
        <f t="shared" si="0"/>
        <v>0</v>
      </c>
    </row>
    <row r="15" spans="1:10 16376:16376" ht="15" customHeight="1">
      <c r="A15" s="10" t="s">
        <v>187</v>
      </c>
      <c r="B15" s="284" t="s">
        <v>188</v>
      </c>
      <c r="C15" s="5">
        <f t="shared" si="1"/>
        <v>251</v>
      </c>
      <c r="D15" s="5">
        <f>+'Investment Securities'!C37</f>
        <v>251</v>
      </c>
      <c r="E15" s="5">
        <f>+'Investment Securities'!D37</f>
        <v>0</v>
      </c>
      <c r="F15" s="381"/>
      <c r="G15" s="381"/>
      <c r="I15" s="381"/>
      <c r="J15" s="381">
        <f t="shared" si="0"/>
        <v>0</v>
      </c>
    </row>
    <row r="16" spans="1:10 16376:16376" ht="15" customHeight="1">
      <c r="A16" s="10" t="s">
        <v>189</v>
      </c>
      <c r="B16" s="284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F16" s="381"/>
      <c r="G16" s="381"/>
      <c r="I16" s="381"/>
      <c r="J16" s="381">
        <f t="shared" si="0"/>
        <v>0</v>
      </c>
    </row>
    <row r="17" spans="1:10" ht="15" customHeight="1">
      <c r="A17" s="10">
        <v>6</v>
      </c>
      <c r="B17" s="203" t="s">
        <v>190</v>
      </c>
      <c r="C17" s="5">
        <f>+'Investment Securities'!B15</f>
        <v>391688858</v>
      </c>
      <c r="D17" s="5">
        <f>+'Investment Securities'!C15</f>
        <v>391688858</v>
      </c>
      <c r="E17" s="5">
        <f>+'Investment Securities'!D15</f>
        <v>0</v>
      </c>
      <c r="F17" s="381"/>
      <c r="G17" s="381"/>
      <c r="I17" s="381"/>
      <c r="J17" s="381">
        <f t="shared" si="0"/>
        <v>0</v>
      </c>
    </row>
    <row r="18" spans="1:10" ht="15" customHeight="1">
      <c r="A18" s="10" t="s">
        <v>191</v>
      </c>
      <c r="B18" s="284" t="s">
        <v>192</v>
      </c>
      <c r="C18" s="5">
        <f t="shared" si="1"/>
        <v>391688858</v>
      </c>
      <c r="D18" s="5">
        <f>+'Investment Securities'!C12</f>
        <v>391688858</v>
      </c>
      <c r="E18" s="5">
        <f>+'Investment Securities'!D12</f>
        <v>0</v>
      </c>
      <c r="F18" s="381"/>
      <c r="G18" s="381"/>
      <c r="I18" s="381"/>
      <c r="J18" s="381">
        <f t="shared" si="0"/>
        <v>0</v>
      </c>
    </row>
    <row r="19" spans="1:10" ht="15" customHeight="1">
      <c r="A19" s="10" t="s">
        <v>193</v>
      </c>
      <c r="B19" s="9" t="s">
        <v>511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F19" s="381"/>
      <c r="G19" s="381"/>
      <c r="I19" s="381"/>
      <c r="J19" s="381">
        <f t="shared" si="0"/>
        <v>0</v>
      </c>
    </row>
    <row r="20" spans="1:10" ht="15" customHeight="1">
      <c r="A20" s="10" t="s">
        <v>510</v>
      </c>
      <c r="B20" s="284" t="s">
        <v>182</v>
      </c>
      <c r="C20" s="5">
        <f t="shared" si="1"/>
        <v>0</v>
      </c>
      <c r="D20" s="5">
        <f>+'Investment Securities'!C14</f>
        <v>0</v>
      </c>
      <c r="E20" s="5">
        <f>+'Investment Securities'!D14</f>
        <v>0</v>
      </c>
      <c r="F20" s="381"/>
      <c r="G20" s="381"/>
      <c r="I20" s="381"/>
      <c r="J20" s="381">
        <f t="shared" si="0"/>
        <v>0</v>
      </c>
    </row>
    <row r="21" spans="1:10" ht="15" customHeight="1">
      <c r="A21" s="10">
        <v>7</v>
      </c>
      <c r="B21" s="203" t="s">
        <v>194</v>
      </c>
      <c r="C21" s="5">
        <f>+'Bank Assets Analysis'!S34</f>
        <v>0</v>
      </c>
      <c r="D21" s="5">
        <f>+'Bank Assets Analysis'!T34</f>
        <v>0</v>
      </c>
      <c r="E21" s="5">
        <f>+'Bank Assets Analysis'!U34</f>
        <v>0</v>
      </c>
      <c r="F21" s="381"/>
      <c r="G21" s="381"/>
      <c r="I21" s="381"/>
      <c r="J21" s="381">
        <f t="shared" si="0"/>
        <v>0</v>
      </c>
    </row>
    <row r="22" spans="1:10" ht="15" customHeight="1">
      <c r="A22" s="10" t="s">
        <v>195</v>
      </c>
      <c r="B22" s="284" t="s">
        <v>196</v>
      </c>
      <c r="C22" s="5">
        <f t="shared" si="1"/>
        <v>0</v>
      </c>
      <c r="D22" s="3">
        <v>0</v>
      </c>
      <c r="E22" s="3">
        <v>0</v>
      </c>
      <c r="F22" s="381"/>
      <c r="G22" s="381"/>
      <c r="I22" s="381"/>
      <c r="J22" s="381">
        <f t="shared" si="0"/>
        <v>0</v>
      </c>
    </row>
    <row r="23" spans="1:10" ht="15" customHeight="1">
      <c r="A23" s="10" t="s">
        <v>197</v>
      </c>
      <c r="B23" s="284" t="s">
        <v>185</v>
      </c>
      <c r="C23" s="5">
        <f t="shared" si="1"/>
        <v>0</v>
      </c>
      <c r="D23" s="3">
        <v>0</v>
      </c>
      <c r="E23" s="3">
        <v>0</v>
      </c>
      <c r="F23" s="381"/>
      <c r="G23" s="381"/>
      <c r="I23" s="381"/>
      <c r="J23" s="381">
        <f t="shared" si="0"/>
        <v>0</v>
      </c>
    </row>
    <row r="24" spans="1:10" ht="15" customHeight="1">
      <c r="A24" s="10">
        <v>8</v>
      </c>
      <c r="B24" s="203" t="s">
        <v>198</v>
      </c>
      <c r="C24" s="5">
        <f>+'Bank Assets Analysis'!S29+'Bank Assets Analysis'!S30+'Bank Assets Analysis'!S32</f>
        <v>12690227947</v>
      </c>
      <c r="D24" s="5">
        <f>+'Bank Assets Analysis'!T29+'Bank Assets Analysis'!T30+'Bank Assets Analysis'!T32</f>
        <v>8933517184</v>
      </c>
      <c r="E24" s="5">
        <f>+'Bank Assets Analysis'!U29+'Bank Assets Analysis'!U30+'Bank Assets Analysis'!U32</f>
        <v>3756710763</v>
      </c>
      <c r="G24" s="381"/>
      <c r="I24" s="381"/>
      <c r="J24" s="381">
        <f t="shared" si="0"/>
        <v>0</v>
      </c>
    </row>
    <row r="25" spans="1:10" ht="12.75">
      <c r="A25" s="10" t="s">
        <v>199</v>
      </c>
      <c r="B25" s="284" t="s">
        <v>200</v>
      </c>
      <c r="C25" s="5">
        <f t="shared" ref="C25:C26" si="4">+D25+E25</f>
        <v>12944272857</v>
      </c>
      <c r="D25" s="3">
        <v>9106658434</v>
      </c>
      <c r="E25" s="3">
        <v>3837614423</v>
      </c>
      <c r="F25" s="381"/>
      <c r="G25" s="381"/>
      <c r="I25" s="381"/>
      <c r="J25" s="381">
        <f t="shared" si="0"/>
        <v>0</v>
      </c>
    </row>
    <row r="26" spans="1:10" ht="15" customHeight="1">
      <c r="A26" s="10" t="s">
        <v>201</v>
      </c>
      <c r="B26" s="284" t="s">
        <v>182</v>
      </c>
      <c r="C26" s="5">
        <f t="shared" si="4"/>
        <v>254044910</v>
      </c>
      <c r="D26" s="3">
        <v>173141250</v>
      </c>
      <c r="E26" s="3">
        <v>80903660</v>
      </c>
      <c r="F26" s="381"/>
      <c r="G26" s="381"/>
      <c r="I26" s="381"/>
      <c r="J26" s="381">
        <f t="shared" si="0"/>
        <v>0</v>
      </c>
    </row>
    <row r="27" spans="1:10" ht="15" customHeight="1">
      <c r="A27" s="10">
        <v>9</v>
      </c>
      <c r="B27" s="203" t="s">
        <v>202</v>
      </c>
      <c r="C27" s="5">
        <f>+'Bank Assets Analysis'!S26+'Bank Assets Analysis'!S27</f>
        <v>38090268</v>
      </c>
      <c r="D27" s="5">
        <f>+'Bank Assets Analysis'!T26+'Bank Assets Analysis'!T27</f>
        <v>0</v>
      </c>
      <c r="E27" s="5">
        <f>+'Bank Assets Analysis'!U26+'Bank Assets Analysis'!U27</f>
        <v>38090268</v>
      </c>
      <c r="F27" s="381"/>
      <c r="G27" s="381"/>
      <c r="I27" s="381"/>
      <c r="J27" s="381">
        <f t="shared" si="0"/>
        <v>0</v>
      </c>
    </row>
    <row r="28" spans="1:10" ht="15" customHeight="1">
      <c r="A28" s="10" t="s">
        <v>203</v>
      </c>
      <c r="B28" s="284" t="s">
        <v>204</v>
      </c>
      <c r="C28" s="5">
        <f t="shared" si="1"/>
        <v>38090268</v>
      </c>
      <c r="D28" s="3">
        <v>0</v>
      </c>
      <c r="E28" s="3">
        <v>38090268</v>
      </c>
      <c r="F28" s="381"/>
      <c r="G28" s="381"/>
      <c r="I28" s="381"/>
      <c r="J28" s="381">
        <f t="shared" si="0"/>
        <v>0</v>
      </c>
    </row>
    <row r="29" spans="1:10" ht="15" customHeight="1">
      <c r="A29" s="10" t="s">
        <v>205</v>
      </c>
      <c r="B29" s="284" t="s">
        <v>182</v>
      </c>
      <c r="C29" s="5">
        <f t="shared" si="1"/>
        <v>0</v>
      </c>
      <c r="D29" s="3">
        <v>0</v>
      </c>
      <c r="E29" s="3">
        <v>0</v>
      </c>
      <c r="F29" s="381"/>
      <c r="G29" s="381"/>
      <c r="I29" s="381"/>
      <c r="J29" s="381">
        <f t="shared" si="0"/>
        <v>0</v>
      </c>
    </row>
    <row r="30" spans="1:10" ht="15" customHeight="1">
      <c r="A30" s="10">
        <v>10</v>
      </c>
      <c r="B30" s="284" t="s">
        <v>206</v>
      </c>
      <c r="C30" s="5">
        <f>+'Bank Assets Analysis'!S37</f>
        <v>2578342217</v>
      </c>
      <c r="D30" s="5">
        <f>+'Bank Assets Analysis'!T37</f>
        <v>2578342217</v>
      </c>
      <c r="E30" s="5">
        <f>+'Bank Assets Analysis'!U37</f>
        <v>0</v>
      </c>
      <c r="F30" s="381"/>
      <c r="G30" s="381"/>
      <c r="I30" s="381"/>
      <c r="J30" s="381">
        <f t="shared" si="0"/>
        <v>0</v>
      </c>
    </row>
    <row r="31" spans="1:10" ht="15" customHeight="1">
      <c r="A31" s="10">
        <v>11</v>
      </c>
      <c r="B31" s="284" t="s">
        <v>207</v>
      </c>
      <c r="C31" s="5">
        <f>+C32+C33-C34</f>
        <v>486332855</v>
      </c>
      <c r="D31" s="5">
        <f>+D32+D33-D34</f>
        <v>318212092</v>
      </c>
      <c r="E31" s="5">
        <f>+E32+E33-E34</f>
        <v>168120763</v>
      </c>
      <c r="F31" s="381"/>
      <c r="G31" s="381"/>
      <c r="I31" s="381"/>
      <c r="J31" s="381">
        <f t="shared" si="0"/>
        <v>0</v>
      </c>
    </row>
    <row r="32" spans="1:10" ht="15" customHeight="1">
      <c r="A32" s="10" t="s">
        <v>208</v>
      </c>
      <c r="B32" s="284" t="s">
        <v>209</v>
      </c>
      <c r="C32" s="5">
        <f t="shared" ref="C32:C34" si="5">+D32+E32</f>
        <v>476688413</v>
      </c>
      <c r="D32" s="3">
        <v>311169988</v>
      </c>
      <c r="E32" s="3">
        <v>165518425</v>
      </c>
      <c r="F32" s="381"/>
      <c r="G32" s="381"/>
      <c r="I32" s="381"/>
      <c r="J32" s="381">
        <f t="shared" si="0"/>
        <v>0</v>
      </c>
    </row>
    <row r="33" spans="1:10" ht="18" customHeight="1">
      <c r="A33" s="10" t="s">
        <v>210</v>
      </c>
      <c r="B33" s="284" t="s">
        <v>211</v>
      </c>
      <c r="C33" s="5">
        <f t="shared" si="5"/>
        <v>48870351</v>
      </c>
      <c r="D33" s="3">
        <v>37626771</v>
      </c>
      <c r="E33" s="3">
        <v>11243580</v>
      </c>
      <c r="F33" s="381"/>
      <c r="G33" s="381"/>
      <c r="I33" s="381"/>
      <c r="J33" s="381">
        <f t="shared" si="0"/>
        <v>0</v>
      </c>
    </row>
    <row r="34" spans="1:10" ht="18" customHeight="1">
      <c r="A34" s="10" t="s">
        <v>212</v>
      </c>
      <c r="B34" s="284" t="s">
        <v>182</v>
      </c>
      <c r="C34" s="5">
        <f t="shared" si="5"/>
        <v>39225909</v>
      </c>
      <c r="D34" s="3">
        <v>30584667</v>
      </c>
      <c r="E34" s="3">
        <v>8641242</v>
      </c>
      <c r="F34" s="381"/>
      <c r="G34" s="381"/>
      <c r="I34" s="381"/>
      <c r="J34" s="381">
        <f t="shared" si="0"/>
        <v>0</v>
      </c>
    </row>
    <row r="35" spans="1:10" ht="18" customHeight="1">
      <c r="A35" s="10">
        <v>12</v>
      </c>
      <c r="B35" s="203" t="s">
        <v>213</v>
      </c>
      <c r="C35" s="5">
        <f>+'Bank Assets Analysis'!S38</f>
        <v>348511262</v>
      </c>
      <c r="D35" s="5">
        <f>+'Bank Assets Analysis'!T38</f>
        <v>348511262</v>
      </c>
      <c r="E35" s="5">
        <f>+'Bank Assets Analysis'!U38</f>
        <v>0</v>
      </c>
      <c r="F35" s="381"/>
      <c r="G35" s="381"/>
      <c r="I35" s="381"/>
      <c r="J35" s="381">
        <f t="shared" si="0"/>
        <v>0</v>
      </c>
    </row>
    <row r="36" spans="1:10" ht="18" customHeight="1">
      <c r="A36" s="10" t="s">
        <v>214</v>
      </c>
      <c r="B36" s="284" t="s">
        <v>215</v>
      </c>
      <c r="C36" s="5">
        <f t="shared" ref="C36:C38" si="6">+D36+E36</f>
        <v>159319537</v>
      </c>
      <c r="D36" s="3">
        <v>159319537</v>
      </c>
      <c r="E36" s="3">
        <v>0</v>
      </c>
      <c r="F36" s="381"/>
      <c r="G36" s="381"/>
      <c r="I36" s="381"/>
      <c r="J36" s="381">
        <f t="shared" si="0"/>
        <v>0</v>
      </c>
    </row>
    <row r="37" spans="1:10" ht="18" customHeight="1">
      <c r="A37" s="10" t="s">
        <v>216</v>
      </c>
      <c r="B37" s="284" t="s">
        <v>217</v>
      </c>
      <c r="C37" s="5">
        <f t="shared" si="6"/>
        <v>230311372</v>
      </c>
      <c r="D37" s="3">
        <v>230311372</v>
      </c>
      <c r="E37" s="3">
        <v>0</v>
      </c>
      <c r="F37" s="381"/>
      <c r="G37" s="381"/>
      <c r="I37" s="381"/>
      <c r="J37" s="381">
        <f t="shared" si="0"/>
        <v>0</v>
      </c>
    </row>
    <row r="38" spans="1:10" ht="25.5">
      <c r="A38" s="10" t="s">
        <v>218</v>
      </c>
      <c r="B38" s="285" t="s">
        <v>513</v>
      </c>
      <c r="C38" s="5">
        <f t="shared" si="6"/>
        <v>41119647</v>
      </c>
      <c r="D38" s="3">
        <v>41119647</v>
      </c>
      <c r="E38" s="3">
        <v>0</v>
      </c>
      <c r="F38" s="381"/>
      <c r="G38" s="381"/>
      <c r="I38" s="381"/>
      <c r="J38" s="381">
        <f t="shared" si="0"/>
        <v>0</v>
      </c>
    </row>
    <row r="39" spans="1:10" ht="15" customHeight="1">
      <c r="A39" s="10">
        <v>13</v>
      </c>
      <c r="B39" s="284" t="s">
        <v>519</v>
      </c>
      <c r="C39" s="5">
        <f>+D39+E39</f>
        <v>152699838</v>
      </c>
      <c r="D39" s="5">
        <f>+D40+D41+D42</f>
        <v>152699838</v>
      </c>
      <c r="E39" s="5">
        <f>+E40+E41+E42</f>
        <v>0</v>
      </c>
      <c r="F39" s="382"/>
      <c r="G39" s="382"/>
      <c r="H39" s="383"/>
      <c r="I39" s="382"/>
      <c r="J39" s="382">
        <f>+C39-D39-E39</f>
        <v>0</v>
      </c>
    </row>
    <row r="40" spans="1:10" ht="15" customHeight="1">
      <c r="A40" s="10" t="s">
        <v>16</v>
      </c>
      <c r="B40" s="284" t="s">
        <v>520</v>
      </c>
      <c r="C40" s="5">
        <f>+D40+E40</f>
        <v>111553656</v>
      </c>
      <c r="D40" s="3">
        <v>111553656</v>
      </c>
      <c r="E40" s="3">
        <v>0</v>
      </c>
      <c r="F40" s="382"/>
      <c r="G40" s="382"/>
      <c r="H40" s="383"/>
      <c r="I40" s="382"/>
      <c r="J40" s="382">
        <f>+C40-D40-E40</f>
        <v>0</v>
      </c>
    </row>
    <row r="41" spans="1:10" ht="15" customHeight="1">
      <c r="A41" s="10" t="s">
        <v>172</v>
      </c>
      <c r="B41" s="284" t="s">
        <v>521</v>
      </c>
      <c r="C41" s="5">
        <f>+D41+E41</f>
        <v>31836628</v>
      </c>
      <c r="D41" s="3">
        <v>31836628</v>
      </c>
      <c r="E41" s="3">
        <v>0</v>
      </c>
      <c r="F41" s="382"/>
      <c r="G41" s="382"/>
      <c r="H41" s="383"/>
      <c r="I41" s="382"/>
      <c r="J41" s="382">
        <f>+C41-D41-E41</f>
        <v>0</v>
      </c>
    </row>
    <row r="42" spans="1:10" ht="20.25" customHeight="1">
      <c r="A42" s="10" t="s">
        <v>219</v>
      </c>
      <c r="B42" s="284" t="s">
        <v>522</v>
      </c>
      <c r="C42" s="5">
        <f>+D42+E42</f>
        <v>9309554</v>
      </c>
      <c r="D42" s="3">
        <v>9309554</v>
      </c>
      <c r="E42" s="3">
        <v>0</v>
      </c>
      <c r="F42" s="382"/>
      <c r="G42" s="382"/>
      <c r="H42" s="383"/>
      <c r="I42" s="382"/>
      <c r="J42" s="382">
        <f>+C42-D42-E42</f>
        <v>0</v>
      </c>
    </row>
    <row r="43" spans="1:10" ht="18" customHeight="1">
      <c r="A43" s="10">
        <v>14</v>
      </c>
      <c r="B43" s="203" t="s">
        <v>220</v>
      </c>
      <c r="C43" s="5">
        <f>+C44-C45+C46</f>
        <v>1524874715</v>
      </c>
      <c r="D43" s="5">
        <f>+D44-D45+D46</f>
        <v>1497357738</v>
      </c>
      <c r="E43" s="5">
        <f>+E44-E45+E46</f>
        <v>27516977</v>
      </c>
      <c r="F43" s="381"/>
      <c r="G43" s="381"/>
      <c r="I43" s="381"/>
      <c r="J43" s="381">
        <f t="shared" si="0"/>
        <v>0</v>
      </c>
    </row>
    <row r="44" spans="1:10" ht="18" customHeight="1">
      <c r="A44" s="10" t="s">
        <v>221</v>
      </c>
      <c r="B44" s="284" t="s">
        <v>222</v>
      </c>
      <c r="C44" s="19">
        <f t="shared" si="1"/>
        <v>1525252623</v>
      </c>
      <c r="D44" s="3">
        <v>1497734443</v>
      </c>
      <c r="E44" s="3">
        <v>27518180</v>
      </c>
      <c r="F44" s="381"/>
      <c r="G44" s="381"/>
      <c r="H44" s="381"/>
      <c r="I44" s="381"/>
      <c r="J44" s="381">
        <f t="shared" si="0"/>
        <v>0</v>
      </c>
    </row>
    <row r="45" spans="1:10" ht="15" customHeight="1">
      <c r="A45" s="10" t="s">
        <v>223</v>
      </c>
      <c r="B45" s="284" t="s">
        <v>182</v>
      </c>
      <c r="C45" s="19">
        <f t="shared" si="1"/>
        <v>377908</v>
      </c>
      <c r="D45" s="3">
        <v>376705</v>
      </c>
      <c r="E45" s="3">
        <v>1203</v>
      </c>
      <c r="F45" s="381"/>
      <c r="G45" s="381"/>
      <c r="H45" s="381"/>
      <c r="I45" s="381"/>
      <c r="J45" s="381">
        <f t="shared" si="0"/>
        <v>0</v>
      </c>
    </row>
    <row r="46" spans="1:10" ht="15" customHeight="1">
      <c r="A46" s="10" t="s">
        <v>224</v>
      </c>
      <c r="B46" s="284" t="s">
        <v>225</v>
      </c>
      <c r="C46" s="179">
        <v>0</v>
      </c>
      <c r="D46" s="5"/>
      <c r="E46" s="5"/>
      <c r="F46" s="381"/>
      <c r="G46" s="381"/>
      <c r="H46" s="381"/>
      <c r="I46" s="381"/>
      <c r="J46" s="381">
        <f>+C46-D46-E46</f>
        <v>0</v>
      </c>
    </row>
    <row r="47" spans="1:10" ht="15" customHeight="1">
      <c r="A47" s="286" t="s">
        <v>226</v>
      </c>
      <c r="B47" s="287" t="s">
        <v>227</v>
      </c>
      <c r="C47" s="20">
        <f>+D47+E47</f>
        <v>23251274687</v>
      </c>
      <c r="D47" s="20">
        <f>+D5+D6+D7+D10+D14+D17+D21+D24+D27+D30+D31+D35-D39+D43</f>
        <v>18342429406</v>
      </c>
      <c r="E47" s="20">
        <f>+E5+E6+E7+E10+E14+E17+E21+E24+E27+E30+E31+E35-E39+E43</f>
        <v>4908845281</v>
      </c>
      <c r="F47" s="381">
        <f>+'Bank Assets Analysis'!S47</f>
        <v>23251274687</v>
      </c>
      <c r="G47" s="381">
        <f>+'Bank Assets Analysis'!T47</f>
        <v>18342429406</v>
      </c>
      <c r="H47" s="381">
        <f>+'Bank Assets Analysis'!U47</f>
        <v>4908845281</v>
      </c>
      <c r="I47" s="381"/>
      <c r="J47" s="381">
        <f t="shared" si="0"/>
        <v>0</v>
      </c>
    </row>
    <row r="48" spans="1:10" ht="15" customHeight="1">
      <c r="A48" s="10"/>
      <c r="B48" s="288"/>
      <c r="C48" s="5"/>
      <c r="D48" s="5"/>
      <c r="E48" s="5"/>
      <c r="F48" s="381"/>
      <c r="G48" s="381"/>
      <c r="H48" s="381"/>
      <c r="I48" s="381"/>
      <c r="J48" s="381"/>
    </row>
    <row r="49" spans="1:10" ht="15" customHeight="1">
      <c r="A49" s="10"/>
      <c r="B49" s="289" t="s">
        <v>228</v>
      </c>
      <c r="C49" s="5"/>
      <c r="D49" s="5"/>
      <c r="E49" s="5"/>
      <c r="F49" s="381"/>
      <c r="G49" s="381"/>
      <c r="H49" s="381"/>
      <c r="I49" s="381"/>
      <c r="J49" s="381"/>
    </row>
    <row r="50" spans="1:10" ht="16.5" customHeight="1">
      <c r="A50" s="10" t="s">
        <v>229</v>
      </c>
      <c r="B50" s="203" t="s">
        <v>230</v>
      </c>
      <c r="C50" s="6">
        <f>+'Deposits by Client'!C11</f>
        <v>4052800159</v>
      </c>
      <c r="D50" s="22">
        <f>+'Bank Liabilities Analysis'!T15+'Bank Liabilities Analysis'!T7</f>
        <v>3420188590</v>
      </c>
      <c r="E50" s="6">
        <f>+'Bank Liabilities Analysis'!U15+'Bank Liabilities Analysis'!U7</f>
        <v>632611569</v>
      </c>
      <c r="F50" s="381"/>
      <c r="G50" s="381"/>
      <c r="H50" s="381"/>
      <c r="I50" s="381"/>
      <c r="J50" s="381">
        <f t="shared" ref="J50:J78" si="7">+C50-D50-E50</f>
        <v>0</v>
      </c>
    </row>
    <row r="51" spans="1:10" ht="16.5" customHeight="1">
      <c r="A51" s="10" t="s">
        <v>231</v>
      </c>
      <c r="B51" s="203" t="s">
        <v>232</v>
      </c>
      <c r="C51" s="6">
        <f>+'Deposits by Client'!C20</f>
        <v>9761874655</v>
      </c>
      <c r="D51" s="22">
        <f>+'Bank Liabilities Analysis'!T12</f>
        <v>8890716389</v>
      </c>
      <c r="E51" s="6">
        <f>+'Bank Liabilities Analysis'!U12</f>
        <v>871158266</v>
      </c>
      <c r="F51" s="381"/>
      <c r="G51" s="381"/>
      <c r="H51" s="381"/>
      <c r="I51" s="381"/>
      <c r="J51" s="381">
        <f t="shared" si="7"/>
        <v>0</v>
      </c>
    </row>
    <row r="52" spans="1:10" ht="16.5" customHeight="1">
      <c r="A52" s="10" t="s">
        <v>233</v>
      </c>
      <c r="B52" s="203" t="s">
        <v>234</v>
      </c>
      <c r="C52" s="6">
        <f>+'Bank Liabilities Analysis'!S21</f>
        <v>424511118</v>
      </c>
      <c r="D52" s="5">
        <f>+'Bank Liabilities Analysis'!T21</f>
        <v>424511118</v>
      </c>
      <c r="E52" s="5">
        <f>+'Bank Liabilities Analysis'!U21</f>
        <v>0</v>
      </c>
      <c r="F52" s="381"/>
      <c r="G52" s="381"/>
      <c r="H52" s="381"/>
      <c r="I52" s="381"/>
      <c r="J52" s="381">
        <f t="shared" si="7"/>
        <v>0</v>
      </c>
    </row>
    <row r="53" spans="1:10" ht="16.5" customHeight="1">
      <c r="A53" s="10" t="s">
        <v>235</v>
      </c>
      <c r="B53" s="203" t="s">
        <v>236</v>
      </c>
      <c r="C53" s="6">
        <f>+'Bank Liabilities Analysis'!S23</f>
        <v>1328179724</v>
      </c>
      <c r="D53" s="5">
        <f>+'Bank Liabilities Analysis'!T23</f>
        <v>592101871</v>
      </c>
      <c r="E53" s="5">
        <f>+'Bank Liabilities Analysis'!U23</f>
        <v>736077853</v>
      </c>
      <c r="F53" s="381"/>
      <c r="G53" s="381"/>
      <c r="H53" s="381"/>
      <c r="I53" s="381"/>
      <c r="J53" s="381">
        <f t="shared" si="7"/>
        <v>0</v>
      </c>
    </row>
    <row r="54" spans="1:10" ht="16.5" customHeight="1">
      <c r="A54" s="10" t="s">
        <v>237</v>
      </c>
      <c r="B54" s="283" t="s">
        <v>238</v>
      </c>
      <c r="C54" s="6">
        <f>+'Bank Liabilities Analysis'!S33</f>
        <v>801459811</v>
      </c>
      <c r="D54" s="5">
        <f>+'Bank Liabilities Analysis'!T33</f>
        <v>801459811</v>
      </c>
      <c r="E54" s="5">
        <f>+'Bank Liabilities Analysis'!U33</f>
        <v>0</v>
      </c>
      <c r="F54" s="381"/>
      <c r="G54" s="381"/>
      <c r="H54" s="381"/>
      <c r="I54" s="381"/>
      <c r="J54" s="381">
        <f t="shared" si="7"/>
        <v>0</v>
      </c>
    </row>
    <row r="55" spans="1:10" ht="16.5" customHeight="1">
      <c r="A55" s="10" t="s">
        <v>239</v>
      </c>
      <c r="B55" s="203" t="s">
        <v>240</v>
      </c>
      <c r="C55" s="6">
        <f t="shared" si="1"/>
        <v>3099281224</v>
      </c>
      <c r="D55" s="3">
        <v>638589830</v>
      </c>
      <c r="E55" s="3">
        <v>2460691394</v>
      </c>
      <c r="F55" s="381"/>
      <c r="G55" s="381"/>
      <c r="H55" s="381"/>
      <c r="I55" s="381"/>
      <c r="J55" s="381">
        <f t="shared" si="7"/>
        <v>0</v>
      </c>
    </row>
    <row r="56" spans="1:10" ht="16.5" customHeight="1">
      <c r="A56" s="10" t="s">
        <v>241</v>
      </c>
      <c r="B56" s="203" t="s">
        <v>242</v>
      </c>
      <c r="C56" s="6">
        <f t="shared" si="1"/>
        <v>0</v>
      </c>
      <c r="D56" s="3">
        <v>0</v>
      </c>
      <c r="E56" s="3">
        <v>0</v>
      </c>
      <c r="F56" s="381"/>
      <c r="G56" s="381"/>
      <c r="H56" s="381"/>
      <c r="I56" s="381"/>
      <c r="J56" s="381">
        <f t="shared" si="7"/>
        <v>0</v>
      </c>
    </row>
    <row r="57" spans="1:10" ht="16.5" customHeight="1">
      <c r="A57" s="10" t="s">
        <v>243</v>
      </c>
      <c r="B57" s="290" t="s">
        <v>514</v>
      </c>
      <c r="C57" s="6">
        <f t="shared" si="1"/>
        <v>167901638</v>
      </c>
      <c r="D57" s="3">
        <v>0</v>
      </c>
      <c r="E57" s="3">
        <v>167901638</v>
      </c>
      <c r="F57" s="381"/>
      <c r="G57" s="381"/>
      <c r="H57" s="381"/>
      <c r="I57" s="381"/>
      <c r="J57" s="381">
        <f t="shared" si="7"/>
        <v>0</v>
      </c>
    </row>
    <row r="58" spans="1:10" ht="16.5" customHeight="1">
      <c r="A58" s="10" t="s">
        <v>245</v>
      </c>
      <c r="B58" s="203" t="s">
        <v>246</v>
      </c>
      <c r="C58" s="6">
        <f>+'Bank Liabilities Analysis'!S38+'Bank Liabilities Analysis'!S39+'Bank Liabilities Analysis'!S40</f>
        <v>114739048</v>
      </c>
      <c r="D58" s="6">
        <f>+'Bank Liabilities Analysis'!T38+'Bank Liabilities Analysis'!T39+'Bank Liabilities Analysis'!T40</f>
        <v>58275691</v>
      </c>
      <c r="E58" s="6">
        <f>+'Bank Liabilities Analysis'!U38+'Bank Liabilities Analysis'!U39+'Bank Liabilities Analysis'!U40</f>
        <v>56463357</v>
      </c>
      <c r="F58" s="381"/>
      <c r="G58" s="381"/>
      <c r="H58" s="381"/>
      <c r="I58" s="381"/>
      <c r="J58" s="381">
        <f t="shared" si="7"/>
        <v>0</v>
      </c>
    </row>
    <row r="59" spans="1:10" ht="16.5" customHeight="1">
      <c r="A59" s="10" t="s">
        <v>247</v>
      </c>
      <c r="B59" s="203" t="s">
        <v>248</v>
      </c>
      <c r="C59" s="6">
        <f t="shared" si="1"/>
        <v>109486702</v>
      </c>
      <c r="D59" s="3">
        <v>109486702</v>
      </c>
      <c r="E59" s="3">
        <v>0</v>
      </c>
      <c r="F59" s="381"/>
      <c r="G59" s="381"/>
      <c r="H59" s="381"/>
      <c r="I59" s="381"/>
      <c r="J59" s="381">
        <f t="shared" si="7"/>
        <v>0</v>
      </c>
    </row>
    <row r="60" spans="1:10" ht="16.5" customHeight="1">
      <c r="A60" s="10" t="s">
        <v>249</v>
      </c>
      <c r="B60" s="203" t="s">
        <v>250</v>
      </c>
      <c r="C60" s="6">
        <f>+'Bank Liabilities Analysis'!S37</f>
        <v>787274</v>
      </c>
      <c r="D60" s="5">
        <f>+'Bank Liabilities Analysis'!T37</f>
        <v>35574</v>
      </c>
      <c r="E60" s="5">
        <f>+'Bank Liabilities Analysis'!U37</f>
        <v>751700</v>
      </c>
      <c r="F60" s="381"/>
      <c r="G60" s="381"/>
      <c r="H60" s="381"/>
      <c r="I60" s="381"/>
      <c r="J60" s="381">
        <f t="shared" si="7"/>
        <v>0</v>
      </c>
    </row>
    <row r="61" spans="1:10" ht="17.25" customHeight="1">
      <c r="A61" s="10" t="s">
        <v>251</v>
      </c>
      <c r="B61" s="283" t="s">
        <v>252</v>
      </c>
      <c r="C61" s="6">
        <f t="shared" si="1"/>
        <v>0</v>
      </c>
      <c r="D61" s="3">
        <v>0</v>
      </c>
      <c r="E61" s="3">
        <v>0</v>
      </c>
      <c r="F61" s="381"/>
      <c r="G61" s="381"/>
      <c r="H61" s="381"/>
      <c r="I61" s="381"/>
      <c r="J61" s="381">
        <f t="shared" si="7"/>
        <v>0</v>
      </c>
    </row>
    <row r="62" spans="1:10" ht="16.5" customHeight="1">
      <c r="A62" s="10" t="s">
        <v>253</v>
      </c>
      <c r="B62" s="203" t="s">
        <v>254</v>
      </c>
      <c r="C62" s="6">
        <f t="shared" si="1"/>
        <v>308012759</v>
      </c>
      <c r="D62" s="3">
        <v>199449324</v>
      </c>
      <c r="E62" s="3">
        <v>108563435</v>
      </c>
      <c r="F62" s="381"/>
      <c r="G62" s="381"/>
      <c r="H62" s="381"/>
      <c r="I62" s="381"/>
      <c r="J62" s="381">
        <f t="shared" si="7"/>
        <v>0</v>
      </c>
    </row>
    <row r="63" spans="1:10" ht="16.5" customHeight="1">
      <c r="A63" s="291" t="s">
        <v>255</v>
      </c>
      <c r="B63" s="292" t="s">
        <v>256</v>
      </c>
      <c r="C63" s="21">
        <f t="shared" si="1"/>
        <v>20169034112</v>
      </c>
      <c r="D63" s="21">
        <f>SUM(D50:D62)</f>
        <v>15134814900</v>
      </c>
      <c r="E63" s="21">
        <f>SUM(E50:E62)</f>
        <v>5034219212</v>
      </c>
      <c r="F63" s="380">
        <f>+'Bank Liabilities Analysis'!S42</f>
        <v>20169034112</v>
      </c>
      <c r="G63" s="380">
        <f>+'Bank Liabilities Analysis'!T42</f>
        <v>15134814900</v>
      </c>
      <c r="H63" s="380">
        <f>+'Bank Liabilities Analysis'!U42</f>
        <v>5034219212</v>
      </c>
      <c r="I63" s="381"/>
      <c r="J63" s="381">
        <f t="shared" si="7"/>
        <v>0</v>
      </c>
    </row>
    <row r="64" spans="1:10" ht="6.75" customHeight="1">
      <c r="A64" s="10"/>
      <c r="B64" s="293"/>
      <c r="C64" s="6"/>
      <c r="D64" s="6"/>
      <c r="E64" s="6"/>
      <c r="F64" s="381"/>
      <c r="G64" s="381"/>
      <c r="H64" s="381"/>
      <c r="I64" s="381"/>
      <c r="J64" s="381"/>
    </row>
    <row r="65" spans="1:13" ht="15" customHeight="1">
      <c r="A65" s="294"/>
      <c r="B65" s="289" t="s">
        <v>257</v>
      </c>
      <c r="C65" s="5"/>
      <c r="D65" s="5"/>
      <c r="E65" s="5"/>
      <c r="F65" s="381"/>
      <c r="G65" s="381"/>
      <c r="H65" s="381"/>
      <c r="I65" s="381"/>
      <c r="J65" s="381"/>
    </row>
    <row r="66" spans="1:13" ht="6.75" customHeight="1">
      <c r="A66" s="10"/>
      <c r="B66" s="293"/>
      <c r="C66" s="6"/>
      <c r="D66" s="6"/>
      <c r="E66" s="6"/>
      <c r="F66" s="381"/>
      <c r="G66" s="381"/>
      <c r="H66" s="381"/>
      <c r="I66" s="381"/>
      <c r="J66" s="381"/>
    </row>
    <row r="67" spans="1:13" ht="15" customHeight="1">
      <c r="A67" s="291" t="s">
        <v>258</v>
      </c>
      <c r="B67" s="203" t="s">
        <v>259</v>
      </c>
      <c r="C67" s="276">
        <f>+C68+C69</f>
        <v>2318223047</v>
      </c>
      <c r="D67" s="276">
        <f t="shared" ref="D67:E67" si="8">+D68+D69</f>
        <v>2318223047</v>
      </c>
      <c r="E67" s="276">
        <f t="shared" si="8"/>
        <v>0</v>
      </c>
      <c r="F67" s="381"/>
      <c r="G67" s="381"/>
      <c r="H67" s="381"/>
      <c r="I67" s="381"/>
      <c r="J67" s="381">
        <f t="shared" si="7"/>
        <v>0</v>
      </c>
    </row>
    <row r="68" spans="1:13" ht="15" customHeight="1">
      <c r="A68" s="294" t="s">
        <v>260</v>
      </c>
      <c r="B68" s="284" t="s">
        <v>261</v>
      </c>
      <c r="C68" s="5">
        <f t="shared" ref="C68:C70" si="9">+D68+E68</f>
        <v>2314533047</v>
      </c>
      <c r="D68" s="3">
        <v>2314533047</v>
      </c>
      <c r="E68" s="3">
        <v>0</v>
      </c>
      <c r="F68" s="381"/>
      <c r="G68" s="381"/>
      <c r="H68" s="381"/>
      <c r="I68" s="381"/>
      <c r="J68" s="381">
        <f t="shared" si="7"/>
        <v>0</v>
      </c>
    </row>
    <row r="69" spans="1:13" ht="15" customHeight="1">
      <c r="A69" s="10" t="s">
        <v>262</v>
      </c>
      <c r="B69" s="284" t="s">
        <v>263</v>
      </c>
      <c r="C69" s="5">
        <f t="shared" si="9"/>
        <v>3690000</v>
      </c>
      <c r="D69" s="3">
        <v>3690000</v>
      </c>
      <c r="E69" s="3">
        <v>0</v>
      </c>
      <c r="F69" s="381"/>
      <c r="G69" s="381"/>
      <c r="H69" s="381"/>
      <c r="I69" s="381"/>
      <c r="J69" s="381">
        <f t="shared" si="7"/>
        <v>0</v>
      </c>
    </row>
    <row r="70" spans="1:13" ht="15" customHeight="1">
      <c r="A70" s="10" t="s">
        <v>264</v>
      </c>
      <c r="B70" s="203" t="s">
        <v>517</v>
      </c>
      <c r="C70" s="5">
        <f t="shared" si="9"/>
        <v>3906139</v>
      </c>
      <c r="D70" s="3">
        <v>3906139</v>
      </c>
      <c r="E70" s="3">
        <v>0</v>
      </c>
      <c r="F70" s="381"/>
      <c r="G70" s="381"/>
      <c r="H70" s="381"/>
      <c r="I70" s="381"/>
      <c r="J70" s="381">
        <f t="shared" si="7"/>
        <v>0</v>
      </c>
    </row>
    <row r="71" spans="1:13" ht="15" customHeight="1">
      <c r="A71" s="10" t="s">
        <v>265</v>
      </c>
      <c r="B71" s="295" t="s">
        <v>266</v>
      </c>
      <c r="C71" s="276">
        <f>+C72+C73+C74</f>
        <v>556093546</v>
      </c>
      <c r="D71" s="276">
        <f>+D72+D73+D74</f>
        <v>556093546</v>
      </c>
      <c r="E71" s="276">
        <f>+E72+E73+E74</f>
        <v>0</v>
      </c>
      <c r="F71" s="381"/>
      <c r="G71" s="381"/>
      <c r="H71" s="381"/>
      <c r="I71" s="381"/>
      <c r="J71" s="381">
        <f t="shared" si="7"/>
        <v>0</v>
      </c>
    </row>
    <row r="72" spans="1:13" ht="15" customHeight="1">
      <c r="A72" s="10" t="s">
        <v>267</v>
      </c>
      <c r="B72" s="296" t="s">
        <v>268</v>
      </c>
      <c r="C72" s="6">
        <f t="shared" si="1"/>
        <v>552492626</v>
      </c>
      <c r="D72" s="3">
        <v>552492626</v>
      </c>
      <c r="E72" s="3">
        <v>0</v>
      </c>
      <c r="F72" s="381"/>
      <c r="G72" s="381"/>
      <c r="H72" s="381"/>
      <c r="I72" s="381"/>
      <c r="J72" s="381">
        <f t="shared" si="7"/>
        <v>0</v>
      </c>
    </row>
    <row r="73" spans="1:13" ht="15" customHeight="1">
      <c r="A73" s="10" t="s">
        <v>269</v>
      </c>
      <c r="B73" s="296" t="s">
        <v>271</v>
      </c>
      <c r="C73" s="5">
        <f t="shared" si="1"/>
        <v>0</v>
      </c>
      <c r="D73" s="3">
        <v>0</v>
      </c>
      <c r="E73" s="3">
        <v>0</v>
      </c>
      <c r="F73" s="381"/>
      <c r="G73" s="381"/>
      <c r="H73" s="381"/>
      <c r="I73" s="381"/>
      <c r="J73" s="381">
        <f t="shared" si="7"/>
        <v>0</v>
      </c>
    </row>
    <row r="74" spans="1:13" ht="15" customHeight="1">
      <c r="A74" s="10" t="s">
        <v>270</v>
      </c>
      <c r="B74" s="296" t="s">
        <v>515</v>
      </c>
      <c r="C74" s="6">
        <f t="shared" si="1"/>
        <v>3600920</v>
      </c>
      <c r="D74" s="3">
        <v>3600920</v>
      </c>
      <c r="E74" s="3">
        <v>0</v>
      </c>
      <c r="F74" s="381"/>
      <c r="G74" s="381"/>
      <c r="H74" s="381"/>
      <c r="I74" s="381"/>
      <c r="J74" s="381">
        <f t="shared" si="7"/>
        <v>0</v>
      </c>
    </row>
    <row r="75" spans="1:13" ht="15" customHeight="1">
      <c r="A75" s="10" t="s">
        <v>272</v>
      </c>
      <c r="B75" s="295" t="s">
        <v>273</v>
      </c>
      <c r="C75" s="6">
        <f t="shared" si="1"/>
        <v>204017843</v>
      </c>
      <c r="D75" s="3">
        <v>204017843</v>
      </c>
      <c r="E75" s="3">
        <v>0</v>
      </c>
      <c r="F75" s="381"/>
      <c r="G75" s="381"/>
      <c r="H75" s="381"/>
      <c r="I75" s="381"/>
      <c r="J75" s="381">
        <f t="shared" si="7"/>
        <v>0</v>
      </c>
    </row>
    <row r="76" spans="1:13" ht="15" customHeight="1">
      <c r="A76" s="10" t="s">
        <v>274</v>
      </c>
      <c r="B76" s="296" t="s">
        <v>516</v>
      </c>
      <c r="C76" s="6">
        <f t="shared" si="1"/>
        <v>189972487</v>
      </c>
      <c r="D76" s="3">
        <v>189972487</v>
      </c>
      <c r="E76" s="3">
        <v>0</v>
      </c>
      <c r="F76" s="381"/>
      <c r="G76" s="381"/>
      <c r="H76" s="381"/>
      <c r="I76" s="381"/>
      <c r="J76" s="381">
        <f t="shared" si="7"/>
        <v>0</v>
      </c>
    </row>
    <row r="77" spans="1:13" ht="15" customHeight="1">
      <c r="A77" s="297" t="s">
        <v>275</v>
      </c>
      <c r="B77" s="292" t="s">
        <v>276</v>
      </c>
      <c r="C77" s="275">
        <f>+C67+C70+C71+C75</f>
        <v>3082240575</v>
      </c>
      <c r="D77" s="275">
        <f>+D67+D70+D71+D75</f>
        <v>3082240575</v>
      </c>
      <c r="E77" s="275">
        <f>+E67+E70+E71+E75</f>
        <v>0</v>
      </c>
      <c r="F77" s="381"/>
      <c r="G77" s="381"/>
      <c r="H77" s="381"/>
      <c r="I77" s="381"/>
      <c r="J77" s="381">
        <f t="shared" si="7"/>
        <v>0</v>
      </c>
    </row>
    <row r="78" spans="1:13" ht="15" customHeight="1">
      <c r="A78" s="297" t="s">
        <v>277</v>
      </c>
      <c r="B78" s="298" t="s">
        <v>278</v>
      </c>
      <c r="C78" s="20">
        <f>+D78+E78</f>
        <v>23251274687</v>
      </c>
      <c r="D78" s="20">
        <f>+D63+D77</f>
        <v>18217055475</v>
      </c>
      <c r="E78" s="20">
        <f>+E63+E77</f>
        <v>5034219212</v>
      </c>
      <c r="F78" s="381"/>
      <c r="G78" s="381"/>
      <c r="H78" s="381"/>
      <c r="I78" s="381"/>
      <c r="J78" s="381">
        <f t="shared" si="7"/>
        <v>0</v>
      </c>
    </row>
    <row r="79" spans="1:13" ht="15" customHeight="1">
      <c r="F79" s="381"/>
      <c r="G79" s="381"/>
      <c r="H79" s="381"/>
      <c r="I79" s="381"/>
      <c r="J79" s="381"/>
    </row>
    <row r="80" spans="1:13" ht="15" customHeight="1">
      <c r="B80" s="4" t="s">
        <v>536</v>
      </c>
      <c r="F80" s="381"/>
      <c r="G80" s="381"/>
      <c r="H80" s="381"/>
      <c r="I80" s="381"/>
      <c r="J80" s="381"/>
      <c r="M80" s="144"/>
    </row>
    <row r="81" spans="1:24" ht="11.25" customHeight="1">
      <c r="B81" s="4"/>
      <c r="F81" s="381"/>
      <c r="G81" s="381"/>
      <c r="H81" s="381"/>
      <c r="I81" s="381"/>
      <c r="J81" s="381"/>
      <c r="M81" s="144"/>
    </row>
    <row r="82" spans="1:24" ht="15" customHeight="1">
      <c r="B82" s="4" t="s">
        <v>535</v>
      </c>
      <c r="F82" s="381"/>
      <c r="G82" s="381"/>
      <c r="H82" s="381"/>
      <c r="I82" s="381"/>
      <c r="J82" s="381"/>
      <c r="M82" s="144"/>
    </row>
    <row r="83" spans="1:24" ht="11.25" customHeight="1">
      <c r="B83" s="4"/>
      <c r="F83" s="381"/>
      <c r="G83" s="381"/>
      <c r="H83" s="381"/>
      <c r="I83" s="381"/>
      <c r="J83" s="381"/>
    </row>
    <row r="84" spans="1:24" ht="15" customHeight="1">
      <c r="B84" s="4"/>
      <c r="F84" s="381"/>
      <c r="G84" s="381"/>
      <c r="H84" s="381"/>
      <c r="I84" s="381"/>
      <c r="J84" s="381"/>
    </row>
    <row r="85" spans="1:24" ht="15" customHeight="1">
      <c r="F85" s="381"/>
      <c r="G85" s="381"/>
      <c r="H85" s="381"/>
      <c r="I85" s="381"/>
      <c r="J85" s="381"/>
    </row>
    <row r="86" spans="1:24" s="189" customFormat="1" ht="15" customHeight="1">
      <c r="A86" s="178"/>
      <c r="B86" s="178"/>
      <c r="C86" s="361">
        <f>+C47-C78</f>
        <v>0</v>
      </c>
      <c r="D86" s="178"/>
      <c r="E86" s="178"/>
      <c r="F86" s="381"/>
      <c r="G86" s="381"/>
      <c r="H86" s="381"/>
      <c r="I86" s="381"/>
      <c r="J86" s="381"/>
      <c r="K86" s="188"/>
      <c r="L86" s="18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</row>
    <row r="87" spans="1:24" s="189" customFormat="1" ht="15" customHeight="1">
      <c r="A87" s="178"/>
      <c r="B87" s="178"/>
      <c r="C87" s="178"/>
      <c r="D87" s="178"/>
      <c r="E87" s="178"/>
      <c r="F87" s="381"/>
      <c r="G87" s="381"/>
      <c r="H87" s="381"/>
      <c r="I87" s="381"/>
      <c r="J87" s="381"/>
      <c r="K87" s="188"/>
      <c r="L87" s="18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</row>
    <row r="88" spans="1:24" s="189" customFormat="1" ht="15" customHeight="1">
      <c r="A88" s="178"/>
      <c r="B88" s="178"/>
      <c r="C88" s="178"/>
      <c r="D88" s="178"/>
      <c r="E88" s="178"/>
      <c r="F88" s="381"/>
      <c r="G88" s="381"/>
      <c r="H88" s="381"/>
      <c r="I88" s="381"/>
      <c r="J88" s="381"/>
      <c r="K88" s="188"/>
      <c r="L88" s="18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</row>
    <row r="89" spans="1:24" ht="15" customHeight="1">
      <c r="F89" s="381"/>
      <c r="G89" s="381"/>
      <c r="H89" s="381"/>
      <c r="I89" s="381"/>
      <c r="J89" s="381"/>
    </row>
    <row r="90" spans="1:24" ht="15" customHeight="1">
      <c r="F90" s="381"/>
      <c r="G90" s="381"/>
      <c r="H90" s="381"/>
      <c r="I90" s="381"/>
      <c r="J90" s="381"/>
    </row>
    <row r="91" spans="1:24" ht="15" customHeight="1">
      <c r="G91" s="381"/>
      <c r="H91" s="381"/>
      <c r="I91" s="381"/>
      <c r="J91" s="381"/>
    </row>
  </sheetData>
  <sheetProtection password="CACA" sheet="1" objects="1" scenarios="1"/>
  <mergeCells count="1">
    <mergeCell ref="A1:D1"/>
  </mergeCells>
  <phoneticPr fontId="14" type="noConversion"/>
  <conditionalFormatting sqref="C7">
    <cfRule type="cellIs" dxfId="150" priority="17" operator="notEqual">
      <formula>C8-C9</formula>
    </cfRule>
    <cfRule type="cellIs" dxfId="149" priority="44" operator="notEqual">
      <formula>+$D$7+$E$7</formula>
    </cfRule>
  </conditionalFormatting>
  <conditionalFormatting sqref="C17">
    <cfRule type="cellIs" dxfId="148" priority="23" operator="notEqual">
      <formula>C18+C19-C20</formula>
    </cfRule>
  </conditionalFormatting>
  <conditionalFormatting sqref="C35">
    <cfRule type="cellIs" dxfId="147" priority="38" operator="notEqual">
      <formula>$C$36+$C$37-$C$38</formula>
    </cfRule>
  </conditionalFormatting>
  <conditionalFormatting sqref="C43">
    <cfRule type="cellIs" dxfId="146" priority="25" operator="notEqual">
      <formula>C44-C45+C46</formula>
    </cfRule>
  </conditionalFormatting>
  <conditionalFormatting sqref="C47">
    <cfRule type="cellIs" dxfId="145" priority="47" operator="notEqual">
      <formula>$F$47</formula>
    </cfRule>
  </conditionalFormatting>
  <conditionalFormatting sqref="C50:C57">
    <cfRule type="cellIs" dxfId="144" priority="13" operator="notEqual">
      <formula>D50+E50</formula>
    </cfRule>
  </conditionalFormatting>
  <conditionalFormatting sqref="C51">
    <cfRule type="cellIs" dxfId="143" priority="95" operator="notEqual">
      <formula>$D$51+$E$51</formula>
    </cfRule>
  </conditionalFormatting>
  <conditionalFormatting sqref="C59">
    <cfRule type="cellIs" dxfId="142" priority="56" operator="notEqual">
      <formula>D59+E59</formula>
    </cfRule>
  </conditionalFormatting>
  <conditionalFormatting sqref="C61:C62">
    <cfRule type="cellIs" dxfId="141" priority="2" operator="notEqual">
      <formula>D61+E61</formula>
    </cfRule>
  </conditionalFormatting>
  <conditionalFormatting sqref="C63">
    <cfRule type="cellIs" dxfId="140" priority="71" operator="notEqual">
      <formula>$F$63</formula>
    </cfRule>
    <cfRule type="cellIs" dxfId="139" priority="106" operator="notEqual">
      <formula>$D$63+$E$63</formula>
    </cfRule>
  </conditionalFormatting>
  <conditionalFormatting sqref="C78">
    <cfRule type="cellIs" dxfId="138" priority="70" operator="notEqual">
      <formula>$C$47</formula>
    </cfRule>
  </conditionalFormatting>
  <conditionalFormatting sqref="C21:D21">
    <cfRule type="cellIs" dxfId="137" priority="62" operator="notEqual">
      <formula>$D$22-$D$23</formula>
    </cfRule>
  </conditionalFormatting>
  <conditionalFormatting sqref="C39:D39">
    <cfRule type="cellIs" dxfId="136" priority="26" operator="notEqual">
      <formula>C40+C41+C42</formula>
    </cfRule>
  </conditionalFormatting>
  <conditionalFormatting sqref="C14:E14">
    <cfRule type="cellIs" dxfId="135" priority="20" operator="notEqual">
      <formula>C15-C16</formula>
    </cfRule>
  </conditionalFormatting>
  <conditionalFormatting sqref="C24:E24">
    <cfRule type="cellIs" dxfId="134" priority="30" operator="notEqual">
      <formula>C25-C26</formula>
    </cfRule>
  </conditionalFormatting>
  <conditionalFormatting sqref="C27:E27">
    <cfRule type="cellIs" dxfId="133" priority="3" operator="notEqual">
      <formula>C28-C29</formula>
    </cfRule>
  </conditionalFormatting>
  <conditionalFormatting sqref="D35">
    <cfRule type="cellIs" dxfId="132" priority="37" operator="notEqual">
      <formula>$D$36+$D$37-$D$38</formula>
    </cfRule>
  </conditionalFormatting>
  <conditionalFormatting sqref="D47">
    <cfRule type="cellIs" dxfId="131" priority="5" operator="notEqual">
      <formula>$G$47</formula>
    </cfRule>
  </conditionalFormatting>
  <conditionalFormatting sqref="D63">
    <cfRule type="cellIs" dxfId="130" priority="72" operator="notEqual">
      <formula>$G$63</formula>
    </cfRule>
  </conditionalFormatting>
  <conditionalFormatting sqref="E7">
    <cfRule type="cellIs" dxfId="129" priority="16" operator="notEqual">
      <formula>E8-E9</formula>
    </cfRule>
  </conditionalFormatting>
  <conditionalFormatting sqref="E21">
    <cfRule type="cellIs" dxfId="128" priority="61" operator="notEqual">
      <formula>$E$22-$E$23</formula>
    </cfRule>
  </conditionalFormatting>
  <conditionalFormatting sqref="E35">
    <cfRule type="cellIs" dxfId="127" priority="35" operator="notEqual">
      <formula>$E$36+$E$37-$E$38</formula>
    </cfRule>
  </conditionalFormatting>
  <conditionalFormatting sqref="E43">
    <cfRule type="cellIs" dxfId="126" priority="34" operator="notEqual">
      <formula>$E$44-$E$45+$E$46</formula>
    </cfRule>
  </conditionalFormatting>
  <conditionalFormatting sqref="E47">
    <cfRule type="cellIs" dxfId="125" priority="1" operator="notEqual">
      <formula>$H$47</formula>
    </cfRule>
  </conditionalFormatting>
  <conditionalFormatting sqref="E63">
    <cfRule type="cellIs" dxfId="124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D59:D62 D72:D76 D55:D57 D58:E58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24" customWidth="1"/>
    <col min="2" max="2" width="105.140625" style="24" customWidth="1"/>
    <col min="3" max="3" width="19.7109375" style="49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24"/>
  </cols>
  <sheetData>
    <row r="1" spans="1:8" ht="23.25" customHeight="1">
      <c r="A1" s="414" t="s">
        <v>152</v>
      </c>
      <c r="B1" s="415"/>
      <c r="C1" s="23" t="s">
        <v>151</v>
      </c>
    </row>
    <row r="2" spans="1:8">
      <c r="A2" s="51"/>
      <c r="B2" s="51"/>
      <c r="C2" s="51"/>
    </row>
    <row r="3" spans="1:8" ht="15.75">
      <c r="A3" s="25"/>
      <c r="B3" s="67" t="str">
        <f>Balance!B3</f>
        <v>Банк номи</v>
      </c>
      <c r="C3" s="66">
        <f>+Balance!D3</f>
        <v>45657</v>
      </c>
    </row>
    <row r="4" spans="1:8" s="26" customFormat="1" ht="43.5" customHeight="1">
      <c r="A4" s="89" t="s">
        <v>54</v>
      </c>
      <c r="B4" s="89" t="s">
        <v>31</v>
      </c>
      <c r="C4" s="89" t="s">
        <v>2</v>
      </c>
      <c r="D4" s="98"/>
      <c r="E4" s="99"/>
      <c r="F4" s="98"/>
      <c r="G4" s="98"/>
      <c r="H4" s="98"/>
    </row>
    <row r="5" spans="1:8" ht="12.75" customHeight="1">
      <c r="A5" s="39" t="s">
        <v>32</v>
      </c>
      <c r="B5" s="28" t="s">
        <v>77</v>
      </c>
      <c r="C5" s="29"/>
    </row>
    <row r="6" spans="1:8" ht="12.75" customHeight="1">
      <c r="A6" s="27">
        <v>1</v>
      </c>
      <c r="B6" s="28" t="s">
        <v>78</v>
      </c>
      <c r="C6" s="30"/>
    </row>
    <row r="7" spans="1:8" s="36" customFormat="1" ht="18" customHeight="1">
      <c r="A7" s="33" t="s">
        <v>81</v>
      </c>
      <c r="B7" s="34" t="s">
        <v>79</v>
      </c>
      <c r="C7" s="56" t="s">
        <v>72</v>
      </c>
      <c r="D7" s="100"/>
      <c r="E7" s="63"/>
      <c r="F7" s="100"/>
      <c r="G7" s="100"/>
      <c r="H7" s="100"/>
    </row>
    <row r="8" spans="1:8" s="26" customFormat="1" ht="18" customHeight="1">
      <c r="A8" s="38" t="s">
        <v>33</v>
      </c>
      <c r="B8" s="87" t="s">
        <v>34</v>
      </c>
      <c r="C8" s="52"/>
      <c r="D8" s="98"/>
      <c r="E8" s="99"/>
      <c r="F8" s="98"/>
      <c r="G8" s="98"/>
      <c r="H8" s="98"/>
    </row>
    <row r="9" spans="1:8" s="26" customFormat="1" ht="18" customHeight="1">
      <c r="A9" s="38" t="s">
        <v>35</v>
      </c>
      <c r="B9" s="87" t="s">
        <v>36</v>
      </c>
      <c r="C9" s="53"/>
      <c r="D9" s="98"/>
      <c r="E9" s="99"/>
      <c r="F9" s="98"/>
      <c r="G9" s="98"/>
      <c r="H9" s="98"/>
    </row>
    <row r="10" spans="1:8" s="36" customFormat="1" ht="18" customHeight="1">
      <c r="A10" s="33" t="s">
        <v>82</v>
      </c>
      <c r="B10" s="34" t="s">
        <v>80</v>
      </c>
      <c r="C10" s="60">
        <v>0</v>
      </c>
      <c r="D10" s="100"/>
      <c r="E10" s="63"/>
      <c r="F10" s="100"/>
      <c r="G10" s="100"/>
      <c r="H10" s="100"/>
    </row>
    <row r="11" spans="1:8" s="26" customFormat="1" ht="18" customHeight="1">
      <c r="A11" s="38" t="s">
        <v>83</v>
      </c>
      <c r="B11" s="87" t="s">
        <v>84</v>
      </c>
      <c r="C11" s="56" t="s">
        <v>72</v>
      </c>
      <c r="D11" s="98"/>
      <c r="E11" s="99"/>
      <c r="F11" s="98"/>
      <c r="G11" s="98"/>
      <c r="H11" s="98"/>
    </row>
    <row r="12" spans="1:8" s="26" customFormat="1" ht="18" customHeight="1">
      <c r="A12" s="38" t="s">
        <v>39</v>
      </c>
      <c r="B12" s="87" t="s">
        <v>42</v>
      </c>
      <c r="C12" s="62"/>
      <c r="D12" s="98"/>
      <c r="E12" s="99"/>
      <c r="F12" s="98"/>
      <c r="G12" s="98"/>
      <c r="H12" s="98"/>
    </row>
    <row r="13" spans="1:8" s="26" customFormat="1" ht="18" customHeight="1">
      <c r="A13" s="38" t="s">
        <v>35</v>
      </c>
      <c r="B13" s="87" t="s">
        <v>43</v>
      </c>
      <c r="C13" s="62"/>
      <c r="D13" s="98"/>
      <c r="E13" s="99"/>
      <c r="F13" s="98"/>
      <c r="G13" s="98"/>
      <c r="H13" s="98"/>
    </row>
    <row r="14" spans="1:8" s="36" customFormat="1" ht="18" customHeight="1">
      <c r="A14" s="44" t="s">
        <v>37</v>
      </c>
      <c r="B14" s="85" t="s">
        <v>85</v>
      </c>
      <c r="C14" s="59"/>
      <c r="D14" s="100"/>
      <c r="E14" s="63"/>
      <c r="F14" s="100"/>
      <c r="G14" s="100"/>
      <c r="H14" s="100"/>
    </row>
    <row r="15" spans="1:8" s="36" customFormat="1" ht="18" customHeight="1">
      <c r="A15" s="44" t="s">
        <v>44</v>
      </c>
      <c r="B15" s="85" t="s">
        <v>86</v>
      </c>
      <c r="C15" s="59"/>
      <c r="D15" s="100"/>
      <c r="E15" s="63"/>
      <c r="F15" s="100"/>
      <c r="G15" s="100"/>
      <c r="H15" s="100"/>
    </row>
    <row r="16" spans="1:8" s="26" customFormat="1" ht="18" customHeight="1">
      <c r="A16" s="38" t="s">
        <v>87</v>
      </c>
      <c r="B16" s="87" t="s">
        <v>45</v>
      </c>
      <c r="C16" s="60"/>
      <c r="D16" s="98"/>
      <c r="E16" s="99"/>
      <c r="F16" s="98"/>
      <c r="G16" s="98"/>
      <c r="H16" s="98"/>
    </row>
    <row r="17" spans="1:8" s="26" customFormat="1" ht="18" customHeight="1">
      <c r="A17" s="38" t="s">
        <v>88</v>
      </c>
      <c r="B17" s="87" t="s">
        <v>3</v>
      </c>
      <c r="C17" s="60"/>
      <c r="D17" s="98"/>
      <c r="E17" s="99"/>
      <c r="F17" s="98"/>
      <c r="G17" s="98"/>
      <c r="H17" s="98"/>
    </row>
    <row r="18" spans="1:8" s="26" customFormat="1" ht="18" customHeight="1">
      <c r="A18" s="38"/>
      <c r="B18" s="87" t="s">
        <v>89</v>
      </c>
      <c r="C18" s="56" t="s">
        <v>72</v>
      </c>
      <c r="D18" s="98"/>
      <c r="E18" s="99"/>
      <c r="F18" s="98"/>
      <c r="G18" s="98"/>
      <c r="H18" s="98"/>
    </row>
    <row r="19" spans="1:8" s="26" customFormat="1" ht="18" customHeight="1">
      <c r="A19" s="38" t="s">
        <v>117</v>
      </c>
      <c r="B19" s="87" t="s">
        <v>90</v>
      </c>
      <c r="C19" s="56" t="s">
        <v>72</v>
      </c>
      <c r="D19" s="98"/>
      <c r="E19" s="99"/>
      <c r="F19" s="98"/>
      <c r="G19" s="98"/>
      <c r="H19" s="98"/>
    </row>
    <row r="20" spans="1:8" s="36" customFormat="1" ht="18" customHeight="1">
      <c r="A20" s="81" t="s">
        <v>39</v>
      </c>
      <c r="B20" s="146" t="s">
        <v>47</v>
      </c>
      <c r="C20" s="59"/>
      <c r="D20" s="100"/>
      <c r="E20" s="63"/>
      <c r="F20" s="100"/>
      <c r="G20" s="100"/>
      <c r="H20" s="100"/>
    </row>
    <row r="21" spans="1:8" s="35" customFormat="1" ht="25.5">
      <c r="A21" s="81" t="s">
        <v>35</v>
      </c>
      <c r="B21" s="85" t="s">
        <v>12</v>
      </c>
      <c r="C21" s="59"/>
      <c r="D21" s="100"/>
      <c r="E21" s="63"/>
      <c r="F21" s="100"/>
      <c r="G21" s="100"/>
      <c r="H21" s="100"/>
    </row>
    <row r="22" spans="1:8" s="36" customFormat="1" ht="18" customHeight="1">
      <c r="A22" s="81" t="s">
        <v>37</v>
      </c>
      <c r="B22" s="85" t="s">
        <v>4</v>
      </c>
      <c r="C22" s="59"/>
      <c r="D22" s="100"/>
      <c r="E22" s="63"/>
      <c r="F22" s="100"/>
      <c r="G22" s="100"/>
      <c r="H22" s="100"/>
    </row>
    <row r="23" spans="1:8" s="36" customFormat="1" ht="15" customHeight="1">
      <c r="A23" s="33" t="s">
        <v>91</v>
      </c>
      <c r="B23" s="34" t="s">
        <v>92</v>
      </c>
      <c r="C23" s="56" t="s">
        <v>72</v>
      </c>
      <c r="D23" s="100"/>
      <c r="E23" s="63"/>
      <c r="F23" s="100"/>
      <c r="G23" s="100"/>
      <c r="H23" s="100"/>
    </row>
    <row r="24" spans="1:8" ht="16.5" customHeight="1">
      <c r="A24" s="27">
        <v>2</v>
      </c>
      <c r="B24" s="37" t="s">
        <v>93</v>
      </c>
      <c r="C24" s="31"/>
    </row>
    <row r="25" spans="1:8" s="36" customFormat="1" ht="18" customHeight="1">
      <c r="A25" s="44" t="s">
        <v>94</v>
      </c>
      <c r="B25" s="85" t="s">
        <v>38</v>
      </c>
      <c r="C25" s="83">
        <f>+C26+C27</f>
        <v>0</v>
      </c>
      <c r="D25" s="100"/>
      <c r="E25" s="63"/>
      <c r="F25" s="100"/>
      <c r="G25" s="100"/>
      <c r="H25" s="100"/>
    </row>
    <row r="26" spans="1:8" s="36" customFormat="1" ht="18" customHeight="1">
      <c r="A26" s="44" t="s">
        <v>39</v>
      </c>
      <c r="B26" s="85" t="s">
        <v>40</v>
      </c>
      <c r="C26" s="59"/>
      <c r="D26" s="100"/>
      <c r="E26" s="63"/>
      <c r="F26" s="100"/>
      <c r="G26" s="100"/>
      <c r="H26" s="100"/>
    </row>
    <row r="27" spans="1:8" s="36" customFormat="1" ht="18" customHeight="1">
      <c r="A27" s="44" t="s">
        <v>35</v>
      </c>
      <c r="B27" s="85" t="s">
        <v>41</v>
      </c>
      <c r="C27" s="59"/>
      <c r="D27" s="100"/>
      <c r="E27" s="63"/>
      <c r="F27" s="100"/>
      <c r="G27" s="100"/>
      <c r="H27" s="100"/>
    </row>
    <row r="28" spans="1:8" s="36" customFormat="1" ht="18" customHeight="1">
      <c r="A28" s="44" t="s">
        <v>95</v>
      </c>
      <c r="B28" s="85" t="s">
        <v>96</v>
      </c>
      <c r="C28" s="59">
        <v>0</v>
      </c>
      <c r="D28" s="100"/>
      <c r="E28" s="63"/>
      <c r="F28" s="100"/>
      <c r="G28" s="100"/>
      <c r="H28" s="100"/>
    </row>
    <row r="29" spans="1:8">
      <c r="A29" s="38" t="s">
        <v>97</v>
      </c>
      <c r="B29" s="86" t="s">
        <v>98</v>
      </c>
      <c r="C29" s="54">
        <v>0</v>
      </c>
    </row>
    <row r="30" spans="1:8" s="36" customFormat="1" ht="29.25" customHeight="1">
      <c r="A30" s="44" t="s">
        <v>99</v>
      </c>
      <c r="B30" s="85" t="s">
        <v>11</v>
      </c>
      <c r="C30" s="59">
        <v>0</v>
      </c>
      <c r="D30" s="100"/>
      <c r="E30" s="63"/>
      <c r="F30" s="100"/>
      <c r="G30" s="100"/>
      <c r="H30" s="100"/>
    </row>
    <row r="31" spans="1:8" s="40" customFormat="1">
      <c r="A31" s="39" t="s">
        <v>46</v>
      </c>
      <c r="B31" s="64" t="s">
        <v>100</v>
      </c>
      <c r="C31" s="61">
        <f>+C25+C28+C29+C30</f>
        <v>0</v>
      </c>
      <c r="D31" s="101"/>
      <c r="E31" s="102"/>
      <c r="F31" s="103"/>
      <c r="G31" s="103"/>
      <c r="H31" s="103"/>
    </row>
    <row r="32" spans="1:8" s="40" customFormat="1" ht="16.5" customHeight="1">
      <c r="A32" s="39" t="s">
        <v>48</v>
      </c>
      <c r="B32" s="55" t="s">
        <v>101</v>
      </c>
      <c r="C32" s="56" t="s">
        <v>72</v>
      </c>
      <c r="D32" s="103"/>
      <c r="E32" s="102"/>
      <c r="F32" s="103"/>
      <c r="G32" s="103"/>
      <c r="H32" s="103"/>
    </row>
    <row r="33" spans="1:8" s="42" customFormat="1" ht="13.5" customHeight="1">
      <c r="A33" s="41"/>
      <c r="B33" s="41" t="s">
        <v>50</v>
      </c>
      <c r="C33" s="32"/>
      <c r="D33" s="104"/>
      <c r="E33" s="105"/>
      <c r="F33" s="104"/>
      <c r="G33" s="104"/>
      <c r="H33" s="106"/>
    </row>
    <row r="34" spans="1:8" s="36" customFormat="1" ht="18" customHeight="1">
      <c r="A34" s="44" t="s">
        <v>102</v>
      </c>
      <c r="B34" s="145" t="s">
        <v>160</v>
      </c>
      <c r="C34" s="59"/>
      <c r="D34" s="100"/>
      <c r="E34" s="63"/>
      <c r="F34" s="100"/>
      <c r="G34" s="100"/>
      <c r="H34" s="100"/>
    </row>
    <row r="35" spans="1:8" s="36" customFormat="1" ht="25.5">
      <c r="A35" s="44" t="s">
        <v>103</v>
      </c>
      <c r="B35" s="85" t="s">
        <v>13</v>
      </c>
      <c r="C35" s="125" t="e">
        <f>IF(Balance!#REF!&lt;(C43*1.25%),Balance!#REF!,(C43*1.25%))</f>
        <v>#REF!</v>
      </c>
      <c r="D35" s="100"/>
      <c r="E35" s="63"/>
      <c r="F35" s="100"/>
      <c r="G35" s="100"/>
      <c r="H35" s="100"/>
    </row>
    <row r="36" spans="1:8" s="36" customFormat="1" ht="18" customHeight="1">
      <c r="A36" s="44" t="s">
        <v>104</v>
      </c>
      <c r="B36" s="85" t="s">
        <v>5</v>
      </c>
      <c r="C36" s="59"/>
      <c r="D36" s="100"/>
      <c r="E36" s="63"/>
      <c r="F36" s="100"/>
      <c r="G36" s="100"/>
      <c r="H36" s="100"/>
    </row>
    <row r="37" spans="1:8" s="36" customFormat="1" ht="18" customHeight="1">
      <c r="A37" s="44" t="s">
        <v>105</v>
      </c>
      <c r="B37" s="85" t="s">
        <v>106</v>
      </c>
      <c r="C37" s="59"/>
      <c r="D37" s="100"/>
      <c r="E37" s="63"/>
      <c r="F37" s="100"/>
      <c r="G37" s="100"/>
      <c r="H37" s="100"/>
    </row>
    <row r="38" spans="1:8" s="36" customFormat="1" ht="18" customHeight="1">
      <c r="A38" s="44" t="s">
        <v>107</v>
      </c>
      <c r="B38" s="85" t="s">
        <v>6</v>
      </c>
      <c r="C38" s="59"/>
      <c r="D38" s="100"/>
      <c r="E38" s="63"/>
      <c r="F38" s="100"/>
      <c r="G38" s="100"/>
      <c r="H38" s="100"/>
    </row>
    <row r="39" spans="1:8" s="36" customFormat="1" ht="18" customHeight="1">
      <c r="A39" s="44" t="s">
        <v>108</v>
      </c>
      <c r="B39" s="85" t="s">
        <v>51</v>
      </c>
      <c r="C39" s="56" t="s">
        <v>72</v>
      </c>
      <c r="D39" s="100"/>
      <c r="E39" s="63"/>
      <c r="F39" s="100"/>
      <c r="G39" s="100"/>
      <c r="H39" s="100"/>
    </row>
    <row r="40" spans="1:8" ht="18.75" customHeight="1">
      <c r="A40" s="38"/>
      <c r="B40" s="37" t="s">
        <v>23</v>
      </c>
      <c r="C40" s="32" t="e">
        <f>SUM(C34:C38)</f>
        <v>#REF!</v>
      </c>
      <c r="D40" s="101"/>
    </row>
    <row r="41" spans="1:8" s="26" customFormat="1" ht="22.5" customHeight="1">
      <c r="A41" s="41" t="s">
        <v>49</v>
      </c>
      <c r="B41" s="34" t="s">
        <v>24</v>
      </c>
      <c r="C41" s="56" t="s">
        <v>72</v>
      </c>
      <c r="D41" s="107"/>
      <c r="E41" s="99"/>
      <c r="F41" s="98"/>
      <c r="G41" s="98"/>
      <c r="H41" s="98"/>
    </row>
    <row r="42" spans="1:8" s="26" customFormat="1" ht="15.75" customHeight="1">
      <c r="A42" s="41" t="s">
        <v>52</v>
      </c>
      <c r="B42" s="34" t="s">
        <v>109</v>
      </c>
      <c r="C42" s="56" t="s">
        <v>72</v>
      </c>
      <c r="D42" s="107"/>
      <c r="E42" s="99"/>
      <c r="F42" s="98"/>
      <c r="G42" s="98"/>
      <c r="H42" s="98"/>
    </row>
    <row r="43" spans="1:8" s="26" customFormat="1" ht="21.75" customHeight="1">
      <c r="A43" s="41" t="s">
        <v>9</v>
      </c>
      <c r="B43" s="34" t="s">
        <v>110</v>
      </c>
      <c r="C43" s="43" t="e">
        <f>+C44+C45+C46</f>
        <v>#REF!</v>
      </c>
      <c r="D43" s="98"/>
      <c r="E43" s="99"/>
      <c r="F43" s="98"/>
      <c r="G43" s="98"/>
      <c r="H43" s="98"/>
    </row>
    <row r="44" spans="1:8" s="36" customFormat="1" ht="18" customHeight="1">
      <c r="A44" s="44" t="s">
        <v>39</v>
      </c>
      <c r="B44" s="85" t="s">
        <v>14</v>
      </c>
      <c r="C44" s="83" t="e">
        <f>+#REF!</f>
        <v>#REF!</v>
      </c>
      <c r="D44" s="100"/>
      <c r="E44" s="63"/>
      <c r="F44" s="100"/>
      <c r="G44" s="100"/>
      <c r="H44" s="100"/>
    </row>
    <row r="45" spans="1:8" s="36" customFormat="1" ht="18" customHeight="1">
      <c r="A45" s="44" t="s">
        <v>35</v>
      </c>
      <c r="B45" s="85" t="s">
        <v>7</v>
      </c>
      <c r="C45" s="83" t="e">
        <f>+#REF!</f>
        <v>#REF!</v>
      </c>
      <c r="D45" s="100"/>
      <c r="E45" s="63"/>
      <c r="F45" s="100"/>
      <c r="G45" s="100"/>
      <c r="H45" s="100"/>
    </row>
    <row r="46" spans="1:8" s="36" customFormat="1" ht="18" customHeight="1">
      <c r="A46" s="44" t="s">
        <v>37</v>
      </c>
      <c r="B46" s="85" t="s">
        <v>8</v>
      </c>
      <c r="C46" s="83" t="e">
        <f>+#REF!</f>
        <v>#REF!</v>
      </c>
      <c r="D46" s="100"/>
      <c r="E46" s="63" t="e">
        <f>+#REF!</f>
        <v>#REF!</v>
      </c>
      <c r="F46" s="100"/>
      <c r="G46" s="100"/>
      <c r="H46" s="100"/>
    </row>
    <row r="47" spans="1:8" s="42" customFormat="1" ht="21.75" customHeight="1">
      <c r="A47" s="41" t="s">
        <v>10</v>
      </c>
      <c r="B47" s="55" t="s">
        <v>111</v>
      </c>
      <c r="C47" s="56" t="s">
        <v>72</v>
      </c>
      <c r="D47" s="104"/>
      <c r="E47" s="105"/>
      <c r="F47" s="104"/>
      <c r="G47" s="104"/>
      <c r="H47" s="104"/>
    </row>
    <row r="48" spans="1:8" s="42" customFormat="1" ht="21.75" customHeight="1">
      <c r="A48" s="41" t="s">
        <v>53</v>
      </c>
      <c r="B48" s="55" t="s">
        <v>112</v>
      </c>
      <c r="C48" s="56" t="s">
        <v>72</v>
      </c>
      <c r="D48" s="104"/>
      <c r="E48" s="105"/>
      <c r="F48" s="104"/>
      <c r="G48" s="104"/>
      <c r="H48" s="104"/>
    </row>
    <row r="49" spans="1:8" s="42" customFormat="1" ht="21.75" customHeight="1">
      <c r="A49" s="41" t="s">
        <v>25</v>
      </c>
      <c r="B49" s="55" t="s">
        <v>113</v>
      </c>
      <c r="C49" s="56" t="s">
        <v>72</v>
      </c>
      <c r="D49" s="104"/>
      <c r="E49" s="105"/>
      <c r="F49" s="104"/>
      <c r="G49" s="104"/>
      <c r="H49" s="104"/>
    </row>
    <row r="50" spans="1:8" s="26" customFormat="1" ht="21.75" customHeight="1">
      <c r="A50" s="41" t="s">
        <v>26</v>
      </c>
      <c r="B50" s="34" t="s">
        <v>19</v>
      </c>
      <c r="C50" s="56" t="s">
        <v>72</v>
      </c>
      <c r="D50" s="98"/>
      <c r="E50" s="108"/>
      <c r="F50" s="107"/>
      <c r="G50" s="98"/>
      <c r="H50" s="98"/>
    </row>
    <row r="51" spans="1:8" s="47" customFormat="1" ht="21.75" customHeight="1">
      <c r="A51" s="44" t="s">
        <v>39</v>
      </c>
      <c r="B51" s="45" t="s">
        <v>29</v>
      </c>
      <c r="C51" s="46">
        <f>+Balance!C47</f>
        <v>23251274687</v>
      </c>
      <c r="D51" s="109"/>
      <c r="E51" s="110"/>
      <c r="F51" s="111"/>
      <c r="G51" s="109"/>
      <c r="H51" s="109"/>
    </row>
    <row r="52" spans="1:8" s="47" customFormat="1" ht="21.75" customHeight="1">
      <c r="A52" s="44" t="s">
        <v>35</v>
      </c>
      <c r="B52" s="45" t="s">
        <v>114</v>
      </c>
      <c r="C52" s="121" t="e">
        <f>SUM(#REF!)</f>
        <v>#REF!</v>
      </c>
      <c r="D52" s="111" t="e">
        <f>+#REF!</f>
        <v>#REF!</v>
      </c>
      <c r="E52" s="110"/>
      <c r="F52" s="111"/>
      <c r="G52" s="109"/>
      <c r="H52" s="109"/>
    </row>
    <row r="53" spans="1:8" s="47" customFormat="1" ht="21.75" customHeight="1">
      <c r="A53" s="44" t="s">
        <v>37</v>
      </c>
      <c r="B53" s="45" t="s">
        <v>115</v>
      </c>
      <c r="C53" s="123" t="e">
        <f>SUM(#REF!)</f>
        <v>#REF!</v>
      </c>
      <c r="D53" s="120"/>
      <c r="E53" s="122"/>
      <c r="F53" s="109"/>
      <c r="G53" s="109"/>
      <c r="H53" s="109"/>
    </row>
    <row r="54" spans="1:8" s="47" customFormat="1" ht="21.75" customHeight="1">
      <c r="A54" s="44" t="s">
        <v>44</v>
      </c>
      <c r="B54" s="45" t="s">
        <v>116</v>
      </c>
      <c r="C54" s="65" t="str">
        <f>+C19</f>
        <v>Формула</v>
      </c>
      <c r="D54" s="109"/>
      <c r="E54" s="112"/>
      <c r="F54" s="109"/>
      <c r="G54" s="109"/>
      <c r="H54" s="109"/>
    </row>
    <row r="55" spans="1:8" s="42" customFormat="1" ht="21.75" customHeight="1">
      <c r="A55" s="41" t="s">
        <v>27</v>
      </c>
      <c r="B55" s="55" t="s">
        <v>30</v>
      </c>
      <c r="C55" s="56" t="s">
        <v>72</v>
      </c>
      <c r="D55" s="104"/>
      <c r="E55" s="105"/>
      <c r="F55" s="104"/>
      <c r="G55" s="104"/>
      <c r="H55" s="104"/>
    </row>
    <row r="56" spans="1:8">
      <c r="B56" s="48"/>
    </row>
    <row r="57" spans="1:8" s="1" customFormat="1">
      <c r="A57" s="7"/>
      <c r="B57" s="2" t="s">
        <v>0</v>
      </c>
      <c r="D57" s="16"/>
      <c r="E57" s="16"/>
      <c r="F57" s="16"/>
      <c r="G57" s="16"/>
      <c r="H57" s="16"/>
    </row>
    <row r="58" spans="1:8" s="1" customFormat="1">
      <c r="A58" s="7"/>
      <c r="B58" s="2"/>
      <c r="D58" s="16"/>
      <c r="E58" s="16"/>
      <c r="F58" s="16"/>
      <c r="G58" s="16"/>
      <c r="H58" s="16"/>
    </row>
    <row r="59" spans="1:8" s="1" customFormat="1">
      <c r="A59" s="7"/>
      <c r="B59" s="2" t="s">
        <v>1</v>
      </c>
      <c r="D59" s="16"/>
      <c r="E59" s="16"/>
      <c r="F59" s="16"/>
      <c r="G59" s="16"/>
      <c r="H59" s="16"/>
    </row>
    <row r="60" spans="1:8">
      <c r="B60" s="5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Q75"/>
  <sheetViews>
    <sheetView view="pageBreakPreview" zoomScale="85" zoomScaleNormal="100" zoomScaleSheetLayoutView="85" workbookViewId="0">
      <pane xSplit="2" ySplit="3" topLeftCell="C16" activePane="bottomRight" state="frozen"/>
      <selection activeCell="B84" sqref="B84"/>
      <selection pane="topRight" activeCell="B84" sqref="B84"/>
      <selection pane="bottomLeft" activeCell="B84" sqref="B84"/>
      <selection pane="bottomRight" activeCell="C37" sqref="C37:E37"/>
    </sheetView>
  </sheetViews>
  <sheetFormatPr defaultRowHeight="12.75"/>
  <cols>
    <col min="1" max="1" width="7.42578125" style="17" customWidth="1"/>
    <col min="2" max="2" width="61.7109375" style="17" customWidth="1"/>
    <col min="3" max="3" width="17.42578125" style="17" customWidth="1"/>
    <col min="4" max="4" width="19.140625" customWidth="1"/>
    <col min="5" max="5" width="17.42578125" style="17" customWidth="1"/>
    <col min="6" max="8" width="15.140625" style="152" customWidth="1"/>
    <col min="9" max="9" width="14.28515625" style="152" customWidth="1"/>
    <col min="10" max="11" width="6.42578125" style="144" customWidth="1"/>
    <col min="12" max="12" width="9.140625" style="144"/>
    <col min="13" max="14" width="11.7109375" style="17" bestFit="1" customWidth="1"/>
    <col min="15" max="16384" width="9.140625" style="17"/>
  </cols>
  <sheetData>
    <row r="1" spans="1:17" s="142" customFormat="1" ht="34.5" customHeight="1">
      <c r="A1" s="420" t="s">
        <v>279</v>
      </c>
      <c r="B1" s="420"/>
      <c r="C1" s="420"/>
      <c r="D1" s="420"/>
      <c r="E1" s="204" t="s">
        <v>280</v>
      </c>
      <c r="F1" s="373"/>
      <c r="G1" s="373"/>
      <c r="H1" s="373"/>
      <c r="I1" s="374"/>
      <c r="J1" s="140"/>
      <c r="K1" s="140"/>
      <c r="L1" s="141"/>
    </row>
    <row r="2" spans="1:17" ht="20.25" customHeight="1">
      <c r="B2" s="78" t="str">
        <f>Balance!B3</f>
        <v>Банк номи</v>
      </c>
      <c r="D2" s="315">
        <f>+Balance!D3</f>
        <v>45657</v>
      </c>
      <c r="E2" s="76" t="s">
        <v>174</v>
      </c>
      <c r="I2" s="375"/>
      <c r="J2" s="143"/>
      <c r="K2" s="143"/>
    </row>
    <row r="3" spans="1:17" s="119" customFormat="1" ht="36.75" customHeight="1">
      <c r="A3" s="88" t="s">
        <v>54</v>
      </c>
      <c r="B3" s="88" t="s">
        <v>281</v>
      </c>
      <c r="C3" s="88" t="s">
        <v>176</v>
      </c>
      <c r="D3" s="88" t="s">
        <v>177</v>
      </c>
      <c r="E3" s="88" t="s">
        <v>282</v>
      </c>
      <c r="F3" s="152"/>
      <c r="G3" s="152"/>
      <c r="H3" s="152"/>
      <c r="I3" s="375"/>
      <c r="J3" s="143"/>
      <c r="K3" s="143"/>
      <c r="L3" s="144"/>
    </row>
    <row r="4" spans="1:17" s="119" customFormat="1" ht="17.25" customHeight="1">
      <c r="A4" s="155"/>
      <c r="B4" s="155" t="s">
        <v>283</v>
      </c>
      <c r="C4" s="416" t="s">
        <v>284</v>
      </c>
      <c r="D4" s="417"/>
      <c r="E4" s="418"/>
      <c r="F4" s="198"/>
      <c r="G4" s="198"/>
      <c r="H4" s="183"/>
      <c r="I4" s="184"/>
      <c r="J4" s="143"/>
      <c r="K4" s="143"/>
      <c r="L4" s="144"/>
    </row>
    <row r="5" spans="1:17" ht="16.5" customHeight="1">
      <c r="A5" s="205" t="s">
        <v>66</v>
      </c>
      <c r="B5" s="206" t="s">
        <v>285</v>
      </c>
      <c r="C5" s="218">
        <f>+'Bank Assets Analysis'!S6</f>
        <v>510025015</v>
      </c>
      <c r="D5" s="218">
        <f>+'Bank Assets Analysis'!T6</f>
        <v>230334913</v>
      </c>
      <c r="E5" s="218">
        <f>+'Bank Assets Analysis'!U6</f>
        <v>279690102</v>
      </c>
      <c r="F5" s="57"/>
      <c r="G5" s="198"/>
      <c r="H5" s="183"/>
      <c r="I5" s="184"/>
      <c r="J5" s="143"/>
      <c r="K5" s="143"/>
    </row>
    <row r="6" spans="1:17" ht="16.5" customHeight="1">
      <c r="A6" s="205" t="s">
        <v>67</v>
      </c>
      <c r="B6" s="206" t="s">
        <v>286</v>
      </c>
      <c r="C6" s="218">
        <f>+'Bank Assets Analysis'!S7</f>
        <v>1828213292</v>
      </c>
      <c r="D6" s="218">
        <f>+'Bank Assets Analysis'!T7</f>
        <v>1828213292</v>
      </c>
      <c r="E6" s="359">
        <f>+'Bank Assets Analysis'!U7</f>
        <v>0</v>
      </c>
      <c r="F6" s="57"/>
      <c r="G6" s="198"/>
      <c r="H6" s="183"/>
      <c r="I6" s="184"/>
      <c r="J6" s="143"/>
      <c r="K6" s="143"/>
    </row>
    <row r="7" spans="1:17" ht="25.5">
      <c r="A7" s="205" t="s">
        <v>68</v>
      </c>
      <c r="B7" s="206" t="s">
        <v>560</v>
      </c>
      <c r="C7" s="218">
        <f>+'Bank Assets Analysis'!S19</f>
        <v>2113772835</v>
      </c>
      <c r="D7" s="218">
        <f>+'Bank Assets Analysis'!T19</f>
        <v>2113772835</v>
      </c>
      <c r="E7" s="359">
        <f>+'Bank Assets Analysis'!U19</f>
        <v>0</v>
      </c>
      <c r="F7" s="57"/>
      <c r="G7" s="198"/>
      <c r="H7" s="183"/>
      <c r="I7" s="184"/>
      <c r="J7" s="143"/>
      <c r="K7" s="143"/>
    </row>
    <row r="8" spans="1:17" ht="39" customHeight="1">
      <c r="A8" s="205" t="s">
        <v>69</v>
      </c>
      <c r="B8" s="206" t="s">
        <v>287</v>
      </c>
      <c r="C8" s="218">
        <f>+E8</f>
        <v>541712643</v>
      </c>
      <c r="D8" s="157"/>
      <c r="E8" s="359">
        <f>+'Bank Assets Analysis'!D10+'Bank Assets Analysis'!D11</f>
        <v>541712643</v>
      </c>
      <c r="F8" s="57"/>
      <c r="G8" s="198"/>
      <c r="H8" s="183"/>
      <c r="I8" s="184"/>
      <c r="J8" s="143"/>
      <c r="K8" s="143"/>
    </row>
    <row r="9" spans="1:17" ht="38.25">
      <c r="A9" s="205" t="s">
        <v>487</v>
      </c>
      <c r="B9" s="206" t="s">
        <v>288</v>
      </c>
      <c r="C9" s="218">
        <f>+E9</f>
        <v>0</v>
      </c>
      <c r="D9" s="157"/>
      <c r="E9" s="359">
        <f>+'Bank Assets Analysis'!F13</f>
        <v>0</v>
      </c>
      <c r="F9" s="57"/>
      <c r="G9" s="198"/>
      <c r="H9" s="183"/>
      <c r="I9" s="184"/>
      <c r="J9" s="143"/>
      <c r="K9" s="143"/>
    </row>
    <row r="10" spans="1:17" ht="67.5" customHeight="1">
      <c r="A10" s="205" t="s">
        <v>488</v>
      </c>
      <c r="B10" s="206" t="s">
        <v>562</v>
      </c>
      <c r="C10" s="218">
        <f>+'Bank Assets Analysis'!S21</f>
        <v>0</v>
      </c>
      <c r="D10" s="218">
        <f>+'Bank Assets Analysis'!T21</f>
        <v>0</v>
      </c>
      <c r="E10" s="218">
        <f>+'Bank Assets Analysis'!U21</f>
        <v>0</v>
      </c>
      <c r="F10" s="57"/>
      <c r="G10" s="198"/>
      <c r="H10" s="183"/>
      <c r="I10" s="184"/>
      <c r="J10" s="143"/>
      <c r="K10" s="143"/>
    </row>
    <row r="11" spans="1:17" ht="28.5" customHeight="1">
      <c r="A11" s="205" t="s">
        <v>289</v>
      </c>
      <c r="B11" s="206" t="s">
        <v>561</v>
      </c>
      <c r="C11" s="218">
        <f>+'Bank Assets Analysis'!S20</f>
        <v>0</v>
      </c>
      <c r="D11" s="218">
        <f>+'Bank Assets Analysis'!T20</f>
        <v>0</v>
      </c>
      <c r="E11" s="218">
        <f>+'Bank Assets Analysis'!U20</f>
        <v>0</v>
      </c>
      <c r="F11" s="57"/>
      <c r="G11" s="198"/>
      <c r="H11" s="183"/>
      <c r="I11" s="184"/>
      <c r="J11" s="143"/>
      <c r="K11" s="143"/>
    </row>
    <row r="12" spans="1:17" customFormat="1" ht="19.5" customHeight="1">
      <c r="A12" s="205" t="s">
        <v>483</v>
      </c>
      <c r="B12" s="206" t="s">
        <v>290</v>
      </c>
      <c r="C12" s="218">
        <f>+D12</f>
        <v>0</v>
      </c>
      <c r="D12" s="218">
        <v>0</v>
      </c>
      <c r="E12" s="218"/>
      <c r="F12" s="57"/>
      <c r="G12" s="379" t="s">
        <v>534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</row>
    <row r="13" spans="1:17" customFormat="1" ht="41.25" customHeight="1">
      <c r="A13" s="205" t="s">
        <v>489</v>
      </c>
      <c r="B13" s="206" t="s">
        <v>559</v>
      </c>
      <c r="C13" s="218">
        <f>+'Bank Assets Analysis'!S24+('Bank Assets Analysis'!S23*0.8)</f>
        <v>0</v>
      </c>
      <c r="D13" s="218">
        <f>+'Bank Assets Analysis'!T24+('Bank Assets Analysis'!T23*0.8)</f>
        <v>0</v>
      </c>
      <c r="E13" s="218">
        <f>+'Bank Assets Analysis'!U24+('Bank Assets Analysis'!U23*0.8)</f>
        <v>0</v>
      </c>
      <c r="F13" s="57"/>
      <c r="G13" s="376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spans="1:17" customFormat="1" ht="25.5">
      <c r="A14" s="205" t="s">
        <v>291</v>
      </c>
      <c r="B14" s="206" t="s">
        <v>539</v>
      </c>
      <c r="C14" s="218">
        <f>+'Bank Assets Analysis'!S35</f>
        <v>0</v>
      </c>
      <c r="D14" s="218">
        <f>+'Bank Assets Analysis'!T35</f>
        <v>0</v>
      </c>
      <c r="E14" s="218">
        <f>+'Bank Assets Analysis'!U35</f>
        <v>0</v>
      </c>
      <c r="F14" s="57"/>
      <c r="G14" s="376"/>
      <c r="H14" s="68"/>
      <c r="I14" s="68"/>
      <c r="J14" s="68"/>
      <c r="K14" s="68"/>
      <c r="L14" s="68"/>
      <c r="M14" s="68"/>
      <c r="N14" s="68"/>
      <c r="O14" s="68"/>
      <c r="P14" s="68"/>
      <c r="Q14" s="68"/>
    </row>
    <row r="15" spans="1:17" customFormat="1" ht="18.75" customHeight="1">
      <c r="A15" s="205" t="s">
        <v>293</v>
      </c>
      <c r="B15" s="206" t="s">
        <v>292</v>
      </c>
      <c r="C15" s="218">
        <f>+'Bank Assets Analysis'!S18+'Bank Assets Analysis'!S46</f>
        <v>801459811</v>
      </c>
      <c r="D15" s="218">
        <f>+'Bank Assets Analysis'!T18+'Bank Assets Analysis'!T46</f>
        <v>801459811</v>
      </c>
      <c r="E15" s="218">
        <f>+'Bank Assets Analysis'!U18+'Bank Assets Analysis'!U46</f>
        <v>0</v>
      </c>
      <c r="F15" s="57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</row>
    <row r="16" spans="1:17" customFormat="1" ht="19.5" customHeight="1">
      <c r="A16" s="205" t="s">
        <v>542</v>
      </c>
      <c r="B16" s="207" t="s">
        <v>294</v>
      </c>
      <c r="C16" s="13">
        <f>SUM(C5:C14)-'Bank Liabilities Analysis'!S22-'Bank Liabilities Analysis'!T25-C15</f>
        <v>3767752856</v>
      </c>
      <c r="D16" s="13">
        <f>SUM(D5:D14)-'Bank Liabilities Analysis'!T22-'Bank Liabilities Analysis'!T25-D15</f>
        <v>2946350111</v>
      </c>
      <c r="E16" s="13">
        <f>SUM(E5:E14)-'Bank Liabilities Analysis'!U22-E15</f>
        <v>821402745</v>
      </c>
      <c r="F16" s="57"/>
      <c r="G16" s="198"/>
      <c r="H16" s="183"/>
      <c r="I16" s="184"/>
      <c r="J16" s="185"/>
      <c r="K16" s="185"/>
      <c r="L16" s="186"/>
    </row>
    <row r="17" spans="1:14" ht="13.5" customHeight="1">
      <c r="A17" s="277"/>
      <c r="B17" s="278" t="s">
        <v>295</v>
      </c>
      <c r="C17" s="208"/>
      <c r="D17" s="208"/>
      <c r="E17" s="344"/>
      <c r="F17" s="57"/>
      <c r="G17" s="198"/>
      <c r="H17" s="183"/>
      <c r="I17" s="184"/>
      <c r="J17" s="143"/>
      <c r="K17" s="143"/>
      <c r="M17" s="377"/>
      <c r="N17" s="378"/>
    </row>
    <row r="18" spans="1:14" ht="24.75" customHeight="1">
      <c r="A18" s="210" t="s">
        <v>73</v>
      </c>
      <c r="B18" s="211" t="s">
        <v>296</v>
      </c>
      <c r="C18" s="209">
        <f>IFERROR((+C19/C20),0)</f>
        <v>0.16783001894719055</v>
      </c>
      <c r="D18" s="209">
        <f>IFERROR((+D19/D20),0)</f>
        <v>0.16796962648175665</v>
      </c>
      <c r="E18" s="209">
        <f>IFERROR((+E19/E20),0)</f>
        <v>0.16733115386204817</v>
      </c>
      <c r="F18" s="57"/>
      <c r="G18" s="198"/>
      <c r="H18" s="183"/>
      <c r="I18" s="184"/>
      <c r="J18" s="143"/>
    </row>
    <row r="19" spans="1:14" ht="15" customHeight="1">
      <c r="A19" s="212" t="s">
        <v>297</v>
      </c>
      <c r="B19" s="213" t="s">
        <v>298</v>
      </c>
      <c r="C19" s="214">
        <f>+C16</f>
        <v>3767752856</v>
      </c>
      <c r="D19" s="214">
        <f>+D16</f>
        <v>2946350111</v>
      </c>
      <c r="E19" s="214">
        <f>+E16</f>
        <v>821402745</v>
      </c>
      <c r="F19" s="57"/>
      <c r="G19" s="198"/>
      <c r="H19" s="183"/>
      <c r="I19" s="184"/>
      <c r="J19" s="143"/>
      <c r="K19" s="143"/>
    </row>
    <row r="20" spans="1:14" ht="15" customHeight="1">
      <c r="A20" s="212" t="s">
        <v>299</v>
      </c>
      <c r="B20" s="213" t="s">
        <v>543</v>
      </c>
      <c r="C20" s="214">
        <f>Balance!C47-'Bank Liabilities Analysis'!S34</f>
        <v>22449814876</v>
      </c>
      <c r="D20" s="214">
        <f>Balance!D47-'Bank Liabilities Analysis'!T34</f>
        <v>17540969595</v>
      </c>
      <c r="E20" s="214">
        <f>Balance!E47-'Bank Liabilities Analysis'!U34</f>
        <v>4908845281</v>
      </c>
      <c r="F20" s="57"/>
      <c r="G20" s="198"/>
      <c r="H20" s="183"/>
      <c r="I20" s="184"/>
      <c r="J20" s="143"/>
      <c r="K20" s="143"/>
    </row>
    <row r="21" spans="1:14" ht="24.75" customHeight="1">
      <c r="A21" s="210" t="s">
        <v>300</v>
      </c>
      <c r="B21" s="211" t="s">
        <v>301</v>
      </c>
      <c r="C21" s="209">
        <f>IFERROR((+C22/C23),0)</f>
        <v>0.32701870984303172</v>
      </c>
      <c r="D21" s="209">
        <f>IFERROR((+D22/D23),0)</f>
        <v>0.33067780059058022</v>
      </c>
      <c r="E21" s="209">
        <f>IFERROR((+E22/E23),0)</f>
        <v>0.31453440127318322</v>
      </c>
      <c r="F21" s="57"/>
      <c r="G21" s="198"/>
      <c r="H21" s="183"/>
      <c r="I21" s="184"/>
      <c r="J21" s="143"/>
    </row>
    <row r="22" spans="1:14" ht="15" customHeight="1">
      <c r="A22" s="212" t="s">
        <v>302</v>
      </c>
      <c r="B22" s="213" t="s">
        <v>298</v>
      </c>
      <c r="C22" s="214">
        <f>+C16</f>
        <v>3767752856</v>
      </c>
      <c r="D22" s="214">
        <f>+D16</f>
        <v>2946350111</v>
      </c>
      <c r="E22" s="214">
        <f>+E16</f>
        <v>821402745</v>
      </c>
      <c r="F22" s="57"/>
      <c r="G22" s="198"/>
      <c r="H22" s="183"/>
      <c r="I22" s="184"/>
      <c r="J22" s="143"/>
      <c r="K22" s="143"/>
    </row>
    <row r="23" spans="1:14" ht="15" customHeight="1">
      <c r="A23" s="212" t="s">
        <v>303</v>
      </c>
      <c r="B23" s="213" t="s">
        <v>544</v>
      </c>
      <c r="C23" s="214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11521520765</v>
      </c>
      <c r="D23" s="214">
        <f>+C23-E23</f>
        <v>8910032986</v>
      </c>
      <c r="E23" s="214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2611487779</v>
      </c>
      <c r="F23" s="57"/>
      <c r="G23" s="198"/>
      <c r="H23" s="183"/>
      <c r="I23" s="184"/>
      <c r="J23" s="143"/>
      <c r="K23" s="143"/>
    </row>
    <row r="24" spans="1:14" ht="28.5" customHeight="1">
      <c r="A24" s="210" t="s">
        <v>304</v>
      </c>
      <c r="B24" s="211" t="s">
        <v>305</v>
      </c>
      <c r="C24" s="156">
        <f>IFERROR((+C25/C26),0)</f>
        <v>1.4441706031834052</v>
      </c>
      <c r="D24" s="209">
        <f>IFERROR((+D25/D26),0)</f>
        <v>1.5079395320562372</v>
      </c>
      <c r="E24" s="156">
        <f>IFERROR((+E25/E26),0)</f>
        <v>1.2539591032090041</v>
      </c>
      <c r="F24" s="57"/>
      <c r="G24" s="198"/>
      <c r="H24" s="183"/>
      <c r="I24" s="184"/>
      <c r="J24" s="143"/>
      <c r="K24" s="143"/>
    </row>
    <row r="25" spans="1:14" ht="19.5" customHeight="1">
      <c r="A25" s="212" t="s">
        <v>306</v>
      </c>
      <c r="B25" s="213" t="s">
        <v>298</v>
      </c>
      <c r="C25" s="134">
        <f>+C16</f>
        <v>3767752856</v>
      </c>
      <c r="D25" s="134">
        <f>+D16</f>
        <v>2946350111</v>
      </c>
      <c r="E25" s="134">
        <f>+E16</f>
        <v>821402745</v>
      </c>
      <c r="F25" s="57"/>
      <c r="G25" s="198"/>
      <c r="H25" s="183"/>
      <c r="I25" s="184"/>
      <c r="J25" s="143"/>
      <c r="K25" s="143"/>
    </row>
    <row r="26" spans="1:14" ht="18.75" customHeight="1">
      <c r="A26" s="212" t="s">
        <v>307</v>
      </c>
      <c r="B26" s="213" t="s">
        <v>308</v>
      </c>
      <c r="C26" s="134">
        <f>+'Bank Assets Analysis'!X65</f>
        <v>2608938893.8499999</v>
      </c>
      <c r="D26" s="134">
        <f>+'Bank Assets Analysis (нац)'!P61</f>
        <v>1953891418.3000002</v>
      </c>
      <c r="E26" s="134">
        <f>+'Bank Assets Analysis'!Z65</f>
        <v>655047475.54999995</v>
      </c>
      <c r="F26" s="57"/>
      <c r="G26" s="198"/>
      <c r="H26" s="183"/>
      <c r="I26" s="184"/>
      <c r="J26" s="143"/>
      <c r="K26" s="143"/>
    </row>
    <row r="27" spans="1:14" ht="15" customHeight="1">
      <c r="A27" s="212"/>
      <c r="B27" s="213" t="s">
        <v>309</v>
      </c>
      <c r="C27" s="134">
        <f>+'Bank Assets Analysis'!X67</f>
        <v>3928916131.8499999</v>
      </c>
      <c r="D27" s="214">
        <f>+'Bank Assets Analysis (нац)'!P63</f>
        <v>3096805277.3000002</v>
      </c>
      <c r="E27" s="134">
        <f>+'Bank Assets Analysis'!Z67</f>
        <v>832110854.54999995</v>
      </c>
      <c r="F27" s="57"/>
      <c r="G27" s="198"/>
      <c r="H27" s="183"/>
      <c r="I27" s="184"/>
      <c r="J27" s="143"/>
      <c r="K27" s="143"/>
    </row>
    <row r="28" spans="1:14" ht="15" customHeight="1">
      <c r="A28" s="212"/>
      <c r="B28" s="213" t="s">
        <v>310</v>
      </c>
      <c r="C28" s="134">
        <f>+'Bank Assets Analysis'!X70</f>
        <v>1319977238</v>
      </c>
      <c r="D28" s="214">
        <f>+'Bank Assets Analysis (нац)'!P65</f>
        <v>1142913859</v>
      </c>
      <c r="E28" s="134">
        <f>+'Bank Assets Analysis'!Z70</f>
        <v>177063379</v>
      </c>
      <c r="F28" s="57"/>
      <c r="G28" s="198"/>
      <c r="H28" s="183"/>
      <c r="I28" s="184"/>
      <c r="J28" s="143"/>
      <c r="K28" s="143"/>
    </row>
    <row r="29" spans="1:14" ht="15" customHeight="1">
      <c r="A29" s="210" t="s">
        <v>311</v>
      </c>
      <c r="B29" s="215" t="s">
        <v>312</v>
      </c>
      <c r="C29" s="84">
        <f>IFERROR((C30/C35),0)</f>
        <v>1.0657209352943429</v>
      </c>
      <c r="D29" s="216">
        <f>IFERROR((D30/D35),0)</f>
        <v>1.0624502530410826</v>
      </c>
      <c r="E29" s="84">
        <f>IFERROR((E30/E35),0)</f>
        <v>1.077535073311144</v>
      </c>
      <c r="F29" s="57"/>
      <c r="G29" s="143"/>
      <c r="H29" s="143"/>
      <c r="I29" s="143"/>
      <c r="J29" s="143"/>
      <c r="K29" s="143"/>
    </row>
    <row r="30" spans="1:14" ht="15" customHeight="1">
      <c r="A30" s="210" t="s">
        <v>313</v>
      </c>
      <c r="B30" s="215" t="s">
        <v>314</v>
      </c>
      <c r="C30" s="124">
        <f>SUM(C31:C34)</f>
        <v>14625188283.799999</v>
      </c>
      <c r="D30" s="13">
        <f>SUM(D31:D34)</f>
        <v>11419010517.1</v>
      </c>
      <c r="E30" s="124">
        <f>SUM(E31:E34)</f>
        <v>3206177766.7000003</v>
      </c>
      <c r="F30" s="57"/>
      <c r="G30" s="143"/>
      <c r="H30" s="143"/>
      <c r="I30" s="143"/>
      <c r="J30" s="143"/>
      <c r="K30" s="143"/>
    </row>
    <row r="31" spans="1:14" ht="15" customHeight="1">
      <c r="A31" s="212" t="s">
        <v>315</v>
      </c>
      <c r="B31" s="219" t="s">
        <v>316</v>
      </c>
      <c r="C31" s="214">
        <f>Balance!C77</f>
        <v>3082240575</v>
      </c>
      <c r="D31" s="214">
        <f>Balance!D77</f>
        <v>3082240575</v>
      </c>
      <c r="E31" s="214">
        <f>Balance!E77</f>
        <v>0</v>
      </c>
      <c r="F31" s="57"/>
      <c r="G31" s="143"/>
      <c r="H31" s="143"/>
      <c r="I31" s="143"/>
      <c r="J31" s="143"/>
      <c r="K31" s="143"/>
    </row>
    <row r="32" spans="1:14" ht="15" customHeight="1">
      <c r="A32" s="217" t="s">
        <v>317</v>
      </c>
      <c r="B32" s="218" t="s">
        <v>490</v>
      </c>
      <c r="C32" s="214">
        <f>'Bank Liabilities Analysis'!O42+'Bank Liabilities Analysis'!Q42</f>
        <v>7846053536</v>
      </c>
      <c r="D32" s="214">
        <f>+'Bank Liabilities Analysis (нац)'!I43+'Bank Liabilities Analysis (нац)'!J43</f>
        <v>5423322103</v>
      </c>
      <c r="E32" s="214">
        <f>'Bank Liabilities Analysis'!P42+'Bank Liabilities Analysis'!R42</f>
        <v>2422731433</v>
      </c>
      <c r="F32" s="57"/>
      <c r="G32" s="143"/>
      <c r="H32" s="143"/>
      <c r="I32" s="143"/>
      <c r="J32" s="143"/>
      <c r="K32" s="143"/>
    </row>
    <row r="33" spans="1:13" ht="15" customHeight="1">
      <c r="A33" s="217" t="s">
        <v>318</v>
      </c>
      <c r="B33" s="218" t="s">
        <v>319</v>
      </c>
      <c r="C33" s="214">
        <f>+('Bank Liabilities Analysis'!C42)*0.3</f>
        <v>1495882093.8</v>
      </c>
      <c r="D33" s="214">
        <f>+('Bank Liabilities Analysis (нац)'!C43)*0.3</f>
        <v>1240277055</v>
      </c>
      <c r="E33" s="214">
        <f>+('Bank Liabilities Analysis'!D42)*0.3</f>
        <v>255605038.79999998</v>
      </c>
      <c r="F33" s="57"/>
      <c r="G33" s="143"/>
      <c r="H33" s="143"/>
      <c r="I33" s="143"/>
      <c r="J33" s="143"/>
      <c r="K33" s="143"/>
    </row>
    <row r="34" spans="1:13" ht="15" customHeight="1">
      <c r="A34" s="217" t="s">
        <v>320</v>
      </c>
      <c r="B34" s="218" t="s">
        <v>491</v>
      </c>
      <c r="C34" s="214">
        <f>+('Bank Liabilities Analysis'!E42+'Bank Liabilities Analysis'!G42+'Bank Liabilities Analysis'!I42+'Bank Liabilities Analysis'!K42+'Bank Liabilities Analysis'!M42)*0.3</f>
        <v>2201012079</v>
      </c>
      <c r="D34" s="214">
        <f>+('Bank Liabilities Analysis (нац)'!D43+'Bank Liabilities Analysis (нац)'!E43+'Bank Liabilities Analysis (нац)'!F43+'Bank Liabilities Analysis (нац)'!G43+'Bank Liabilities Analysis (нац)'!H43)*0.3</f>
        <v>1673170784.0999999</v>
      </c>
      <c r="E34" s="214">
        <f>+('Bank Liabilities Analysis'!F42+'Bank Liabilities Analysis'!H42+'Bank Liabilities Analysis'!J42+'Bank Liabilities Analysis'!L42+'Bank Liabilities Analysis'!N42)*0.3</f>
        <v>527841294.89999998</v>
      </c>
      <c r="F34" s="57"/>
      <c r="G34" s="143"/>
      <c r="H34" s="143"/>
      <c r="I34" s="143"/>
      <c r="J34" s="143"/>
      <c r="K34" s="143"/>
    </row>
    <row r="35" spans="1:13" ht="15" customHeight="1">
      <c r="A35" s="210" t="s">
        <v>321</v>
      </c>
      <c r="B35" s="215" t="s">
        <v>492</v>
      </c>
      <c r="C35" s="387">
        <f>SUM(C36:C41)</f>
        <v>13723281395.200001</v>
      </c>
      <c r="D35" s="388">
        <f>SUM(D36:D41)</f>
        <v>10747807235.6</v>
      </c>
      <c r="E35" s="387">
        <f>SUM(E36:E41)</f>
        <v>2975474159.5999999</v>
      </c>
      <c r="F35" s="57"/>
      <c r="G35" s="143"/>
      <c r="H35" s="143"/>
      <c r="I35" s="143"/>
      <c r="J35" s="143"/>
      <c r="K35" s="143"/>
    </row>
    <row r="36" spans="1:13" ht="15" customHeight="1">
      <c r="A36" s="212" t="s">
        <v>322</v>
      </c>
      <c r="B36" s="218" t="s">
        <v>323</v>
      </c>
      <c r="C36" s="404">
        <f>+'Bank Assets Analysis'!O47-'Bank Assets Analysis'!O37+'Bank Assets Analysis'!Q47-'Bank Assets Analysis'!Q37-'Bank Assets Analysis'!O19-'Bank Assets Analysis'!Q19</f>
        <v>8700048987</v>
      </c>
      <c r="D36" s="404">
        <f>+C36-E36</f>
        <v>6495043058</v>
      </c>
      <c r="E36" s="404">
        <f>+'Bank Assets Analysis'!P47-'Bank Assets Analysis'!P40-'Bank Assets Analysis'!P37+'Bank Assets Analysis'!R47-'Bank Assets Analysis'!R40-'Bank Assets Analysis'!R37-'Bank Assets Analysis'!P19-'Bank Assets Analysis'!R19</f>
        <v>2205005929</v>
      </c>
      <c r="F36" s="57"/>
      <c r="G36" s="143"/>
      <c r="H36" s="143"/>
      <c r="I36" s="143"/>
      <c r="J36" s="143"/>
      <c r="K36" s="143"/>
    </row>
    <row r="37" spans="1:13" ht="30" customHeight="1">
      <c r="A37" s="217" t="s">
        <v>324</v>
      </c>
      <c r="B37" s="219" t="s">
        <v>563</v>
      </c>
      <c r="C37" s="405">
        <f>+'Bank Assets Analysis'!O37+'Bank Assets Analysis'!Q37</f>
        <v>2578342217</v>
      </c>
      <c r="D37" s="405">
        <f>+C37-E37</f>
        <v>2578342217</v>
      </c>
      <c r="E37" s="405">
        <f>+'Bank Assets Analysis'!P37+'Bank Assets Analysis'!R37</f>
        <v>0</v>
      </c>
      <c r="F37" s="57"/>
      <c r="G37" s="143"/>
      <c r="H37" s="143"/>
      <c r="I37" s="143"/>
      <c r="J37" s="143"/>
      <c r="K37" s="143"/>
    </row>
    <row r="38" spans="1:13" ht="26.25" customHeight="1">
      <c r="A38" s="217" t="s">
        <v>325</v>
      </c>
      <c r="B38" s="219" t="s">
        <v>493</v>
      </c>
      <c r="C38" s="405">
        <f>+'Bank Assets Analysis'!C28+'Bank Assets Analysis'!C29+'Bank Assets Analysis'!C30+'Bank Assets Analysis'!C32</f>
        <v>151954223</v>
      </c>
      <c r="D38" s="405">
        <f>+'Bank Assets Analysis (нац)'!C28+'Bank Assets Analysis (нац)'!C29+'Bank Assets Analysis (нац)'!C30+'Bank Assets Analysis (нац)'!C32</f>
        <v>136125042</v>
      </c>
      <c r="E38" s="405">
        <f>+'Bank Assets Analysis'!D28+'Bank Assets Analysis'!D29+'Bank Assets Analysis'!D30+'Bank Assets Analysis'!D32</f>
        <v>15829181</v>
      </c>
      <c r="F38" s="57"/>
      <c r="G38" s="143"/>
      <c r="H38" s="143"/>
      <c r="I38" s="143"/>
      <c r="J38" s="143"/>
      <c r="K38" s="143"/>
    </row>
    <row r="39" spans="1:13" ht="26.25" customHeight="1">
      <c r="A39" s="217" t="s">
        <v>326</v>
      </c>
      <c r="B39" s="219" t="s">
        <v>327</v>
      </c>
      <c r="C39" s="406">
        <f>+D39+E39</f>
        <v>0</v>
      </c>
      <c r="D39" s="407">
        <v>0</v>
      </c>
      <c r="E39" s="407">
        <v>0</v>
      </c>
      <c r="F39" s="57"/>
      <c r="G39" s="143"/>
      <c r="H39" s="143"/>
      <c r="I39" s="143"/>
      <c r="J39" s="143"/>
      <c r="K39" s="143"/>
    </row>
    <row r="40" spans="1:13" ht="38.25">
      <c r="A40" s="212" t="s">
        <v>328</v>
      </c>
      <c r="B40" s="219" t="s">
        <v>329</v>
      </c>
      <c r="C40" s="405">
        <f>((+'Bank Assets Analysis'!S47-'Bank Assets Analysis'!O47-'Bank Assets Analysis'!Q47-('Liquidity Analysis'!C58-'Bank Assets Analysis'!O19-'Bank Assets Analysis'!Q19))*0.3)</f>
        <v>2012869954.1999998</v>
      </c>
      <c r="D40" s="405">
        <f>('Bank Assets Analysis (нац)'!K47-'Bank Assets Analysis (нац)'!I47-'Bank Assets Analysis (нац)'!J47-('Liquidity Analysis'!D58-'Bank Assets Analysis (нац)'!I19-'Bank Assets Analysis (нац)'!J19))*0.3</f>
        <v>1467549741.5999999</v>
      </c>
      <c r="E40" s="405">
        <f>(('Bank Assets Analysis'!U47-'Bank Assets Analysis'!P47-'Bank Assets Analysis'!R47-('Liquidity Analysis'!E58-'Bank Assets Analysis'!P19-'Bank Assets Analysis'!R19))*0.3)</f>
        <v>545320212.60000002</v>
      </c>
      <c r="F40" s="57"/>
      <c r="G40" s="143"/>
      <c r="H40" s="143"/>
      <c r="I40" s="143"/>
      <c r="J40" s="143"/>
      <c r="K40" s="143"/>
    </row>
    <row r="41" spans="1:13" ht="15" customHeight="1">
      <c r="A41" s="220" t="s">
        <v>330</v>
      </c>
      <c r="B41" s="279" t="s">
        <v>494</v>
      </c>
      <c r="C41" s="214">
        <f>+ROUND(SUM(Commitments!C4-Commitments!C5+Commitments!C7-Commitments!C8+Commitments!C10-'Bank Liabilities Analysis'!S18)*15%,0)</f>
        <v>280066014</v>
      </c>
      <c r="D41" s="214">
        <f>+ROUND(SUM(Commitments!D4-Commitments!D5+Commitments!D7-Commitments!D8+Commitments!D10-'Bank Liabilities Analysis'!T18)*15%,0)</f>
        <v>70747177</v>
      </c>
      <c r="E41" s="214">
        <f>+ROUND(SUM(Commitments!E4-Commitments!E5+Commitments!E7-Commitments!E8+Commitments!E10-'Bank Liabilities Analysis'!U18)*15%,0)</f>
        <v>209318837</v>
      </c>
      <c r="F41" s="57"/>
      <c r="G41" s="143"/>
      <c r="H41" s="143"/>
      <c r="I41" s="143"/>
      <c r="J41" s="143"/>
      <c r="K41" s="143"/>
    </row>
    <row r="42" spans="1:13" ht="17.25" customHeight="1">
      <c r="G42" s="198"/>
      <c r="H42" s="183"/>
      <c r="I42" s="184"/>
      <c r="J42" s="143"/>
      <c r="K42" s="143"/>
    </row>
    <row r="43" spans="1:13" ht="15" customHeight="1">
      <c r="B43" s="4" t="s">
        <v>536</v>
      </c>
      <c r="D43" s="17"/>
      <c r="F43" s="144"/>
      <c r="G43" s="198"/>
      <c r="H43" s="183"/>
      <c r="I43" s="184"/>
      <c r="M43" s="144"/>
    </row>
    <row r="44" spans="1:13" ht="11.25" customHeight="1">
      <c r="B44" s="4"/>
      <c r="D44" s="17"/>
      <c r="F44" s="144"/>
      <c r="G44" s="198"/>
      <c r="H44" s="183"/>
      <c r="I44" s="184"/>
      <c r="M44" s="144"/>
    </row>
    <row r="45" spans="1:13" ht="15" customHeight="1">
      <c r="B45" s="4" t="s">
        <v>535</v>
      </c>
      <c r="D45" s="17"/>
      <c r="F45" s="144"/>
      <c r="G45" s="198"/>
      <c r="H45" s="183"/>
      <c r="I45" s="184"/>
      <c r="M45" s="144"/>
    </row>
    <row r="46" spans="1:13">
      <c r="B46" s="4"/>
      <c r="G46" s="198"/>
      <c r="H46" s="183"/>
      <c r="I46" s="184"/>
      <c r="J46" s="143"/>
      <c r="K46" s="143"/>
    </row>
    <row r="47" spans="1:13">
      <c r="B47" s="4"/>
      <c r="G47" s="198"/>
      <c r="H47" s="183"/>
      <c r="I47" s="184"/>
      <c r="J47" s="143"/>
      <c r="K47" s="143"/>
    </row>
    <row r="48" spans="1:13">
      <c r="B48" s="4"/>
      <c r="I48" s="375"/>
      <c r="J48" s="143"/>
      <c r="K48" s="143"/>
    </row>
    <row r="49" spans="1:13">
      <c r="B49" s="221"/>
      <c r="I49" s="375"/>
      <c r="J49" s="143"/>
      <c r="K49" s="143"/>
    </row>
    <row r="50" spans="1:13" ht="31.5">
      <c r="A50" s="88" t="s">
        <v>54</v>
      </c>
      <c r="B50" s="88" t="s">
        <v>482</v>
      </c>
      <c r="C50" s="88" t="s">
        <v>176</v>
      </c>
      <c r="D50" s="88" t="s">
        <v>177</v>
      </c>
      <c r="E50" s="88" t="s">
        <v>282</v>
      </c>
      <c r="G50" s="151"/>
      <c r="H50" s="151"/>
      <c r="I50" s="149"/>
      <c r="J50" s="149"/>
      <c r="K50" s="143"/>
    </row>
    <row r="51" spans="1:13" ht="25.5">
      <c r="A51" s="280" t="s">
        <v>118</v>
      </c>
      <c r="B51" s="281" t="s">
        <v>475</v>
      </c>
      <c r="C51" s="384">
        <f>+'Bank Assets Analysis'!S6+'Investment Securities'!B39</f>
        <v>510025266</v>
      </c>
      <c r="D51" s="384">
        <f>+'Bank Assets Analysis'!T6+'Investment Securities'!C39</f>
        <v>230335164</v>
      </c>
      <c r="E51" s="384">
        <f>+'Bank Assets Analysis'!U6+'Investment Securities'!D39</f>
        <v>279690102</v>
      </c>
      <c r="J51" s="152"/>
      <c r="K51" s="152"/>
      <c r="L51" s="152"/>
      <c r="M51" s="152"/>
    </row>
    <row r="52" spans="1:13">
      <c r="A52" s="212" t="s">
        <v>119</v>
      </c>
      <c r="B52" s="281" t="s">
        <v>179</v>
      </c>
      <c r="C52" s="384">
        <f>+'Bank Assets Analysis'!S7+'Bank Assets Analysis'!S8</f>
        <v>1828213292</v>
      </c>
      <c r="D52" s="384">
        <f>+'Bank Assets Analysis'!T7+'Bank Assets Analysis'!T8</f>
        <v>1828213292</v>
      </c>
      <c r="E52" s="384">
        <f>+'Bank Assets Analysis'!U7+'Bank Assets Analysis'!U8</f>
        <v>0</v>
      </c>
      <c r="J52" s="152"/>
      <c r="K52" s="152"/>
      <c r="L52" s="152"/>
      <c r="M52" s="152"/>
    </row>
    <row r="53" spans="1:13" ht="25.5">
      <c r="A53" s="212" t="s">
        <v>129</v>
      </c>
      <c r="B53" s="281" t="s">
        <v>476</v>
      </c>
      <c r="C53" s="384">
        <f>'Bank Assets Analysis'!C10+'Bank Assets Analysis'!C11+'Bank Assets Analysis'!C12+'Bank Assets Analysis'!C15+'Bank Assets Analysis'!C16+'Bank Assets Analysis'!E16+'Bank Assets Analysis'!G16</f>
        <v>667338473</v>
      </c>
      <c r="D53" s="384">
        <f>+C53-E53</f>
        <v>112407715</v>
      </c>
      <c r="E53" s="384">
        <f>'Bank Assets Analysis'!D10+'Bank Assets Analysis'!D11+'Bank Assets Analysis'!D15+'Bank Assets Analysis'!D16+'Bank Assets Analysis'!F16+'Bank Assets Analysis'!H16</f>
        <v>554930758</v>
      </c>
      <c r="J53" s="152"/>
      <c r="K53" s="152"/>
      <c r="L53" s="152"/>
      <c r="M53" s="152"/>
    </row>
    <row r="54" spans="1:13" ht="25.5">
      <c r="A54" s="212" t="s">
        <v>131</v>
      </c>
      <c r="B54" s="281" t="s">
        <v>477</v>
      </c>
      <c r="C54" s="384">
        <f>IF(F54&gt;0,F54,0)</f>
        <v>90829938</v>
      </c>
      <c r="D54" s="384">
        <f>IF(G54&gt;0,G54,0)</f>
        <v>39345488</v>
      </c>
      <c r="E54" s="384">
        <f>IF(H54&gt;0,H54,0)</f>
        <v>51484450</v>
      </c>
      <c r="F54" s="390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90829938</v>
      </c>
      <c r="G54" s="390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39345488</v>
      </c>
      <c r="H54" s="390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51484450</v>
      </c>
      <c r="J54" s="152"/>
      <c r="K54" s="152"/>
      <c r="L54" s="152"/>
      <c r="M54" s="152"/>
    </row>
    <row r="55" spans="1:13" ht="38.25">
      <c r="A55" s="212" t="s">
        <v>120</v>
      </c>
      <c r="B55" s="281" t="s">
        <v>478</v>
      </c>
      <c r="C55" s="384">
        <f>+'Investment Securities'!B5+'Investment Securities'!B6+'Investment Securities'!B19+'Investment Securities'!B20+'Investment Securities'!B21</f>
        <v>2166910000</v>
      </c>
      <c r="D55" s="384">
        <f>+'Investment Securities'!C5+'Investment Securities'!C6+'Investment Securities'!C19+'Investment Securities'!C20+'Investment Securities'!C21</f>
        <v>2166910000</v>
      </c>
      <c r="E55" s="384">
        <f>+'Investment Securities'!D5+'Investment Securities'!D6+'Investment Securities'!D19+'Investment Securities'!D20+'Investment Securities'!D21</f>
        <v>0</v>
      </c>
      <c r="J55" s="152"/>
      <c r="K55" s="152"/>
      <c r="L55" s="152"/>
      <c r="M55" s="152"/>
    </row>
    <row r="56" spans="1:13" ht="25.5">
      <c r="A56" s="280" t="s">
        <v>127</v>
      </c>
      <c r="B56" s="281" t="s">
        <v>479</v>
      </c>
      <c r="C56" s="385"/>
      <c r="D56" s="385"/>
      <c r="E56" s="385"/>
      <c r="J56" s="152"/>
      <c r="K56" s="152"/>
      <c r="L56" s="152"/>
      <c r="M56" s="152"/>
    </row>
    <row r="57" spans="1:13">
      <c r="A57" s="280" t="s">
        <v>130</v>
      </c>
      <c r="B57" s="281" t="s">
        <v>480</v>
      </c>
      <c r="C57" s="385"/>
      <c r="D57" s="385"/>
      <c r="E57" s="385"/>
      <c r="J57" s="152"/>
      <c r="K57" s="152"/>
      <c r="L57" s="152"/>
      <c r="M57" s="152"/>
    </row>
    <row r="58" spans="1:13">
      <c r="A58" s="154" t="s">
        <v>128</v>
      </c>
      <c r="B58" s="282" t="s">
        <v>481</v>
      </c>
      <c r="C58" s="386">
        <f>SUM(C51:C57)</f>
        <v>5263316969</v>
      </c>
      <c r="D58" s="386">
        <f>SUM(D51:D57)</f>
        <v>4377211659</v>
      </c>
      <c r="E58" s="386">
        <f>SUM(E51:E57)</f>
        <v>886105310</v>
      </c>
      <c r="J58" s="152"/>
      <c r="K58" s="152"/>
      <c r="L58" s="152"/>
      <c r="M58" s="152"/>
    </row>
    <row r="59" spans="1:13" ht="18.75">
      <c r="B59" s="150"/>
      <c r="C59" s="151"/>
      <c r="D59" s="149"/>
      <c r="E59" s="149"/>
      <c r="F59" s="151"/>
      <c r="G59" s="151"/>
      <c r="H59" s="151"/>
      <c r="I59" s="269"/>
      <c r="J59" s="269"/>
      <c r="K59" s="143"/>
    </row>
    <row r="60" spans="1:13">
      <c r="I60" s="270"/>
      <c r="J60" s="270"/>
      <c r="K60" s="143"/>
    </row>
    <row r="61" spans="1:13">
      <c r="I61" s="270"/>
      <c r="J61" s="270"/>
      <c r="K61" s="143"/>
    </row>
    <row r="62" spans="1:13">
      <c r="I62" s="375"/>
      <c r="J62" s="143"/>
      <c r="K62" s="143"/>
    </row>
    <row r="63" spans="1:13">
      <c r="I63" s="375"/>
      <c r="J63" s="143"/>
      <c r="K63" s="143"/>
    </row>
    <row r="64" spans="1:13">
      <c r="I64" s="375"/>
      <c r="J64" s="143"/>
      <c r="K64" s="143"/>
    </row>
    <row r="65" spans="9:11" s="17" customFormat="1">
      <c r="I65" s="375"/>
      <c r="J65" s="143"/>
      <c r="K65" s="143"/>
    </row>
    <row r="66" spans="9:11" s="17" customFormat="1">
      <c r="I66" s="375"/>
      <c r="J66" s="143"/>
      <c r="K66" s="143"/>
    </row>
    <row r="67" spans="9:11" s="17" customFormat="1">
      <c r="I67" s="375"/>
      <c r="J67" s="143"/>
      <c r="K67" s="143"/>
    </row>
    <row r="68" spans="9:11" s="17" customFormat="1">
      <c r="I68" s="375"/>
      <c r="J68" s="143"/>
      <c r="K68" s="143"/>
    </row>
    <row r="69" spans="9:11" s="17" customFormat="1">
      <c r="I69" s="375"/>
      <c r="J69" s="143"/>
      <c r="K69" s="143"/>
    </row>
    <row r="70" spans="9:11" s="17" customFormat="1">
      <c r="I70" s="375"/>
      <c r="J70" s="143"/>
      <c r="K70" s="143"/>
    </row>
    <row r="71" spans="9:11" s="17" customFormat="1">
      <c r="I71" s="375"/>
      <c r="J71" s="143"/>
      <c r="K71" s="143"/>
    </row>
    <row r="72" spans="9:11" s="17" customFormat="1">
      <c r="I72" s="375"/>
      <c r="J72" s="143"/>
      <c r="K72" s="143"/>
    </row>
    <row r="73" spans="9:11" s="17" customFormat="1">
      <c r="I73" s="375"/>
      <c r="J73" s="143"/>
      <c r="K73" s="143"/>
    </row>
    <row r="74" spans="9:11" s="17" customFormat="1">
      <c r="I74" s="375"/>
      <c r="J74" s="143"/>
      <c r="K74" s="143"/>
    </row>
    <row r="75" spans="9:11" s="17" customFormat="1">
      <c r="I75" s="375"/>
      <c r="J75" s="143"/>
      <c r="K75" s="143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38">
    <cfRule type="cellIs" dxfId="123" priority="12" operator="notEqual">
      <formula>$D$38+$E$38</formula>
    </cfRule>
  </conditionalFormatting>
  <conditionalFormatting sqref="C39">
    <cfRule type="cellIs" dxfId="122" priority="11" operator="notEqual">
      <formula>$D$39+$E$39</formula>
    </cfRule>
  </conditionalFormatting>
  <conditionalFormatting sqref="C19:E28">
    <cfRule type="cellIs" dxfId="121" priority="19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7" xr:uid="{00000000-0002-0000-0200-000003000000}">
      <formula1>0</formula1>
    </dataValidation>
    <dataValidation allowBlank="1" showErrorMessage="1" sqref="G29:I41 C18:E41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4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3"/>
  <sheetViews>
    <sheetView view="pageBreakPreview" topLeftCell="A3" zoomScale="55" zoomScaleNormal="55" zoomScaleSheetLayoutView="55" workbookViewId="0">
      <pane xSplit="2" ySplit="3" topLeftCell="C33" activePane="bottomRight" state="frozen"/>
      <selection activeCell="C46" sqref="C46"/>
      <selection pane="topRight" activeCell="C46" sqref="C46"/>
      <selection pane="bottomLeft" activeCell="C46" sqref="C46"/>
      <selection pane="bottomRight" activeCell="S44" sqref="S44:U44"/>
    </sheetView>
  </sheetViews>
  <sheetFormatPr defaultRowHeight="12.75"/>
  <cols>
    <col min="1" max="1" width="6.5703125" style="160" customWidth="1"/>
    <col min="2" max="2" width="78.5703125" style="133" customWidth="1"/>
    <col min="3" max="14" width="15.85546875" style="133" customWidth="1"/>
    <col min="15" max="15" width="16.5703125" style="133" customWidth="1"/>
    <col min="16" max="16" width="15.85546875" style="133" customWidth="1"/>
    <col min="17" max="18" width="17.140625" style="133" customWidth="1"/>
    <col min="19" max="21" width="18.28515625" style="133" customWidth="1"/>
    <col min="22" max="22" width="9" style="136" customWidth="1"/>
    <col min="23" max="23" width="18.7109375" style="135" customWidth="1"/>
    <col min="24" max="24" width="20.42578125" style="133" customWidth="1"/>
    <col min="25" max="25" width="18.7109375" style="135" customWidth="1"/>
    <col min="26" max="26" width="18.7109375" style="133" customWidth="1"/>
    <col min="27" max="29" width="20.5703125" style="133" customWidth="1"/>
    <col min="30" max="32" width="10.85546875" style="133" customWidth="1"/>
    <col min="33" max="16384" width="9.140625" style="133"/>
  </cols>
  <sheetData>
    <row r="1" spans="1:26" s="95" customFormat="1" ht="32.25" customHeight="1">
      <c r="A1" s="92" t="s">
        <v>331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431" t="s">
        <v>332</v>
      </c>
      <c r="Y1" s="431"/>
      <c r="Z1" s="431"/>
    </row>
    <row r="2" spans="1:26" ht="15.75">
      <c r="A2" s="159"/>
      <c r="B2" s="158" t="str">
        <f>Balance!B3</f>
        <v>Банк номи</v>
      </c>
      <c r="C2" s="57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T2" s="199"/>
      <c r="V2" s="133"/>
      <c r="W2" s="132"/>
      <c r="X2" s="315">
        <f>+Balance!D3</f>
        <v>45657</v>
      </c>
      <c r="Y2" s="132"/>
      <c r="Z2" s="76" t="s">
        <v>174</v>
      </c>
    </row>
    <row r="3" spans="1:26" s="362" customFormat="1" ht="29.25" customHeight="1">
      <c r="A3" s="424" t="s">
        <v>54</v>
      </c>
      <c r="B3" s="424" t="s">
        <v>333</v>
      </c>
      <c r="C3" s="421" t="s">
        <v>334</v>
      </c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2"/>
      <c r="S3" s="424" t="s">
        <v>176</v>
      </c>
      <c r="T3" s="427" t="s">
        <v>335</v>
      </c>
      <c r="U3" s="428"/>
      <c r="V3" s="427" t="s">
        <v>336</v>
      </c>
      <c r="W3" s="432"/>
      <c r="X3" s="432"/>
      <c r="Y3" s="432"/>
      <c r="Z3" s="432"/>
    </row>
    <row r="4" spans="1:26" s="362" customFormat="1" ht="29.25" customHeight="1">
      <c r="A4" s="425"/>
      <c r="B4" s="425"/>
      <c r="C4" s="421" t="s">
        <v>337</v>
      </c>
      <c r="D4" s="422"/>
      <c r="E4" s="421" t="s">
        <v>338</v>
      </c>
      <c r="F4" s="422"/>
      <c r="G4" s="421" t="s">
        <v>339</v>
      </c>
      <c r="H4" s="422"/>
      <c r="I4" s="421" t="s">
        <v>340</v>
      </c>
      <c r="J4" s="422"/>
      <c r="K4" s="421" t="s">
        <v>341</v>
      </c>
      <c r="L4" s="422"/>
      <c r="M4" s="421" t="s">
        <v>342</v>
      </c>
      <c r="N4" s="422"/>
      <c r="O4" s="421" t="s">
        <v>343</v>
      </c>
      <c r="P4" s="422"/>
      <c r="Q4" s="421" t="s">
        <v>344</v>
      </c>
      <c r="R4" s="422"/>
      <c r="S4" s="425"/>
      <c r="T4" s="429"/>
      <c r="U4" s="430"/>
      <c r="V4" s="429"/>
      <c r="W4" s="433"/>
      <c r="X4" s="433"/>
      <c r="Y4" s="433"/>
      <c r="Z4" s="433"/>
    </row>
    <row r="5" spans="1:26" s="362" customFormat="1" ht="110.25" customHeight="1">
      <c r="A5" s="425"/>
      <c r="B5" s="425"/>
      <c r="C5" s="363" t="s">
        <v>140</v>
      </c>
      <c r="D5" s="363" t="s">
        <v>345</v>
      </c>
      <c r="E5" s="363" t="s">
        <v>140</v>
      </c>
      <c r="F5" s="363" t="s">
        <v>345</v>
      </c>
      <c r="G5" s="363" t="s">
        <v>140</v>
      </c>
      <c r="H5" s="363" t="s">
        <v>345</v>
      </c>
      <c r="I5" s="363" t="s">
        <v>140</v>
      </c>
      <c r="J5" s="363" t="s">
        <v>345</v>
      </c>
      <c r="K5" s="363" t="s">
        <v>140</v>
      </c>
      <c r="L5" s="363" t="s">
        <v>345</v>
      </c>
      <c r="M5" s="363" t="s">
        <v>140</v>
      </c>
      <c r="N5" s="363" t="s">
        <v>345</v>
      </c>
      <c r="O5" s="363" t="s">
        <v>140</v>
      </c>
      <c r="P5" s="363" t="s">
        <v>345</v>
      </c>
      <c r="Q5" s="363" t="s">
        <v>140</v>
      </c>
      <c r="R5" s="363" t="s">
        <v>345</v>
      </c>
      <c r="S5" s="425"/>
      <c r="T5" s="363" t="s">
        <v>346</v>
      </c>
      <c r="U5" s="363" t="s">
        <v>347</v>
      </c>
      <c r="V5" s="340" t="s">
        <v>22</v>
      </c>
      <c r="W5" s="340" t="s">
        <v>348</v>
      </c>
      <c r="X5" s="340" t="s">
        <v>349</v>
      </c>
      <c r="Y5" s="340" t="s">
        <v>350</v>
      </c>
      <c r="Z5" s="340" t="s">
        <v>351</v>
      </c>
    </row>
    <row r="6" spans="1:26" s="118" customFormat="1" ht="38.25" customHeight="1">
      <c r="A6" s="322" t="s">
        <v>352</v>
      </c>
      <c r="B6" s="224" t="s">
        <v>285</v>
      </c>
      <c r="C6" s="395">
        <v>510025015</v>
      </c>
      <c r="D6" s="395">
        <v>279690102</v>
      </c>
      <c r="E6" s="395">
        <v>0</v>
      </c>
      <c r="F6" s="395">
        <v>0</v>
      </c>
      <c r="G6" s="395">
        <v>0</v>
      </c>
      <c r="H6" s="395">
        <v>0</v>
      </c>
      <c r="I6" s="395">
        <v>0</v>
      </c>
      <c r="J6" s="395">
        <v>0</v>
      </c>
      <c r="K6" s="395">
        <v>0</v>
      </c>
      <c r="L6" s="395">
        <v>0</v>
      </c>
      <c r="M6" s="395">
        <v>0</v>
      </c>
      <c r="N6" s="395">
        <v>0</v>
      </c>
      <c r="O6" s="395">
        <v>0</v>
      </c>
      <c r="P6" s="395">
        <v>0</v>
      </c>
      <c r="Q6" s="395">
        <v>0</v>
      </c>
      <c r="R6" s="395">
        <v>0</v>
      </c>
      <c r="S6" s="396">
        <f>+C6+E6+G6+I6+K6+M6+O6+Q6</f>
        <v>510025015</v>
      </c>
      <c r="T6" s="396">
        <f>+S6-U6</f>
        <v>230334913</v>
      </c>
      <c r="U6" s="396">
        <f>+D6+F6+H6+J6+L6+N6+P6+R6</f>
        <v>279690102</v>
      </c>
      <c r="V6" s="114">
        <v>1</v>
      </c>
      <c r="W6" s="115">
        <f>+S6</f>
        <v>510025015</v>
      </c>
      <c r="X6" s="116">
        <f>+W6*V6</f>
        <v>510025015</v>
      </c>
      <c r="Y6" s="115">
        <f>+U6</f>
        <v>279690102</v>
      </c>
      <c r="Z6" s="116">
        <f>+Y6*V6</f>
        <v>279690102</v>
      </c>
    </row>
    <row r="7" spans="1:26" s="118" customFormat="1" ht="38.25" customHeight="1">
      <c r="A7" s="322" t="s">
        <v>353</v>
      </c>
      <c r="B7" s="224" t="s">
        <v>518</v>
      </c>
      <c r="C7" s="395">
        <v>1828213292</v>
      </c>
      <c r="D7" s="395">
        <v>0</v>
      </c>
      <c r="E7" s="395">
        <v>0</v>
      </c>
      <c r="F7" s="395">
        <v>0</v>
      </c>
      <c r="G7" s="395">
        <v>0</v>
      </c>
      <c r="H7" s="395">
        <v>0</v>
      </c>
      <c r="I7" s="395">
        <v>0</v>
      </c>
      <c r="J7" s="395">
        <v>0</v>
      </c>
      <c r="K7" s="395">
        <v>0</v>
      </c>
      <c r="L7" s="395">
        <v>0</v>
      </c>
      <c r="M7" s="395">
        <v>0</v>
      </c>
      <c r="N7" s="395">
        <v>0</v>
      </c>
      <c r="O7" s="395">
        <v>0</v>
      </c>
      <c r="P7" s="395">
        <v>0</v>
      </c>
      <c r="Q7" s="395">
        <v>0</v>
      </c>
      <c r="R7" s="395">
        <v>0</v>
      </c>
      <c r="S7" s="396">
        <f t="shared" ref="S7:S45" si="0">+C7+E7+G7+I7+K7+M7+O7+Q7</f>
        <v>1828213292</v>
      </c>
      <c r="T7" s="396">
        <f t="shared" ref="T7:T47" si="1">+S7-U7</f>
        <v>1828213292</v>
      </c>
      <c r="U7" s="396">
        <f t="shared" ref="U7:U47" si="2">+D7+F7+H7+J7+L7+N7+P7+R7</f>
        <v>0</v>
      </c>
      <c r="V7" s="114">
        <v>1</v>
      </c>
      <c r="W7" s="115">
        <f>S7</f>
        <v>1828213292</v>
      </c>
      <c r="X7" s="116">
        <f t="shared" ref="X7:X35" si="3">+W7*V7</f>
        <v>1828213292</v>
      </c>
      <c r="Y7" s="115">
        <f>+U7</f>
        <v>0</v>
      </c>
      <c r="Z7" s="116">
        <f>+Y7*V7</f>
        <v>0</v>
      </c>
    </row>
    <row r="8" spans="1:26" s="118" customFormat="1" ht="38.25" customHeight="1">
      <c r="A8" s="322" t="s">
        <v>73</v>
      </c>
      <c r="B8" s="224" t="s">
        <v>354</v>
      </c>
      <c r="C8" s="395">
        <v>0</v>
      </c>
      <c r="D8" s="395">
        <v>0</v>
      </c>
      <c r="E8" s="395">
        <v>0</v>
      </c>
      <c r="F8" s="395">
        <v>0</v>
      </c>
      <c r="G8" s="395">
        <v>0</v>
      </c>
      <c r="H8" s="395">
        <v>0</v>
      </c>
      <c r="I8" s="395">
        <v>0</v>
      </c>
      <c r="J8" s="395">
        <v>0</v>
      </c>
      <c r="K8" s="395">
        <v>0</v>
      </c>
      <c r="L8" s="395">
        <v>0</v>
      </c>
      <c r="M8" s="395">
        <v>0</v>
      </c>
      <c r="N8" s="395">
        <v>0</v>
      </c>
      <c r="O8" s="395">
        <v>0</v>
      </c>
      <c r="P8" s="395">
        <v>0</v>
      </c>
      <c r="Q8" s="395">
        <v>0</v>
      </c>
      <c r="R8" s="395">
        <v>0</v>
      </c>
      <c r="S8" s="396">
        <f t="shared" si="0"/>
        <v>0</v>
      </c>
      <c r="T8" s="396">
        <f t="shared" si="1"/>
        <v>0</v>
      </c>
      <c r="U8" s="396">
        <f t="shared" si="2"/>
        <v>0</v>
      </c>
      <c r="V8" s="114">
        <v>0</v>
      </c>
      <c r="W8" s="115"/>
      <c r="X8" s="113"/>
      <c r="Y8" s="115"/>
      <c r="Z8" s="115"/>
    </row>
    <row r="9" spans="1:26" s="118" customFormat="1" ht="38.25" customHeight="1">
      <c r="A9" s="322" t="s">
        <v>355</v>
      </c>
      <c r="B9" s="224" t="s">
        <v>476</v>
      </c>
      <c r="C9" s="396">
        <f>SUM(C10:C16)-C13</f>
        <v>693184433</v>
      </c>
      <c r="D9" s="396">
        <f t="shared" ref="D9:R9" si="4">SUM(D10:D16)-D13</f>
        <v>580771718</v>
      </c>
      <c r="E9" s="396">
        <f t="shared" si="4"/>
        <v>0</v>
      </c>
      <c r="F9" s="396">
        <f t="shared" si="4"/>
        <v>0</v>
      </c>
      <c r="G9" s="396">
        <f t="shared" si="4"/>
        <v>65643490</v>
      </c>
      <c r="H9" s="396">
        <f t="shared" si="4"/>
        <v>25643490</v>
      </c>
      <c r="I9" s="396">
        <f t="shared" si="4"/>
        <v>32301200</v>
      </c>
      <c r="J9" s="396">
        <f t="shared" si="4"/>
        <v>32301200</v>
      </c>
      <c r="K9" s="396">
        <f t="shared" si="4"/>
        <v>24409360</v>
      </c>
      <c r="L9" s="396">
        <f t="shared" si="4"/>
        <v>0</v>
      </c>
      <c r="M9" s="396">
        <f t="shared" si="4"/>
        <v>24409360</v>
      </c>
      <c r="N9" s="396">
        <f t="shared" si="4"/>
        <v>0</v>
      </c>
      <c r="O9" s="396">
        <f t="shared" si="4"/>
        <v>37522553</v>
      </c>
      <c r="P9" s="396">
        <f t="shared" si="4"/>
        <v>0</v>
      </c>
      <c r="Q9" s="396">
        <f t="shared" si="4"/>
        <v>16424614</v>
      </c>
      <c r="R9" s="396">
        <f t="shared" si="4"/>
        <v>0</v>
      </c>
      <c r="S9" s="396">
        <f t="shared" si="0"/>
        <v>893895010</v>
      </c>
      <c r="T9" s="396">
        <f t="shared" si="1"/>
        <v>255178602</v>
      </c>
      <c r="U9" s="396">
        <f t="shared" si="2"/>
        <v>638716408</v>
      </c>
      <c r="V9" s="114"/>
      <c r="W9" s="115"/>
      <c r="X9" s="113"/>
      <c r="Y9" s="115"/>
      <c r="Z9" s="115"/>
    </row>
    <row r="10" spans="1:26" s="118" customFormat="1" ht="45" customHeight="1">
      <c r="A10" s="322" t="s">
        <v>74</v>
      </c>
      <c r="B10" s="224" t="s">
        <v>356</v>
      </c>
      <c r="C10" s="395">
        <v>64873827</v>
      </c>
      <c r="D10" s="395">
        <v>64873827</v>
      </c>
      <c r="E10" s="395">
        <v>0</v>
      </c>
      <c r="F10" s="395">
        <v>0</v>
      </c>
      <c r="G10" s="395">
        <v>0</v>
      </c>
      <c r="H10" s="395">
        <v>0</v>
      </c>
      <c r="I10" s="395">
        <v>0</v>
      </c>
      <c r="J10" s="395">
        <v>0</v>
      </c>
      <c r="K10" s="395">
        <v>0</v>
      </c>
      <c r="L10" s="395">
        <v>0</v>
      </c>
      <c r="M10" s="395">
        <v>0</v>
      </c>
      <c r="N10" s="395">
        <v>0</v>
      </c>
      <c r="O10" s="395">
        <v>0</v>
      </c>
      <c r="P10" s="395">
        <v>0</v>
      </c>
      <c r="Q10" s="395">
        <v>0</v>
      </c>
      <c r="R10" s="395">
        <v>0</v>
      </c>
      <c r="S10" s="396">
        <f t="shared" si="0"/>
        <v>64873827</v>
      </c>
      <c r="T10" s="396">
        <f t="shared" si="1"/>
        <v>0</v>
      </c>
      <c r="U10" s="396">
        <f t="shared" si="2"/>
        <v>64873827</v>
      </c>
      <c r="V10" s="114">
        <v>1</v>
      </c>
      <c r="W10" s="115">
        <f>+C10</f>
        <v>64873827</v>
      </c>
      <c r="X10" s="116">
        <f t="shared" si="3"/>
        <v>64873827</v>
      </c>
      <c r="Y10" s="115">
        <f>+D10</f>
        <v>64873827</v>
      </c>
      <c r="Z10" s="116">
        <f>+Y10*V10</f>
        <v>64873827</v>
      </c>
    </row>
    <row r="11" spans="1:26" s="118" customFormat="1" ht="45" customHeight="1">
      <c r="A11" s="322" t="s">
        <v>75</v>
      </c>
      <c r="B11" s="224" t="s">
        <v>357</v>
      </c>
      <c r="C11" s="395">
        <v>476838816</v>
      </c>
      <c r="D11" s="395">
        <v>476838816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>
        <f>+C11</f>
        <v>476838816</v>
      </c>
      <c r="T11" s="396">
        <f t="shared" ref="T11:T13" si="5">+S11-U11</f>
        <v>0</v>
      </c>
      <c r="U11" s="396">
        <f>+D11</f>
        <v>476838816</v>
      </c>
      <c r="V11" s="114">
        <v>1</v>
      </c>
      <c r="W11" s="115">
        <f>+C11</f>
        <v>476838816</v>
      </c>
      <c r="X11" s="116">
        <f t="shared" si="3"/>
        <v>476838816</v>
      </c>
      <c r="Y11" s="115">
        <f>+D11</f>
        <v>476838816</v>
      </c>
      <c r="Z11" s="116">
        <f t="shared" ref="Z11:Z35" si="6">+Y11*V11</f>
        <v>476838816</v>
      </c>
    </row>
    <row r="12" spans="1:26" s="118" customFormat="1" ht="45" customHeight="1">
      <c r="A12" s="322" t="s">
        <v>15</v>
      </c>
      <c r="B12" s="224" t="s">
        <v>358</v>
      </c>
      <c r="C12" s="396"/>
      <c r="D12" s="396"/>
      <c r="E12" s="395">
        <v>0</v>
      </c>
      <c r="F12" s="395"/>
      <c r="G12" s="396"/>
      <c r="H12" s="396"/>
      <c r="I12" s="396"/>
      <c r="J12" s="396"/>
      <c r="K12" s="396"/>
      <c r="L12" s="396"/>
      <c r="M12" s="396"/>
      <c r="N12" s="396"/>
      <c r="O12" s="396"/>
      <c r="P12" s="396"/>
      <c r="Q12" s="396"/>
      <c r="R12" s="396"/>
      <c r="S12" s="396">
        <f>+E12</f>
        <v>0</v>
      </c>
      <c r="T12" s="396">
        <f t="shared" si="5"/>
        <v>0</v>
      </c>
      <c r="U12" s="396">
        <f>+F12</f>
        <v>0</v>
      </c>
      <c r="V12" s="114">
        <v>1</v>
      </c>
      <c r="W12" s="115">
        <f>+E12-E13</f>
        <v>0</v>
      </c>
      <c r="X12" s="113">
        <f t="shared" si="3"/>
        <v>0</v>
      </c>
      <c r="Y12" s="148">
        <f>+F12-F13</f>
        <v>0</v>
      </c>
      <c r="Z12" s="113">
        <f t="shared" si="6"/>
        <v>0</v>
      </c>
    </row>
    <row r="13" spans="1:26" s="118" customFormat="1" ht="45" customHeight="1">
      <c r="A13" s="322" t="s">
        <v>165</v>
      </c>
      <c r="B13" s="224" t="s">
        <v>359</v>
      </c>
      <c r="C13" s="396"/>
      <c r="D13" s="396"/>
      <c r="E13" s="395"/>
      <c r="F13" s="395"/>
      <c r="G13" s="396"/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>
        <f>+E13</f>
        <v>0</v>
      </c>
      <c r="T13" s="396">
        <f t="shared" si="5"/>
        <v>0</v>
      </c>
      <c r="U13" s="396">
        <f>+F13</f>
        <v>0</v>
      </c>
      <c r="V13" s="114">
        <v>1</v>
      </c>
      <c r="W13" s="115">
        <f>+F13</f>
        <v>0</v>
      </c>
      <c r="X13" s="116">
        <f t="shared" si="3"/>
        <v>0</v>
      </c>
      <c r="Y13" s="115">
        <f>+F13</f>
        <v>0</v>
      </c>
      <c r="Z13" s="116">
        <f t="shared" si="6"/>
        <v>0</v>
      </c>
    </row>
    <row r="14" spans="1:26" s="118" customFormat="1" ht="38.25" customHeight="1">
      <c r="A14" s="322" t="s">
        <v>149</v>
      </c>
      <c r="B14" s="224" t="s">
        <v>523</v>
      </c>
      <c r="C14" s="395">
        <v>25845960</v>
      </c>
      <c r="D14" s="395">
        <v>25840960</v>
      </c>
      <c r="E14" s="395">
        <v>0</v>
      </c>
      <c r="F14" s="395">
        <v>0</v>
      </c>
      <c r="G14" s="395">
        <v>65643490</v>
      </c>
      <c r="H14" s="395">
        <v>25643490</v>
      </c>
      <c r="I14" s="395">
        <v>32301200</v>
      </c>
      <c r="J14" s="395">
        <v>32301200</v>
      </c>
      <c r="K14" s="395">
        <v>24409360</v>
      </c>
      <c r="L14" s="395">
        <v>0</v>
      </c>
      <c r="M14" s="395">
        <v>24409360</v>
      </c>
      <c r="N14" s="395">
        <v>0</v>
      </c>
      <c r="O14" s="395">
        <v>37522553</v>
      </c>
      <c r="P14" s="395">
        <v>0</v>
      </c>
      <c r="Q14" s="395">
        <v>16424614</v>
      </c>
      <c r="R14" s="395">
        <v>0</v>
      </c>
      <c r="S14" s="396">
        <f t="shared" si="0"/>
        <v>226556537</v>
      </c>
      <c r="T14" s="396">
        <f t="shared" si="1"/>
        <v>142770887</v>
      </c>
      <c r="U14" s="396">
        <f t="shared" si="2"/>
        <v>83785650</v>
      </c>
      <c r="V14" s="114">
        <v>1</v>
      </c>
      <c r="W14" s="115">
        <f>+C14+E14+G14+E10+G10+E11+G11</f>
        <v>91489450</v>
      </c>
      <c r="X14" s="113">
        <f>+W14*V14</f>
        <v>91489450</v>
      </c>
      <c r="Y14" s="115">
        <f>+D14+F14+H14+F10+H10+F11+H11</f>
        <v>51484450</v>
      </c>
      <c r="Z14" s="115">
        <f t="shared" si="6"/>
        <v>51484450</v>
      </c>
    </row>
    <row r="15" spans="1:26" s="118" customFormat="1" ht="38.25" customHeight="1">
      <c r="A15" s="322" t="s">
        <v>162</v>
      </c>
      <c r="B15" s="224" t="s">
        <v>360</v>
      </c>
      <c r="C15" s="395">
        <v>112407715</v>
      </c>
      <c r="D15" s="395">
        <v>0</v>
      </c>
      <c r="E15" s="395">
        <v>0</v>
      </c>
      <c r="F15" s="395">
        <v>0</v>
      </c>
      <c r="G15" s="395">
        <v>0</v>
      </c>
      <c r="H15" s="395">
        <v>0</v>
      </c>
      <c r="I15" s="395">
        <v>0</v>
      </c>
      <c r="J15" s="395">
        <v>0</v>
      </c>
      <c r="K15" s="395">
        <v>0</v>
      </c>
      <c r="L15" s="395">
        <v>0</v>
      </c>
      <c r="M15" s="395">
        <v>0</v>
      </c>
      <c r="N15" s="395">
        <v>0</v>
      </c>
      <c r="O15" s="395">
        <v>0</v>
      </c>
      <c r="P15" s="395">
        <v>0</v>
      </c>
      <c r="Q15" s="395">
        <v>0</v>
      </c>
      <c r="R15" s="395">
        <v>0</v>
      </c>
      <c r="S15" s="396">
        <f t="shared" si="0"/>
        <v>112407715</v>
      </c>
      <c r="T15" s="396">
        <f t="shared" si="1"/>
        <v>112407715</v>
      </c>
      <c r="U15" s="396">
        <f t="shared" si="2"/>
        <v>0</v>
      </c>
      <c r="V15" s="114">
        <v>1</v>
      </c>
      <c r="W15" s="115">
        <f>+C15+E15+G15</f>
        <v>112407715</v>
      </c>
      <c r="X15" s="113">
        <f t="shared" si="3"/>
        <v>112407715</v>
      </c>
      <c r="Y15" s="115">
        <f>+D15+F15+H15</f>
        <v>0</v>
      </c>
      <c r="Z15" s="115">
        <f t="shared" si="6"/>
        <v>0</v>
      </c>
    </row>
    <row r="16" spans="1:26" s="118" customFormat="1" ht="38.25" customHeight="1">
      <c r="A16" s="322" t="s">
        <v>163</v>
      </c>
      <c r="B16" s="224" t="s">
        <v>361</v>
      </c>
      <c r="C16" s="395">
        <v>13218115</v>
      </c>
      <c r="D16" s="395">
        <v>13218115</v>
      </c>
      <c r="E16" s="395">
        <v>0</v>
      </c>
      <c r="F16" s="395">
        <v>0</v>
      </c>
      <c r="G16" s="395">
        <v>0</v>
      </c>
      <c r="H16" s="395">
        <v>0</v>
      </c>
      <c r="I16" s="395">
        <v>0</v>
      </c>
      <c r="J16" s="395">
        <v>0</v>
      </c>
      <c r="K16" s="395">
        <v>0</v>
      </c>
      <c r="L16" s="395">
        <v>0</v>
      </c>
      <c r="M16" s="395">
        <v>0</v>
      </c>
      <c r="N16" s="395">
        <v>0</v>
      </c>
      <c r="O16" s="395">
        <v>0</v>
      </c>
      <c r="P16" s="395">
        <v>0</v>
      </c>
      <c r="Q16" s="395">
        <v>0</v>
      </c>
      <c r="R16" s="395">
        <v>0</v>
      </c>
      <c r="S16" s="396">
        <f t="shared" si="0"/>
        <v>13218115</v>
      </c>
      <c r="T16" s="396">
        <f t="shared" si="1"/>
        <v>0</v>
      </c>
      <c r="U16" s="396">
        <f t="shared" si="2"/>
        <v>13218115</v>
      </c>
      <c r="V16" s="114">
        <v>1</v>
      </c>
      <c r="W16" s="115">
        <f>+C16+E16+G16</f>
        <v>13218115</v>
      </c>
      <c r="X16" s="113">
        <f>+W16*V16</f>
        <v>13218115</v>
      </c>
      <c r="Y16" s="115">
        <f>+D16+F16+H16</f>
        <v>13218115</v>
      </c>
      <c r="Z16" s="115">
        <f t="shared" si="6"/>
        <v>13218115</v>
      </c>
    </row>
    <row r="17" spans="1:26" s="118" customFormat="1" ht="38.25" customHeight="1">
      <c r="A17" s="322" t="s">
        <v>362</v>
      </c>
      <c r="B17" s="224" t="s">
        <v>183</v>
      </c>
      <c r="C17" s="396">
        <f t="shared" ref="C17:R17" si="7">SUM(C19:C25)</f>
        <v>251</v>
      </c>
      <c r="D17" s="396">
        <f t="shared" si="7"/>
        <v>0</v>
      </c>
      <c r="E17" s="396">
        <f t="shared" si="7"/>
        <v>0</v>
      </c>
      <c r="F17" s="396">
        <f t="shared" si="7"/>
        <v>0</v>
      </c>
      <c r="G17" s="396">
        <f t="shared" si="7"/>
        <v>199447829</v>
      </c>
      <c r="H17" s="396">
        <f t="shared" si="7"/>
        <v>0</v>
      </c>
      <c r="I17" s="396">
        <f t="shared" si="7"/>
        <v>461830511</v>
      </c>
      <c r="J17" s="396">
        <f t="shared" si="7"/>
        <v>0</v>
      </c>
      <c r="K17" s="396">
        <f t="shared" si="7"/>
        <v>0</v>
      </c>
      <c r="L17" s="396">
        <f t="shared" si="7"/>
        <v>0</v>
      </c>
      <c r="M17" s="396">
        <f t="shared" si="7"/>
        <v>160140364</v>
      </c>
      <c r="N17" s="396">
        <f t="shared" si="7"/>
        <v>0</v>
      </c>
      <c r="O17" s="396">
        <f t="shared" si="7"/>
        <v>928910901</v>
      </c>
      <c r="P17" s="396">
        <f t="shared" si="7"/>
        <v>0</v>
      </c>
      <c r="Q17" s="396">
        <f t="shared" si="7"/>
        <v>363443230</v>
      </c>
      <c r="R17" s="396">
        <f t="shared" si="7"/>
        <v>0</v>
      </c>
      <c r="S17" s="396">
        <f t="shared" si="0"/>
        <v>2113773086</v>
      </c>
      <c r="T17" s="396">
        <f t="shared" si="1"/>
        <v>2113773086</v>
      </c>
      <c r="U17" s="396">
        <f t="shared" si="2"/>
        <v>0</v>
      </c>
      <c r="V17" s="114"/>
      <c r="W17" s="115"/>
      <c r="X17" s="113"/>
      <c r="Y17" s="115"/>
      <c r="Z17" s="115"/>
    </row>
    <row r="18" spans="1:26" s="118" customFormat="1" ht="38.25" customHeight="1">
      <c r="A18" s="322" t="s">
        <v>549</v>
      </c>
      <c r="B18" s="224" t="s">
        <v>548</v>
      </c>
      <c r="C18" s="396">
        <f>+'Bank Liabilities Analysis'!C34</f>
        <v>0</v>
      </c>
      <c r="D18" s="396">
        <f>+'Bank Liabilities Analysis'!D34</f>
        <v>0</v>
      </c>
      <c r="E18" s="396">
        <f>+'Bank Liabilities Analysis'!E34</f>
        <v>801459811</v>
      </c>
      <c r="F18" s="396">
        <f>+'Bank Liabilities Analysis'!F34</f>
        <v>0</v>
      </c>
      <c r="G18" s="396">
        <f>+'Bank Liabilities Analysis'!G34</f>
        <v>0</v>
      </c>
      <c r="H18" s="396">
        <f>+'Bank Liabilities Analysis'!H34</f>
        <v>0</v>
      </c>
      <c r="I18" s="396">
        <f>+'Bank Liabilities Analysis'!I34</f>
        <v>0</v>
      </c>
      <c r="J18" s="396">
        <f>+'Bank Liabilities Analysis'!J34</f>
        <v>0</v>
      </c>
      <c r="K18" s="396">
        <f>+'Bank Liabilities Analysis'!K34</f>
        <v>0</v>
      </c>
      <c r="L18" s="396">
        <f>+'Bank Liabilities Analysis'!L34</f>
        <v>0</v>
      </c>
      <c r="M18" s="396">
        <f>+'Bank Liabilities Analysis'!M34</f>
        <v>0</v>
      </c>
      <c r="N18" s="396">
        <f>+'Bank Liabilities Analysis'!N34</f>
        <v>0</v>
      </c>
      <c r="O18" s="396">
        <f>+'Bank Liabilities Analysis'!O34</f>
        <v>0</v>
      </c>
      <c r="P18" s="396">
        <f>+'Bank Liabilities Analysis'!P34</f>
        <v>0</v>
      </c>
      <c r="Q18" s="396">
        <f>+'Bank Liabilities Analysis'!Q34</f>
        <v>0</v>
      </c>
      <c r="R18" s="396">
        <f>+'Bank Liabilities Analysis'!R34</f>
        <v>0</v>
      </c>
      <c r="S18" s="396">
        <f>+C18+E18+G18+I18+K18+M18+O18+Q18</f>
        <v>801459811</v>
      </c>
      <c r="T18" s="396">
        <f>+S18-U18</f>
        <v>801459811</v>
      </c>
      <c r="U18" s="396">
        <f>+D18+F18+H18+J18+L18+N18+P18+R18</f>
        <v>0</v>
      </c>
      <c r="V18" s="114">
        <v>1</v>
      </c>
      <c r="W18" s="115">
        <f>+C18+E18+G18</f>
        <v>801459811</v>
      </c>
      <c r="X18" s="113">
        <f>+W18*V18</f>
        <v>801459811</v>
      </c>
      <c r="Y18" s="115">
        <f>+D18+F18+H18</f>
        <v>0</v>
      </c>
      <c r="Z18" s="115">
        <f>+Y18*V18</f>
        <v>0</v>
      </c>
    </row>
    <row r="19" spans="1:26" s="118" customFormat="1" ht="42.75">
      <c r="A19" s="322" t="s">
        <v>76</v>
      </c>
      <c r="B19" s="224" t="s">
        <v>363</v>
      </c>
      <c r="C19" s="395">
        <v>0</v>
      </c>
      <c r="D19" s="395">
        <v>0</v>
      </c>
      <c r="E19" s="395">
        <v>0</v>
      </c>
      <c r="F19" s="395">
        <v>0</v>
      </c>
      <c r="G19" s="395">
        <v>199447829</v>
      </c>
      <c r="H19" s="395">
        <v>0</v>
      </c>
      <c r="I19" s="395">
        <v>461830511</v>
      </c>
      <c r="J19" s="395">
        <v>0</v>
      </c>
      <c r="K19" s="395">
        <v>0</v>
      </c>
      <c r="L19" s="395">
        <v>0</v>
      </c>
      <c r="M19" s="395">
        <v>160140364</v>
      </c>
      <c r="N19" s="395">
        <v>0</v>
      </c>
      <c r="O19" s="395">
        <v>928910901</v>
      </c>
      <c r="P19" s="395">
        <v>0</v>
      </c>
      <c r="Q19" s="395">
        <v>363443230</v>
      </c>
      <c r="R19" s="395">
        <v>0</v>
      </c>
      <c r="S19" s="396">
        <f>+C19+E19+G19+I19+K19+M19+O19+Q19</f>
        <v>2113772835</v>
      </c>
      <c r="T19" s="396">
        <f t="shared" si="1"/>
        <v>2113772835</v>
      </c>
      <c r="U19" s="396">
        <f t="shared" si="2"/>
        <v>0</v>
      </c>
      <c r="V19" s="114">
        <v>1</v>
      </c>
      <c r="W19" s="148">
        <f t="shared" ref="W19:W24" si="8">+S19</f>
        <v>2113772835</v>
      </c>
      <c r="X19" s="116">
        <f t="shared" si="3"/>
        <v>2113772835</v>
      </c>
      <c r="Y19" s="148">
        <f t="shared" ref="Y19:Y24" si="9">+U19</f>
        <v>0</v>
      </c>
      <c r="Z19" s="116">
        <f t="shared" si="6"/>
        <v>0</v>
      </c>
    </row>
    <row r="20" spans="1:26" s="118" customFormat="1" ht="38.25" customHeight="1">
      <c r="A20" s="322" t="s">
        <v>20</v>
      </c>
      <c r="B20" s="224" t="s">
        <v>364</v>
      </c>
      <c r="C20" s="395">
        <v>0</v>
      </c>
      <c r="D20" s="395">
        <v>0</v>
      </c>
      <c r="E20" s="395">
        <v>0</v>
      </c>
      <c r="F20" s="395">
        <v>0</v>
      </c>
      <c r="G20" s="395">
        <v>0</v>
      </c>
      <c r="H20" s="395">
        <v>0</v>
      </c>
      <c r="I20" s="395">
        <v>0</v>
      </c>
      <c r="J20" s="395">
        <v>0</v>
      </c>
      <c r="K20" s="395">
        <v>0</v>
      </c>
      <c r="L20" s="395">
        <v>0</v>
      </c>
      <c r="M20" s="395">
        <v>0</v>
      </c>
      <c r="N20" s="395">
        <v>0</v>
      </c>
      <c r="O20" s="395">
        <v>0</v>
      </c>
      <c r="P20" s="395">
        <v>0</v>
      </c>
      <c r="Q20" s="395">
        <v>0</v>
      </c>
      <c r="R20" s="395">
        <v>0</v>
      </c>
      <c r="S20" s="396">
        <f t="shared" si="0"/>
        <v>0</v>
      </c>
      <c r="T20" s="396">
        <f t="shared" si="1"/>
        <v>0</v>
      </c>
      <c r="U20" s="396">
        <f t="shared" si="2"/>
        <v>0</v>
      </c>
      <c r="V20" s="114">
        <v>1</v>
      </c>
      <c r="W20" s="115">
        <f t="shared" si="8"/>
        <v>0</v>
      </c>
      <c r="X20" s="116">
        <f t="shared" si="3"/>
        <v>0</v>
      </c>
      <c r="Y20" s="115">
        <f t="shared" si="9"/>
        <v>0</v>
      </c>
      <c r="Z20" s="116">
        <f t="shared" si="6"/>
        <v>0</v>
      </c>
    </row>
    <row r="21" spans="1:26" s="118" customFormat="1" ht="61.5" customHeight="1">
      <c r="A21" s="322" t="s">
        <v>21</v>
      </c>
      <c r="B21" s="224" t="s">
        <v>365</v>
      </c>
      <c r="C21" s="395">
        <v>0</v>
      </c>
      <c r="D21" s="395">
        <v>0</v>
      </c>
      <c r="E21" s="395">
        <v>0</v>
      </c>
      <c r="F21" s="395">
        <v>0</v>
      </c>
      <c r="G21" s="395">
        <v>0</v>
      </c>
      <c r="H21" s="395">
        <v>0</v>
      </c>
      <c r="I21" s="395">
        <v>0</v>
      </c>
      <c r="J21" s="395">
        <v>0</v>
      </c>
      <c r="K21" s="395">
        <v>0</v>
      </c>
      <c r="L21" s="395">
        <v>0</v>
      </c>
      <c r="M21" s="395">
        <v>0</v>
      </c>
      <c r="N21" s="395">
        <v>0</v>
      </c>
      <c r="O21" s="395">
        <v>0</v>
      </c>
      <c r="P21" s="395">
        <v>0</v>
      </c>
      <c r="Q21" s="395">
        <v>0</v>
      </c>
      <c r="R21" s="395">
        <v>0</v>
      </c>
      <c r="S21" s="396">
        <f t="shared" ref="S21" si="10">+C21+E21+G21+I21+K21+M21+O21+Q21</f>
        <v>0</v>
      </c>
      <c r="T21" s="396">
        <f t="shared" ref="T21" si="11">+S21-U21</f>
        <v>0</v>
      </c>
      <c r="U21" s="396">
        <f t="shared" ref="U21" si="12">+D21+F21+H21+J21+L21+N21+P21+R21</f>
        <v>0</v>
      </c>
      <c r="V21" s="114">
        <v>1</v>
      </c>
      <c r="W21" s="115">
        <f t="shared" si="8"/>
        <v>0</v>
      </c>
      <c r="X21" s="116">
        <f t="shared" si="3"/>
        <v>0</v>
      </c>
      <c r="Y21" s="115">
        <f t="shared" si="9"/>
        <v>0</v>
      </c>
      <c r="Z21" s="116">
        <f t="shared" si="6"/>
        <v>0</v>
      </c>
    </row>
    <row r="22" spans="1:26" s="118" customFormat="1" ht="45" customHeight="1">
      <c r="A22" s="322" t="s">
        <v>28</v>
      </c>
      <c r="B22" s="224" t="s">
        <v>366</v>
      </c>
      <c r="C22" s="395">
        <v>0</v>
      </c>
      <c r="D22" s="395">
        <v>0</v>
      </c>
      <c r="E22" s="395">
        <v>0</v>
      </c>
      <c r="F22" s="395">
        <v>0</v>
      </c>
      <c r="G22" s="395">
        <v>0</v>
      </c>
      <c r="H22" s="395">
        <v>0</v>
      </c>
      <c r="I22" s="395">
        <v>0</v>
      </c>
      <c r="J22" s="395">
        <v>0</v>
      </c>
      <c r="K22" s="395">
        <v>0</v>
      </c>
      <c r="L22" s="395">
        <v>0</v>
      </c>
      <c r="M22" s="395">
        <v>0</v>
      </c>
      <c r="N22" s="395">
        <v>0</v>
      </c>
      <c r="O22" s="395">
        <v>0</v>
      </c>
      <c r="P22" s="395">
        <v>0</v>
      </c>
      <c r="Q22" s="395">
        <v>0</v>
      </c>
      <c r="R22" s="395">
        <v>0</v>
      </c>
      <c r="S22" s="396">
        <f t="shared" si="0"/>
        <v>0</v>
      </c>
      <c r="T22" s="396">
        <f t="shared" si="1"/>
        <v>0</v>
      </c>
      <c r="U22" s="396">
        <f t="shared" si="2"/>
        <v>0</v>
      </c>
      <c r="V22" s="114">
        <v>1</v>
      </c>
      <c r="W22" s="115">
        <f t="shared" si="8"/>
        <v>0</v>
      </c>
      <c r="X22" s="116">
        <f t="shared" si="3"/>
        <v>0</v>
      </c>
      <c r="Y22" s="115">
        <f t="shared" si="9"/>
        <v>0</v>
      </c>
      <c r="Z22" s="116">
        <f t="shared" si="6"/>
        <v>0</v>
      </c>
    </row>
    <row r="23" spans="1:26" s="118" customFormat="1" ht="45" customHeight="1">
      <c r="A23" s="322" t="s">
        <v>164</v>
      </c>
      <c r="B23" s="224" t="s">
        <v>557</v>
      </c>
      <c r="C23" s="395">
        <v>0</v>
      </c>
      <c r="D23" s="395">
        <v>0</v>
      </c>
      <c r="E23" s="395">
        <v>0</v>
      </c>
      <c r="F23" s="395">
        <v>0</v>
      </c>
      <c r="G23" s="395">
        <v>0</v>
      </c>
      <c r="H23" s="395">
        <v>0</v>
      </c>
      <c r="I23" s="395">
        <v>0</v>
      </c>
      <c r="J23" s="395">
        <v>0</v>
      </c>
      <c r="K23" s="395">
        <v>0</v>
      </c>
      <c r="L23" s="395">
        <v>0</v>
      </c>
      <c r="M23" s="395">
        <v>0</v>
      </c>
      <c r="N23" s="395">
        <v>0</v>
      </c>
      <c r="O23" s="395">
        <v>0</v>
      </c>
      <c r="P23" s="395">
        <v>0</v>
      </c>
      <c r="Q23" s="395">
        <v>0</v>
      </c>
      <c r="R23" s="395">
        <v>0</v>
      </c>
      <c r="S23" s="396">
        <f t="shared" ref="S23" si="13">+C23+E23+G23+I23+K23+M23+O23+Q23</f>
        <v>0</v>
      </c>
      <c r="T23" s="396">
        <f t="shared" ref="T23" si="14">+S23-U23</f>
        <v>0</v>
      </c>
      <c r="U23" s="396">
        <f t="shared" ref="U23" si="15">+D23+F23+H23+J23+L23+N23+P23+R23</f>
        <v>0</v>
      </c>
      <c r="V23" s="114">
        <v>0.8</v>
      </c>
      <c r="W23" s="115">
        <f>+S23</f>
        <v>0</v>
      </c>
      <c r="X23" s="116">
        <f t="shared" ref="X23" si="16">+W23*V23</f>
        <v>0</v>
      </c>
      <c r="Y23" s="115">
        <f>+U23</f>
        <v>0</v>
      </c>
      <c r="Z23" s="116">
        <f t="shared" ref="Z23" si="17">+Y23*V23</f>
        <v>0</v>
      </c>
    </row>
    <row r="24" spans="1:26" s="118" customFormat="1" ht="45" customHeight="1">
      <c r="A24" s="322" t="s">
        <v>367</v>
      </c>
      <c r="B24" s="224" t="s">
        <v>558</v>
      </c>
      <c r="C24" s="395">
        <v>0</v>
      </c>
      <c r="D24" s="395">
        <v>0</v>
      </c>
      <c r="E24" s="395">
        <v>0</v>
      </c>
      <c r="F24" s="395">
        <v>0</v>
      </c>
      <c r="G24" s="395">
        <v>0</v>
      </c>
      <c r="H24" s="395">
        <v>0</v>
      </c>
      <c r="I24" s="395">
        <v>0</v>
      </c>
      <c r="J24" s="395">
        <v>0</v>
      </c>
      <c r="K24" s="395">
        <v>0</v>
      </c>
      <c r="L24" s="395">
        <v>0</v>
      </c>
      <c r="M24" s="395">
        <v>0</v>
      </c>
      <c r="N24" s="395">
        <v>0</v>
      </c>
      <c r="O24" s="395">
        <v>0</v>
      </c>
      <c r="P24" s="395">
        <v>0</v>
      </c>
      <c r="Q24" s="395">
        <v>0</v>
      </c>
      <c r="R24" s="395">
        <v>0</v>
      </c>
      <c r="S24" s="396">
        <f t="shared" ref="S24" si="18">+C24+E24+G24+I24+K24+M24+O24+Q24</f>
        <v>0</v>
      </c>
      <c r="T24" s="396">
        <f t="shared" ref="T24" si="19">+S24-U24</f>
        <v>0</v>
      </c>
      <c r="U24" s="396">
        <f t="shared" ref="U24" si="20">+D24+F24+H24+J24+L24+N24+P24+R24</f>
        <v>0</v>
      </c>
      <c r="V24" s="114">
        <v>1</v>
      </c>
      <c r="W24" s="115">
        <f t="shared" si="8"/>
        <v>0</v>
      </c>
      <c r="X24" s="116">
        <f t="shared" ref="X24" si="21">+W24*V24</f>
        <v>0</v>
      </c>
      <c r="Y24" s="115">
        <f t="shared" si="9"/>
        <v>0</v>
      </c>
      <c r="Z24" s="116">
        <f t="shared" ref="Z24" si="22">+Y24*V24</f>
        <v>0</v>
      </c>
    </row>
    <row r="25" spans="1:26" s="118" customFormat="1" ht="45" customHeight="1">
      <c r="A25" s="322" t="s">
        <v>556</v>
      </c>
      <c r="B25" s="224" t="s">
        <v>368</v>
      </c>
      <c r="C25" s="395">
        <v>251</v>
      </c>
      <c r="D25" s="395">
        <v>0</v>
      </c>
      <c r="E25" s="395">
        <v>0</v>
      </c>
      <c r="F25" s="395">
        <v>0</v>
      </c>
      <c r="G25" s="395">
        <v>0</v>
      </c>
      <c r="H25" s="395">
        <v>0</v>
      </c>
      <c r="I25" s="395">
        <v>0</v>
      </c>
      <c r="J25" s="395">
        <v>0</v>
      </c>
      <c r="K25" s="395">
        <v>0</v>
      </c>
      <c r="L25" s="395">
        <v>0</v>
      </c>
      <c r="M25" s="395">
        <v>0</v>
      </c>
      <c r="N25" s="395">
        <v>0</v>
      </c>
      <c r="O25" s="395">
        <v>0</v>
      </c>
      <c r="P25" s="395">
        <v>0</v>
      </c>
      <c r="Q25" s="395">
        <v>0</v>
      </c>
      <c r="R25" s="395">
        <v>0</v>
      </c>
      <c r="S25" s="396">
        <f t="shared" si="0"/>
        <v>251</v>
      </c>
      <c r="T25" s="396">
        <f t="shared" si="1"/>
        <v>251</v>
      </c>
      <c r="U25" s="396">
        <f t="shared" si="2"/>
        <v>0</v>
      </c>
      <c r="V25" s="114">
        <v>1</v>
      </c>
      <c r="W25" s="115">
        <f>+C25+E25+G25</f>
        <v>251</v>
      </c>
      <c r="X25" s="116">
        <f>+W25*V25</f>
        <v>251</v>
      </c>
      <c r="Y25" s="115">
        <f>+D25+F25+H25</f>
        <v>0</v>
      </c>
      <c r="Z25" s="116">
        <f>+Y25*V25</f>
        <v>0</v>
      </c>
    </row>
    <row r="26" spans="1:26" s="118" customFormat="1" ht="45" customHeight="1">
      <c r="A26" s="322" t="s">
        <v>369</v>
      </c>
      <c r="B26" s="224" t="s">
        <v>370</v>
      </c>
      <c r="C26" s="395">
        <v>12185606</v>
      </c>
      <c r="D26" s="395">
        <v>12185606</v>
      </c>
      <c r="E26" s="395">
        <v>405860</v>
      </c>
      <c r="F26" s="395">
        <v>405860</v>
      </c>
      <c r="G26" s="395">
        <v>667550</v>
      </c>
      <c r="H26" s="395">
        <v>667550</v>
      </c>
      <c r="I26" s="395">
        <v>2146821</v>
      </c>
      <c r="J26" s="395">
        <v>2146821</v>
      </c>
      <c r="K26" s="395">
        <v>10739107</v>
      </c>
      <c r="L26" s="395">
        <v>10739107</v>
      </c>
      <c r="M26" s="395">
        <v>2288544</v>
      </c>
      <c r="N26" s="395">
        <v>2288544</v>
      </c>
      <c r="O26" s="395">
        <v>0</v>
      </c>
      <c r="P26" s="395">
        <v>0</v>
      </c>
      <c r="Q26" s="395">
        <v>9656780</v>
      </c>
      <c r="R26" s="395">
        <v>9656780</v>
      </c>
      <c r="S26" s="396">
        <f t="shared" si="0"/>
        <v>38090268</v>
      </c>
      <c r="T26" s="396">
        <f t="shared" si="1"/>
        <v>0</v>
      </c>
      <c r="U26" s="396">
        <f t="shared" si="2"/>
        <v>38090268</v>
      </c>
      <c r="V26" s="114">
        <v>0.5</v>
      </c>
      <c r="W26" s="115">
        <f>+E26+G26</f>
        <v>1073410</v>
      </c>
      <c r="X26" s="113">
        <f t="shared" si="3"/>
        <v>536705</v>
      </c>
      <c r="Y26" s="115">
        <f>+F26+H26</f>
        <v>1073410</v>
      </c>
      <c r="Z26" s="115">
        <f t="shared" si="6"/>
        <v>536705</v>
      </c>
    </row>
    <row r="27" spans="1:26" s="118" customFormat="1" ht="38.25" customHeight="1">
      <c r="A27" s="322" t="s">
        <v>371</v>
      </c>
      <c r="B27" s="224" t="s">
        <v>372</v>
      </c>
      <c r="C27" s="395">
        <v>0</v>
      </c>
      <c r="D27" s="395">
        <v>0</v>
      </c>
      <c r="E27" s="395">
        <v>0</v>
      </c>
      <c r="F27" s="395">
        <v>0</v>
      </c>
      <c r="G27" s="395">
        <v>0</v>
      </c>
      <c r="H27" s="395">
        <v>0</v>
      </c>
      <c r="I27" s="395">
        <v>0</v>
      </c>
      <c r="J27" s="395">
        <v>0</v>
      </c>
      <c r="K27" s="395">
        <v>0</v>
      </c>
      <c r="L27" s="395">
        <v>0</v>
      </c>
      <c r="M27" s="395">
        <v>0</v>
      </c>
      <c r="N27" s="395">
        <v>0</v>
      </c>
      <c r="O27" s="395">
        <v>0</v>
      </c>
      <c r="P27" s="395">
        <v>0</v>
      </c>
      <c r="Q27" s="395">
        <v>0</v>
      </c>
      <c r="R27" s="395">
        <v>0</v>
      </c>
      <c r="S27" s="396">
        <f t="shared" si="0"/>
        <v>0</v>
      </c>
      <c r="T27" s="396">
        <f t="shared" si="1"/>
        <v>0</v>
      </c>
      <c r="U27" s="396">
        <f t="shared" si="2"/>
        <v>0</v>
      </c>
      <c r="V27" s="114">
        <v>0.5</v>
      </c>
      <c r="W27" s="115">
        <f>+E27+G27</f>
        <v>0</v>
      </c>
      <c r="X27" s="113">
        <f t="shared" si="3"/>
        <v>0</v>
      </c>
      <c r="Y27" s="115">
        <f>+F27+H27</f>
        <v>0</v>
      </c>
      <c r="Z27" s="115">
        <f t="shared" si="6"/>
        <v>0</v>
      </c>
    </row>
    <row r="28" spans="1:26" s="118" customFormat="1" ht="38.25" customHeight="1">
      <c r="A28" s="322" t="s">
        <v>373</v>
      </c>
      <c r="B28" s="224" t="s">
        <v>374</v>
      </c>
      <c r="C28" s="395">
        <v>0</v>
      </c>
      <c r="D28" s="395">
        <v>0</v>
      </c>
      <c r="E28" s="395">
        <v>0</v>
      </c>
      <c r="F28" s="395">
        <v>0</v>
      </c>
      <c r="G28" s="395">
        <v>0</v>
      </c>
      <c r="H28" s="395">
        <v>0</v>
      </c>
      <c r="I28" s="395">
        <v>0</v>
      </c>
      <c r="J28" s="395">
        <v>0</v>
      </c>
      <c r="K28" s="395">
        <v>0</v>
      </c>
      <c r="L28" s="395">
        <v>0</v>
      </c>
      <c r="M28" s="395">
        <v>0</v>
      </c>
      <c r="N28" s="395">
        <v>0</v>
      </c>
      <c r="O28" s="395">
        <v>0</v>
      </c>
      <c r="P28" s="395">
        <v>0</v>
      </c>
      <c r="Q28" s="395">
        <v>0</v>
      </c>
      <c r="R28" s="395">
        <v>0</v>
      </c>
      <c r="S28" s="396">
        <f t="shared" si="0"/>
        <v>0</v>
      </c>
      <c r="T28" s="396">
        <f t="shared" si="1"/>
        <v>0</v>
      </c>
      <c r="U28" s="396">
        <f t="shared" si="2"/>
        <v>0</v>
      </c>
      <c r="V28" s="114">
        <v>1</v>
      </c>
      <c r="W28" s="115">
        <f>+C28+E28+G28</f>
        <v>0</v>
      </c>
      <c r="X28" s="113">
        <f t="shared" si="3"/>
        <v>0</v>
      </c>
      <c r="Y28" s="115">
        <f>+D28+F28+H28</f>
        <v>0</v>
      </c>
      <c r="Z28" s="115">
        <f t="shared" si="6"/>
        <v>0</v>
      </c>
    </row>
    <row r="29" spans="1:26" s="118" customFormat="1" ht="38.25" customHeight="1">
      <c r="A29" s="322" t="s">
        <v>375</v>
      </c>
      <c r="B29" s="224" t="s">
        <v>376</v>
      </c>
      <c r="C29" s="395">
        <v>0</v>
      </c>
      <c r="D29" s="395">
        <v>0</v>
      </c>
      <c r="E29" s="395">
        <v>0</v>
      </c>
      <c r="F29" s="395">
        <v>0</v>
      </c>
      <c r="G29" s="395">
        <v>0</v>
      </c>
      <c r="H29" s="395">
        <v>0</v>
      </c>
      <c r="I29" s="395">
        <v>0</v>
      </c>
      <c r="J29" s="395">
        <v>0</v>
      </c>
      <c r="K29" s="395">
        <v>0</v>
      </c>
      <c r="L29" s="395">
        <v>0</v>
      </c>
      <c r="M29" s="395">
        <v>0</v>
      </c>
      <c r="N29" s="395">
        <v>0</v>
      </c>
      <c r="O29" s="395">
        <v>0</v>
      </c>
      <c r="P29" s="395">
        <v>0</v>
      </c>
      <c r="Q29" s="395">
        <v>0</v>
      </c>
      <c r="R29" s="395">
        <v>0</v>
      </c>
      <c r="S29" s="396">
        <f t="shared" si="0"/>
        <v>0</v>
      </c>
      <c r="T29" s="396">
        <f t="shared" si="1"/>
        <v>0</v>
      </c>
      <c r="U29" s="396">
        <f t="shared" si="2"/>
        <v>0</v>
      </c>
      <c r="V29" s="114">
        <v>0.5</v>
      </c>
      <c r="W29" s="115">
        <f>+E29+G29</f>
        <v>0</v>
      </c>
      <c r="X29" s="113">
        <f t="shared" si="3"/>
        <v>0</v>
      </c>
      <c r="Y29" s="115">
        <f>+F29+H29</f>
        <v>0</v>
      </c>
      <c r="Z29" s="115">
        <f t="shared" si="6"/>
        <v>0</v>
      </c>
    </row>
    <row r="30" spans="1:26" s="118" customFormat="1" ht="39" customHeight="1">
      <c r="A30" s="322" t="s">
        <v>377</v>
      </c>
      <c r="B30" s="224" t="s">
        <v>524</v>
      </c>
      <c r="C30" s="395">
        <v>47395262</v>
      </c>
      <c r="D30" s="395">
        <v>14440130</v>
      </c>
      <c r="E30" s="395">
        <v>17779505</v>
      </c>
      <c r="F30" s="395">
        <v>0</v>
      </c>
      <c r="G30" s="395">
        <v>330819821</v>
      </c>
      <c r="H30" s="395">
        <v>105385025</v>
      </c>
      <c r="I30" s="395">
        <v>883912834</v>
      </c>
      <c r="J30" s="395">
        <v>314730802</v>
      </c>
      <c r="K30" s="395">
        <v>1256500595</v>
      </c>
      <c r="L30" s="395">
        <v>432342301</v>
      </c>
      <c r="M30" s="395">
        <v>2118405283</v>
      </c>
      <c r="N30" s="395">
        <v>702864857</v>
      </c>
      <c r="O30" s="395">
        <v>2396518421</v>
      </c>
      <c r="P30" s="395">
        <v>679206071</v>
      </c>
      <c r="Q30" s="395">
        <v>5534337265</v>
      </c>
      <c r="R30" s="395">
        <v>1506352526</v>
      </c>
      <c r="S30" s="396">
        <f t="shared" si="0"/>
        <v>12585668986</v>
      </c>
      <c r="T30" s="396">
        <f t="shared" si="1"/>
        <v>8830347274</v>
      </c>
      <c r="U30" s="396">
        <f t="shared" si="2"/>
        <v>3755321712</v>
      </c>
      <c r="V30" s="114">
        <v>0.5</v>
      </c>
      <c r="W30" s="115">
        <f>+E30+G30</f>
        <v>348599326</v>
      </c>
      <c r="X30" s="113">
        <f t="shared" si="3"/>
        <v>174299663</v>
      </c>
      <c r="Y30" s="115">
        <f>+F30+H30</f>
        <v>105385025</v>
      </c>
      <c r="Z30" s="115">
        <f t="shared" si="6"/>
        <v>52692512.5</v>
      </c>
    </row>
    <row r="31" spans="1:26" s="118" customFormat="1" ht="39" customHeight="1">
      <c r="A31" s="322" t="s">
        <v>203</v>
      </c>
      <c r="B31" s="224" t="s">
        <v>378</v>
      </c>
      <c r="C31" s="395">
        <v>12195138</v>
      </c>
      <c r="D31" s="395">
        <v>0</v>
      </c>
      <c r="E31" s="395">
        <v>17112476</v>
      </c>
      <c r="F31" s="395">
        <v>0</v>
      </c>
      <c r="G31" s="395">
        <v>62264947</v>
      </c>
      <c r="H31" s="395">
        <v>0</v>
      </c>
      <c r="I31" s="395">
        <v>169210038</v>
      </c>
      <c r="J31" s="395">
        <v>0</v>
      </c>
      <c r="K31" s="395">
        <v>245989398</v>
      </c>
      <c r="L31" s="395">
        <v>0</v>
      </c>
      <c r="M31" s="395">
        <v>486153885</v>
      </c>
      <c r="N31" s="395">
        <v>0</v>
      </c>
      <c r="O31" s="395">
        <v>850968665</v>
      </c>
      <c r="P31" s="395">
        <v>0</v>
      </c>
      <c r="Q31" s="395">
        <v>2204833140</v>
      </c>
      <c r="R31" s="395">
        <v>0</v>
      </c>
      <c r="S31" s="396">
        <f t="shared" si="0"/>
        <v>4048727687</v>
      </c>
      <c r="T31" s="396">
        <f t="shared" si="1"/>
        <v>4048727687</v>
      </c>
      <c r="U31" s="396">
        <f t="shared" si="2"/>
        <v>0</v>
      </c>
      <c r="V31" s="114">
        <v>0</v>
      </c>
      <c r="W31" s="115">
        <f>+E31+G31</f>
        <v>79377423</v>
      </c>
      <c r="X31" s="113">
        <f t="shared" si="3"/>
        <v>0</v>
      </c>
      <c r="Y31" s="115">
        <f>+F31+H31</f>
        <v>0</v>
      </c>
      <c r="Z31" s="115">
        <f t="shared" si="6"/>
        <v>0</v>
      </c>
    </row>
    <row r="32" spans="1:26" s="118" customFormat="1" ht="38.25" customHeight="1">
      <c r="A32" s="322" t="s">
        <v>379</v>
      </c>
      <c r="B32" s="224" t="s">
        <v>380</v>
      </c>
      <c r="C32" s="395">
        <v>104558961</v>
      </c>
      <c r="D32" s="395">
        <v>1389051</v>
      </c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>
        <f t="shared" si="0"/>
        <v>104558961</v>
      </c>
      <c r="T32" s="396">
        <f t="shared" si="1"/>
        <v>103169910</v>
      </c>
      <c r="U32" s="396">
        <f t="shared" si="2"/>
        <v>1389051</v>
      </c>
      <c r="V32" s="114">
        <v>0</v>
      </c>
      <c r="W32" s="115">
        <f t="shared" ref="W32:W33" si="23">+E32+G32</f>
        <v>0</v>
      </c>
      <c r="X32" s="113">
        <f t="shared" ref="X32:X33" si="24">+W32*V32</f>
        <v>0</v>
      </c>
      <c r="Y32" s="115">
        <f t="shared" ref="Y32:Y34" si="25">+F32+H32</f>
        <v>0</v>
      </c>
      <c r="Z32" s="115">
        <f t="shared" ref="Z32:Z34" si="26">+Y32*V32</f>
        <v>0</v>
      </c>
    </row>
    <row r="33" spans="1:32" s="118" customFormat="1" ht="38.25" customHeight="1">
      <c r="A33" s="322">
        <v>11</v>
      </c>
      <c r="B33" s="224" t="s">
        <v>190</v>
      </c>
      <c r="C33" s="395">
        <v>0</v>
      </c>
      <c r="D33" s="395">
        <v>0</v>
      </c>
      <c r="E33" s="395">
        <v>0</v>
      </c>
      <c r="F33" s="395">
        <v>0</v>
      </c>
      <c r="G33" s="395">
        <v>0</v>
      </c>
      <c r="H33" s="395">
        <v>0</v>
      </c>
      <c r="I33" s="395">
        <v>0</v>
      </c>
      <c r="J33" s="395">
        <v>0</v>
      </c>
      <c r="K33" s="395">
        <v>0</v>
      </c>
      <c r="L33" s="395">
        <v>0</v>
      </c>
      <c r="M33" s="395">
        <v>0</v>
      </c>
      <c r="N33" s="395">
        <v>0</v>
      </c>
      <c r="O33" s="395">
        <v>0</v>
      </c>
      <c r="P33" s="395">
        <v>0</v>
      </c>
      <c r="Q33" s="395">
        <v>391688858</v>
      </c>
      <c r="R33" s="395">
        <v>0</v>
      </c>
      <c r="S33" s="396">
        <f t="shared" si="0"/>
        <v>391688858</v>
      </c>
      <c r="T33" s="396">
        <f t="shared" si="1"/>
        <v>391688858</v>
      </c>
      <c r="U33" s="396">
        <f t="shared" si="2"/>
        <v>0</v>
      </c>
      <c r="V33" s="114">
        <v>0</v>
      </c>
      <c r="W33" s="115">
        <f t="shared" si="23"/>
        <v>0</v>
      </c>
      <c r="X33" s="113">
        <f t="shared" si="24"/>
        <v>0</v>
      </c>
      <c r="Y33" s="115">
        <f t="shared" si="25"/>
        <v>0</v>
      </c>
      <c r="Z33" s="115">
        <f t="shared" si="26"/>
        <v>0</v>
      </c>
    </row>
    <row r="34" spans="1:32" s="118" customFormat="1" ht="38.25" customHeight="1">
      <c r="A34" s="322" t="s">
        <v>381</v>
      </c>
      <c r="B34" s="224" t="s">
        <v>547</v>
      </c>
      <c r="C34" s="396">
        <f>+C35+C36</f>
        <v>0</v>
      </c>
      <c r="D34" s="396">
        <f t="shared" ref="D34:R34" si="27">+D35+D36</f>
        <v>0</v>
      </c>
      <c r="E34" s="396">
        <f t="shared" si="27"/>
        <v>0</v>
      </c>
      <c r="F34" s="396">
        <f t="shared" si="27"/>
        <v>0</v>
      </c>
      <c r="G34" s="396">
        <f t="shared" si="27"/>
        <v>0</v>
      </c>
      <c r="H34" s="396">
        <f t="shared" si="27"/>
        <v>0</v>
      </c>
      <c r="I34" s="396">
        <f t="shared" si="27"/>
        <v>0</v>
      </c>
      <c r="J34" s="396">
        <f t="shared" si="27"/>
        <v>0</v>
      </c>
      <c r="K34" s="396">
        <f t="shared" si="27"/>
        <v>0</v>
      </c>
      <c r="L34" s="396">
        <f t="shared" si="27"/>
        <v>0</v>
      </c>
      <c r="M34" s="396">
        <f t="shared" si="27"/>
        <v>0</v>
      </c>
      <c r="N34" s="396">
        <f t="shared" si="27"/>
        <v>0</v>
      </c>
      <c r="O34" s="396">
        <f t="shared" si="27"/>
        <v>0</v>
      </c>
      <c r="P34" s="396">
        <f t="shared" si="27"/>
        <v>0</v>
      </c>
      <c r="Q34" s="396">
        <f t="shared" si="27"/>
        <v>0</v>
      </c>
      <c r="R34" s="396">
        <f t="shared" si="27"/>
        <v>0</v>
      </c>
      <c r="S34" s="396">
        <f t="shared" si="0"/>
        <v>0</v>
      </c>
      <c r="T34" s="396">
        <f t="shared" si="1"/>
        <v>0</v>
      </c>
      <c r="U34" s="396">
        <f t="shared" si="2"/>
        <v>0</v>
      </c>
      <c r="V34" s="114">
        <v>0</v>
      </c>
      <c r="W34" s="115">
        <f>+E34+G34</f>
        <v>0</v>
      </c>
      <c r="X34" s="113">
        <f>+W34*V34</f>
        <v>0</v>
      </c>
      <c r="Y34" s="115">
        <f t="shared" si="25"/>
        <v>0</v>
      </c>
      <c r="Z34" s="115">
        <f t="shared" si="26"/>
        <v>0</v>
      </c>
    </row>
    <row r="35" spans="1:32" s="118" customFormat="1" ht="45" customHeight="1">
      <c r="A35" s="322" t="s">
        <v>214</v>
      </c>
      <c r="B35" s="224" t="s">
        <v>539</v>
      </c>
      <c r="C35" s="395"/>
      <c r="D35" s="395"/>
      <c r="E35" s="395"/>
      <c r="F35" s="395"/>
      <c r="G35" s="395"/>
      <c r="H35" s="395"/>
      <c r="I35" s="395"/>
      <c r="J35" s="395"/>
      <c r="K35" s="395"/>
      <c r="L35" s="395"/>
      <c r="M35" s="395"/>
      <c r="N35" s="395"/>
      <c r="O35" s="395"/>
      <c r="P35" s="395"/>
      <c r="Q35" s="395"/>
      <c r="R35" s="395"/>
      <c r="S35" s="396">
        <f t="shared" si="0"/>
        <v>0</v>
      </c>
      <c r="T35" s="396">
        <f t="shared" si="1"/>
        <v>0</v>
      </c>
      <c r="U35" s="396">
        <f t="shared" si="2"/>
        <v>0</v>
      </c>
      <c r="V35" s="114">
        <v>1</v>
      </c>
      <c r="W35" s="115">
        <f>+S35</f>
        <v>0</v>
      </c>
      <c r="X35" s="116">
        <f t="shared" si="3"/>
        <v>0</v>
      </c>
      <c r="Y35" s="115">
        <f>+U35</f>
        <v>0</v>
      </c>
      <c r="Z35" s="116">
        <f t="shared" si="6"/>
        <v>0</v>
      </c>
    </row>
    <row r="36" spans="1:32" s="118" customFormat="1" ht="38.25" customHeight="1">
      <c r="A36" s="322" t="s">
        <v>216</v>
      </c>
      <c r="B36" s="224" t="s">
        <v>538</v>
      </c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6">
        <f t="shared" si="0"/>
        <v>0</v>
      </c>
      <c r="T36" s="396">
        <f t="shared" si="1"/>
        <v>0</v>
      </c>
      <c r="U36" s="396">
        <f t="shared" si="2"/>
        <v>0</v>
      </c>
      <c r="V36" s="114">
        <v>0</v>
      </c>
      <c r="W36" s="115"/>
      <c r="X36" s="113"/>
      <c r="Y36" s="115"/>
      <c r="Z36" s="115"/>
    </row>
    <row r="37" spans="1:32" s="118" customFormat="1" ht="38.25" customHeight="1">
      <c r="A37" s="322" t="s">
        <v>382</v>
      </c>
      <c r="B37" s="224" t="s">
        <v>383</v>
      </c>
      <c r="C37" s="395">
        <v>0</v>
      </c>
      <c r="D37" s="395">
        <v>0</v>
      </c>
      <c r="E37" s="395">
        <v>0</v>
      </c>
      <c r="F37" s="395">
        <v>0</v>
      </c>
      <c r="G37" s="395">
        <v>0</v>
      </c>
      <c r="H37" s="395">
        <v>0</v>
      </c>
      <c r="I37" s="395">
        <v>0</v>
      </c>
      <c r="J37" s="395">
        <v>0</v>
      </c>
      <c r="K37" s="395">
        <v>0</v>
      </c>
      <c r="L37" s="395">
        <v>0</v>
      </c>
      <c r="M37" s="395">
        <v>0</v>
      </c>
      <c r="N37" s="395">
        <v>0</v>
      </c>
      <c r="O37" s="395">
        <v>0</v>
      </c>
      <c r="P37" s="395">
        <v>0</v>
      </c>
      <c r="Q37" s="395">
        <v>2578342217</v>
      </c>
      <c r="R37" s="395">
        <v>0</v>
      </c>
      <c r="S37" s="396">
        <f t="shared" si="0"/>
        <v>2578342217</v>
      </c>
      <c r="T37" s="396">
        <f t="shared" si="1"/>
        <v>2578342217</v>
      </c>
      <c r="U37" s="396">
        <f t="shared" si="2"/>
        <v>0</v>
      </c>
      <c r="V37" s="114">
        <v>0</v>
      </c>
      <c r="W37" s="115"/>
      <c r="X37" s="113"/>
      <c r="Y37" s="115"/>
      <c r="Z37" s="115"/>
    </row>
    <row r="38" spans="1:32" s="118" customFormat="1" ht="38.25" customHeight="1">
      <c r="A38" s="322" t="s">
        <v>384</v>
      </c>
      <c r="B38" s="224" t="s">
        <v>213</v>
      </c>
      <c r="C38" s="395">
        <v>119934391</v>
      </c>
      <c r="D38" s="395"/>
      <c r="E38" s="395">
        <v>0</v>
      </c>
      <c r="F38" s="395"/>
      <c r="G38" s="395">
        <v>1494238</v>
      </c>
      <c r="H38" s="395"/>
      <c r="I38" s="395">
        <v>2790886</v>
      </c>
      <c r="J38" s="395"/>
      <c r="K38" s="395">
        <v>4633427</v>
      </c>
      <c r="L38" s="395"/>
      <c r="M38" s="395">
        <v>8254794</v>
      </c>
      <c r="N38" s="395"/>
      <c r="O38" s="395">
        <v>14671150</v>
      </c>
      <c r="P38" s="395"/>
      <c r="Q38" s="395">
        <v>196732376</v>
      </c>
      <c r="R38" s="395"/>
      <c r="S38" s="396">
        <f t="shared" si="0"/>
        <v>348511262</v>
      </c>
      <c r="T38" s="396">
        <f t="shared" si="1"/>
        <v>348511262</v>
      </c>
      <c r="U38" s="396">
        <f t="shared" si="2"/>
        <v>0</v>
      </c>
      <c r="V38" s="114">
        <v>0</v>
      </c>
      <c r="W38" s="115"/>
      <c r="X38" s="113"/>
      <c r="Y38" s="115"/>
      <c r="Z38" s="115"/>
    </row>
    <row r="39" spans="1:32" s="118" customFormat="1" ht="38.25" customHeight="1">
      <c r="A39" s="322" t="s">
        <v>226</v>
      </c>
      <c r="B39" s="224" t="s">
        <v>385</v>
      </c>
      <c r="C39" s="395">
        <v>0</v>
      </c>
      <c r="D39" s="395">
        <v>0</v>
      </c>
      <c r="E39" s="395">
        <v>0</v>
      </c>
      <c r="F39" s="395">
        <v>0</v>
      </c>
      <c r="G39" s="395">
        <v>0</v>
      </c>
      <c r="H39" s="395">
        <v>0</v>
      </c>
      <c r="I39" s="395">
        <v>0</v>
      </c>
      <c r="J39" s="395">
        <v>0</v>
      </c>
      <c r="K39" s="395">
        <v>0</v>
      </c>
      <c r="L39" s="395">
        <v>0</v>
      </c>
      <c r="M39" s="395">
        <v>0</v>
      </c>
      <c r="N39" s="395">
        <v>0</v>
      </c>
      <c r="O39" s="395">
        <v>0</v>
      </c>
      <c r="P39" s="395">
        <v>0</v>
      </c>
      <c r="Q39" s="395">
        <v>1561</v>
      </c>
      <c r="R39" s="395">
        <v>0</v>
      </c>
      <c r="S39" s="396">
        <f t="shared" si="0"/>
        <v>1561</v>
      </c>
      <c r="T39" s="396">
        <f t="shared" si="1"/>
        <v>1561</v>
      </c>
      <c r="U39" s="396">
        <f t="shared" si="2"/>
        <v>0</v>
      </c>
      <c r="V39" s="114">
        <v>0</v>
      </c>
      <c r="W39" s="115"/>
      <c r="X39" s="113"/>
      <c r="Y39" s="115"/>
      <c r="Z39" s="115"/>
    </row>
    <row r="40" spans="1:32" s="118" customFormat="1" ht="38.25" customHeight="1">
      <c r="A40" s="322" t="s">
        <v>229</v>
      </c>
      <c r="B40" s="224" t="s">
        <v>386</v>
      </c>
      <c r="C40" s="395">
        <v>0</v>
      </c>
      <c r="D40" s="396"/>
      <c r="E40" s="395">
        <v>0</v>
      </c>
      <c r="F40" s="396"/>
      <c r="G40" s="395">
        <v>0</v>
      </c>
      <c r="H40" s="396"/>
      <c r="I40" s="395">
        <v>0</v>
      </c>
      <c r="J40" s="396"/>
      <c r="K40" s="395">
        <v>0</v>
      </c>
      <c r="L40" s="396"/>
      <c r="M40" s="395">
        <v>0</v>
      </c>
      <c r="N40" s="396"/>
      <c r="O40" s="395">
        <v>0</v>
      </c>
      <c r="P40" s="396"/>
      <c r="Q40" s="395">
        <v>0</v>
      </c>
      <c r="R40" s="396"/>
      <c r="S40" s="396">
        <f t="shared" si="0"/>
        <v>0</v>
      </c>
      <c r="T40" s="396">
        <f t="shared" si="1"/>
        <v>0</v>
      </c>
      <c r="U40" s="396">
        <f t="shared" si="2"/>
        <v>0</v>
      </c>
      <c r="V40" s="114">
        <v>0</v>
      </c>
      <c r="W40" s="115"/>
      <c r="X40" s="113"/>
      <c r="Y40" s="115"/>
      <c r="Z40" s="115"/>
    </row>
    <row r="41" spans="1:32" s="118" customFormat="1" ht="38.25" customHeight="1">
      <c r="A41" s="322" t="s">
        <v>231</v>
      </c>
      <c r="B41" s="224" t="s">
        <v>387</v>
      </c>
      <c r="C41" s="395">
        <v>0</v>
      </c>
      <c r="D41" s="395">
        <v>0</v>
      </c>
      <c r="E41" s="395">
        <v>0</v>
      </c>
      <c r="F41" s="395">
        <v>0</v>
      </c>
      <c r="G41" s="395">
        <v>0</v>
      </c>
      <c r="H41" s="395">
        <v>0</v>
      </c>
      <c r="I41" s="395">
        <v>0</v>
      </c>
      <c r="J41" s="395">
        <v>0</v>
      </c>
      <c r="K41" s="395">
        <v>0</v>
      </c>
      <c r="L41" s="395">
        <v>0</v>
      </c>
      <c r="M41" s="395">
        <v>0</v>
      </c>
      <c r="N41" s="395">
        <v>0</v>
      </c>
      <c r="O41" s="395">
        <v>0</v>
      </c>
      <c r="P41" s="395">
        <v>0</v>
      </c>
      <c r="Q41" s="395">
        <v>0</v>
      </c>
      <c r="R41" s="395">
        <v>0</v>
      </c>
      <c r="S41" s="396">
        <f t="shared" si="0"/>
        <v>0</v>
      </c>
      <c r="T41" s="396">
        <f t="shared" si="1"/>
        <v>0</v>
      </c>
      <c r="U41" s="396">
        <f t="shared" si="2"/>
        <v>0</v>
      </c>
      <c r="V41" s="114">
        <v>0</v>
      </c>
      <c r="W41" s="115"/>
      <c r="X41" s="113"/>
      <c r="Y41" s="115"/>
      <c r="Z41" s="115"/>
    </row>
    <row r="42" spans="1:32" s="118" customFormat="1" ht="38.25" customHeight="1">
      <c r="A42" s="322" t="s">
        <v>233</v>
      </c>
      <c r="B42" s="224" t="s">
        <v>388</v>
      </c>
      <c r="C42" s="395">
        <v>72404860</v>
      </c>
      <c r="D42" s="395">
        <v>21234260</v>
      </c>
      <c r="E42" s="395">
        <v>11581374</v>
      </c>
      <c r="F42" s="395">
        <v>0</v>
      </c>
      <c r="G42" s="395">
        <v>241549682</v>
      </c>
      <c r="H42" s="395">
        <v>118263193</v>
      </c>
      <c r="I42" s="395">
        <v>23749294</v>
      </c>
      <c r="J42" s="395">
        <v>8290010</v>
      </c>
      <c r="K42" s="395">
        <v>8631591</v>
      </c>
      <c r="L42" s="395">
        <v>7930148</v>
      </c>
      <c r="M42" s="395">
        <v>12462178</v>
      </c>
      <c r="N42" s="395">
        <v>1856046</v>
      </c>
      <c r="O42" s="395">
        <v>61409867</v>
      </c>
      <c r="P42" s="395">
        <v>0</v>
      </c>
      <c r="Q42" s="395">
        <v>13777435</v>
      </c>
      <c r="R42" s="395">
        <v>0</v>
      </c>
      <c r="S42" s="396">
        <f t="shared" si="0"/>
        <v>445566281</v>
      </c>
      <c r="T42" s="396">
        <f t="shared" si="1"/>
        <v>287992624</v>
      </c>
      <c r="U42" s="396">
        <f t="shared" si="2"/>
        <v>157573657</v>
      </c>
      <c r="V42" s="114">
        <v>0.5</v>
      </c>
      <c r="W42" s="148">
        <f>+E42+G42</f>
        <v>253131056</v>
      </c>
      <c r="X42" s="113">
        <f>+W42*V42</f>
        <v>126565528</v>
      </c>
      <c r="Y42" s="148">
        <f>+F42+H42</f>
        <v>118263193</v>
      </c>
      <c r="Z42" s="148">
        <f>+Y42*V42</f>
        <v>59131596.5</v>
      </c>
    </row>
    <row r="43" spans="1:32" s="118" customFormat="1" ht="38.25" customHeight="1">
      <c r="A43" s="322" t="s">
        <v>564</v>
      </c>
      <c r="B43" s="224" t="s">
        <v>577</v>
      </c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395"/>
      <c r="P43" s="395"/>
      <c r="Q43" s="395"/>
      <c r="R43" s="395"/>
      <c r="S43" s="396">
        <f t="shared" ref="S43:S44" si="28">+C43+E43+G43+I43+K43+M43+O43+Q43</f>
        <v>0</v>
      </c>
      <c r="T43" s="396">
        <f t="shared" ref="T43:T44" si="29">+S43-U43</f>
        <v>0</v>
      </c>
      <c r="U43" s="396">
        <f t="shared" ref="U43:U44" si="30">+D43+F43+H43+J43+L43+N43+P43+R43</f>
        <v>0</v>
      </c>
      <c r="V43" s="114">
        <v>1</v>
      </c>
      <c r="W43" s="148">
        <f>+E43+G43</f>
        <v>0</v>
      </c>
      <c r="X43" s="113">
        <f>+W43*V43</f>
        <v>0</v>
      </c>
      <c r="Y43" s="148">
        <f>+F43+H43</f>
        <v>0</v>
      </c>
      <c r="Z43" s="148">
        <f>+Y43*V43</f>
        <v>0</v>
      </c>
    </row>
    <row r="44" spans="1:32" s="118" customFormat="1" ht="38.25" customHeight="1">
      <c r="A44" s="322" t="s">
        <v>566</v>
      </c>
      <c r="B44" s="224" t="s">
        <v>565</v>
      </c>
      <c r="C44" s="395"/>
      <c r="D44" s="395"/>
      <c r="E44" s="395"/>
      <c r="F44" s="395"/>
      <c r="G44" s="395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6">
        <f t="shared" si="28"/>
        <v>0</v>
      </c>
      <c r="T44" s="396">
        <f t="shared" si="29"/>
        <v>0</v>
      </c>
      <c r="U44" s="396">
        <f t="shared" si="30"/>
        <v>0</v>
      </c>
      <c r="V44" s="114">
        <v>1</v>
      </c>
      <c r="W44" s="148">
        <f>+E44+G44</f>
        <v>0</v>
      </c>
      <c r="X44" s="113">
        <f>+W44*V44</f>
        <v>0</v>
      </c>
      <c r="Y44" s="148">
        <f>+F44+H44</f>
        <v>0</v>
      </c>
      <c r="Z44" s="148">
        <f>+Y44*V44</f>
        <v>0</v>
      </c>
    </row>
    <row r="45" spans="1:32" s="118" customFormat="1" ht="38.25" customHeight="1">
      <c r="A45" s="322" t="s">
        <v>235</v>
      </c>
      <c r="B45" s="224" t="s">
        <v>389</v>
      </c>
      <c r="C45" s="395">
        <v>1382890982</v>
      </c>
      <c r="D45" s="395">
        <v>27104757</v>
      </c>
      <c r="E45" s="395">
        <v>33709</v>
      </c>
      <c r="F45" s="395">
        <v>16423</v>
      </c>
      <c r="G45" s="395">
        <v>238193</v>
      </c>
      <c r="H45" s="395">
        <v>272</v>
      </c>
      <c r="I45" s="395">
        <v>438314</v>
      </c>
      <c r="J45" s="395">
        <v>178151</v>
      </c>
      <c r="K45" s="395">
        <v>1074338</v>
      </c>
      <c r="L45" s="395">
        <v>509114</v>
      </c>
      <c r="M45" s="395">
        <v>956247</v>
      </c>
      <c r="N45" s="395">
        <v>464814</v>
      </c>
      <c r="O45" s="395">
        <v>3367670</v>
      </c>
      <c r="P45" s="395">
        <v>1025671</v>
      </c>
      <c r="Q45" s="395">
        <v>23940437</v>
      </c>
      <c r="R45" s="395">
        <v>8764881</v>
      </c>
      <c r="S45" s="396">
        <f t="shared" si="0"/>
        <v>1412939890</v>
      </c>
      <c r="T45" s="396">
        <f t="shared" si="1"/>
        <v>1374875807</v>
      </c>
      <c r="U45" s="396">
        <f t="shared" si="2"/>
        <v>38064083</v>
      </c>
      <c r="V45" s="114">
        <v>0</v>
      </c>
      <c r="W45" s="148"/>
      <c r="X45" s="113"/>
      <c r="Y45" s="148"/>
      <c r="Z45" s="148"/>
    </row>
    <row r="46" spans="1:32" s="118" customFormat="1" ht="38.25" customHeight="1">
      <c r="A46" s="322" t="s">
        <v>237</v>
      </c>
      <c r="B46" s="224" t="s">
        <v>550</v>
      </c>
      <c r="C46" s="395">
        <v>0</v>
      </c>
      <c r="D46" s="395">
        <v>0</v>
      </c>
      <c r="E46" s="395">
        <v>0</v>
      </c>
      <c r="F46" s="395">
        <v>0</v>
      </c>
      <c r="G46" s="395">
        <v>0</v>
      </c>
      <c r="H46" s="395">
        <v>0</v>
      </c>
      <c r="I46" s="395">
        <v>0</v>
      </c>
      <c r="J46" s="395">
        <v>0</v>
      </c>
      <c r="K46" s="395">
        <v>0</v>
      </c>
      <c r="L46" s="395">
        <v>0</v>
      </c>
      <c r="M46" s="395">
        <v>0</v>
      </c>
      <c r="N46" s="395">
        <v>0</v>
      </c>
      <c r="O46" s="395">
        <v>0</v>
      </c>
      <c r="P46" s="395">
        <v>0</v>
      </c>
      <c r="Q46" s="395">
        <v>0</v>
      </c>
      <c r="R46" s="395">
        <v>0</v>
      </c>
      <c r="S46" s="396">
        <f t="shared" ref="S46" si="31">+C46+E46+G46+I46+K46+M46+O46+Q46</f>
        <v>0</v>
      </c>
      <c r="T46" s="396">
        <f t="shared" ref="T46" si="32">+S46-U46</f>
        <v>0</v>
      </c>
      <c r="U46" s="396">
        <f t="shared" ref="U46" si="33">+D46+F46+H46+J46+L46+N46+P46+R46</f>
        <v>0</v>
      </c>
      <c r="V46" s="114">
        <v>1</v>
      </c>
      <c r="W46" s="148">
        <f>+C46+E46+G46</f>
        <v>0</v>
      </c>
      <c r="X46" s="113">
        <f>+W46*V46</f>
        <v>0</v>
      </c>
      <c r="Y46" s="148">
        <f>+D46+F46+H46</f>
        <v>0</v>
      </c>
      <c r="Z46" s="148">
        <f>+Y46*V46</f>
        <v>0</v>
      </c>
    </row>
    <row r="47" spans="1:32" s="117" customFormat="1" ht="32.25" customHeight="1">
      <c r="A47" s="225" t="s">
        <v>239</v>
      </c>
      <c r="B47" s="226" t="s">
        <v>391</v>
      </c>
      <c r="C47" s="397">
        <f t="shared" ref="C47:R47" si="34">SUM(C6:C45)-C9-C13-C17-C18-C31-C34</f>
        <v>4770793053</v>
      </c>
      <c r="D47" s="397">
        <f t="shared" si="34"/>
        <v>936815624</v>
      </c>
      <c r="E47" s="397">
        <f t="shared" si="34"/>
        <v>29800448</v>
      </c>
      <c r="F47" s="397">
        <f t="shared" si="34"/>
        <v>422283</v>
      </c>
      <c r="G47" s="397">
        <f t="shared" si="34"/>
        <v>839860803</v>
      </c>
      <c r="H47" s="397">
        <f t="shared" si="34"/>
        <v>249959530</v>
      </c>
      <c r="I47" s="397">
        <f t="shared" si="34"/>
        <v>1407169860</v>
      </c>
      <c r="J47" s="397">
        <f t="shared" si="34"/>
        <v>357646984</v>
      </c>
      <c r="K47" s="397">
        <f t="shared" si="34"/>
        <v>1305988418</v>
      </c>
      <c r="L47" s="397">
        <f t="shared" si="34"/>
        <v>451520670</v>
      </c>
      <c r="M47" s="397">
        <f t="shared" si="34"/>
        <v>2326916770</v>
      </c>
      <c r="N47" s="397">
        <f t="shared" si="34"/>
        <v>707474261</v>
      </c>
      <c r="O47" s="397">
        <f t="shared" si="34"/>
        <v>3442400562</v>
      </c>
      <c r="P47" s="397">
        <f t="shared" si="34"/>
        <v>680231742</v>
      </c>
      <c r="Q47" s="397">
        <f t="shared" si="34"/>
        <v>9128344773</v>
      </c>
      <c r="R47" s="397">
        <f t="shared" si="34"/>
        <v>1524774187</v>
      </c>
      <c r="S47" s="397">
        <f>+C47+E47+G47+I47+K47+M47+O47+Q47</f>
        <v>23251274687</v>
      </c>
      <c r="T47" s="397">
        <f t="shared" si="1"/>
        <v>18342429406</v>
      </c>
      <c r="U47" s="397">
        <f t="shared" si="2"/>
        <v>4908845281</v>
      </c>
      <c r="V47" s="364"/>
      <c r="W47" s="364"/>
      <c r="X47" s="364">
        <f>+X12+X14+X15+X16+X18+X25+X26+X27+X28+X29+X30+X42+X46+(T23*0.2)+X43+X44</f>
        <v>1319977238</v>
      </c>
      <c r="Y47" s="364"/>
      <c r="Z47" s="364">
        <f>+Z12+Z14+Z15+Z16+Z18+Z25+Z26+Z27+Z28+Z29+Z30+Z42+Z46+(U23*0.2)+Z43+Z44</f>
        <v>177063379</v>
      </c>
      <c r="AA47" s="367">
        <f>+Balance!C47</f>
        <v>23251274687</v>
      </c>
      <c r="AB47" s="367">
        <f>+Balance!D47</f>
        <v>18342429406</v>
      </c>
      <c r="AC47" s="367">
        <f>+Balance!E47</f>
        <v>4908845281</v>
      </c>
      <c r="AD47" s="367"/>
      <c r="AE47" s="367"/>
      <c r="AF47" s="367"/>
    </row>
    <row r="48" spans="1:32" s="362" customFormat="1" ht="15">
      <c r="A48" s="223"/>
      <c r="B48" s="228" t="s">
        <v>392</v>
      </c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114"/>
      <c r="W48" s="148"/>
      <c r="X48" s="148"/>
      <c r="Y48" s="148"/>
      <c r="Z48" s="148"/>
      <c r="AA48" s="409">
        <f>+AA47-S47</f>
        <v>0</v>
      </c>
      <c r="AB48" s="409">
        <f>+AB47-T47</f>
        <v>0</v>
      </c>
      <c r="AC48" s="409">
        <f>+AC47-U47</f>
        <v>0</v>
      </c>
      <c r="AD48" s="369"/>
      <c r="AE48" s="369"/>
      <c r="AF48" s="369"/>
    </row>
    <row r="49" spans="1:32" s="362" customFormat="1" ht="25.5" customHeight="1">
      <c r="A49" s="223">
        <v>1</v>
      </c>
      <c r="B49" s="224" t="s">
        <v>393</v>
      </c>
      <c r="C49" s="395">
        <v>128630</v>
      </c>
      <c r="D49" s="395">
        <v>0</v>
      </c>
      <c r="E49" s="395">
        <v>59406361</v>
      </c>
      <c r="F49" s="395">
        <v>0</v>
      </c>
      <c r="G49" s="395">
        <v>0</v>
      </c>
      <c r="H49" s="395">
        <v>0</v>
      </c>
      <c r="I49" s="395">
        <v>583858</v>
      </c>
      <c r="J49" s="395">
        <v>533858</v>
      </c>
      <c r="K49" s="395">
        <v>48702046</v>
      </c>
      <c r="L49" s="395">
        <v>47399485</v>
      </c>
      <c r="M49" s="395">
        <v>154855966</v>
      </c>
      <c r="N49" s="395">
        <v>48193390</v>
      </c>
      <c r="O49" s="395">
        <v>74290480</v>
      </c>
      <c r="P49" s="395">
        <v>3563468</v>
      </c>
      <c r="Q49" s="395">
        <v>502064975</v>
      </c>
      <c r="R49" s="395">
        <v>303287237</v>
      </c>
      <c r="S49" s="396">
        <f t="shared" ref="S49" si="35">+C49+E49+G49+I49+K49+M49+O49+Q49</f>
        <v>840032316</v>
      </c>
      <c r="T49" s="396">
        <f t="shared" ref="T49" si="36">+S49-U49</f>
        <v>437054878</v>
      </c>
      <c r="U49" s="396">
        <f t="shared" ref="U49" si="37">+D49+F49+H49+J49+L49+N49+P49+R49</f>
        <v>402977438</v>
      </c>
      <c r="V49" s="114"/>
      <c r="W49" s="148"/>
      <c r="X49" s="148"/>
      <c r="Y49" s="148"/>
      <c r="Z49" s="148"/>
      <c r="AA49" s="370">
        <f>+Commitments!C4</f>
        <v>840032316</v>
      </c>
      <c r="AB49" s="370">
        <f>+Commitments!D4</f>
        <v>437054878</v>
      </c>
      <c r="AC49" s="370">
        <f>+Commitments!E4</f>
        <v>402977438</v>
      </c>
      <c r="AD49" s="368">
        <f>+AA49-S49</f>
        <v>0</v>
      </c>
      <c r="AE49" s="368">
        <f>+AB49-T49</f>
        <v>0</v>
      </c>
      <c r="AF49" s="368">
        <f>+AC49-U49</f>
        <v>0</v>
      </c>
    </row>
    <row r="50" spans="1:32" s="362" customFormat="1" ht="31.5" customHeight="1">
      <c r="A50" s="223"/>
      <c r="B50" s="224" t="s">
        <v>394</v>
      </c>
      <c r="C50" s="395">
        <v>0</v>
      </c>
      <c r="D50" s="395">
        <v>0</v>
      </c>
      <c r="E50" s="395">
        <v>0</v>
      </c>
      <c r="F50" s="395">
        <v>0</v>
      </c>
      <c r="G50" s="395">
        <v>0</v>
      </c>
      <c r="H50" s="395">
        <v>0</v>
      </c>
      <c r="I50" s="395">
        <v>0</v>
      </c>
      <c r="J50" s="395">
        <v>0</v>
      </c>
      <c r="K50" s="395">
        <v>0</v>
      </c>
      <c r="L50" s="395">
        <v>0</v>
      </c>
      <c r="M50" s="395">
        <v>0</v>
      </c>
      <c r="N50" s="395">
        <v>0</v>
      </c>
      <c r="O50" s="395">
        <v>0</v>
      </c>
      <c r="P50" s="395">
        <v>0</v>
      </c>
      <c r="Q50" s="395">
        <v>2704256</v>
      </c>
      <c r="R50" s="395">
        <v>2704256</v>
      </c>
      <c r="S50" s="396">
        <f t="shared" ref="S50:S54" si="38">+C50+E50+G50+I50+K50+M50+O50+Q50</f>
        <v>2704256</v>
      </c>
      <c r="T50" s="396">
        <f t="shared" ref="T50:T54" si="39">+S50-U50</f>
        <v>0</v>
      </c>
      <c r="U50" s="396">
        <f t="shared" ref="U50:U54" si="40">+D50+F50+H50+J50+L50+N50+P50+R50</f>
        <v>2704256</v>
      </c>
      <c r="V50" s="114"/>
      <c r="W50" s="148"/>
      <c r="X50" s="148"/>
      <c r="Y50" s="148"/>
      <c r="Z50" s="148"/>
      <c r="AA50" s="370">
        <f>+Commitments!C5</f>
        <v>2704256</v>
      </c>
      <c r="AB50" s="370">
        <f>+Commitments!D5</f>
        <v>0</v>
      </c>
      <c r="AC50" s="370">
        <f>+Commitments!E5</f>
        <v>2704256</v>
      </c>
      <c r="AD50" s="369"/>
      <c r="AE50" s="369"/>
      <c r="AF50" s="369"/>
    </row>
    <row r="51" spans="1:32" s="362" customFormat="1" ht="25.5" customHeight="1">
      <c r="A51" s="223">
        <v>2</v>
      </c>
      <c r="B51" s="224" t="s">
        <v>395</v>
      </c>
      <c r="C51" s="395">
        <v>0</v>
      </c>
      <c r="D51" s="395">
        <v>0</v>
      </c>
      <c r="E51" s="395">
        <v>0</v>
      </c>
      <c r="F51" s="395">
        <v>0</v>
      </c>
      <c r="G51" s="395">
        <v>1154145</v>
      </c>
      <c r="H51" s="395">
        <v>0</v>
      </c>
      <c r="I51" s="395">
        <v>136048164</v>
      </c>
      <c r="J51" s="395">
        <v>128375481</v>
      </c>
      <c r="K51" s="395">
        <v>64955346</v>
      </c>
      <c r="L51" s="395">
        <v>39189203</v>
      </c>
      <c r="M51" s="395">
        <v>138477803</v>
      </c>
      <c r="N51" s="395">
        <v>138477803</v>
      </c>
      <c r="O51" s="395">
        <v>92999000</v>
      </c>
      <c r="P51" s="395">
        <v>92999000</v>
      </c>
      <c r="Q51" s="395">
        <v>402010399</v>
      </c>
      <c r="R51" s="395">
        <v>402010399</v>
      </c>
      <c r="S51" s="396">
        <f t="shared" si="38"/>
        <v>835644857</v>
      </c>
      <c r="T51" s="396">
        <f t="shared" si="39"/>
        <v>34592971</v>
      </c>
      <c r="U51" s="396">
        <f t="shared" si="40"/>
        <v>801051886</v>
      </c>
      <c r="V51" s="114"/>
      <c r="W51" s="148"/>
      <c r="X51" s="148"/>
      <c r="Y51" s="148"/>
      <c r="Z51" s="148"/>
      <c r="AA51" s="370">
        <f>+Commitments!C7</f>
        <v>835644857</v>
      </c>
      <c r="AB51" s="370">
        <f>+Commitments!D7</f>
        <v>34592971</v>
      </c>
      <c r="AC51" s="370">
        <f>+Commitments!E7</f>
        <v>801051886</v>
      </c>
      <c r="AD51" s="368">
        <f>+AA51-S51</f>
        <v>0</v>
      </c>
      <c r="AE51" s="368">
        <f>+AB51-T51</f>
        <v>0</v>
      </c>
      <c r="AF51" s="368">
        <f>+AC51-U51</f>
        <v>0</v>
      </c>
    </row>
    <row r="52" spans="1:32" s="362" customFormat="1" ht="28.5">
      <c r="A52" s="223"/>
      <c r="B52" s="224" t="s">
        <v>396</v>
      </c>
      <c r="C52" s="395">
        <v>0</v>
      </c>
      <c r="D52" s="395">
        <v>0</v>
      </c>
      <c r="E52" s="395">
        <v>0</v>
      </c>
      <c r="F52" s="395">
        <v>0</v>
      </c>
      <c r="G52" s="395">
        <v>0</v>
      </c>
      <c r="H52" s="395">
        <v>0</v>
      </c>
      <c r="I52" s="395">
        <v>0</v>
      </c>
      <c r="J52" s="395">
        <v>0</v>
      </c>
      <c r="K52" s="395">
        <v>0</v>
      </c>
      <c r="L52" s="395">
        <v>0</v>
      </c>
      <c r="M52" s="395">
        <v>0</v>
      </c>
      <c r="N52" s="395">
        <v>0</v>
      </c>
      <c r="O52" s="395">
        <v>0</v>
      </c>
      <c r="P52" s="395">
        <v>0</v>
      </c>
      <c r="Q52" s="395">
        <v>0</v>
      </c>
      <c r="R52" s="395">
        <v>0</v>
      </c>
      <c r="S52" s="396">
        <f t="shared" si="38"/>
        <v>0</v>
      </c>
      <c r="T52" s="396">
        <f t="shared" si="39"/>
        <v>0</v>
      </c>
      <c r="U52" s="396">
        <f t="shared" si="40"/>
        <v>0</v>
      </c>
      <c r="V52" s="114"/>
      <c r="W52" s="148"/>
      <c r="X52" s="148"/>
      <c r="Y52" s="148"/>
      <c r="Z52" s="148"/>
      <c r="AA52" s="370">
        <f>+Commitments!C8</f>
        <v>0</v>
      </c>
      <c r="AB52" s="370">
        <f>+Commitments!D8</f>
        <v>0</v>
      </c>
      <c r="AC52" s="370">
        <f>+Commitments!E8</f>
        <v>0</v>
      </c>
      <c r="AD52" s="369"/>
      <c r="AE52" s="369"/>
      <c r="AF52" s="369"/>
    </row>
    <row r="53" spans="1:32" s="362" customFormat="1" ht="25.5" customHeight="1">
      <c r="A53" s="223">
        <v>3</v>
      </c>
      <c r="B53" s="224" t="s">
        <v>397</v>
      </c>
      <c r="C53" s="395">
        <v>0</v>
      </c>
      <c r="D53" s="395">
        <v>0</v>
      </c>
      <c r="E53" s="395">
        <v>1568703</v>
      </c>
      <c r="F53" s="395">
        <v>1568703</v>
      </c>
      <c r="G53" s="395">
        <v>667550</v>
      </c>
      <c r="H53" s="395">
        <v>667550</v>
      </c>
      <c r="I53" s="395">
        <v>2939880</v>
      </c>
      <c r="J53" s="395">
        <v>2939880</v>
      </c>
      <c r="K53" s="395">
        <v>3220231</v>
      </c>
      <c r="L53" s="395">
        <v>3220231</v>
      </c>
      <c r="M53" s="395">
        <v>225455420</v>
      </c>
      <c r="N53" s="395">
        <v>225455420</v>
      </c>
      <c r="O53" s="395">
        <v>53045369</v>
      </c>
      <c r="P53" s="395">
        <v>53045369</v>
      </c>
      <c r="Q53" s="395">
        <v>0</v>
      </c>
      <c r="R53" s="395">
        <v>0</v>
      </c>
      <c r="S53" s="396">
        <f t="shared" si="38"/>
        <v>286897153</v>
      </c>
      <c r="T53" s="396">
        <f t="shared" si="39"/>
        <v>0</v>
      </c>
      <c r="U53" s="396">
        <f t="shared" si="40"/>
        <v>286897153</v>
      </c>
      <c r="V53" s="114"/>
      <c r="W53" s="148"/>
      <c r="X53" s="148"/>
      <c r="Y53" s="148"/>
      <c r="Z53" s="148"/>
      <c r="AA53" s="370">
        <f>+Commitments!C10</f>
        <v>286897153</v>
      </c>
      <c r="AB53" s="370">
        <f>+Commitments!D10</f>
        <v>0</v>
      </c>
      <c r="AC53" s="370">
        <f>+Commitments!E10</f>
        <v>286897153</v>
      </c>
      <c r="AD53" s="368">
        <f>+AA53-S53</f>
        <v>0</v>
      </c>
      <c r="AE53" s="368">
        <f>+AB53-T53</f>
        <v>0</v>
      </c>
      <c r="AF53" s="368">
        <f>+AC53-U53</f>
        <v>0</v>
      </c>
    </row>
    <row r="54" spans="1:32" s="362" customFormat="1" ht="28.5">
      <c r="A54" s="223"/>
      <c r="B54" s="224" t="s">
        <v>398</v>
      </c>
      <c r="C54" s="395">
        <v>0</v>
      </c>
      <c r="D54" s="395">
        <v>0</v>
      </c>
      <c r="E54" s="395">
        <v>1162843</v>
      </c>
      <c r="F54" s="395">
        <v>1162843</v>
      </c>
      <c r="G54" s="395">
        <v>0</v>
      </c>
      <c r="H54" s="395">
        <v>0</v>
      </c>
      <c r="I54" s="395">
        <v>793059</v>
      </c>
      <c r="J54" s="395">
        <v>793059</v>
      </c>
      <c r="K54" s="395">
        <v>0</v>
      </c>
      <c r="L54" s="395">
        <v>0</v>
      </c>
      <c r="M54" s="395">
        <v>37762040</v>
      </c>
      <c r="N54" s="395">
        <v>37762040</v>
      </c>
      <c r="O54" s="395">
        <v>53045367</v>
      </c>
      <c r="P54" s="395">
        <v>53045367</v>
      </c>
      <c r="Q54" s="395">
        <v>0</v>
      </c>
      <c r="R54" s="395">
        <v>0</v>
      </c>
      <c r="S54" s="396">
        <f t="shared" si="38"/>
        <v>92763309</v>
      </c>
      <c r="T54" s="396">
        <f t="shared" si="39"/>
        <v>0</v>
      </c>
      <c r="U54" s="396">
        <f t="shared" si="40"/>
        <v>92763309</v>
      </c>
      <c r="V54" s="114"/>
      <c r="W54" s="148"/>
      <c r="X54" s="148"/>
      <c r="Y54" s="148"/>
      <c r="Z54" s="148"/>
      <c r="AA54" s="365"/>
      <c r="AB54" s="365"/>
      <c r="AC54" s="365"/>
    </row>
    <row r="55" spans="1:32" ht="29.25" customHeight="1"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162"/>
      <c r="W55" s="163"/>
      <c r="X55" s="164"/>
      <c r="Y55" s="163"/>
      <c r="Z55" s="164"/>
    </row>
    <row r="56" spans="1:32" s="17" customFormat="1" ht="17.25" customHeight="1">
      <c r="B56" s="307" t="s">
        <v>536</v>
      </c>
      <c r="C56" s="392"/>
      <c r="D56" s="392"/>
      <c r="E56" s="392"/>
      <c r="F56" s="398"/>
      <c r="G56" s="398"/>
      <c r="H56" s="398"/>
      <c r="I56" s="398"/>
      <c r="J56" s="398"/>
      <c r="K56" s="398"/>
      <c r="L56" s="398"/>
      <c r="M56" s="398"/>
      <c r="N56" s="392"/>
      <c r="O56" s="392"/>
      <c r="P56" s="392"/>
      <c r="Q56" s="392"/>
      <c r="R56" s="392"/>
      <c r="S56" s="392"/>
      <c r="T56" s="392"/>
      <c r="U56" s="392"/>
    </row>
    <row r="57" spans="1:32" s="17" customFormat="1" ht="17.25" customHeight="1">
      <c r="B57" s="307"/>
      <c r="C57" s="392"/>
      <c r="D57" s="392"/>
      <c r="E57" s="392"/>
      <c r="F57" s="398"/>
      <c r="G57" s="398"/>
      <c r="H57" s="398"/>
      <c r="I57" s="398"/>
      <c r="J57" s="398"/>
      <c r="K57" s="398"/>
      <c r="L57" s="398"/>
      <c r="M57" s="398"/>
      <c r="N57" s="392"/>
      <c r="O57" s="392"/>
      <c r="P57" s="392"/>
      <c r="Q57" s="392"/>
      <c r="R57" s="392"/>
      <c r="S57" s="392"/>
      <c r="T57" s="392"/>
      <c r="U57" s="392"/>
    </row>
    <row r="58" spans="1:32" s="17" customFormat="1" ht="17.25" customHeight="1">
      <c r="B58" s="307" t="s">
        <v>535</v>
      </c>
      <c r="F58" s="144"/>
      <c r="G58" s="144"/>
      <c r="H58" s="144"/>
      <c r="I58" s="144"/>
      <c r="J58" s="144"/>
      <c r="K58" s="144"/>
      <c r="L58" s="144"/>
      <c r="M58" s="144"/>
    </row>
    <row r="59" spans="1:32" ht="20.25" customHeight="1">
      <c r="B59" s="4"/>
      <c r="V59" s="167"/>
      <c r="W59" s="165"/>
      <c r="X59" s="166"/>
      <c r="Y59" s="165"/>
      <c r="Z59" s="166"/>
    </row>
    <row r="60" spans="1:32" ht="12.75" customHeight="1">
      <c r="V60" s="167"/>
      <c r="W60" s="426" t="s">
        <v>168</v>
      </c>
      <c r="X60" s="426"/>
      <c r="Y60" s="426"/>
      <c r="Z60" s="426"/>
    </row>
    <row r="61" spans="1:32" ht="14.25">
      <c r="V61" s="167"/>
      <c r="W61" s="168">
        <f>+Balance!C47</f>
        <v>23251274687</v>
      </c>
      <c r="X61" s="168">
        <f>+Balance!D47</f>
        <v>18342429406</v>
      </c>
      <c r="Y61" s="165">
        <f>+Balance!E47</f>
        <v>4908845281</v>
      </c>
      <c r="Z61" s="166"/>
    </row>
    <row r="62" spans="1:32">
      <c r="V62" s="167"/>
      <c r="W62" s="169" t="s">
        <v>56</v>
      </c>
      <c r="X62" s="169"/>
      <c r="Y62" s="170" t="s">
        <v>167</v>
      </c>
      <c r="Z62" s="171"/>
    </row>
    <row r="63" spans="1:32">
      <c r="V63" s="167"/>
      <c r="W63" s="172" t="s">
        <v>166</v>
      </c>
      <c r="X63" s="173">
        <f>+X47</f>
        <v>1319977238</v>
      </c>
      <c r="Y63" s="172" t="s">
        <v>166</v>
      </c>
      <c r="Z63" s="173">
        <f>+Z47</f>
        <v>177063379</v>
      </c>
      <c r="AB63" s="353"/>
    </row>
    <row r="64" spans="1:32" ht="25.5">
      <c r="V64" s="167"/>
      <c r="W64" s="172" t="s">
        <v>18</v>
      </c>
      <c r="X64" s="173">
        <f>+X6+X7+X10+X11+X13+X19+X20+X21+X22+X24+X35-X46-X18</f>
        <v>4192263974</v>
      </c>
      <c r="Y64" s="172" t="s">
        <v>18</v>
      </c>
      <c r="Z64" s="173">
        <f>+Z6+Z7+Z10+Z11+Z13+Z19+Z20+Z21+Z22+Z24+Z35-Z46-Z18</f>
        <v>821402745</v>
      </c>
      <c r="AB64" s="353"/>
    </row>
    <row r="65" spans="1:28" ht="25.5">
      <c r="V65" s="167"/>
      <c r="W65" s="172" t="s">
        <v>157</v>
      </c>
      <c r="X65" s="173">
        <f>+X67-X70</f>
        <v>2608938893.8499999</v>
      </c>
      <c r="Y65" s="172" t="s">
        <v>157</v>
      </c>
      <c r="Z65" s="173">
        <f>+Z67-Z70</f>
        <v>655047475.54999995</v>
      </c>
      <c r="AB65" s="353"/>
    </row>
    <row r="66" spans="1:28">
      <c r="A66" s="133"/>
      <c r="V66" s="174"/>
      <c r="W66" s="175"/>
      <c r="X66" s="174"/>
      <c r="Y66" s="175"/>
      <c r="Z66" s="174"/>
      <c r="AB66" s="353"/>
    </row>
    <row r="67" spans="1:28">
      <c r="A67" s="133"/>
      <c r="V67" s="174"/>
      <c r="W67" s="176" t="s">
        <v>169</v>
      </c>
      <c r="X67" s="173">
        <f>+'Bank Liabilities Analysis'!W42+'Liquidity Analysis'!C41</f>
        <v>3928916131.8499999</v>
      </c>
      <c r="Y67" s="176" t="s">
        <v>158</v>
      </c>
      <c r="Z67" s="173">
        <f>+'Bank Liabilities Analysis'!X42+'Liquidity Analysis'!E41</f>
        <v>832110854.54999995</v>
      </c>
      <c r="AB67" s="353"/>
    </row>
    <row r="68" spans="1:28" ht="25.5">
      <c r="A68" s="133"/>
      <c r="V68" s="174"/>
      <c r="W68" s="176" t="s">
        <v>170</v>
      </c>
      <c r="X68" s="173">
        <f>+'Liquidity Analysis'!C41</f>
        <v>280066014</v>
      </c>
      <c r="Y68" s="176" t="s">
        <v>170</v>
      </c>
      <c r="Z68" s="173">
        <f>+'Liquidity Analysis'!E41</f>
        <v>209318837</v>
      </c>
      <c r="AB68" s="353"/>
    </row>
    <row r="69" spans="1:28">
      <c r="A69" s="133"/>
      <c r="V69" s="174"/>
      <c r="W69" s="176"/>
      <c r="X69" s="173"/>
      <c r="Y69" s="176"/>
      <c r="Z69" s="173"/>
      <c r="AB69" s="353"/>
    </row>
    <row r="70" spans="1:28" ht="25.5">
      <c r="A70" s="133"/>
      <c r="V70" s="174"/>
      <c r="W70" s="176" t="s">
        <v>159</v>
      </c>
      <c r="X70" s="173">
        <f>IF(X63&gt;(X67*0.75),X67*0.75,X63)</f>
        <v>1319977238</v>
      </c>
      <c r="Y70" s="176" t="s">
        <v>159</v>
      </c>
      <c r="Z70" s="173">
        <f>IF(Z63&gt;(Z67*0.75),Z67*0.75,Z63)</f>
        <v>177063379</v>
      </c>
      <c r="AB70" s="353"/>
    </row>
    <row r="71" spans="1:28">
      <c r="A71" s="133"/>
      <c r="V71" s="167"/>
      <c r="W71" s="165"/>
      <c r="X71" s="166"/>
      <c r="Y71" s="165"/>
      <c r="Z71" s="166"/>
    </row>
    <row r="72" spans="1:28">
      <c r="A72" s="133"/>
      <c r="V72" s="167"/>
      <c r="W72" s="165"/>
      <c r="X72" s="166"/>
      <c r="Y72" s="165"/>
      <c r="Z72" s="166"/>
    </row>
    <row r="73" spans="1:28">
      <c r="A73" s="133"/>
      <c r="V73" s="167"/>
      <c r="W73" s="165"/>
      <c r="X73" s="166"/>
      <c r="Y73" s="165"/>
      <c r="Z73" s="166"/>
    </row>
  </sheetData>
  <sheetProtection password="CACA" sheet="1" objects="1" scenarios="1"/>
  <mergeCells count="16">
    <mergeCell ref="W60:Z60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C6">
    <cfRule type="cellIs" dxfId="120" priority="257" operator="greaterThan">
      <formula>$C$6</formula>
    </cfRule>
  </conditionalFormatting>
  <conditionalFormatting sqref="C8">
    <cfRule type="cellIs" dxfId="119" priority="123" operator="greaterThan">
      <formula>$C$6</formula>
    </cfRule>
  </conditionalFormatting>
  <conditionalFormatting sqref="C49">
    <cfRule type="cellIs" dxfId="118" priority="99" operator="greaterThan">
      <formula>$C$6</formula>
    </cfRule>
  </conditionalFormatting>
  <conditionalFormatting sqref="C51:C53">
    <cfRule type="cellIs" dxfId="117" priority="93" operator="greaterThan">
      <formula>$C$6</formula>
    </cfRule>
  </conditionalFormatting>
  <conditionalFormatting sqref="C33:P33">
    <cfRule type="cellIs" dxfId="116" priority="7" operator="greaterThan">
      <formula>B33</formula>
    </cfRule>
  </conditionalFormatting>
  <conditionalFormatting sqref="D6:D8">
    <cfRule type="cellIs" dxfId="115" priority="124" operator="greaterThan">
      <formula>C6</formula>
    </cfRule>
  </conditionalFormatting>
  <conditionalFormatting sqref="D10">
    <cfRule type="cellIs" dxfId="114" priority="122" operator="greaterThan">
      <formula>C10</formula>
    </cfRule>
  </conditionalFormatting>
  <conditionalFormatting sqref="D17:D31">
    <cfRule type="cellIs" dxfId="113" priority="15" operator="greaterThan">
      <formula>C17</formula>
    </cfRule>
  </conditionalFormatting>
  <conditionalFormatting sqref="D35:D36">
    <cfRule type="cellIs" dxfId="112" priority="292" operator="greaterThan">
      <formula>C35</formula>
    </cfRule>
  </conditionalFormatting>
  <conditionalFormatting sqref="D38 F38 H38 J38 L38 N38 P38">
    <cfRule type="cellIs" dxfId="111" priority="108" operator="greaterThan">
      <formula>C38</formula>
    </cfRule>
  </conditionalFormatting>
  <conditionalFormatting sqref="D41:D44 H41:H44 F41:F46 J41:J46 L41:L46 N41:N46 P41:P46 R41:R46">
    <cfRule type="cellIs" dxfId="110" priority="1" operator="greaterThan">
      <formula>C41</formula>
    </cfRule>
  </conditionalFormatting>
  <conditionalFormatting sqref="D45">
    <cfRule type="cellIs" dxfId="109" priority="89" operator="greaterThan">
      <formula>$C$6</formula>
    </cfRule>
  </conditionalFormatting>
  <conditionalFormatting sqref="D49 F49 H49 J49 L49 N49 P49 R49">
    <cfRule type="cellIs" dxfId="108" priority="100" operator="greaterThan">
      <formula>C49</formula>
    </cfRule>
  </conditionalFormatting>
  <conditionalFormatting sqref="D51:D53 F51:F53 J51:J53 L51:L53 P51:P53 R51:R53">
    <cfRule type="cellIs" dxfId="107" priority="94" operator="greaterThan">
      <formula>C51</formula>
    </cfRule>
  </conditionalFormatting>
  <conditionalFormatting sqref="D37:P37 R37:R38">
    <cfRule type="cellIs" dxfId="106" priority="92" operator="greaterThan">
      <formula>C37</formula>
    </cfRule>
  </conditionalFormatting>
  <conditionalFormatting sqref="F9:F14 H9:H14 J9:J14 L9:L14 N9:N14 P9:P14 R9:R14">
    <cfRule type="cellIs" dxfId="105" priority="120" operator="greaterThan">
      <formula>E9</formula>
    </cfRule>
  </conditionalFormatting>
  <conditionalFormatting sqref="F16:F32">
    <cfRule type="cellIs" dxfId="104" priority="14" operator="greaterThan">
      <formula>E16</formula>
    </cfRule>
  </conditionalFormatting>
  <conditionalFormatting sqref="H16:H32">
    <cfRule type="cellIs" dxfId="103" priority="13" operator="greaterThan">
      <formula>G16</formula>
    </cfRule>
  </conditionalFormatting>
  <conditionalFormatting sqref="H46">
    <cfRule type="cellIs" dxfId="102" priority="139" operator="greaterThan">
      <formula>G46</formula>
    </cfRule>
  </conditionalFormatting>
  <conditionalFormatting sqref="H51:H52 N51:N52">
    <cfRule type="cellIs" dxfId="101" priority="96" operator="greaterThan">
      <formula>G51</formula>
    </cfRule>
  </conditionalFormatting>
  <conditionalFormatting sqref="J16:J32">
    <cfRule type="cellIs" dxfId="100" priority="12" operator="greaterThan">
      <formula>I16</formula>
    </cfRule>
  </conditionalFormatting>
  <conditionalFormatting sqref="L16:L32">
    <cfRule type="cellIs" dxfId="99" priority="11" operator="greaterThan">
      <formula>K16</formula>
    </cfRule>
  </conditionalFormatting>
  <conditionalFormatting sqref="N16:N32">
    <cfRule type="cellIs" dxfId="98" priority="10" operator="greaterThan">
      <formula>M16</formula>
    </cfRule>
  </conditionalFormatting>
  <conditionalFormatting sqref="P16:P32">
    <cfRule type="cellIs" dxfId="97" priority="9" operator="greaterThan">
      <formula>O16</formula>
    </cfRule>
  </conditionalFormatting>
  <conditionalFormatting sqref="R16:R33">
    <cfRule type="cellIs" dxfId="96" priority="8" operator="greaterThan">
      <formula>Q16</formula>
    </cfRule>
  </conditionalFormatting>
  <conditionalFormatting sqref="S47">
    <cfRule type="cellIs" dxfId="95" priority="467" operator="notEqual">
      <formula>$AA$47</formula>
    </cfRule>
  </conditionalFormatting>
  <conditionalFormatting sqref="S49">
    <cfRule type="cellIs" dxfId="94" priority="134" operator="notEqual">
      <formula>$AA$49</formula>
    </cfRule>
  </conditionalFormatting>
  <conditionalFormatting sqref="S49:S51">
    <cfRule type="cellIs" dxfId="93" priority="132" operator="notEqual">
      <formula>AA49</formula>
    </cfRule>
  </conditionalFormatting>
  <conditionalFormatting sqref="S52">
    <cfRule type="cellIs" dxfId="92" priority="129" operator="notEqual">
      <formula>$AA$52</formula>
    </cfRule>
  </conditionalFormatting>
  <conditionalFormatting sqref="S53:U53">
    <cfRule type="cellIs" dxfId="91" priority="143" operator="notEqual">
      <formula>AA53</formula>
    </cfRule>
  </conditionalFormatting>
  <conditionalFormatting sqref="T47">
    <cfRule type="cellIs" dxfId="90" priority="465" operator="notEqual">
      <formula>$AB$47</formula>
    </cfRule>
  </conditionalFormatting>
  <conditionalFormatting sqref="T49">
    <cfRule type="cellIs" dxfId="89" priority="133" operator="notEqual">
      <formula>$AB$49</formula>
    </cfRule>
  </conditionalFormatting>
  <conditionalFormatting sqref="T50">
    <cfRule type="cellIs" dxfId="88" priority="131" operator="notEqual">
      <formula>$AB$50</formula>
    </cfRule>
  </conditionalFormatting>
  <conditionalFormatting sqref="T52">
    <cfRule type="cellIs" dxfId="87" priority="128" operator="notEqual">
      <formula>$AB$52</formula>
    </cfRule>
  </conditionalFormatting>
  <conditionalFormatting sqref="T51:U51">
    <cfRule type="cellIs" dxfId="86" priority="145" operator="notEqual">
      <formula>AB51</formula>
    </cfRule>
  </conditionalFormatting>
  <conditionalFormatting sqref="U47">
    <cfRule type="cellIs" dxfId="85" priority="466" operator="notEqual">
      <formula>$AC$47</formula>
    </cfRule>
  </conditionalFormatting>
  <conditionalFormatting sqref="U49">
    <cfRule type="cellIs" dxfId="84" priority="147" operator="notEqual">
      <formula>AC49</formula>
    </cfRule>
  </conditionalFormatting>
  <conditionalFormatting sqref="U50">
    <cfRule type="cellIs" dxfId="83" priority="130" operator="notEqual">
      <formula>$AC$50</formula>
    </cfRule>
  </conditionalFormatting>
  <conditionalFormatting sqref="U52">
    <cfRule type="cellIs" dxfId="82" priority="127" operator="notEqual">
      <formula>$AC$52</formula>
    </cfRule>
  </conditionalFormatting>
  <dataValidations count="3">
    <dataValidation type="whole" operator="notEqual" allowBlank="1" showErrorMessage="1" error="Введите как целое число." sqref="Q37:R38 E37:P39 C48:R54 E35:R36 E40:R40 C35:D40 C6:R34 C41:R46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7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3:S13 H40 J40 L40 N40 P40 R40:S40 S19:S22 S24:S31 S33:S39 S41:S42 D12 F12:S12" unlockedFormula="1"/>
    <ignoredError sqref="X19 X35:Z36 W28:Z34 X6:Z13 X24:Z24 X26:Z27 Z19 X15:Z17 X14 Z14 X20:Z22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6"/>
  <sheetViews>
    <sheetView view="pageBreakPreview" zoomScale="55" zoomScaleNormal="55" zoomScaleSheetLayoutView="55" workbookViewId="0">
      <pane xSplit="2" ySplit="5" topLeftCell="C6" activePane="bottomRight" state="frozen"/>
      <selection activeCell="C46" sqref="C46"/>
      <selection pane="topRight" activeCell="C46" sqref="C46"/>
      <selection pane="bottomLeft" activeCell="C46" sqref="C46"/>
      <selection pane="bottomRight" activeCell="G50" sqref="G50"/>
    </sheetView>
  </sheetViews>
  <sheetFormatPr defaultRowHeight="15"/>
  <cols>
    <col min="1" max="1" width="8.140625" style="328" customWidth="1"/>
    <col min="2" max="2" width="105.42578125" style="327" customWidth="1"/>
    <col min="3" max="10" width="20.5703125" style="327" customWidth="1"/>
    <col min="11" max="11" width="21.5703125" style="327" customWidth="1"/>
    <col min="12" max="12" width="15.5703125" style="334" customWidth="1"/>
    <col min="13" max="13" width="19.42578125" style="335" customWidth="1"/>
    <col min="14" max="14" width="23.28515625" style="327" customWidth="1"/>
    <col min="15" max="15" width="23.7109375" style="337" customWidth="1"/>
    <col min="16" max="16" width="17.5703125" style="327" customWidth="1"/>
    <col min="17" max="17" width="15.140625" style="327" customWidth="1"/>
    <col min="18" max="18" width="23.85546875" style="327" customWidth="1"/>
    <col min="19" max="19" width="16" style="327" bestFit="1" customWidth="1"/>
    <col min="20" max="16384" width="9.140625" style="327"/>
  </cols>
  <sheetData>
    <row r="2" spans="1:19" s="95" customFormat="1" ht="26.25" customHeight="1">
      <c r="A2" s="92" t="s">
        <v>537</v>
      </c>
      <c r="B2" s="93"/>
      <c r="C2" s="93"/>
      <c r="D2" s="94"/>
      <c r="E2" s="94"/>
      <c r="F2" s="94"/>
      <c r="G2" s="94"/>
      <c r="H2" s="94"/>
      <c r="I2" s="94"/>
      <c r="K2" s="338"/>
      <c r="L2" s="431" t="s">
        <v>554</v>
      </c>
      <c r="M2" s="431"/>
      <c r="N2" s="431"/>
      <c r="O2" s="346"/>
    </row>
    <row r="3" spans="1:19" ht="15.75">
      <c r="A3" s="323"/>
      <c r="B3" s="158" t="str">
        <f>Balance!B3</f>
        <v>Банк номи</v>
      </c>
      <c r="C3" s="324"/>
      <c r="D3" s="325"/>
      <c r="E3" s="325"/>
      <c r="F3" s="325"/>
      <c r="G3" s="325"/>
      <c r="H3" s="325"/>
      <c r="I3" s="325"/>
      <c r="J3" s="326"/>
      <c r="K3" s="439">
        <f>+Balance!D3</f>
        <v>45657</v>
      </c>
      <c r="L3" s="439"/>
      <c r="M3" s="325"/>
      <c r="N3" s="327" t="str">
        <f>+Balance!E3</f>
        <v>минг сўмда</v>
      </c>
    </row>
    <row r="4" spans="1:19" s="15" customFormat="1" ht="37.5" customHeight="1">
      <c r="A4" s="437" t="s">
        <v>54</v>
      </c>
      <c r="B4" s="437" t="s">
        <v>333</v>
      </c>
      <c r="C4" s="434" t="s">
        <v>334</v>
      </c>
      <c r="D4" s="435"/>
      <c r="E4" s="435"/>
      <c r="F4" s="435"/>
      <c r="G4" s="435"/>
      <c r="H4" s="435"/>
      <c r="I4" s="435"/>
      <c r="J4" s="436"/>
      <c r="K4" s="437" t="s">
        <v>176</v>
      </c>
      <c r="L4" s="434" t="s">
        <v>336</v>
      </c>
      <c r="M4" s="435"/>
      <c r="N4" s="436"/>
      <c r="O4" s="347"/>
    </row>
    <row r="5" spans="1:19" s="15" customFormat="1" ht="42.75" customHeight="1">
      <c r="A5" s="438"/>
      <c r="B5" s="438"/>
      <c r="C5" s="366" t="s">
        <v>337</v>
      </c>
      <c r="D5" s="366" t="s">
        <v>338</v>
      </c>
      <c r="E5" s="366" t="s">
        <v>339</v>
      </c>
      <c r="F5" s="366" t="s">
        <v>340</v>
      </c>
      <c r="G5" s="366" t="s">
        <v>341</v>
      </c>
      <c r="H5" s="366" t="s">
        <v>342</v>
      </c>
      <c r="I5" s="366" t="s">
        <v>343</v>
      </c>
      <c r="J5" s="366" t="s">
        <v>344</v>
      </c>
      <c r="K5" s="438"/>
      <c r="L5" s="339" t="s">
        <v>22</v>
      </c>
      <c r="M5" s="339" t="s">
        <v>399</v>
      </c>
      <c r="N5" s="339" t="s">
        <v>349</v>
      </c>
      <c r="O5" s="347"/>
    </row>
    <row r="6" spans="1:19" s="130" customFormat="1" ht="27" customHeight="1">
      <c r="A6" s="321" t="s">
        <v>352</v>
      </c>
      <c r="B6" s="244" t="s">
        <v>285</v>
      </c>
      <c r="C6" s="355">
        <f>+'Bank Assets Analysis'!C6-'Bank Assets Analysis'!D6</f>
        <v>230334913</v>
      </c>
      <c r="D6" s="355">
        <f>+'Bank Assets Analysis'!E6-'Bank Assets Analysis'!F6</f>
        <v>0</v>
      </c>
      <c r="E6" s="355">
        <f>+'Bank Assets Analysis'!G6-'Bank Assets Analysis'!H6</f>
        <v>0</v>
      </c>
      <c r="F6" s="355">
        <f>+'Bank Assets Analysis'!I6-'Bank Assets Analysis'!J6</f>
        <v>0</v>
      </c>
      <c r="G6" s="355">
        <f>+'Bank Assets Analysis'!K6-'Bank Assets Analysis'!L6</f>
        <v>0</v>
      </c>
      <c r="H6" s="355">
        <f>+'Bank Assets Analysis'!M6-'Bank Assets Analysis'!N6</f>
        <v>0</v>
      </c>
      <c r="I6" s="355">
        <f>+'Bank Assets Analysis'!O6-'Bank Assets Analysis'!P6</f>
        <v>0</v>
      </c>
      <c r="J6" s="355">
        <f>+'Bank Assets Analysis'!Q6-'Bank Assets Analysis'!R6</f>
        <v>0</v>
      </c>
      <c r="K6" s="355">
        <f t="shared" ref="K6:K45" si="0">+C6+D6+E6+F6+G6+H6+I6+J6</f>
        <v>230334913</v>
      </c>
      <c r="L6" s="127">
        <v>1</v>
      </c>
      <c r="M6" s="400">
        <f>+K6</f>
        <v>230334913</v>
      </c>
      <c r="N6" s="401">
        <f>+M6*L6</f>
        <v>230334913</v>
      </c>
      <c r="O6" s="347"/>
      <c r="P6" s="15"/>
      <c r="Q6" s="129"/>
      <c r="R6" s="129"/>
      <c r="S6" s="129"/>
    </row>
    <row r="7" spans="1:19" s="130" customFormat="1" ht="27" customHeight="1">
      <c r="A7" s="321" t="s">
        <v>353</v>
      </c>
      <c r="B7" s="244" t="s">
        <v>518</v>
      </c>
      <c r="C7" s="355">
        <f>+'Bank Assets Analysis'!C7-'Bank Assets Analysis'!D7</f>
        <v>1828213292</v>
      </c>
      <c r="D7" s="355">
        <f>+'Bank Assets Analysis'!E7-'Bank Assets Analysis'!F7</f>
        <v>0</v>
      </c>
      <c r="E7" s="355">
        <f>+'Bank Assets Analysis'!G7-'Bank Assets Analysis'!H7</f>
        <v>0</v>
      </c>
      <c r="F7" s="355">
        <f>+'Bank Assets Analysis'!I7-'Bank Assets Analysis'!J7</f>
        <v>0</v>
      </c>
      <c r="G7" s="355">
        <f>+'Bank Assets Analysis'!K7-'Bank Assets Analysis'!L7</f>
        <v>0</v>
      </c>
      <c r="H7" s="355">
        <f>+'Bank Assets Analysis'!M7-'Bank Assets Analysis'!N7</f>
        <v>0</v>
      </c>
      <c r="I7" s="355">
        <f>+'Bank Assets Analysis'!O7-'Bank Assets Analysis'!P7</f>
        <v>0</v>
      </c>
      <c r="J7" s="355">
        <f>+'Bank Assets Analysis'!Q7-'Bank Assets Analysis'!R7</f>
        <v>0</v>
      </c>
      <c r="K7" s="355">
        <f t="shared" si="0"/>
        <v>1828213292</v>
      </c>
      <c r="L7" s="127">
        <v>1</v>
      </c>
      <c r="M7" s="400">
        <f>+K7</f>
        <v>1828213292</v>
      </c>
      <c r="N7" s="401">
        <f t="shared" ref="N7:N15" si="1">+M7*L7</f>
        <v>1828213292</v>
      </c>
      <c r="O7" s="347"/>
      <c r="P7" s="15"/>
      <c r="Q7" s="129"/>
      <c r="R7" s="129"/>
      <c r="S7" s="129"/>
    </row>
    <row r="8" spans="1:19" s="130" customFormat="1" ht="27" customHeight="1">
      <c r="A8" s="321" t="s">
        <v>73</v>
      </c>
      <c r="B8" s="244" t="s">
        <v>354</v>
      </c>
      <c r="C8" s="355">
        <f>+'Bank Assets Analysis'!C8-'Bank Assets Analysis'!D8</f>
        <v>0</v>
      </c>
      <c r="D8" s="355">
        <f>+'Bank Assets Analysis'!E8-'Bank Assets Analysis'!F8</f>
        <v>0</v>
      </c>
      <c r="E8" s="355">
        <f>+'Bank Assets Analysis'!G8-'Bank Assets Analysis'!H8</f>
        <v>0</v>
      </c>
      <c r="F8" s="355">
        <f>+'Bank Assets Analysis'!I8-'Bank Assets Analysis'!J8</f>
        <v>0</v>
      </c>
      <c r="G8" s="355">
        <f>+'Bank Assets Analysis'!K8-'Bank Assets Analysis'!L8</f>
        <v>0</v>
      </c>
      <c r="H8" s="355">
        <f>+'Bank Assets Analysis'!M8-'Bank Assets Analysis'!N8</f>
        <v>0</v>
      </c>
      <c r="I8" s="355">
        <f>+'Bank Assets Analysis'!O8-'Bank Assets Analysis'!P8</f>
        <v>0</v>
      </c>
      <c r="J8" s="355">
        <f>+'Bank Assets Analysis'!Q8-'Bank Assets Analysis'!R8</f>
        <v>0</v>
      </c>
      <c r="K8" s="355">
        <f t="shared" si="0"/>
        <v>0</v>
      </c>
      <c r="L8" s="127">
        <v>0</v>
      </c>
      <c r="M8" s="400"/>
      <c r="N8" s="355">
        <f t="shared" si="1"/>
        <v>0</v>
      </c>
      <c r="O8" s="347"/>
      <c r="P8" s="15"/>
      <c r="Q8" s="129"/>
      <c r="R8" s="129"/>
      <c r="S8" s="129"/>
    </row>
    <row r="9" spans="1:19" s="130" customFormat="1" ht="27" customHeight="1">
      <c r="A9" s="321" t="s">
        <v>355</v>
      </c>
      <c r="B9" s="244" t="s">
        <v>476</v>
      </c>
      <c r="C9" s="355">
        <f>SUM(C10:C16)-C13</f>
        <v>112412715</v>
      </c>
      <c r="D9" s="355">
        <f t="shared" ref="D9:J9" si="2">SUM(D10:D16)-D13</f>
        <v>0</v>
      </c>
      <c r="E9" s="355">
        <f t="shared" si="2"/>
        <v>40000000</v>
      </c>
      <c r="F9" s="355">
        <f t="shared" si="2"/>
        <v>0</v>
      </c>
      <c r="G9" s="355">
        <f t="shared" si="2"/>
        <v>24409360</v>
      </c>
      <c r="H9" s="355">
        <f t="shared" si="2"/>
        <v>24409360</v>
      </c>
      <c r="I9" s="355">
        <f t="shared" si="2"/>
        <v>37522553</v>
      </c>
      <c r="J9" s="355">
        <f t="shared" si="2"/>
        <v>16424614</v>
      </c>
      <c r="K9" s="355">
        <f t="shared" si="0"/>
        <v>255178602</v>
      </c>
      <c r="L9" s="127"/>
      <c r="M9" s="400"/>
      <c r="N9" s="355">
        <f t="shared" si="1"/>
        <v>0</v>
      </c>
      <c r="O9" s="347"/>
      <c r="P9" s="15"/>
      <c r="Q9" s="129"/>
      <c r="R9" s="129"/>
      <c r="S9" s="129"/>
    </row>
    <row r="10" spans="1:19" s="130" customFormat="1" ht="27" customHeight="1">
      <c r="A10" s="321" t="s">
        <v>74</v>
      </c>
      <c r="B10" s="244" t="s">
        <v>356</v>
      </c>
      <c r="C10" s="355">
        <f>+'Bank Assets Analysis'!C10-'Bank Assets Analysis'!D10</f>
        <v>0</v>
      </c>
      <c r="D10" s="355">
        <f>+'Bank Assets Analysis'!E10-'Bank Assets Analysis'!F10</f>
        <v>0</v>
      </c>
      <c r="E10" s="355">
        <f>+'Bank Assets Analysis'!G10-'Bank Assets Analysis'!H10</f>
        <v>0</v>
      </c>
      <c r="F10" s="355">
        <f>+'Bank Assets Analysis'!I10-'Bank Assets Analysis'!J10</f>
        <v>0</v>
      </c>
      <c r="G10" s="355">
        <f>+'Bank Assets Analysis'!K10-'Bank Assets Analysis'!L10</f>
        <v>0</v>
      </c>
      <c r="H10" s="355">
        <f>+'Bank Assets Analysis'!M10-'Bank Assets Analysis'!N10</f>
        <v>0</v>
      </c>
      <c r="I10" s="355">
        <f>+'Bank Assets Analysis'!O10-'Bank Assets Analysis'!P10</f>
        <v>0</v>
      </c>
      <c r="J10" s="355">
        <f>+'Bank Assets Analysis'!Q10-'Bank Assets Analysis'!R10</f>
        <v>0</v>
      </c>
      <c r="K10" s="355">
        <f t="shared" si="0"/>
        <v>0</v>
      </c>
      <c r="L10" s="127">
        <v>1</v>
      </c>
      <c r="M10" s="400">
        <f>+C10</f>
        <v>0</v>
      </c>
      <c r="N10" s="401">
        <f t="shared" si="1"/>
        <v>0</v>
      </c>
      <c r="O10" s="347"/>
      <c r="P10" s="15"/>
      <c r="Q10" s="129"/>
      <c r="R10" s="129"/>
      <c r="S10" s="129"/>
    </row>
    <row r="11" spans="1:19" s="130" customFormat="1" ht="27" customHeight="1">
      <c r="A11" s="321" t="s">
        <v>75</v>
      </c>
      <c r="B11" s="244" t="s">
        <v>357</v>
      </c>
      <c r="C11" s="355">
        <f>+'Bank Assets Analysis'!C11-'Bank Assets Analysis'!D11</f>
        <v>0</v>
      </c>
      <c r="D11" s="355">
        <f>+'Bank Assets Analysis'!E11-'Bank Assets Analysis'!F11</f>
        <v>0</v>
      </c>
      <c r="E11" s="355">
        <f>+'Bank Assets Analysis'!G11-'Bank Assets Analysis'!H11</f>
        <v>0</v>
      </c>
      <c r="F11" s="355">
        <f>+'Bank Assets Analysis'!I11-'Bank Assets Analysis'!J11</f>
        <v>0</v>
      </c>
      <c r="G11" s="355">
        <f>+'Bank Assets Analysis'!K11-'Bank Assets Analysis'!L11</f>
        <v>0</v>
      </c>
      <c r="H11" s="355">
        <f>+'Bank Assets Analysis'!M11-'Bank Assets Analysis'!N11</f>
        <v>0</v>
      </c>
      <c r="I11" s="355">
        <f>+'Bank Assets Analysis'!O11-'Bank Assets Analysis'!P11</f>
        <v>0</v>
      </c>
      <c r="J11" s="355">
        <f>+'Bank Assets Analysis'!Q11-'Bank Assets Analysis'!R11</f>
        <v>0</v>
      </c>
      <c r="K11" s="355">
        <f t="shared" ref="K11:K13" si="3">+C11+D11+E11+F11+G11+H11+I11+J11</f>
        <v>0</v>
      </c>
      <c r="L11" s="127">
        <v>1</v>
      </c>
      <c r="M11" s="400">
        <f>+C11</f>
        <v>0</v>
      </c>
      <c r="N11" s="401">
        <f t="shared" si="1"/>
        <v>0</v>
      </c>
      <c r="O11" s="347"/>
      <c r="P11" s="15"/>
      <c r="Q11" s="129"/>
      <c r="R11" s="129"/>
      <c r="S11" s="129"/>
    </row>
    <row r="12" spans="1:19" s="130" customFormat="1" ht="27" customHeight="1">
      <c r="A12" s="321" t="s">
        <v>15</v>
      </c>
      <c r="B12" s="244" t="s">
        <v>358</v>
      </c>
      <c r="C12" s="355">
        <f>+'Bank Assets Analysis'!C12-'Bank Assets Analysis'!D12</f>
        <v>0</v>
      </c>
      <c r="D12" s="355">
        <f>+'Bank Assets Analysis'!E12-'Bank Assets Analysis'!F12</f>
        <v>0</v>
      </c>
      <c r="E12" s="355">
        <f>+'Bank Assets Analysis'!G12-'Bank Assets Analysis'!H12</f>
        <v>0</v>
      </c>
      <c r="F12" s="355">
        <f>+'Bank Assets Analysis'!I12-'Bank Assets Analysis'!J12</f>
        <v>0</v>
      </c>
      <c r="G12" s="355">
        <f>+'Bank Assets Analysis'!K12-'Bank Assets Analysis'!L12</f>
        <v>0</v>
      </c>
      <c r="H12" s="355">
        <f>+'Bank Assets Analysis'!M12-'Bank Assets Analysis'!N12</f>
        <v>0</v>
      </c>
      <c r="I12" s="355">
        <f>+'Bank Assets Analysis'!O12-'Bank Assets Analysis'!P12</f>
        <v>0</v>
      </c>
      <c r="J12" s="355">
        <f>+'Bank Assets Analysis'!Q12-'Bank Assets Analysis'!R12</f>
        <v>0</v>
      </c>
      <c r="K12" s="355">
        <f t="shared" si="3"/>
        <v>0</v>
      </c>
      <c r="L12" s="127">
        <v>1</v>
      </c>
      <c r="M12" s="402">
        <f>+D12-D13</f>
        <v>0</v>
      </c>
      <c r="N12" s="355">
        <f t="shared" si="1"/>
        <v>0</v>
      </c>
      <c r="O12" s="347"/>
      <c r="P12" s="15"/>
      <c r="Q12" s="129"/>
      <c r="R12" s="129"/>
      <c r="S12" s="129"/>
    </row>
    <row r="13" spans="1:19" s="130" customFormat="1" ht="33.75" customHeight="1">
      <c r="A13" s="321" t="s">
        <v>165</v>
      </c>
      <c r="B13" s="244" t="s">
        <v>359</v>
      </c>
      <c r="C13" s="355">
        <f>+'Bank Assets Analysis'!C13-'Bank Assets Analysis'!D13</f>
        <v>0</v>
      </c>
      <c r="D13" s="355">
        <f>+'Bank Assets Analysis'!E13-'Bank Assets Analysis'!F13</f>
        <v>0</v>
      </c>
      <c r="E13" s="355">
        <f>+'Bank Assets Analysis'!G13-'Bank Assets Analysis'!H13</f>
        <v>0</v>
      </c>
      <c r="F13" s="355">
        <f>+'Bank Assets Analysis'!I13-'Bank Assets Analysis'!J13</f>
        <v>0</v>
      </c>
      <c r="G13" s="355">
        <f>+'Bank Assets Analysis'!K13-'Bank Assets Analysis'!L13</f>
        <v>0</v>
      </c>
      <c r="H13" s="355">
        <f>+'Bank Assets Analysis'!M13-'Bank Assets Analysis'!N13</f>
        <v>0</v>
      </c>
      <c r="I13" s="355">
        <f>+'Bank Assets Analysis'!O13-'Bank Assets Analysis'!P13</f>
        <v>0</v>
      </c>
      <c r="J13" s="355">
        <f>+'Bank Assets Analysis'!Q13-'Bank Assets Analysis'!R13</f>
        <v>0</v>
      </c>
      <c r="K13" s="355">
        <f t="shared" si="3"/>
        <v>0</v>
      </c>
      <c r="L13" s="127">
        <v>1</v>
      </c>
      <c r="M13" s="400">
        <f>+D13</f>
        <v>0</v>
      </c>
      <c r="N13" s="355">
        <f t="shared" si="1"/>
        <v>0</v>
      </c>
      <c r="O13" s="347"/>
      <c r="P13" s="15"/>
      <c r="Q13" s="129"/>
      <c r="R13" s="129"/>
      <c r="S13" s="129"/>
    </row>
    <row r="14" spans="1:19" s="130" customFormat="1" ht="33.75" customHeight="1">
      <c r="A14" s="321" t="s">
        <v>149</v>
      </c>
      <c r="B14" s="244" t="s">
        <v>523</v>
      </c>
      <c r="C14" s="355">
        <f>+'Bank Assets Analysis'!C14-'Bank Assets Analysis'!D14</f>
        <v>5000</v>
      </c>
      <c r="D14" s="355">
        <f>+'Bank Assets Analysis'!E14-'Bank Assets Analysis'!F14</f>
        <v>0</v>
      </c>
      <c r="E14" s="355">
        <f>+'Bank Assets Analysis'!G14-'Bank Assets Analysis'!H14</f>
        <v>40000000</v>
      </c>
      <c r="F14" s="355">
        <f>+'Bank Assets Analysis'!I14-'Bank Assets Analysis'!J14</f>
        <v>0</v>
      </c>
      <c r="G14" s="355">
        <f>+'Bank Assets Analysis'!K14-'Bank Assets Analysis'!L14</f>
        <v>24409360</v>
      </c>
      <c r="H14" s="355">
        <f>+'Bank Assets Analysis'!M14-'Bank Assets Analysis'!N14</f>
        <v>24409360</v>
      </c>
      <c r="I14" s="355">
        <f>+'Bank Assets Analysis'!O14-'Bank Assets Analysis'!P14</f>
        <v>37522553</v>
      </c>
      <c r="J14" s="355">
        <f>+'Bank Assets Analysis'!Q14-'Bank Assets Analysis'!R14</f>
        <v>16424614</v>
      </c>
      <c r="K14" s="355">
        <f t="shared" si="0"/>
        <v>142770887</v>
      </c>
      <c r="L14" s="127">
        <v>1</v>
      </c>
      <c r="M14" s="400">
        <f>+C14+D14+E14+D10+D11</f>
        <v>40005000</v>
      </c>
      <c r="N14" s="355">
        <f t="shared" si="1"/>
        <v>40005000</v>
      </c>
      <c r="O14" s="347"/>
      <c r="P14" s="15"/>
      <c r="Q14" s="129"/>
      <c r="R14" s="129"/>
      <c r="S14" s="129"/>
    </row>
    <row r="15" spans="1:19" s="130" customFormat="1" ht="33.75" customHeight="1">
      <c r="A15" s="321" t="s">
        <v>162</v>
      </c>
      <c r="B15" s="244" t="s">
        <v>360</v>
      </c>
      <c r="C15" s="355">
        <f>+'Bank Assets Analysis'!C15-'Bank Assets Analysis'!D15</f>
        <v>112407715</v>
      </c>
      <c r="D15" s="355">
        <f>+'Bank Assets Analysis'!E15-'Bank Assets Analysis'!F15</f>
        <v>0</v>
      </c>
      <c r="E15" s="355">
        <f>+'Bank Assets Analysis'!G15-'Bank Assets Analysis'!H15</f>
        <v>0</v>
      </c>
      <c r="F15" s="355">
        <f>+'Bank Assets Analysis'!I15-'Bank Assets Analysis'!J15</f>
        <v>0</v>
      </c>
      <c r="G15" s="355">
        <f>+'Bank Assets Analysis'!K15-'Bank Assets Analysis'!L15</f>
        <v>0</v>
      </c>
      <c r="H15" s="355">
        <f>+'Bank Assets Analysis'!M15-'Bank Assets Analysis'!N15</f>
        <v>0</v>
      </c>
      <c r="I15" s="355">
        <f>+'Bank Assets Analysis'!O15-'Bank Assets Analysis'!P15</f>
        <v>0</v>
      </c>
      <c r="J15" s="355">
        <f>+'Bank Assets Analysis'!Q15-'Bank Assets Analysis'!R15</f>
        <v>0</v>
      </c>
      <c r="K15" s="355">
        <f t="shared" si="0"/>
        <v>112407715</v>
      </c>
      <c r="L15" s="127">
        <v>1</v>
      </c>
      <c r="M15" s="400">
        <f>+C15+D15+E15</f>
        <v>112407715</v>
      </c>
      <c r="N15" s="355">
        <f t="shared" si="1"/>
        <v>112407715</v>
      </c>
      <c r="O15" s="347"/>
      <c r="P15" s="15"/>
      <c r="Q15" s="129"/>
      <c r="R15" s="129"/>
      <c r="S15" s="129"/>
    </row>
    <row r="16" spans="1:19" s="130" customFormat="1" ht="27" customHeight="1">
      <c r="A16" s="321" t="s">
        <v>163</v>
      </c>
      <c r="B16" s="244" t="s">
        <v>361</v>
      </c>
      <c r="C16" s="355">
        <f>+'Bank Assets Analysis'!C16-'Bank Assets Analysis'!D16</f>
        <v>0</v>
      </c>
      <c r="D16" s="355">
        <f>+'Bank Assets Analysis'!E16-'Bank Assets Analysis'!F16</f>
        <v>0</v>
      </c>
      <c r="E16" s="355">
        <f>+'Bank Assets Analysis'!G16-'Bank Assets Analysis'!H16</f>
        <v>0</v>
      </c>
      <c r="F16" s="355">
        <f>+'Bank Assets Analysis'!I16-'Bank Assets Analysis'!J16</f>
        <v>0</v>
      </c>
      <c r="G16" s="355">
        <f>+'Bank Assets Analysis'!K16-'Bank Assets Analysis'!L16</f>
        <v>0</v>
      </c>
      <c r="H16" s="355">
        <f>+'Bank Assets Analysis'!M16-'Bank Assets Analysis'!N16</f>
        <v>0</v>
      </c>
      <c r="I16" s="355">
        <f>+'Bank Assets Analysis'!O16-'Bank Assets Analysis'!P16</f>
        <v>0</v>
      </c>
      <c r="J16" s="355">
        <f>+'Bank Assets Analysis'!Q16-'Bank Assets Analysis'!R16</f>
        <v>0</v>
      </c>
      <c r="K16" s="355">
        <f t="shared" si="0"/>
        <v>0</v>
      </c>
      <c r="L16" s="127">
        <v>1</v>
      </c>
      <c r="M16" s="400">
        <f>+C16+D16+E16</f>
        <v>0</v>
      </c>
      <c r="N16" s="355">
        <f>+M16*L16</f>
        <v>0</v>
      </c>
      <c r="O16" s="347"/>
      <c r="P16" s="15"/>
      <c r="Q16" s="129"/>
      <c r="R16" s="129"/>
      <c r="S16" s="129"/>
    </row>
    <row r="17" spans="1:19" s="130" customFormat="1" ht="27" customHeight="1">
      <c r="A17" s="321" t="s">
        <v>362</v>
      </c>
      <c r="B17" s="244" t="s">
        <v>183</v>
      </c>
      <c r="C17" s="355">
        <f>+'Bank Assets Analysis'!C17-'Bank Assets Analysis'!D17</f>
        <v>251</v>
      </c>
      <c r="D17" s="355">
        <f>+'Bank Assets Analysis'!E17-'Bank Assets Analysis'!F17</f>
        <v>0</v>
      </c>
      <c r="E17" s="355">
        <f>+'Bank Assets Analysis'!G17-'Bank Assets Analysis'!H17</f>
        <v>199447829</v>
      </c>
      <c r="F17" s="355">
        <f>+'Bank Assets Analysis'!I17-'Bank Assets Analysis'!J17</f>
        <v>461830511</v>
      </c>
      <c r="G17" s="355">
        <f>+'Bank Assets Analysis'!K17-'Bank Assets Analysis'!L17</f>
        <v>0</v>
      </c>
      <c r="H17" s="355">
        <f>+'Bank Assets Analysis'!M17-'Bank Assets Analysis'!N17</f>
        <v>160140364</v>
      </c>
      <c r="I17" s="355">
        <f>+'Bank Assets Analysis'!O17-'Bank Assets Analysis'!P17</f>
        <v>928910901</v>
      </c>
      <c r="J17" s="355">
        <f>+'Bank Assets Analysis'!Q17-'Bank Assets Analysis'!R17</f>
        <v>363443230</v>
      </c>
      <c r="K17" s="355">
        <f t="shared" si="0"/>
        <v>2113773086</v>
      </c>
      <c r="L17" s="127"/>
      <c r="M17" s="400"/>
      <c r="N17" s="355">
        <f t="shared" ref="N17:N45" si="4">+M17*L17</f>
        <v>0</v>
      </c>
      <c r="O17" s="347"/>
      <c r="P17" s="15"/>
      <c r="Q17" s="129"/>
      <c r="R17" s="129"/>
      <c r="S17" s="129"/>
    </row>
    <row r="18" spans="1:19" s="130" customFormat="1" ht="27" customHeight="1">
      <c r="A18" s="321" t="s">
        <v>549</v>
      </c>
      <c r="B18" s="244" t="s">
        <v>548</v>
      </c>
      <c r="C18" s="355">
        <f>+'Bank Assets Analysis'!C18-'Bank Assets Analysis'!D18</f>
        <v>0</v>
      </c>
      <c r="D18" s="355">
        <f>+'Bank Assets Analysis'!E18-'Bank Assets Analysis'!F18</f>
        <v>801459811</v>
      </c>
      <c r="E18" s="355">
        <f>+'Bank Assets Analysis'!G18-'Bank Assets Analysis'!H18</f>
        <v>0</v>
      </c>
      <c r="F18" s="355">
        <f>+'Bank Assets Analysis'!I18-'Bank Assets Analysis'!J18</f>
        <v>0</v>
      </c>
      <c r="G18" s="355">
        <f>+'Bank Assets Analysis'!K18-'Bank Assets Analysis'!L18</f>
        <v>0</v>
      </c>
      <c r="H18" s="355">
        <f>+'Bank Assets Analysis'!M18-'Bank Assets Analysis'!N18</f>
        <v>0</v>
      </c>
      <c r="I18" s="355">
        <f>+'Bank Assets Analysis'!O18-'Bank Assets Analysis'!P18</f>
        <v>0</v>
      </c>
      <c r="J18" s="355">
        <f>+'Bank Assets Analysis'!Q18-'Bank Assets Analysis'!R18</f>
        <v>0</v>
      </c>
      <c r="K18" s="355">
        <f>+C18+D18+E18+F18+G18+H18+I18+J18</f>
        <v>801459811</v>
      </c>
      <c r="L18" s="127">
        <v>1</v>
      </c>
      <c r="M18" s="400">
        <f>SUM(C18:E18)</f>
        <v>801459811</v>
      </c>
      <c r="N18" s="355">
        <f>+M18*L18</f>
        <v>801459811</v>
      </c>
      <c r="O18" s="347"/>
      <c r="P18" s="15"/>
      <c r="Q18" s="129"/>
      <c r="R18" s="129"/>
      <c r="S18" s="129"/>
    </row>
    <row r="19" spans="1:19" s="130" customFormat="1" ht="30">
      <c r="A19" s="321" t="s">
        <v>76</v>
      </c>
      <c r="B19" s="244" t="s">
        <v>363</v>
      </c>
      <c r="C19" s="355">
        <f>+'Bank Assets Analysis'!C19-'Bank Assets Analysis'!D19</f>
        <v>0</v>
      </c>
      <c r="D19" s="355">
        <f>+'Bank Assets Analysis'!E19-'Bank Assets Analysis'!F19</f>
        <v>0</v>
      </c>
      <c r="E19" s="355">
        <f>+'Bank Assets Analysis'!G19-'Bank Assets Analysis'!H19</f>
        <v>199447829</v>
      </c>
      <c r="F19" s="355">
        <f>+'Bank Assets Analysis'!I19-'Bank Assets Analysis'!J19</f>
        <v>461830511</v>
      </c>
      <c r="G19" s="355">
        <f>+'Bank Assets Analysis'!K19-'Bank Assets Analysis'!L19</f>
        <v>0</v>
      </c>
      <c r="H19" s="355">
        <f>+'Bank Assets Analysis'!M19-'Bank Assets Analysis'!N19</f>
        <v>160140364</v>
      </c>
      <c r="I19" s="355">
        <f>+'Bank Assets Analysis'!O19-'Bank Assets Analysis'!P19</f>
        <v>928910901</v>
      </c>
      <c r="J19" s="355">
        <f>+'Bank Assets Analysis'!Q19-'Bank Assets Analysis'!R19</f>
        <v>363443230</v>
      </c>
      <c r="K19" s="355">
        <f t="shared" si="0"/>
        <v>2113772835</v>
      </c>
      <c r="L19" s="127">
        <v>1</v>
      </c>
      <c r="M19" s="402">
        <f>+K19</f>
        <v>2113772835</v>
      </c>
      <c r="N19" s="401">
        <f t="shared" si="4"/>
        <v>2113772835</v>
      </c>
      <c r="O19" s="347"/>
      <c r="P19" s="15"/>
      <c r="Q19" s="129"/>
      <c r="R19" s="129"/>
      <c r="S19" s="129"/>
    </row>
    <row r="20" spans="1:19" s="130" customFormat="1" ht="27" customHeight="1">
      <c r="A20" s="321" t="s">
        <v>20</v>
      </c>
      <c r="B20" s="244" t="s">
        <v>364</v>
      </c>
      <c r="C20" s="355">
        <f>+'Bank Assets Analysis'!C20-'Bank Assets Analysis'!D20</f>
        <v>0</v>
      </c>
      <c r="D20" s="355">
        <f>+'Bank Assets Analysis'!E20-'Bank Assets Analysis'!F20</f>
        <v>0</v>
      </c>
      <c r="E20" s="355">
        <f>+'Bank Assets Analysis'!G20-'Bank Assets Analysis'!H20</f>
        <v>0</v>
      </c>
      <c r="F20" s="355">
        <f>+'Bank Assets Analysis'!I20-'Bank Assets Analysis'!J20</f>
        <v>0</v>
      </c>
      <c r="G20" s="355">
        <f>+'Bank Assets Analysis'!K20-'Bank Assets Analysis'!L20</f>
        <v>0</v>
      </c>
      <c r="H20" s="355">
        <f>+'Bank Assets Analysis'!M20-'Bank Assets Analysis'!N20</f>
        <v>0</v>
      </c>
      <c r="I20" s="355">
        <f>+'Bank Assets Analysis'!O20-'Bank Assets Analysis'!P20</f>
        <v>0</v>
      </c>
      <c r="J20" s="355">
        <f>+'Bank Assets Analysis'!Q20-'Bank Assets Analysis'!R20</f>
        <v>0</v>
      </c>
      <c r="K20" s="355">
        <f t="shared" si="0"/>
        <v>0</v>
      </c>
      <c r="L20" s="127">
        <v>1</v>
      </c>
      <c r="M20" s="400">
        <f>+K20</f>
        <v>0</v>
      </c>
      <c r="N20" s="401">
        <f t="shared" si="4"/>
        <v>0</v>
      </c>
      <c r="O20" s="347"/>
      <c r="P20" s="15"/>
      <c r="Q20" s="129"/>
      <c r="R20" s="129"/>
      <c r="S20" s="129"/>
    </row>
    <row r="21" spans="1:19" s="130" customFormat="1" ht="45">
      <c r="A21" s="321" t="s">
        <v>21</v>
      </c>
      <c r="B21" s="244" t="s">
        <v>365</v>
      </c>
      <c r="C21" s="355">
        <f>+'Bank Assets Analysis'!C21-'Bank Assets Analysis'!D21</f>
        <v>0</v>
      </c>
      <c r="D21" s="355">
        <f>+'Bank Assets Analysis'!E21-'Bank Assets Analysis'!F21</f>
        <v>0</v>
      </c>
      <c r="E21" s="355">
        <f>+'Bank Assets Analysis'!G21-'Bank Assets Analysis'!H21</f>
        <v>0</v>
      </c>
      <c r="F21" s="355">
        <f>+'Bank Assets Analysis'!I21-'Bank Assets Analysis'!J21</f>
        <v>0</v>
      </c>
      <c r="G21" s="355">
        <f>+'Bank Assets Analysis'!K21-'Bank Assets Analysis'!L21</f>
        <v>0</v>
      </c>
      <c r="H21" s="355">
        <f>+'Bank Assets Analysis'!M21-'Bank Assets Analysis'!N21</f>
        <v>0</v>
      </c>
      <c r="I21" s="355">
        <f>+'Bank Assets Analysis'!O21-'Bank Assets Analysis'!P21</f>
        <v>0</v>
      </c>
      <c r="J21" s="355">
        <f>+'Bank Assets Analysis'!Q21-'Bank Assets Analysis'!R21</f>
        <v>0</v>
      </c>
      <c r="K21" s="355">
        <f t="shared" ref="K21" si="5">+C21+D21+E21+F21+G21+H21+I21+J21</f>
        <v>0</v>
      </c>
      <c r="L21" s="127">
        <v>1</v>
      </c>
      <c r="M21" s="400">
        <f>+K21</f>
        <v>0</v>
      </c>
      <c r="N21" s="401">
        <f t="shared" si="4"/>
        <v>0</v>
      </c>
      <c r="O21" s="347"/>
      <c r="P21" s="15"/>
      <c r="Q21" s="129"/>
      <c r="R21" s="129"/>
      <c r="S21" s="129"/>
    </row>
    <row r="22" spans="1:19" s="130" customFormat="1" ht="33.75" customHeight="1">
      <c r="A22" s="321" t="s">
        <v>28</v>
      </c>
      <c r="B22" s="244" t="s">
        <v>366</v>
      </c>
      <c r="C22" s="355">
        <f>+'Bank Assets Analysis'!C22-'Bank Assets Analysis'!D22</f>
        <v>0</v>
      </c>
      <c r="D22" s="355">
        <f>+'Bank Assets Analysis'!E22-'Bank Assets Analysis'!F22</f>
        <v>0</v>
      </c>
      <c r="E22" s="355">
        <f>+'Bank Assets Analysis'!G22-'Bank Assets Analysis'!H22</f>
        <v>0</v>
      </c>
      <c r="F22" s="355">
        <f>+'Bank Assets Analysis'!I22-'Bank Assets Analysis'!J22</f>
        <v>0</v>
      </c>
      <c r="G22" s="355">
        <f>+'Bank Assets Analysis'!K22-'Bank Assets Analysis'!L22</f>
        <v>0</v>
      </c>
      <c r="H22" s="355">
        <f>+'Bank Assets Analysis'!M22-'Bank Assets Analysis'!N22</f>
        <v>0</v>
      </c>
      <c r="I22" s="355">
        <f>+'Bank Assets Analysis'!O22-'Bank Assets Analysis'!P22</f>
        <v>0</v>
      </c>
      <c r="J22" s="355">
        <f>+'Bank Assets Analysis'!Q22-'Bank Assets Analysis'!R22</f>
        <v>0</v>
      </c>
      <c r="K22" s="355">
        <f t="shared" si="0"/>
        <v>0</v>
      </c>
      <c r="L22" s="127">
        <v>1</v>
      </c>
      <c r="M22" s="400">
        <f>+D22+E22</f>
        <v>0</v>
      </c>
      <c r="N22" s="401">
        <f t="shared" si="4"/>
        <v>0</v>
      </c>
      <c r="O22" s="347"/>
      <c r="P22" s="15"/>
      <c r="Q22" s="129"/>
      <c r="R22" s="129"/>
      <c r="S22" s="129"/>
    </row>
    <row r="23" spans="1:19" s="130" customFormat="1" ht="35.25" customHeight="1">
      <c r="A23" s="321" t="s">
        <v>164</v>
      </c>
      <c r="B23" s="371" t="s">
        <v>557</v>
      </c>
      <c r="C23" s="399">
        <f>+'Bank Assets Analysis'!C23-'Bank Assets Analysis'!D23</f>
        <v>0</v>
      </c>
      <c r="D23" s="399">
        <f>+'Bank Assets Analysis'!E23-'Bank Assets Analysis'!F23</f>
        <v>0</v>
      </c>
      <c r="E23" s="399">
        <f>+'Bank Assets Analysis'!G23-'Bank Assets Analysis'!H23</f>
        <v>0</v>
      </c>
      <c r="F23" s="399">
        <f>+'Bank Assets Analysis'!I23-'Bank Assets Analysis'!J23</f>
        <v>0</v>
      </c>
      <c r="G23" s="399">
        <f>+'Bank Assets Analysis'!K23-'Bank Assets Analysis'!L23</f>
        <v>0</v>
      </c>
      <c r="H23" s="399">
        <f>+'Bank Assets Analysis'!M23-'Bank Assets Analysis'!N23</f>
        <v>0</v>
      </c>
      <c r="I23" s="399">
        <f>+'Bank Assets Analysis'!O23-'Bank Assets Analysis'!P23</f>
        <v>0</v>
      </c>
      <c r="J23" s="399">
        <f>+'Bank Assets Analysis'!Q23-'Bank Assets Analysis'!R23</f>
        <v>0</v>
      </c>
      <c r="K23" s="399">
        <f>+C23+D23+E23+F23+G23+H23+I23+J23</f>
        <v>0</v>
      </c>
      <c r="L23" s="372">
        <v>0.8</v>
      </c>
      <c r="M23" s="402">
        <f>+C23+D23+E23</f>
        <v>0</v>
      </c>
      <c r="N23" s="355">
        <f t="shared" ref="N23" si="6">+M23*L23</f>
        <v>0</v>
      </c>
      <c r="O23" s="347"/>
      <c r="P23" s="15"/>
      <c r="Q23" s="129"/>
      <c r="R23" s="129"/>
      <c r="S23" s="129"/>
    </row>
    <row r="24" spans="1:19" s="130" customFormat="1" ht="39" customHeight="1">
      <c r="A24" s="321" t="s">
        <v>367</v>
      </c>
      <c r="B24" s="371" t="s">
        <v>558</v>
      </c>
      <c r="C24" s="399">
        <f>+'Bank Assets Analysis'!C24-'Bank Assets Analysis'!D24</f>
        <v>0</v>
      </c>
      <c r="D24" s="399">
        <f>+'Bank Assets Analysis'!E24-'Bank Assets Analysis'!F24</f>
        <v>0</v>
      </c>
      <c r="E24" s="399">
        <f>+'Bank Assets Analysis'!G24-'Bank Assets Analysis'!H24</f>
        <v>0</v>
      </c>
      <c r="F24" s="399">
        <f>+'Bank Assets Analysis'!I24-'Bank Assets Analysis'!J24</f>
        <v>0</v>
      </c>
      <c r="G24" s="399">
        <f>+'Bank Assets Analysis'!K24-'Bank Assets Analysis'!L24</f>
        <v>0</v>
      </c>
      <c r="H24" s="399">
        <f>+'Bank Assets Analysis'!M24-'Bank Assets Analysis'!N24</f>
        <v>0</v>
      </c>
      <c r="I24" s="399">
        <f>+'Bank Assets Analysis'!O24-'Bank Assets Analysis'!P24</f>
        <v>0</v>
      </c>
      <c r="J24" s="399">
        <f>+'Bank Assets Analysis'!Q24-'Bank Assets Analysis'!R24</f>
        <v>0</v>
      </c>
      <c r="K24" s="399">
        <f t="shared" ref="K24" si="7">+C24+D24+E24+F24+G24+H24+I24+J24</f>
        <v>0</v>
      </c>
      <c r="L24" s="372">
        <v>1</v>
      </c>
      <c r="M24" s="400">
        <f>+D24+E24</f>
        <v>0</v>
      </c>
      <c r="N24" s="401">
        <f t="shared" ref="N24:N25" si="8">+M24*L24</f>
        <v>0</v>
      </c>
      <c r="O24" s="347"/>
      <c r="P24" s="15"/>
      <c r="Q24" s="129"/>
      <c r="R24" s="129"/>
      <c r="S24" s="129"/>
    </row>
    <row r="25" spans="1:19" s="130" customFormat="1" ht="27" customHeight="1">
      <c r="A25" s="321" t="s">
        <v>556</v>
      </c>
      <c r="B25" s="371" t="s">
        <v>368</v>
      </c>
      <c r="C25" s="399">
        <f>+'Bank Assets Analysis'!C25-'Bank Assets Analysis'!D25</f>
        <v>251</v>
      </c>
      <c r="D25" s="399">
        <f>+'Bank Assets Analysis'!E25-'Bank Assets Analysis'!F25</f>
        <v>0</v>
      </c>
      <c r="E25" s="399">
        <f>+'Bank Assets Analysis'!G25-'Bank Assets Analysis'!H25</f>
        <v>0</v>
      </c>
      <c r="F25" s="399">
        <f>+'Bank Assets Analysis'!I25-'Bank Assets Analysis'!J25</f>
        <v>0</v>
      </c>
      <c r="G25" s="399">
        <f>+'Bank Assets Analysis'!K25-'Bank Assets Analysis'!L25</f>
        <v>0</v>
      </c>
      <c r="H25" s="399">
        <f>+'Bank Assets Analysis'!M25-'Bank Assets Analysis'!N25</f>
        <v>0</v>
      </c>
      <c r="I25" s="399">
        <f>+'Bank Assets Analysis'!O25-'Bank Assets Analysis'!P25</f>
        <v>0</v>
      </c>
      <c r="J25" s="399">
        <f>+'Bank Assets Analysis'!Q25-'Bank Assets Analysis'!R25</f>
        <v>0</v>
      </c>
      <c r="K25" s="399">
        <f t="shared" si="0"/>
        <v>251</v>
      </c>
      <c r="L25" s="372">
        <v>1</v>
      </c>
      <c r="M25" s="402">
        <f>+C25+D25+E25</f>
        <v>251</v>
      </c>
      <c r="N25" s="355">
        <f t="shared" si="8"/>
        <v>251</v>
      </c>
      <c r="O25" s="347"/>
      <c r="P25" s="15"/>
      <c r="Q25" s="129"/>
      <c r="R25" s="129"/>
      <c r="S25" s="129"/>
    </row>
    <row r="26" spans="1:19" s="130" customFormat="1" ht="33.75" customHeight="1">
      <c r="A26" s="321" t="s">
        <v>369</v>
      </c>
      <c r="B26" s="244" t="s">
        <v>370</v>
      </c>
      <c r="C26" s="355">
        <f>+'Bank Assets Analysis'!C26-'Bank Assets Analysis'!D26</f>
        <v>0</v>
      </c>
      <c r="D26" s="355">
        <f>+'Bank Assets Analysis'!E26-'Bank Assets Analysis'!F26</f>
        <v>0</v>
      </c>
      <c r="E26" s="355">
        <f>+'Bank Assets Analysis'!G26-'Bank Assets Analysis'!H26</f>
        <v>0</v>
      </c>
      <c r="F26" s="355">
        <f>+'Bank Assets Analysis'!I26-'Bank Assets Analysis'!J26</f>
        <v>0</v>
      </c>
      <c r="G26" s="355">
        <f>+'Bank Assets Analysis'!K26-'Bank Assets Analysis'!L26</f>
        <v>0</v>
      </c>
      <c r="H26" s="355">
        <f>+'Bank Assets Analysis'!M26-'Bank Assets Analysis'!N26</f>
        <v>0</v>
      </c>
      <c r="I26" s="355">
        <f>+'Bank Assets Analysis'!O26-'Bank Assets Analysis'!P26</f>
        <v>0</v>
      </c>
      <c r="J26" s="355">
        <f>+'Bank Assets Analysis'!Q26-'Bank Assets Analysis'!R26</f>
        <v>0</v>
      </c>
      <c r="K26" s="355">
        <f t="shared" si="0"/>
        <v>0</v>
      </c>
      <c r="L26" s="127">
        <v>0.5</v>
      </c>
      <c r="M26" s="400">
        <f>+D26+E26</f>
        <v>0</v>
      </c>
      <c r="N26" s="355">
        <f t="shared" si="4"/>
        <v>0</v>
      </c>
      <c r="O26" s="347"/>
      <c r="P26" s="15"/>
      <c r="Q26" s="129"/>
      <c r="R26" s="129"/>
      <c r="S26" s="129"/>
    </row>
    <row r="27" spans="1:19" s="130" customFormat="1" ht="27" customHeight="1">
      <c r="A27" s="321" t="s">
        <v>371</v>
      </c>
      <c r="B27" s="244" t="s">
        <v>372</v>
      </c>
      <c r="C27" s="355">
        <f>+'Bank Assets Analysis'!C27-'Bank Assets Analysis'!D27</f>
        <v>0</v>
      </c>
      <c r="D27" s="355">
        <f>+'Bank Assets Analysis'!E27-'Bank Assets Analysis'!F27</f>
        <v>0</v>
      </c>
      <c r="E27" s="355">
        <f>+'Bank Assets Analysis'!G27-'Bank Assets Analysis'!H27</f>
        <v>0</v>
      </c>
      <c r="F27" s="355">
        <f>+'Bank Assets Analysis'!I27-'Bank Assets Analysis'!J27</f>
        <v>0</v>
      </c>
      <c r="G27" s="355">
        <f>+'Bank Assets Analysis'!K27-'Bank Assets Analysis'!L27</f>
        <v>0</v>
      </c>
      <c r="H27" s="355">
        <f>+'Bank Assets Analysis'!M27-'Bank Assets Analysis'!N27</f>
        <v>0</v>
      </c>
      <c r="I27" s="355">
        <f>+'Bank Assets Analysis'!O27-'Bank Assets Analysis'!P27</f>
        <v>0</v>
      </c>
      <c r="J27" s="355">
        <f>+'Bank Assets Analysis'!Q27-'Bank Assets Analysis'!R27</f>
        <v>0</v>
      </c>
      <c r="K27" s="355">
        <f t="shared" si="0"/>
        <v>0</v>
      </c>
      <c r="L27" s="127">
        <v>0.5</v>
      </c>
      <c r="M27" s="400">
        <f>+D27+E27</f>
        <v>0</v>
      </c>
      <c r="N27" s="355">
        <f t="shared" si="4"/>
        <v>0</v>
      </c>
      <c r="O27" s="347"/>
      <c r="P27" s="15"/>
      <c r="Q27" s="129"/>
      <c r="R27" s="129"/>
      <c r="S27" s="129"/>
    </row>
    <row r="28" spans="1:19" s="130" customFormat="1" ht="27" customHeight="1">
      <c r="A28" s="321" t="s">
        <v>373</v>
      </c>
      <c r="B28" s="244" t="s">
        <v>374</v>
      </c>
      <c r="C28" s="355">
        <f>+'Bank Assets Analysis'!C28-'Bank Assets Analysis'!D28</f>
        <v>0</v>
      </c>
      <c r="D28" s="355">
        <f>+'Bank Assets Analysis'!E28-'Bank Assets Analysis'!F28</f>
        <v>0</v>
      </c>
      <c r="E28" s="355">
        <f>+'Bank Assets Analysis'!G28-'Bank Assets Analysis'!H28</f>
        <v>0</v>
      </c>
      <c r="F28" s="355">
        <f>+'Bank Assets Analysis'!I28-'Bank Assets Analysis'!J28</f>
        <v>0</v>
      </c>
      <c r="G28" s="355">
        <f>+'Bank Assets Analysis'!K28-'Bank Assets Analysis'!L28</f>
        <v>0</v>
      </c>
      <c r="H28" s="355">
        <f>+'Bank Assets Analysis'!M28-'Bank Assets Analysis'!N28</f>
        <v>0</v>
      </c>
      <c r="I28" s="355">
        <f>+'Bank Assets Analysis'!O28-'Bank Assets Analysis'!P28</f>
        <v>0</v>
      </c>
      <c r="J28" s="355">
        <f>+'Bank Assets Analysis'!Q28-'Bank Assets Analysis'!R28</f>
        <v>0</v>
      </c>
      <c r="K28" s="355">
        <f t="shared" si="0"/>
        <v>0</v>
      </c>
      <c r="L28" s="127">
        <v>1</v>
      </c>
      <c r="M28" s="400">
        <f>C28+D28+E28</f>
        <v>0</v>
      </c>
      <c r="N28" s="355">
        <f t="shared" si="4"/>
        <v>0</v>
      </c>
      <c r="O28" s="347"/>
      <c r="P28" s="15"/>
      <c r="Q28" s="129"/>
      <c r="R28" s="129"/>
      <c r="S28" s="129"/>
    </row>
    <row r="29" spans="1:19" s="130" customFormat="1" ht="27" customHeight="1">
      <c r="A29" s="321" t="s">
        <v>375</v>
      </c>
      <c r="B29" s="244" t="s">
        <v>376</v>
      </c>
      <c r="C29" s="355">
        <f>+'Bank Assets Analysis'!C29-'Bank Assets Analysis'!D29</f>
        <v>0</v>
      </c>
      <c r="D29" s="355">
        <f>+'Bank Assets Analysis'!E29-'Bank Assets Analysis'!F29</f>
        <v>0</v>
      </c>
      <c r="E29" s="355">
        <f>+'Bank Assets Analysis'!G29-'Bank Assets Analysis'!H29</f>
        <v>0</v>
      </c>
      <c r="F29" s="355">
        <f>+'Bank Assets Analysis'!I29-'Bank Assets Analysis'!J29</f>
        <v>0</v>
      </c>
      <c r="G29" s="355">
        <f>+'Bank Assets Analysis'!K29-'Bank Assets Analysis'!L29</f>
        <v>0</v>
      </c>
      <c r="H29" s="355">
        <f>+'Bank Assets Analysis'!M29-'Bank Assets Analysis'!N29</f>
        <v>0</v>
      </c>
      <c r="I29" s="355">
        <f>+'Bank Assets Analysis'!O29-'Bank Assets Analysis'!P29</f>
        <v>0</v>
      </c>
      <c r="J29" s="355">
        <f>+'Bank Assets Analysis'!Q29-'Bank Assets Analysis'!R29</f>
        <v>0</v>
      </c>
      <c r="K29" s="355">
        <f t="shared" si="0"/>
        <v>0</v>
      </c>
      <c r="L29" s="127">
        <v>0.5</v>
      </c>
      <c r="M29" s="400">
        <f>+D29+E29</f>
        <v>0</v>
      </c>
      <c r="N29" s="355">
        <f t="shared" si="4"/>
        <v>0</v>
      </c>
      <c r="O29" s="347"/>
      <c r="P29" s="15"/>
      <c r="Q29" s="129"/>
      <c r="R29" s="129"/>
      <c r="S29" s="129"/>
    </row>
    <row r="30" spans="1:19" s="130" customFormat="1" ht="27" customHeight="1">
      <c r="A30" s="321" t="s">
        <v>377</v>
      </c>
      <c r="B30" s="244" t="s">
        <v>524</v>
      </c>
      <c r="C30" s="355">
        <f>+'Bank Assets Analysis'!C30-'Bank Assets Analysis'!D30</f>
        <v>32955132</v>
      </c>
      <c r="D30" s="355">
        <f>+'Bank Assets Analysis'!E30-'Bank Assets Analysis'!F30</f>
        <v>17779505</v>
      </c>
      <c r="E30" s="355">
        <f>+'Bank Assets Analysis'!G30-'Bank Assets Analysis'!H30</f>
        <v>225434796</v>
      </c>
      <c r="F30" s="355">
        <f>+'Bank Assets Analysis'!I30-'Bank Assets Analysis'!J30</f>
        <v>569182032</v>
      </c>
      <c r="G30" s="355">
        <f>+'Bank Assets Analysis'!K30-'Bank Assets Analysis'!L30</f>
        <v>824158294</v>
      </c>
      <c r="H30" s="355">
        <f>+'Bank Assets Analysis'!M30-'Bank Assets Analysis'!N30</f>
        <v>1415540426</v>
      </c>
      <c r="I30" s="355">
        <f>+'Bank Assets Analysis'!O30-'Bank Assets Analysis'!P30</f>
        <v>1717312350</v>
      </c>
      <c r="J30" s="355">
        <f>+'Bank Assets Analysis'!Q30-'Bank Assets Analysis'!R30</f>
        <v>4027984739</v>
      </c>
      <c r="K30" s="355">
        <f t="shared" si="0"/>
        <v>8830347274</v>
      </c>
      <c r="L30" s="127">
        <v>0.5</v>
      </c>
      <c r="M30" s="400">
        <f>+D30+E30</f>
        <v>243214301</v>
      </c>
      <c r="N30" s="355">
        <f t="shared" si="4"/>
        <v>121607150.5</v>
      </c>
      <c r="O30" s="347"/>
      <c r="P30" s="15"/>
      <c r="Q30" s="129"/>
      <c r="R30" s="129"/>
      <c r="S30" s="129"/>
    </row>
    <row r="31" spans="1:19" s="130" customFormat="1" ht="27" customHeight="1">
      <c r="A31" s="321" t="s">
        <v>203</v>
      </c>
      <c r="B31" s="244" t="s">
        <v>378</v>
      </c>
      <c r="C31" s="355">
        <f>+'Bank Assets Analysis'!C31-'Bank Assets Analysis'!D31</f>
        <v>12195138</v>
      </c>
      <c r="D31" s="355">
        <f>+'Bank Assets Analysis'!E31-'Bank Assets Analysis'!F31</f>
        <v>17112476</v>
      </c>
      <c r="E31" s="355">
        <f>+'Bank Assets Analysis'!G31-'Bank Assets Analysis'!H31</f>
        <v>62264947</v>
      </c>
      <c r="F31" s="355">
        <f>+'Bank Assets Analysis'!I31-'Bank Assets Analysis'!J31</f>
        <v>169210038</v>
      </c>
      <c r="G31" s="355">
        <f>+'Bank Assets Analysis'!K31-'Bank Assets Analysis'!L31</f>
        <v>245989398</v>
      </c>
      <c r="H31" s="355">
        <f>+'Bank Assets Analysis'!M31-'Bank Assets Analysis'!N31</f>
        <v>486153885</v>
      </c>
      <c r="I31" s="355">
        <f>+'Bank Assets Analysis'!O31-'Bank Assets Analysis'!P31</f>
        <v>850968665</v>
      </c>
      <c r="J31" s="355">
        <f>+'Bank Assets Analysis'!Q31-'Bank Assets Analysis'!R31</f>
        <v>2204833140</v>
      </c>
      <c r="K31" s="355">
        <f t="shared" si="0"/>
        <v>4048727687</v>
      </c>
      <c r="L31" s="127">
        <v>0</v>
      </c>
      <c r="M31" s="400">
        <f t="shared" ref="M31:M34" si="9">+D31+E31</f>
        <v>79377423</v>
      </c>
      <c r="N31" s="355">
        <f t="shared" ref="N31:N34" si="10">+M31*L31</f>
        <v>0</v>
      </c>
      <c r="O31" s="347"/>
      <c r="P31" s="15"/>
      <c r="Q31" s="129"/>
      <c r="R31" s="129"/>
      <c r="S31" s="129"/>
    </row>
    <row r="32" spans="1:19" s="130" customFormat="1" ht="27" customHeight="1">
      <c r="A32" s="321" t="s">
        <v>379</v>
      </c>
      <c r="B32" s="244" t="s">
        <v>380</v>
      </c>
      <c r="C32" s="355">
        <f>+'Bank Assets Analysis'!C32-'Bank Assets Analysis'!D32</f>
        <v>103169910</v>
      </c>
      <c r="D32" s="355">
        <f>+'Bank Assets Analysis'!E32-'Bank Assets Analysis'!F32</f>
        <v>0</v>
      </c>
      <c r="E32" s="355">
        <f>+'Bank Assets Analysis'!G32-'Bank Assets Analysis'!H32</f>
        <v>0</v>
      </c>
      <c r="F32" s="355">
        <f>+'Bank Assets Analysis'!I32-'Bank Assets Analysis'!J32</f>
        <v>0</v>
      </c>
      <c r="G32" s="355">
        <f>+'Bank Assets Analysis'!K32-'Bank Assets Analysis'!L32</f>
        <v>0</v>
      </c>
      <c r="H32" s="355">
        <f>+'Bank Assets Analysis'!M32-'Bank Assets Analysis'!N32</f>
        <v>0</v>
      </c>
      <c r="I32" s="355">
        <f>+'Bank Assets Analysis'!O32-'Bank Assets Analysis'!P32</f>
        <v>0</v>
      </c>
      <c r="J32" s="355">
        <f>+'Bank Assets Analysis'!Q32-'Bank Assets Analysis'!R32</f>
        <v>0</v>
      </c>
      <c r="K32" s="355">
        <f t="shared" si="0"/>
        <v>103169910</v>
      </c>
      <c r="L32" s="127">
        <v>0</v>
      </c>
      <c r="M32" s="400">
        <f t="shared" si="9"/>
        <v>0</v>
      </c>
      <c r="N32" s="355">
        <f t="shared" si="10"/>
        <v>0</v>
      </c>
      <c r="O32" s="347"/>
      <c r="P32" s="15"/>
      <c r="Q32" s="129"/>
      <c r="R32" s="129"/>
      <c r="S32" s="129"/>
    </row>
    <row r="33" spans="1:19" s="130" customFormat="1" ht="27" customHeight="1">
      <c r="A33" s="321">
        <v>11</v>
      </c>
      <c r="B33" s="244" t="s">
        <v>190</v>
      </c>
      <c r="C33" s="355">
        <f>+'Bank Assets Analysis'!C33-'Bank Assets Analysis'!D33</f>
        <v>0</v>
      </c>
      <c r="D33" s="355">
        <f>+'Bank Assets Analysis'!E33-'Bank Assets Analysis'!F33</f>
        <v>0</v>
      </c>
      <c r="E33" s="355">
        <f>+'Bank Assets Analysis'!G33-'Bank Assets Analysis'!H33</f>
        <v>0</v>
      </c>
      <c r="F33" s="355">
        <f>+'Bank Assets Analysis'!I33-'Bank Assets Analysis'!J33</f>
        <v>0</v>
      </c>
      <c r="G33" s="355">
        <f>+'Bank Assets Analysis'!K33-'Bank Assets Analysis'!L33</f>
        <v>0</v>
      </c>
      <c r="H33" s="355">
        <f>+'Bank Assets Analysis'!M33-'Bank Assets Analysis'!N33</f>
        <v>0</v>
      </c>
      <c r="I33" s="355">
        <f>+'Bank Assets Analysis'!O33-'Bank Assets Analysis'!P33</f>
        <v>0</v>
      </c>
      <c r="J33" s="355">
        <f>+'Bank Assets Analysis'!Q33-'Bank Assets Analysis'!R33</f>
        <v>391688858</v>
      </c>
      <c r="K33" s="355">
        <f t="shared" si="0"/>
        <v>391688858</v>
      </c>
      <c r="L33" s="127">
        <v>0</v>
      </c>
      <c r="M33" s="400">
        <f t="shared" si="9"/>
        <v>0</v>
      </c>
      <c r="N33" s="355">
        <f t="shared" si="10"/>
        <v>0</v>
      </c>
      <c r="O33" s="347"/>
      <c r="P33" s="15"/>
      <c r="Q33" s="129"/>
      <c r="R33" s="129"/>
      <c r="S33" s="129"/>
    </row>
    <row r="34" spans="1:19" s="130" customFormat="1" ht="33.75" customHeight="1">
      <c r="A34" s="321" t="s">
        <v>381</v>
      </c>
      <c r="B34" s="244" t="s">
        <v>547</v>
      </c>
      <c r="C34" s="355">
        <f t="shared" ref="C34:J34" si="11">+C35+C36</f>
        <v>0</v>
      </c>
      <c r="D34" s="355">
        <f t="shared" si="11"/>
        <v>0</v>
      </c>
      <c r="E34" s="355">
        <f t="shared" si="11"/>
        <v>0</v>
      </c>
      <c r="F34" s="355">
        <f t="shared" si="11"/>
        <v>0</v>
      </c>
      <c r="G34" s="355">
        <f t="shared" si="11"/>
        <v>0</v>
      </c>
      <c r="H34" s="355">
        <f t="shared" si="11"/>
        <v>0</v>
      </c>
      <c r="I34" s="355">
        <f t="shared" si="11"/>
        <v>0</v>
      </c>
      <c r="J34" s="355">
        <f t="shared" si="11"/>
        <v>0</v>
      </c>
      <c r="K34" s="355">
        <f t="shared" si="0"/>
        <v>0</v>
      </c>
      <c r="L34" s="127">
        <v>0</v>
      </c>
      <c r="M34" s="400">
        <f t="shared" si="9"/>
        <v>0</v>
      </c>
      <c r="N34" s="355">
        <f t="shared" si="10"/>
        <v>0</v>
      </c>
      <c r="O34" s="347"/>
      <c r="P34" s="15"/>
      <c r="Q34" s="129"/>
      <c r="R34" s="129"/>
      <c r="S34" s="129"/>
    </row>
    <row r="35" spans="1:19" s="130" customFormat="1" ht="36.75" customHeight="1">
      <c r="A35" s="321" t="s">
        <v>214</v>
      </c>
      <c r="B35" s="244" t="s">
        <v>539</v>
      </c>
      <c r="C35" s="355">
        <f>+'Bank Assets Analysis'!C35-'Bank Assets Analysis'!D35</f>
        <v>0</v>
      </c>
      <c r="D35" s="355">
        <f>+'Bank Assets Analysis'!E35-'Bank Assets Analysis'!F35</f>
        <v>0</v>
      </c>
      <c r="E35" s="355">
        <f>+'Bank Assets Analysis'!G35-'Bank Assets Analysis'!H35</f>
        <v>0</v>
      </c>
      <c r="F35" s="355">
        <f>+'Bank Assets Analysis'!I35-'Bank Assets Analysis'!J35</f>
        <v>0</v>
      </c>
      <c r="G35" s="355">
        <f>+'Bank Assets Analysis'!K35-'Bank Assets Analysis'!L35</f>
        <v>0</v>
      </c>
      <c r="H35" s="355">
        <f>+'Bank Assets Analysis'!M35-'Bank Assets Analysis'!N35</f>
        <v>0</v>
      </c>
      <c r="I35" s="355">
        <f>+'Bank Assets Analysis'!O35-'Bank Assets Analysis'!P35</f>
        <v>0</v>
      </c>
      <c r="J35" s="355">
        <f>+'Bank Assets Analysis'!Q35-'Bank Assets Analysis'!R35</f>
        <v>0</v>
      </c>
      <c r="K35" s="355">
        <f t="shared" si="0"/>
        <v>0</v>
      </c>
      <c r="L35" s="127">
        <v>1</v>
      </c>
      <c r="M35" s="400">
        <f>+K35</f>
        <v>0</v>
      </c>
      <c r="N35" s="401">
        <f t="shared" si="4"/>
        <v>0</v>
      </c>
      <c r="O35" s="347"/>
      <c r="P35" s="15"/>
      <c r="Q35" s="129"/>
      <c r="R35" s="129"/>
      <c r="S35" s="129"/>
    </row>
    <row r="36" spans="1:19" s="130" customFormat="1" ht="27" customHeight="1">
      <c r="A36" s="321" t="s">
        <v>216</v>
      </c>
      <c r="B36" s="244" t="s">
        <v>538</v>
      </c>
      <c r="C36" s="355">
        <f>+'Bank Assets Analysis'!C36-'Bank Assets Analysis'!D36</f>
        <v>0</v>
      </c>
      <c r="D36" s="355">
        <f>+'Bank Assets Analysis'!E36-'Bank Assets Analysis'!F36</f>
        <v>0</v>
      </c>
      <c r="E36" s="355">
        <f>+'Bank Assets Analysis'!G36-'Bank Assets Analysis'!H36</f>
        <v>0</v>
      </c>
      <c r="F36" s="355">
        <f>+'Bank Assets Analysis'!I36-'Bank Assets Analysis'!J36</f>
        <v>0</v>
      </c>
      <c r="G36" s="355">
        <f>+'Bank Assets Analysis'!K36-'Bank Assets Analysis'!L36</f>
        <v>0</v>
      </c>
      <c r="H36" s="355">
        <f>+'Bank Assets Analysis'!M36-'Bank Assets Analysis'!N36</f>
        <v>0</v>
      </c>
      <c r="I36" s="355">
        <f>+'Bank Assets Analysis'!O36-'Bank Assets Analysis'!P36</f>
        <v>0</v>
      </c>
      <c r="J36" s="355">
        <f>+'Bank Assets Analysis'!Q36-'Bank Assets Analysis'!R36</f>
        <v>0</v>
      </c>
      <c r="K36" s="355">
        <f t="shared" si="0"/>
        <v>0</v>
      </c>
      <c r="L36" s="127">
        <v>0</v>
      </c>
      <c r="M36" s="400"/>
      <c r="N36" s="355">
        <f t="shared" si="4"/>
        <v>0</v>
      </c>
      <c r="O36" s="347"/>
      <c r="P36" s="15"/>
      <c r="Q36" s="129"/>
      <c r="R36" s="129"/>
      <c r="S36" s="129"/>
    </row>
    <row r="37" spans="1:19" s="130" customFormat="1" ht="27" customHeight="1">
      <c r="A37" s="321" t="s">
        <v>382</v>
      </c>
      <c r="B37" s="244" t="s">
        <v>383</v>
      </c>
      <c r="C37" s="355">
        <f>+'Bank Assets Analysis'!C37-'Bank Assets Analysis'!D37</f>
        <v>0</v>
      </c>
      <c r="D37" s="355">
        <f>+'Bank Assets Analysis'!E37-'Bank Assets Analysis'!F37</f>
        <v>0</v>
      </c>
      <c r="E37" s="355">
        <f>+'Bank Assets Analysis'!G37-'Bank Assets Analysis'!H37</f>
        <v>0</v>
      </c>
      <c r="F37" s="355">
        <f>+'Bank Assets Analysis'!I37-'Bank Assets Analysis'!J37</f>
        <v>0</v>
      </c>
      <c r="G37" s="355">
        <f>+'Bank Assets Analysis'!K37-'Bank Assets Analysis'!L37</f>
        <v>0</v>
      </c>
      <c r="H37" s="355">
        <f>+'Bank Assets Analysis'!M37-'Bank Assets Analysis'!N37</f>
        <v>0</v>
      </c>
      <c r="I37" s="355">
        <f>+'Bank Assets Analysis'!O37-'Bank Assets Analysis'!P37</f>
        <v>0</v>
      </c>
      <c r="J37" s="355">
        <f>+'Bank Assets Analysis'!Q37-'Bank Assets Analysis'!R37</f>
        <v>2578342217</v>
      </c>
      <c r="K37" s="355">
        <f t="shared" si="0"/>
        <v>2578342217</v>
      </c>
      <c r="L37" s="127">
        <v>0</v>
      </c>
      <c r="M37" s="400"/>
      <c r="N37" s="355">
        <f t="shared" si="4"/>
        <v>0</v>
      </c>
      <c r="O37" s="347"/>
      <c r="P37" s="15"/>
      <c r="Q37" s="129"/>
      <c r="R37" s="129"/>
      <c r="S37" s="129"/>
    </row>
    <row r="38" spans="1:19" s="130" customFormat="1" ht="27" customHeight="1">
      <c r="A38" s="321" t="s">
        <v>384</v>
      </c>
      <c r="B38" s="244" t="s">
        <v>213</v>
      </c>
      <c r="C38" s="355">
        <f>+'Bank Assets Analysis'!C38-'Bank Assets Analysis'!D38</f>
        <v>119934391</v>
      </c>
      <c r="D38" s="355">
        <f>+'Bank Assets Analysis'!E38-'Bank Assets Analysis'!F38</f>
        <v>0</v>
      </c>
      <c r="E38" s="355">
        <f>+'Bank Assets Analysis'!G38-'Bank Assets Analysis'!H38</f>
        <v>1494238</v>
      </c>
      <c r="F38" s="355">
        <f>+'Bank Assets Analysis'!I38-'Bank Assets Analysis'!J38</f>
        <v>2790886</v>
      </c>
      <c r="G38" s="355">
        <f>+'Bank Assets Analysis'!K38-'Bank Assets Analysis'!L38</f>
        <v>4633427</v>
      </c>
      <c r="H38" s="355">
        <f>+'Bank Assets Analysis'!M38-'Bank Assets Analysis'!N38</f>
        <v>8254794</v>
      </c>
      <c r="I38" s="355">
        <f>+'Bank Assets Analysis'!O38-'Bank Assets Analysis'!P38</f>
        <v>14671150</v>
      </c>
      <c r="J38" s="355">
        <f>+'Bank Assets Analysis'!Q38-'Bank Assets Analysis'!R38</f>
        <v>196732376</v>
      </c>
      <c r="K38" s="355">
        <f t="shared" si="0"/>
        <v>348511262</v>
      </c>
      <c r="L38" s="127">
        <v>0</v>
      </c>
      <c r="M38" s="400"/>
      <c r="N38" s="355">
        <f t="shared" si="4"/>
        <v>0</v>
      </c>
      <c r="O38" s="347"/>
      <c r="P38" s="15"/>
      <c r="Q38" s="129"/>
      <c r="R38" s="129"/>
      <c r="S38" s="129"/>
    </row>
    <row r="39" spans="1:19" s="130" customFormat="1" ht="27" customHeight="1">
      <c r="A39" s="321" t="s">
        <v>226</v>
      </c>
      <c r="B39" s="244" t="s">
        <v>385</v>
      </c>
      <c r="C39" s="355">
        <f>+'Bank Assets Analysis'!C39-'Bank Assets Analysis'!D39</f>
        <v>0</v>
      </c>
      <c r="D39" s="355">
        <f>+'Bank Assets Analysis'!E39-'Bank Assets Analysis'!F39</f>
        <v>0</v>
      </c>
      <c r="E39" s="355">
        <f>+'Bank Assets Analysis'!G39-'Bank Assets Analysis'!H39</f>
        <v>0</v>
      </c>
      <c r="F39" s="355">
        <f>+'Bank Assets Analysis'!I39-'Bank Assets Analysis'!J39</f>
        <v>0</v>
      </c>
      <c r="G39" s="355">
        <f>+'Bank Assets Analysis'!K39-'Bank Assets Analysis'!L39</f>
        <v>0</v>
      </c>
      <c r="H39" s="355">
        <f>+'Bank Assets Analysis'!M39-'Bank Assets Analysis'!N39</f>
        <v>0</v>
      </c>
      <c r="I39" s="355">
        <f>+'Bank Assets Analysis'!O39-'Bank Assets Analysis'!P39</f>
        <v>0</v>
      </c>
      <c r="J39" s="355">
        <f>+'Bank Assets Analysis'!Q39-'Bank Assets Analysis'!R39</f>
        <v>1561</v>
      </c>
      <c r="K39" s="355">
        <f t="shared" si="0"/>
        <v>1561</v>
      </c>
      <c r="L39" s="127">
        <v>0</v>
      </c>
      <c r="M39" s="400"/>
      <c r="N39" s="355">
        <f t="shared" si="4"/>
        <v>0</v>
      </c>
      <c r="O39" s="347"/>
      <c r="P39" s="15"/>
      <c r="Q39" s="129"/>
      <c r="R39" s="129"/>
      <c r="S39" s="129"/>
    </row>
    <row r="40" spans="1:19" s="130" customFormat="1" ht="27" customHeight="1">
      <c r="A40" s="321" t="s">
        <v>229</v>
      </c>
      <c r="B40" s="244" t="s">
        <v>386</v>
      </c>
      <c r="C40" s="355"/>
      <c r="D40" s="355"/>
      <c r="E40" s="355"/>
      <c r="F40" s="355"/>
      <c r="G40" s="355"/>
      <c r="H40" s="355"/>
      <c r="I40" s="355"/>
      <c r="J40" s="355"/>
      <c r="K40" s="355">
        <f t="shared" si="0"/>
        <v>0</v>
      </c>
      <c r="L40" s="127">
        <v>0</v>
      </c>
      <c r="M40" s="400"/>
      <c r="N40" s="355">
        <f t="shared" si="4"/>
        <v>0</v>
      </c>
      <c r="O40" s="347"/>
      <c r="P40" s="15"/>
      <c r="Q40" s="129"/>
      <c r="R40" s="129"/>
      <c r="S40" s="129"/>
    </row>
    <row r="41" spans="1:19" s="130" customFormat="1" ht="27" customHeight="1">
      <c r="A41" s="321" t="s">
        <v>231</v>
      </c>
      <c r="B41" s="244" t="s">
        <v>387</v>
      </c>
      <c r="C41" s="355">
        <f>+'Bank Assets Analysis'!C41-'Bank Assets Analysis'!D41</f>
        <v>0</v>
      </c>
      <c r="D41" s="355">
        <f>+'Bank Assets Analysis'!E41-'Bank Assets Analysis'!F41</f>
        <v>0</v>
      </c>
      <c r="E41" s="355">
        <f>+'Bank Assets Analysis'!G41-'Bank Assets Analysis'!H41</f>
        <v>0</v>
      </c>
      <c r="F41" s="355">
        <f>+'Bank Assets Analysis'!I41-'Bank Assets Analysis'!J41</f>
        <v>0</v>
      </c>
      <c r="G41" s="355">
        <f>+'Bank Assets Analysis'!K41-'Bank Assets Analysis'!L41</f>
        <v>0</v>
      </c>
      <c r="H41" s="355">
        <f>+'Bank Assets Analysis'!M41-'Bank Assets Analysis'!N41</f>
        <v>0</v>
      </c>
      <c r="I41" s="355">
        <f>+'Bank Assets Analysis'!O41-'Bank Assets Analysis'!P41</f>
        <v>0</v>
      </c>
      <c r="J41" s="355">
        <f>+'Bank Assets Analysis'!Q41-'Bank Assets Analysis'!R41</f>
        <v>0</v>
      </c>
      <c r="K41" s="355">
        <f t="shared" si="0"/>
        <v>0</v>
      </c>
      <c r="L41" s="127">
        <v>0</v>
      </c>
      <c r="M41" s="400"/>
      <c r="N41" s="355">
        <f t="shared" si="4"/>
        <v>0</v>
      </c>
      <c r="O41" s="347"/>
      <c r="P41" s="15"/>
      <c r="Q41" s="129"/>
      <c r="R41" s="129"/>
      <c r="S41" s="129"/>
    </row>
    <row r="42" spans="1:19" s="130" customFormat="1" ht="27" customHeight="1">
      <c r="A42" s="321" t="s">
        <v>233</v>
      </c>
      <c r="B42" s="244" t="s">
        <v>388</v>
      </c>
      <c r="C42" s="355">
        <f>+'Bank Assets Analysis'!C42-'Bank Assets Analysis'!D42</f>
        <v>51170600</v>
      </c>
      <c r="D42" s="355">
        <f>+'Bank Assets Analysis'!E42-'Bank Assets Analysis'!F42</f>
        <v>11581374</v>
      </c>
      <c r="E42" s="355">
        <f>+'Bank Assets Analysis'!G42-'Bank Assets Analysis'!H42</f>
        <v>123286489</v>
      </c>
      <c r="F42" s="355">
        <f>+'Bank Assets Analysis'!I42-'Bank Assets Analysis'!J42</f>
        <v>15459284</v>
      </c>
      <c r="G42" s="355">
        <f>+'Bank Assets Analysis'!K42-'Bank Assets Analysis'!L42</f>
        <v>701443</v>
      </c>
      <c r="H42" s="355">
        <f>+'Bank Assets Analysis'!M42-'Bank Assets Analysis'!N42</f>
        <v>10606132</v>
      </c>
      <c r="I42" s="355">
        <f>+'Bank Assets Analysis'!O42-'Bank Assets Analysis'!P42</f>
        <v>61409867</v>
      </c>
      <c r="J42" s="355">
        <f>+'Bank Assets Analysis'!Q42-'Bank Assets Analysis'!R42</f>
        <v>13777435</v>
      </c>
      <c r="K42" s="355">
        <f t="shared" si="0"/>
        <v>287992624</v>
      </c>
      <c r="L42" s="127">
        <v>0.5</v>
      </c>
      <c r="M42" s="402">
        <f>+D42+E42</f>
        <v>134867863</v>
      </c>
      <c r="N42" s="355">
        <f>+M42*L42</f>
        <v>67433931.5</v>
      </c>
      <c r="O42" s="347"/>
      <c r="P42" s="15"/>
      <c r="Q42" s="129"/>
      <c r="R42" s="129"/>
      <c r="S42" s="129"/>
    </row>
    <row r="43" spans="1:19" s="130" customFormat="1" ht="27" customHeight="1">
      <c r="A43" s="321" t="s">
        <v>564</v>
      </c>
      <c r="B43" s="244" t="s">
        <v>577</v>
      </c>
      <c r="C43" s="355">
        <f>+'Bank Assets Analysis'!C43-'Bank Assets Analysis'!D43</f>
        <v>0</v>
      </c>
      <c r="D43" s="355">
        <f>+'Bank Assets Analysis'!E43-'Bank Assets Analysis'!F43</f>
        <v>0</v>
      </c>
      <c r="E43" s="355">
        <f>+'Bank Assets Analysis'!G43-'Bank Assets Analysis'!H43</f>
        <v>0</v>
      </c>
      <c r="F43" s="355">
        <f>+'Bank Assets Analysis'!I43-'Bank Assets Analysis'!J43</f>
        <v>0</v>
      </c>
      <c r="G43" s="355">
        <f>+'Bank Assets Analysis'!K43-'Bank Assets Analysis'!L43</f>
        <v>0</v>
      </c>
      <c r="H43" s="355">
        <f>+'Bank Assets Analysis'!M43-'Bank Assets Analysis'!N43</f>
        <v>0</v>
      </c>
      <c r="I43" s="355">
        <f>+'Bank Assets Analysis'!O43-'Bank Assets Analysis'!P43</f>
        <v>0</v>
      </c>
      <c r="J43" s="355">
        <f>+'Bank Assets Analysis'!Q43-'Bank Assets Analysis'!R43</f>
        <v>0</v>
      </c>
      <c r="K43" s="355">
        <f t="shared" ref="K43" si="12">+C43+D43+E43+F43+G43+H43+I43+J43</f>
        <v>0</v>
      </c>
      <c r="L43" s="127">
        <v>1</v>
      </c>
      <c r="M43" s="402">
        <f>+D43+E43</f>
        <v>0</v>
      </c>
      <c r="N43" s="355">
        <f>+M43*L43</f>
        <v>0</v>
      </c>
      <c r="O43" s="347"/>
      <c r="P43" s="15"/>
      <c r="Q43" s="129"/>
      <c r="R43" s="129"/>
      <c r="S43" s="129"/>
    </row>
    <row r="44" spans="1:19" s="130" customFormat="1" ht="27" customHeight="1">
      <c r="A44" s="321" t="s">
        <v>566</v>
      </c>
      <c r="B44" s="244" t="s">
        <v>565</v>
      </c>
      <c r="C44" s="355">
        <f>+'Bank Assets Analysis'!C44-'Bank Assets Analysis'!D44</f>
        <v>0</v>
      </c>
      <c r="D44" s="355">
        <f>+'Bank Assets Analysis'!E44-'Bank Assets Analysis'!F44</f>
        <v>0</v>
      </c>
      <c r="E44" s="355">
        <f>+'Bank Assets Analysis'!G44-'Bank Assets Analysis'!H44</f>
        <v>0</v>
      </c>
      <c r="F44" s="355">
        <f>+'Bank Assets Analysis'!I44-'Bank Assets Analysis'!J44</f>
        <v>0</v>
      </c>
      <c r="G44" s="355">
        <f>+'Bank Assets Analysis'!K44-'Bank Assets Analysis'!L44</f>
        <v>0</v>
      </c>
      <c r="H44" s="355">
        <f>+'Bank Assets Analysis'!M44-'Bank Assets Analysis'!N44</f>
        <v>0</v>
      </c>
      <c r="I44" s="355">
        <f>+'Bank Assets Analysis'!O44-'Bank Assets Analysis'!P44</f>
        <v>0</v>
      </c>
      <c r="J44" s="355">
        <f>+'Bank Assets Analysis'!Q44-'Bank Assets Analysis'!R44</f>
        <v>0</v>
      </c>
      <c r="K44" s="355">
        <f t="shared" ref="K44" si="13">+C44+D44+E44+F44+G44+H44+I44+J44</f>
        <v>0</v>
      </c>
      <c r="L44" s="127">
        <v>1</v>
      </c>
      <c r="M44" s="402">
        <f>+D44+E44</f>
        <v>0</v>
      </c>
      <c r="N44" s="355">
        <f t="shared" ref="N44" si="14">+M44*L44</f>
        <v>0</v>
      </c>
      <c r="O44" s="347"/>
      <c r="P44" s="15"/>
      <c r="Q44" s="129"/>
      <c r="R44" s="129"/>
      <c r="S44" s="129"/>
    </row>
    <row r="45" spans="1:19" s="130" customFormat="1" ht="27" customHeight="1">
      <c r="A45" s="321" t="s">
        <v>235</v>
      </c>
      <c r="B45" s="244" t="s">
        <v>389</v>
      </c>
      <c r="C45" s="355">
        <f>+'Bank Assets Analysis'!C45-'Bank Assets Analysis'!D45</f>
        <v>1355786225</v>
      </c>
      <c r="D45" s="355">
        <f>+'Bank Assets Analysis'!E45-'Bank Assets Analysis'!F45</f>
        <v>17286</v>
      </c>
      <c r="E45" s="355">
        <f>+'Bank Assets Analysis'!G45-'Bank Assets Analysis'!H45</f>
        <v>237921</v>
      </c>
      <c r="F45" s="355">
        <f>+'Bank Assets Analysis'!I45-'Bank Assets Analysis'!J45</f>
        <v>260163</v>
      </c>
      <c r="G45" s="355">
        <f>+'Bank Assets Analysis'!K45-'Bank Assets Analysis'!L45</f>
        <v>565224</v>
      </c>
      <c r="H45" s="355">
        <f>+'Bank Assets Analysis'!M45-'Bank Assets Analysis'!N45</f>
        <v>491433</v>
      </c>
      <c r="I45" s="355">
        <f>+'Bank Assets Analysis'!O45-'Bank Assets Analysis'!P45</f>
        <v>2341999</v>
      </c>
      <c r="J45" s="355">
        <f>+'Bank Assets Analysis'!Q45-'Bank Assets Analysis'!R45</f>
        <v>15175556</v>
      </c>
      <c r="K45" s="355">
        <f t="shared" si="0"/>
        <v>1374875807</v>
      </c>
      <c r="L45" s="127">
        <v>0</v>
      </c>
      <c r="M45" s="402"/>
      <c r="N45" s="355">
        <f t="shared" si="4"/>
        <v>0</v>
      </c>
      <c r="O45" s="347"/>
      <c r="P45" s="15"/>
      <c r="Q45" s="129"/>
      <c r="R45" s="129"/>
      <c r="S45" s="129"/>
    </row>
    <row r="46" spans="1:19" s="130" customFormat="1" ht="27" customHeight="1">
      <c r="A46" s="321" t="s">
        <v>237</v>
      </c>
      <c r="B46" s="244" t="s">
        <v>390</v>
      </c>
      <c r="C46" s="355">
        <f>+'Bank Assets Analysis'!C46-'Bank Assets Analysis'!D46</f>
        <v>0</v>
      </c>
      <c r="D46" s="355">
        <f>+'Bank Assets Analysis'!E46-'Bank Assets Analysis'!F46</f>
        <v>0</v>
      </c>
      <c r="E46" s="355">
        <f>+'Bank Assets Analysis'!G46-'Bank Assets Analysis'!H46</f>
        <v>0</v>
      </c>
      <c r="F46" s="355">
        <f>+'Bank Assets Analysis'!I46-'Bank Assets Analysis'!J46</f>
        <v>0</v>
      </c>
      <c r="G46" s="355">
        <f>+'Bank Assets Analysis'!K46-'Bank Assets Analysis'!L46</f>
        <v>0</v>
      </c>
      <c r="H46" s="355">
        <f>+'Bank Assets Analysis'!M46-'Bank Assets Analysis'!N46</f>
        <v>0</v>
      </c>
      <c r="I46" s="355">
        <f>+'Bank Assets Analysis'!O46-'Bank Assets Analysis'!P46</f>
        <v>0</v>
      </c>
      <c r="J46" s="355">
        <f>+'Bank Assets Analysis'!Q46-'Bank Assets Analysis'!R46</f>
        <v>0</v>
      </c>
      <c r="K46" s="355">
        <f t="shared" ref="K46" si="15">+C46+D46+E46+F46+G46+H46+I46+J46</f>
        <v>0</v>
      </c>
      <c r="L46" s="127">
        <v>1</v>
      </c>
      <c r="M46" s="402">
        <f>+C46+D46+E46</f>
        <v>0</v>
      </c>
      <c r="N46" s="355">
        <f t="shared" ref="N46" si="16">+M46*L46</f>
        <v>0</v>
      </c>
      <c r="O46" s="347"/>
      <c r="P46" s="15"/>
      <c r="Q46" s="129"/>
      <c r="R46" s="129"/>
      <c r="S46" s="129"/>
    </row>
    <row r="47" spans="1:19" s="129" customFormat="1" ht="33.75" customHeight="1">
      <c r="A47" s="245" t="s">
        <v>239</v>
      </c>
      <c r="B47" s="246" t="s">
        <v>391</v>
      </c>
      <c r="C47" s="391">
        <f>SUM(C6:C45)-C9-C13-C17-C18-C31-C34</f>
        <v>3833977429</v>
      </c>
      <c r="D47" s="391">
        <f t="shared" ref="D47:J47" si="17">SUM(D6:D45)-D9-D13-D17-D18-D31-D34</f>
        <v>29378165</v>
      </c>
      <c r="E47" s="391">
        <f t="shared" si="17"/>
        <v>589901273</v>
      </c>
      <c r="F47" s="391">
        <f t="shared" si="17"/>
        <v>1049522876</v>
      </c>
      <c r="G47" s="391">
        <f t="shared" si="17"/>
        <v>854467748</v>
      </c>
      <c r="H47" s="391">
        <f t="shared" si="17"/>
        <v>1619442509</v>
      </c>
      <c r="I47" s="391">
        <f t="shared" si="17"/>
        <v>2762168820</v>
      </c>
      <c r="J47" s="391">
        <f t="shared" si="17"/>
        <v>7603570586</v>
      </c>
      <c r="K47" s="391">
        <f>SUM(C47:J47)</f>
        <v>18342429406</v>
      </c>
      <c r="L47" s="131"/>
      <c r="M47" s="410">
        <f>SUM(M6:M45)-M9-M34</f>
        <v>5583653404</v>
      </c>
      <c r="N47" s="410">
        <f>+N12+N13+N14+N15+N16+N18+N26+N27+N28+N29+N30+N42+N46+N25+(K23*0.2)+N43+N44</f>
        <v>1142913859</v>
      </c>
      <c r="O47" s="348">
        <f>+Balance!D47</f>
        <v>18342429406</v>
      </c>
      <c r="P47" s="130">
        <f>+K47-O47</f>
        <v>0</v>
      </c>
      <c r="Q47" s="130"/>
      <c r="R47" s="130">
        <f>+O47</f>
        <v>18342429406</v>
      </c>
      <c r="S47" s="130">
        <f>+K47-R47</f>
        <v>0</v>
      </c>
    </row>
    <row r="48" spans="1:19" s="15" customFormat="1" ht="21" customHeight="1">
      <c r="A48" s="243"/>
      <c r="B48" s="268" t="s">
        <v>392</v>
      </c>
      <c r="C48" s="355"/>
      <c r="D48" s="355"/>
      <c r="E48" s="355"/>
      <c r="F48" s="355"/>
      <c r="G48" s="355"/>
      <c r="H48" s="355"/>
      <c r="I48" s="355"/>
      <c r="J48" s="355"/>
      <c r="K48" s="355"/>
      <c r="L48" s="126"/>
      <c r="M48" s="355"/>
      <c r="N48" s="355"/>
      <c r="O48" s="349"/>
    </row>
    <row r="49" spans="1:17" s="15" customFormat="1" ht="25.5" customHeight="1">
      <c r="A49" s="243">
        <v>1</v>
      </c>
      <c r="B49" s="244" t="s">
        <v>393</v>
      </c>
      <c r="C49" s="355">
        <f>+'Bank Assets Analysis'!C49-'Bank Assets Analysis'!D49</f>
        <v>128630</v>
      </c>
      <c r="D49" s="355">
        <f>+'Bank Assets Analysis'!E49-'Bank Assets Analysis'!F49</f>
        <v>59406361</v>
      </c>
      <c r="E49" s="355">
        <f>+'Bank Assets Analysis'!G49-'Bank Assets Analysis'!H49</f>
        <v>0</v>
      </c>
      <c r="F49" s="355">
        <f>+'Bank Assets Analysis'!I49-'Bank Assets Analysis'!J49</f>
        <v>50000</v>
      </c>
      <c r="G49" s="355">
        <f>+'Bank Assets Analysis'!K49-'Bank Assets Analysis'!L49</f>
        <v>1302561</v>
      </c>
      <c r="H49" s="355">
        <f>+'Bank Assets Analysis'!M49-'Bank Assets Analysis'!N49</f>
        <v>106662576</v>
      </c>
      <c r="I49" s="355">
        <f>+'Bank Assets Analysis'!O49-'Bank Assets Analysis'!P49</f>
        <v>70727012</v>
      </c>
      <c r="J49" s="355">
        <f>+'Bank Assets Analysis'!Q49-'Bank Assets Analysis'!R49</f>
        <v>198777738</v>
      </c>
      <c r="K49" s="355">
        <f t="shared" ref="K49" si="18">+C49+D49+E49+F49+G49+H49+I49+J49</f>
        <v>437054878</v>
      </c>
      <c r="L49" s="126"/>
      <c r="M49" s="355"/>
      <c r="N49" s="355"/>
      <c r="O49" s="349"/>
    </row>
    <row r="50" spans="1:17" s="15" customFormat="1" ht="37.5" customHeight="1">
      <c r="A50" s="243"/>
      <c r="B50" s="244" t="s">
        <v>394</v>
      </c>
      <c r="C50" s="355">
        <f>+'Bank Assets Analysis'!C50-'Bank Assets Analysis'!D50</f>
        <v>0</v>
      </c>
      <c r="D50" s="355">
        <f>+'Bank Assets Analysis'!E50-'Bank Assets Analysis'!F50</f>
        <v>0</v>
      </c>
      <c r="E50" s="355">
        <f>+'Bank Assets Analysis'!G50-'Bank Assets Analysis'!H50</f>
        <v>0</v>
      </c>
      <c r="F50" s="355">
        <f>+'Bank Assets Analysis'!I50-'Bank Assets Analysis'!J50</f>
        <v>0</v>
      </c>
      <c r="G50" s="355">
        <f>+'Bank Assets Analysis'!K50-'Bank Assets Analysis'!L50</f>
        <v>0</v>
      </c>
      <c r="H50" s="355">
        <f>+'Bank Assets Analysis'!M50-'Bank Assets Analysis'!N50</f>
        <v>0</v>
      </c>
      <c r="I50" s="355">
        <f>+'Bank Assets Analysis'!O50-'Bank Assets Analysis'!P50</f>
        <v>0</v>
      </c>
      <c r="J50" s="355">
        <f>+'Bank Assets Analysis'!Q50-'Bank Assets Analysis'!R50</f>
        <v>0</v>
      </c>
      <c r="K50" s="355">
        <f t="shared" ref="K50" si="19">+C50+D50+E50+F50+G50+H50+I50+J50</f>
        <v>0</v>
      </c>
      <c r="L50" s="126"/>
      <c r="M50" s="355"/>
      <c r="N50" s="355"/>
      <c r="O50" s="349"/>
    </row>
    <row r="51" spans="1:17" s="15" customFormat="1" ht="25.5" customHeight="1">
      <c r="A51" s="243">
        <v>2</v>
      </c>
      <c r="B51" s="244" t="s">
        <v>395</v>
      </c>
      <c r="C51" s="355">
        <f>+'Bank Assets Analysis'!C51-'Bank Assets Analysis'!D51</f>
        <v>0</v>
      </c>
      <c r="D51" s="355">
        <f>+'Bank Assets Analysis'!E51-'Bank Assets Analysis'!F51</f>
        <v>0</v>
      </c>
      <c r="E51" s="355">
        <f>+'Bank Assets Analysis'!G51-'Bank Assets Analysis'!H51</f>
        <v>1154145</v>
      </c>
      <c r="F51" s="355">
        <f>+'Bank Assets Analysis'!I51-'Bank Assets Analysis'!J51</f>
        <v>7672683</v>
      </c>
      <c r="G51" s="355">
        <f>+'Bank Assets Analysis'!K51-'Bank Assets Analysis'!L51</f>
        <v>25766143</v>
      </c>
      <c r="H51" s="355">
        <f>+'Bank Assets Analysis'!M51-'Bank Assets Analysis'!N51</f>
        <v>0</v>
      </c>
      <c r="I51" s="355">
        <f>+'Bank Assets Analysis'!O51-'Bank Assets Analysis'!P51</f>
        <v>0</v>
      </c>
      <c r="J51" s="355">
        <f>+'Bank Assets Analysis'!Q51-'Bank Assets Analysis'!R51</f>
        <v>0</v>
      </c>
      <c r="K51" s="355">
        <f t="shared" ref="K51" si="20">+C51+D51+E51+F51+G51+H51+I51+J51</f>
        <v>34592971</v>
      </c>
      <c r="L51" s="126"/>
      <c r="M51" s="355"/>
      <c r="N51" s="355"/>
      <c r="O51" s="349"/>
    </row>
    <row r="52" spans="1:17" s="15" customFormat="1" ht="37.5" customHeight="1">
      <c r="A52" s="243"/>
      <c r="B52" s="244" t="s">
        <v>396</v>
      </c>
      <c r="C52" s="355">
        <f>+'Bank Assets Analysis'!C52-'Bank Assets Analysis'!D52</f>
        <v>0</v>
      </c>
      <c r="D52" s="355">
        <f>+'Bank Assets Analysis'!E52-'Bank Assets Analysis'!F52</f>
        <v>0</v>
      </c>
      <c r="E52" s="355">
        <f>+'Bank Assets Analysis'!G52-'Bank Assets Analysis'!H52</f>
        <v>0</v>
      </c>
      <c r="F52" s="355">
        <f>+'Bank Assets Analysis'!I52-'Bank Assets Analysis'!J52</f>
        <v>0</v>
      </c>
      <c r="G52" s="355">
        <f>+'Bank Assets Analysis'!K52-'Bank Assets Analysis'!L52</f>
        <v>0</v>
      </c>
      <c r="H52" s="355">
        <f>+'Bank Assets Analysis'!M52-'Bank Assets Analysis'!N52</f>
        <v>0</v>
      </c>
      <c r="I52" s="355">
        <f>+'Bank Assets Analysis'!O52-'Bank Assets Analysis'!P52</f>
        <v>0</v>
      </c>
      <c r="J52" s="355">
        <f>+'Bank Assets Analysis'!Q52-'Bank Assets Analysis'!R52</f>
        <v>0</v>
      </c>
      <c r="K52" s="355">
        <f t="shared" ref="K52:K54" si="21">+C52+D52+E52+F52+G52+H52+I52+J52</f>
        <v>0</v>
      </c>
      <c r="L52" s="126"/>
      <c r="M52" s="355"/>
      <c r="N52" s="355"/>
      <c r="O52" s="349"/>
    </row>
    <row r="53" spans="1:17" s="15" customFormat="1" ht="25.5" customHeight="1">
      <c r="A53" s="243">
        <v>3</v>
      </c>
      <c r="B53" s="244" t="s">
        <v>397</v>
      </c>
      <c r="C53" s="355">
        <f>+'Bank Assets Analysis'!C53-'Bank Assets Analysis'!D53</f>
        <v>0</v>
      </c>
      <c r="D53" s="355">
        <f>+'Bank Assets Analysis'!E53-'Bank Assets Analysis'!F53</f>
        <v>0</v>
      </c>
      <c r="E53" s="355">
        <f>+'Bank Assets Analysis'!G53-'Bank Assets Analysis'!H53</f>
        <v>0</v>
      </c>
      <c r="F53" s="355">
        <f>+'Bank Assets Analysis'!I53-'Bank Assets Analysis'!J53</f>
        <v>0</v>
      </c>
      <c r="G53" s="355">
        <f>+'Bank Assets Analysis'!K53-'Bank Assets Analysis'!L53</f>
        <v>0</v>
      </c>
      <c r="H53" s="355">
        <f>+'Bank Assets Analysis'!M53-'Bank Assets Analysis'!N53</f>
        <v>0</v>
      </c>
      <c r="I53" s="355">
        <f>+'Bank Assets Analysis'!O53-'Bank Assets Analysis'!P53</f>
        <v>0</v>
      </c>
      <c r="J53" s="355">
        <f>+'Bank Assets Analysis'!Q53-'Bank Assets Analysis'!R53</f>
        <v>0</v>
      </c>
      <c r="K53" s="355">
        <f t="shared" si="21"/>
        <v>0</v>
      </c>
      <c r="L53" s="126"/>
      <c r="M53" s="355"/>
      <c r="N53" s="355"/>
      <c r="O53" s="349"/>
    </row>
    <row r="54" spans="1:17" s="15" customFormat="1" ht="32.25" customHeight="1">
      <c r="A54" s="243"/>
      <c r="B54" s="244" t="s">
        <v>398</v>
      </c>
      <c r="C54" s="355">
        <f>+'Bank Assets Analysis'!C54-'Bank Assets Analysis'!D54</f>
        <v>0</v>
      </c>
      <c r="D54" s="355">
        <f>+'Bank Assets Analysis'!E54-'Bank Assets Analysis'!F54</f>
        <v>0</v>
      </c>
      <c r="E54" s="355">
        <f>+'Bank Assets Analysis'!G54-'Bank Assets Analysis'!H54</f>
        <v>0</v>
      </c>
      <c r="F54" s="355">
        <f>+'Bank Assets Analysis'!I54-'Bank Assets Analysis'!J54</f>
        <v>0</v>
      </c>
      <c r="G54" s="355">
        <f>+'Bank Assets Analysis'!K54-'Bank Assets Analysis'!L54</f>
        <v>0</v>
      </c>
      <c r="H54" s="355">
        <f>+'Bank Assets Analysis'!M54-'Bank Assets Analysis'!N54</f>
        <v>0</v>
      </c>
      <c r="I54" s="355">
        <f>+'Bank Assets Analysis'!O54-'Bank Assets Analysis'!P54</f>
        <v>0</v>
      </c>
      <c r="J54" s="355">
        <f>+'Bank Assets Analysis'!Q54-'Bank Assets Analysis'!R54</f>
        <v>0</v>
      </c>
      <c r="K54" s="355">
        <f t="shared" si="21"/>
        <v>0</v>
      </c>
      <c r="L54" s="126"/>
      <c r="M54" s="355"/>
      <c r="N54" s="355"/>
      <c r="O54" s="349"/>
    </row>
    <row r="55" spans="1:17" ht="27" customHeight="1">
      <c r="L55" s="329"/>
      <c r="M55" s="330"/>
      <c r="N55" s="331"/>
      <c r="Q55" s="332"/>
    </row>
    <row r="56" spans="1:17" s="332" customFormat="1" ht="15" customHeight="1">
      <c r="B56" s="333" t="s">
        <v>536</v>
      </c>
      <c r="C56" s="327"/>
      <c r="D56" s="327"/>
      <c r="E56" s="327"/>
      <c r="F56" s="327"/>
      <c r="G56" s="327"/>
      <c r="H56" s="327"/>
      <c r="I56" s="327"/>
      <c r="J56" s="327"/>
      <c r="K56" s="327"/>
      <c r="O56" s="350"/>
    </row>
    <row r="57" spans="1:17" s="332" customFormat="1" ht="14.25" customHeight="1">
      <c r="B57" s="333"/>
      <c r="C57" s="327"/>
      <c r="D57" s="327"/>
      <c r="E57" s="327"/>
      <c r="F57" s="327"/>
      <c r="G57" s="327"/>
      <c r="H57" s="327"/>
      <c r="I57" s="327"/>
      <c r="J57" s="327"/>
      <c r="K57" s="327"/>
      <c r="O57" s="350"/>
    </row>
    <row r="58" spans="1:17" s="332" customFormat="1" ht="15" customHeight="1">
      <c r="B58" s="333" t="s">
        <v>535</v>
      </c>
      <c r="C58" s="327"/>
      <c r="D58" s="327"/>
      <c r="E58" s="327"/>
      <c r="F58" s="327"/>
      <c r="G58" s="327"/>
      <c r="H58" s="327"/>
      <c r="I58" s="327"/>
      <c r="J58" s="327"/>
      <c r="K58" s="327"/>
      <c r="O58" s="347"/>
    </row>
    <row r="59" spans="1:17">
      <c r="O59" s="351" t="s">
        <v>156</v>
      </c>
      <c r="P59" s="336">
        <f>+N47</f>
        <v>1142913859</v>
      </c>
    </row>
    <row r="60" spans="1:17" ht="30">
      <c r="B60" s="333"/>
      <c r="O60" s="351" t="s">
        <v>18</v>
      </c>
      <c r="P60" s="336">
        <f>+N6+N7+N10+N11+N19+N20+N21+N22+N24+N35-N46-N18</f>
        <v>3370861229</v>
      </c>
      <c r="Q60" s="332"/>
    </row>
    <row r="61" spans="1:17" ht="30">
      <c r="B61" s="333"/>
      <c r="O61" s="351" t="s">
        <v>157</v>
      </c>
      <c r="P61" s="336">
        <f>+P63-P65</f>
        <v>1953891418.3000002</v>
      </c>
    </row>
    <row r="62" spans="1:17" ht="20.25" customHeight="1">
      <c r="B62" s="333"/>
      <c r="O62" s="348"/>
      <c r="P62" s="332"/>
      <c r="Q62" s="332"/>
    </row>
    <row r="63" spans="1:17">
      <c r="O63" s="352" t="s">
        <v>171</v>
      </c>
      <c r="P63" s="336">
        <f>'Bank Liabilities Analysis (нац)'!M43+P64</f>
        <v>3096805277.3000002</v>
      </c>
    </row>
    <row r="64" spans="1:17" ht="34.5" customHeight="1">
      <c r="O64" s="352" t="s">
        <v>170</v>
      </c>
      <c r="P64" s="336">
        <f>+'Liquidity Analysis'!D41</f>
        <v>70747177</v>
      </c>
      <c r="Q64" s="337"/>
    </row>
    <row r="65" spans="15:16" ht="30">
      <c r="O65" s="352" t="s">
        <v>159</v>
      </c>
      <c r="P65" s="336">
        <f>IF(P59&gt;(P63*0.75),P63*0.75,P59)</f>
        <v>1142913859</v>
      </c>
    </row>
    <row r="66" spans="15:16">
      <c r="P66" s="331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4">
    <cfRule type="cellIs" dxfId="81" priority="5" operator="lessThan">
      <formula>0</formula>
    </cfRule>
  </conditionalFormatting>
  <conditionalFormatting sqref="C26:J44">
    <cfRule type="cellIs" dxfId="80" priority="1" operator="lessThan">
      <formula>0</formula>
    </cfRule>
  </conditionalFormatting>
  <conditionalFormatting sqref="C46:J46 C49:J54">
    <cfRule type="cellIs" dxfId="79" priority="11" operator="lessThan">
      <formula>0</formula>
    </cfRule>
  </conditionalFormatting>
  <conditionalFormatting sqref="K47">
    <cfRule type="cellIs" dxfId="78" priority="281" operator="notEqual">
      <formula>$O$47</formula>
    </cfRule>
  </conditionalFormatting>
  <conditionalFormatting sqref="M49:M54">
    <cfRule type="cellIs" dxfId="77" priority="13" operator="greaterThan">
      <formula>L49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5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74"/>
  <sheetViews>
    <sheetView view="pageBreakPreview" topLeftCell="A3" zoomScale="55" zoomScaleNormal="70" zoomScaleSheetLayoutView="55" workbookViewId="0">
      <pane xSplit="2" ySplit="3" topLeftCell="C6" activePane="bottomRight" state="frozen"/>
      <selection activeCell="C46" sqref="C46"/>
      <selection pane="topRight" activeCell="C46" sqref="C46"/>
      <selection pane="bottomLeft" activeCell="C46" sqref="C46"/>
      <selection pane="bottomRight" activeCell="K34" sqref="K34"/>
    </sheetView>
  </sheetViews>
  <sheetFormatPr defaultRowHeight="12.75"/>
  <cols>
    <col min="1" max="1" width="6.28515625" style="160" customWidth="1"/>
    <col min="2" max="2" width="53.28515625" style="196" customWidth="1"/>
    <col min="3" max="10" width="18" style="17" customWidth="1"/>
    <col min="11" max="18" width="20.5703125" style="17" customWidth="1"/>
    <col min="19" max="21" width="15.85546875" style="17" customWidth="1"/>
    <col min="22" max="22" width="19.140625" style="136" customWidth="1"/>
    <col min="23" max="24" width="17.5703125" style="135" customWidth="1"/>
    <col min="25" max="25" width="19.42578125" style="17" bestFit="1" customWidth="1"/>
    <col min="26" max="26" width="20.7109375" style="17" customWidth="1"/>
    <col min="27" max="27" width="17.5703125" style="267" customWidth="1"/>
    <col min="28" max="16384" width="9.140625" style="17"/>
  </cols>
  <sheetData>
    <row r="1" spans="1:27" s="142" customFormat="1" ht="30" customHeight="1">
      <c r="A1" s="92" t="s">
        <v>401</v>
      </c>
      <c r="B1" s="251"/>
      <c r="C1" s="252"/>
      <c r="D1" s="252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4"/>
      <c r="Q1" s="254"/>
      <c r="R1" s="254"/>
      <c r="S1" s="254"/>
      <c r="T1" s="254"/>
      <c r="U1" s="254"/>
      <c r="V1" s="254"/>
      <c r="W1" s="255" t="s">
        <v>402</v>
      </c>
      <c r="X1" s="255"/>
    </row>
    <row r="2" spans="1:27" ht="23.25" customHeight="1">
      <c r="B2" s="158" t="str">
        <f>Balance!B3</f>
        <v>Банк номи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200"/>
      <c r="U2" s="200"/>
      <c r="V2" s="316">
        <f>+Balance!D3</f>
        <v>45657</v>
      </c>
      <c r="W2" s="136"/>
      <c r="X2" s="135" t="s">
        <v>174</v>
      </c>
      <c r="Y2" s="133"/>
      <c r="AA2" s="17"/>
    </row>
    <row r="3" spans="1:27" s="142" customFormat="1" ht="21.75" customHeight="1">
      <c r="A3" s="424" t="s">
        <v>54</v>
      </c>
      <c r="B3" s="424" t="s">
        <v>333</v>
      </c>
      <c r="C3" s="434" t="s">
        <v>334</v>
      </c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6"/>
      <c r="S3" s="424" t="s">
        <v>176</v>
      </c>
      <c r="T3" s="440" t="s">
        <v>335</v>
      </c>
      <c r="U3" s="441"/>
      <c r="V3" s="427" t="s">
        <v>336</v>
      </c>
      <c r="W3" s="432"/>
      <c r="X3" s="428"/>
      <c r="AA3" s="256"/>
    </row>
    <row r="4" spans="1:27" s="142" customFormat="1" ht="21" customHeight="1">
      <c r="A4" s="425"/>
      <c r="B4" s="425"/>
      <c r="C4" s="434" t="s">
        <v>337</v>
      </c>
      <c r="D4" s="436"/>
      <c r="E4" s="434" t="s">
        <v>338</v>
      </c>
      <c r="F4" s="436"/>
      <c r="G4" s="434" t="s">
        <v>339</v>
      </c>
      <c r="H4" s="436"/>
      <c r="I4" s="434" t="s">
        <v>340</v>
      </c>
      <c r="J4" s="436"/>
      <c r="K4" s="434" t="s">
        <v>341</v>
      </c>
      <c r="L4" s="436"/>
      <c r="M4" s="434" t="s">
        <v>342</v>
      </c>
      <c r="N4" s="436"/>
      <c r="O4" s="434" t="s">
        <v>343</v>
      </c>
      <c r="P4" s="436"/>
      <c r="Q4" s="434" t="s">
        <v>344</v>
      </c>
      <c r="R4" s="436"/>
      <c r="S4" s="425"/>
      <c r="T4" s="442"/>
      <c r="U4" s="443"/>
      <c r="V4" s="429"/>
      <c r="W4" s="433"/>
      <c r="X4" s="430"/>
      <c r="AA4" s="256"/>
    </row>
    <row r="5" spans="1:27" s="142" customFormat="1" ht="102" customHeight="1">
      <c r="A5" s="425"/>
      <c r="B5" s="425"/>
      <c r="C5" s="222" t="s">
        <v>140</v>
      </c>
      <c r="D5" s="222" t="s">
        <v>345</v>
      </c>
      <c r="E5" s="222" t="s">
        <v>140</v>
      </c>
      <c r="F5" s="222" t="s">
        <v>345</v>
      </c>
      <c r="G5" s="222" t="s">
        <v>140</v>
      </c>
      <c r="H5" s="222" t="s">
        <v>345</v>
      </c>
      <c r="I5" s="222" t="s">
        <v>140</v>
      </c>
      <c r="J5" s="222" t="s">
        <v>345</v>
      </c>
      <c r="K5" s="222" t="s">
        <v>140</v>
      </c>
      <c r="L5" s="222" t="s">
        <v>345</v>
      </c>
      <c r="M5" s="222" t="s">
        <v>140</v>
      </c>
      <c r="N5" s="222" t="s">
        <v>345</v>
      </c>
      <c r="O5" s="222" t="s">
        <v>140</v>
      </c>
      <c r="P5" s="222" t="s">
        <v>345</v>
      </c>
      <c r="Q5" s="222" t="s">
        <v>140</v>
      </c>
      <c r="R5" s="222" t="s">
        <v>345</v>
      </c>
      <c r="S5" s="425"/>
      <c r="T5" s="222" t="s">
        <v>346</v>
      </c>
      <c r="U5" s="222" t="s">
        <v>347</v>
      </c>
      <c r="V5" s="340" t="s">
        <v>22</v>
      </c>
      <c r="W5" s="340" t="s">
        <v>309</v>
      </c>
      <c r="X5" s="340" t="s">
        <v>400</v>
      </c>
      <c r="AA5" s="256"/>
    </row>
    <row r="6" spans="1:27" s="142" customFormat="1" ht="25.5" customHeight="1">
      <c r="A6" s="227" t="s">
        <v>55</v>
      </c>
      <c r="B6" s="257" t="s">
        <v>403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258"/>
      <c r="W6" s="137"/>
      <c r="X6" s="137"/>
      <c r="AA6" s="256"/>
    </row>
    <row r="7" spans="1:27" s="142" customFormat="1" ht="25.5" customHeight="1">
      <c r="A7" s="227" t="s">
        <v>66</v>
      </c>
      <c r="B7" s="259" t="s">
        <v>404</v>
      </c>
      <c r="C7" s="356">
        <f>SUM(C8:C11)</f>
        <v>2521364958</v>
      </c>
      <c r="D7" s="356">
        <f t="shared" ref="D7:R7" si="0">SUM(D8:D11)</f>
        <v>344643238</v>
      </c>
      <c r="E7" s="356">
        <f t="shared" ref="E7:F7" si="1">SUM(E8:E11)</f>
        <v>0</v>
      </c>
      <c r="F7" s="356">
        <f t="shared" si="1"/>
        <v>0</v>
      </c>
      <c r="G7" s="356">
        <f t="shared" si="0"/>
        <v>0</v>
      </c>
      <c r="H7" s="356">
        <f t="shared" si="0"/>
        <v>0</v>
      </c>
      <c r="I7" s="356">
        <f t="shared" ref="I7" si="2">SUM(I8:I11)</f>
        <v>0</v>
      </c>
      <c r="J7" s="356">
        <f t="shared" ref="J7" si="3">SUM(J8:J11)</f>
        <v>0</v>
      </c>
      <c r="K7" s="356">
        <f t="shared" si="0"/>
        <v>0</v>
      </c>
      <c r="L7" s="356">
        <f t="shared" si="0"/>
        <v>0</v>
      </c>
      <c r="M7" s="356">
        <f t="shared" si="0"/>
        <v>0</v>
      </c>
      <c r="N7" s="356">
        <f t="shared" si="0"/>
        <v>0</v>
      </c>
      <c r="O7" s="356">
        <f t="shared" ref="O7" si="4">SUM(O8:O11)</f>
        <v>0</v>
      </c>
      <c r="P7" s="356">
        <f t="shared" ref="P7" si="5">SUM(P8:P11)</f>
        <v>0</v>
      </c>
      <c r="Q7" s="356">
        <f t="shared" si="0"/>
        <v>0</v>
      </c>
      <c r="R7" s="356">
        <f t="shared" si="0"/>
        <v>0</v>
      </c>
      <c r="S7" s="356">
        <f>+C7+E7+G7+I7+K7+M7+O7+Q7</f>
        <v>2521364958</v>
      </c>
      <c r="T7" s="356">
        <f>+S7-U7</f>
        <v>2176721720</v>
      </c>
      <c r="U7" s="356">
        <f>+D7+F7+H7+J7+L7+N7+P7+R7</f>
        <v>344643238</v>
      </c>
      <c r="V7" s="258"/>
      <c r="W7" s="138"/>
      <c r="X7" s="138"/>
      <c r="AA7" s="256"/>
    </row>
    <row r="8" spans="1:27" s="142" customFormat="1" ht="25.5" customHeight="1">
      <c r="A8" s="227" t="s">
        <v>141</v>
      </c>
      <c r="B8" s="259" t="s">
        <v>405</v>
      </c>
      <c r="C8" s="393">
        <v>79456017</v>
      </c>
      <c r="D8" s="393">
        <v>49004778</v>
      </c>
      <c r="E8" s="393">
        <v>0</v>
      </c>
      <c r="F8" s="393">
        <v>0</v>
      </c>
      <c r="G8" s="393">
        <v>0</v>
      </c>
      <c r="H8" s="393">
        <v>0</v>
      </c>
      <c r="I8" s="393">
        <v>0</v>
      </c>
      <c r="J8" s="393">
        <v>0</v>
      </c>
      <c r="K8" s="393">
        <v>0</v>
      </c>
      <c r="L8" s="393">
        <v>0</v>
      </c>
      <c r="M8" s="393">
        <v>0</v>
      </c>
      <c r="N8" s="393">
        <v>0</v>
      </c>
      <c r="O8" s="393">
        <v>0</v>
      </c>
      <c r="P8" s="393">
        <v>0</v>
      </c>
      <c r="Q8" s="393">
        <v>0</v>
      </c>
      <c r="R8" s="393">
        <v>0</v>
      </c>
      <c r="S8" s="356">
        <f t="shared" ref="S8:S58" si="6">+C8+E8+G8+I8+K8+M8+O8+Q8</f>
        <v>79456017</v>
      </c>
      <c r="T8" s="356">
        <f t="shared" ref="T8:T58" si="7">+S8-U8</f>
        <v>30451239</v>
      </c>
      <c r="U8" s="356">
        <f t="shared" ref="U8:U58" si="8">+D8+F8+H8+J8+L8+N8+P8+R8</f>
        <v>49004778</v>
      </c>
      <c r="V8" s="161"/>
      <c r="W8" s="138"/>
      <c r="X8" s="138"/>
      <c r="AA8" s="182"/>
    </row>
    <row r="9" spans="1:27" s="142" customFormat="1" ht="25.5" customHeight="1">
      <c r="A9" s="227" t="s">
        <v>142</v>
      </c>
      <c r="B9" s="259" t="s">
        <v>406</v>
      </c>
      <c r="C9" s="393">
        <v>229780</v>
      </c>
      <c r="D9" s="393">
        <v>0</v>
      </c>
      <c r="E9" s="393">
        <v>0</v>
      </c>
      <c r="F9" s="393">
        <v>0</v>
      </c>
      <c r="G9" s="393">
        <v>0</v>
      </c>
      <c r="H9" s="393">
        <v>0</v>
      </c>
      <c r="I9" s="393">
        <v>0</v>
      </c>
      <c r="J9" s="393">
        <v>0</v>
      </c>
      <c r="K9" s="393">
        <v>0</v>
      </c>
      <c r="L9" s="393">
        <v>0</v>
      </c>
      <c r="M9" s="393">
        <v>0</v>
      </c>
      <c r="N9" s="393">
        <v>0</v>
      </c>
      <c r="O9" s="393">
        <v>0</v>
      </c>
      <c r="P9" s="393">
        <v>0</v>
      </c>
      <c r="Q9" s="393">
        <v>0</v>
      </c>
      <c r="R9" s="393">
        <v>0</v>
      </c>
      <c r="S9" s="356">
        <f t="shared" si="6"/>
        <v>229780</v>
      </c>
      <c r="T9" s="356">
        <f t="shared" si="7"/>
        <v>229780</v>
      </c>
      <c r="U9" s="356">
        <f t="shared" si="8"/>
        <v>0</v>
      </c>
      <c r="V9" s="161"/>
      <c r="W9" s="138"/>
      <c r="X9" s="138"/>
      <c r="AA9" s="182"/>
    </row>
    <row r="10" spans="1:27" s="142" customFormat="1" ht="25.5" customHeight="1">
      <c r="A10" s="227" t="s">
        <v>143</v>
      </c>
      <c r="B10" s="259" t="s">
        <v>407</v>
      </c>
      <c r="C10" s="393">
        <v>0</v>
      </c>
      <c r="D10" s="393">
        <v>0</v>
      </c>
      <c r="E10" s="393">
        <v>0</v>
      </c>
      <c r="F10" s="393">
        <v>0</v>
      </c>
      <c r="G10" s="393">
        <v>0</v>
      </c>
      <c r="H10" s="393">
        <v>0</v>
      </c>
      <c r="I10" s="393">
        <v>0</v>
      </c>
      <c r="J10" s="393">
        <v>0</v>
      </c>
      <c r="K10" s="393">
        <v>0</v>
      </c>
      <c r="L10" s="393">
        <v>0</v>
      </c>
      <c r="M10" s="393">
        <v>0</v>
      </c>
      <c r="N10" s="393">
        <v>0</v>
      </c>
      <c r="O10" s="393">
        <v>0</v>
      </c>
      <c r="P10" s="393">
        <v>0</v>
      </c>
      <c r="Q10" s="393">
        <v>0</v>
      </c>
      <c r="R10" s="393">
        <v>0</v>
      </c>
      <c r="S10" s="356">
        <f t="shared" si="6"/>
        <v>0</v>
      </c>
      <c r="T10" s="356">
        <f t="shared" si="7"/>
        <v>0</v>
      </c>
      <c r="U10" s="356">
        <f t="shared" si="8"/>
        <v>0</v>
      </c>
      <c r="V10" s="161"/>
      <c r="W10" s="403"/>
      <c r="X10" s="403"/>
      <c r="AA10" s="182"/>
    </row>
    <row r="11" spans="1:27" s="142" customFormat="1" ht="25.5" customHeight="1">
      <c r="A11" s="227" t="s">
        <v>144</v>
      </c>
      <c r="B11" s="259" t="s">
        <v>408</v>
      </c>
      <c r="C11" s="393">
        <v>2441679161</v>
      </c>
      <c r="D11" s="393">
        <v>295638460</v>
      </c>
      <c r="E11" s="393">
        <v>0</v>
      </c>
      <c r="F11" s="393">
        <v>0</v>
      </c>
      <c r="G11" s="393">
        <v>0</v>
      </c>
      <c r="H11" s="393">
        <v>0</v>
      </c>
      <c r="I11" s="393">
        <v>0</v>
      </c>
      <c r="J11" s="393">
        <v>0</v>
      </c>
      <c r="K11" s="393">
        <v>0</v>
      </c>
      <c r="L11" s="393">
        <v>0</v>
      </c>
      <c r="M11" s="393">
        <v>0</v>
      </c>
      <c r="N11" s="393">
        <v>0</v>
      </c>
      <c r="O11" s="393">
        <v>0</v>
      </c>
      <c r="P11" s="393">
        <v>0</v>
      </c>
      <c r="Q11" s="393">
        <v>0</v>
      </c>
      <c r="R11" s="393">
        <v>0</v>
      </c>
      <c r="S11" s="356">
        <f t="shared" si="6"/>
        <v>2441679161</v>
      </c>
      <c r="T11" s="356">
        <f t="shared" si="7"/>
        <v>2146040701</v>
      </c>
      <c r="U11" s="356">
        <f t="shared" si="8"/>
        <v>295638460</v>
      </c>
      <c r="V11" s="161"/>
      <c r="W11" s="403"/>
      <c r="X11" s="403"/>
      <c r="AA11" s="182"/>
    </row>
    <row r="12" spans="1:27" s="142" customFormat="1" ht="25.5" customHeight="1">
      <c r="A12" s="227" t="s">
        <v>67</v>
      </c>
      <c r="B12" s="259" t="s">
        <v>232</v>
      </c>
      <c r="C12" s="393">
        <v>0</v>
      </c>
      <c r="D12" s="393">
        <v>0</v>
      </c>
      <c r="E12" s="393">
        <v>73197768</v>
      </c>
      <c r="F12" s="393">
        <v>862265</v>
      </c>
      <c r="G12" s="393">
        <v>165588075</v>
      </c>
      <c r="H12" s="393">
        <v>1029418</v>
      </c>
      <c r="I12" s="393">
        <v>294525052</v>
      </c>
      <c r="J12" s="393">
        <v>9173170</v>
      </c>
      <c r="K12" s="393">
        <v>1437789058</v>
      </c>
      <c r="L12" s="393">
        <v>24651112</v>
      </c>
      <c r="M12" s="393">
        <v>2655221338</v>
      </c>
      <c r="N12" s="393">
        <v>281718877</v>
      </c>
      <c r="O12" s="393">
        <v>3808959552</v>
      </c>
      <c r="P12" s="393">
        <v>313144086</v>
      </c>
      <c r="Q12" s="393">
        <v>1326593812</v>
      </c>
      <c r="R12" s="393">
        <v>240579338</v>
      </c>
      <c r="S12" s="356">
        <f t="shared" si="6"/>
        <v>9761874655</v>
      </c>
      <c r="T12" s="356">
        <f t="shared" si="7"/>
        <v>8890716389</v>
      </c>
      <c r="U12" s="356">
        <f t="shared" si="8"/>
        <v>871158266</v>
      </c>
      <c r="V12" s="161"/>
      <c r="W12" s="403"/>
      <c r="X12" s="403"/>
      <c r="AA12" s="182"/>
    </row>
    <row r="13" spans="1:27" s="142" customFormat="1" ht="25.5" customHeight="1">
      <c r="A13" s="227" t="s">
        <v>154</v>
      </c>
      <c r="B13" s="260" t="s">
        <v>409</v>
      </c>
      <c r="C13" s="393">
        <v>0</v>
      </c>
      <c r="D13" s="393">
        <v>0</v>
      </c>
      <c r="E13" s="393">
        <v>17565074</v>
      </c>
      <c r="F13" s="393">
        <v>487571</v>
      </c>
      <c r="G13" s="393">
        <v>39351409</v>
      </c>
      <c r="H13" s="393">
        <v>1029418</v>
      </c>
      <c r="I13" s="393">
        <v>82009916</v>
      </c>
      <c r="J13" s="393">
        <v>9049133</v>
      </c>
      <c r="K13" s="393">
        <v>836640788</v>
      </c>
      <c r="L13" s="393">
        <v>21420992</v>
      </c>
      <c r="M13" s="393">
        <v>1019225833</v>
      </c>
      <c r="N13" s="393">
        <v>55344841</v>
      </c>
      <c r="O13" s="393">
        <v>1875603924</v>
      </c>
      <c r="P13" s="393">
        <v>95455044</v>
      </c>
      <c r="Q13" s="393">
        <v>35522527</v>
      </c>
      <c r="R13" s="393">
        <v>0</v>
      </c>
      <c r="S13" s="356">
        <f t="shared" si="6"/>
        <v>3905919471</v>
      </c>
      <c r="T13" s="356">
        <f t="shared" si="7"/>
        <v>3723132472</v>
      </c>
      <c r="U13" s="356">
        <f t="shared" si="8"/>
        <v>182786999</v>
      </c>
      <c r="V13" s="161"/>
      <c r="W13" s="403"/>
      <c r="X13" s="403"/>
      <c r="AA13" s="182"/>
    </row>
    <row r="14" spans="1:27" s="142" customFormat="1" ht="25.5" customHeight="1">
      <c r="A14" s="227" t="s">
        <v>155</v>
      </c>
      <c r="B14" s="260" t="s">
        <v>410</v>
      </c>
      <c r="C14" s="393">
        <v>0</v>
      </c>
      <c r="D14" s="393">
        <v>0</v>
      </c>
      <c r="E14" s="393">
        <v>0</v>
      </c>
      <c r="F14" s="393">
        <v>0</v>
      </c>
      <c r="G14" s="393">
        <v>0</v>
      </c>
      <c r="H14" s="393">
        <v>0</v>
      </c>
      <c r="I14" s="393">
        <v>0</v>
      </c>
      <c r="J14" s="393">
        <v>0</v>
      </c>
      <c r="K14" s="393">
        <v>0</v>
      </c>
      <c r="L14" s="393">
        <v>0</v>
      </c>
      <c r="M14" s="393">
        <v>0</v>
      </c>
      <c r="N14" s="393">
        <v>0</v>
      </c>
      <c r="O14" s="393">
        <v>0</v>
      </c>
      <c r="P14" s="393">
        <v>0</v>
      </c>
      <c r="Q14" s="393">
        <v>0</v>
      </c>
      <c r="R14" s="393">
        <v>0</v>
      </c>
      <c r="S14" s="356">
        <f t="shared" si="6"/>
        <v>0</v>
      </c>
      <c r="T14" s="356">
        <f t="shared" si="7"/>
        <v>0</v>
      </c>
      <c r="U14" s="356">
        <f t="shared" si="8"/>
        <v>0</v>
      </c>
      <c r="V14" s="161"/>
      <c r="W14" s="403"/>
      <c r="X14" s="403"/>
      <c r="AA14" s="182"/>
    </row>
    <row r="15" spans="1:27" s="142" customFormat="1" ht="25.5" customHeight="1">
      <c r="A15" s="227" t="s">
        <v>68</v>
      </c>
      <c r="B15" s="259" t="s">
        <v>411</v>
      </c>
      <c r="C15" s="356">
        <f t="shared" ref="C15:R15" si="9">SUM(C16:C19)</f>
        <v>1438671891</v>
      </c>
      <c r="D15" s="356">
        <f t="shared" si="9"/>
        <v>195205021</v>
      </c>
      <c r="E15" s="356">
        <f t="shared" si="9"/>
        <v>1162843</v>
      </c>
      <c r="F15" s="356">
        <f t="shared" si="9"/>
        <v>1162843</v>
      </c>
      <c r="G15" s="356">
        <f t="shared" si="9"/>
        <v>0</v>
      </c>
      <c r="H15" s="356">
        <f t="shared" si="9"/>
        <v>0</v>
      </c>
      <c r="I15" s="356">
        <f t="shared" si="9"/>
        <v>793059</v>
      </c>
      <c r="J15" s="356">
        <f t="shared" si="9"/>
        <v>793059</v>
      </c>
      <c r="K15" s="356">
        <f t="shared" si="9"/>
        <v>0</v>
      </c>
      <c r="L15" s="356">
        <f t="shared" si="9"/>
        <v>0</v>
      </c>
      <c r="M15" s="356">
        <f t="shared" si="9"/>
        <v>37762040</v>
      </c>
      <c r="N15" s="356">
        <f t="shared" si="9"/>
        <v>37762040</v>
      </c>
      <c r="O15" s="356">
        <f t="shared" si="9"/>
        <v>53045368</v>
      </c>
      <c r="P15" s="356">
        <f t="shared" si="9"/>
        <v>53045368</v>
      </c>
      <c r="Q15" s="356">
        <f t="shared" si="9"/>
        <v>0</v>
      </c>
      <c r="R15" s="356">
        <f t="shared" si="9"/>
        <v>0</v>
      </c>
      <c r="S15" s="356">
        <f t="shared" si="6"/>
        <v>1531435201</v>
      </c>
      <c r="T15" s="356">
        <f t="shared" si="7"/>
        <v>1243466870</v>
      </c>
      <c r="U15" s="356">
        <f t="shared" si="8"/>
        <v>287968331</v>
      </c>
      <c r="V15" s="161"/>
      <c r="W15" s="403"/>
      <c r="X15" s="403"/>
      <c r="AA15" s="182"/>
    </row>
    <row r="16" spans="1:27" s="142" customFormat="1" ht="28.5" customHeight="1">
      <c r="A16" s="227" t="s">
        <v>145</v>
      </c>
      <c r="B16" s="259" t="s">
        <v>412</v>
      </c>
      <c r="C16" s="393">
        <v>1243732354</v>
      </c>
      <c r="D16" s="393">
        <v>171728599</v>
      </c>
      <c r="E16" s="393">
        <v>0</v>
      </c>
      <c r="F16" s="393">
        <v>0</v>
      </c>
      <c r="G16" s="393">
        <v>0</v>
      </c>
      <c r="H16" s="393">
        <v>0</v>
      </c>
      <c r="I16" s="393">
        <v>0</v>
      </c>
      <c r="J16" s="393">
        <v>0</v>
      </c>
      <c r="K16" s="393">
        <v>0</v>
      </c>
      <c r="L16" s="393">
        <v>0</v>
      </c>
      <c r="M16" s="393">
        <v>0</v>
      </c>
      <c r="N16" s="393">
        <v>0</v>
      </c>
      <c r="O16" s="393">
        <v>0</v>
      </c>
      <c r="P16" s="393">
        <v>0</v>
      </c>
      <c r="Q16" s="393">
        <v>0</v>
      </c>
      <c r="R16" s="393">
        <v>0</v>
      </c>
      <c r="S16" s="356">
        <f t="shared" si="6"/>
        <v>1243732354</v>
      </c>
      <c r="T16" s="356">
        <f t="shared" si="7"/>
        <v>1072003755</v>
      </c>
      <c r="U16" s="356">
        <f t="shared" si="8"/>
        <v>171728599</v>
      </c>
      <c r="V16" s="161"/>
      <c r="W16" s="403"/>
      <c r="X16" s="403"/>
      <c r="AA16" s="182"/>
    </row>
    <row r="17" spans="1:27" s="142" customFormat="1" ht="28.5" customHeight="1">
      <c r="A17" s="227" t="s">
        <v>146</v>
      </c>
      <c r="B17" s="259" t="s">
        <v>413</v>
      </c>
      <c r="C17" s="393">
        <v>11141274</v>
      </c>
      <c r="D17" s="393">
        <v>1051081</v>
      </c>
      <c r="E17" s="393">
        <v>0</v>
      </c>
      <c r="F17" s="393">
        <v>0</v>
      </c>
      <c r="G17" s="393">
        <v>0</v>
      </c>
      <c r="H17" s="393">
        <v>0</v>
      </c>
      <c r="I17" s="393">
        <v>0</v>
      </c>
      <c r="J17" s="393">
        <v>0</v>
      </c>
      <c r="K17" s="393">
        <v>0</v>
      </c>
      <c r="L17" s="393">
        <v>0</v>
      </c>
      <c r="M17" s="393">
        <v>0</v>
      </c>
      <c r="N17" s="393">
        <v>0</v>
      </c>
      <c r="O17" s="393">
        <v>0</v>
      </c>
      <c r="P17" s="393">
        <v>0</v>
      </c>
      <c r="Q17" s="393">
        <v>0</v>
      </c>
      <c r="R17" s="393">
        <v>0</v>
      </c>
      <c r="S17" s="356">
        <f t="shared" si="6"/>
        <v>11141274</v>
      </c>
      <c r="T17" s="356">
        <f t="shared" si="7"/>
        <v>10090193</v>
      </c>
      <c r="U17" s="356">
        <f t="shared" si="8"/>
        <v>1051081</v>
      </c>
      <c r="V17" s="161"/>
      <c r="W17" s="403"/>
      <c r="X17" s="403"/>
      <c r="AA17" s="182"/>
    </row>
    <row r="18" spans="1:27" s="142" customFormat="1" ht="25.5" customHeight="1">
      <c r="A18" s="227" t="s">
        <v>147</v>
      </c>
      <c r="B18" s="259" t="s">
        <v>414</v>
      </c>
      <c r="C18" s="393">
        <v>0</v>
      </c>
      <c r="D18" s="393">
        <v>0</v>
      </c>
      <c r="E18" s="393">
        <v>1162843</v>
      </c>
      <c r="F18" s="393">
        <v>1162843</v>
      </c>
      <c r="G18" s="393">
        <v>0</v>
      </c>
      <c r="H18" s="393">
        <v>0</v>
      </c>
      <c r="I18" s="393">
        <v>793059</v>
      </c>
      <c r="J18" s="393">
        <v>793059</v>
      </c>
      <c r="K18" s="393">
        <v>0</v>
      </c>
      <c r="L18" s="393">
        <v>0</v>
      </c>
      <c r="M18" s="393">
        <v>37762040</v>
      </c>
      <c r="N18" s="393">
        <v>37762040</v>
      </c>
      <c r="O18" s="393">
        <v>53045368</v>
      </c>
      <c r="P18" s="393">
        <v>53045368</v>
      </c>
      <c r="Q18" s="393">
        <v>0</v>
      </c>
      <c r="R18" s="393">
        <v>0</v>
      </c>
      <c r="S18" s="356">
        <f t="shared" si="6"/>
        <v>92763310</v>
      </c>
      <c r="T18" s="356">
        <f t="shared" si="7"/>
        <v>0</v>
      </c>
      <c r="U18" s="356">
        <f t="shared" si="8"/>
        <v>92763310</v>
      </c>
      <c r="V18" s="161"/>
      <c r="W18" s="403"/>
      <c r="X18" s="403"/>
      <c r="AA18" s="182"/>
    </row>
    <row r="19" spans="1:27" s="142" customFormat="1" ht="25.5" customHeight="1">
      <c r="A19" s="227" t="s">
        <v>148</v>
      </c>
      <c r="B19" s="259" t="s">
        <v>368</v>
      </c>
      <c r="C19" s="393">
        <v>183798263</v>
      </c>
      <c r="D19" s="393">
        <v>22425341</v>
      </c>
      <c r="E19" s="393">
        <v>0</v>
      </c>
      <c r="F19" s="393">
        <v>0</v>
      </c>
      <c r="G19" s="393">
        <v>0</v>
      </c>
      <c r="H19" s="393">
        <v>0</v>
      </c>
      <c r="I19" s="393">
        <v>0</v>
      </c>
      <c r="J19" s="393">
        <v>0</v>
      </c>
      <c r="K19" s="393">
        <v>0</v>
      </c>
      <c r="L19" s="393">
        <v>0</v>
      </c>
      <c r="M19" s="393">
        <v>0</v>
      </c>
      <c r="N19" s="393">
        <v>0</v>
      </c>
      <c r="O19" s="393">
        <v>0</v>
      </c>
      <c r="P19" s="393">
        <v>0</v>
      </c>
      <c r="Q19" s="393">
        <v>0</v>
      </c>
      <c r="R19" s="393">
        <v>0</v>
      </c>
      <c r="S19" s="356">
        <f t="shared" si="6"/>
        <v>183798263</v>
      </c>
      <c r="T19" s="356">
        <f t="shared" si="7"/>
        <v>161372922</v>
      </c>
      <c r="U19" s="356">
        <f t="shared" si="8"/>
        <v>22425341</v>
      </c>
      <c r="V19" s="161"/>
      <c r="W19" s="403"/>
      <c r="X19" s="403"/>
      <c r="AA19" s="182"/>
    </row>
    <row r="20" spans="1:27" s="142" customFormat="1" ht="25.5" customHeight="1">
      <c r="A20" s="227" t="s">
        <v>69</v>
      </c>
      <c r="B20" s="261" t="s">
        <v>415</v>
      </c>
      <c r="C20" s="356">
        <f t="shared" ref="C20:R20" si="10">+C7+C12+C15</f>
        <v>3960036849</v>
      </c>
      <c r="D20" s="356">
        <f t="shared" si="10"/>
        <v>539848259</v>
      </c>
      <c r="E20" s="356">
        <f t="shared" si="10"/>
        <v>74360611</v>
      </c>
      <c r="F20" s="356">
        <f t="shared" si="10"/>
        <v>2025108</v>
      </c>
      <c r="G20" s="356">
        <f t="shared" si="10"/>
        <v>165588075</v>
      </c>
      <c r="H20" s="356">
        <f t="shared" si="10"/>
        <v>1029418</v>
      </c>
      <c r="I20" s="356">
        <f t="shared" si="10"/>
        <v>295318111</v>
      </c>
      <c r="J20" s="356">
        <f t="shared" si="10"/>
        <v>9966229</v>
      </c>
      <c r="K20" s="356">
        <f t="shared" si="10"/>
        <v>1437789058</v>
      </c>
      <c r="L20" s="356">
        <f t="shared" si="10"/>
        <v>24651112</v>
      </c>
      <c r="M20" s="356">
        <f t="shared" si="10"/>
        <v>2692983378</v>
      </c>
      <c r="N20" s="356">
        <f t="shared" si="10"/>
        <v>319480917</v>
      </c>
      <c r="O20" s="356">
        <f t="shared" si="10"/>
        <v>3862004920</v>
      </c>
      <c r="P20" s="356">
        <f t="shared" si="10"/>
        <v>366189454</v>
      </c>
      <c r="Q20" s="356">
        <f t="shared" si="10"/>
        <v>1326593812</v>
      </c>
      <c r="R20" s="356">
        <f t="shared" si="10"/>
        <v>240579338</v>
      </c>
      <c r="S20" s="356">
        <f t="shared" si="6"/>
        <v>13814674814</v>
      </c>
      <c r="T20" s="356">
        <f t="shared" si="7"/>
        <v>12310904979</v>
      </c>
      <c r="U20" s="356">
        <f t="shared" si="8"/>
        <v>1503769835</v>
      </c>
      <c r="V20" s="161">
        <v>0.15</v>
      </c>
      <c r="W20" s="403">
        <f>+X20+'Bank Liabilities Analysis (нац)'!M21</f>
        <v>2037315926.0999999</v>
      </c>
      <c r="X20" s="403">
        <f>(U20-(J46+L46+N46+P46+R46))*V20</f>
        <v>190680179.25</v>
      </c>
      <c r="Y20" s="177">
        <f>+'Deposits by Client'!C22</f>
        <v>13814674814</v>
      </c>
      <c r="Z20" s="177">
        <f>+Y20-AA20</f>
        <v>12310904979</v>
      </c>
      <c r="AA20" s="177">
        <f>+'Deposits by Client'!D22</f>
        <v>1503769835</v>
      </c>
    </row>
    <row r="21" spans="1:27" s="142" customFormat="1" ht="25.5" customHeight="1">
      <c r="A21" s="227" t="s">
        <v>57</v>
      </c>
      <c r="B21" s="259" t="s">
        <v>234</v>
      </c>
      <c r="C21" s="393">
        <v>424511118</v>
      </c>
      <c r="D21" s="393">
        <v>0</v>
      </c>
      <c r="E21" s="393">
        <v>0</v>
      </c>
      <c r="F21" s="393">
        <v>0</v>
      </c>
      <c r="G21" s="393">
        <v>0</v>
      </c>
      <c r="H21" s="393">
        <v>0</v>
      </c>
      <c r="I21" s="393">
        <v>0</v>
      </c>
      <c r="J21" s="393">
        <v>0</v>
      </c>
      <c r="K21" s="393">
        <v>0</v>
      </c>
      <c r="L21" s="393">
        <v>0</v>
      </c>
      <c r="M21" s="393">
        <v>0</v>
      </c>
      <c r="N21" s="393">
        <v>0</v>
      </c>
      <c r="O21" s="393">
        <v>0</v>
      </c>
      <c r="P21" s="393">
        <v>0</v>
      </c>
      <c r="Q21" s="393">
        <v>0</v>
      </c>
      <c r="R21" s="393">
        <v>0</v>
      </c>
      <c r="S21" s="356">
        <f t="shared" si="6"/>
        <v>424511118</v>
      </c>
      <c r="T21" s="356">
        <f t="shared" si="7"/>
        <v>424511118</v>
      </c>
      <c r="U21" s="356">
        <f t="shared" si="8"/>
        <v>0</v>
      </c>
      <c r="V21" s="161">
        <v>1</v>
      </c>
      <c r="W21" s="403">
        <f>(C21+E21+G21-C22-E22-G22)*V21</f>
        <v>0</v>
      </c>
      <c r="X21" s="403">
        <f>(D21+F21+H21-D22-F22-H22)*V21</f>
        <v>0</v>
      </c>
      <c r="Y21" s="182">
        <f>+S20-Y20</f>
        <v>0</v>
      </c>
      <c r="Z21" s="182">
        <f>+T20-Z20</f>
        <v>0</v>
      </c>
      <c r="AA21" s="182">
        <f>+U20-AA20</f>
        <v>0</v>
      </c>
    </row>
    <row r="22" spans="1:27" s="142" customFormat="1" ht="43.5" customHeight="1">
      <c r="A22" s="227" t="s">
        <v>94</v>
      </c>
      <c r="B22" s="259" t="s">
        <v>541</v>
      </c>
      <c r="C22" s="393">
        <v>424511118</v>
      </c>
      <c r="D22" s="393">
        <v>0</v>
      </c>
      <c r="E22" s="393">
        <v>0</v>
      </c>
      <c r="F22" s="393">
        <v>0</v>
      </c>
      <c r="G22" s="393">
        <v>0</v>
      </c>
      <c r="H22" s="393">
        <v>0</v>
      </c>
      <c r="I22" s="393">
        <v>0</v>
      </c>
      <c r="J22" s="393">
        <v>0</v>
      </c>
      <c r="K22" s="393">
        <v>0</v>
      </c>
      <c r="L22" s="393">
        <v>0</v>
      </c>
      <c r="M22" s="393">
        <v>0</v>
      </c>
      <c r="N22" s="393">
        <v>0</v>
      </c>
      <c r="O22" s="393">
        <v>0</v>
      </c>
      <c r="P22" s="393">
        <v>0</v>
      </c>
      <c r="Q22" s="393">
        <v>0</v>
      </c>
      <c r="R22" s="393">
        <v>0</v>
      </c>
      <c r="S22" s="356">
        <f t="shared" ref="S22" si="11">+C22+E22+G22+I22+K22+M22+O22+Q22</f>
        <v>424511118</v>
      </c>
      <c r="T22" s="356">
        <f t="shared" ref="T22" si="12">+S22-U22</f>
        <v>424511118</v>
      </c>
      <c r="U22" s="356">
        <f t="shared" ref="U22" si="13">+D22+F22+H22+J22+L22+N22+P22+R22</f>
        <v>0</v>
      </c>
      <c r="V22" s="161"/>
      <c r="W22" s="403"/>
      <c r="X22" s="403"/>
      <c r="Y22" s="182"/>
      <c r="Z22" s="182"/>
      <c r="AA22" s="182"/>
    </row>
    <row r="23" spans="1:27" s="142" customFormat="1" ht="25.5" customHeight="1">
      <c r="A23" s="227" t="s">
        <v>58</v>
      </c>
      <c r="B23" s="259" t="s">
        <v>416</v>
      </c>
      <c r="C23" s="356">
        <f>SUM(C24:C28)-C25</f>
        <v>224996623</v>
      </c>
      <c r="D23" s="356">
        <f t="shared" ref="D23:R23" si="14">SUM(D24:D28)-D25</f>
        <v>219258653</v>
      </c>
      <c r="E23" s="356">
        <f t="shared" si="14"/>
        <v>0</v>
      </c>
      <c r="F23" s="356">
        <f t="shared" si="14"/>
        <v>0</v>
      </c>
      <c r="G23" s="356">
        <f t="shared" si="14"/>
        <v>249512</v>
      </c>
      <c r="H23" s="356">
        <f t="shared" si="14"/>
        <v>0</v>
      </c>
      <c r="I23" s="356">
        <f t="shared" si="14"/>
        <v>180000000</v>
      </c>
      <c r="J23" s="356">
        <f t="shared" si="14"/>
        <v>0</v>
      </c>
      <c r="K23" s="356">
        <f t="shared" si="14"/>
        <v>156923400</v>
      </c>
      <c r="L23" s="356">
        <f t="shared" si="14"/>
        <v>64602400</v>
      </c>
      <c r="M23" s="356">
        <f t="shared" si="14"/>
        <v>76321154</v>
      </c>
      <c r="N23" s="356">
        <f t="shared" si="14"/>
        <v>64602400</v>
      </c>
      <c r="O23" s="356">
        <f t="shared" si="14"/>
        <v>541770311</v>
      </c>
      <c r="P23" s="356">
        <f t="shared" si="14"/>
        <v>387614400</v>
      </c>
      <c r="Q23" s="356">
        <f t="shared" si="14"/>
        <v>147918724</v>
      </c>
      <c r="R23" s="356">
        <f t="shared" si="14"/>
        <v>0</v>
      </c>
      <c r="S23" s="356">
        <f t="shared" si="6"/>
        <v>1328179724</v>
      </c>
      <c r="T23" s="356">
        <f t="shared" si="7"/>
        <v>592101871</v>
      </c>
      <c r="U23" s="356">
        <f t="shared" si="8"/>
        <v>736077853</v>
      </c>
      <c r="V23" s="161"/>
      <c r="W23" s="403"/>
      <c r="X23" s="403"/>
      <c r="AA23" s="182"/>
    </row>
    <row r="24" spans="1:27" s="142" customFormat="1" ht="27.75" customHeight="1">
      <c r="A24" s="227" t="s">
        <v>74</v>
      </c>
      <c r="B24" s="259" t="s">
        <v>417</v>
      </c>
      <c r="C24" s="393">
        <v>219824692</v>
      </c>
      <c r="D24" s="393">
        <v>219236815</v>
      </c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>
        <f>+C24</f>
        <v>219824692</v>
      </c>
      <c r="T24" s="356">
        <f t="shared" ref="T24" si="15">+S24-U24</f>
        <v>587877</v>
      </c>
      <c r="U24" s="356">
        <f>+D24</f>
        <v>219236815</v>
      </c>
      <c r="V24" s="161">
        <v>1</v>
      </c>
      <c r="W24" s="403">
        <f>X24+'Bank Liabilities Analysis (нац)'!M25</f>
        <v>158311817</v>
      </c>
      <c r="X24" s="403">
        <f>(U24-U25)*V24</f>
        <v>157723940</v>
      </c>
      <c r="AA24" s="182"/>
    </row>
    <row r="25" spans="1:27" s="142" customFormat="1" ht="27.75" customHeight="1">
      <c r="A25" s="227" t="s">
        <v>551</v>
      </c>
      <c r="B25" s="259" t="s">
        <v>552</v>
      </c>
      <c r="C25" s="393">
        <v>61512875</v>
      </c>
      <c r="D25" s="393">
        <v>61512875</v>
      </c>
      <c r="E25" s="356"/>
      <c r="F25" s="356"/>
      <c r="G25" s="356"/>
      <c r="H25" s="356"/>
      <c r="I25" s="356"/>
      <c r="J25" s="356"/>
      <c r="K25" s="356"/>
      <c r="L25" s="356"/>
      <c r="M25" s="356"/>
      <c r="N25" s="356"/>
      <c r="O25" s="356"/>
      <c r="P25" s="356"/>
      <c r="Q25" s="356"/>
      <c r="R25" s="356"/>
      <c r="S25" s="356">
        <f>+C25</f>
        <v>61512875</v>
      </c>
      <c r="T25" s="356">
        <f t="shared" ref="T25" si="16">+S25-U25</f>
        <v>0</v>
      </c>
      <c r="U25" s="356">
        <f>+D25</f>
        <v>61512875</v>
      </c>
      <c r="V25" s="161">
        <v>1</v>
      </c>
      <c r="W25" s="403">
        <f>(U25*V25)</f>
        <v>61512875</v>
      </c>
      <c r="X25" s="403">
        <f>(U25*V25)</f>
        <v>61512875</v>
      </c>
      <c r="AA25" s="182"/>
    </row>
    <row r="26" spans="1:27" s="142" customFormat="1" ht="25.5" customHeight="1">
      <c r="A26" s="227" t="s">
        <v>75</v>
      </c>
      <c r="B26" s="259" t="s">
        <v>418</v>
      </c>
      <c r="C26" s="393">
        <v>410000</v>
      </c>
      <c r="D26" s="393">
        <v>0</v>
      </c>
      <c r="E26" s="393">
        <v>0</v>
      </c>
      <c r="F26" s="393">
        <v>0</v>
      </c>
      <c r="G26" s="393">
        <v>249512</v>
      </c>
      <c r="H26" s="393">
        <v>0</v>
      </c>
      <c r="I26" s="393">
        <v>180000000</v>
      </c>
      <c r="J26" s="393">
        <v>0</v>
      </c>
      <c r="K26" s="393">
        <v>156923400</v>
      </c>
      <c r="L26" s="393">
        <v>64602400</v>
      </c>
      <c r="M26" s="393">
        <v>76321154</v>
      </c>
      <c r="N26" s="393">
        <v>64602400</v>
      </c>
      <c r="O26" s="393">
        <v>541770311</v>
      </c>
      <c r="P26" s="393">
        <v>387614400</v>
      </c>
      <c r="Q26" s="393">
        <v>147918724</v>
      </c>
      <c r="R26" s="393">
        <v>0</v>
      </c>
      <c r="S26" s="356">
        <f t="shared" si="6"/>
        <v>1103593101</v>
      </c>
      <c r="T26" s="356">
        <f t="shared" si="7"/>
        <v>586773901</v>
      </c>
      <c r="U26" s="356">
        <f t="shared" si="8"/>
        <v>516819200</v>
      </c>
      <c r="V26" s="161">
        <v>1</v>
      </c>
      <c r="W26" s="403">
        <f>(C26+E26+G26)*V26</f>
        <v>659512</v>
      </c>
      <c r="X26" s="403">
        <f>(D26+F26+H26)*V26</f>
        <v>0</v>
      </c>
      <c r="AA26" s="182"/>
    </row>
    <row r="27" spans="1:27" s="142" customFormat="1" ht="25.5" customHeight="1">
      <c r="A27" s="227" t="s">
        <v>15</v>
      </c>
      <c r="B27" s="259" t="s">
        <v>495</v>
      </c>
      <c r="C27" s="393">
        <v>4761931</v>
      </c>
      <c r="D27" s="393">
        <v>21838</v>
      </c>
      <c r="E27" s="393">
        <v>0</v>
      </c>
      <c r="F27" s="393">
        <v>0</v>
      </c>
      <c r="G27" s="393">
        <v>0</v>
      </c>
      <c r="H27" s="393">
        <v>0</v>
      </c>
      <c r="I27" s="393">
        <v>0</v>
      </c>
      <c r="J27" s="393">
        <v>0</v>
      </c>
      <c r="K27" s="393">
        <v>0</v>
      </c>
      <c r="L27" s="393">
        <v>0</v>
      </c>
      <c r="M27" s="393">
        <v>0</v>
      </c>
      <c r="N27" s="393">
        <v>0</v>
      </c>
      <c r="O27" s="393">
        <v>0</v>
      </c>
      <c r="P27" s="393">
        <v>0</v>
      </c>
      <c r="Q27" s="393">
        <v>0</v>
      </c>
      <c r="R27" s="393">
        <v>0</v>
      </c>
      <c r="S27" s="356">
        <f t="shared" si="6"/>
        <v>4761931</v>
      </c>
      <c r="T27" s="356">
        <f t="shared" si="7"/>
        <v>4740093</v>
      </c>
      <c r="U27" s="356">
        <f t="shared" si="8"/>
        <v>21838</v>
      </c>
      <c r="V27" s="161">
        <v>1</v>
      </c>
      <c r="W27" s="403">
        <f>(C27+E27+G27)*V27</f>
        <v>4761931</v>
      </c>
      <c r="X27" s="403">
        <f>(D27+F27+H27)*V27</f>
        <v>21838</v>
      </c>
      <c r="AA27" s="182"/>
    </row>
    <row r="28" spans="1:27" s="142" customFormat="1" ht="25.5" customHeight="1">
      <c r="A28" s="227" t="s">
        <v>149</v>
      </c>
      <c r="B28" s="259" t="s">
        <v>419</v>
      </c>
      <c r="C28" s="393">
        <v>0</v>
      </c>
      <c r="D28" s="393">
        <v>0</v>
      </c>
      <c r="E28" s="393">
        <v>0</v>
      </c>
      <c r="F28" s="393">
        <v>0</v>
      </c>
      <c r="G28" s="393">
        <v>0</v>
      </c>
      <c r="H28" s="393">
        <v>0</v>
      </c>
      <c r="I28" s="393">
        <v>0</v>
      </c>
      <c r="J28" s="393">
        <v>0</v>
      </c>
      <c r="K28" s="393">
        <v>0</v>
      </c>
      <c r="L28" s="393">
        <v>0</v>
      </c>
      <c r="M28" s="393">
        <v>0</v>
      </c>
      <c r="N28" s="393">
        <v>0</v>
      </c>
      <c r="O28" s="393">
        <v>0</v>
      </c>
      <c r="P28" s="393">
        <v>0</v>
      </c>
      <c r="Q28" s="393">
        <v>0</v>
      </c>
      <c r="R28" s="393">
        <v>0</v>
      </c>
      <c r="S28" s="356">
        <f t="shared" si="6"/>
        <v>0</v>
      </c>
      <c r="T28" s="356">
        <f t="shared" si="7"/>
        <v>0</v>
      </c>
      <c r="U28" s="356">
        <f t="shared" si="8"/>
        <v>0</v>
      </c>
      <c r="V28" s="161">
        <v>1</v>
      </c>
      <c r="W28" s="403">
        <f>(C28+E28+G28)*V28</f>
        <v>0</v>
      </c>
      <c r="X28" s="403">
        <f>(D28+F28+H28)*V28</f>
        <v>0</v>
      </c>
      <c r="AA28" s="182"/>
    </row>
    <row r="29" spans="1:27" s="142" customFormat="1" ht="25.5" customHeight="1">
      <c r="A29" s="227" t="s">
        <v>59</v>
      </c>
      <c r="B29" s="259" t="s">
        <v>420</v>
      </c>
      <c r="C29" s="393">
        <v>0</v>
      </c>
      <c r="D29" s="393">
        <v>0</v>
      </c>
      <c r="E29" s="393">
        <v>0</v>
      </c>
      <c r="F29" s="393">
        <v>0</v>
      </c>
      <c r="G29" s="393">
        <v>0</v>
      </c>
      <c r="H29" s="393">
        <v>0</v>
      </c>
      <c r="I29" s="393">
        <v>0</v>
      </c>
      <c r="J29" s="393">
        <v>0</v>
      </c>
      <c r="K29" s="393">
        <v>0</v>
      </c>
      <c r="L29" s="393">
        <v>0</v>
      </c>
      <c r="M29" s="393">
        <v>0</v>
      </c>
      <c r="N29" s="393">
        <v>0</v>
      </c>
      <c r="O29" s="393">
        <v>0</v>
      </c>
      <c r="P29" s="393">
        <v>0</v>
      </c>
      <c r="Q29" s="393">
        <v>0</v>
      </c>
      <c r="R29" s="393">
        <v>0</v>
      </c>
      <c r="S29" s="356">
        <f t="shared" si="6"/>
        <v>0</v>
      </c>
      <c r="T29" s="356">
        <f t="shared" si="7"/>
        <v>0</v>
      </c>
      <c r="U29" s="356">
        <f t="shared" si="8"/>
        <v>0</v>
      </c>
      <c r="V29" s="161">
        <v>1</v>
      </c>
      <c r="W29" s="403">
        <f>(C29+E29+G29)*V29</f>
        <v>0</v>
      </c>
      <c r="X29" s="403">
        <f>(D29+F29+H29)*V29</f>
        <v>0</v>
      </c>
      <c r="AA29" s="182"/>
    </row>
    <row r="30" spans="1:27" s="142" customFormat="1" ht="25.5" customHeight="1">
      <c r="A30" s="227" t="s">
        <v>60</v>
      </c>
      <c r="B30" s="259" t="s">
        <v>421</v>
      </c>
      <c r="C30" s="393">
        <v>0</v>
      </c>
      <c r="D30" s="393">
        <v>0</v>
      </c>
      <c r="E30" s="393">
        <v>0</v>
      </c>
      <c r="F30" s="393">
        <v>0</v>
      </c>
      <c r="G30" s="393">
        <v>18044708</v>
      </c>
      <c r="H30" s="393">
        <v>15912066</v>
      </c>
      <c r="I30" s="393">
        <v>166630164</v>
      </c>
      <c r="J30" s="393">
        <v>159419032</v>
      </c>
      <c r="K30" s="393">
        <v>698866242</v>
      </c>
      <c r="L30" s="393">
        <v>650888099</v>
      </c>
      <c r="M30" s="393">
        <v>447344232</v>
      </c>
      <c r="N30" s="393">
        <v>388518879</v>
      </c>
      <c r="O30" s="393">
        <v>271441376</v>
      </c>
      <c r="P30" s="393">
        <v>143361000</v>
      </c>
      <c r="Q30" s="393">
        <v>1496954502</v>
      </c>
      <c r="R30" s="393">
        <v>1102592319</v>
      </c>
      <c r="S30" s="356">
        <f t="shared" si="6"/>
        <v>3099281224</v>
      </c>
      <c r="T30" s="356">
        <f t="shared" si="7"/>
        <v>638589829</v>
      </c>
      <c r="U30" s="356">
        <f t="shared" si="8"/>
        <v>2460691395</v>
      </c>
      <c r="V30" s="161">
        <v>0.05</v>
      </c>
      <c r="W30" s="403">
        <f>X30+'Bank Liabilities Analysis (нац)'!M31</f>
        <v>148730072.75</v>
      </c>
      <c r="X30" s="403">
        <f>(U30-(J51+L51+N51+P51+R51))*V30</f>
        <v>116800581.30000001</v>
      </c>
      <c r="AA30" s="182"/>
    </row>
    <row r="31" spans="1:27" s="142" customFormat="1" ht="25.5" customHeight="1">
      <c r="A31" s="227" t="s">
        <v>61</v>
      </c>
      <c r="B31" s="259" t="s">
        <v>242</v>
      </c>
      <c r="C31" s="393">
        <v>0</v>
      </c>
      <c r="D31" s="393">
        <v>0</v>
      </c>
      <c r="E31" s="393">
        <v>0</v>
      </c>
      <c r="F31" s="393">
        <v>0</v>
      </c>
      <c r="G31" s="393">
        <v>0</v>
      </c>
      <c r="H31" s="393">
        <v>0</v>
      </c>
      <c r="I31" s="393">
        <v>0</v>
      </c>
      <c r="J31" s="393">
        <v>0</v>
      </c>
      <c r="K31" s="393">
        <v>0</v>
      </c>
      <c r="L31" s="393">
        <v>0</v>
      </c>
      <c r="M31" s="393">
        <v>0</v>
      </c>
      <c r="N31" s="393">
        <v>0</v>
      </c>
      <c r="O31" s="393">
        <v>0</v>
      </c>
      <c r="P31" s="393">
        <v>0</v>
      </c>
      <c r="Q31" s="393">
        <v>0</v>
      </c>
      <c r="R31" s="393">
        <v>0</v>
      </c>
      <c r="S31" s="356">
        <f t="shared" si="6"/>
        <v>0</v>
      </c>
      <c r="T31" s="356">
        <f t="shared" si="7"/>
        <v>0</v>
      </c>
      <c r="U31" s="356">
        <f t="shared" si="8"/>
        <v>0</v>
      </c>
      <c r="V31" s="161">
        <v>1</v>
      </c>
      <c r="W31" s="403">
        <f>(C31+E31+G31)*V31</f>
        <v>0</v>
      </c>
      <c r="X31" s="403">
        <f>(D31+F31+H31)*V31</f>
        <v>0</v>
      </c>
      <c r="AA31" s="182"/>
    </row>
    <row r="32" spans="1:27" s="142" customFormat="1" ht="25.5" customHeight="1">
      <c r="A32" s="227" t="s">
        <v>62</v>
      </c>
      <c r="B32" s="259" t="s">
        <v>244</v>
      </c>
      <c r="C32" s="393">
        <v>0</v>
      </c>
      <c r="D32" s="393">
        <v>0</v>
      </c>
      <c r="E32" s="393">
        <v>0</v>
      </c>
      <c r="F32" s="393">
        <v>0</v>
      </c>
      <c r="G32" s="393">
        <v>0</v>
      </c>
      <c r="H32" s="393">
        <v>0</v>
      </c>
      <c r="I32" s="393">
        <v>0</v>
      </c>
      <c r="J32" s="393">
        <v>0</v>
      </c>
      <c r="K32" s="393">
        <v>0</v>
      </c>
      <c r="L32" s="393">
        <v>0</v>
      </c>
      <c r="M32" s="393">
        <v>0</v>
      </c>
      <c r="N32" s="393">
        <v>0</v>
      </c>
      <c r="O32" s="393">
        <v>0</v>
      </c>
      <c r="P32" s="393">
        <v>0</v>
      </c>
      <c r="Q32" s="393">
        <v>167901638</v>
      </c>
      <c r="R32" s="393">
        <v>167901638</v>
      </c>
      <c r="S32" s="356">
        <f t="shared" si="6"/>
        <v>167901638</v>
      </c>
      <c r="T32" s="356">
        <f t="shared" si="7"/>
        <v>0</v>
      </c>
      <c r="U32" s="356">
        <f t="shared" si="8"/>
        <v>167901638</v>
      </c>
      <c r="V32" s="161">
        <v>1</v>
      </c>
      <c r="W32" s="403">
        <f>(C32+E32+G32)*V32</f>
        <v>0</v>
      </c>
      <c r="X32" s="403">
        <f>(D32+F32+H32)*V32</f>
        <v>0</v>
      </c>
      <c r="AA32" s="182"/>
    </row>
    <row r="33" spans="1:27" s="142" customFormat="1" ht="24.75" customHeight="1">
      <c r="A33" s="227" t="s">
        <v>63</v>
      </c>
      <c r="B33" s="342" t="s">
        <v>238</v>
      </c>
      <c r="C33" s="356">
        <f>+C34+C35</f>
        <v>0</v>
      </c>
      <c r="D33" s="356">
        <f t="shared" ref="D33:R33" si="17">+D34+D35</f>
        <v>0</v>
      </c>
      <c r="E33" s="356">
        <f t="shared" si="17"/>
        <v>801459811</v>
      </c>
      <c r="F33" s="356">
        <f t="shared" si="17"/>
        <v>0</v>
      </c>
      <c r="G33" s="356">
        <f t="shared" si="17"/>
        <v>0</v>
      </c>
      <c r="H33" s="356">
        <f t="shared" si="17"/>
        <v>0</v>
      </c>
      <c r="I33" s="356">
        <f t="shared" si="17"/>
        <v>0</v>
      </c>
      <c r="J33" s="356">
        <f t="shared" si="17"/>
        <v>0</v>
      </c>
      <c r="K33" s="356">
        <f t="shared" si="17"/>
        <v>0</v>
      </c>
      <c r="L33" s="356">
        <f t="shared" si="17"/>
        <v>0</v>
      </c>
      <c r="M33" s="356">
        <f t="shared" si="17"/>
        <v>0</v>
      </c>
      <c r="N33" s="356">
        <f t="shared" si="17"/>
        <v>0</v>
      </c>
      <c r="O33" s="356">
        <f t="shared" si="17"/>
        <v>0</v>
      </c>
      <c r="P33" s="356">
        <f t="shared" si="17"/>
        <v>0</v>
      </c>
      <c r="Q33" s="356">
        <f t="shared" si="17"/>
        <v>0</v>
      </c>
      <c r="R33" s="356">
        <f t="shared" si="17"/>
        <v>0</v>
      </c>
      <c r="S33" s="356">
        <f t="shared" si="6"/>
        <v>801459811</v>
      </c>
      <c r="T33" s="356">
        <f t="shared" si="7"/>
        <v>801459811</v>
      </c>
      <c r="U33" s="356">
        <f t="shared" si="8"/>
        <v>0</v>
      </c>
      <c r="V33" s="161"/>
      <c r="W33" s="403"/>
      <c r="X33" s="403"/>
      <c r="AA33" s="182"/>
    </row>
    <row r="34" spans="1:27" s="142" customFormat="1" ht="27" customHeight="1">
      <c r="A34" s="227" t="s">
        <v>199</v>
      </c>
      <c r="B34" s="343" t="s">
        <v>545</v>
      </c>
      <c r="C34" s="393">
        <v>0</v>
      </c>
      <c r="D34" s="393">
        <v>0</v>
      </c>
      <c r="E34" s="393">
        <v>801459811</v>
      </c>
      <c r="F34" s="393">
        <v>0</v>
      </c>
      <c r="G34" s="393">
        <v>0</v>
      </c>
      <c r="H34" s="393">
        <v>0</v>
      </c>
      <c r="I34" s="393">
        <v>0</v>
      </c>
      <c r="J34" s="393">
        <v>0</v>
      </c>
      <c r="K34" s="393">
        <v>0</v>
      </c>
      <c r="L34" s="393">
        <v>0</v>
      </c>
      <c r="M34" s="393">
        <v>0</v>
      </c>
      <c r="N34" s="393">
        <v>0</v>
      </c>
      <c r="O34" s="393">
        <v>0</v>
      </c>
      <c r="P34" s="393">
        <v>0</v>
      </c>
      <c r="Q34" s="393">
        <v>0</v>
      </c>
      <c r="R34" s="393">
        <v>0</v>
      </c>
      <c r="S34" s="356">
        <f t="shared" si="6"/>
        <v>801459811</v>
      </c>
      <c r="T34" s="356">
        <f t="shared" si="7"/>
        <v>801459811</v>
      </c>
      <c r="U34" s="356">
        <f t="shared" si="8"/>
        <v>0</v>
      </c>
      <c r="V34" s="161">
        <v>1</v>
      </c>
      <c r="W34" s="403">
        <f>(C34+E34+G34)*V34</f>
        <v>801459811</v>
      </c>
      <c r="X34" s="403">
        <f>(D34+F34+H34)*V34</f>
        <v>0</v>
      </c>
      <c r="AA34" s="182"/>
    </row>
    <row r="35" spans="1:27" s="142" customFormat="1" ht="27" customHeight="1">
      <c r="A35" s="227" t="s">
        <v>201</v>
      </c>
      <c r="B35" s="343" t="s">
        <v>546</v>
      </c>
      <c r="C35" s="393">
        <v>0</v>
      </c>
      <c r="D35" s="393">
        <v>0</v>
      </c>
      <c r="E35" s="393">
        <v>0</v>
      </c>
      <c r="F35" s="393">
        <v>0</v>
      </c>
      <c r="G35" s="393">
        <v>0</v>
      </c>
      <c r="H35" s="393">
        <v>0</v>
      </c>
      <c r="I35" s="393">
        <v>0</v>
      </c>
      <c r="J35" s="393">
        <v>0</v>
      </c>
      <c r="K35" s="393">
        <v>0</v>
      </c>
      <c r="L35" s="393">
        <v>0</v>
      </c>
      <c r="M35" s="393">
        <v>0</v>
      </c>
      <c r="N35" s="393">
        <v>0</v>
      </c>
      <c r="O35" s="393">
        <v>0</v>
      </c>
      <c r="P35" s="393">
        <v>0</v>
      </c>
      <c r="Q35" s="393">
        <v>0</v>
      </c>
      <c r="R35" s="393">
        <v>0</v>
      </c>
      <c r="S35" s="356">
        <f t="shared" ref="S35" si="18">+C35+E35+G35+I35+K35+M35+O35+Q35</f>
        <v>0</v>
      </c>
      <c r="T35" s="356">
        <f t="shared" ref="T35" si="19">+S35-U35</f>
        <v>0</v>
      </c>
      <c r="U35" s="356">
        <f t="shared" ref="U35" si="20">+D35+F35+H35+J35+L35+N35+P35+R35</f>
        <v>0</v>
      </c>
      <c r="V35" s="161">
        <v>1</v>
      </c>
      <c r="W35" s="403">
        <f>(C35+E35+G35)*V35</f>
        <v>0</v>
      </c>
      <c r="X35" s="403">
        <f>(D35+F35+H35)*V35</f>
        <v>0</v>
      </c>
      <c r="AA35" s="182"/>
    </row>
    <row r="36" spans="1:27" s="142" customFormat="1" ht="38.25">
      <c r="A36" s="227" t="s">
        <v>64</v>
      </c>
      <c r="B36" s="259" t="s">
        <v>422</v>
      </c>
      <c r="C36" s="393">
        <v>7955</v>
      </c>
      <c r="D36" s="393">
        <v>0</v>
      </c>
      <c r="E36" s="393">
        <v>0</v>
      </c>
      <c r="F36" s="393">
        <v>0</v>
      </c>
      <c r="G36" s="393">
        <v>0</v>
      </c>
      <c r="H36" s="393">
        <v>0</v>
      </c>
      <c r="I36" s="393">
        <v>0</v>
      </c>
      <c r="J36" s="393">
        <v>0</v>
      </c>
      <c r="K36" s="393">
        <v>8983935</v>
      </c>
      <c r="L36" s="393">
        <v>0</v>
      </c>
      <c r="M36" s="393">
        <v>0</v>
      </c>
      <c r="N36" s="393">
        <v>0</v>
      </c>
      <c r="O36" s="393">
        <v>0</v>
      </c>
      <c r="P36" s="393">
        <v>0</v>
      </c>
      <c r="Q36" s="393">
        <v>0</v>
      </c>
      <c r="R36" s="393">
        <v>0</v>
      </c>
      <c r="S36" s="356">
        <f t="shared" si="6"/>
        <v>8991890</v>
      </c>
      <c r="T36" s="356">
        <f t="shared" si="7"/>
        <v>8991890</v>
      </c>
      <c r="U36" s="356">
        <f t="shared" si="8"/>
        <v>0</v>
      </c>
      <c r="V36" s="161">
        <v>1</v>
      </c>
      <c r="W36" s="403">
        <f>(S36)*V36</f>
        <v>8991890</v>
      </c>
      <c r="X36" s="403">
        <f>(U36)*V36</f>
        <v>0</v>
      </c>
      <c r="AA36" s="182"/>
    </row>
    <row r="37" spans="1:27" s="142" customFormat="1" ht="25.5" customHeight="1">
      <c r="A37" s="227" t="s">
        <v>70</v>
      </c>
      <c r="B37" s="259" t="s">
        <v>250</v>
      </c>
      <c r="C37" s="393">
        <v>752024</v>
      </c>
      <c r="D37" s="393">
        <v>751700</v>
      </c>
      <c r="E37" s="393">
        <v>35250</v>
      </c>
      <c r="F37" s="393">
        <v>0</v>
      </c>
      <c r="G37" s="393">
        <v>0</v>
      </c>
      <c r="H37" s="393">
        <v>0</v>
      </c>
      <c r="I37" s="393">
        <v>0</v>
      </c>
      <c r="J37" s="393">
        <v>0</v>
      </c>
      <c r="K37" s="393">
        <v>0</v>
      </c>
      <c r="L37" s="393">
        <v>0</v>
      </c>
      <c r="M37" s="393">
        <v>0</v>
      </c>
      <c r="N37" s="393">
        <v>0</v>
      </c>
      <c r="O37" s="393">
        <v>0</v>
      </c>
      <c r="P37" s="393">
        <v>0</v>
      </c>
      <c r="Q37" s="393">
        <v>0</v>
      </c>
      <c r="R37" s="393">
        <v>0</v>
      </c>
      <c r="S37" s="356">
        <f t="shared" si="6"/>
        <v>787274</v>
      </c>
      <c r="T37" s="356">
        <f t="shared" si="7"/>
        <v>35574</v>
      </c>
      <c r="U37" s="356">
        <f t="shared" si="8"/>
        <v>751700</v>
      </c>
      <c r="V37" s="161">
        <v>1</v>
      </c>
      <c r="W37" s="403">
        <f>(S37)*V37</f>
        <v>787274</v>
      </c>
      <c r="X37" s="403">
        <f>(U37)*V37</f>
        <v>751700</v>
      </c>
      <c r="AA37" s="182"/>
    </row>
    <row r="38" spans="1:27" s="142" customFormat="1" ht="25.5" customHeight="1">
      <c r="A38" s="227" t="s">
        <v>71</v>
      </c>
      <c r="B38" s="259" t="s">
        <v>246</v>
      </c>
      <c r="C38" s="393">
        <v>4051071</v>
      </c>
      <c r="D38" s="393">
        <v>30381</v>
      </c>
      <c r="E38" s="393">
        <v>13355658</v>
      </c>
      <c r="F38" s="393">
        <v>156571</v>
      </c>
      <c r="G38" s="393">
        <v>26858081</v>
      </c>
      <c r="H38" s="393">
        <v>1881232</v>
      </c>
      <c r="I38" s="393">
        <v>23923199</v>
      </c>
      <c r="J38" s="393">
        <v>16687207</v>
      </c>
      <c r="K38" s="393">
        <v>25188366</v>
      </c>
      <c r="L38" s="393">
        <v>24432762</v>
      </c>
      <c r="M38" s="393">
        <v>1860669</v>
      </c>
      <c r="N38" s="393">
        <v>1724471</v>
      </c>
      <c r="O38" s="393">
        <v>225876</v>
      </c>
      <c r="P38" s="393">
        <v>129205</v>
      </c>
      <c r="Q38" s="393">
        <v>4970455</v>
      </c>
      <c r="R38" s="393">
        <v>23770</v>
      </c>
      <c r="S38" s="356">
        <f t="shared" si="6"/>
        <v>100433375</v>
      </c>
      <c r="T38" s="356">
        <f t="shared" si="7"/>
        <v>55367776</v>
      </c>
      <c r="U38" s="356">
        <f t="shared" si="8"/>
        <v>45065599</v>
      </c>
      <c r="V38" s="161"/>
      <c r="W38" s="403">
        <f>(C38+E38+G38)</f>
        <v>44264810</v>
      </c>
      <c r="X38" s="403">
        <f>D38+F38+H38</f>
        <v>2068184</v>
      </c>
      <c r="AA38" s="182"/>
    </row>
    <row r="39" spans="1:27" s="142" customFormat="1" ht="27.75" customHeight="1">
      <c r="A39" s="227" t="s">
        <v>208</v>
      </c>
      <c r="B39" s="259" t="s">
        <v>578</v>
      </c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56">
        <f t="shared" ref="S39" si="21">+C39+E39+G39+I39+K39+M39+O39+Q39</f>
        <v>0</v>
      </c>
      <c r="T39" s="356">
        <f t="shared" ref="T39" si="22">+S39-U39</f>
        <v>0</v>
      </c>
      <c r="U39" s="356">
        <f t="shared" ref="U39" si="23">+D39+F39+H39+J39+L39+N39+P39+R39</f>
        <v>0</v>
      </c>
      <c r="V39" s="161"/>
      <c r="W39" s="403">
        <f t="shared" ref="W39:W40" si="24">C39+E39+G39</f>
        <v>0</v>
      </c>
      <c r="X39" s="403">
        <f t="shared" ref="X39:X40" si="25">D39+F39+H39</f>
        <v>0</v>
      </c>
      <c r="AA39" s="182"/>
    </row>
    <row r="40" spans="1:27" s="142" customFormat="1" ht="27.75" customHeight="1">
      <c r="A40" s="227" t="s">
        <v>210</v>
      </c>
      <c r="B40" s="259" t="s">
        <v>567</v>
      </c>
      <c r="C40" s="393">
        <v>0</v>
      </c>
      <c r="D40" s="393">
        <v>0</v>
      </c>
      <c r="E40" s="393">
        <v>0</v>
      </c>
      <c r="F40" s="393">
        <v>0</v>
      </c>
      <c r="G40" s="393">
        <v>0</v>
      </c>
      <c r="H40" s="393">
        <v>0</v>
      </c>
      <c r="I40" s="393">
        <v>5968</v>
      </c>
      <c r="J40" s="393">
        <v>987</v>
      </c>
      <c r="K40" s="393">
        <v>4508055</v>
      </c>
      <c r="L40" s="393">
        <v>3003203</v>
      </c>
      <c r="M40" s="393">
        <v>8393568</v>
      </c>
      <c r="N40" s="393">
        <v>8393568</v>
      </c>
      <c r="O40" s="393">
        <v>406945</v>
      </c>
      <c r="P40" s="393">
        <v>0</v>
      </c>
      <c r="Q40" s="393">
        <v>991137</v>
      </c>
      <c r="R40" s="393">
        <v>0</v>
      </c>
      <c r="S40" s="356">
        <f t="shared" ref="S40" si="26">+C40+E40+G40+I40+K40+M40+O40+Q40</f>
        <v>14305673</v>
      </c>
      <c r="T40" s="356">
        <f t="shared" ref="T40" si="27">+S40-U40</f>
        <v>2907915</v>
      </c>
      <c r="U40" s="356">
        <f t="shared" ref="U40" si="28">+D40+F40+H40+J40+L40+N40+P40+R40</f>
        <v>11397758</v>
      </c>
      <c r="V40" s="161"/>
      <c r="W40" s="403">
        <f t="shared" si="24"/>
        <v>0</v>
      </c>
      <c r="X40" s="403">
        <f t="shared" si="25"/>
        <v>0</v>
      </c>
      <c r="AA40" s="182"/>
    </row>
    <row r="41" spans="1:27" s="142" customFormat="1" ht="25.5" customHeight="1">
      <c r="A41" s="227" t="s">
        <v>65</v>
      </c>
      <c r="B41" s="259" t="s">
        <v>254</v>
      </c>
      <c r="C41" s="393">
        <v>371918006</v>
      </c>
      <c r="D41" s="393">
        <v>92127803</v>
      </c>
      <c r="E41" s="393">
        <v>10117085</v>
      </c>
      <c r="F41" s="393">
        <v>1104917</v>
      </c>
      <c r="G41" s="393">
        <v>19108</v>
      </c>
      <c r="H41" s="393">
        <v>0</v>
      </c>
      <c r="I41" s="393">
        <v>177511</v>
      </c>
      <c r="J41" s="393">
        <v>55074</v>
      </c>
      <c r="K41" s="393">
        <v>983385</v>
      </c>
      <c r="L41" s="393">
        <v>854901</v>
      </c>
      <c r="M41" s="393">
        <v>418636</v>
      </c>
      <c r="N41" s="393">
        <v>80430</v>
      </c>
      <c r="O41" s="393">
        <v>2971270</v>
      </c>
      <c r="P41" s="393">
        <v>0</v>
      </c>
      <c r="Q41" s="393">
        <v>21902570</v>
      </c>
      <c r="R41" s="393">
        <v>14340309</v>
      </c>
      <c r="S41" s="356">
        <f t="shared" si="6"/>
        <v>408507571</v>
      </c>
      <c r="T41" s="356">
        <f t="shared" si="7"/>
        <v>299944137</v>
      </c>
      <c r="U41" s="356">
        <f t="shared" si="8"/>
        <v>108563434</v>
      </c>
      <c r="V41" s="161">
        <v>1</v>
      </c>
      <c r="W41" s="403">
        <f>(C41+E41+G41)*V41</f>
        <v>382054199</v>
      </c>
      <c r="X41" s="403">
        <f>(D41+F41+H41)*V41</f>
        <v>93232720</v>
      </c>
    </row>
    <row r="42" spans="1:27" s="82" customFormat="1" ht="24.75" customHeight="1">
      <c r="A42" s="227" t="s">
        <v>382</v>
      </c>
      <c r="B42" s="261" t="s">
        <v>423</v>
      </c>
      <c r="C42" s="394">
        <f>+C20+C21+C23+C29+C30+C31+C32+C33+C36+C37+C38+C39+C40+C41</f>
        <v>4986273646</v>
      </c>
      <c r="D42" s="394">
        <f t="shared" ref="D42:U42" si="29">+D20+D21+D23+D29+D30+D31+D32+D33+D36+D37+D38+D39+D40+D41</f>
        <v>852016796</v>
      </c>
      <c r="E42" s="394">
        <f t="shared" si="29"/>
        <v>899328415</v>
      </c>
      <c r="F42" s="394">
        <f t="shared" si="29"/>
        <v>3286596</v>
      </c>
      <c r="G42" s="394">
        <f t="shared" si="29"/>
        <v>210759484</v>
      </c>
      <c r="H42" s="394">
        <f t="shared" si="29"/>
        <v>18822716</v>
      </c>
      <c r="I42" s="394">
        <f t="shared" si="29"/>
        <v>666054953</v>
      </c>
      <c r="J42" s="394">
        <f t="shared" si="29"/>
        <v>186128529</v>
      </c>
      <c r="K42" s="394">
        <f t="shared" si="29"/>
        <v>2333242441</v>
      </c>
      <c r="L42" s="394">
        <f t="shared" si="29"/>
        <v>768432477</v>
      </c>
      <c r="M42" s="394">
        <f t="shared" si="29"/>
        <v>3227321637</v>
      </c>
      <c r="N42" s="394">
        <f t="shared" si="29"/>
        <v>782800665</v>
      </c>
      <c r="O42" s="394">
        <f t="shared" si="29"/>
        <v>4678820698</v>
      </c>
      <c r="P42" s="394">
        <f t="shared" si="29"/>
        <v>897294059</v>
      </c>
      <c r="Q42" s="394">
        <f t="shared" si="29"/>
        <v>3167232838</v>
      </c>
      <c r="R42" s="394">
        <f t="shared" si="29"/>
        <v>1525437374</v>
      </c>
      <c r="S42" s="394">
        <f t="shared" si="29"/>
        <v>20169034112</v>
      </c>
      <c r="T42" s="394">
        <f t="shared" si="29"/>
        <v>15134814900</v>
      </c>
      <c r="U42" s="394">
        <f t="shared" si="29"/>
        <v>5034219212</v>
      </c>
      <c r="V42" s="354" t="s">
        <v>17</v>
      </c>
      <c r="W42" s="411">
        <f>SUM(W8:W41)</f>
        <v>3648850117.8499999</v>
      </c>
      <c r="X42" s="411">
        <f>SUM(X8:X41)</f>
        <v>622792017.54999995</v>
      </c>
      <c r="Y42" s="262">
        <f>+Balance!C63</f>
        <v>20169034112</v>
      </c>
      <c r="Z42" s="262">
        <f>+Balance!D63</f>
        <v>15134814900</v>
      </c>
      <c r="AA42" s="262">
        <f>+Balance!E63</f>
        <v>5034219212</v>
      </c>
    </row>
    <row r="43" spans="1:27" s="142" customFormat="1">
      <c r="A43" s="227"/>
      <c r="B43" s="247" t="s">
        <v>335</v>
      </c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56">
        <f t="shared" si="6"/>
        <v>0</v>
      </c>
      <c r="T43" s="356">
        <f t="shared" si="7"/>
        <v>0</v>
      </c>
      <c r="U43" s="356">
        <f t="shared" si="8"/>
        <v>0</v>
      </c>
      <c r="V43" s="161"/>
      <c r="W43" s="403"/>
      <c r="X43" s="403"/>
      <c r="Y43" s="182">
        <f>+S42-Y42</f>
        <v>0</v>
      </c>
      <c r="Z43" s="182">
        <f t="shared" ref="Z43:AA43" si="30">+T42-Z42</f>
        <v>0</v>
      </c>
      <c r="AA43" s="182">
        <f t="shared" si="30"/>
        <v>0</v>
      </c>
    </row>
    <row r="44" spans="1:27" s="142" customFormat="1" ht="25.5">
      <c r="A44" s="227"/>
      <c r="B44" s="248" t="s">
        <v>424</v>
      </c>
      <c r="C44" s="356">
        <f>+C45+C46</f>
        <v>0</v>
      </c>
      <c r="D44" s="356">
        <f t="shared" ref="D44" si="31">+D45+D46</f>
        <v>0</v>
      </c>
      <c r="E44" s="356">
        <f t="shared" ref="E44:G44" si="32">+E45+E46</f>
        <v>50000000</v>
      </c>
      <c r="F44" s="356">
        <f t="shared" ref="F44:H44" si="33">+F45+F46</f>
        <v>0</v>
      </c>
      <c r="G44" s="356">
        <f t="shared" si="32"/>
        <v>123325387</v>
      </c>
      <c r="H44" s="356">
        <f t="shared" si="33"/>
        <v>12916130</v>
      </c>
      <c r="I44" s="356">
        <f t="shared" ref="I44" si="34">+I45+I46</f>
        <v>60624463</v>
      </c>
      <c r="J44" s="356">
        <f t="shared" ref="J44" si="35">+J45+J46</f>
        <v>59958032</v>
      </c>
      <c r="K44" s="356">
        <f t="shared" ref="K44" si="36">+K45+K46</f>
        <v>314479849</v>
      </c>
      <c r="L44" s="356">
        <f t="shared" ref="L44" si="37">+L45+L46</f>
        <v>48796008</v>
      </c>
      <c r="M44" s="356">
        <f t="shared" ref="M44" si="38">+M45+M46</f>
        <v>609409616</v>
      </c>
      <c r="N44" s="356">
        <f t="shared" ref="N44" si="39">+N45+N46</f>
        <v>112966417</v>
      </c>
      <c r="O44" s="356">
        <f t="shared" ref="O44" si="40">+O45+O46</f>
        <v>48342834</v>
      </c>
      <c r="P44" s="356">
        <f t="shared" ref="P44" si="41">+P45+P46</f>
        <v>37529487</v>
      </c>
      <c r="Q44" s="356">
        <f t="shared" ref="Q44" si="42">+Q45+Q46</f>
        <v>1468898636</v>
      </c>
      <c r="R44" s="356">
        <f t="shared" ref="R44" si="43">+R45+R46</f>
        <v>675197802</v>
      </c>
      <c r="S44" s="356">
        <f t="shared" si="6"/>
        <v>2675080785</v>
      </c>
      <c r="T44" s="356">
        <f t="shared" si="7"/>
        <v>1727716909</v>
      </c>
      <c r="U44" s="356">
        <f t="shared" si="8"/>
        <v>947363876</v>
      </c>
      <c r="V44" s="161"/>
      <c r="W44" s="403"/>
      <c r="X44" s="403"/>
      <c r="AA44" s="182"/>
    </row>
    <row r="45" spans="1:27" s="142" customFormat="1" ht="20.25" customHeight="1">
      <c r="A45" s="227"/>
      <c r="B45" s="249" t="s">
        <v>425</v>
      </c>
      <c r="C45" s="393">
        <v>0</v>
      </c>
      <c r="D45" s="393">
        <v>0</v>
      </c>
      <c r="E45" s="393">
        <v>0</v>
      </c>
      <c r="F45" s="393">
        <v>0</v>
      </c>
      <c r="G45" s="393">
        <v>13158720</v>
      </c>
      <c r="H45" s="393">
        <v>12916130</v>
      </c>
      <c r="I45" s="393">
        <v>60624463</v>
      </c>
      <c r="J45" s="393">
        <v>59958032</v>
      </c>
      <c r="K45" s="393">
        <v>49479849</v>
      </c>
      <c r="L45" s="393">
        <v>48796008</v>
      </c>
      <c r="M45" s="393">
        <v>115009616</v>
      </c>
      <c r="N45" s="393">
        <v>112966417</v>
      </c>
      <c r="O45" s="393">
        <v>41342835</v>
      </c>
      <c r="P45" s="393">
        <v>37529487</v>
      </c>
      <c r="Q45" s="393">
        <v>548541120</v>
      </c>
      <c r="R45" s="393">
        <v>442629162</v>
      </c>
      <c r="S45" s="356">
        <f t="shared" si="6"/>
        <v>828156603</v>
      </c>
      <c r="T45" s="356">
        <f t="shared" si="7"/>
        <v>113361367</v>
      </c>
      <c r="U45" s="356">
        <f t="shared" si="8"/>
        <v>714795236</v>
      </c>
      <c r="V45" s="161"/>
      <c r="W45" s="403"/>
      <c r="X45" s="403"/>
      <c r="AA45" s="182"/>
    </row>
    <row r="46" spans="1:27" s="142" customFormat="1" ht="20.25" customHeight="1">
      <c r="A46" s="227"/>
      <c r="B46" s="249" t="s">
        <v>426</v>
      </c>
      <c r="C46" s="393">
        <v>0</v>
      </c>
      <c r="D46" s="393">
        <v>0</v>
      </c>
      <c r="E46" s="393">
        <v>50000000</v>
      </c>
      <c r="F46" s="393">
        <v>0</v>
      </c>
      <c r="G46" s="393">
        <v>110166667</v>
      </c>
      <c r="H46" s="393">
        <v>0</v>
      </c>
      <c r="I46" s="393">
        <v>0</v>
      </c>
      <c r="J46" s="393">
        <v>0</v>
      </c>
      <c r="K46" s="393">
        <v>265000000</v>
      </c>
      <c r="L46" s="393">
        <v>0</v>
      </c>
      <c r="M46" s="393">
        <v>494400000</v>
      </c>
      <c r="N46" s="393">
        <v>0</v>
      </c>
      <c r="O46" s="393">
        <v>6999999</v>
      </c>
      <c r="P46" s="393">
        <v>0</v>
      </c>
      <c r="Q46" s="393">
        <v>920357516</v>
      </c>
      <c r="R46" s="393">
        <v>232568640</v>
      </c>
      <c r="S46" s="356">
        <f t="shared" si="6"/>
        <v>1846924182</v>
      </c>
      <c r="T46" s="356">
        <f t="shared" si="7"/>
        <v>1614355542</v>
      </c>
      <c r="U46" s="356">
        <f t="shared" si="8"/>
        <v>232568640</v>
      </c>
      <c r="V46" s="161"/>
      <c r="W46" s="403"/>
      <c r="X46" s="403"/>
      <c r="Y46" s="142" t="s">
        <v>573</v>
      </c>
      <c r="AA46" s="182"/>
    </row>
    <row r="47" spans="1:27" s="142" customFormat="1" ht="25.5">
      <c r="A47" s="227"/>
      <c r="B47" s="263" t="s">
        <v>496</v>
      </c>
      <c r="C47" s="356">
        <f>+C48+C49</f>
        <v>0</v>
      </c>
      <c r="D47" s="356">
        <f t="shared" ref="D47" si="44">+D48+D49</f>
        <v>0</v>
      </c>
      <c r="E47" s="356">
        <f t="shared" ref="E47:G47" si="45">+E48+E49</f>
        <v>0</v>
      </c>
      <c r="F47" s="356">
        <f t="shared" ref="F47:H47" si="46">+F48+F49</f>
        <v>0</v>
      </c>
      <c r="G47" s="356">
        <f t="shared" si="45"/>
        <v>0</v>
      </c>
      <c r="H47" s="356">
        <f t="shared" si="46"/>
        <v>0</v>
      </c>
      <c r="I47" s="356">
        <f t="shared" ref="I47" si="47">+I48+I49</f>
        <v>0</v>
      </c>
      <c r="J47" s="356">
        <f t="shared" ref="J47" si="48">+J48+J49</f>
        <v>0</v>
      </c>
      <c r="K47" s="356">
        <f t="shared" ref="K47" si="49">+K48+K49</f>
        <v>0</v>
      </c>
      <c r="L47" s="356">
        <f t="shared" ref="L47" si="50">+L48+L49</f>
        <v>0</v>
      </c>
      <c r="M47" s="356">
        <f t="shared" ref="M47" si="51">+M48+M49</f>
        <v>0</v>
      </c>
      <c r="N47" s="356">
        <f t="shared" ref="N47" si="52">+N48+N49</f>
        <v>0</v>
      </c>
      <c r="O47" s="356">
        <f t="shared" ref="O47" si="53">+O48+O49</f>
        <v>0</v>
      </c>
      <c r="P47" s="356">
        <f t="shared" ref="P47" si="54">+P48+P49</f>
        <v>0</v>
      </c>
      <c r="Q47" s="356">
        <f t="shared" ref="Q47" si="55">+Q48+Q49</f>
        <v>0</v>
      </c>
      <c r="R47" s="356">
        <f t="shared" ref="R47" si="56">+R48+R49</f>
        <v>0</v>
      </c>
      <c r="S47" s="356">
        <f t="shared" si="6"/>
        <v>0</v>
      </c>
      <c r="T47" s="356">
        <f t="shared" si="7"/>
        <v>0</v>
      </c>
      <c r="U47" s="356">
        <f t="shared" si="8"/>
        <v>0</v>
      </c>
      <c r="V47" s="161"/>
      <c r="W47" s="403"/>
      <c r="X47" s="403"/>
      <c r="AA47" s="182"/>
    </row>
    <row r="48" spans="1:27" s="142" customFormat="1" ht="20.25" customHeight="1">
      <c r="A48" s="227"/>
      <c r="B48" s="264" t="s">
        <v>425</v>
      </c>
      <c r="C48" s="393">
        <v>0</v>
      </c>
      <c r="D48" s="393">
        <v>0</v>
      </c>
      <c r="E48" s="393">
        <v>0</v>
      </c>
      <c r="F48" s="393">
        <v>0</v>
      </c>
      <c r="G48" s="393">
        <v>0</v>
      </c>
      <c r="H48" s="393">
        <v>0</v>
      </c>
      <c r="I48" s="393">
        <v>0</v>
      </c>
      <c r="J48" s="393">
        <v>0</v>
      </c>
      <c r="K48" s="393">
        <v>0</v>
      </c>
      <c r="L48" s="393">
        <v>0</v>
      </c>
      <c r="M48" s="393">
        <v>0</v>
      </c>
      <c r="N48" s="393">
        <v>0</v>
      </c>
      <c r="O48" s="393">
        <v>0</v>
      </c>
      <c r="P48" s="393">
        <v>0</v>
      </c>
      <c r="Q48" s="393">
        <v>0</v>
      </c>
      <c r="R48" s="393">
        <v>0</v>
      </c>
      <c r="S48" s="356">
        <f t="shared" si="6"/>
        <v>0</v>
      </c>
      <c r="T48" s="356">
        <f t="shared" si="7"/>
        <v>0</v>
      </c>
      <c r="U48" s="356">
        <f t="shared" si="8"/>
        <v>0</v>
      </c>
      <c r="V48" s="161"/>
      <c r="W48" s="403"/>
      <c r="X48" s="403"/>
      <c r="AA48" s="182"/>
    </row>
    <row r="49" spans="1:27" s="142" customFormat="1" ht="20.25" customHeight="1">
      <c r="A49" s="250"/>
      <c r="B49" s="264" t="s">
        <v>426</v>
      </c>
      <c r="C49" s="393">
        <v>0</v>
      </c>
      <c r="D49" s="393">
        <v>0</v>
      </c>
      <c r="E49" s="393">
        <v>0</v>
      </c>
      <c r="F49" s="393">
        <v>0</v>
      </c>
      <c r="G49" s="393">
        <v>0</v>
      </c>
      <c r="H49" s="393">
        <v>0</v>
      </c>
      <c r="I49" s="393">
        <v>0</v>
      </c>
      <c r="J49" s="393">
        <v>0</v>
      </c>
      <c r="K49" s="393">
        <v>0</v>
      </c>
      <c r="L49" s="393">
        <v>0</v>
      </c>
      <c r="M49" s="393">
        <v>0</v>
      </c>
      <c r="N49" s="393">
        <v>0</v>
      </c>
      <c r="O49" s="393">
        <v>0</v>
      </c>
      <c r="P49" s="393">
        <v>0</v>
      </c>
      <c r="Q49" s="393">
        <v>0</v>
      </c>
      <c r="R49" s="393">
        <v>0</v>
      </c>
      <c r="S49" s="356">
        <f t="shared" si="6"/>
        <v>0</v>
      </c>
      <c r="T49" s="356">
        <f t="shared" si="7"/>
        <v>0</v>
      </c>
      <c r="U49" s="356">
        <f t="shared" si="8"/>
        <v>0</v>
      </c>
      <c r="V49" s="161"/>
      <c r="W49" s="403"/>
      <c r="X49" s="403"/>
      <c r="AA49" s="182"/>
    </row>
    <row r="50" spans="1:27" s="142" customFormat="1" ht="25.5">
      <c r="A50" s="250"/>
      <c r="B50" s="263" t="s">
        <v>427</v>
      </c>
      <c r="C50" s="356">
        <f>+C51+C52</f>
        <v>0</v>
      </c>
      <c r="D50" s="356">
        <f t="shared" ref="D50" si="57">+D51+D52</f>
        <v>0</v>
      </c>
      <c r="E50" s="356">
        <f t="shared" ref="E50:G50" si="58">+E51+E52</f>
        <v>0</v>
      </c>
      <c r="F50" s="356">
        <f t="shared" ref="F50:H50" si="59">+F51+F52</f>
        <v>0</v>
      </c>
      <c r="G50" s="356">
        <f t="shared" si="58"/>
        <v>0</v>
      </c>
      <c r="H50" s="356">
        <f t="shared" si="59"/>
        <v>0</v>
      </c>
      <c r="I50" s="356">
        <f t="shared" ref="I50" si="60">+I51+I52</f>
        <v>0</v>
      </c>
      <c r="J50" s="356">
        <f t="shared" ref="J50" si="61">+J51+J52</f>
        <v>0</v>
      </c>
      <c r="K50" s="356">
        <f t="shared" ref="K50" si="62">+K51+K52</f>
        <v>40801111</v>
      </c>
      <c r="L50" s="356">
        <f t="shared" ref="L50" si="63">+L51+L52</f>
        <v>0</v>
      </c>
      <c r="M50" s="356">
        <f t="shared" ref="M50" si="64">+M51+M52</f>
        <v>41267199</v>
      </c>
      <c r="N50" s="356">
        <f t="shared" ref="N50" si="65">+N51+N52</f>
        <v>466088</v>
      </c>
      <c r="O50" s="356">
        <f t="shared" ref="O50" si="66">+O51+O52</f>
        <v>96647694</v>
      </c>
      <c r="P50" s="356">
        <f t="shared" ref="P50" si="67">+P51+P52</f>
        <v>932176</v>
      </c>
      <c r="Q50" s="356">
        <f t="shared" ref="Q50" si="68">+Q51+Q52</f>
        <v>350214649</v>
      </c>
      <c r="R50" s="356">
        <f t="shared" ref="R50" si="69">+R51+R52</f>
        <v>123281505</v>
      </c>
      <c r="S50" s="356">
        <f t="shared" si="6"/>
        <v>528930653</v>
      </c>
      <c r="T50" s="356">
        <f t="shared" si="7"/>
        <v>404250884</v>
      </c>
      <c r="U50" s="356">
        <f t="shared" si="8"/>
        <v>124679769</v>
      </c>
      <c r="V50" s="161"/>
      <c r="W50" s="403"/>
      <c r="X50" s="403"/>
      <c r="AA50" s="182"/>
    </row>
    <row r="51" spans="1:27" s="142" customFormat="1" ht="20.25" customHeight="1">
      <c r="A51" s="250"/>
      <c r="B51" s="264" t="s">
        <v>425</v>
      </c>
      <c r="C51" s="393">
        <v>0</v>
      </c>
      <c r="D51" s="393">
        <v>0</v>
      </c>
      <c r="E51" s="393">
        <v>0</v>
      </c>
      <c r="F51" s="393">
        <v>0</v>
      </c>
      <c r="G51" s="393">
        <v>0</v>
      </c>
      <c r="H51" s="393">
        <v>0</v>
      </c>
      <c r="I51" s="393">
        <v>0</v>
      </c>
      <c r="J51" s="393">
        <v>0</v>
      </c>
      <c r="K51" s="393">
        <v>40801111</v>
      </c>
      <c r="L51" s="393">
        <v>0</v>
      </c>
      <c r="M51" s="393">
        <v>41267199</v>
      </c>
      <c r="N51" s="393">
        <v>466088</v>
      </c>
      <c r="O51" s="393">
        <v>96647694</v>
      </c>
      <c r="P51" s="393">
        <v>932176</v>
      </c>
      <c r="Q51" s="393">
        <v>350214649</v>
      </c>
      <c r="R51" s="393">
        <v>123281505</v>
      </c>
      <c r="S51" s="356">
        <f t="shared" si="6"/>
        <v>528930653</v>
      </c>
      <c r="T51" s="356">
        <f t="shared" si="7"/>
        <v>404250884</v>
      </c>
      <c r="U51" s="356">
        <f t="shared" si="8"/>
        <v>124679769</v>
      </c>
      <c r="V51" s="161"/>
      <c r="W51" s="403"/>
      <c r="X51" s="403"/>
      <c r="AA51" s="182"/>
    </row>
    <row r="52" spans="1:27" s="142" customFormat="1" ht="20.25" customHeight="1">
      <c r="A52" s="250"/>
      <c r="B52" s="264" t="s">
        <v>426</v>
      </c>
      <c r="C52" s="393">
        <v>0</v>
      </c>
      <c r="D52" s="393">
        <v>0</v>
      </c>
      <c r="E52" s="393">
        <v>0</v>
      </c>
      <c r="F52" s="393">
        <v>0</v>
      </c>
      <c r="G52" s="393">
        <v>0</v>
      </c>
      <c r="H52" s="393">
        <v>0</v>
      </c>
      <c r="I52" s="393">
        <v>0</v>
      </c>
      <c r="J52" s="393">
        <v>0</v>
      </c>
      <c r="K52" s="393">
        <v>0</v>
      </c>
      <c r="L52" s="393">
        <v>0</v>
      </c>
      <c r="M52" s="393">
        <v>0</v>
      </c>
      <c r="N52" s="393">
        <v>0</v>
      </c>
      <c r="O52" s="393">
        <v>0</v>
      </c>
      <c r="P52" s="393">
        <v>0</v>
      </c>
      <c r="Q52" s="393">
        <v>0</v>
      </c>
      <c r="R52" s="393">
        <v>0</v>
      </c>
      <c r="S52" s="356">
        <f t="shared" si="6"/>
        <v>0</v>
      </c>
      <c r="T52" s="356">
        <f t="shared" si="7"/>
        <v>0</v>
      </c>
      <c r="U52" s="356">
        <f t="shared" si="8"/>
        <v>0</v>
      </c>
      <c r="V52" s="161"/>
      <c r="W52" s="403"/>
      <c r="X52" s="403"/>
      <c r="AA52" s="182"/>
    </row>
    <row r="53" spans="1:27" s="142" customFormat="1" ht="20.25" customHeight="1">
      <c r="A53" s="250"/>
      <c r="B53" s="263" t="s">
        <v>428</v>
      </c>
      <c r="C53" s="356">
        <f>+C54+C55</f>
        <v>0</v>
      </c>
      <c r="D53" s="356">
        <f t="shared" ref="D53" si="70">+D54+D55</f>
        <v>0</v>
      </c>
      <c r="E53" s="356">
        <f t="shared" ref="E53:G53" si="71">+E54+E55</f>
        <v>0</v>
      </c>
      <c r="F53" s="356">
        <f t="shared" ref="F53:H53" si="72">+F54+F55</f>
        <v>0</v>
      </c>
      <c r="G53" s="356">
        <f t="shared" si="71"/>
        <v>0</v>
      </c>
      <c r="H53" s="356">
        <f t="shared" si="72"/>
        <v>0</v>
      </c>
      <c r="I53" s="356">
        <f t="shared" ref="I53" si="73">+I54+I55</f>
        <v>69464130</v>
      </c>
      <c r="J53" s="356">
        <f t="shared" ref="J53" si="74">+J54+J55</f>
        <v>69464130</v>
      </c>
      <c r="K53" s="356">
        <f t="shared" ref="K53" si="75">+K54+K55</f>
        <v>568020075</v>
      </c>
      <c r="L53" s="356">
        <f t="shared" ref="L53" si="76">+L54+L55</f>
        <v>568020075</v>
      </c>
      <c r="M53" s="356">
        <f t="shared" ref="M53" si="77">+M54+M55</f>
        <v>45697772</v>
      </c>
      <c r="N53" s="356">
        <f t="shared" ref="N53" si="78">+N54+N55</f>
        <v>45697772</v>
      </c>
      <c r="O53" s="356">
        <f t="shared" ref="O53" si="79">+O54+O55</f>
        <v>57260308</v>
      </c>
      <c r="P53" s="356">
        <f t="shared" ref="P53" si="80">+P54+P55</f>
        <v>57260308</v>
      </c>
      <c r="Q53" s="356">
        <f t="shared" ref="Q53" si="81">+Q54+Q55</f>
        <v>365861485</v>
      </c>
      <c r="R53" s="356">
        <f t="shared" ref="R53" si="82">+R54+R55</f>
        <v>365861485</v>
      </c>
      <c r="S53" s="356">
        <f t="shared" si="6"/>
        <v>1106303770</v>
      </c>
      <c r="T53" s="356">
        <f t="shared" si="7"/>
        <v>0</v>
      </c>
      <c r="U53" s="356">
        <f t="shared" si="8"/>
        <v>1106303770</v>
      </c>
      <c r="V53" s="161"/>
      <c r="W53" s="403"/>
      <c r="X53" s="403"/>
      <c r="AA53" s="182"/>
    </row>
    <row r="54" spans="1:27" s="142" customFormat="1" ht="20.25" customHeight="1">
      <c r="A54" s="250"/>
      <c r="B54" s="264" t="s">
        <v>425</v>
      </c>
      <c r="C54" s="393">
        <v>0</v>
      </c>
      <c r="D54" s="393">
        <v>0</v>
      </c>
      <c r="E54" s="393">
        <v>0</v>
      </c>
      <c r="F54" s="393">
        <v>0</v>
      </c>
      <c r="G54" s="393">
        <v>0</v>
      </c>
      <c r="H54" s="393">
        <v>0</v>
      </c>
      <c r="I54" s="393">
        <v>69464130</v>
      </c>
      <c r="J54" s="393">
        <v>69464130</v>
      </c>
      <c r="K54" s="393">
        <v>568020075</v>
      </c>
      <c r="L54" s="393">
        <v>568020075</v>
      </c>
      <c r="M54" s="393">
        <v>45697772</v>
      </c>
      <c r="N54" s="393">
        <v>45697772</v>
      </c>
      <c r="O54" s="393">
        <v>57260308</v>
      </c>
      <c r="P54" s="393">
        <v>57260308</v>
      </c>
      <c r="Q54" s="393">
        <v>365861485</v>
      </c>
      <c r="R54" s="393">
        <v>365861485</v>
      </c>
      <c r="S54" s="356">
        <f t="shared" si="6"/>
        <v>1106303770</v>
      </c>
      <c r="T54" s="356">
        <f t="shared" si="7"/>
        <v>0</v>
      </c>
      <c r="U54" s="356">
        <f t="shared" si="8"/>
        <v>1106303770</v>
      </c>
      <c r="V54" s="161"/>
      <c r="W54" s="403"/>
      <c r="X54" s="403"/>
      <c r="AA54" s="182"/>
    </row>
    <row r="55" spans="1:27" s="142" customFormat="1" ht="20.25" customHeight="1">
      <c r="A55" s="250"/>
      <c r="B55" s="264" t="s">
        <v>426</v>
      </c>
      <c r="C55" s="393">
        <v>0</v>
      </c>
      <c r="D55" s="393">
        <v>0</v>
      </c>
      <c r="E55" s="393">
        <v>0</v>
      </c>
      <c r="F55" s="393">
        <v>0</v>
      </c>
      <c r="G55" s="393">
        <v>0</v>
      </c>
      <c r="H55" s="393">
        <v>0</v>
      </c>
      <c r="I55" s="393">
        <v>0</v>
      </c>
      <c r="J55" s="393">
        <v>0</v>
      </c>
      <c r="K55" s="393">
        <v>0</v>
      </c>
      <c r="L55" s="393">
        <v>0</v>
      </c>
      <c r="M55" s="393">
        <v>0</v>
      </c>
      <c r="N55" s="393">
        <v>0</v>
      </c>
      <c r="O55" s="393">
        <v>0</v>
      </c>
      <c r="P55" s="393">
        <v>0</v>
      </c>
      <c r="Q55" s="393">
        <v>0</v>
      </c>
      <c r="R55" s="393">
        <v>0</v>
      </c>
      <c r="S55" s="356">
        <f t="shared" si="6"/>
        <v>0</v>
      </c>
      <c r="T55" s="356">
        <f t="shared" si="7"/>
        <v>0</v>
      </c>
      <c r="U55" s="356">
        <f t="shared" si="8"/>
        <v>0</v>
      </c>
      <c r="V55" s="161"/>
      <c r="W55" s="403"/>
      <c r="X55" s="403"/>
      <c r="AA55" s="182"/>
    </row>
    <row r="56" spans="1:27" s="142" customFormat="1" ht="25.5">
      <c r="A56" s="250"/>
      <c r="B56" s="263" t="s">
        <v>429</v>
      </c>
      <c r="C56" s="356">
        <f>+C57+C58</f>
        <v>0</v>
      </c>
      <c r="D56" s="356">
        <f t="shared" ref="D56" si="83">+D57+D58</f>
        <v>0</v>
      </c>
      <c r="E56" s="356">
        <f t="shared" ref="E56:G56" si="84">+E57+E58</f>
        <v>0</v>
      </c>
      <c r="F56" s="356">
        <f t="shared" ref="F56:H56" si="85">+F57+F58</f>
        <v>0</v>
      </c>
      <c r="G56" s="356">
        <f t="shared" si="84"/>
        <v>0</v>
      </c>
      <c r="H56" s="356">
        <f t="shared" si="85"/>
        <v>0</v>
      </c>
      <c r="I56" s="356">
        <f t="shared" ref="I56" si="86">+I57+I58</f>
        <v>0</v>
      </c>
      <c r="J56" s="356">
        <f t="shared" ref="J56" si="87">+J57+J58</f>
        <v>0</v>
      </c>
      <c r="K56" s="356">
        <f t="shared" ref="K56" si="88">+K57+K58</f>
        <v>0</v>
      </c>
      <c r="L56" s="356">
        <f t="shared" ref="L56" si="89">+L57+L58</f>
        <v>0</v>
      </c>
      <c r="M56" s="356">
        <f t="shared" ref="M56" si="90">+M57+M58</f>
        <v>180886720</v>
      </c>
      <c r="N56" s="356">
        <f t="shared" ref="N56" si="91">+N57+N58</f>
        <v>180886720</v>
      </c>
      <c r="O56" s="356">
        <f t="shared" ref="O56" si="92">+O57+O58</f>
        <v>0</v>
      </c>
      <c r="P56" s="356">
        <f t="shared" ref="P56" si="93">+P57+P58</f>
        <v>0</v>
      </c>
      <c r="Q56" s="356">
        <f t="shared" ref="Q56" si="94">+Q57+Q58</f>
        <v>0</v>
      </c>
      <c r="R56" s="356">
        <f t="shared" ref="R56" si="95">+R57+R58</f>
        <v>0</v>
      </c>
      <c r="S56" s="356">
        <f t="shared" si="6"/>
        <v>180886720</v>
      </c>
      <c r="T56" s="356">
        <f t="shared" si="7"/>
        <v>0</v>
      </c>
      <c r="U56" s="356">
        <f t="shared" si="8"/>
        <v>180886720</v>
      </c>
      <c r="V56" s="161"/>
      <c r="W56" s="403"/>
      <c r="X56" s="403"/>
      <c r="AA56" s="182"/>
    </row>
    <row r="57" spans="1:27" s="142" customFormat="1" ht="20.25" customHeight="1">
      <c r="A57" s="250"/>
      <c r="B57" s="264" t="s">
        <v>425</v>
      </c>
      <c r="C57" s="393">
        <v>0</v>
      </c>
      <c r="D57" s="393">
        <v>0</v>
      </c>
      <c r="E57" s="393">
        <v>0</v>
      </c>
      <c r="F57" s="393">
        <v>0</v>
      </c>
      <c r="G57" s="393">
        <v>0</v>
      </c>
      <c r="H57" s="393">
        <v>0</v>
      </c>
      <c r="I57" s="393">
        <v>0</v>
      </c>
      <c r="J57" s="393">
        <v>0</v>
      </c>
      <c r="K57" s="393">
        <v>0</v>
      </c>
      <c r="L57" s="393">
        <v>0</v>
      </c>
      <c r="M57" s="393">
        <v>180886720</v>
      </c>
      <c r="N57" s="393">
        <v>180886720</v>
      </c>
      <c r="O57" s="393">
        <v>0</v>
      </c>
      <c r="P57" s="393">
        <v>0</v>
      </c>
      <c r="Q57" s="393">
        <v>0</v>
      </c>
      <c r="R57" s="393">
        <v>0</v>
      </c>
      <c r="S57" s="356">
        <f t="shared" si="6"/>
        <v>180886720</v>
      </c>
      <c r="T57" s="356">
        <f t="shared" si="7"/>
        <v>0</v>
      </c>
      <c r="U57" s="356">
        <f t="shared" si="8"/>
        <v>180886720</v>
      </c>
      <c r="V57" s="161"/>
      <c r="W57" s="403"/>
      <c r="X57" s="403"/>
      <c r="AA57" s="182"/>
    </row>
    <row r="58" spans="1:27" s="142" customFormat="1" ht="20.25" customHeight="1">
      <c r="A58" s="250"/>
      <c r="B58" s="264" t="s">
        <v>426</v>
      </c>
      <c r="C58" s="393">
        <v>0</v>
      </c>
      <c r="D58" s="393">
        <v>0</v>
      </c>
      <c r="E58" s="393">
        <v>0</v>
      </c>
      <c r="F58" s="393">
        <v>0</v>
      </c>
      <c r="G58" s="393">
        <v>0</v>
      </c>
      <c r="H58" s="393">
        <v>0</v>
      </c>
      <c r="I58" s="393">
        <v>0</v>
      </c>
      <c r="J58" s="393">
        <v>0</v>
      </c>
      <c r="K58" s="393">
        <v>0</v>
      </c>
      <c r="L58" s="393">
        <v>0</v>
      </c>
      <c r="M58" s="393">
        <v>0</v>
      </c>
      <c r="N58" s="393">
        <v>0</v>
      </c>
      <c r="O58" s="393">
        <v>0</v>
      </c>
      <c r="P58" s="393">
        <v>0</v>
      </c>
      <c r="Q58" s="393">
        <v>0</v>
      </c>
      <c r="R58" s="393">
        <v>0</v>
      </c>
      <c r="S58" s="356">
        <f t="shared" si="6"/>
        <v>0</v>
      </c>
      <c r="T58" s="356">
        <f t="shared" si="7"/>
        <v>0</v>
      </c>
      <c r="U58" s="356">
        <f t="shared" si="8"/>
        <v>0</v>
      </c>
      <c r="V58" s="161"/>
      <c r="W58" s="138"/>
      <c r="X58" s="138"/>
      <c r="AA58" s="182"/>
    </row>
    <row r="59" spans="1:27" s="142" customFormat="1" ht="30" customHeight="1">
      <c r="A59" s="250"/>
      <c r="B59" s="408" t="s">
        <v>574</v>
      </c>
      <c r="C59" s="393"/>
      <c r="D59" s="39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56"/>
      <c r="T59" s="356"/>
      <c r="U59" s="356"/>
      <c r="V59" s="161"/>
      <c r="W59" s="403"/>
      <c r="X59" s="403"/>
      <c r="AA59" s="182"/>
    </row>
    <row r="60" spans="1:27" s="142" customFormat="1" ht="20.25" customHeight="1">
      <c r="A60" s="250"/>
      <c r="B60" s="264" t="s">
        <v>568</v>
      </c>
      <c r="C60" s="356">
        <f>'Bank Assets Analysis'!C47-'Bank Assets Analysis'!C30-'Bank Assets Analysis'!C32-'Bank Assets Analysis'!C33-'Bank Assets Analysis'!C37-'Bank Assets Analysis'!C38-'Bank Assets Analysis'!C42-'Bank Assets Analysis'!C45</f>
        <v>3043608597</v>
      </c>
      <c r="D60" s="356">
        <f>'Bank Assets Analysis'!D47-'Bank Assets Analysis'!D30-'Bank Assets Analysis'!D32-'Bank Assets Analysis'!D33-'Bank Assets Analysis'!D37-'Bank Assets Analysis'!D38-'Bank Assets Analysis'!D42-'Bank Assets Analysis'!D45</f>
        <v>872647426</v>
      </c>
      <c r="E60" s="356">
        <f>'Bank Assets Analysis'!E47</f>
        <v>29800448</v>
      </c>
      <c r="F60" s="356">
        <f>'Bank Assets Analysis'!F47</f>
        <v>422283</v>
      </c>
      <c r="G60" s="356">
        <f>'Bank Assets Analysis'!G47</f>
        <v>839860803</v>
      </c>
      <c r="H60" s="356">
        <f>'Bank Assets Analysis'!H47</f>
        <v>249959530</v>
      </c>
      <c r="I60" s="356">
        <f>'Bank Assets Analysis'!I47</f>
        <v>1407169860</v>
      </c>
      <c r="J60" s="356">
        <f>'Bank Assets Analysis'!J47</f>
        <v>357646984</v>
      </c>
      <c r="K60" s="356">
        <f>'Bank Assets Analysis'!K47</f>
        <v>1305988418</v>
      </c>
      <c r="L60" s="356">
        <f>'Bank Assets Analysis'!L47</f>
        <v>451520670</v>
      </c>
      <c r="M60" s="356">
        <f>'Bank Assets Analysis'!M47</f>
        <v>2326916770</v>
      </c>
      <c r="N60" s="356">
        <f>'Bank Assets Analysis'!N47</f>
        <v>707474261</v>
      </c>
      <c r="O60" s="356">
        <f>'Bank Assets Analysis'!O47-'Bank Assets Analysis'!O37</f>
        <v>3442400562</v>
      </c>
      <c r="P60" s="356">
        <f>'Bank Assets Analysis'!P47-'Bank Assets Analysis'!P37</f>
        <v>680231742</v>
      </c>
      <c r="Q60" s="356">
        <f>'Bank Assets Analysis'!Q47-'Bank Assets Analysis'!Q37</f>
        <v>6550002556</v>
      </c>
      <c r="R60" s="356">
        <f>'Bank Assets Analysis'!R47-'Bank Assets Analysis'!R37</f>
        <v>1524774187</v>
      </c>
      <c r="S60" s="356"/>
      <c r="T60" s="356"/>
      <c r="U60" s="356"/>
      <c r="V60" s="161"/>
      <c r="W60" s="403"/>
      <c r="X60" s="403"/>
      <c r="AA60" s="182"/>
    </row>
    <row r="61" spans="1:27" s="142" customFormat="1" ht="20.25" customHeight="1">
      <c r="A61" s="250"/>
      <c r="B61" s="264" t="s">
        <v>569</v>
      </c>
      <c r="C61" s="356">
        <f>(+'Bank Assets Analysis'!C49-'Bank Assets Analysis'!C50)+('Bank Assets Analysis'!C51-'Bank Assets Analysis'!C52)+('Bank Assets Analysis'!C53-'Bank Assets Analysis'!C54)</f>
        <v>128630</v>
      </c>
      <c r="D61" s="356">
        <f>(+'Bank Assets Analysis'!D49-'Bank Assets Analysis'!D50)+('Bank Assets Analysis'!D51-'Bank Assets Analysis'!D52)+('Bank Assets Analysis'!D53-'Bank Assets Analysis'!D54)</f>
        <v>0</v>
      </c>
      <c r="E61" s="356">
        <f>(+'Bank Assets Analysis'!E49-'Bank Assets Analysis'!E50)+('Bank Assets Analysis'!E51-'Bank Assets Analysis'!E52)+('Bank Assets Analysis'!E53-'Bank Assets Analysis'!E54)</f>
        <v>59812221</v>
      </c>
      <c r="F61" s="356">
        <f>(+'Bank Assets Analysis'!F49-'Bank Assets Analysis'!F50)+('Bank Assets Analysis'!F51-'Bank Assets Analysis'!F52)+('Bank Assets Analysis'!F53-'Bank Assets Analysis'!F54)</f>
        <v>405860</v>
      </c>
      <c r="G61" s="356">
        <f>(+'Bank Assets Analysis'!G49-'Bank Assets Analysis'!G50)+('Bank Assets Analysis'!G51-'Bank Assets Analysis'!G52)+('Bank Assets Analysis'!G53-'Bank Assets Analysis'!G54)</f>
        <v>1821695</v>
      </c>
      <c r="H61" s="356">
        <f>(+'Bank Assets Analysis'!H49-'Bank Assets Analysis'!H50)+('Bank Assets Analysis'!H51-'Bank Assets Analysis'!H52)+('Bank Assets Analysis'!H53-'Bank Assets Analysis'!H54)</f>
        <v>667550</v>
      </c>
      <c r="I61" s="356">
        <f>(+'Bank Assets Analysis'!I49-'Bank Assets Analysis'!I50)+('Bank Assets Analysis'!I51-'Bank Assets Analysis'!I52)+('Bank Assets Analysis'!I53-'Bank Assets Analysis'!I54)</f>
        <v>138778843</v>
      </c>
      <c r="J61" s="356">
        <f>(+'Bank Assets Analysis'!J49-'Bank Assets Analysis'!J50)+('Bank Assets Analysis'!J51-'Bank Assets Analysis'!J52)+('Bank Assets Analysis'!J53-'Bank Assets Analysis'!J54)</f>
        <v>131056160</v>
      </c>
      <c r="K61" s="356">
        <f>(+'Bank Assets Analysis'!K49-'Bank Assets Analysis'!K50)+('Bank Assets Analysis'!K51-'Bank Assets Analysis'!K52)+('Bank Assets Analysis'!K53-'Bank Assets Analysis'!K54)</f>
        <v>116877623</v>
      </c>
      <c r="L61" s="356">
        <f>(+'Bank Assets Analysis'!L49-'Bank Assets Analysis'!L50)+('Bank Assets Analysis'!L51-'Bank Assets Analysis'!L52)+('Bank Assets Analysis'!L53-'Bank Assets Analysis'!L54)</f>
        <v>89808919</v>
      </c>
      <c r="M61" s="356">
        <f>(+'Bank Assets Analysis'!M49-'Bank Assets Analysis'!M50)+('Bank Assets Analysis'!M51-'Bank Assets Analysis'!M52)+('Bank Assets Analysis'!M53-'Bank Assets Analysis'!M54)</f>
        <v>481027149</v>
      </c>
      <c r="N61" s="356">
        <f>(+'Bank Assets Analysis'!N49-'Bank Assets Analysis'!N50)+('Bank Assets Analysis'!N51-'Bank Assets Analysis'!N52)+('Bank Assets Analysis'!N53-'Bank Assets Analysis'!N54)</f>
        <v>374364573</v>
      </c>
      <c r="O61" s="356">
        <f>(+'Bank Assets Analysis'!O49-'Bank Assets Analysis'!O50)+('Bank Assets Analysis'!O51-'Bank Assets Analysis'!O52)+('Bank Assets Analysis'!O53-'Bank Assets Analysis'!O54)</f>
        <v>167289482</v>
      </c>
      <c r="P61" s="356">
        <f>(+'Bank Assets Analysis'!P49-'Bank Assets Analysis'!P50)+('Bank Assets Analysis'!P51-'Bank Assets Analysis'!P52)+('Bank Assets Analysis'!P53-'Bank Assets Analysis'!P54)</f>
        <v>96562470</v>
      </c>
      <c r="Q61" s="356">
        <f>(+'Bank Assets Analysis'!Q49-'Bank Assets Analysis'!Q50)+('Bank Assets Analysis'!Q51-'Bank Assets Analysis'!Q52)+('Bank Assets Analysis'!Q53-'Bank Assets Analysis'!Q54)</f>
        <v>901371118</v>
      </c>
      <c r="R61" s="356">
        <f>(+'Bank Assets Analysis'!R49-'Bank Assets Analysis'!R50)+('Bank Assets Analysis'!R51-'Bank Assets Analysis'!R52)+('Bank Assets Analysis'!R53-'Bank Assets Analysis'!R54)</f>
        <v>702593380</v>
      </c>
      <c r="S61" s="356"/>
      <c r="T61" s="356"/>
      <c r="U61" s="356"/>
      <c r="V61" s="161"/>
      <c r="W61" s="403"/>
      <c r="X61" s="403"/>
      <c r="AA61" s="182"/>
    </row>
    <row r="62" spans="1:27" s="142" customFormat="1" ht="20.25" customHeight="1">
      <c r="A62" s="250"/>
      <c r="B62" s="264" t="s">
        <v>570</v>
      </c>
      <c r="C62" s="356">
        <f>'Bank Liabilities Analysis'!C42</f>
        <v>4986273646</v>
      </c>
      <c r="D62" s="356">
        <f>'Bank Liabilities Analysis'!D42</f>
        <v>852016796</v>
      </c>
      <c r="E62" s="356">
        <f>'Bank Liabilities Analysis'!E42</f>
        <v>899328415</v>
      </c>
      <c r="F62" s="356">
        <f>'Bank Liabilities Analysis'!F42</f>
        <v>3286596</v>
      </c>
      <c r="G62" s="356">
        <f>'Bank Liabilities Analysis'!G42</f>
        <v>210759484</v>
      </c>
      <c r="H62" s="356">
        <f>'Bank Liabilities Analysis'!H42</f>
        <v>18822716</v>
      </c>
      <c r="I62" s="356">
        <f>'Bank Liabilities Analysis'!I42</f>
        <v>666054953</v>
      </c>
      <c r="J62" s="356">
        <f>'Bank Liabilities Analysis'!J42</f>
        <v>186128529</v>
      </c>
      <c r="K62" s="356">
        <f>'Bank Liabilities Analysis'!K42</f>
        <v>2333242441</v>
      </c>
      <c r="L62" s="356">
        <f>'Bank Liabilities Analysis'!L42</f>
        <v>768432477</v>
      </c>
      <c r="M62" s="356">
        <f>'Bank Liabilities Analysis'!M42</f>
        <v>3227321637</v>
      </c>
      <c r="N62" s="356">
        <f>'Bank Liabilities Analysis'!N42</f>
        <v>782800665</v>
      </c>
      <c r="O62" s="356">
        <f>'Bank Liabilities Analysis'!O42</f>
        <v>4678820698</v>
      </c>
      <c r="P62" s="356">
        <f>'Bank Liabilities Analysis'!P42</f>
        <v>897294059</v>
      </c>
      <c r="Q62" s="356">
        <f>'Bank Liabilities Analysis'!Q42</f>
        <v>3167232838</v>
      </c>
      <c r="R62" s="356">
        <f>'Bank Liabilities Analysis'!R42</f>
        <v>1525437374</v>
      </c>
      <c r="S62" s="356"/>
      <c r="T62" s="356"/>
      <c r="U62" s="356"/>
      <c r="V62" s="161"/>
      <c r="W62" s="403"/>
      <c r="X62" s="403"/>
      <c r="AA62" s="182"/>
    </row>
    <row r="63" spans="1:27" s="142" customFormat="1" ht="20.25" customHeight="1">
      <c r="A63" s="250"/>
      <c r="B63" s="264" t="s">
        <v>571</v>
      </c>
      <c r="C63" s="356">
        <f>+C60-C62-C61</f>
        <v>-1942793679</v>
      </c>
      <c r="D63" s="356">
        <f t="shared" ref="D63:Q63" si="96">+D60-D62-D61</f>
        <v>20630630</v>
      </c>
      <c r="E63" s="356">
        <f t="shared" si="96"/>
        <v>-929340188</v>
      </c>
      <c r="F63" s="356">
        <f t="shared" si="96"/>
        <v>-3270173</v>
      </c>
      <c r="G63" s="356">
        <f t="shared" si="96"/>
        <v>627279624</v>
      </c>
      <c r="H63" s="356">
        <f t="shared" si="96"/>
        <v>230469264</v>
      </c>
      <c r="I63" s="356">
        <f t="shared" si="96"/>
        <v>602336064</v>
      </c>
      <c r="J63" s="356">
        <f t="shared" si="96"/>
        <v>40462295</v>
      </c>
      <c r="K63" s="356">
        <f t="shared" si="96"/>
        <v>-1144131646</v>
      </c>
      <c r="L63" s="356">
        <f t="shared" si="96"/>
        <v>-406720726</v>
      </c>
      <c r="M63" s="356">
        <f t="shared" si="96"/>
        <v>-1381432016</v>
      </c>
      <c r="N63" s="356">
        <f t="shared" si="96"/>
        <v>-449690977</v>
      </c>
      <c r="O63" s="356">
        <f t="shared" si="96"/>
        <v>-1403709618</v>
      </c>
      <c r="P63" s="356">
        <f t="shared" si="96"/>
        <v>-313624787</v>
      </c>
      <c r="Q63" s="356">
        <f t="shared" si="96"/>
        <v>2481398600</v>
      </c>
      <c r="R63" s="356">
        <f>+R60-R62-R61</f>
        <v>-703256567</v>
      </c>
      <c r="S63" s="356"/>
      <c r="T63" s="356"/>
      <c r="U63" s="356"/>
      <c r="V63" s="161"/>
      <c r="W63" s="403"/>
      <c r="X63" s="403"/>
      <c r="AA63" s="182"/>
    </row>
    <row r="64" spans="1:27" s="142" customFormat="1" ht="20.25" customHeight="1">
      <c r="A64" s="250"/>
      <c r="B64" s="264" t="s">
        <v>572</v>
      </c>
      <c r="C64" s="356">
        <f>+C63</f>
        <v>-1942793679</v>
      </c>
      <c r="D64" s="356">
        <f>+D63</f>
        <v>20630630</v>
      </c>
      <c r="E64" s="356">
        <f>E63+C64</f>
        <v>-2872133867</v>
      </c>
      <c r="F64" s="356">
        <f>+F63+D64</f>
        <v>17360457</v>
      </c>
      <c r="G64" s="356">
        <f>G63+E64</f>
        <v>-2244854243</v>
      </c>
      <c r="H64" s="356">
        <f>+H63+F64</f>
        <v>247829721</v>
      </c>
      <c r="I64" s="356">
        <f>I63+G64</f>
        <v>-1642518179</v>
      </c>
      <c r="J64" s="356">
        <f>+J63+H64</f>
        <v>288292016</v>
      </c>
      <c r="K64" s="356">
        <f>K63+I64</f>
        <v>-2786649825</v>
      </c>
      <c r="L64" s="356">
        <f>+L63+J64</f>
        <v>-118428710</v>
      </c>
      <c r="M64" s="356">
        <f>M63+K64</f>
        <v>-4168081841</v>
      </c>
      <c r="N64" s="356">
        <f>+N63+L64</f>
        <v>-568119687</v>
      </c>
      <c r="O64" s="356">
        <f>O63+M64</f>
        <v>-5571791459</v>
      </c>
      <c r="P64" s="356">
        <f>+P63+N64</f>
        <v>-881744474</v>
      </c>
      <c r="Q64" s="356">
        <f t="shared" ref="Q64" si="97">Q63+O64</f>
        <v>-3090392859</v>
      </c>
      <c r="R64" s="356">
        <f>+R63+P64</f>
        <v>-1585001041</v>
      </c>
      <c r="S64" s="356"/>
      <c r="T64" s="356"/>
      <c r="U64" s="356"/>
      <c r="V64" s="161"/>
      <c r="W64" s="403"/>
      <c r="X64" s="403"/>
      <c r="AA64" s="182"/>
    </row>
    <row r="65" spans="1:27"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265"/>
      <c r="W65" s="139"/>
      <c r="X65" s="139"/>
      <c r="AA65" s="266"/>
    </row>
    <row r="66" spans="1:27" ht="15" customHeight="1">
      <c r="A66" s="17"/>
      <c r="B66" s="4" t="s">
        <v>536</v>
      </c>
      <c r="F66" s="144"/>
      <c r="G66" s="144"/>
      <c r="H66" s="144"/>
      <c r="I66" s="144"/>
      <c r="J66" s="144"/>
      <c r="K66" s="144"/>
      <c r="L66" s="144"/>
      <c r="M66" s="144"/>
      <c r="V66" s="17"/>
      <c r="W66" s="17"/>
      <c r="X66" s="17"/>
      <c r="AA66" s="17"/>
    </row>
    <row r="67" spans="1:27" ht="11.25" customHeight="1">
      <c r="A67" s="17"/>
      <c r="B67" s="4"/>
      <c r="F67" s="144"/>
      <c r="G67" s="144"/>
      <c r="H67" s="144"/>
      <c r="I67" s="144"/>
      <c r="J67" s="144"/>
      <c r="K67" s="144"/>
      <c r="L67" s="144"/>
      <c r="M67" s="144"/>
      <c r="V67" s="17"/>
      <c r="W67" s="17"/>
      <c r="X67" s="17"/>
      <c r="AA67" s="17"/>
    </row>
    <row r="68" spans="1:27" ht="15" customHeight="1">
      <c r="A68" s="17"/>
      <c r="B68" s="4" t="s">
        <v>535</v>
      </c>
      <c r="F68" s="144"/>
      <c r="G68" s="144"/>
      <c r="H68" s="144"/>
      <c r="I68" s="144"/>
      <c r="J68" s="144"/>
      <c r="K68" s="144"/>
      <c r="L68" s="144"/>
      <c r="M68" s="144"/>
      <c r="V68" s="17"/>
      <c r="W68" s="17"/>
      <c r="X68" s="17"/>
      <c r="AA68" s="17"/>
    </row>
    <row r="69" spans="1:27">
      <c r="V69" s="265"/>
      <c r="W69" s="139"/>
      <c r="X69" s="139"/>
    </row>
    <row r="72" spans="1:27">
      <c r="T72" s="392"/>
    </row>
    <row r="74" spans="1:27">
      <c r="T74" s="392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C18:H18 J18:L18">
    <cfRule type="cellIs" dxfId="76" priority="192" operator="greaterThan">
      <formula>B18</formula>
    </cfRule>
  </conditionalFormatting>
  <conditionalFormatting sqref="C14:R14">
    <cfRule type="cellIs" dxfId="75" priority="189" operator="greaterThan">
      <formula>B14</formula>
    </cfRule>
  </conditionalFormatting>
  <conditionalFormatting sqref="D7:D8">
    <cfRule type="cellIs" dxfId="74" priority="767" operator="greaterThan">
      <formula>C7</formula>
    </cfRule>
  </conditionalFormatting>
  <conditionalFormatting sqref="D11">
    <cfRule type="cellIs" dxfId="73" priority="262" operator="greaterThan">
      <formula>C11</formula>
    </cfRule>
  </conditionalFormatting>
  <conditionalFormatting sqref="D13">
    <cfRule type="cellIs" dxfId="72" priority="549" operator="greaterThan">
      <formula>C13</formula>
    </cfRule>
  </conditionalFormatting>
  <conditionalFormatting sqref="D15:D17">
    <cfRule type="cellIs" dxfId="71" priority="794" operator="greaterThan">
      <formula>C15</formula>
    </cfRule>
  </conditionalFormatting>
  <conditionalFormatting sqref="D19:D41">
    <cfRule type="cellIs" dxfId="70" priority="103" operator="greaterThan">
      <formula>C19</formula>
    </cfRule>
  </conditionalFormatting>
  <conditionalFormatting sqref="D44:D58">
    <cfRule type="cellIs" dxfId="69" priority="234" operator="greaterThan">
      <formula>C44</formula>
    </cfRule>
  </conditionalFormatting>
  <conditionalFormatting sqref="E16:E17">
    <cfRule type="cellIs" dxfId="68" priority="190" operator="greaterThan">
      <formula>D16</formula>
    </cfRule>
  </conditionalFormatting>
  <conditionalFormatting sqref="E21:E22">
    <cfRule type="cellIs" dxfId="67" priority="36" operator="greaterThan">
      <formula>D21</formula>
    </cfRule>
  </conditionalFormatting>
  <conditionalFormatting sqref="F7">
    <cfRule type="cellIs" dxfId="66" priority="771" operator="greaterThan">
      <formula>E7</formula>
    </cfRule>
  </conditionalFormatting>
  <conditionalFormatting sqref="F13">
    <cfRule type="cellIs" dxfId="65" priority="537" operator="greaterThan">
      <formula>E13</formula>
    </cfRule>
  </conditionalFormatting>
  <conditionalFormatting sqref="F15:F17">
    <cfRule type="cellIs" dxfId="64" priority="61" operator="greaterThan">
      <formula>E15</formula>
    </cfRule>
  </conditionalFormatting>
  <conditionalFormatting sqref="F19:F41">
    <cfRule type="cellIs" dxfId="63" priority="35" operator="greaterThan">
      <formula>E19</formula>
    </cfRule>
  </conditionalFormatting>
  <conditionalFormatting sqref="F44:F58">
    <cfRule type="cellIs" dxfId="62" priority="227" operator="greaterThan">
      <formula>E44</formula>
    </cfRule>
  </conditionalFormatting>
  <conditionalFormatting sqref="G16:G17">
    <cfRule type="cellIs" dxfId="61" priority="59" operator="greaterThan">
      <formula>F16</formula>
    </cfRule>
  </conditionalFormatting>
  <conditionalFormatting sqref="G21:G22">
    <cfRule type="cellIs" dxfId="60" priority="34" operator="greaterThan">
      <formula>F21</formula>
    </cfRule>
  </conditionalFormatting>
  <conditionalFormatting sqref="H7">
    <cfRule type="cellIs" dxfId="59" priority="791" operator="greaterThan">
      <formula>G7</formula>
    </cfRule>
  </conditionalFormatting>
  <conditionalFormatting sqref="H13 J13 L13 N13 P13 R13">
    <cfRule type="cellIs" dxfId="58" priority="541" operator="greaterThan">
      <formula>G13</formula>
    </cfRule>
  </conditionalFormatting>
  <conditionalFormatting sqref="H15:H17">
    <cfRule type="cellIs" dxfId="57" priority="57" operator="greaterThan">
      <formula>G15</formula>
    </cfRule>
  </conditionalFormatting>
  <conditionalFormatting sqref="H19:H41">
    <cfRule type="cellIs" dxfId="56" priority="33" operator="greaterThan">
      <formula>G19</formula>
    </cfRule>
  </conditionalFormatting>
  <conditionalFormatting sqref="H44:H58">
    <cfRule type="cellIs" dxfId="55" priority="233" operator="greaterThan">
      <formula>G44</formula>
    </cfRule>
  </conditionalFormatting>
  <conditionalFormatting sqref="I16:I17">
    <cfRule type="cellIs" dxfId="54" priority="55" operator="greaterThan">
      <formula>H16</formula>
    </cfRule>
  </conditionalFormatting>
  <conditionalFormatting sqref="I21:I22">
    <cfRule type="cellIs" dxfId="53" priority="32" operator="greaterThan">
      <formula>H21</formula>
    </cfRule>
  </conditionalFormatting>
  <conditionalFormatting sqref="J7">
    <cfRule type="cellIs" dxfId="52" priority="788" operator="greaterThan">
      <formula>I7</formula>
    </cfRule>
  </conditionalFormatting>
  <conditionalFormatting sqref="J15:J17">
    <cfRule type="cellIs" dxfId="51" priority="53" operator="greaterThan">
      <formula>I15</formula>
    </cfRule>
  </conditionalFormatting>
  <conditionalFormatting sqref="J19:J41">
    <cfRule type="cellIs" dxfId="50" priority="31" operator="greaterThan">
      <formula>I19</formula>
    </cfRule>
  </conditionalFormatting>
  <conditionalFormatting sqref="J44:J58">
    <cfRule type="cellIs" dxfId="49" priority="232" operator="greaterThan">
      <formula>I44</formula>
    </cfRule>
  </conditionalFormatting>
  <conditionalFormatting sqref="K16:K17">
    <cfRule type="cellIs" dxfId="48" priority="51" operator="greaterThan">
      <formula>J16</formula>
    </cfRule>
  </conditionalFormatting>
  <conditionalFormatting sqref="K21:K22">
    <cfRule type="cellIs" dxfId="47" priority="30" operator="greaterThan">
      <formula>J21</formula>
    </cfRule>
  </conditionalFormatting>
  <conditionalFormatting sqref="L7">
    <cfRule type="cellIs" dxfId="46" priority="785" operator="greaterThan">
      <formula>K7</formula>
    </cfRule>
  </conditionalFormatting>
  <conditionalFormatting sqref="L15:L17">
    <cfRule type="cellIs" dxfId="45" priority="49" operator="greaterThan">
      <formula>K15</formula>
    </cfRule>
  </conditionalFormatting>
  <conditionalFormatting sqref="L19:L41">
    <cfRule type="cellIs" dxfId="44" priority="29" operator="greaterThan">
      <formula>K19</formula>
    </cfRule>
  </conditionalFormatting>
  <conditionalFormatting sqref="L44:L58">
    <cfRule type="cellIs" dxfId="43" priority="231" operator="greaterThan">
      <formula>K44</formula>
    </cfRule>
  </conditionalFormatting>
  <conditionalFormatting sqref="M16:M18">
    <cfRule type="cellIs" dxfId="42" priority="3" operator="greaterThan">
      <formula>L16</formula>
    </cfRule>
  </conditionalFormatting>
  <conditionalFormatting sqref="M21:M22">
    <cfRule type="cellIs" dxfId="41" priority="28" operator="greaterThan">
      <formula>L21</formula>
    </cfRule>
  </conditionalFormatting>
  <conditionalFormatting sqref="N7">
    <cfRule type="cellIs" dxfId="40" priority="782" operator="greaterThan">
      <formula>M7</formula>
    </cfRule>
  </conditionalFormatting>
  <conditionalFormatting sqref="N15:N41">
    <cfRule type="cellIs" dxfId="39" priority="27" operator="greaterThan">
      <formula>M15</formula>
    </cfRule>
  </conditionalFormatting>
  <conditionalFormatting sqref="N44:N58">
    <cfRule type="cellIs" dxfId="38" priority="230" operator="greaterThan">
      <formula>M44</formula>
    </cfRule>
  </conditionalFormatting>
  <conditionalFormatting sqref="O16:O17">
    <cfRule type="cellIs" dxfId="37" priority="43" operator="greaterThan">
      <formula>N16</formula>
    </cfRule>
  </conditionalFormatting>
  <conditionalFormatting sqref="O21:R22">
    <cfRule type="cellIs" dxfId="36" priority="25" operator="greaterThan">
      <formula>N21</formula>
    </cfRule>
  </conditionalFormatting>
  <conditionalFormatting sqref="P7">
    <cfRule type="cellIs" dxfId="35" priority="779" operator="greaterThan">
      <formula>O7</formula>
    </cfRule>
  </conditionalFormatting>
  <conditionalFormatting sqref="P15:P20">
    <cfRule type="cellIs" dxfId="34" priority="41" operator="greaterThan">
      <formula>O15</formula>
    </cfRule>
  </conditionalFormatting>
  <conditionalFormatting sqref="P23:P41">
    <cfRule type="cellIs" dxfId="33" priority="67" operator="greaterThan">
      <formula>O23</formula>
    </cfRule>
  </conditionalFormatting>
  <conditionalFormatting sqref="P44:P58 R46:R58">
    <cfRule type="cellIs" dxfId="32" priority="226" operator="greaterThan">
      <formula>O44</formula>
    </cfRule>
  </conditionalFormatting>
  <conditionalFormatting sqref="Q16:Q17">
    <cfRule type="cellIs" dxfId="31" priority="39" operator="greaterThan">
      <formula>P16</formula>
    </cfRule>
  </conditionalFormatting>
  <conditionalFormatting sqref="R7">
    <cfRule type="cellIs" dxfId="30" priority="776" operator="greaterThan">
      <formula>Q7</formula>
    </cfRule>
  </conditionalFormatting>
  <conditionalFormatting sqref="R15:R20">
    <cfRule type="cellIs" dxfId="29" priority="37" operator="greaterThan">
      <formula>Q15</formula>
    </cfRule>
  </conditionalFormatting>
  <conditionalFormatting sqref="R23:R41">
    <cfRule type="cellIs" dxfId="28" priority="63" operator="greaterThan">
      <formula>Q23</formula>
    </cfRule>
  </conditionalFormatting>
  <conditionalFormatting sqref="R44">
    <cfRule type="cellIs" dxfId="27" priority="774" operator="greaterThan">
      <formula>Q44</formula>
    </cfRule>
  </conditionalFormatting>
  <conditionalFormatting sqref="S20:U20">
    <cfRule type="cellIs" dxfId="26" priority="478" operator="notEqual">
      <formula>Y20</formula>
    </cfRule>
  </conditionalFormatting>
  <conditionalFormatting sqref="S42:U42">
    <cfRule type="cellIs" dxfId="25" priority="1" operator="notEqual">
      <formula>Y42</formula>
    </cfRule>
  </conditionalFormatting>
  <conditionalFormatting sqref="Y42">
    <cfRule type="cellIs" dxfId="24" priority="768" operator="notEqual">
      <formula>$S$42</formula>
    </cfRule>
  </conditionalFormatting>
  <conditionalFormatting sqref="Z42">
    <cfRule type="cellIs" dxfId="23" priority="795" operator="notEqual">
      <formula>$T$42</formula>
    </cfRule>
  </conditionalFormatting>
  <conditionalFormatting sqref="AA42">
    <cfRule type="cellIs" dxfId="22" priority="769" operator="notEqual">
      <formula>$U$42</formula>
    </cfRule>
  </conditionalFormatting>
  <dataValidations count="4">
    <dataValidation type="whole" operator="notEqual" allowBlank="1" showErrorMessage="1" error="Введите как целое число." sqref="C21:R41 C8:R11 C15:R19 C43:R5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2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C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A63"/>
  <sheetViews>
    <sheetView view="pageBreakPreview" zoomScale="70" zoomScaleNormal="70" zoomScaleSheetLayoutView="70" workbookViewId="0">
      <pane xSplit="2" ySplit="6" topLeftCell="C24" activePane="bottomRight" state="frozen"/>
      <selection activeCell="C46" sqref="C46"/>
      <selection pane="topRight" activeCell="C46" sqref="C46"/>
      <selection pane="bottomLeft" activeCell="C46" sqref="C46"/>
      <selection pane="bottomRight" activeCell="H43" sqref="H43"/>
    </sheetView>
  </sheetViews>
  <sheetFormatPr defaultRowHeight="12.75"/>
  <cols>
    <col min="1" max="1" width="6.42578125" style="160" customWidth="1"/>
    <col min="2" max="2" width="80.42578125" style="133" customWidth="1"/>
    <col min="3" max="10" width="22.140625" style="133" customWidth="1"/>
    <col min="11" max="11" width="20.28515625" style="133" customWidth="1"/>
    <col min="12" max="12" width="18.5703125" style="136" customWidth="1"/>
    <col min="13" max="13" width="18.5703125" style="135" customWidth="1"/>
    <col min="14" max="14" width="17.28515625" style="133" bestFit="1" customWidth="1"/>
    <col min="15" max="16" width="15.140625" style="133" customWidth="1"/>
    <col min="17" max="16384" width="9.140625" style="133"/>
  </cols>
  <sheetData>
    <row r="2" spans="1:27" s="95" customFormat="1" ht="26.25" customHeight="1">
      <c r="A2" s="92" t="s">
        <v>430</v>
      </c>
      <c r="B2" s="93"/>
      <c r="C2" s="93"/>
      <c r="D2" s="94"/>
      <c r="E2" s="94"/>
      <c r="F2" s="94"/>
      <c r="G2" s="94"/>
      <c r="H2" s="94"/>
      <c r="I2" s="94"/>
      <c r="L2" s="431" t="s">
        <v>553</v>
      </c>
      <c r="M2" s="431"/>
    </row>
    <row r="3" spans="1:27" ht="15.75">
      <c r="A3" s="159"/>
      <c r="B3" s="158" t="str">
        <f>Balance!B3</f>
        <v>Банк номи</v>
      </c>
      <c r="C3" s="57"/>
      <c r="D3" s="132"/>
      <c r="E3" s="132"/>
      <c r="F3" s="132"/>
      <c r="G3" s="132"/>
      <c r="H3" s="132"/>
      <c r="I3" s="132"/>
      <c r="J3" s="79"/>
      <c r="K3" s="341">
        <f>+Balance!D3</f>
        <v>45657</v>
      </c>
      <c r="L3" s="133"/>
      <c r="M3" s="133" t="str">
        <f>+Balance!E3</f>
        <v>минг сўмда</v>
      </c>
    </row>
    <row r="4" spans="1:27" s="15" customFormat="1" ht="23.25" customHeight="1">
      <c r="A4" s="437" t="s">
        <v>54</v>
      </c>
      <c r="B4" s="437" t="s">
        <v>333</v>
      </c>
      <c r="C4" s="434" t="s">
        <v>334</v>
      </c>
      <c r="D4" s="435"/>
      <c r="E4" s="435"/>
      <c r="F4" s="435"/>
      <c r="G4" s="435"/>
      <c r="H4" s="435"/>
      <c r="I4" s="435"/>
      <c r="J4" s="436"/>
      <c r="K4" s="437" t="s">
        <v>176</v>
      </c>
      <c r="L4" s="440" t="s">
        <v>336</v>
      </c>
      <c r="M4" s="441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</row>
    <row r="5" spans="1:27" s="15" customFormat="1" ht="27.75" customHeight="1">
      <c r="A5" s="444"/>
      <c r="B5" s="444"/>
      <c r="C5" s="437" t="s">
        <v>337</v>
      </c>
      <c r="D5" s="437" t="s">
        <v>338</v>
      </c>
      <c r="E5" s="437" t="s">
        <v>339</v>
      </c>
      <c r="F5" s="437" t="s">
        <v>340</v>
      </c>
      <c r="G5" s="437" t="s">
        <v>341</v>
      </c>
      <c r="H5" s="437" t="s">
        <v>342</v>
      </c>
      <c r="I5" s="437" t="s">
        <v>343</v>
      </c>
      <c r="J5" s="437" t="s">
        <v>344</v>
      </c>
      <c r="K5" s="444"/>
      <c r="L5" s="442"/>
      <c r="M5" s="443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</row>
    <row r="6" spans="1:27" s="15" customFormat="1" ht="34.5" customHeight="1">
      <c r="A6" s="438"/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339" t="s">
        <v>22</v>
      </c>
      <c r="M6" s="339" t="s">
        <v>309</v>
      </c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</row>
    <row r="7" spans="1:27" s="130" customFormat="1" ht="20.25" customHeight="1">
      <c r="A7" s="243" t="s">
        <v>55</v>
      </c>
      <c r="B7" s="244" t="s">
        <v>403</v>
      </c>
      <c r="C7" s="356"/>
      <c r="D7" s="356"/>
      <c r="E7" s="356"/>
      <c r="F7" s="356"/>
      <c r="G7" s="356"/>
      <c r="H7" s="356"/>
      <c r="I7" s="356"/>
      <c r="J7" s="356"/>
      <c r="K7" s="356"/>
      <c r="L7" s="127"/>
      <c r="M7" s="128"/>
      <c r="N7" s="15"/>
      <c r="O7" s="129"/>
      <c r="P7" s="129"/>
    </row>
    <row r="8" spans="1:27" s="130" customFormat="1" ht="25.5" customHeight="1">
      <c r="A8" s="243" t="s">
        <v>66</v>
      </c>
      <c r="B8" s="244" t="s">
        <v>404</v>
      </c>
      <c r="C8" s="355">
        <f>SUM(C9:C12)</f>
        <v>2176721720</v>
      </c>
      <c r="D8" s="355">
        <f t="shared" ref="D8:J8" si="0">SUM(D9:D12)</f>
        <v>0</v>
      </c>
      <c r="E8" s="355">
        <f t="shared" si="0"/>
        <v>0</v>
      </c>
      <c r="F8" s="355">
        <f t="shared" si="0"/>
        <v>0</v>
      </c>
      <c r="G8" s="355">
        <f t="shared" si="0"/>
        <v>0</v>
      </c>
      <c r="H8" s="355">
        <f t="shared" si="0"/>
        <v>0</v>
      </c>
      <c r="I8" s="355">
        <f t="shared" si="0"/>
        <v>0</v>
      </c>
      <c r="J8" s="355">
        <f t="shared" si="0"/>
        <v>0</v>
      </c>
      <c r="K8" s="355">
        <f t="shared" ref="K8:K42" si="1">+C8+D8+E8+F8+G8+H8+I8+J8</f>
        <v>2176721720</v>
      </c>
      <c r="L8" s="127"/>
      <c r="M8" s="128"/>
      <c r="N8" s="15"/>
      <c r="O8" s="129"/>
      <c r="P8" s="129"/>
    </row>
    <row r="9" spans="1:27" s="130" customFormat="1" ht="25.5" customHeight="1">
      <c r="A9" s="243" t="s">
        <v>141</v>
      </c>
      <c r="B9" s="244" t="s">
        <v>405</v>
      </c>
      <c r="C9" s="355">
        <f>+'Bank Liabilities Analysis'!C8-'Bank Liabilities Analysis'!D8</f>
        <v>30451239</v>
      </c>
      <c r="D9" s="355">
        <f>+'Bank Liabilities Analysis'!E8-'Bank Liabilities Analysis'!F8</f>
        <v>0</v>
      </c>
      <c r="E9" s="355">
        <f>+'Bank Liabilities Analysis'!G8-'Bank Liabilities Analysis'!H8</f>
        <v>0</v>
      </c>
      <c r="F9" s="355">
        <f>+'Bank Liabilities Analysis'!I8-'Bank Liabilities Analysis'!J8</f>
        <v>0</v>
      </c>
      <c r="G9" s="355">
        <f>+'Bank Liabilities Analysis'!K8-'Bank Liabilities Analysis'!L8</f>
        <v>0</v>
      </c>
      <c r="H9" s="355">
        <f>+'Bank Liabilities Analysis'!M8-'Bank Liabilities Analysis'!N8</f>
        <v>0</v>
      </c>
      <c r="I9" s="355">
        <f>+'Bank Liabilities Analysis'!O8-'Bank Liabilities Analysis'!P8</f>
        <v>0</v>
      </c>
      <c r="J9" s="355">
        <f>+'Bank Liabilities Analysis'!Q8-'Bank Liabilities Analysis'!R8</f>
        <v>0</v>
      </c>
      <c r="K9" s="355">
        <f t="shared" si="1"/>
        <v>30451239</v>
      </c>
      <c r="L9" s="127"/>
      <c r="M9" s="128"/>
      <c r="N9" s="15"/>
      <c r="O9" s="129"/>
      <c r="P9" s="129"/>
    </row>
    <row r="10" spans="1:27" s="130" customFormat="1" ht="25.5" customHeight="1">
      <c r="A10" s="243" t="s">
        <v>142</v>
      </c>
      <c r="B10" s="244" t="s">
        <v>406</v>
      </c>
      <c r="C10" s="355">
        <f>+'Bank Liabilities Analysis'!C9-'Bank Liabilities Analysis'!D9</f>
        <v>229780</v>
      </c>
      <c r="D10" s="355">
        <f>+'Bank Liabilities Analysis'!E9-'Bank Liabilities Analysis'!F9</f>
        <v>0</v>
      </c>
      <c r="E10" s="355">
        <f>+'Bank Liabilities Analysis'!G9-'Bank Liabilities Analysis'!H9</f>
        <v>0</v>
      </c>
      <c r="F10" s="355">
        <f>+'Bank Liabilities Analysis'!I9-'Bank Liabilities Analysis'!J9</f>
        <v>0</v>
      </c>
      <c r="G10" s="355">
        <f>+'Bank Liabilities Analysis'!K9-'Bank Liabilities Analysis'!L9</f>
        <v>0</v>
      </c>
      <c r="H10" s="355">
        <f>+'Bank Liabilities Analysis'!M9-'Bank Liabilities Analysis'!N9</f>
        <v>0</v>
      </c>
      <c r="I10" s="355">
        <f>+'Bank Liabilities Analysis'!O9-'Bank Liabilities Analysis'!P9</f>
        <v>0</v>
      </c>
      <c r="J10" s="355">
        <f>+'Bank Liabilities Analysis'!Q9-'Bank Liabilities Analysis'!R9</f>
        <v>0</v>
      </c>
      <c r="K10" s="355">
        <f t="shared" si="1"/>
        <v>229780</v>
      </c>
      <c r="L10" s="127"/>
      <c r="M10" s="128"/>
      <c r="N10" s="15"/>
      <c r="O10" s="129"/>
      <c r="P10" s="129"/>
    </row>
    <row r="11" spans="1:27" s="130" customFormat="1" ht="33.75" customHeight="1">
      <c r="A11" s="243" t="s">
        <v>143</v>
      </c>
      <c r="B11" s="244" t="s">
        <v>407</v>
      </c>
      <c r="C11" s="355">
        <f>+'Bank Liabilities Analysis'!C10-'Bank Liabilities Analysis'!D10</f>
        <v>0</v>
      </c>
      <c r="D11" s="355">
        <f>+'Bank Liabilities Analysis'!E10-'Bank Liabilities Analysis'!F10</f>
        <v>0</v>
      </c>
      <c r="E11" s="355">
        <f>+'Bank Liabilities Analysis'!G10-'Bank Liabilities Analysis'!H10</f>
        <v>0</v>
      </c>
      <c r="F11" s="355">
        <f>+'Bank Liabilities Analysis'!I10-'Bank Liabilities Analysis'!J10</f>
        <v>0</v>
      </c>
      <c r="G11" s="355">
        <f>+'Bank Liabilities Analysis'!K10-'Bank Liabilities Analysis'!L10</f>
        <v>0</v>
      </c>
      <c r="H11" s="355">
        <f>+'Bank Liabilities Analysis'!M10-'Bank Liabilities Analysis'!N10</f>
        <v>0</v>
      </c>
      <c r="I11" s="355">
        <f>+'Bank Liabilities Analysis'!O10-'Bank Liabilities Analysis'!P10</f>
        <v>0</v>
      </c>
      <c r="J11" s="355">
        <f>+'Bank Liabilities Analysis'!Q10-'Bank Liabilities Analysis'!R10</f>
        <v>0</v>
      </c>
      <c r="K11" s="355">
        <f t="shared" si="1"/>
        <v>0</v>
      </c>
      <c r="L11" s="127"/>
      <c r="M11" s="128"/>
      <c r="N11" s="15"/>
      <c r="O11" s="129"/>
      <c r="P11" s="129"/>
    </row>
    <row r="12" spans="1:27" s="130" customFormat="1" ht="25.5" customHeight="1">
      <c r="A12" s="243" t="s">
        <v>144</v>
      </c>
      <c r="B12" s="244" t="s">
        <v>408</v>
      </c>
      <c r="C12" s="355">
        <f>+'Bank Liabilities Analysis'!C11-'Bank Liabilities Analysis'!D11</f>
        <v>2146040701</v>
      </c>
      <c r="D12" s="355">
        <f>+'Bank Liabilities Analysis'!E11-'Bank Liabilities Analysis'!F11</f>
        <v>0</v>
      </c>
      <c r="E12" s="355">
        <f>+'Bank Liabilities Analysis'!G11-'Bank Liabilities Analysis'!H11</f>
        <v>0</v>
      </c>
      <c r="F12" s="355">
        <f>+'Bank Liabilities Analysis'!I11-'Bank Liabilities Analysis'!J11</f>
        <v>0</v>
      </c>
      <c r="G12" s="355">
        <f>+'Bank Liabilities Analysis'!K11-'Bank Liabilities Analysis'!L11</f>
        <v>0</v>
      </c>
      <c r="H12" s="355">
        <f>+'Bank Liabilities Analysis'!M11-'Bank Liabilities Analysis'!N11</f>
        <v>0</v>
      </c>
      <c r="I12" s="355">
        <f>+'Bank Liabilities Analysis'!O11-'Bank Liabilities Analysis'!P11</f>
        <v>0</v>
      </c>
      <c r="J12" s="355">
        <f>+'Bank Liabilities Analysis'!Q11-'Bank Liabilities Analysis'!R11</f>
        <v>0</v>
      </c>
      <c r="K12" s="355">
        <f t="shared" si="1"/>
        <v>2146040701</v>
      </c>
      <c r="L12" s="127"/>
      <c r="M12" s="128"/>
      <c r="N12" s="15"/>
      <c r="O12" s="129"/>
      <c r="P12" s="129"/>
    </row>
    <row r="13" spans="1:27" s="130" customFormat="1" ht="25.5" customHeight="1">
      <c r="A13" s="243" t="s">
        <v>67</v>
      </c>
      <c r="B13" s="244" t="s">
        <v>232</v>
      </c>
      <c r="C13" s="355">
        <f>+'Bank Liabilities Analysis'!C12-'Bank Liabilities Analysis'!D12</f>
        <v>0</v>
      </c>
      <c r="D13" s="355">
        <f>+'Bank Liabilities Analysis'!E12-'Bank Liabilities Analysis'!F12</f>
        <v>72335503</v>
      </c>
      <c r="E13" s="355">
        <f>+'Bank Liabilities Analysis'!G12-'Bank Liabilities Analysis'!H12</f>
        <v>164558657</v>
      </c>
      <c r="F13" s="355">
        <f>+'Bank Liabilities Analysis'!I12-'Bank Liabilities Analysis'!J12</f>
        <v>285351882</v>
      </c>
      <c r="G13" s="355">
        <f>+'Bank Liabilities Analysis'!K12-'Bank Liabilities Analysis'!L12</f>
        <v>1413137946</v>
      </c>
      <c r="H13" s="355">
        <f>+'Bank Liabilities Analysis'!M12-'Bank Liabilities Analysis'!N12</f>
        <v>2373502461</v>
      </c>
      <c r="I13" s="355">
        <f>+'Bank Liabilities Analysis'!O12-'Bank Liabilities Analysis'!P12</f>
        <v>3495815466</v>
      </c>
      <c r="J13" s="355">
        <f>+'Bank Liabilities Analysis'!Q12-'Bank Liabilities Analysis'!R12</f>
        <v>1086014474</v>
      </c>
      <c r="K13" s="355">
        <f t="shared" si="1"/>
        <v>8890716389</v>
      </c>
      <c r="L13" s="127"/>
      <c r="M13" s="128"/>
      <c r="N13" s="15"/>
      <c r="O13" s="129"/>
      <c r="P13" s="129"/>
    </row>
    <row r="14" spans="1:27" s="130" customFormat="1" ht="25.5" customHeight="1">
      <c r="A14" s="243" t="s">
        <v>154</v>
      </c>
      <c r="B14" s="244" t="s">
        <v>409</v>
      </c>
      <c r="C14" s="355">
        <f>+'Bank Liabilities Analysis'!C13-'Bank Liabilities Analysis'!D13</f>
        <v>0</v>
      </c>
      <c r="D14" s="355">
        <f>+'Bank Liabilities Analysis'!E13-'Bank Liabilities Analysis'!F13</f>
        <v>17077503</v>
      </c>
      <c r="E14" s="355">
        <f>+'Bank Liabilities Analysis'!G13-'Bank Liabilities Analysis'!H13</f>
        <v>38321991</v>
      </c>
      <c r="F14" s="355">
        <f>+'Bank Liabilities Analysis'!I13-'Bank Liabilities Analysis'!J13</f>
        <v>72960783</v>
      </c>
      <c r="G14" s="355">
        <f>+'Bank Liabilities Analysis'!K13-'Bank Liabilities Analysis'!L13</f>
        <v>815219796</v>
      </c>
      <c r="H14" s="355">
        <f>+'Bank Liabilities Analysis'!M13-'Bank Liabilities Analysis'!N13</f>
        <v>963880992</v>
      </c>
      <c r="I14" s="355">
        <f>+'Bank Liabilities Analysis'!O13-'Bank Liabilities Analysis'!P13</f>
        <v>1780148880</v>
      </c>
      <c r="J14" s="355">
        <f>+'Bank Liabilities Analysis'!Q13-'Bank Liabilities Analysis'!R13</f>
        <v>35522527</v>
      </c>
      <c r="K14" s="355">
        <f t="shared" si="1"/>
        <v>3723132472</v>
      </c>
      <c r="L14" s="127"/>
      <c r="M14" s="128"/>
      <c r="N14" s="15"/>
      <c r="O14" s="129"/>
      <c r="P14" s="129"/>
    </row>
    <row r="15" spans="1:27" s="130" customFormat="1" ht="25.5" customHeight="1">
      <c r="A15" s="243" t="s">
        <v>155</v>
      </c>
      <c r="B15" s="244" t="s">
        <v>410</v>
      </c>
      <c r="C15" s="355">
        <f>+'Bank Liabilities Analysis'!C14-'Bank Liabilities Analysis'!D14</f>
        <v>0</v>
      </c>
      <c r="D15" s="355">
        <f>+'Bank Liabilities Analysis'!E14-'Bank Liabilities Analysis'!F14</f>
        <v>0</v>
      </c>
      <c r="E15" s="355">
        <f>+'Bank Liabilities Analysis'!G14-'Bank Liabilities Analysis'!H14</f>
        <v>0</v>
      </c>
      <c r="F15" s="355">
        <f>+'Bank Liabilities Analysis'!I14-'Bank Liabilities Analysis'!J14</f>
        <v>0</v>
      </c>
      <c r="G15" s="355">
        <f>+'Bank Liabilities Analysis'!K14-'Bank Liabilities Analysis'!L14</f>
        <v>0</v>
      </c>
      <c r="H15" s="355">
        <f>+'Bank Liabilities Analysis'!M14-'Bank Liabilities Analysis'!N14</f>
        <v>0</v>
      </c>
      <c r="I15" s="355">
        <f>+'Bank Liabilities Analysis'!O14-'Bank Liabilities Analysis'!P14</f>
        <v>0</v>
      </c>
      <c r="J15" s="355">
        <f>+'Bank Liabilities Analysis'!Q14-'Bank Liabilities Analysis'!R14</f>
        <v>0</v>
      </c>
      <c r="K15" s="355">
        <f t="shared" si="1"/>
        <v>0</v>
      </c>
      <c r="L15" s="127"/>
      <c r="M15" s="128"/>
      <c r="N15" s="15"/>
      <c r="O15" s="129"/>
      <c r="P15" s="129"/>
    </row>
    <row r="16" spans="1:27" s="130" customFormat="1" ht="25.5" customHeight="1">
      <c r="A16" s="243" t="s">
        <v>68</v>
      </c>
      <c r="B16" s="244" t="s">
        <v>411</v>
      </c>
      <c r="C16" s="355">
        <f t="shared" ref="C16:J16" si="2">SUM(C17:C20)</f>
        <v>1243466870</v>
      </c>
      <c r="D16" s="355">
        <f t="shared" si="2"/>
        <v>0</v>
      </c>
      <c r="E16" s="355">
        <f t="shared" si="2"/>
        <v>0</v>
      </c>
      <c r="F16" s="355">
        <f t="shared" si="2"/>
        <v>0</v>
      </c>
      <c r="G16" s="355">
        <f t="shared" si="2"/>
        <v>0</v>
      </c>
      <c r="H16" s="355">
        <f t="shared" si="2"/>
        <v>0</v>
      </c>
      <c r="I16" s="355">
        <f t="shared" si="2"/>
        <v>0</v>
      </c>
      <c r="J16" s="355">
        <f t="shared" si="2"/>
        <v>0</v>
      </c>
      <c r="K16" s="355">
        <f t="shared" si="1"/>
        <v>1243466870</v>
      </c>
      <c r="L16" s="127"/>
      <c r="M16" s="128"/>
      <c r="N16" s="15"/>
      <c r="O16" s="129"/>
      <c r="P16" s="129"/>
    </row>
    <row r="17" spans="1:16" s="130" customFormat="1" ht="25.5" customHeight="1">
      <c r="A17" s="243" t="s">
        <v>145</v>
      </c>
      <c r="B17" s="244" t="s">
        <v>412</v>
      </c>
      <c r="C17" s="355">
        <f>+'Bank Liabilities Analysis'!C16-'Bank Liabilities Analysis'!D16</f>
        <v>1072003755</v>
      </c>
      <c r="D17" s="355">
        <f>+'Bank Liabilities Analysis'!E16-'Bank Liabilities Analysis'!F16</f>
        <v>0</v>
      </c>
      <c r="E17" s="355">
        <f>+'Bank Liabilities Analysis'!G16-'Bank Liabilities Analysis'!H16</f>
        <v>0</v>
      </c>
      <c r="F17" s="355">
        <f>+'Bank Liabilities Analysis'!I16-'Bank Liabilities Analysis'!J16</f>
        <v>0</v>
      </c>
      <c r="G17" s="355">
        <f>+'Bank Liabilities Analysis'!K16-'Bank Liabilities Analysis'!L16</f>
        <v>0</v>
      </c>
      <c r="H17" s="355">
        <f>+'Bank Liabilities Analysis'!M16-'Bank Liabilities Analysis'!N16</f>
        <v>0</v>
      </c>
      <c r="I17" s="355">
        <f>+'Bank Liabilities Analysis'!O16-'Bank Liabilities Analysis'!P16</f>
        <v>0</v>
      </c>
      <c r="J17" s="355">
        <f>+'Bank Liabilities Analysis'!Q16-'Bank Liabilities Analysis'!R16</f>
        <v>0</v>
      </c>
      <c r="K17" s="355">
        <f t="shared" si="1"/>
        <v>1072003755</v>
      </c>
      <c r="L17" s="127"/>
      <c r="M17" s="128"/>
      <c r="N17" s="15"/>
      <c r="O17" s="129"/>
      <c r="P17" s="129"/>
    </row>
    <row r="18" spans="1:16" s="130" customFormat="1" ht="25.5" customHeight="1">
      <c r="A18" s="243" t="s">
        <v>146</v>
      </c>
      <c r="B18" s="244" t="s">
        <v>413</v>
      </c>
      <c r="C18" s="355">
        <f>+'Bank Liabilities Analysis'!C17-'Bank Liabilities Analysis'!D17</f>
        <v>10090193</v>
      </c>
      <c r="D18" s="355">
        <f>+'Bank Liabilities Analysis'!E17-'Bank Liabilities Analysis'!F17</f>
        <v>0</v>
      </c>
      <c r="E18" s="355">
        <f>+'Bank Liabilities Analysis'!G17-'Bank Liabilities Analysis'!H17</f>
        <v>0</v>
      </c>
      <c r="F18" s="355">
        <f>+'Bank Liabilities Analysis'!I17-'Bank Liabilities Analysis'!J17</f>
        <v>0</v>
      </c>
      <c r="G18" s="355">
        <f>+'Bank Liabilities Analysis'!K17-'Bank Liabilities Analysis'!L17</f>
        <v>0</v>
      </c>
      <c r="H18" s="355">
        <f>+'Bank Liabilities Analysis'!M17-'Bank Liabilities Analysis'!N17</f>
        <v>0</v>
      </c>
      <c r="I18" s="355">
        <f>+'Bank Liabilities Analysis'!O17-'Bank Liabilities Analysis'!P17</f>
        <v>0</v>
      </c>
      <c r="J18" s="355">
        <f>+'Bank Liabilities Analysis'!Q17-'Bank Liabilities Analysis'!R17</f>
        <v>0</v>
      </c>
      <c r="K18" s="355">
        <f t="shared" si="1"/>
        <v>10090193</v>
      </c>
      <c r="L18" s="127"/>
      <c r="M18" s="128"/>
      <c r="N18" s="15"/>
      <c r="O18" s="129"/>
      <c r="P18" s="129"/>
    </row>
    <row r="19" spans="1:16" s="130" customFormat="1" ht="25.5" customHeight="1">
      <c r="A19" s="243" t="s">
        <v>147</v>
      </c>
      <c r="B19" s="244" t="s">
        <v>414</v>
      </c>
      <c r="C19" s="355">
        <f>+'Bank Liabilities Analysis'!C18-'Bank Liabilities Analysis'!D18</f>
        <v>0</v>
      </c>
      <c r="D19" s="355">
        <f>+'Bank Liabilities Analysis'!E18-'Bank Liabilities Analysis'!F18</f>
        <v>0</v>
      </c>
      <c r="E19" s="355">
        <f>+'Bank Liabilities Analysis'!G18-'Bank Liabilities Analysis'!H18</f>
        <v>0</v>
      </c>
      <c r="F19" s="355">
        <f>+'Bank Liabilities Analysis'!I18-'Bank Liabilities Analysis'!J18</f>
        <v>0</v>
      </c>
      <c r="G19" s="355">
        <f>+'Bank Liabilities Analysis'!K18-'Bank Liabilities Analysis'!L18</f>
        <v>0</v>
      </c>
      <c r="H19" s="355">
        <f>+'Bank Liabilities Analysis'!M18-'Bank Liabilities Analysis'!N18</f>
        <v>0</v>
      </c>
      <c r="I19" s="355">
        <f>+'Bank Liabilities Analysis'!O18-'Bank Liabilities Analysis'!P18</f>
        <v>0</v>
      </c>
      <c r="J19" s="355">
        <f>+'Bank Liabilities Analysis'!Q18-'Bank Liabilities Analysis'!R18</f>
        <v>0</v>
      </c>
      <c r="K19" s="355">
        <f t="shared" si="1"/>
        <v>0</v>
      </c>
      <c r="L19" s="127"/>
      <c r="M19" s="128"/>
      <c r="N19" s="15"/>
      <c r="O19" s="129"/>
      <c r="P19" s="129"/>
    </row>
    <row r="20" spans="1:16" s="130" customFormat="1" ht="25.5" customHeight="1">
      <c r="A20" s="243" t="s">
        <v>148</v>
      </c>
      <c r="B20" s="244" t="s">
        <v>368</v>
      </c>
      <c r="C20" s="355">
        <f>+'Bank Liabilities Analysis'!C19-'Bank Liabilities Analysis'!D19</f>
        <v>161372922</v>
      </c>
      <c r="D20" s="355">
        <f>+'Bank Liabilities Analysis'!E19-'Bank Liabilities Analysis'!F19</f>
        <v>0</v>
      </c>
      <c r="E20" s="355">
        <f>+'Bank Liabilities Analysis'!G19-'Bank Liabilities Analysis'!H19</f>
        <v>0</v>
      </c>
      <c r="F20" s="355">
        <f>+'Bank Liabilities Analysis'!I19-'Bank Liabilities Analysis'!J19</f>
        <v>0</v>
      </c>
      <c r="G20" s="355">
        <f>+'Bank Liabilities Analysis'!K19-'Bank Liabilities Analysis'!L19</f>
        <v>0</v>
      </c>
      <c r="H20" s="355">
        <f>+'Bank Liabilities Analysis'!M19-'Bank Liabilities Analysis'!N19</f>
        <v>0</v>
      </c>
      <c r="I20" s="355">
        <f>+'Bank Liabilities Analysis'!O19-'Bank Liabilities Analysis'!P19</f>
        <v>0</v>
      </c>
      <c r="J20" s="355">
        <f>+'Bank Liabilities Analysis'!Q19-'Bank Liabilities Analysis'!R19</f>
        <v>0</v>
      </c>
      <c r="K20" s="355">
        <f t="shared" si="1"/>
        <v>161372922</v>
      </c>
      <c r="L20" s="127"/>
      <c r="M20" s="128"/>
      <c r="N20" s="15"/>
      <c r="O20" s="129"/>
      <c r="P20" s="129"/>
    </row>
    <row r="21" spans="1:16" s="130" customFormat="1" ht="25.5" customHeight="1">
      <c r="A21" s="243" t="s">
        <v>69</v>
      </c>
      <c r="B21" s="244" t="s">
        <v>415</v>
      </c>
      <c r="C21" s="355">
        <f t="shared" ref="C21:J21" si="3">+C8+C13+C16</f>
        <v>3420188590</v>
      </c>
      <c r="D21" s="355">
        <f t="shared" si="3"/>
        <v>72335503</v>
      </c>
      <c r="E21" s="355">
        <f t="shared" si="3"/>
        <v>164558657</v>
      </c>
      <c r="F21" s="355">
        <f t="shared" si="3"/>
        <v>285351882</v>
      </c>
      <c r="G21" s="355">
        <f t="shared" si="3"/>
        <v>1413137946</v>
      </c>
      <c r="H21" s="355">
        <f t="shared" si="3"/>
        <v>2373502461</v>
      </c>
      <c r="I21" s="355">
        <f t="shared" si="3"/>
        <v>3495815466</v>
      </c>
      <c r="J21" s="355">
        <f t="shared" si="3"/>
        <v>1086014474</v>
      </c>
      <c r="K21" s="355">
        <f t="shared" si="1"/>
        <v>12310904979</v>
      </c>
      <c r="L21" s="127">
        <v>0.15</v>
      </c>
      <c r="M21" s="128">
        <f>+K21*L21</f>
        <v>1846635746.8499999</v>
      </c>
      <c r="N21" s="15"/>
      <c r="O21" s="129"/>
      <c r="P21" s="129"/>
    </row>
    <row r="22" spans="1:16" s="130" customFormat="1" ht="25.5" customHeight="1">
      <c r="A22" s="243" t="s">
        <v>57</v>
      </c>
      <c r="B22" s="244" t="s">
        <v>234</v>
      </c>
      <c r="C22" s="355">
        <f>+'Bank Liabilities Analysis'!C21-'Bank Liabilities Analysis'!D21</f>
        <v>424511118</v>
      </c>
      <c r="D22" s="355">
        <f>+'Bank Liabilities Analysis'!E21-'Bank Liabilities Analysis'!F21</f>
        <v>0</v>
      </c>
      <c r="E22" s="355">
        <f>+'Bank Liabilities Analysis'!G21-'Bank Liabilities Analysis'!H21</f>
        <v>0</v>
      </c>
      <c r="F22" s="355">
        <f>+'Bank Liabilities Analysis'!I21-'Bank Liabilities Analysis'!J21</f>
        <v>0</v>
      </c>
      <c r="G22" s="355">
        <f>+'Bank Liabilities Analysis'!K21-'Bank Liabilities Analysis'!L21</f>
        <v>0</v>
      </c>
      <c r="H22" s="355">
        <f>+'Bank Liabilities Analysis'!M21-'Bank Liabilities Analysis'!N21</f>
        <v>0</v>
      </c>
      <c r="I22" s="355">
        <f>+'Bank Liabilities Analysis'!O21-'Bank Liabilities Analysis'!P21</f>
        <v>0</v>
      </c>
      <c r="J22" s="355">
        <f>+'Bank Liabilities Analysis'!Q21-'Bank Liabilities Analysis'!R21</f>
        <v>0</v>
      </c>
      <c r="K22" s="355">
        <f t="shared" si="1"/>
        <v>424511118</v>
      </c>
      <c r="L22" s="127">
        <v>1</v>
      </c>
      <c r="M22" s="128">
        <f>(C22+D22+E22-C23-D23-E23)*L22</f>
        <v>0</v>
      </c>
      <c r="N22" s="15"/>
      <c r="O22" s="129"/>
      <c r="P22" s="129"/>
    </row>
    <row r="23" spans="1:16" s="130" customFormat="1" ht="36.75" customHeight="1">
      <c r="A23" s="243" t="s">
        <v>94</v>
      </c>
      <c r="B23" s="244" t="s">
        <v>540</v>
      </c>
      <c r="C23" s="355">
        <f>+'Bank Liabilities Analysis'!C22-'Bank Liabilities Analysis'!D22</f>
        <v>424511118</v>
      </c>
      <c r="D23" s="355">
        <f>+'Bank Liabilities Analysis'!E22-'Bank Liabilities Analysis'!F22</f>
        <v>0</v>
      </c>
      <c r="E23" s="355">
        <f>+'Bank Liabilities Analysis'!G22-'Bank Liabilities Analysis'!H22</f>
        <v>0</v>
      </c>
      <c r="F23" s="355">
        <f>+'Bank Liabilities Analysis'!I22-'Bank Liabilities Analysis'!J22</f>
        <v>0</v>
      </c>
      <c r="G23" s="355">
        <f>+'Bank Liabilities Analysis'!K22-'Bank Liabilities Analysis'!L22</f>
        <v>0</v>
      </c>
      <c r="H23" s="355">
        <f>+'Bank Liabilities Analysis'!M22-'Bank Liabilities Analysis'!N22</f>
        <v>0</v>
      </c>
      <c r="I23" s="355">
        <f>+'Bank Liabilities Analysis'!O22-'Bank Liabilities Analysis'!P22</f>
        <v>0</v>
      </c>
      <c r="J23" s="355">
        <f>+'Bank Liabilities Analysis'!Q22-'Bank Liabilities Analysis'!R22</f>
        <v>0</v>
      </c>
      <c r="K23" s="355">
        <f t="shared" ref="K23" si="4">+C23+D23+E23+F23+G23+H23+I23+J23</f>
        <v>424511118</v>
      </c>
      <c r="L23" s="127"/>
      <c r="M23" s="153"/>
      <c r="N23" s="15"/>
      <c r="O23" s="129"/>
      <c r="P23" s="129"/>
    </row>
    <row r="24" spans="1:16" s="130" customFormat="1" ht="30">
      <c r="A24" s="243" t="s">
        <v>58</v>
      </c>
      <c r="B24" s="244" t="s">
        <v>416</v>
      </c>
      <c r="C24" s="355">
        <f>SUM(C25:C29)-C26</f>
        <v>5737970</v>
      </c>
      <c r="D24" s="355">
        <f t="shared" ref="D24:J24" si="5">SUM(D25:D29)-D26</f>
        <v>0</v>
      </c>
      <c r="E24" s="355">
        <f t="shared" si="5"/>
        <v>249512</v>
      </c>
      <c r="F24" s="355">
        <f t="shared" si="5"/>
        <v>180000000</v>
      </c>
      <c r="G24" s="355">
        <f t="shared" si="5"/>
        <v>92321000</v>
      </c>
      <c r="H24" s="355">
        <f t="shared" si="5"/>
        <v>11718754</v>
      </c>
      <c r="I24" s="355">
        <f t="shared" si="5"/>
        <v>154155911</v>
      </c>
      <c r="J24" s="355">
        <f t="shared" si="5"/>
        <v>147918724</v>
      </c>
      <c r="K24" s="355">
        <f t="shared" si="1"/>
        <v>592101871</v>
      </c>
      <c r="L24" s="127"/>
      <c r="M24" s="128"/>
      <c r="N24" s="15"/>
      <c r="O24" s="129"/>
      <c r="P24" s="129"/>
    </row>
    <row r="25" spans="1:16" s="130" customFormat="1" ht="30">
      <c r="A25" s="243" t="s">
        <v>74</v>
      </c>
      <c r="B25" s="244" t="s">
        <v>417</v>
      </c>
      <c r="C25" s="355">
        <f>+'Bank Liabilities Analysis'!C24-'Bank Liabilities Analysis'!D24</f>
        <v>587877</v>
      </c>
      <c r="D25" s="355">
        <f>+'Bank Liabilities Analysis'!E24-'Bank Liabilities Analysis'!F24</f>
        <v>0</v>
      </c>
      <c r="E25" s="355">
        <f>+'Bank Liabilities Analysis'!G24-'Bank Liabilities Analysis'!H24</f>
        <v>0</v>
      </c>
      <c r="F25" s="355">
        <f>+'Bank Liabilities Analysis'!I24-'Bank Liabilities Analysis'!J24</f>
        <v>0</v>
      </c>
      <c r="G25" s="355">
        <f>+'Bank Liabilities Analysis'!K24-'Bank Liabilities Analysis'!L24</f>
        <v>0</v>
      </c>
      <c r="H25" s="355">
        <f>+'Bank Liabilities Analysis'!M24-'Bank Liabilities Analysis'!N24</f>
        <v>0</v>
      </c>
      <c r="I25" s="355">
        <f>+'Bank Liabilities Analysis'!O24-'Bank Liabilities Analysis'!P24</f>
        <v>0</v>
      </c>
      <c r="J25" s="355">
        <f>+'Bank Liabilities Analysis'!Q24-'Bank Liabilities Analysis'!R24</f>
        <v>0</v>
      </c>
      <c r="K25" s="355">
        <f t="shared" ref="K25" si="6">+C25+D25+E25+F25+G25+H25+I25+J25</f>
        <v>587877</v>
      </c>
      <c r="L25" s="127">
        <v>1</v>
      </c>
      <c r="M25" s="153">
        <f>C25*L25</f>
        <v>587877</v>
      </c>
      <c r="N25" s="15"/>
      <c r="O25" s="129"/>
      <c r="P25" s="129"/>
    </row>
    <row r="26" spans="1:16" s="130" customFormat="1" ht="34.5" customHeight="1">
      <c r="A26" s="243" t="s">
        <v>551</v>
      </c>
      <c r="B26" s="244" t="s">
        <v>552</v>
      </c>
      <c r="C26" s="355">
        <f>+'Bank Liabilities Analysis'!C25-'Bank Liabilities Analysis'!D25</f>
        <v>0</v>
      </c>
      <c r="D26" s="355">
        <f>+'Bank Liabilities Analysis'!E25-'Bank Liabilities Analysis'!F25</f>
        <v>0</v>
      </c>
      <c r="E26" s="355">
        <f>+'Bank Liabilities Analysis'!G25-'Bank Liabilities Analysis'!H25</f>
        <v>0</v>
      </c>
      <c r="F26" s="355">
        <f>+'Bank Liabilities Analysis'!I25-'Bank Liabilities Analysis'!J25</f>
        <v>0</v>
      </c>
      <c r="G26" s="355">
        <f>+'Bank Liabilities Analysis'!K25-'Bank Liabilities Analysis'!L25</f>
        <v>0</v>
      </c>
      <c r="H26" s="355">
        <f>+'Bank Liabilities Analysis'!M25-'Bank Liabilities Analysis'!N25</f>
        <v>0</v>
      </c>
      <c r="I26" s="355">
        <f>+'Bank Liabilities Analysis'!O25-'Bank Liabilities Analysis'!P25</f>
        <v>0</v>
      </c>
      <c r="J26" s="355">
        <f>+'Bank Liabilities Analysis'!Q25-'Bank Liabilities Analysis'!R25</f>
        <v>0</v>
      </c>
      <c r="K26" s="355">
        <f t="shared" ref="K26" si="7">+C26+D26+E26+F26+G26+H26+I26+J26</f>
        <v>0</v>
      </c>
      <c r="L26" s="127"/>
      <c r="M26" s="128"/>
      <c r="N26" s="15"/>
      <c r="O26" s="129"/>
      <c r="P26" s="129"/>
    </row>
    <row r="27" spans="1:16" s="130" customFormat="1" ht="25.5" customHeight="1">
      <c r="A27" s="243" t="s">
        <v>75</v>
      </c>
      <c r="B27" s="244" t="s">
        <v>418</v>
      </c>
      <c r="C27" s="355">
        <f>+'Bank Liabilities Analysis'!C26-'Bank Liabilities Analysis'!D26</f>
        <v>410000</v>
      </c>
      <c r="D27" s="355">
        <f>+'Bank Liabilities Analysis'!E26-'Bank Liabilities Analysis'!F26</f>
        <v>0</v>
      </c>
      <c r="E27" s="355">
        <f>+'Bank Liabilities Analysis'!G26-'Bank Liabilities Analysis'!H26</f>
        <v>249512</v>
      </c>
      <c r="F27" s="355">
        <f>+'Bank Liabilities Analysis'!I26-'Bank Liabilities Analysis'!J26</f>
        <v>180000000</v>
      </c>
      <c r="G27" s="355">
        <f>+'Bank Liabilities Analysis'!K26-'Bank Liabilities Analysis'!L26</f>
        <v>92321000</v>
      </c>
      <c r="H27" s="355">
        <f>+'Bank Liabilities Analysis'!M26-'Bank Liabilities Analysis'!N26</f>
        <v>11718754</v>
      </c>
      <c r="I27" s="355">
        <f>+'Bank Liabilities Analysis'!O26-'Bank Liabilities Analysis'!P26</f>
        <v>154155911</v>
      </c>
      <c r="J27" s="355">
        <f>+'Bank Liabilities Analysis'!Q26-'Bank Liabilities Analysis'!R26</f>
        <v>147918724</v>
      </c>
      <c r="K27" s="355">
        <f t="shared" si="1"/>
        <v>586773901</v>
      </c>
      <c r="L27" s="127">
        <v>1</v>
      </c>
      <c r="M27" s="153">
        <f>(C27+D27+E27)*L27</f>
        <v>659512</v>
      </c>
      <c r="N27" s="15"/>
      <c r="O27" s="129"/>
      <c r="P27" s="129"/>
    </row>
    <row r="28" spans="1:16" s="130" customFormat="1" ht="33.75" customHeight="1">
      <c r="A28" s="243" t="s">
        <v>15</v>
      </c>
      <c r="B28" s="244" t="s">
        <v>495</v>
      </c>
      <c r="C28" s="355">
        <f>+'Bank Liabilities Analysis'!C27-'Bank Liabilities Analysis'!D27</f>
        <v>4740093</v>
      </c>
      <c r="D28" s="355">
        <f>+'Bank Liabilities Analysis'!E27-'Bank Liabilities Analysis'!F27</f>
        <v>0</v>
      </c>
      <c r="E28" s="355">
        <f>+'Bank Liabilities Analysis'!G27-'Bank Liabilities Analysis'!H27</f>
        <v>0</v>
      </c>
      <c r="F28" s="355">
        <f>+'Bank Liabilities Analysis'!I27-'Bank Liabilities Analysis'!J27</f>
        <v>0</v>
      </c>
      <c r="G28" s="355">
        <f>+'Bank Liabilities Analysis'!K27-'Bank Liabilities Analysis'!L27</f>
        <v>0</v>
      </c>
      <c r="H28" s="355">
        <f>+'Bank Liabilities Analysis'!M27-'Bank Liabilities Analysis'!N27</f>
        <v>0</v>
      </c>
      <c r="I28" s="355">
        <f>+'Bank Liabilities Analysis'!O27-'Bank Liabilities Analysis'!P27</f>
        <v>0</v>
      </c>
      <c r="J28" s="355">
        <f>+'Bank Liabilities Analysis'!Q27-'Bank Liabilities Analysis'!R27</f>
        <v>0</v>
      </c>
      <c r="K28" s="355">
        <f t="shared" si="1"/>
        <v>4740093</v>
      </c>
      <c r="L28" s="127">
        <v>1</v>
      </c>
      <c r="M28" s="153">
        <f>(C28+D28+E28)*L28</f>
        <v>4740093</v>
      </c>
      <c r="N28" s="15"/>
      <c r="O28" s="129"/>
      <c r="P28" s="129"/>
    </row>
    <row r="29" spans="1:16" s="130" customFormat="1" ht="25.5" customHeight="1">
      <c r="A29" s="243" t="s">
        <v>149</v>
      </c>
      <c r="B29" s="244" t="s">
        <v>419</v>
      </c>
      <c r="C29" s="355">
        <f>+'Bank Liabilities Analysis'!C28-'Bank Liabilities Analysis'!D28</f>
        <v>0</v>
      </c>
      <c r="D29" s="355">
        <f>+'Bank Liabilities Analysis'!E28-'Bank Liabilities Analysis'!F28</f>
        <v>0</v>
      </c>
      <c r="E29" s="355">
        <f>+'Bank Liabilities Analysis'!G28-'Bank Liabilities Analysis'!H28</f>
        <v>0</v>
      </c>
      <c r="F29" s="355">
        <f>+'Bank Liabilities Analysis'!I28-'Bank Liabilities Analysis'!J28</f>
        <v>0</v>
      </c>
      <c r="G29" s="355">
        <f>+'Bank Liabilities Analysis'!K28-'Bank Liabilities Analysis'!L28</f>
        <v>0</v>
      </c>
      <c r="H29" s="355">
        <f>+'Bank Liabilities Analysis'!M28-'Bank Liabilities Analysis'!N28</f>
        <v>0</v>
      </c>
      <c r="I29" s="355">
        <f>+'Bank Liabilities Analysis'!O28-'Bank Liabilities Analysis'!P28</f>
        <v>0</v>
      </c>
      <c r="J29" s="355">
        <f>+'Bank Liabilities Analysis'!Q28-'Bank Liabilities Analysis'!R28</f>
        <v>0</v>
      </c>
      <c r="K29" s="355">
        <f t="shared" si="1"/>
        <v>0</v>
      </c>
      <c r="L29" s="127">
        <v>1</v>
      </c>
      <c r="M29" s="153">
        <f>(C29+D29+E29)*L29</f>
        <v>0</v>
      </c>
      <c r="N29" s="15"/>
      <c r="O29" s="129"/>
      <c r="P29" s="129"/>
    </row>
    <row r="30" spans="1:16" s="130" customFormat="1" ht="33.75" customHeight="1">
      <c r="A30" s="243" t="s">
        <v>59</v>
      </c>
      <c r="B30" s="244" t="s">
        <v>420</v>
      </c>
      <c r="C30" s="355">
        <f>+'Bank Liabilities Analysis'!C29-'Bank Liabilities Analysis'!D29</f>
        <v>0</v>
      </c>
      <c r="D30" s="355">
        <f>+'Bank Liabilities Analysis'!E29-'Bank Liabilities Analysis'!F29</f>
        <v>0</v>
      </c>
      <c r="E30" s="355">
        <f>+'Bank Liabilities Analysis'!G29-'Bank Liabilities Analysis'!H29</f>
        <v>0</v>
      </c>
      <c r="F30" s="355">
        <f>+'Bank Liabilities Analysis'!I29-'Bank Liabilities Analysis'!J29</f>
        <v>0</v>
      </c>
      <c r="G30" s="355">
        <f>+'Bank Liabilities Analysis'!K29-'Bank Liabilities Analysis'!L29</f>
        <v>0</v>
      </c>
      <c r="H30" s="355">
        <f>+'Bank Liabilities Analysis'!M29-'Bank Liabilities Analysis'!N29</f>
        <v>0</v>
      </c>
      <c r="I30" s="355">
        <f>+'Bank Liabilities Analysis'!O29-'Bank Liabilities Analysis'!P29</f>
        <v>0</v>
      </c>
      <c r="J30" s="355">
        <f>+'Bank Liabilities Analysis'!Q29-'Bank Liabilities Analysis'!R29</f>
        <v>0</v>
      </c>
      <c r="K30" s="355">
        <f t="shared" si="1"/>
        <v>0</v>
      </c>
      <c r="L30" s="127">
        <v>1</v>
      </c>
      <c r="M30" s="128">
        <f>(C30+D30+E30)*L30</f>
        <v>0</v>
      </c>
      <c r="N30" s="15"/>
      <c r="O30" s="129"/>
      <c r="P30" s="129"/>
    </row>
    <row r="31" spans="1:16" s="130" customFormat="1" ht="32.25" customHeight="1">
      <c r="A31" s="243" t="s">
        <v>60</v>
      </c>
      <c r="B31" s="244" t="s">
        <v>421</v>
      </c>
      <c r="C31" s="355">
        <f>+'Bank Liabilities Analysis'!C30-'Bank Liabilities Analysis'!D30</f>
        <v>0</v>
      </c>
      <c r="D31" s="355">
        <f>+'Bank Liabilities Analysis'!E30-'Bank Liabilities Analysis'!F30</f>
        <v>0</v>
      </c>
      <c r="E31" s="355">
        <f>+'Bank Liabilities Analysis'!G30-'Bank Liabilities Analysis'!H30</f>
        <v>2132642</v>
      </c>
      <c r="F31" s="355">
        <f>+'Bank Liabilities Analysis'!I30-'Bank Liabilities Analysis'!J30</f>
        <v>7211132</v>
      </c>
      <c r="G31" s="355">
        <f>+'Bank Liabilities Analysis'!K30-'Bank Liabilities Analysis'!L30</f>
        <v>47978143</v>
      </c>
      <c r="H31" s="355">
        <f>+'Bank Liabilities Analysis'!M30-'Bank Liabilities Analysis'!N30</f>
        <v>58825353</v>
      </c>
      <c r="I31" s="355">
        <f>+'Bank Liabilities Analysis'!O30-'Bank Liabilities Analysis'!P30</f>
        <v>128080376</v>
      </c>
      <c r="J31" s="355">
        <f>+'Bank Liabilities Analysis'!Q30-'Bank Liabilities Analysis'!R30</f>
        <v>394362183</v>
      </c>
      <c r="K31" s="355">
        <f t="shared" si="1"/>
        <v>638589829</v>
      </c>
      <c r="L31" s="127">
        <v>0.05</v>
      </c>
      <c r="M31" s="128">
        <f>+K31*L31</f>
        <v>31929491.450000003</v>
      </c>
      <c r="N31" s="15"/>
      <c r="O31" s="129"/>
      <c r="P31" s="129"/>
    </row>
    <row r="32" spans="1:16" s="130" customFormat="1" ht="25.5" customHeight="1">
      <c r="A32" s="243" t="s">
        <v>61</v>
      </c>
      <c r="B32" s="244" t="s">
        <v>242</v>
      </c>
      <c r="C32" s="355">
        <f>+'Bank Liabilities Analysis'!C31-'Bank Liabilities Analysis'!D31</f>
        <v>0</v>
      </c>
      <c r="D32" s="355">
        <f>+'Bank Liabilities Analysis'!E31-'Bank Liabilities Analysis'!F31</f>
        <v>0</v>
      </c>
      <c r="E32" s="355">
        <f>+'Bank Liabilities Analysis'!G31-'Bank Liabilities Analysis'!H31</f>
        <v>0</v>
      </c>
      <c r="F32" s="355">
        <f>+'Bank Liabilities Analysis'!I31-'Bank Liabilities Analysis'!J31</f>
        <v>0</v>
      </c>
      <c r="G32" s="355">
        <f>+'Bank Liabilities Analysis'!K31-'Bank Liabilities Analysis'!L31</f>
        <v>0</v>
      </c>
      <c r="H32" s="355">
        <f>+'Bank Liabilities Analysis'!M31-'Bank Liabilities Analysis'!N31</f>
        <v>0</v>
      </c>
      <c r="I32" s="355">
        <f>+'Bank Liabilities Analysis'!O31-'Bank Liabilities Analysis'!P31</f>
        <v>0</v>
      </c>
      <c r="J32" s="355">
        <f>+'Bank Liabilities Analysis'!Q31-'Bank Liabilities Analysis'!R31</f>
        <v>0</v>
      </c>
      <c r="K32" s="355">
        <f t="shared" si="1"/>
        <v>0</v>
      </c>
      <c r="L32" s="127">
        <v>1</v>
      </c>
      <c r="M32" s="128">
        <f>(C32+D32+E32)*L32</f>
        <v>0</v>
      </c>
      <c r="N32" s="15"/>
      <c r="O32" s="129"/>
      <c r="P32" s="129"/>
    </row>
    <row r="33" spans="1:16" s="130" customFormat="1" ht="25.5" customHeight="1">
      <c r="A33" s="243" t="s">
        <v>62</v>
      </c>
      <c r="B33" s="244" t="s">
        <v>244</v>
      </c>
      <c r="C33" s="355">
        <f>+'Bank Liabilities Analysis'!C32-'Bank Liabilities Analysis'!D32</f>
        <v>0</v>
      </c>
      <c r="D33" s="355">
        <f>+'Bank Liabilities Analysis'!E32-'Bank Liabilities Analysis'!F32</f>
        <v>0</v>
      </c>
      <c r="E33" s="355">
        <f>+'Bank Liabilities Analysis'!G32-'Bank Liabilities Analysis'!H32</f>
        <v>0</v>
      </c>
      <c r="F33" s="355">
        <f>+'Bank Liabilities Analysis'!I32-'Bank Liabilities Analysis'!J32</f>
        <v>0</v>
      </c>
      <c r="G33" s="355">
        <f>+'Bank Liabilities Analysis'!K32-'Bank Liabilities Analysis'!L32</f>
        <v>0</v>
      </c>
      <c r="H33" s="355">
        <f>+'Bank Liabilities Analysis'!M32-'Bank Liabilities Analysis'!N32</f>
        <v>0</v>
      </c>
      <c r="I33" s="355">
        <f>+'Bank Liabilities Analysis'!O32-'Bank Liabilities Analysis'!P32</f>
        <v>0</v>
      </c>
      <c r="J33" s="355">
        <f>+'Bank Liabilities Analysis'!Q32-'Bank Liabilities Analysis'!R32</f>
        <v>0</v>
      </c>
      <c r="K33" s="355">
        <f t="shared" si="1"/>
        <v>0</v>
      </c>
      <c r="L33" s="127">
        <v>1</v>
      </c>
      <c r="M33" s="128">
        <f>(C33+D33+E33)*L33</f>
        <v>0</v>
      </c>
      <c r="N33" s="15"/>
      <c r="O33" s="129"/>
      <c r="P33" s="129"/>
    </row>
    <row r="34" spans="1:16" s="130" customFormat="1" ht="25.5" customHeight="1">
      <c r="A34" s="243" t="s">
        <v>63</v>
      </c>
      <c r="B34" s="244" t="s">
        <v>238</v>
      </c>
      <c r="C34" s="355">
        <f>+'Bank Liabilities Analysis'!C33-'Bank Liabilities Analysis'!D33</f>
        <v>0</v>
      </c>
      <c r="D34" s="355">
        <f>+'Bank Liabilities Analysis'!E33-'Bank Liabilities Analysis'!F33</f>
        <v>801459811</v>
      </c>
      <c r="E34" s="355">
        <f>+'Bank Liabilities Analysis'!G33-'Bank Liabilities Analysis'!H33</f>
        <v>0</v>
      </c>
      <c r="F34" s="355">
        <f>+'Bank Liabilities Analysis'!I33-'Bank Liabilities Analysis'!J33</f>
        <v>0</v>
      </c>
      <c r="G34" s="355">
        <f>+'Bank Liabilities Analysis'!K33-'Bank Liabilities Analysis'!L33</f>
        <v>0</v>
      </c>
      <c r="H34" s="355">
        <f>+'Bank Liabilities Analysis'!M33-'Bank Liabilities Analysis'!N33</f>
        <v>0</v>
      </c>
      <c r="I34" s="355">
        <f>+'Bank Liabilities Analysis'!O33-'Bank Liabilities Analysis'!P33</f>
        <v>0</v>
      </c>
      <c r="J34" s="355">
        <f>+'Bank Liabilities Analysis'!Q33-'Bank Liabilities Analysis'!R33</f>
        <v>0</v>
      </c>
      <c r="K34" s="355">
        <f t="shared" si="1"/>
        <v>801459811</v>
      </c>
      <c r="L34" s="127"/>
      <c r="M34" s="128"/>
      <c r="N34" s="15"/>
      <c r="O34" s="129"/>
      <c r="P34" s="129"/>
    </row>
    <row r="35" spans="1:16" s="130" customFormat="1" ht="33.75" customHeight="1">
      <c r="A35" s="243" t="s">
        <v>199</v>
      </c>
      <c r="B35" s="244" t="s">
        <v>545</v>
      </c>
      <c r="C35" s="355">
        <f>+'Bank Liabilities Analysis'!C34-'Bank Liabilities Analysis'!D34</f>
        <v>0</v>
      </c>
      <c r="D35" s="355">
        <f>+'Bank Liabilities Analysis'!E34-'Bank Liabilities Analysis'!F34</f>
        <v>801459811</v>
      </c>
      <c r="E35" s="355">
        <f>+'Bank Liabilities Analysis'!G34-'Bank Liabilities Analysis'!H34</f>
        <v>0</v>
      </c>
      <c r="F35" s="355">
        <f>+'Bank Liabilities Analysis'!I34-'Bank Liabilities Analysis'!J34</f>
        <v>0</v>
      </c>
      <c r="G35" s="355">
        <f>+'Bank Liabilities Analysis'!K34-'Bank Liabilities Analysis'!L34</f>
        <v>0</v>
      </c>
      <c r="H35" s="355">
        <f>+'Bank Liabilities Analysis'!M34-'Bank Liabilities Analysis'!N34</f>
        <v>0</v>
      </c>
      <c r="I35" s="355">
        <f>+'Bank Liabilities Analysis'!O34-'Bank Liabilities Analysis'!P34</f>
        <v>0</v>
      </c>
      <c r="J35" s="355">
        <f>+'Bank Liabilities Analysis'!Q34-'Bank Liabilities Analysis'!R34</f>
        <v>0</v>
      </c>
      <c r="K35" s="355">
        <f t="shared" ref="K35:K36" si="8">+C35+D35+E35+F35+G35+H35+I35+J35</f>
        <v>801459811</v>
      </c>
      <c r="L35" s="127">
        <v>1</v>
      </c>
      <c r="M35" s="128">
        <f t="shared" ref="M35:M36" si="9">(C35+D35+E35)*L35</f>
        <v>801459811</v>
      </c>
      <c r="N35" s="15"/>
      <c r="O35" s="129"/>
      <c r="P35" s="129"/>
    </row>
    <row r="36" spans="1:16" s="130" customFormat="1" ht="33.75" customHeight="1">
      <c r="A36" s="243" t="s">
        <v>201</v>
      </c>
      <c r="B36" s="244" t="s">
        <v>546</v>
      </c>
      <c r="C36" s="355">
        <f>+'Bank Liabilities Analysis'!C35-'Bank Liabilities Analysis'!D35</f>
        <v>0</v>
      </c>
      <c r="D36" s="355">
        <f>+'Bank Liabilities Analysis'!E35-'Bank Liabilities Analysis'!F35</f>
        <v>0</v>
      </c>
      <c r="E36" s="355">
        <f>+'Bank Liabilities Analysis'!G35-'Bank Liabilities Analysis'!H35</f>
        <v>0</v>
      </c>
      <c r="F36" s="355">
        <f>+'Bank Liabilities Analysis'!I35-'Bank Liabilities Analysis'!J35</f>
        <v>0</v>
      </c>
      <c r="G36" s="355">
        <f>+'Bank Liabilities Analysis'!K35-'Bank Liabilities Analysis'!L35</f>
        <v>0</v>
      </c>
      <c r="H36" s="355">
        <f>+'Bank Liabilities Analysis'!M35-'Bank Liabilities Analysis'!N35</f>
        <v>0</v>
      </c>
      <c r="I36" s="355">
        <f>+'Bank Liabilities Analysis'!O35-'Bank Liabilities Analysis'!P35</f>
        <v>0</v>
      </c>
      <c r="J36" s="355">
        <f>+'Bank Liabilities Analysis'!Q35-'Bank Liabilities Analysis'!R35</f>
        <v>0</v>
      </c>
      <c r="K36" s="355">
        <f t="shared" si="8"/>
        <v>0</v>
      </c>
      <c r="L36" s="127">
        <v>1</v>
      </c>
      <c r="M36" s="128">
        <f t="shared" si="9"/>
        <v>0</v>
      </c>
      <c r="N36" s="15"/>
      <c r="O36" s="129"/>
      <c r="P36" s="129"/>
    </row>
    <row r="37" spans="1:16" s="130" customFormat="1" ht="33.75" customHeight="1">
      <c r="A37" s="243" t="s">
        <v>64</v>
      </c>
      <c r="B37" s="244" t="s">
        <v>422</v>
      </c>
      <c r="C37" s="355">
        <f>+'Bank Liabilities Analysis'!C36-'Bank Liabilities Analysis'!D36</f>
        <v>7955</v>
      </c>
      <c r="D37" s="355">
        <f>+'Bank Liabilities Analysis'!E36-'Bank Liabilities Analysis'!F36</f>
        <v>0</v>
      </c>
      <c r="E37" s="355">
        <f>+'Bank Liabilities Analysis'!G36-'Bank Liabilities Analysis'!H36</f>
        <v>0</v>
      </c>
      <c r="F37" s="355">
        <f>+'Bank Liabilities Analysis'!I36-'Bank Liabilities Analysis'!J36</f>
        <v>0</v>
      </c>
      <c r="G37" s="355">
        <f>+'Bank Liabilities Analysis'!K36-'Bank Liabilities Analysis'!L36</f>
        <v>8983935</v>
      </c>
      <c r="H37" s="355">
        <f>+'Bank Liabilities Analysis'!M36-'Bank Liabilities Analysis'!N36</f>
        <v>0</v>
      </c>
      <c r="I37" s="355">
        <f>+'Bank Liabilities Analysis'!O36-'Bank Liabilities Analysis'!P36</f>
        <v>0</v>
      </c>
      <c r="J37" s="355">
        <f>+'Bank Liabilities Analysis'!Q36-'Bank Liabilities Analysis'!R36</f>
        <v>0</v>
      </c>
      <c r="K37" s="355">
        <f t="shared" si="1"/>
        <v>8991890</v>
      </c>
      <c r="L37" s="127">
        <v>1</v>
      </c>
      <c r="M37" s="128">
        <f>+K37*L37</f>
        <v>8991890</v>
      </c>
      <c r="N37" s="15"/>
      <c r="O37" s="129"/>
      <c r="P37" s="129"/>
    </row>
    <row r="38" spans="1:16" s="130" customFormat="1" ht="25.5" customHeight="1">
      <c r="A38" s="243" t="s">
        <v>70</v>
      </c>
      <c r="B38" s="244" t="s">
        <v>250</v>
      </c>
      <c r="C38" s="355">
        <f>+'Bank Liabilities Analysis'!C37-'Bank Liabilities Analysis'!D37</f>
        <v>324</v>
      </c>
      <c r="D38" s="355">
        <f>+'Bank Liabilities Analysis'!E37-'Bank Liabilities Analysis'!F37</f>
        <v>35250</v>
      </c>
      <c r="E38" s="355">
        <f>+'Bank Liabilities Analysis'!G37-'Bank Liabilities Analysis'!H37</f>
        <v>0</v>
      </c>
      <c r="F38" s="355">
        <f>+'Bank Liabilities Analysis'!I37-'Bank Liabilities Analysis'!J37</f>
        <v>0</v>
      </c>
      <c r="G38" s="355">
        <f>+'Bank Liabilities Analysis'!K37-'Bank Liabilities Analysis'!L37</f>
        <v>0</v>
      </c>
      <c r="H38" s="355">
        <f>+'Bank Liabilities Analysis'!M37-'Bank Liabilities Analysis'!N37</f>
        <v>0</v>
      </c>
      <c r="I38" s="355">
        <f>+'Bank Liabilities Analysis'!O37-'Bank Liabilities Analysis'!P37</f>
        <v>0</v>
      </c>
      <c r="J38" s="355">
        <f>+'Bank Liabilities Analysis'!Q37-'Bank Liabilities Analysis'!R37</f>
        <v>0</v>
      </c>
      <c r="K38" s="355">
        <f t="shared" si="1"/>
        <v>35574</v>
      </c>
      <c r="L38" s="127">
        <v>1</v>
      </c>
      <c r="M38" s="128">
        <f>+K38*L38</f>
        <v>35574</v>
      </c>
      <c r="N38" s="15"/>
      <c r="O38" s="129"/>
      <c r="P38" s="129"/>
    </row>
    <row r="39" spans="1:16" s="130" customFormat="1" ht="25.5" customHeight="1">
      <c r="A39" s="243" t="s">
        <v>71</v>
      </c>
      <c r="B39" s="244" t="s">
        <v>246</v>
      </c>
      <c r="C39" s="355">
        <f>+'Bank Liabilities Analysis'!C38-'Bank Liabilities Analysis'!D38</f>
        <v>4020690</v>
      </c>
      <c r="D39" s="355">
        <f>+'Bank Liabilities Analysis'!E38-'Bank Liabilities Analysis'!F38</f>
        <v>13199087</v>
      </c>
      <c r="E39" s="355">
        <f>+'Bank Liabilities Analysis'!G38-'Bank Liabilities Analysis'!H38</f>
        <v>24976849</v>
      </c>
      <c r="F39" s="355">
        <f>+'Bank Liabilities Analysis'!I38-'Bank Liabilities Analysis'!J38</f>
        <v>7235992</v>
      </c>
      <c r="G39" s="355">
        <f>+'Bank Liabilities Analysis'!K38-'Bank Liabilities Analysis'!L38</f>
        <v>755604</v>
      </c>
      <c r="H39" s="355">
        <f>+'Bank Liabilities Analysis'!M38-'Bank Liabilities Analysis'!N38</f>
        <v>136198</v>
      </c>
      <c r="I39" s="355">
        <f>+'Bank Liabilities Analysis'!O38-'Bank Liabilities Analysis'!P38</f>
        <v>96671</v>
      </c>
      <c r="J39" s="355">
        <f>+'Bank Liabilities Analysis'!Q38-'Bank Liabilities Analysis'!R38</f>
        <v>4946685</v>
      </c>
      <c r="K39" s="355">
        <f t="shared" si="1"/>
        <v>55367776</v>
      </c>
      <c r="L39" s="127"/>
      <c r="M39" s="355">
        <f>+C39+D39+E39</f>
        <v>42196626</v>
      </c>
      <c r="N39" s="15"/>
      <c r="O39" s="129"/>
      <c r="P39" s="129"/>
    </row>
    <row r="40" spans="1:16" s="130" customFormat="1" ht="33" customHeight="1">
      <c r="A40" s="243" t="s">
        <v>208</v>
      </c>
      <c r="B40" s="244" t="s">
        <v>578</v>
      </c>
      <c r="C40" s="355">
        <f>+'Bank Liabilities Analysis'!C39-'Bank Liabilities Analysis'!D39</f>
        <v>0</v>
      </c>
      <c r="D40" s="355">
        <f>+'Bank Liabilities Analysis'!E39-'Bank Liabilities Analysis'!F39</f>
        <v>0</v>
      </c>
      <c r="E40" s="355">
        <f>+'Bank Liabilities Analysis'!G39-'Bank Liabilities Analysis'!H39</f>
        <v>0</v>
      </c>
      <c r="F40" s="355">
        <f>+'Bank Liabilities Analysis'!I39-'Bank Liabilities Analysis'!J39</f>
        <v>0</v>
      </c>
      <c r="G40" s="355">
        <f>+'Bank Liabilities Analysis'!K39-'Bank Liabilities Analysis'!L39</f>
        <v>0</v>
      </c>
      <c r="H40" s="355">
        <f>+'Bank Liabilities Analysis'!M39-'Bank Liabilities Analysis'!N39</f>
        <v>0</v>
      </c>
      <c r="I40" s="355">
        <f>+'Bank Liabilities Analysis'!O39-'Bank Liabilities Analysis'!P39</f>
        <v>0</v>
      </c>
      <c r="J40" s="355">
        <f>+'Bank Liabilities Analysis'!Q39-'Bank Liabilities Analysis'!R39</f>
        <v>0</v>
      </c>
      <c r="K40" s="355">
        <f t="shared" ref="K40" si="10">+C40+D40+E40+F40+G40+H40+I40+J40</f>
        <v>0</v>
      </c>
      <c r="L40" s="127"/>
      <c r="M40" s="355">
        <f t="shared" ref="M40:M41" si="11">+C40+D40+E40</f>
        <v>0</v>
      </c>
      <c r="N40" s="15"/>
      <c r="O40" s="129"/>
      <c r="P40" s="129"/>
    </row>
    <row r="41" spans="1:16" s="130" customFormat="1" ht="33" customHeight="1">
      <c r="A41" s="243" t="s">
        <v>210</v>
      </c>
      <c r="B41" s="244" t="s">
        <v>567</v>
      </c>
      <c r="C41" s="355">
        <f>+'Bank Liabilities Analysis'!C40-'Bank Liabilities Analysis'!D40</f>
        <v>0</v>
      </c>
      <c r="D41" s="355">
        <f>+'Bank Liabilities Analysis'!E40-'Bank Liabilities Analysis'!F40</f>
        <v>0</v>
      </c>
      <c r="E41" s="355">
        <f>+'Bank Liabilities Analysis'!G40-'Bank Liabilities Analysis'!H40</f>
        <v>0</v>
      </c>
      <c r="F41" s="355">
        <f>+'Bank Liabilities Analysis'!I40-'Bank Liabilities Analysis'!J40</f>
        <v>4981</v>
      </c>
      <c r="G41" s="355">
        <f>+'Bank Liabilities Analysis'!K40-'Bank Liabilities Analysis'!L40</f>
        <v>1504852</v>
      </c>
      <c r="H41" s="355">
        <f>+'Bank Liabilities Analysis'!M40-'Bank Liabilities Analysis'!N40</f>
        <v>0</v>
      </c>
      <c r="I41" s="355">
        <f>+'Bank Liabilities Analysis'!O40-'Bank Liabilities Analysis'!P40</f>
        <v>406945</v>
      </c>
      <c r="J41" s="355">
        <f>+'Bank Liabilities Analysis'!Q40-'Bank Liabilities Analysis'!R40</f>
        <v>991137</v>
      </c>
      <c r="K41" s="355">
        <f t="shared" ref="K41" si="12">+C41+D41+E41+F41+G41+H41+I41+J41</f>
        <v>2907915</v>
      </c>
      <c r="L41" s="127"/>
      <c r="M41" s="355">
        <f t="shared" si="11"/>
        <v>0</v>
      </c>
      <c r="N41" s="15"/>
      <c r="O41" s="129"/>
      <c r="P41" s="129"/>
    </row>
    <row r="42" spans="1:16" s="130" customFormat="1" ht="25.5" customHeight="1">
      <c r="A42" s="243" t="s">
        <v>65</v>
      </c>
      <c r="B42" s="244" t="s">
        <v>254</v>
      </c>
      <c r="C42" s="355">
        <f>+'Bank Liabilities Analysis'!C41-'Bank Liabilities Analysis'!D41</f>
        <v>279790203</v>
      </c>
      <c r="D42" s="355">
        <f>+'Bank Liabilities Analysis'!E41-'Bank Liabilities Analysis'!F41</f>
        <v>9012168</v>
      </c>
      <c r="E42" s="355">
        <f>+'Bank Liabilities Analysis'!G41-'Bank Liabilities Analysis'!H41</f>
        <v>19108</v>
      </c>
      <c r="F42" s="355">
        <f>+'Bank Liabilities Analysis'!I41-'Bank Liabilities Analysis'!J41</f>
        <v>122437</v>
      </c>
      <c r="G42" s="355">
        <f>+'Bank Liabilities Analysis'!K41-'Bank Liabilities Analysis'!L41</f>
        <v>128484</v>
      </c>
      <c r="H42" s="355">
        <f>+'Bank Liabilities Analysis'!M41-'Bank Liabilities Analysis'!N41</f>
        <v>338206</v>
      </c>
      <c r="I42" s="355">
        <f>+'Bank Liabilities Analysis'!O41-'Bank Liabilities Analysis'!P41</f>
        <v>2971270</v>
      </c>
      <c r="J42" s="355">
        <f>+'Bank Liabilities Analysis'!Q41-'Bank Liabilities Analysis'!R41</f>
        <v>7562261</v>
      </c>
      <c r="K42" s="355">
        <f t="shared" si="1"/>
        <v>299944137</v>
      </c>
      <c r="L42" s="127">
        <v>1</v>
      </c>
      <c r="M42" s="153">
        <f>(C42+D42+E42)*L42</f>
        <v>288821479</v>
      </c>
      <c r="N42" s="15"/>
      <c r="O42" s="129"/>
      <c r="P42" s="129"/>
    </row>
    <row r="43" spans="1:16" s="129" customFormat="1" ht="25.5" customHeight="1">
      <c r="A43" s="245" t="s">
        <v>382</v>
      </c>
      <c r="B43" s="246" t="s">
        <v>423</v>
      </c>
      <c r="C43" s="391">
        <f>+C21+C22+C24+C30+C31+C32+C33+C34+C37+C38+C39+C40+C41+C42</f>
        <v>4134256850</v>
      </c>
      <c r="D43" s="391">
        <f t="shared" ref="D43:J43" si="13">+D21+D22+D24+D30+D31+D32+D33+D34+D37+D38+D39+D40+D41+D42</f>
        <v>896041819</v>
      </c>
      <c r="E43" s="391">
        <f t="shared" si="13"/>
        <v>191936768</v>
      </c>
      <c r="F43" s="391">
        <f t="shared" si="13"/>
        <v>479926424</v>
      </c>
      <c r="G43" s="391">
        <f t="shared" si="13"/>
        <v>1564809964</v>
      </c>
      <c r="H43" s="391">
        <f t="shared" si="13"/>
        <v>2444520972</v>
      </c>
      <c r="I43" s="391">
        <f t="shared" si="13"/>
        <v>3781526639</v>
      </c>
      <c r="J43" s="391">
        <f t="shared" si="13"/>
        <v>1641795464</v>
      </c>
      <c r="K43" s="391">
        <f>+K21+K22+K24+K30+K31+K32+K33+K34+K37+K38+K39+K40+K41+K42</f>
        <v>15134814900</v>
      </c>
      <c r="L43" s="131" t="s">
        <v>17</v>
      </c>
      <c r="M43" s="131">
        <f>SUM(M8:M42)</f>
        <v>3026058100.3000002</v>
      </c>
      <c r="N43" s="177">
        <f>+Balance!D63</f>
        <v>15134814900</v>
      </c>
    </row>
    <row r="44" spans="1:16" s="142" customFormat="1" ht="15.75">
      <c r="A44" s="227"/>
      <c r="B44" s="247" t="s">
        <v>335</v>
      </c>
      <c r="C44" s="356"/>
      <c r="D44" s="356"/>
      <c r="E44" s="356"/>
      <c r="F44" s="356"/>
      <c r="G44" s="356"/>
      <c r="H44" s="356"/>
      <c r="I44" s="356"/>
      <c r="J44" s="356"/>
      <c r="K44" s="356">
        <f t="shared" ref="K44:K59" si="14">+C44+D44+E44+F44+G44+H44+I44+J44</f>
        <v>0</v>
      </c>
      <c r="L44" s="8"/>
      <c r="M44" s="8"/>
      <c r="N44" s="309">
        <f>+K43-N43</f>
        <v>0</v>
      </c>
      <c r="O44" s="129"/>
      <c r="P44" s="129"/>
    </row>
    <row r="45" spans="1:16" s="142" customFormat="1" ht="15.75">
      <c r="A45" s="227"/>
      <c r="B45" s="248" t="s">
        <v>424</v>
      </c>
      <c r="C45" s="356">
        <f>+C46+C47</f>
        <v>0</v>
      </c>
      <c r="D45" s="356">
        <f t="shared" ref="D45:J45" si="15">+D46+D47</f>
        <v>50000000</v>
      </c>
      <c r="E45" s="356">
        <f t="shared" si="15"/>
        <v>110409257</v>
      </c>
      <c r="F45" s="356">
        <f t="shared" si="15"/>
        <v>666431</v>
      </c>
      <c r="G45" s="356">
        <f t="shared" si="15"/>
        <v>265683841</v>
      </c>
      <c r="H45" s="356">
        <f t="shared" si="15"/>
        <v>496443199</v>
      </c>
      <c r="I45" s="356">
        <f t="shared" si="15"/>
        <v>10813347</v>
      </c>
      <c r="J45" s="356">
        <f t="shared" si="15"/>
        <v>793700834</v>
      </c>
      <c r="K45" s="356">
        <f t="shared" si="14"/>
        <v>1727716909</v>
      </c>
      <c r="L45" s="134"/>
      <c r="M45" s="134"/>
      <c r="N45" s="130"/>
      <c r="O45" s="129"/>
      <c r="P45" s="129"/>
    </row>
    <row r="46" spans="1:16" s="142" customFormat="1" ht="15.75" customHeight="1">
      <c r="A46" s="227"/>
      <c r="B46" s="249" t="s">
        <v>425</v>
      </c>
      <c r="C46" s="356">
        <f>+'Bank Liabilities Analysis'!C45-'Bank Liabilities Analysis'!D45</f>
        <v>0</v>
      </c>
      <c r="D46" s="356">
        <f>+'Bank Liabilities Analysis'!E45-'Bank Liabilities Analysis'!F45</f>
        <v>0</v>
      </c>
      <c r="E46" s="356">
        <f>+'Bank Liabilities Analysis'!G45-'Bank Liabilities Analysis'!H45</f>
        <v>242590</v>
      </c>
      <c r="F46" s="356">
        <f>+'Bank Liabilities Analysis'!I45-'Bank Liabilities Analysis'!J45</f>
        <v>666431</v>
      </c>
      <c r="G46" s="356">
        <f>+'Bank Liabilities Analysis'!K45-'Bank Liabilities Analysis'!L45</f>
        <v>683841</v>
      </c>
      <c r="H46" s="356">
        <f>+'Bank Liabilities Analysis'!M45-'Bank Liabilities Analysis'!N45</f>
        <v>2043199</v>
      </c>
      <c r="I46" s="356">
        <f>+'Bank Liabilities Analysis'!O45-'Bank Liabilities Analysis'!P45</f>
        <v>3813348</v>
      </c>
      <c r="J46" s="356">
        <f>+'Bank Liabilities Analysis'!Q45-'Bank Liabilities Analysis'!R45</f>
        <v>105911958</v>
      </c>
      <c r="K46" s="356">
        <f t="shared" si="14"/>
        <v>113361367</v>
      </c>
      <c r="L46" s="8"/>
      <c r="M46" s="8"/>
      <c r="N46" s="130"/>
      <c r="O46" s="129"/>
      <c r="P46" s="129"/>
    </row>
    <row r="47" spans="1:16" s="142" customFormat="1" ht="15.75" customHeight="1">
      <c r="A47" s="227"/>
      <c r="B47" s="249" t="s">
        <v>426</v>
      </c>
      <c r="C47" s="356">
        <f>+'Bank Liabilities Analysis'!C46-'Bank Liabilities Analysis'!D46</f>
        <v>0</v>
      </c>
      <c r="D47" s="356">
        <f>+'Bank Liabilities Analysis'!E46-'Bank Liabilities Analysis'!F46</f>
        <v>50000000</v>
      </c>
      <c r="E47" s="356">
        <f>+'Bank Liabilities Analysis'!G46-'Bank Liabilities Analysis'!H46</f>
        <v>110166667</v>
      </c>
      <c r="F47" s="356">
        <f>+'Bank Liabilities Analysis'!I46-'Bank Liabilities Analysis'!J46</f>
        <v>0</v>
      </c>
      <c r="G47" s="356">
        <f>+'Bank Liabilities Analysis'!K46-'Bank Liabilities Analysis'!L46</f>
        <v>265000000</v>
      </c>
      <c r="H47" s="356">
        <f>+'Bank Liabilities Analysis'!M46-'Bank Liabilities Analysis'!N46</f>
        <v>494400000</v>
      </c>
      <c r="I47" s="356">
        <f>+'Bank Liabilities Analysis'!O46-'Bank Liabilities Analysis'!P46</f>
        <v>6999999</v>
      </c>
      <c r="J47" s="356">
        <f>+'Bank Liabilities Analysis'!Q46-'Bank Liabilities Analysis'!R46</f>
        <v>687788876</v>
      </c>
      <c r="K47" s="356">
        <f t="shared" si="14"/>
        <v>1614355542</v>
      </c>
      <c r="L47" s="8"/>
      <c r="M47" s="8"/>
      <c r="N47" s="130"/>
      <c r="O47" s="129"/>
      <c r="P47" s="129"/>
    </row>
    <row r="48" spans="1:16" s="142" customFormat="1" ht="15.75" customHeight="1">
      <c r="A48" s="227"/>
      <c r="B48" s="248" t="s">
        <v>496</v>
      </c>
      <c r="C48" s="356">
        <f>+C49+C50</f>
        <v>0</v>
      </c>
      <c r="D48" s="356">
        <f t="shared" ref="D48:J48" si="16">+D49+D50</f>
        <v>0</v>
      </c>
      <c r="E48" s="356">
        <f t="shared" si="16"/>
        <v>0</v>
      </c>
      <c r="F48" s="356">
        <f t="shared" si="16"/>
        <v>0</v>
      </c>
      <c r="G48" s="356">
        <f t="shared" si="16"/>
        <v>0</v>
      </c>
      <c r="H48" s="356">
        <f t="shared" si="16"/>
        <v>0</v>
      </c>
      <c r="I48" s="356">
        <f t="shared" si="16"/>
        <v>0</v>
      </c>
      <c r="J48" s="356">
        <f t="shared" si="16"/>
        <v>0</v>
      </c>
      <c r="K48" s="356">
        <f t="shared" si="14"/>
        <v>0</v>
      </c>
      <c r="L48" s="134"/>
      <c r="M48" s="134"/>
      <c r="N48" s="130"/>
      <c r="O48" s="129"/>
      <c r="P48" s="129"/>
    </row>
    <row r="49" spans="1:16" s="142" customFormat="1" ht="15.75" customHeight="1">
      <c r="A49" s="227"/>
      <c r="B49" s="249" t="s">
        <v>425</v>
      </c>
      <c r="C49" s="356">
        <f>+'Bank Liabilities Analysis'!C48-'Bank Liabilities Analysis'!D48</f>
        <v>0</v>
      </c>
      <c r="D49" s="356">
        <f>+'Bank Liabilities Analysis'!E48-'Bank Liabilities Analysis'!F48</f>
        <v>0</v>
      </c>
      <c r="E49" s="356">
        <f>+'Bank Liabilities Analysis'!G48-'Bank Liabilities Analysis'!H48</f>
        <v>0</v>
      </c>
      <c r="F49" s="356">
        <f>+'Bank Liabilities Analysis'!I48-'Bank Liabilities Analysis'!J48</f>
        <v>0</v>
      </c>
      <c r="G49" s="356">
        <f>+'Bank Liabilities Analysis'!K48-'Bank Liabilities Analysis'!L48</f>
        <v>0</v>
      </c>
      <c r="H49" s="356">
        <f>+'Bank Liabilities Analysis'!M48-'Bank Liabilities Analysis'!N48</f>
        <v>0</v>
      </c>
      <c r="I49" s="356">
        <f>+'Bank Liabilities Analysis'!O48-'Bank Liabilities Analysis'!P48</f>
        <v>0</v>
      </c>
      <c r="J49" s="356">
        <f>+'Bank Liabilities Analysis'!Q48-'Bank Liabilities Analysis'!R48</f>
        <v>0</v>
      </c>
      <c r="K49" s="356">
        <f t="shared" si="14"/>
        <v>0</v>
      </c>
      <c r="L49" s="8"/>
      <c r="M49" s="8"/>
      <c r="N49" s="130"/>
      <c r="O49" s="129"/>
      <c r="P49" s="129"/>
    </row>
    <row r="50" spans="1:16" s="142" customFormat="1" ht="15.75" customHeight="1">
      <c r="A50" s="250"/>
      <c r="B50" s="249" t="s">
        <v>426</v>
      </c>
      <c r="C50" s="356">
        <f>+'Bank Liabilities Analysis'!C49-'Bank Liabilities Analysis'!D49</f>
        <v>0</v>
      </c>
      <c r="D50" s="356">
        <f>+'Bank Liabilities Analysis'!E49-'Bank Liabilities Analysis'!F49</f>
        <v>0</v>
      </c>
      <c r="E50" s="356">
        <f>+'Bank Liabilities Analysis'!G49-'Bank Liabilities Analysis'!H49</f>
        <v>0</v>
      </c>
      <c r="F50" s="356">
        <f>+'Bank Liabilities Analysis'!I49-'Bank Liabilities Analysis'!J49</f>
        <v>0</v>
      </c>
      <c r="G50" s="356">
        <f>+'Bank Liabilities Analysis'!K49-'Bank Liabilities Analysis'!L49</f>
        <v>0</v>
      </c>
      <c r="H50" s="356">
        <f>+'Bank Liabilities Analysis'!M49-'Bank Liabilities Analysis'!N49</f>
        <v>0</v>
      </c>
      <c r="I50" s="356">
        <f>+'Bank Liabilities Analysis'!O49-'Bank Liabilities Analysis'!P49</f>
        <v>0</v>
      </c>
      <c r="J50" s="356">
        <f>+'Bank Liabilities Analysis'!Q49-'Bank Liabilities Analysis'!R49</f>
        <v>0</v>
      </c>
      <c r="K50" s="356">
        <f t="shared" si="14"/>
        <v>0</v>
      </c>
      <c r="L50" s="8"/>
      <c r="M50" s="8"/>
      <c r="N50" s="130"/>
      <c r="O50" s="129"/>
      <c r="P50" s="129"/>
    </row>
    <row r="51" spans="1:16" s="142" customFormat="1" ht="15.75">
      <c r="A51" s="250"/>
      <c r="B51" s="248" t="s">
        <v>427</v>
      </c>
      <c r="C51" s="356">
        <f>+C52+C53</f>
        <v>0</v>
      </c>
      <c r="D51" s="356">
        <f t="shared" ref="D51:J51" si="17">+D52+D53</f>
        <v>0</v>
      </c>
      <c r="E51" s="356">
        <f t="shared" si="17"/>
        <v>0</v>
      </c>
      <c r="F51" s="356">
        <f t="shared" si="17"/>
        <v>0</v>
      </c>
      <c r="G51" s="356">
        <f t="shared" si="17"/>
        <v>40801111</v>
      </c>
      <c r="H51" s="356">
        <f t="shared" si="17"/>
        <v>40801111</v>
      </c>
      <c r="I51" s="356">
        <f t="shared" si="17"/>
        <v>95715518</v>
      </c>
      <c r="J51" s="356">
        <f t="shared" si="17"/>
        <v>226933144</v>
      </c>
      <c r="K51" s="356">
        <f t="shared" si="14"/>
        <v>404250884</v>
      </c>
      <c r="L51" s="134"/>
      <c r="M51" s="134"/>
      <c r="N51" s="130"/>
      <c r="O51" s="129"/>
      <c r="P51" s="129"/>
    </row>
    <row r="52" spans="1:16" s="142" customFormat="1" ht="15.75" customHeight="1">
      <c r="A52" s="250"/>
      <c r="B52" s="249" t="s">
        <v>425</v>
      </c>
      <c r="C52" s="356">
        <f>+'Bank Liabilities Analysis'!C51-'Bank Liabilities Analysis'!D51</f>
        <v>0</v>
      </c>
      <c r="D52" s="356">
        <f>+'Bank Liabilities Analysis'!E51-'Bank Liabilities Analysis'!F51</f>
        <v>0</v>
      </c>
      <c r="E52" s="356">
        <f>+'Bank Liabilities Analysis'!G51-'Bank Liabilities Analysis'!H51</f>
        <v>0</v>
      </c>
      <c r="F52" s="356">
        <f>+'Bank Liabilities Analysis'!I51-'Bank Liabilities Analysis'!J51</f>
        <v>0</v>
      </c>
      <c r="G52" s="356">
        <f>+'Bank Liabilities Analysis'!K51-'Bank Liabilities Analysis'!L51</f>
        <v>40801111</v>
      </c>
      <c r="H52" s="356">
        <f>+'Bank Liabilities Analysis'!M51-'Bank Liabilities Analysis'!N51</f>
        <v>40801111</v>
      </c>
      <c r="I52" s="356">
        <f>+'Bank Liabilities Analysis'!O51-'Bank Liabilities Analysis'!P51</f>
        <v>95715518</v>
      </c>
      <c r="J52" s="356">
        <f>+'Bank Liabilities Analysis'!Q51-'Bank Liabilities Analysis'!R51</f>
        <v>226933144</v>
      </c>
      <c r="K52" s="356">
        <f t="shared" si="14"/>
        <v>404250884</v>
      </c>
      <c r="L52" s="8"/>
      <c r="M52" s="8"/>
      <c r="N52" s="130"/>
      <c r="O52" s="129"/>
      <c r="P52" s="129"/>
    </row>
    <row r="53" spans="1:16" s="142" customFormat="1" ht="15.75" customHeight="1">
      <c r="A53" s="250"/>
      <c r="B53" s="249" t="s">
        <v>426</v>
      </c>
      <c r="C53" s="356">
        <f>+'Bank Liabilities Analysis'!C52-'Bank Liabilities Analysis'!D52</f>
        <v>0</v>
      </c>
      <c r="D53" s="356">
        <f>+'Bank Liabilities Analysis'!E52-'Bank Liabilities Analysis'!F52</f>
        <v>0</v>
      </c>
      <c r="E53" s="356">
        <f>+'Bank Liabilities Analysis'!G52-'Bank Liabilities Analysis'!H52</f>
        <v>0</v>
      </c>
      <c r="F53" s="356">
        <f>+'Bank Liabilities Analysis'!I52-'Bank Liabilities Analysis'!J52</f>
        <v>0</v>
      </c>
      <c r="G53" s="356">
        <f>+'Bank Liabilities Analysis'!K52-'Bank Liabilities Analysis'!L52</f>
        <v>0</v>
      </c>
      <c r="H53" s="356">
        <f>+'Bank Liabilities Analysis'!M52-'Bank Liabilities Analysis'!N52</f>
        <v>0</v>
      </c>
      <c r="I53" s="356">
        <f>+'Bank Liabilities Analysis'!O52-'Bank Liabilities Analysis'!P52</f>
        <v>0</v>
      </c>
      <c r="J53" s="356">
        <f>+'Bank Liabilities Analysis'!Q52-'Bank Liabilities Analysis'!R52</f>
        <v>0</v>
      </c>
      <c r="K53" s="356">
        <f t="shared" si="14"/>
        <v>0</v>
      </c>
      <c r="L53" s="8"/>
      <c r="M53" s="8"/>
      <c r="N53" s="130"/>
      <c r="O53" s="129"/>
      <c r="P53" s="129"/>
    </row>
    <row r="54" spans="1:16" s="142" customFormat="1" ht="15.75" customHeight="1">
      <c r="A54" s="250"/>
      <c r="B54" s="248" t="s">
        <v>428</v>
      </c>
      <c r="C54" s="356">
        <f>+C55+C56</f>
        <v>0</v>
      </c>
      <c r="D54" s="356">
        <f t="shared" ref="D54:J54" si="18">+D55+D56</f>
        <v>0</v>
      </c>
      <c r="E54" s="356">
        <f t="shared" si="18"/>
        <v>0</v>
      </c>
      <c r="F54" s="356">
        <f t="shared" si="18"/>
        <v>0</v>
      </c>
      <c r="G54" s="356">
        <f t="shared" si="18"/>
        <v>0</v>
      </c>
      <c r="H54" s="356">
        <f t="shared" si="18"/>
        <v>0</v>
      </c>
      <c r="I54" s="356">
        <f t="shared" si="18"/>
        <v>0</v>
      </c>
      <c r="J54" s="356">
        <f t="shared" si="18"/>
        <v>0</v>
      </c>
      <c r="K54" s="356">
        <f t="shared" si="14"/>
        <v>0</v>
      </c>
      <c r="L54" s="134"/>
      <c r="M54" s="134"/>
      <c r="N54" s="130"/>
      <c r="O54" s="129"/>
      <c r="P54" s="129"/>
    </row>
    <row r="55" spans="1:16" s="142" customFormat="1" ht="15.75" customHeight="1">
      <c r="A55" s="250"/>
      <c r="B55" s="249" t="s">
        <v>425</v>
      </c>
      <c r="C55" s="356">
        <f>+'Bank Liabilities Analysis'!C54-'Bank Liabilities Analysis'!D54</f>
        <v>0</v>
      </c>
      <c r="D55" s="356">
        <f>+'Bank Liabilities Analysis'!E54-'Bank Liabilities Analysis'!F54</f>
        <v>0</v>
      </c>
      <c r="E55" s="356">
        <f>+'Bank Liabilities Analysis'!G54-'Bank Liabilities Analysis'!H54</f>
        <v>0</v>
      </c>
      <c r="F55" s="356">
        <f>+'Bank Liabilities Analysis'!I54-'Bank Liabilities Analysis'!J54</f>
        <v>0</v>
      </c>
      <c r="G55" s="356">
        <f>+'Bank Liabilities Analysis'!K54-'Bank Liabilities Analysis'!L54</f>
        <v>0</v>
      </c>
      <c r="H55" s="356">
        <f>+'Bank Liabilities Analysis'!M54-'Bank Liabilities Analysis'!N54</f>
        <v>0</v>
      </c>
      <c r="I55" s="356">
        <f>+'Bank Liabilities Analysis'!O54-'Bank Liabilities Analysis'!P54</f>
        <v>0</v>
      </c>
      <c r="J55" s="356">
        <f>+'Bank Liabilities Analysis'!Q54-'Bank Liabilities Analysis'!R54</f>
        <v>0</v>
      </c>
      <c r="K55" s="356">
        <f t="shared" si="14"/>
        <v>0</v>
      </c>
      <c r="L55" s="8"/>
      <c r="M55" s="8"/>
      <c r="N55" s="130"/>
      <c r="O55" s="129"/>
      <c r="P55" s="129"/>
    </row>
    <row r="56" spans="1:16" s="142" customFormat="1" ht="15.75" customHeight="1">
      <c r="A56" s="250"/>
      <c r="B56" s="249" t="s">
        <v>426</v>
      </c>
      <c r="C56" s="356">
        <f>+'Bank Liabilities Analysis'!C55-'Bank Liabilities Analysis'!D55</f>
        <v>0</v>
      </c>
      <c r="D56" s="356">
        <f>+'Bank Liabilities Analysis'!E55-'Bank Liabilities Analysis'!F55</f>
        <v>0</v>
      </c>
      <c r="E56" s="356">
        <f>+'Bank Liabilities Analysis'!G55-'Bank Liabilities Analysis'!H55</f>
        <v>0</v>
      </c>
      <c r="F56" s="356">
        <f>+'Bank Liabilities Analysis'!I55-'Bank Liabilities Analysis'!J55</f>
        <v>0</v>
      </c>
      <c r="G56" s="356">
        <f>+'Bank Liabilities Analysis'!K55-'Bank Liabilities Analysis'!L55</f>
        <v>0</v>
      </c>
      <c r="H56" s="356">
        <f>+'Bank Liabilities Analysis'!M55-'Bank Liabilities Analysis'!N55</f>
        <v>0</v>
      </c>
      <c r="I56" s="356">
        <f>+'Bank Liabilities Analysis'!O55-'Bank Liabilities Analysis'!P55</f>
        <v>0</v>
      </c>
      <c r="J56" s="356">
        <f>+'Bank Liabilities Analysis'!Q55-'Bank Liabilities Analysis'!R55</f>
        <v>0</v>
      </c>
      <c r="K56" s="356">
        <f t="shared" si="14"/>
        <v>0</v>
      </c>
      <c r="L56" s="8"/>
      <c r="M56" s="8"/>
      <c r="N56" s="130"/>
      <c r="O56" s="129"/>
      <c r="P56" s="129"/>
    </row>
    <row r="57" spans="1:16" s="142" customFormat="1" ht="15.75" customHeight="1">
      <c r="A57" s="250"/>
      <c r="B57" s="248" t="s">
        <v>429</v>
      </c>
      <c r="C57" s="356">
        <f>+C58+C59</f>
        <v>0</v>
      </c>
      <c r="D57" s="356">
        <f t="shared" ref="D57:J57" si="19">+D58+D59</f>
        <v>0</v>
      </c>
      <c r="E57" s="356">
        <f t="shared" si="19"/>
        <v>0</v>
      </c>
      <c r="F57" s="356">
        <f t="shared" si="19"/>
        <v>0</v>
      </c>
      <c r="G57" s="356">
        <f t="shared" si="19"/>
        <v>0</v>
      </c>
      <c r="H57" s="356">
        <f t="shared" si="19"/>
        <v>0</v>
      </c>
      <c r="I57" s="356">
        <f t="shared" si="19"/>
        <v>0</v>
      </c>
      <c r="J57" s="356">
        <f t="shared" si="19"/>
        <v>0</v>
      </c>
      <c r="K57" s="356">
        <f t="shared" si="14"/>
        <v>0</v>
      </c>
      <c r="L57" s="134"/>
      <c r="M57" s="134"/>
      <c r="N57" s="130"/>
      <c r="O57" s="129"/>
      <c r="P57" s="129"/>
    </row>
    <row r="58" spans="1:16" s="142" customFormat="1" ht="15.75" customHeight="1">
      <c r="A58" s="250"/>
      <c r="B58" s="249" t="s">
        <v>425</v>
      </c>
      <c r="C58" s="356">
        <f>+'Bank Liabilities Analysis'!C57-'Bank Liabilities Analysis'!D57</f>
        <v>0</v>
      </c>
      <c r="D58" s="356">
        <f>+'Bank Liabilities Analysis'!E57-'Bank Liabilities Analysis'!F57</f>
        <v>0</v>
      </c>
      <c r="E58" s="356">
        <f>+'Bank Liabilities Analysis'!G57-'Bank Liabilities Analysis'!H57</f>
        <v>0</v>
      </c>
      <c r="F58" s="356">
        <f>+'Bank Liabilities Analysis'!I57-'Bank Liabilities Analysis'!J57</f>
        <v>0</v>
      </c>
      <c r="G58" s="356">
        <f>+'Bank Liabilities Analysis'!K57-'Bank Liabilities Analysis'!L57</f>
        <v>0</v>
      </c>
      <c r="H58" s="356">
        <f>+'Bank Liabilities Analysis'!M57-'Bank Liabilities Analysis'!N57</f>
        <v>0</v>
      </c>
      <c r="I58" s="356">
        <f>+'Bank Liabilities Analysis'!O57-'Bank Liabilities Analysis'!P57</f>
        <v>0</v>
      </c>
      <c r="J58" s="356">
        <f>+'Bank Liabilities Analysis'!Q57-'Bank Liabilities Analysis'!R57</f>
        <v>0</v>
      </c>
      <c r="K58" s="356">
        <f t="shared" si="14"/>
        <v>0</v>
      </c>
      <c r="L58" s="8"/>
      <c r="M58" s="8"/>
      <c r="N58" s="130"/>
      <c r="O58" s="129"/>
      <c r="P58" s="129"/>
    </row>
    <row r="59" spans="1:16" s="142" customFormat="1" ht="15.75" customHeight="1">
      <c r="A59" s="250"/>
      <c r="B59" s="249" t="s">
        <v>426</v>
      </c>
      <c r="C59" s="356">
        <f>+'Bank Liabilities Analysis'!C58-'Bank Liabilities Analysis'!D58</f>
        <v>0</v>
      </c>
      <c r="D59" s="356">
        <f>+'Bank Liabilities Analysis'!E58-'Bank Liabilities Analysis'!F58</f>
        <v>0</v>
      </c>
      <c r="E59" s="356">
        <f>+'Bank Liabilities Analysis'!G58-'Bank Liabilities Analysis'!H58</f>
        <v>0</v>
      </c>
      <c r="F59" s="356">
        <f>+'Bank Liabilities Analysis'!I58-'Bank Liabilities Analysis'!J58</f>
        <v>0</v>
      </c>
      <c r="G59" s="356">
        <f>+'Bank Liabilities Analysis'!K58-'Bank Liabilities Analysis'!L58</f>
        <v>0</v>
      </c>
      <c r="H59" s="356">
        <f>+'Bank Liabilities Analysis'!M58-'Bank Liabilities Analysis'!N58</f>
        <v>0</v>
      </c>
      <c r="I59" s="356">
        <f>+'Bank Liabilities Analysis'!O58-'Bank Liabilities Analysis'!P58</f>
        <v>0</v>
      </c>
      <c r="J59" s="356">
        <f>+'Bank Liabilities Analysis'!Q58-'Bank Liabilities Analysis'!R58</f>
        <v>0</v>
      </c>
      <c r="K59" s="356">
        <f t="shared" si="14"/>
        <v>0</v>
      </c>
      <c r="L59" s="8"/>
      <c r="M59" s="8"/>
      <c r="N59" s="130"/>
      <c r="O59" s="129"/>
      <c r="P59" s="129"/>
    </row>
    <row r="60" spans="1:16" ht="15.75">
      <c r="C60" s="392"/>
      <c r="D60" s="392"/>
      <c r="E60" s="392"/>
      <c r="F60" s="392"/>
      <c r="G60" s="392"/>
      <c r="H60" s="392"/>
      <c r="I60" s="392"/>
      <c r="J60" s="392"/>
      <c r="K60" s="392"/>
      <c r="N60" s="130"/>
      <c r="O60" s="129"/>
      <c r="P60" s="129"/>
    </row>
    <row r="61" spans="1:16" s="17" customFormat="1" ht="15" customHeight="1">
      <c r="B61" s="4" t="s">
        <v>536</v>
      </c>
      <c r="F61" s="144"/>
      <c r="G61" s="144"/>
      <c r="H61" s="144"/>
      <c r="I61" s="144"/>
      <c r="J61" s="144"/>
      <c r="K61" s="144"/>
      <c r="L61" s="144"/>
      <c r="M61" s="144"/>
    </row>
    <row r="62" spans="1:16" s="17" customFormat="1" ht="11.25" customHeight="1">
      <c r="B62" s="4"/>
      <c r="F62" s="144"/>
      <c r="G62" s="144"/>
      <c r="H62" s="144"/>
      <c r="I62" s="144"/>
      <c r="J62" s="144"/>
      <c r="K62" s="144"/>
      <c r="L62" s="144"/>
      <c r="M62" s="144"/>
    </row>
    <row r="63" spans="1:16" s="17" customFormat="1" ht="15" customHeight="1">
      <c r="B63" s="4" t="s">
        <v>535</v>
      </c>
      <c r="F63" s="144"/>
      <c r="G63" s="144"/>
      <c r="H63" s="144"/>
      <c r="I63" s="144"/>
      <c r="J63" s="144"/>
      <c r="K63" s="144"/>
      <c r="L63" s="144"/>
      <c r="M63" s="144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2">
    <cfRule type="cellIs" dxfId="21" priority="5" operator="lessThan">
      <formula>0</formula>
    </cfRule>
  </conditionalFormatting>
  <conditionalFormatting sqref="C45:J58">
    <cfRule type="cellIs" dxfId="20" priority="7" operator="lessThan">
      <formula>0</formula>
    </cfRule>
  </conditionalFormatting>
  <conditionalFormatting sqref="K43">
    <cfRule type="cellIs" dxfId="19" priority="1" operator="notEqual">
      <formula>$N$43</formula>
    </cfRule>
  </conditionalFormatting>
  <conditionalFormatting sqref="L45:M59">
    <cfRule type="cellIs" dxfId="18" priority="9" operator="greaterThan">
      <formula>#REF!</formula>
    </cfRule>
  </conditionalFormatting>
  <conditionalFormatting sqref="M39:M41">
    <cfRule type="cellIs" dxfId="17" priority="4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4:J59 C16:J20 C22:J42 M39:M41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8" orientation="landscape" r:id="rId1"/>
  <headerFooter alignWithMargins="0"/>
  <ignoredErrors>
    <ignoredError sqref="M37:M38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M35"/>
  <sheetViews>
    <sheetView view="pageBreakPreview" zoomScale="90" zoomScaleNormal="75" zoomScaleSheetLayoutView="90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E17" sqref="E17"/>
    </sheetView>
  </sheetViews>
  <sheetFormatPr defaultRowHeight="12.75"/>
  <cols>
    <col min="1" max="1" width="5.85546875" style="11" customWidth="1"/>
    <col min="2" max="2" width="88.28515625" style="17" customWidth="1"/>
    <col min="3" max="4" width="17.7109375" style="17" customWidth="1"/>
    <col min="5" max="5" width="18.5703125" style="17" customWidth="1"/>
    <col min="6" max="8" width="20.42578125" style="17" customWidth="1"/>
    <col min="9" max="9" width="9.140625" style="17"/>
    <col min="10" max="10" width="11" style="17" bestFit="1" customWidth="1"/>
    <col min="11" max="16384" width="9.140625" style="17"/>
  </cols>
  <sheetData>
    <row r="1" spans="1:8" s="142" customFormat="1" ht="32.25" customHeight="1">
      <c r="A1" s="445" t="s">
        <v>497</v>
      </c>
      <c r="B1" s="445"/>
      <c r="C1" s="445"/>
      <c r="D1" s="445"/>
      <c r="E1" s="181" t="s">
        <v>431</v>
      </c>
    </row>
    <row r="2" spans="1:8" ht="15.75">
      <c r="A2" s="181"/>
      <c r="B2" s="7" t="str">
        <f>Balance!B3</f>
        <v>Банк номи</v>
      </c>
      <c r="C2" s="318">
        <f>+Balance!D3</f>
        <v>45657</v>
      </c>
      <c r="E2" s="317" t="str">
        <f>+Balance!E3</f>
        <v>минг сўмда</v>
      </c>
    </row>
    <row r="3" spans="1:8" s="142" customFormat="1" ht="53.25" customHeight="1">
      <c r="A3" s="237" t="s">
        <v>54</v>
      </c>
      <c r="B3" s="237" t="s">
        <v>333</v>
      </c>
      <c r="C3" s="237" t="s">
        <v>176</v>
      </c>
      <c r="D3" s="237" t="s">
        <v>346</v>
      </c>
      <c r="E3" s="237" t="s">
        <v>347</v>
      </c>
    </row>
    <row r="4" spans="1:8" s="142" customFormat="1" ht="22.5" customHeight="1">
      <c r="A4" s="238" t="s">
        <v>118</v>
      </c>
      <c r="B4" s="239" t="s">
        <v>432</v>
      </c>
      <c r="C4" s="147">
        <f>+D4+E4</f>
        <v>840032316</v>
      </c>
      <c r="D4" s="91">
        <v>437054878</v>
      </c>
      <c r="E4" s="91">
        <v>402977438</v>
      </c>
      <c r="F4" s="357">
        <f>+'Bank Assets Analysis'!S49</f>
        <v>840032316</v>
      </c>
      <c r="G4" s="357">
        <f>+'Bank Assets Analysis'!T49</f>
        <v>437054878</v>
      </c>
      <c r="H4" s="357">
        <f>+'Bank Assets Analysis'!U49</f>
        <v>402977438</v>
      </c>
    </row>
    <row r="5" spans="1:8" s="142" customFormat="1" ht="22.5" customHeight="1">
      <c r="A5" s="205" t="s">
        <v>161</v>
      </c>
      <c r="B5" s="272" t="s">
        <v>433</v>
      </c>
      <c r="C5" s="147">
        <f>+D5+E5</f>
        <v>2704256</v>
      </c>
      <c r="D5" s="8">
        <v>0</v>
      </c>
      <c r="E5" s="8">
        <v>2704256</v>
      </c>
      <c r="F5" s="357">
        <f>+'Bank Assets Analysis'!S50</f>
        <v>2704256</v>
      </c>
      <c r="G5" s="357">
        <f>+'Bank Assets Analysis'!T50</f>
        <v>0</v>
      </c>
      <c r="H5" s="357">
        <f>+'Bank Assets Analysis'!U50</f>
        <v>2704256</v>
      </c>
    </row>
    <row r="6" spans="1:8" s="142" customFormat="1" ht="5.25" customHeight="1">
      <c r="A6" s="10"/>
      <c r="B6" s="9"/>
      <c r="C6" s="134"/>
      <c r="D6" s="134"/>
      <c r="E6" s="134"/>
      <c r="F6" s="358"/>
      <c r="G6" s="358"/>
      <c r="H6" s="358"/>
    </row>
    <row r="7" spans="1:8" s="142" customFormat="1" ht="22.5" customHeight="1">
      <c r="A7" s="240" t="s">
        <v>119</v>
      </c>
      <c r="B7" s="239" t="s">
        <v>434</v>
      </c>
      <c r="C7" s="147">
        <f>+D7+E7</f>
        <v>835644857</v>
      </c>
      <c r="D7" s="91">
        <v>34592971</v>
      </c>
      <c r="E7" s="91">
        <v>801051886</v>
      </c>
      <c r="F7" s="357">
        <f>+'Bank Assets Analysis'!S51</f>
        <v>835644857</v>
      </c>
      <c r="G7" s="357">
        <f>+'Bank Assets Analysis'!T51</f>
        <v>34592971</v>
      </c>
      <c r="H7" s="357">
        <f>+'Bank Assets Analysis'!U51</f>
        <v>801051886</v>
      </c>
    </row>
    <row r="8" spans="1:8" s="142" customFormat="1" ht="22.5" customHeight="1">
      <c r="A8" s="205" t="s">
        <v>150</v>
      </c>
      <c r="B8" s="272" t="s">
        <v>435</v>
      </c>
      <c r="C8" s="147">
        <f>+D8+E8</f>
        <v>0</v>
      </c>
      <c r="D8" s="8">
        <v>0</v>
      </c>
      <c r="E8" s="8">
        <v>0</v>
      </c>
      <c r="F8" s="357">
        <f>+'Bank Assets Analysis'!S52</f>
        <v>0</v>
      </c>
      <c r="G8" s="357">
        <f>+'Bank Assets Analysis'!T52</f>
        <v>0</v>
      </c>
      <c r="H8" s="357">
        <f>+'Bank Assets Analysis'!U52</f>
        <v>0</v>
      </c>
    </row>
    <row r="9" spans="1:8" s="142" customFormat="1" ht="5.25" customHeight="1">
      <c r="A9" s="10"/>
      <c r="B9" s="9"/>
      <c r="C9" s="134"/>
      <c r="D9" s="134"/>
      <c r="E9" s="134"/>
    </row>
    <row r="10" spans="1:8" s="142" customFormat="1" ht="29.25" customHeight="1">
      <c r="A10" s="240" t="s">
        <v>129</v>
      </c>
      <c r="B10" s="239" t="s">
        <v>436</v>
      </c>
      <c r="C10" s="147">
        <f>+D10+E10</f>
        <v>286897153</v>
      </c>
      <c r="D10" s="13">
        <f>SUM(D11:D14)</f>
        <v>0</v>
      </c>
      <c r="E10" s="13">
        <f>SUM(E11:E14)</f>
        <v>286897153</v>
      </c>
    </row>
    <row r="11" spans="1:8" s="142" customFormat="1" ht="22.5" customHeight="1">
      <c r="A11" s="205" t="s">
        <v>131</v>
      </c>
      <c r="B11" s="241" t="s">
        <v>498</v>
      </c>
      <c r="C11" s="134">
        <f>+D11+E11</f>
        <v>91600467</v>
      </c>
      <c r="D11" s="180">
        <v>0</v>
      </c>
      <c r="E11" s="180">
        <v>91600467</v>
      </c>
    </row>
    <row r="12" spans="1:8" s="142" customFormat="1" ht="30.75" customHeight="1">
      <c r="A12" s="205" t="s">
        <v>132</v>
      </c>
      <c r="B12" s="241" t="s">
        <v>437</v>
      </c>
      <c r="C12" s="134">
        <f>+D12+E12</f>
        <v>0</v>
      </c>
      <c r="D12" s="180">
        <v>0</v>
      </c>
      <c r="E12" s="180">
        <v>0</v>
      </c>
    </row>
    <row r="13" spans="1:8" s="142" customFormat="1" ht="30.75" customHeight="1">
      <c r="A13" s="205" t="s">
        <v>133</v>
      </c>
      <c r="B13" s="241" t="s">
        <v>438</v>
      </c>
      <c r="C13" s="134">
        <f>+D13+E13</f>
        <v>0</v>
      </c>
      <c r="D13" s="180">
        <v>0</v>
      </c>
      <c r="E13" s="180">
        <v>0</v>
      </c>
    </row>
    <row r="14" spans="1:8" s="142" customFormat="1" ht="25.5" customHeight="1">
      <c r="A14" s="205" t="s">
        <v>134</v>
      </c>
      <c r="B14" s="241" t="s">
        <v>439</v>
      </c>
      <c r="C14" s="134">
        <f>+D14+E14</f>
        <v>195296686</v>
      </c>
      <c r="D14" s="8">
        <v>0</v>
      </c>
      <c r="E14" s="8">
        <v>195296686</v>
      </c>
    </row>
    <row r="15" spans="1:8" s="142" customFormat="1" ht="5.25" customHeight="1">
      <c r="A15" s="10"/>
      <c r="B15" s="9"/>
      <c r="C15" s="134"/>
      <c r="D15" s="134"/>
      <c r="E15" s="134"/>
    </row>
    <row r="16" spans="1:8" s="142" customFormat="1" ht="22.5" customHeight="1">
      <c r="A16" s="240" t="s">
        <v>120</v>
      </c>
      <c r="B16" s="239" t="s">
        <v>440</v>
      </c>
      <c r="C16" s="13">
        <f>+D16+E16</f>
        <v>20696973</v>
      </c>
      <c r="D16" s="14">
        <v>20696973</v>
      </c>
      <c r="E16" s="14">
        <v>0</v>
      </c>
    </row>
    <row r="17" spans="1:13" s="142" customFormat="1" ht="5.25" customHeight="1">
      <c r="A17" s="10"/>
      <c r="B17" s="9"/>
      <c r="C17" s="134"/>
      <c r="D17" s="134"/>
      <c r="E17" s="134"/>
    </row>
    <row r="18" spans="1:13" s="142" customFormat="1" ht="22.5" customHeight="1">
      <c r="A18" s="240" t="s">
        <v>127</v>
      </c>
      <c r="B18" s="239" t="s">
        <v>525</v>
      </c>
      <c r="C18" s="13">
        <f t="shared" ref="C18:C24" si="0">+D18+E18</f>
        <v>2445917371</v>
      </c>
      <c r="D18" s="13">
        <f>SUM(D19:D24)</f>
        <v>817029147</v>
      </c>
      <c r="E18" s="13">
        <f>SUM(E19:E24)</f>
        <v>1628888224</v>
      </c>
    </row>
    <row r="19" spans="1:13" s="142" customFormat="1" ht="22.5" customHeight="1">
      <c r="A19" s="242" t="s">
        <v>135</v>
      </c>
      <c r="B19" s="241" t="s">
        <v>485</v>
      </c>
      <c r="C19" s="134">
        <f t="shared" si="0"/>
        <v>0</v>
      </c>
      <c r="D19" s="8">
        <v>0</v>
      </c>
      <c r="E19" s="8">
        <v>0</v>
      </c>
    </row>
    <row r="20" spans="1:13" s="142" customFormat="1" ht="22.5" customHeight="1">
      <c r="A20" s="242" t="s">
        <v>136</v>
      </c>
      <c r="B20" s="241" t="s">
        <v>441</v>
      </c>
      <c r="C20" s="134">
        <f t="shared" si="0"/>
        <v>0</v>
      </c>
      <c r="D20" s="8">
        <v>0</v>
      </c>
      <c r="E20" s="8">
        <v>0</v>
      </c>
    </row>
    <row r="21" spans="1:13" s="142" customFormat="1" ht="22.5" customHeight="1">
      <c r="A21" s="242" t="s">
        <v>137</v>
      </c>
      <c r="B21" s="241" t="s">
        <v>442</v>
      </c>
      <c r="C21" s="134">
        <f t="shared" si="0"/>
        <v>0</v>
      </c>
      <c r="D21" s="8">
        <v>0</v>
      </c>
      <c r="E21" s="8">
        <v>0</v>
      </c>
    </row>
    <row r="22" spans="1:13" s="142" customFormat="1" ht="22.5" customHeight="1">
      <c r="A22" s="242" t="s">
        <v>138</v>
      </c>
      <c r="B22" s="241" t="s">
        <v>443</v>
      </c>
      <c r="C22" s="134">
        <f t="shared" si="0"/>
        <v>715785546</v>
      </c>
      <c r="D22" s="180">
        <v>0</v>
      </c>
      <c r="E22" s="180">
        <v>715785546</v>
      </c>
    </row>
    <row r="23" spans="1:13" s="142" customFormat="1" ht="29.25" customHeight="1">
      <c r="A23" s="242" t="s">
        <v>139</v>
      </c>
      <c r="B23" s="241" t="s">
        <v>444</v>
      </c>
      <c r="C23" s="134">
        <f t="shared" si="0"/>
        <v>801459811</v>
      </c>
      <c r="D23" s="8">
        <v>801459811</v>
      </c>
      <c r="E23" s="8">
        <v>0</v>
      </c>
    </row>
    <row r="24" spans="1:13" s="142" customFormat="1" ht="22.5" customHeight="1">
      <c r="A24" s="242" t="s">
        <v>474</v>
      </c>
      <c r="B24" s="241" t="s">
        <v>499</v>
      </c>
      <c r="C24" s="134">
        <f t="shared" si="0"/>
        <v>928672014</v>
      </c>
      <c r="D24" s="8">
        <v>15569336</v>
      </c>
      <c r="E24" s="8">
        <v>913102678</v>
      </c>
      <c r="J24" s="305"/>
    </row>
    <row r="25" spans="1:13" s="142" customFormat="1" ht="6" customHeight="1">
      <c r="A25" s="205"/>
      <c r="B25" s="272"/>
      <c r="C25" s="134"/>
      <c r="D25" s="134"/>
      <c r="E25" s="134"/>
    </row>
    <row r="26" spans="1:13" s="142" customFormat="1" ht="22.5" customHeight="1">
      <c r="A26" s="240" t="s">
        <v>130</v>
      </c>
      <c r="B26" s="239" t="s">
        <v>486</v>
      </c>
      <c r="C26" s="13">
        <f>+C4+C7+C10+C16+C18</f>
        <v>4429188670</v>
      </c>
      <c r="D26" s="13">
        <f>+D4+D7+D10+D16+D18</f>
        <v>1309373969</v>
      </c>
      <c r="E26" s="13">
        <f>+E4+E7+E10+E16+E18</f>
        <v>3119814701</v>
      </c>
    </row>
    <row r="27" spans="1:13">
      <c r="B27" s="12"/>
    </row>
    <row r="28" spans="1:13" ht="15" customHeight="1">
      <c r="A28" s="17"/>
      <c r="B28" s="4" t="s">
        <v>536</v>
      </c>
      <c r="F28" s="144"/>
      <c r="G28" s="144"/>
      <c r="H28" s="144"/>
      <c r="I28" s="144"/>
      <c r="J28" s="144"/>
      <c r="K28" s="144"/>
      <c r="L28" s="144"/>
      <c r="M28" s="144"/>
    </row>
    <row r="29" spans="1:13" ht="11.25" customHeight="1">
      <c r="A29" s="17"/>
      <c r="B29" s="4"/>
      <c r="F29" s="144"/>
      <c r="G29" s="144"/>
      <c r="H29" s="144"/>
      <c r="I29" s="144"/>
      <c r="J29" s="144"/>
      <c r="K29" s="144"/>
      <c r="L29" s="144"/>
      <c r="M29" s="144"/>
    </row>
    <row r="30" spans="1:13" ht="15" customHeight="1">
      <c r="A30" s="17"/>
      <c r="B30" s="4" t="s">
        <v>535</v>
      </c>
      <c r="F30" s="144"/>
      <c r="G30" s="144"/>
      <c r="H30" s="144"/>
      <c r="I30" s="144"/>
      <c r="J30" s="144"/>
      <c r="K30" s="144"/>
      <c r="L30" s="144"/>
      <c r="M30" s="144"/>
    </row>
    <row r="31" spans="1:13">
      <c r="A31" s="7"/>
      <c r="B31" s="4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4">
    <cfRule type="cellIs" dxfId="16" priority="19" operator="notEqual">
      <formula>$F$4</formula>
    </cfRule>
  </conditionalFormatting>
  <conditionalFormatting sqref="C5">
    <cfRule type="cellIs" priority="15" operator="notEqual">
      <formula>$F$5</formula>
    </cfRule>
  </conditionalFormatting>
  <conditionalFormatting sqref="C7">
    <cfRule type="cellIs" dxfId="15" priority="12" operator="notEqual">
      <formula>$F$7</formula>
    </cfRule>
    <cfRule type="cellIs" dxfId="14" priority="30" operator="notEqual">
      <formula>$D$7+$E$7</formula>
    </cfRule>
  </conditionalFormatting>
  <conditionalFormatting sqref="C8">
    <cfRule type="cellIs" dxfId="13" priority="5" operator="notEqual">
      <formula>$F$8</formula>
    </cfRule>
  </conditionalFormatting>
  <conditionalFormatting sqref="C10">
    <cfRule type="cellIs" dxfId="12" priority="28" operator="notEqual">
      <formula>$D$10+$E$10</formula>
    </cfRule>
  </conditionalFormatting>
  <conditionalFormatting sqref="D4">
    <cfRule type="cellIs" dxfId="11" priority="18" operator="notEqual">
      <formula>$G$4</formula>
    </cfRule>
  </conditionalFormatting>
  <conditionalFormatting sqref="D7">
    <cfRule type="cellIs" dxfId="10" priority="8" operator="notEqual">
      <formula>$G$7</formula>
    </cfRule>
  </conditionalFormatting>
  <conditionalFormatting sqref="D10">
    <cfRule type="cellIs" dxfId="9" priority="24" operator="notEqual">
      <formula>$D$11+$D$12+$D$13+$D$14</formula>
    </cfRule>
  </conditionalFormatting>
  <conditionalFormatting sqref="E4">
    <cfRule type="cellIs" dxfId="8" priority="1" operator="notEqual">
      <formula>$H$4</formula>
    </cfRule>
  </conditionalFormatting>
  <conditionalFormatting sqref="E7">
    <cfRule type="cellIs" dxfId="7" priority="6" operator="notEqual">
      <formula>$H$7</formula>
    </cfRule>
  </conditionalFormatting>
  <conditionalFormatting sqref="E10">
    <cfRule type="cellIs" dxfId="6" priority="23" operator="notEqual">
      <formula>$E$11+$E$12+$E$13+$E$14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M27"/>
  <sheetViews>
    <sheetView view="pageBreakPreview" zoomScale="115" zoomScaleNormal="70" zoomScaleSheetLayoutView="115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C20" sqref="C20:D20"/>
    </sheetView>
  </sheetViews>
  <sheetFormatPr defaultRowHeight="18.75"/>
  <cols>
    <col min="1" max="1" width="8.5703125" style="68" customWidth="1"/>
    <col min="2" max="2" width="65.7109375" style="68" customWidth="1"/>
    <col min="3" max="3" width="24.42578125" style="68" customWidth="1"/>
    <col min="4" max="4" width="23.28515625" style="68" customWidth="1"/>
    <col min="5" max="7" width="14" style="234" customWidth="1"/>
    <col min="8" max="16384" width="9.140625" style="68"/>
  </cols>
  <sheetData>
    <row r="1" spans="1:7" ht="22.5" customHeight="1">
      <c r="A1" s="446" t="s">
        <v>445</v>
      </c>
      <c r="B1" s="446"/>
      <c r="C1" s="446"/>
      <c r="D1" s="233" t="s">
        <v>446</v>
      </c>
    </row>
    <row r="2" spans="1:7" ht="25.5" customHeight="1">
      <c r="B2" s="69" t="str">
        <f>+Balance!B3</f>
        <v>Банк номи</v>
      </c>
      <c r="C2" s="319">
        <f>+Balance!D3</f>
        <v>45657</v>
      </c>
      <c r="D2" s="235" t="s">
        <v>174</v>
      </c>
    </row>
    <row r="3" spans="1:7" ht="80.25" customHeight="1">
      <c r="A3" s="90" t="s">
        <v>54</v>
      </c>
      <c r="B3" s="90" t="s">
        <v>333</v>
      </c>
      <c r="C3" s="90" t="s">
        <v>176</v>
      </c>
      <c r="D3" s="90" t="s">
        <v>453</v>
      </c>
    </row>
    <row r="4" spans="1:7" s="70" customFormat="1" ht="45" customHeight="1">
      <c r="A4" s="299" t="s">
        <v>118</v>
      </c>
      <c r="B4" s="302" t="s">
        <v>500</v>
      </c>
      <c r="C4" s="90"/>
      <c r="D4" s="90"/>
      <c r="E4" s="236"/>
      <c r="F4" s="236"/>
      <c r="G4" s="236"/>
    </row>
    <row r="5" spans="1:7" s="70" customFormat="1" ht="35.25" customHeight="1">
      <c r="A5" s="271" t="s">
        <v>121</v>
      </c>
      <c r="B5" s="300" t="s">
        <v>447</v>
      </c>
      <c r="C5" s="80">
        <v>163081976</v>
      </c>
      <c r="D5" s="80">
        <v>1272017</v>
      </c>
      <c r="E5" s="236"/>
      <c r="F5" s="236"/>
      <c r="G5" s="236"/>
    </row>
    <row r="6" spans="1:7" s="70" customFormat="1" ht="35.25" customHeight="1">
      <c r="A6" s="271" t="s">
        <v>122</v>
      </c>
      <c r="B6" s="300" t="s">
        <v>448</v>
      </c>
      <c r="C6" s="80">
        <v>1323418146</v>
      </c>
      <c r="D6" s="80">
        <v>220733373</v>
      </c>
      <c r="E6" s="236"/>
      <c r="F6" s="236"/>
      <c r="G6" s="236"/>
    </row>
    <row r="7" spans="1:7" s="70" customFormat="1" ht="35.25" customHeight="1">
      <c r="A7" s="271" t="s">
        <v>123</v>
      </c>
      <c r="B7" s="300" t="s">
        <v>449</v>
      </c>
      <c r="C7" s="80">
        <v>661659333</v>
      </c>
      <c r="D7" s="80">
        <v>126022369</v>
      </c>
      <c r="E7" s="236"/>
      <c r="F7" s="236"/>
      <c r="G7" s="236"/>
    </row>
    <row r="8" spans="1:7" s="70" customFormat="1" ht="35.25" customHeight="1">
      <c r="A8" s="271" t="s">
        <v>124</v>
      </c>
      <c r="B8" s="300" t="s">
        <v>450</v>
      </c>
      <c r="C8" s="80">
        <v>162835882</v>
      </c>
      <c r="D8" s="80">
        <v>35082496</v>
      </c>
      <c r="E8" s="236"/>
      <c r="F8" s="236"/>
      <c r="G8" s="236"/>
    </row>
    <row r="9" spans="1:7" s="70" customFormat="1" ht="35.25" customHeight="1">
      <c r="A9" s="271" t="s">
        <v>125</v>
      </c>
      <c r="B9" s="300" t="s">
        <v>451</v>
      </c>
      <c r="C9" s="80">
        <v>788753734</v>
      </c>
      <c r="D9" s="80">
        <v>97445478</v>
      </c>
      <c r="E9" s="236"/>
      <c r="F9" s="236"/>
      <c r="G9" s="236"/>
    </row>
    <row r="10" spans="1:7" s="70" customFormat="1" ht="43.5" customHeight="1">
      <c r="A10" s="271" t="s">
        <v>126</v>
      </c>
      <c r="B10" s="303" t="s">
        <v>555</v>
      </c>
      <c r="C10" s="80">
        <v>953051088</v>
      </c>
      <c r="D10" s="80">
        <v>152055836</v>
      </c>
      <c r="E10" s="236"/>
      <c r="F10" s="236"/>
      <c r="G10" s="236"/>
    </row>
    <row r="11" spans="1:7" s="72" customFormat="1" ht="42" customHeight="1">
      <c r="A11" s="299" t="s">
        <v>153</v>
      </c>
      <c r="B11" s="302" t="s">
        <v>501</v>
      </c>
      <c r="C11" s="71">
        <f>SUM(C5:C10)</f>
        <v>4052800159</v>
      </c>
      <c r="D11" s="71">
        <f>SUM(D5:D10)</f>
        <v>632611569</v>
      </c>
      <c r="E11" s="311">
        <f>+'Bank Liabilities Analysis'!S15+'Bank Liabilities Analysis'!S7</f>
        <v>4052800159</v>
      </c>
      <c r="F11" s="311">
        <f>+'Bank Liabilities Analysis'!T15+'Bank Liabilities Analysis'!T7</f>
        <v>3420188590</v>
      </c>
      <c r="G11" s="311">
        <f>+'Bank Liabilities Analysis'!U15+'Bank Liabilities Analysis'!U7</f>
        <v>632611569</v>
      </c>
    </row>
    <row r="12" spans="1:7" s="70" customFormat="1" ht="9" customHeight="1">
      <c r="A12" s="73"/>
      <c r="B12" s="300"/>
      <c r="C12" s="74"/>
      <c r="D12" s="73"/>
      <c r="E12" s="312"/>
      <c r="F12" s="312"/>
      <c r="G12" s="312"/>
    </row>
    <row r="13" spans="1:7" s="70" customFormat="1" ht="35.25" customHeight="1">
      <c r="A13" s="299" t="s">
        <v>119</v>
      </c>
      <c r="B13" s="301" t="s">
        <v>232</v>
      </c>
      <c r="C13" s="90"/>
      <c r="D13" s="90"/>
      <c r="E13" s="313">
        <f>+C11-E11</f>
        <v>0</v>
      </c>
      <c r="F13" s="313"/>
      <c r="G13" s="313">
        <f>+D11-G11</f>
        <v>0</v>
      </c>
    </row>
    <row r="14" spans="1:7" s="70" customFormat="1" ht="35.25" customHeight="1">
      <c r="A14" s="271" t="s">
        <v>121</v>
      </c>
      <c r="B14" s="300" t="s">
        <v>447</v>
      </c>
      <c r="C14" s="80">
        <v>3313945054</v>
      </c>
      <c r="D14" s="80">
        <v>421207648</v>
      </c>
      <c r="E14" s="314"/>
      <c r="F14" s="314"/>
      <c r="G14" s="314"/>
    </row>
    <row r="15" spans="1:7" s="70" customFormat="1" ht="35.25" customHeight="1">
      <c r="A15" s="271" t="s">
        <v>122</v>
      </c>
      <c r="B15" s="300" t="s">
        <v>448</v>
      </c>
      <c r="C15" s="80">
        <v>3905919470</v>
      </c>
      <c r="D15" s="80">
        <v>182786996</v>
      </c>
      <c r="E15" s="314"/>
      <c r="F15" s="314"/>
      <c r="G15" s="314"/>
    </row>
    <row r="16" spans="1:7" s="70" customFormat="1" ht="35.25" customHeight="1">
      <c r="A16" s="271" t="s">
        <v>123</v>
      </c>
      <c r="B16" s="300" t="s">
        <v>449</v>
      </c>
      <c r="C16" s="80">
        <v>824875387</v>
      </c>
      <c r="D16" s="80">
        <v>0</v>
      </c>
      <c r="E16" s="314"/>
      <c r="F16" s="314"/>
      <c r="G16" s="314"/>
    </row>
    <row r="17" spans="1:13" s="70" customFormat="1" ht="35.25" customHeight="1">
      <c r="A17" s="271" t="s">
        <v>124</v>
      </c>
      <c r="B17" s="300" t="s">
        <v>450</v>
      </c>
      <c r="C17" s="80">
        <v>124163981</v>
      </c>
      <c r="D17" s="80">
        <v>47418162</v>
      </c>
      <c r="E17" s="314"/>
      <c r="F17" s="314"/>
      <c r="G17" s="314"/>
    </row>
    <row r="18" spans="1:13" s="70" customFormat="1" ht="35.25" customHeight="1">
      <c r="A18" s="271" t="s">
        <v>125</v>
      </c>
      <c r="B18" s="300" t="s">
        <v>451</v>
      </c>
      <c r="C18" s="80">
        <v>608862416</v>
      </c>
      <c r="D18" s="80">
        <v>14436459</v>
      </c>
      <c r="E18" s="314"/>
      <c r="F18" s="314"/>
      <c r="G18" s="314"/>
    </row>
    <row r="19" spans="1:13" s="70" customFormat="1" ht="35.25" customHeight="1">
      <c r="A19" s="271" t="s">
        <v>126</v>
      </c>
      <c r="B19" s="300" t="s">
        <v>502</v>
      </c>
      <c r="C19" s="80">
        <v>984108347</v>
      </c>
      <c r="D19" s="80">
        <v>205309001</v>
      </c>
      <c r="E19" s="314"/>
      <c r="F19" s="314"/>
      <c r="G19" s="314"/>
    </row>
    <row r="20" spans="1:13" s="72" customFormat="1" ht="35.25" customHeight="1">
      <c r="A20" s="299" t="s">
        <v>153</v>
      </c>
      <c r="B20" s="301" t="s">
        <v>452</v>
      </c>
      <c r="C20" s="71">
        <f>SUM(C14:C19)</f>
        <v>9761874655</v>
      </c>
      <c r="D20" s="71">
        <f>SUM(D14:D19)</f>
        <v>871158266</v>
      </c>
      <c r="E20" s="311">
        <f>+'Bank Liabilities Analysis'!S12</f>
        <v>9761874655</v>
      </c>
      <c r="F20" s="311">
        <f>+'Bank Liabilities Analysis'!T12</f>
        <v>8890716389</v>
      </c>
      <c r="G20" s="311">
        <f>+'Bank Liabilities Analysis'!U12</f>
        <v>871158266</v>
      </c>
    </row>
    <row r="21" spans="1:13" s="70" customFormat="1" ht="9" customHeight="1">
      <c r="A21" s="271"/>
      <c r="B21" s="300"/>
      <c r="C21" s="74"/>
      <c r="D21" s="74"/>
      <c r="E21" s="313">
        <f>+C20-E20</f>
        <v>0</v>
      </c>
      <c r="F21" s="313"/>
      <c r="G21" s="313">
        <f>+D20-G20</f>
        <v>0</v>
      </c>
    </row>
    <row r="22" spans="1:13" s="72" customFormat="1" ht="35.25" customHeight="1">
      <c r="A22" s="299" t="s">
        <v>129</v>
      </c>
      <c r="B22" s="301" t="s">
        <v>415</v>
      </c>
      <c r="C22" s="71">
        <f t="shared" ref="C22:D22" si="0">+C11+C20</f>
        <v>13814674814</v>
      </c>
      <c r="D22" s="71">
        <f t="shared" si="0"/>
        <v>1503769835</v>
      </c>
      <c r="E22" s="311">
        <f>+'Bank Liabilities Analysis'!S20</f>
        <v>13814674814</v>
      </c>
      <c r="F22" s="311">
        <f>+'Bank Liabilities Analysis'!T20</f>
        <v>12310904979</v>
      </c>
      <c r="G22" s="311">
        <f>+'Bank Liabilities Analysis'!U20</f>
        <v>1503769835</v>
      </c>
    </row>
    <row r="23" spans="1:13">
      <c r="E23" s="310">
        <f>+C22-E22</f>
        <v>0</v>
      </c>
      <c r="F23" s="310"/>
      <c r="G23" s="310">
        <f>+D22-G22</f>
        <v>0</v>
      </c>
    </row>
    <row r="24" spans="1:13" s="17" customFormat="1" ht="18">
      <c r="B24" s="308" t="s">
        <v>536</v>
      </c>
      <c r="F24" s="144"/>
      <c r="G24" s="144"/>
      <c r="H24" s="144"/>
      <c r="I24" s="144"/>
      <c r="J24" s="144"/>
      <c r="K24" s="144"/>
      <c r="L24" s="144"/>
      <c r="M24" s="144"/>
    </row>
    <row r="25" spans="1:13" s="17" customFormat="1" ht="19.5" customHeight="1">
      <c r="B25" s="308"/>
      <c r="F25" s="144"/>
      <c r="G25" s="144"/>
      <c r="H25" s="144"/>
      <c r="I25" s="144"/>
      <c r="J25" s="144"/>
      <c r="K25" s="144"/>
      <c r="L25" s="144"/>
      <c r="M25" s="144"/>
    </row>
    <row r="26" spans="1:13" s="17" customFormat="1" ht="18">
      <c r="B26" s="308" t="s">
        <v>535</v>
      </c>
      <c r="F26" s="144"/>
      <c r="G26" s="144"/>
      <c r="H26" s="144"/>
      <c r="I26" s="144"/>
      <c r="J26" s="144"/>
      <c r="K26" s="144"/>
      <c r="L26" s="144"/>
      <c r="M26" s="144"/>
    </row>
    <row r="27" spans="1:13">
      <c r="B27" s="75"/>
      <c r="E27" s="68"/>
      <c r="F27" s="68"/>
      <c r="G27" s="68"/>
    </row>
  </sheetData>
  <sheetProtection password="CACA" sheet="1" objects="1" scenarios="1"/>
  <mergeCells count="1">
    <mergeCell ref="A1:C1"/>
  </mergeCells>
  <phoneticPr fontId="14" type="noConversion"/>
  <conditionalFormatting sqref="C11">
    <cfRule type="cellIs" dxfId="5" priority="15" operator="notEqual">
      <formula>$E$11</formula>
    </cfRule>
  </conditionalFormatting>
  <conditionalFormatting sqref="C20">
    <cfRule type="cellIs" dxfId="4" priority="16" operator="notEqual">
      <formula>$E$20</formula>
    </cfRule>
  </conditionalFormatting>
  <conditionalFormatting sqref="C22">
    <cfRule type="cellIs" dxfId="3" priority="17" operator="notEqual">
      <formula>$E$22</formula>
    </cfRule>
  </conditionalFormatting>
  <conditionalFormatting sqref="D11">
    <cfRule type="cellIs" dxfId="2" priority="9" operator="notEqual">
      <formula>$G$11</formula>
    </cfRule>
  </conditionalFormatting>
  <conditionalFormatting sqref="D20">
    <cfRule type="cellIs" dxfId="1" priority="10" operator="notEqual">
      <formula>$G$20</formula>
    </cfRule>
  </conditionalFormatting>
  <conditionalFormatting sqref="D22">
    <cfRule type="cellIs" dxfId="0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M44"/>
  <sheetViews>
    <sheetView view="pageBreakPreview" zoomScaleNormal="100" zoomScaleSheetLayoutView="100" workbookViewId="0">
      <pane xSplit="1" ySplit="4" topLeftCell="B5" activePane="bottomRight" state="frozen"/>
      <selection activeCell="G17" sqref="G17"/>
      <selection pane="topRight" activeCell="G17" sqref="G17"/>
      <selection pane="bottomLeft" activeCell="G17" sqref="G17"/>
      <selection pane="bottomRight" activeCell="C6" sqref="C6"/>
    </sheetView>
  </sheetViews>
  <sheetFormatPr defaultRowHeight="12.75"/>
  <cols>
    <col min="1" max="1" width="52" style="17" customWidth="1"/>
    <col min="2" max="2" width="15.42578125" style="17" customWidth="1"/>
    <col min="3" max="4" width="14.42578125" style="17" customWidth="1"/>
    <col min="5" max="5" width="16.140625" style="17" bestFit="1" customWidth="1"/>
    <col min="6" max="8" width="12.140625" style="190" customWidth="1"/>
    <col min="9" max="16384" width="9.140625" style="17"/>
  </cols>
  <sheetData>
    <row r="1" spans="1:8" ht="44.25" customHeight="1">
      <c r="A1" s="445" t="s">
        <v>454</v>
      </c>
      <c r="B1" s="445"/>
      <c r="C1" s="445"/>
      <c r="D1" s="445"/>
      <c r="E1" s="181" t="s">
        <v>455</v>
      </c>
    </row>
    <row r="2" spans="1:8" s="142" customFormat="1" ht="18" customHeight="1">
      <c r="A2" s="77" t="str">
        <f>Balance!B3</f>
        <v>Банк номи</v>
      </c>
      <c r="C2" s="449">
        <f>+Balance!D3</f>
        <v>45657</v>
      </c>
      <c r="D2" s="449"/>
      <c r="E2" s="229" t="str">
        <f>+Balance!E3</f>
        <v>минг сўмда</v>
      </c>
      <c r="F2" s="191"/>
      <c r="G2" s="191"/>
      <c r="H2" s="191"/>
    </row>
    <row r="3" spans="1:8" s="196" customFormat="1" ht="12.75" customHeight="1">
      <c r="A3" s="447" t="s">
        <v>526</v>
      </c>
      <c r="B3" s="447" t="s">
        <v>456</v>
      </c>
      <c r="C3" s="450" t="s">
        <v>335</v>
      </c>
      <c r="D3" s="451"/>
      <c r="E3" s="447" t="s">
        <v>457</v>
      </c>
      <c r="G3" s="142"/>
    </row>
    <row r="4" spans="1:8" s="196" customFormat="1" ht="46.5" customHeight="1">
      <c r="A4" s="448"/>
      <c r="B4" s="448"/>
      <c r="C4" s="230" t="s">
        <v>346</v>
      </c>
      <c r="D4" s="230" t="s">
        <v>347</v>
      </c>
      <c r="E4" s="448"/>
      <c r="G4" s="142"/>
    </row>
    <row r="5" spans="1:8" s="142" customFormat="1" ht="19.5" customHeight="1">
      <c r="A5" s="231" t="s">
        <v>458</v>
      </c>
      <c r="B5" s="134">
        <f t="shared" ref="B5:B14" si="0">+C5+D5</f>
        <v>0</v>
      </c>
      <c r="C5" s="8">
        <v>0</v>
      </c>
      <c r="D5" s="8">
        <v>0</v>
      </c>
      <c r="E5" s="8">
        <v>0</v>
      </c>
      <c r="F5" s="191"/>
      <c r="G5" s="191"/>
      <c r="H5" s="191"/>
    </row>
    <row r="6" spans="1:8" s="142" customFormat="1" ht="25.5">
      <c r="A6" s="232" t="s">
        <v>459</v>
      </c>
      <c r="B6" s="134">
        <f t="shared" si="0"/>
        <v>0</v>
      </c>
      <c r="C6" s="8">
        <v>0</v>
      </c>
      <c r="D6" s="8">
        <v>0</v>
      </c>
      <c r="E6" s="8">
        <v>0</v>
      </c>
      <c r="F6" s="191"/>
      <c r="G6" s="191"/>
      <c r="H6" s="191"/>
    </row>
    <row r="7" spans="1:8" s="142" customFormat="1" ht="16.5" customHeight="1">
      <c r="A7" s="232" t="s">
        <v>527</v>
      </c>
      <c r="B7" s="134">
        <f t="shared" si="0"/>
        <v>0</v>
      </c>
      <c r="C7" s="8">
        <v>0</v>
      </c>
      <c r="D7" s="8">
        <v>0</v>
      </c>
      <c r="E7" s="8">
        <v>0</v>
      </c>
      <c r="F7" s="191"/>
      <c r="G7" s="191"/>
      <c r="H7" s="191"/>
    </row>
    <row r="8" spans="1:8" s="142" customFormat="1" ht="16.5" customHeight="1">
      <c r="A8" s="232" t="s">
        <v>460</v>
      </c>
      <c r="B8" s="134">
        <f t="shared" si="0"/>
        <v>0</v>
      </c>
      <c r="C8" s="8">
        <v>0</v>
      </c>
      <c r="D8" s="8">
        <v>0</v>
      </c>
      <c r="E8" s="8">
        <v>0</v>
      </c>
      <c r="F8" s="191"/>
      <c r="G8" s="191"/>
      <c r="H8" s="191"/>
    </row>
    <row r="9" spans="1:8" s="142" customFormat="1" ht="25.5">
      <c r="A9" s="232" t="s">
        <v>528</v>
      </c>
      <c r="B9" s="134">
        <f t="shared" si="0"/>
        <v>86978807</v>
      </c>
      <c r="C9" s="8">
        <v>86978807</v>
      </c>
      <c r="D9" s="8">
        <v>0</v>
      </c>
      <c r="E9" s="8">
        <v>86978807</v>
      </c>
      <c r="F9" s="191"/>
      <c r="G9" s="191"/>
      <c r="H9" s="191"/>
    </row>
    <row r="10" spans="1:8" s="142" customFormat="1" ht="24.75" customHeight="1">
      <c r="A10" s="232" t="s">
        <v>529</v>
      </c>
      <c r="B10" s="134">
        <f t="shared" si="0"/>
        <v>5603011</v>
      </c>
      <c r="C10" s="8">
        <v>5603011</v>
      </c>
      <c r="D10" s="8">
        <v>0</v>
      </c>
      <c r="E10" s="8">
        <v>5603011</v>
      </c>
      <c r="F10" s="191"/>
      <c r="G10" s="191"/>
      <c r="H10" s="191"/>
    </row>
    <row r="11" spans="1:8" s="142" customFormat="1" ht="24.75" customHeight="1">
      <c r="A11" s="232" t="s">
        <v>461</v>
      </c>
      <c r="B11" s="134">
        <f t="shared" si="0"/>
        <v>299107040</v>
      </c>
      <c r="C11" s="8">
        <v>299107040</v>
      </c>
      <c r="D11" s="8">
        <v>0</v>
      </c>
      <c r="E11" s="8">
        <v>299107040</v>
      </c>
      <c r="F11" s="191"/>
      <c r="G11" s="191"/>
      <c r="H11" s="191"/>
    </row>
    <row r="12" spans="1:8" s="142" customFormat="1" ht="17.25" customHeight="1">
      <c r="A12" s="274" t="s">
        <v>462</v>
      </c>
      <c r="B12" s="13">
        <f t="shared" si="0"/>
        <v>391688858</v>
      </c>
      <c r="C12" s="13">
        <f>SUM(C5:C11)</f>
        <v>391688858</v>
      </c>
      <c r="D12" s="13">
        <f t="shared" ref="D12" si="1">SUM(D5:D11)</f>
        <v>0</v>
      </c>
      <c r="E12" s="13">
        <f>SUM(E5:E11)</f>
        <v>391688858</v>
      </c>
      <c r="F12" s="191"/>
      <c r="G12" s="191"/>
      <c r="H12" s="191"/>
    </row>
    <row r="13" spans="1:8" s="142" customFormat="1" ht="28.5" customHeight="1">
      <c r="A13" s="232" t="s">
        <v>509</v>
      </c>
      <c r="B13" s="134">
        <f t="shared" si="0"/>
        <v>0</v>
      </c>
      <c r="C13" s="8">
        <v>0</v>
      </c>
      <c r="D13" s="8">
        <v>0</v>
      </c>
      <c r="E13" s="8">
        <v>0</v>
      </c>
      <c r="F13" s="191"/>
      <c r="G13" s="191"/>
      <c r="H13" s="191"/>
    </row>
    <row r="14" spans="1:8" s="142" customFormat="1" ht="18" customHeight="1">
      <c r="A14" s="304" t="s">
        <v>466</v>
      </c>
      <c r="B14" s="134">
        <f t="shared" si="0"/>
        <v>0</v>
      </c>
      <c r="C14" s="8">
        <v>0</v>
      </c>
      <c r="D14" s="8">
        <v>0</v>
      </c>
      <c r="E14" s="193"/>
      <c r="F14" s="191"/>
      <c r="G14" s="191"/>
      <c r="H14" s="191"/>
    </row>
    <row r="15" spans="1:8" s="142" customFormat="1" ht="18" customHeight="1">
      <c r="A15" s="274" t="s">
        <v>503</v>
      </c>
      <c r="B15" s="13">
        <f>+C15+D15</f>
        <v>391688858</v>
      </c>
      <c r="C15" s="13">
        <f>C12+C13-C14</f>
        <v>391688858</v>
      </c>
      <c r="D15" s="13">
        <f>D12+D13-D14</f>
        <v>0</v>
      </c>
      <c r="E15" s="194"/>
      <c r="F15" s="195"/>
      <c r="G15" s="191"/>
      <c r="H15" s="191"/>
    </row>
    <row r="16" spans="1:8" ht="12.75" customHeight="1">
      <c r="A16" s="4"/>
      <c r="B16" s="142"/>
      <c r="C16" s="142"/>
      <c r="D16" s="142"/>
      <c r="E16" s="142"/>
      <c r="G16" s="191"/>
      <c r="H16" s="191"/>
    </row>
    <row r="17" spans="1:8" s="196" customFormat="1" ht="12.75" customHeight="1">
      <c r="A17" s="447" t="s">
        <v>473</v>
      </c>
      <c r="B17" s="447" t="s">
        <v>456</v>
      </c>
      <c r="C17" s="450" t="s">
        <v>335</v>
      </c>
      <c r="D17" s="451"/>
      <c r="E17" s="447" t="s">
        <v>457</v>
      </c>
      <c r="G17" s="142"/>
    </row>
    <row r="18" spans="1:8" s="196" customFormat="1" ht="38.25">
      <c r="A18" s="448"/>
      <c r="B18" s="448"/>
      <c r="C18" s="230" t="s">
        <v>346</v>
      </c>
      <c r="D18" s="230" t="s">
        <v>347</v>
      </c>
      <c r="E18" s="448"/>
      <c r="G18" s="142"/>
    </row>
    <row r="19" spans="1:8" s="142" customFormat="1" ht="18.75" customHeight="1">
      <c r="A19" s="231" t="s">
        <v>504</v>
      </c>
      <c r="B19" s="134">
        <f t="shared" ref="B19:B28" si="2">+C19+D19</f>
        <v>0</v>
      </c>
      <c r="C19" s="8">
        <v>0</v>
      </c>
      <c r="D19" s="8">
        <v>0</v>
      </c>
      <c r="E19" s="8">
        <v>0</v>
      </c>
      <c r="F19" s="191"/>
      <c r="H19" s="191"/>
    </row>
    <row r="20" spans="1:8" s="142" customFormat="1" ht="18.75" customHeight="1">
      <c r="A20" s="232" t="s">
        <v>463</v>
      </c>
      <c r="B20" s="134">
        <f t="shared" si="2"/>
        <v>2166910000</v>
      </c>
      <c r="C20" s="8">
        <v>2166910000</v>
      </c>
      <c r="D20" s="8">
        <v>0</v>
      </c>
      <c r="E20" s="8">
        <v>2166910000</v>
      </c>
      <c r="F20" s="191"/>
      <c r="H20" s="191"/>
    </row>
    <row r="21" spans="1:8" s="142" customFormat="1" ht="25.5">
      <c r="A21" s="232" t="s">
        <v>505</v>
      </c>
      <c r="B21" s="134">
        <f t="shared" si="2"/>
        <v>0</v>
      </c>
      <c r="C21" s="8">
        <v>0</v>
      </c>
      <c r="D21" s="8">
        <v>0</v>
      </c>
      <c r="E21" s="8">
        <v>0</v>
      </c>
      <c r="F21" s="191"/>
      <c r="H21" s="191"/>
    </row>
    <row r="22" spans="1:8" s="142" customFormat="1" ht="18.75" customHeight="1">
      <c r="A22" s="232" t="s">
        <v>530</v>
      </c>
      <c r="B22" s="134">
        <f t="shared" si="2"/>
        <v>0</v>
      </c>
      <c r="C22" s="8">
        <v>0</v>
      </c>
      <c r="D22" s="8">
        <v>0</v>
      </c>
      <c r="E22" s="8">
        <v>0</v>
      </c>
      <c r="F22" s="191"/>
      <c r="H22" s="191"/>
    </row>
    <row r="23" spans="1:8" s="142" customFormat="1" ht="18.75" customHeight="1">
      <c r="A23" s="232" t="s">
        <v>464</v>
      </c>
      <c r="B23" s="134">
        <f t="shared" si="2"/>
        <v>0</v>
      </c>
      <c r="C23" s="8">
        <v>0</v>
      </c>
      <c r="D23" s="8">
        <v>0</v>
      </c>
      <c r="E23" s="8">
        <v>0</v>
      </c>
      <c r="F23" s="191"/>
      <c r="H23" s="191"/>
    </row>
    <row r="24" spans="1:8" s="142" customFormat="1" ht="18.75" customHeight="1">
      <c r="A24" s="232" t="s">
        <v>531</v>
      </c>
      <c r="B24" s="134">
        <f t="shared" si="2"/>
        <v>0</v>
      </c>
      <c r="C24" s="8">
        <v>0</v>
      </c>
      <c r="D24" s="8">
        <v>0</v>
      </c>
      <c r="E24" s="8">
        <v>0</v>
      </c>
      <c r="F24" s="191"/>
      <c r="H24" s="191"/>
    </row>
    <row r="25" spans="1:8" s="142" customFormat="1" ht="18.75" customHeight="1">
      <c r="A25" s="192" t="s">
        <v>465</v>
      </c>
      <c r="B25" s="134">
        <f t="shared" si="2"/>
        <v>0</v>
      </c>
      <c r="C25" s="8">
        <v>0</v>
      </c>
      <c r="D25" s="8">
        <v>0</v>
      </c>
      <c r="E25" s="8">
        <v>0</v>
      </c>
      <c r="F25" s="191"/>
      <c r="H25" s="191"/>
    </row>
    <row r="26" spans="1:8" s="142" customFormat="1" ht="30.75" customHeight="1">
      <c r="A26" s="273" t="s">
        <v>484</v>
      </c>
      <c r="B26" s="13">
        <f t="shared" ref="B26" si="3">+C26+D26</f>
        <v>2166910000</v>
      </c>
      <c r="C26" s="13">
        <f>SUM(C19:C25)</f>
        <v>2166910000</v>
      </c>
      <c r="D26" s="13">
        <f t="shared" ref="D26" si="4">SUM(D19:D25)</f>
        <v>0</v>
      </c>
      <c r="E26" s="13">
        <f>SUM(E19:E25)</f>
        <v>2166910000</v>
      </c>
      <c r="F26" s="191"/>
      <c r="H26" s="191"/>
    </row>
    <row r="27" spans="1:8" s="142" customFormat="1" ht="27.75" customHeight="1">
      <c r="A27" s="232" t="s">
        <v>532</v>
      </c>
      <c r="B27" s="134">
        <f t="shared" si="2"/>
        <v>-53137165</v>
      </c>
      <c r="C27" s="8">
        <v>-53137165</v>
      </c>
      <c r="D27" s="8">
        <v>0</v>
      </c>
      <c r="E27" s="8">
        <v>-53137165</v>
      </c>
      <c r="F27" s="191"/>
      <c r="H27" s="191"/>
    </row>
    <row r="28" spans="1:8" s="142" customFormat="1" ht="22.5" customHeight="1">
      <c r="A28" s="231" t="s">
        <v>466</v>
      </c>
      <c r="B28" s="134">
        <f t="shared" si="2"/>
        <v>0</v>
      </c>
      <c r="C28" s="8">
        <v>0</v>
      </c>
      <c r="D28" s="8">
        <v>0</v>
      </c>
      <c r="E28" s="193"/>
      <c r="F28" s="191"/>
      <c r="H28" s="191"/>
    </row>
    <row r="29" spans="1:8" s="142" customFormat="1" ht="27.75" customHeight="1">
      <c r="A29" s="232" t="s">
        <v>533</v>
      </c>
      <c r="B29" s="13">
        <f>+C29+D29</f>
        <v>2113772835</v>
      </c>
      <c r="C29" s="13">
        <f>+C26+C27-C28</f>
        <v>2113772835</v>
      </c>
      <c r="D29" s="13">
        <f>+D26+D27-D28</f>
        <v>0</v>
      </c>
      <c r="E29" s="194"/>
      <c r="F29" s="191"/>
      <c r="H29" s="191"/>
    </row>
    <row r="30" spans="1:8" ht="15.75">
      <c r="A30" s="58"/>
      <c r="B30" s="142"/>
      <c r="C30" s="142"/>
      <c r="D30" s="142"/>
      <c r="E30" s="142"/>
      <c r="G30" s="142"/>
    </row>
    <row r="31" spans="1:8" s="196" customFormat="1">
      <c r="A31" s="447" t="s">
        <v>467</v>
      </c>
      <c r="B31" s="447" t="s">
        <v>456</v>
      </c>
      <c r="C31" s="450" t="s">
        <v>335</v>
      </c>
      <c r="D31" s="451"/>
      <c r="E31" s="447" t="s">
        <v>457</v>
      </c>
      <c r="G31" s="142"/>
    </row>
    <row r="32" spans="1:8" s="196" customFormat="1" ht="38.25">
      <c r="A32" s="448"/>
      <c r="B32" s="448"/>
      <c r="C32" s="230" t="s">
        <v>346</v>
      </c>
      <c r="D32" s="230" t="s">
        <v>347</v>
      </c>
      <c r="E32" s="448"/>
      <c r="G32" s="142"/>
    </row>
    <row r="33" spans="1:13">
      <c r="A33" s="197"/>
      <c r="B33" s="192"/>
      <c r="C33" s="192"/>
      <c r="D33" s="192"/>
      <c r="E33" s="192"/>
    </row>
    <row r="34" spans="1:13" ht="16.5" customHeight="1">
      <c r="A34" s="192" t="s">
        <v>468</v>
      </c>
      <c r="B34" s="134">
        <f t="shared" ref="B34:B36" si="5">+C34+D34</f>
        <v>0</v>
      </c>
      <c r="C34" s="8">
        <v>0</v>
      </c>
      <c r="D34" s="8">
        <v>0</v>
      </c>
      <c r="E34" s="8">
        <v>0</v>
      </c>
    </row>
    <row r="35" spans="1:13" ht="16.5" customHeight="1">
      <c r="A35" s="192" t="s">
        <v>469</v>
      </c>
      <c r="B35" s="134">
        <f t="shared" si="5"/>
        <v>0</v>
      </c>
      <c r="C35" s="8">
        <v>0</v>
      </c>
      <c r="D35" s="8">
        <v>0</v>
      </c>
      <c r="E35" s="8">
        <v>0</v>
      </c>
    </row>
    <row r="36" spans="1:13" ht="16.5" customHeight="1">
      <c r="A36" s="192" t="s">
        <v>470</v>
      </c>
      <c r="B36" s="134">
        <f t="shared" si="5"/>
        <v>251</v>
      </c>
      <c r="C36" s="8">
        <v>251</v>
      </c>
      <c r="D36" s="8">
        <v>0</v>
      </c>
      <c r="E36" s="8">
        <v>251</v>
      </c>
    </row>
    <row r="37" spans="1:13" ht="16.5" customHeight="1">
      <c r="A37" s="389" t="s">
        <v>471</v>
      </c>
      <c r="B37" s="13">
        <f t="shared" ref="B37:B39" si="6">+C37+D37</f>
        <v>251</v>
      </c>
      <c r="C37" s="13">
        <f>SUM(C34:C36)</f>
        <v>251</v>
      </c>
      <c r="D37" s="13">
        <f t="shared" ref="D37" si="7">SUM(D34:D36)</f>
        <v>0</v>
      </c>
      <c r="E37" s="13">
        <f>SUM(E34:E36)</f>
        <v>251</v>
      </c>
    </row>
    <row r="38" spans="1:13" ht="16.5" customHeight="1">
      <c r="A38" s="231" t="s">
        <v>472</v>
      </c>
      <c r="B38" s="134">
        <f t="shared" si="6"/>
        <v>0</v>
      </c>
      <c r="C38" s="8">
        <v>0</v>
      </c>
      <c r="D38" s="8">
        <v>0</v>
      </c>
      <c r="E38" s="193"/>
    </row>
    <row r="39" spans="1:13" ht="26.25" customHeight="1">
      <c r="A39" s="232" t="s">
        <v>506</v>
      </c>
      <c r="B39" s="13">
        <f t="shared" si="6"/>
        <v>251</v>
      </c>
      <c r="C39" s="13">
        <f>C37-C38</f>
        <v>251</v>
      </c>
      <c r="D39" s="13">
        <f t="shared" ref="D39" si="8">D37-D38</f>
        <v>0</v>
      </c>
      <c r="E39" s="194"/>
    </row>
    <row r="40" spans="1:13" ht="12.75" customHeight="1">
      <c r="F40" s="17"/>
      <c r="G40" s="17"/>
      <c r="H40" s="17"/>
    </row>
    <row r="41" spans="1:13" ht="15" customHeight="1">
      <c r="A41" s="306" t="s">
        <v>536</v>
      </c>
      <c r="F41" s="144"/>
      <c r="G41" s="144"/>
      <c r="H41" s="144"/>
      <c r="I41" s="144"/>
      <c r="J41" s="144"/>
      <c r="K41" s="144"/>
      <c r="L41" s="144"/>
      <c r="M41" s="144"/>
    </row>
    <row r="42" spans="1:13" ht="11.25" customHeight="1">
      <c r="A42" s="306"/>
      <c r="F42" s="144"/>
      <c r="G42" s="144"/>
      <c r="H42" s="144"/>
      <c r="I42" s="144"/>
      <c r="J42" s="144"/>
      <c r="K42" s="144"/>
      <c r="L42" s="144"/>
      <c r="M42" s="144"/>
    </row>
    <row r="43" spans="1:13" ht="15" customHeight="1">
      <c r="A43" s="306" t="s">
        <v>535</v>
      </c>
      <c r="F43" s="144"/>
      <c r="G43" s="144"/>
      <c r="H43" s="144"/>
      <c r="I43" s="144"/>
      <c r="J43" s="144"/>
      <c r="K43" s="144"/>
      <c r="L43" s="144"/>
      <c r="M43" s="144"/>
    </row>
    <row r="44" spans="1:13" ht="12.75" customHeight="1">
      <c r="A44" s="4"/>
      <c r="F44" s="17"/>
      <c r="G44" s="17"/>
      <c r="H44" s="17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30:E33 E12 E28:E29 B19:B25 B29:D29 B27 B26:D26 E37:E39 B34:B36 B37:D37 B28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Turayev Shavkat Abduzoirovich</cp:lastModifiedBy>
  <cp:lastPrinted>2024-11-05T05:01:04Z</cp:lastPrinted>
  <dcterms:created xsi:type="dcterms:W3CDTF">2014-01-27T05:06:32Z</dcterms:created>
  <dcterms:modified xsi:type="dcterms:W3CDTF">2025-01-14T05:26:11Z</dcterms:modified>
</cp:coreProperties>
</file>